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0"/>
  <workbookPr/>
  <mc:AlternateContent xmlns:mc="http://schemas.openxmlformats.org/markup-compatibility/2006">
    <mc:Choice Requires="x15">
      <x15ac:absPath xmlns:x15ac="http://schemas.microsoft.com/office/spreadsheetml/2010/11/ac" url="/Users/macbook/Desktop/tech100/"/>
    </mc:Choice>
  </mc:AlternateContent>
  <xr:revisionPtr revIDLastSave="0" documentId="13_ncr:1_{E716BC19-F560-0E47-8023-F013F4D769F9}" xr6:coauthVersionLast="47" xr6:coauthVersionMax="47" xr10:uidLastSave="{00000000-0000-0000-0000-000000000000}"/>
  <bookViews>
    <workbookView xWindow="30000" yWindow="-20120" windowWidth="27980" windowHeight="14640" activeTab="5" xr2:uid="{00000000-000D-0000-FFFF-FFFF00000000}"/>
  </bookViews>
  <sheets>
    <sheet name="Sheet1" sheetId="1" r:id="rId1"/>
    <sheet name="wind_code" sheetId="7" r:id="rId2"/>
    <sheet name="consensus_fy1" sheetId="2" r:id="rId3"/>
    <sheet name="daily_price_vol" sheetId="3" r:id="rId4"/>
    <sheet name="static_info " sheetId="4" r:id="rId5"/>
    <sheet name="benchmark" sheetId="5" r:id="rId6"/>
  </sheets>
  <externalReferences>
    <externalReference r:id="rId7"/>
  </externalReferences>
  <definedNames>
    <definedName name="____NAV3">IF(tType="N","EV/Ebitda","Pre-Provision Profits")</definedName>
    <definedName name="tType">"N"</definedName>
  </definedNames>
  <calcPr calcId="191029" iterate="1" iterateCount="2000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4" l="1"/>
  <c r="A4" i="4"/>
  <c r="A1" i="4"/>
  <c r="A1" i="1"/>
  <c r="A2" i="5"/>
  <c r="A3" i="5" s="1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622" i="5" s="1"/>
  <c r="A623" i="5" s="1"/>
  <c r="A624" i="5" s="1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649" i="5" s="1"/>
  <c r="A650" i="5" s="1"/>
  <c r="A651" i="5" s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76" i="5" s="1"/>
  <c r="A677" i="5" s="1"/>
  <c r="A678" i="5" s="1"/>
  <c r="A679" i="5" s="1"/>
  <c r="A680" i="5" s="1"/>
  <c r="A681" i="5" s="1"/>
  <c r="A682" i="5" s="1"/>
  <c r="A683" i="5" s="1"/>
  <c r="A684" i="5" s="1"/>
  <c r="A685" i="5" s="1"/>
  <c r="A686" i="5" s="1"/>
  <c r="A687" i="5" s="1"/>
  <c r="A688" i="5" s="1"/>
  <c r="A689" i="5" s="1"/>
  <c r="A690" i="5" s="1"/>
  <c r="A691" i="5" s="1"/>
  <c r="A692" i="5" s="1"/>
  <c r="A693" i="5" s="1"/>
  <c r="A694" i="5" s="1"/>
  <c r="A695" i="5" s="1"/>
  <c r="A696" i="5" s="1"/>
  <c r="A697" i="5" s="1"/>
  <c r="A698" i="5" s="1"/>
  <c r="A699" i="5" s="1"/>
  <c r="A700" i="5" s="1"/>
  <c r="A701" i="5" s="1"/>
  <c r="A702" i="5" s="1"/>
  <c r="A703" i="5" s="1"/>
  <c r="A704" i="5" s="1"/>
  <c r="A705" i="5" s="1"/>
  <c r="A706" i="5" s="1"/>
  <c r="A707" i="5" s="1"/>
  <c r="A708" i="5" s="1"/>
  <c r="A709" i="5" s="1"/>
  <c r="A710" i="5" s="1"/>
  <c r="A711" i="5" s="1"/>
  <c r="A712" i="5" s="1"/>
  <c r="A713" i="5" s="1"/>
  <c r="A714" i="5" s="1"/>
  <c r="A715" i="5" s="1"/>
  <c r="A716" i="5" s="1"/>
  <c r="A717" i="5" s="1"/>
  <c r="A718" i="5" s="1"/>
  <c r="A719" i="5" s="1"/>
  <c r="A720" i="5" s="1"/>
  <c r="A721" i="5" s="1"/>
  <c r="A722" i="5" s="1"/>
  <c r="A723" i="5" s="1"/>
  <c r="A724" i="5" s="1"/>
  <c r="A725" i="5" s="1"/>
  <c r="A726" i="5" s="1"/>
  <c r="A727" i="5" s="1"/>
  <c r="A728" i="5" s="1"/>
  <c r="A729" i="5" s="1"/>
  <c r="A730" i="5" s="1"/>
  <c r="A731" i="5" s="1"/>
  <c r="A732" i="5" s="1"/>
  <c r="A733" i="5" s="1"/>
  <c r="A734" i="5" s="1"/>
  <c r="A735" i="5" s="1"/>
  <c r="A736" i="5" s="1"/>
  <c r="A737" i="5" s="1"/>
  <c r="A738" i="5" s="1"/>
  <c r="A739" i="5" s="1"/>
  <c r="A740" i="5" s="1"/>
  <c r="A741" i="5" s="1"/>
  <c r="A742" i="5" s="1"/>
  <c r="A743" i="5" s="1"/>
  <c r="A744" i="5" s="1"/>
  <c r="A745" i="5" s="1"/>
  <c r="A746" i="5" s="1"/>
  <c r="A747" i="5" s="1"/>
  <c r="A748" i="5" s="1"/>
  <c r="A749" i="5" s="1"/>
  <c r="A750" i="5" s="1"/>
  <c r="A751" i="5" s="1"/>
  <c r="A752" i="5" s="1"/>
  <c r="A753" i="5" s="1"/>
  <c r="A754" i="5" s="1"/>
  <c r="A755" i="5" s="1"/>
  <c r="A756" i="5" s="1"/>
  <c r="A757" i="5" s="1"/>
  <c r="A758" i="5" s="1"/>
  <c r="A759" i="5" s="1"/>
  <c r="A760" i="5" s="1"/>
  <c r="A761" i="5" s="1"/>
  <c r="A762" i="5" s="1"/>
  <c r="A763" i="5" s="1"/>
  <c r="A764" i="5" s="1"/>
  <c r="A765" i="5" s="1"/>
  <c r="A766" i="5" s="1"/>
  <c r="A767" i="5" s="1"/>
  <c r="A768" i="5" s="1"/>
  <c r="A769" i="5" s="1"/>
  <c r="A770" i="5" s="1"/>
  <c r="A771" i="5" s="1"/>
  <c r="A772" i="5" s="1"/>
  <c r="A773" i="5" s="1"/>
  <c r="A774" i="5" s="1"/>
  <c r="A775" i="5" s="1"/>
  <c r="A776" i="5" s="1"/>
  <c r="A777" i="5" s="1"/>
  <c r="A778" i="5" s="1"/>
  <c r="A779" i="5" s="1"/>
  <c r="A780" i="5" s="1"/>
  <c r="A781" i="5" s="1"/>
  <c r="A782" i="5" s="1"/>
  <c r="A783" i="5" s="1"/>
  <c r="A784" i="5" s="1"/>
  <c r="A785" i="5" s="1"/>
  <c r="A786" i="5" s="1"/>
  <c r="A787" i="5" s="1"/>
  <c r="A788" i="5" s="1"/>
  <c r="A789" i="5" s="1"/>
  <c r="A790" i="5" s="1"/>
  <c r="A791" i="5" s="1"/>
  <c r="A792" i="5" s="1"/>
  <c r="A793" i="5" s="1"/>
  <c r="A794" i="5" s="1"/>
  <c r="A795" i="5" s="1"/>
  <c r="A796" i="5" s="1"/>
  <c r="A797" i="5" s="1"/>
  <c r="A798" i="5" s="1"/>
  <c r="A799" i="5" s="1"/>
  <c r="A800" i="5" s="1"/>
  <c r="A801" i="5" s="1"/>
  <c r="A802" i="5" s="1"/>
  <c r="A803" i="5" s="1"/>
  <c r="A804" i="5" s="1"/>
  <c r="A805" i="5" s="1"/>
  <c r="A806" i="5" s="1"/>
  <c r="A807" i="5" s="1"/>
  <c r="A808" i="5" s="1"/>
  <c r="A809" i="5" s="1"/>
  <c r="A810" i="5" s="1"/>
  <c r="A811" i="5" s="1"/>
  <c r="A812" i="5" s="1"/>
  <c r="A813" i="5" s="1"/>
  <c r="A814" i="5" s="1"/>
  <c r="A815" i="5" s="1"/>
  <c r="A816" i="5" s="1"/>
  <c r="A817" i="5" s="1"/>
  <c r="A818" i="5" s="1"/>
  <c r="A819" i="5" s="1"/>
  <c r="A820" i="5" s="1"/>
  <c r="A821" i="5" s="1"/>
  <c r="A822" i="5" s="1"/>
  <c r="A823" i="5" s="1"/>
  <c r="A824" i="5" s="1"/>
  <c r="A825" i="5" s="1"/>
  <c r="A826" i="5" s="1"/>
  <c r="A827" i="5" s="1"/>
  <c r="A828" i="5" s="1"/>
  <c r="A829" i="5" s="1"/>
  <c r="A830" i="5" s="1"/>
  <c r="A831" i="5" s="1"/>
  <c r="A832" i="5" s="1"/>
  <c r="A833" i="5" s="1"/>
  <c r="A834" i="5" s="1"/>
  <c r="A835" i="5" s="1"/>
  <c r="A836" i="5" s="1"/>
  <c r="A837" i="5" s="1"/>
  <c r="A838" i="5" s="1"/>
  <c r="A839" i="5" s="1"/>
  <c r="A840" i="5" s="1"/>
  <c r="A841" i="5" s="1"/>
  <c r="A842" i="5" s="1"/>
  <c r="A843" i="5" s="1"/>
  <c r="A844" i="5" s="1"/>
  <c r="A845" i="5" s="1"/>
  <c r="A846" i="5" s="1"/>
  <c r="A847" i="5" s="1"/>
  <c r="A848" i="5" s="1"/>
  <c r="A849" i="5" s="1"/>
  <c r="A850" i="5" s="1"/>
  <c r="A851" i="5" s="1"/>
  <c r="A852" i="5" s="1"/>
  <c r="A853" i="5" s="1"/>
  <c r="A854" i="5" s="1"/>
  <c r="A855" i="5" s="1"/>
  <c r="A856" i="5" s="1"/>
  <c r="A857" i="5" s="1"/>
  <c r="A858" i="5" s="1"/>
  <c r="A859" i="5" s="1"/>
  <c r="A860" i="5" s="1"/>
  <c r="A861" i="5" s="1"/>
  <c r="A862" i="5" s="1"/>
  <c r="A863" i="5" s="1"/>
  <c r="A864" i="5" s="1"/>
  <c r="A865" i="5" s="1"/>
  <c r="A866" i="5" s="1"/>
  <c r="A867" i="5" s="1"/>
  <c r="A868" i="5" s="1"/>
  <c r="A869" i="5" s="1"/>
  <c r="A870" i="5" s="1"/>
  <c r="A871" i="5" s="1"/>
  <c r="A872" i="5" s="1"/>
  <c r="A873" i="5" s="1"/>
  <c r="A874" i="5" s="1"/>
  <c r="A875" i="5" s="1"/>
  <c r="A876" i="5" s="1"/>
  <c r="A877" i="5" s="1"/>
  <c r="A878" i="5" s="1"/>
  <c r="A879" i="5" s="1"/>
  <c r="A880" i="5" s="1"/>
  <c r="A881" i="5" s="1"/>
  <c r="A882" i="5" s="1"/>
  <c r="A883" i="5" s="1"/>
  <c r="A884" i="5" s="1"/>
  <c r="A885" i="5" s="1"/>
  <c r="A886" i="5" s="1"/>
  <c r="A887" i="5" s="1"/>
  <c r="A888" i="5" s="1"/>
  <c r="A889" i="5" s="1"/>
  <c r="A890" i="5" s="1"/>
  <c r="A891" i="5" s="1"/>
  <c r="A892" i="5" s="1"/>
  <c r="A893" i="5" s="1"/>
  <c r="A894" i="5" s="1"/>
  <c r="A895" i="5" s="1"/>
  <c r="A896" i="5" s="1"/>
  <c r="A897" i="5" s="1"/>
  <c r="A898" i="5" s="1"/>
  <c r="A899" i="5" s="1"/>
  <c r="A900" i="5" s="1"/>
  <c r="A901" i="5" s="1"/>
  <c r="A902" i="5" s="1"/>
  <c r="A903" i="5" s="1"/>
  <c r="A904" i="5" s="1"/>
  <c r="A905" i="5" s="1"/>
  <c r="A906" i="5" s="1"/>
  <c r="A907" i="5" s="1"/>
  <c r="A908" i="5" s="1"/>
  <c r="A909" i="5" s="1"/>
  <c r="A910" i="5" s="1"/>
  <c r="A911" i="5" s="1"/>
  <c r="A912" i="5" s="1"/>
  <c r="A913" i="5" s="1"/>
  <c r="A914" i="5" s="1"/>
  <c r="A915" i="5" s="1"/>
  <c r="A916" i="5" s="1"/>
  <c r="A917" i="5" s="1"/>
  <c r="A918" i="5" s="1"/>
  <c r="A919" i="5" s="1"/>
  <c r="A920" i="5" s="1"/>
  <c r="A921" i="5" s="1"/>
  <c r="A922" i="5" s="1"/>
  <c r="A923" i="5" s="1"/>
  <c r="A924" i="5" s="1"/>
  <c r="A925" i="5" s="1"/>
  <c r="A926" i="5" s="1"/>
  <c r="A927" i="5" s="1"/>
  <c r="A928" i="5" s="1"/>
  <c r="A929" i="5" s="1"/>
  <c r="A930" i="5" s="1"/>
  <c r="A931" i="5" s="1"/>
  <c r="A932" i="5" s="1"/>
  <c r="A933" i="5" s="1"/>
  <c r="A934" i="5" s="1"/>
  <c r="A935" i="5" s="1"/>
  <c r="A936" i="5" s="1"/>
  <c r="A937" i="5" s="1"/>
  <c r="A938" i="5" s="1"/>
  <c r="A939" i="5" s="1"/>
  <c r="A940" i="5" s="1"/>
  <c r="A941" i="5" s="1"/>
  <c r="A942" i="5" s="1"/>
  <c r="A943" i="5" s="1"/>
  <c r="A944" i="5" s="1"/>
  <c r="A945" i="5" s="1"/>
  <c r="A946" i="5" s="1"/>
  <c r="A947" i="5" s="1"/>
  <c r="A948" i="5" s="1"/>
  <c r="A949" i="5" s="1"/>
  <c r="A950" i="5" s="1"/>
  <c r="A951" i="5" s="1"/>
  <c r="A952" i="5" s="1"/>
  <c r="A953" i="5" s="1"/>
  <c r="A954" i="5" s="1"/>
  <c r="A955" i="5" s="1"/>
  <c r="A956" i="5" s="1"/>
  <c r="A957" i="5" s="1"/>
  <c r="A958" i="5" s="1"/>
  <c r="A959" i="5" s="1"/>
  <c r="A960" i="5" s="1"/>
  <c r="A961" i="5" s="1"/>
  <c r="A962" i="5" s="1"/>
  <c r="A963" i="5" s="1"/>
  <c r="A964" i="5" s="1"/>
  <c r="A965" i="5" s="1"/>
  <c r="A966" i="5" s="1"/>
  <c r="A967" i="5" s="1"/>
  <c r="A968" i="5" s="1"/>
  <c r="A969" i="5" s="1"/>
  <c r="A970" i="5" s="1"/>
  <c r="A971" i="5" s="1"/>
  <c r="A972" i="5" s="1"/>
  <c r="A973" i="5" s="1"/>
  <c r="A974" i="5" s="1"/>
  <c r="A975" i="5" s="1"/>
  <c r="A976" i="5" s="1"/>
  <c r="A977" i="5" s="1"/>
  <c r="A978" i="5" s="1"/>
  <c r="A979" i="5" s="1"/>
  <c r="A980" i="5" s="1"/>
  <c r="A981" i="5" s="1"/>
  <c r="A982" i="5" s="1"/>
  <c r="A983" i="5" s="1"/>
  <c r="A984" i="5" s="1"/>
  <c r="A985" i="5" s="1"/>
  <c r="A986" i="5" s="1"/>
  <c r="A987" i="5" s="1"/>
  <c r="A988" i="5" s="1"/>
  <c r="A989" i="5" s="1"/>
  <c r="A990" i="5" s="1"/>
  <c r="A991" i="5" s="1"/>
  <c r="A992" i="5" s="1"/>
  <c r="A993" i="5" s="1"/>
  <c r="A994" i="5" s="1"/>
  <c r="A995" i="5" s="1"/>
  <c r="A996" i="5" s="1"/>
  <c r="A997" i="5" s="1"/>
  <c r="A998" i="5" s="1"/>
  <c r="A999" i="5" s="1"/>
  <c r="A1000" i="5" s="1"/>
  <c r="A1001" i="5" s="1"/>
  <c r="A1002" i="5" s="1"/>
  <c r="A1003" i="5" s="1"/>
  <c r="A1004" i="5" s="1"/>
  <c r="A1005" i="5" s="1"/>
  <c r="A1006" i="5" s="1"/>
  <c r="A1007" i="5" s="1"/>
  <c r="A1008" i="5" s="1"/>
  <c r="A1009" i="5" s="1"/>
  <c r="A1010" i="5" s="1"/>
  <c r="A1011" i="5" s="1"/>
  <c r="A1012" i="5" s="1"/>
  <c r="A1013" i="5" s="1"/>
  <c r="A1014" i="5" s="1"/>
  <c r="A1015" i="5" s="1"/>
  <c r="A1016" i="5" s="1"/>
  <c r="A1017" i="5" s="1"/>
  <c r="A1018" i="5" s="1"/>
  <c r="A1019" i="5" s="1"/>
  <c r="A1020" i="5" s="1"/>
  <c r="A1021" i="5" s="1"/>
  <c r="A1022" i="5" s="1"/>
  <c r="A1023" i="5" s="1"/>
  <c r="A1024" i="5" s="1"/>
  <c r="A1025" i="5" s="1"/>
  <c r="A1026" i="5" s="1"/>
  <c r="A1027" i="5" s="1"/>
  <c r="A1028" i="5" s="1"/>
  <c r="A1029" i="5" s="1"/>
  <c r="A1030" i="5" s="1"/>
  <c r="A1031" i="5" s="1"/>
  <c r="A1032" i="5" s="1"/>
  <c r="A1033" i="5" s="1"/>
  <c r="A1034" i="5" s="1"/>
  <c r="A1035" i="5" s="1"/>
  <c r="A1036" i="5" s="1"/>
  <c r="A1037" i="5" s="1"/>
  <c r="A1038" i="5" s="1"/>
  <c r="A1039" i="5" s="1"/>
  <c r="A1040" i="5" s="1"/>
  <c r="A1041" i="5" s="1"/>
  <c r="A1042" i="5" s="1"/>
  <c r="A1043" i="5" s="1"/>
  <c r="A1044" i="5" s="1"/>
  <c r="A1045" i="5" s="1"/>
  <c r="A1046" i="5" s="1"/>
  <c r="A1047" i="5" s="1"/>
  <c r="A1048" i="5" s="1"/>
  <c r="A1049" i="5" s="1"/>
  <c r="A1050" i="5" s="1"/>
  <c r="A1051" i="5" s="1"/>
  <c r="A1052" i="5" s="1"/>
  <c r="A1053" i="5" s="1"/>
  <c r="A1054" i="5" s="1"/>
  <c r="A1055" i="5" s="1"/>
  <c r="A1056" i="5" s="1"/>
  <c r="A1057" i="5" s="1"/>
  <c r="A1058" i="5" s="1"/>
  <c r="A1059" i="5" s="1"/>
  <c r="A1060" i="5" s="1"/>
  <c r="A1061" i="5" s="1"/>
  <c r="A1062" i="5" s="1"/>
  <c r="A1063" i="5" s="1"/>
  <c r="A1064" i="5" s="1"/>
  <c r="A1065" i="5" s="1"/>
  <c r="A1066" i="5" s="1"/>
  <c r="A1067" i="5" s="1"/>
  <c r="A1068" i="5" s="1"/>
  <c r="A1069" i="5" s="1"/>
  <c r="A1070" i="5" s="1"/>
  <c r="A1071" i="5" s="1"/>
  <c r="A1072" i="5" s="1"/>
  <c r="A1073" i="5" s="1"/>
  <c r="A1074" i="5" s="1"/>
  <c r="A1075" i="5" s="1"/>
  <c r="A1076" i="5" s="1"/>
  <c r="A1077" i="5" s="1"/>
  <c r="A1078" i="5" s="1"/>
  <c r="A1079" i="5" s="1"/>
  <c r="A1080" i="5" s="1"/>
  <c r="A1081" i="5" s="1"/>
  <c r="A1082" i="5" s="1"/>
  <c r="A1083" i="5" s="1"/>
  <c r="A1084" i="5" s="1"/>
  <c r="A1085" i="5" s="1"/>
  <c r="A1086" i="5" s="1"/>
  <c r="A1087" i="5" s="1"/>
  <c r="A1088" i="5" s="1"/>
  <c r="A1089" i="5" s="1"/>
  <c r="A1090" i="5" s="1"/>
  <c r="A1091" i="5" s="1"/>
  <c r="A1092" i="5" s="1"/>
  <c r="A1093" i="5" s="1"/>
  <c r="A1094" i="5" s="1"/>
  <c r="A1095" i="5" s="1"/>
  <c r="A1096" i="5" s="1"/>
  <c r="A1097" i="5" s="1"/>
  <c r="A1098" i="5" s="1"/>
  <c r="A1099" i="5" s="1"/>
  <c r="A1100" i="5" s="1"/>
  <c r="A1101" i="5" s="1"/>
  <c r="A1102" i="5" s="1"/>
  <c r="A1103" i="5" s="1"/>
  <c r="A1104" i="5" s="1"/>
  <c r="A1105" i="5" s="1"/>
  <c r="A1106" i="5" s="1"/>
  <c r="A1107" i="5" s="1"/>
  <c r="A1108" i="5" s="1"/>
  <c r="A1109" i="5" s="1"/>
  <c r="A1110" i="5" s="1"/>
  <c r="A1111" i="5" s="1"/>
  <c r="A1112" i="5" s="1"/>
  <c r="A1113" i="5" s="1"/>
  <c r="A1114" i="5" s="1"/>
  <c r="A1115" i="5" s="1"/>
  <c r="A1116" i="5" s="1"/>
  <c r="A1117" i="5" s="1"/>
  <c r="A1118" i="5" s="1"/>
  <c r="A1119" i="5" s="1"/>
  <c r="A1120" i="5" s="1"/>
  <c r="A1121" i="5" s="1"/>
  <c r="A1122" i="5" s="1"/>
  <c r="A1123" i="5" s="1"/>
  <c r="A1124" i="5" s="1"/>
  <c r="A1125" i="5" s="1"/>
  <c r="A1126" i="5" s="1"/>
  <c r="A1127" i="5" s="1"/>
  <c r="A1128" i="5" s="1"/>
  <c r="A1129" i="5" s="1"/>
  <c r="A1130" i="5" s="1"/>
  <c r="A1131" i="5" s="1"/>
  <c r="A1132" i="5" s="1"/>
  <c r="A1133" i="5" s="1"/>
  <c r="A1134" i="5" s="1"/>
  <c r="A1135" i="5" s="1"/>
  <c r="A1136" i="5" s="1"/>
  <c r="A1137" i="5" s="1"/>
  <c r="A1138" i="5" s="1"/>
  <c r="A1139" i="5" s="1"/>
  <c r="A1140" i="5" s="1"/>
  <c r="A1141" i="5" s="1"/>
  <c r="A1142" i="5" s="1"/>
  <c r="A1143" i="5" s="1"/>
  <c r="A1144" i="5" s="1"/>
  <c r="A1145" i="5" s="1"/>
  <c r="A1146" i="5" s="1"/>
  <c r="A1147" i="5" s="1"/>
  <c r="A1148" i="5" s="1"/>
  <c r="A1149" i="5" s="1"/>
  <c r="A1150" i="5" s="1"/>
  <c r="A1151" i="5" s="1"/>
  <c r="A1152" i="5" s="1"/>
  <c r="A1153" i="5" s="1"/>
  <c r="A1154" i="5" s="1"/>
  <c r="A1155" i="5" s="1"/>
  <c r="A1156" i="5" s="1"/>
  <c r="A1157" i="5" s="1"/>
  <c r="A1158" i="5" s="1"/>
  <c r="A1159" i="5" s="1"/>
  <c r="A1160" i="5" s="1"/>
  <c r="A1161" i="5" s="1"/>
  <c r="A1162" i="5" s="1"/>
  <c r="A1163" i="5" s="1"/>
  <c r="A1164" i="5" s="1"/>
  <c r="A1165" i="5" s="1"/>
  <c r="A1166" i="5" s="1"/>
  <c r="A1167" i="5" s="1"/>
  <c r="A1168" i="5" s="1"/>
  <c r="A1169" i="5" s="1"/>
  <c r="A1170" i="5" s="1"/>
  <c r="A1171" i="5" s="1"/>
  <c r="A1172" i="5" s="1"/>
  <c r="A1173" i="5" s="1"/>
  <c r="A1174" i="5" s="1"/>
  <c r="A1175" i="5" s="1"/>
  <c r="A1176" i="5" s="1"/>
  <c r="A1177" i="5" s="1"/>
  <c r="A1178" i="5" s="1"/>
  <c r="A1179" i="5" s="1"/>
  <c r="A1180" i="5" s="1"/>
  <c r="A1181" i="5" s="1"/>
  <c r="A1182" i="5" s="1"/>
  <c r="A1183" i="5" s="1"/>
  <c r="A1184" i="5" s="1"/>
  <c r="A1185" i="5" s="1"/>
  <c r="A1186" i="5" s="1"/>
  <c r="A1187" i="5" s="1"/>
  <c r="A1188" i="5" s="1"/>
  <c r="A1189" i="5" s="1"/>
  <c r="A1190" i="5" s="1"/>
  <c r="A1191" i="5" s="1"/>
  <c r="A1192" i="5" s="1"/>
  <c r="A1193" i="5" s="1"/>
  <c r="A1194" i="5" s="1"/>
  <c r="A1195" i="5" s="1"/>
  <c r="A1196" i="5" s="1"/>
  <c r="A1197" i="5" s="1"/>
  <c r="A1198" i="5" s="1"/>
  <c r="A1199" i="5" s="1"/>
  <c r="A1200" i="5" s="1"/>
  <c r="A1201" i="5" s="1"/>
  <c r="A1202" i="5" s="1"/>
  <c r="A1203" i="5" s="1"/>
  <c r="A1204" i="5" s="1"/>
  <c r="A1205" i="5" s="1"/>
  <c r="A1206" i="5" s="1"/>
  <c r="A1207" i="5" s="1"/>
  <c r="A1208" i="5" s="1"/>
  <c r="A1209" i="5" s="1"/>
  <c r="A1210" i="5" s="1"/>
  <c r="A1211" i="5" s="1"/>
  <c r="A1212" i="5" s="1"/>
  <c r="A1213" i="5" s="1"/>
  <c r="A1214" i="5" s="1"/>
  <c r="A1215" i="5" s="1"/>
  <c r="A1216" i="5" s="1"/>
  <c r="A1217" i="5" s="1"/>
  <c r="A1218" i="5" s="1"/>
  <c r="A1219" i="5" s="1"/>
  <c r="A1220" i="5" s="1"/>
  <c r="A1221" i="5" s="1"/>
  <c r="A1222" i="5" s="1"/>
  <c r="A1223" i="5" s="1"/>
  <c r="A1224" i="5" s="1"/>
  <c r="A1225" i="5" s="1"/>
  <c r="A1226" i="5" s="1"/>
  <c r="A1227" i="5" s="1"/>
  <c r="A1228" i="5" s="1"/>
  <c r="A1229" i="5" s="1"/>
  <c r="A1230" i="5" s="1"/>
  <c r="A1231" i="5" s="1"/>
  <c r="A1232" i="5" s="1"/>
  <c r="A1233" i="5" s="1"/>
  <c r="A1234" i="5" s="1"/>
  <c r="A1235" i="5" s="1"/>
  <c r="A1236" i="5" s="1"/>
  <c r="A1237" i="5" s="1"/>
  <c r="A1238" i="5" s="1"/>
  <c r="A1239" i="5" s="1"/>
  <c r="A1240" i="5" s="1"/>
  <c r="A1241" i="5" s="1"/>
  <c r="A1242" i="5" s="1"/>
  <c r="A1243" i="5" s="1"/>
  <c r="A1244" i="5" s="1"/>
  <c r="A1245" i="5" s="1"/>
  <c r="A1246" i="5" s="1"/>
  <c r="A1247" i="5" s="1"/>
  <c r="A1248" i="5" s="1"/>
  <c r="A1249" i="5" s="1"/>
  <c r="A1250" i="5" s="1"/>
  <c r="A1251" i="5" s="1"/>
  <c r="A1252" i="5" s="1"/>
  <c r="A1253" i="5" s="1"/>
  <c r="A1254" i="5" s="1"/>
  <c r="A1255" i="5" s="1"/>
  <c r="A1256" i="5" s="1"/>
  <c r="A1257" i="5" s="1"/>
  <c r="A1258" i="5" s="1"/>
  <c r="A1259" i="5" s="1"/>
  <c r="A1260" i="5" s="1"/>
  <c r="A1261" i="5" s="1"/>
  <c r="A1262" i="5" s="1"/>
  <c r="A1263" i="5" s="1"/>
  <c r="A1264" i="5" s="1"/>
  <c r="A1265" i="5" s="1"/>
  <c r="A1266" i="5" s="1"/>
  <c r="A1267" i="5" s="1"/>
  <c r="A1268" i="5" s="1"/>
  <c r="A1269" i="5" s="1"/>
  <c r="A1270" i="5" s="1"/>
  <c r="A1271" i="5" s="1"/>
  <c r="A1272" i="5" s="1"/>
  <c r="A1273" i="5" s="1"/>
  <c r="A1274" i="5" s="1"/>
  <c r="A1275" i="5" s="1"/>
  <c r="A1276" i="5" s="1"/>
  <c r="A1277" i="5" s="1"/>
  <c r="A1278" i="5" s="1"/>
  <c r="A1279" i="5" s="1"/>
  <c r="A1280" i="5" s="1"/>
  <c r="A1281" i="5" s="1"/>
  <c r="A1282" i="5" s="1"/>
  <c r="A1283" i="5" s="1"/>
  <c r="A1284" i="5" s="1"/>
  <c r="A1285" i="5" s="1"/>
  <c r="A1286" i="5" s="1"/>
  <c r="A1287" i="5" s="1"/>
  <c r="A1288" i="5" s="1"/>
  <c r="A1289" i="5" s="1"/>
  <c r="A1290" i="5" s="1"/>
  <c r="A1291" i="5" s="1"/>
  <c r="A1292" i="5" s="1"/>
  <c r="A1293" i="5" s="1"/>
  <c r="A1294" i="5" s="1"/>
  <c r="A1295" i="5" s="1"/>
  <c r="A1296" i="5" s="1"/>
  <c r="A1297" i="5" s="1"/>
  <c r="A1298" i="5" s="1"/>
  <c r="A1299" i="5" s="1"/>
  <c r="A1300" i="5" s="1"/>
  <c r="A1301" i="5" s="1"/>
  <c r="A1302" i="5" s="1"/>
  <c r="A1303" i="5" s="1"/>
  <c r="A1304" i="5" s="1"/>
  <c r="A1305" i="5" s="1"/>
  <c r="A1306" i="5" s="1"/>
  <c r="A1307" i="5" s="1"/>
  <c r="A1308" i="5" s="1"/>
  <c r="A1309" i="5" s="1"/>
  <c r="A1310" i="5" s="1"/>
  <c r="A1311" i="5" s="1"/>
  <c r="A1312" i="5" s="1"/>
  <c r="A1313" i="5" s="1"/>
  <c r="A1314" i="5" s="1"/>
  <c r="A1315" i="5" s="1"/>
  <c r="A1316" i="5" s="1"/>
  <c r="A1317" i="5" s="1"/>
  <c r="A1318" i="5" s="1"/>
  <c r="A1319" i="5" s="1"/>
  <c r="A1320" i="5" s="1"/>
  <c r="A1321" i="5" s="1"/>
  <c r="A1322" i="5" s="1"/>
  <c r="A1323" i="5" s="1"/>
  <c r="A1324" i="5" s="1"/>
  <c r="A1325" i="5" s="1"/>
  <c r="A1326" i="5" s="1"/>
  <c r="A1327" i="5" s="1"/>
  <c r="A1328" i="5" s="1"/>
  <c r="A1329" i="5" s="1"/>
  <c r="A1330" i="5" s="1"/>
  <c r="A1331" i="5" s="1"/>
  <c r="A1332" i="5" s="1"/>
  <c r="A1333" i="5" s="1"/>
  <c r="A1334" i="5" s="1"/>
  <c r="A1335" i="5" s="1"/>
  <c r="A1336" i="5" s="1"/>
  <c r="A1337" i="5" s="1"/>
  <c r="A1338" i="5" s="1"/>
  <c r="A1339" i="5" s="1"/>
  <c r="A1340" i="5" s="1"/>
  <c r="A1341" i="5" s="1"/>
  <c r="A1342" i="5" s="1"/>
  <c r="A1343" i="5" s="1"/>
  <c r="A1344" i="5" s="1"/>
  <c r="A1345" i="5" s="1"/>
  <c r="A1346" i="5" s="1"/>
  <c r="A1347" i="5" s="1"/>
  <c r="A1348" i="5" s="1"/>
  <c r="A1349" i="5" s="1"/>
  <c r="A1350" i="5" s="1"/>
  <c r="A1351" i="5" s="1"/>
  <c r="A1352" i="5" s="1"/>
  <c r="A1353" i="5" s="1"/>
  <c r="A1354" i="5" s="1"/>
  <c r="A1355" i="5" s="1"/>
  <c r="A1356" i="5" s="1"/>
  <c r="A1357" i="5" s="1"/>
  <c r="A1358" i="5" s="1"/>
  <c r="A1359" i="5" s="1"/>
  <c r="A1360" i="5" s="1"/>
  <c r="A1361" i="5" s="1"/>
  <c r="A1362" i="5" s="1"/>
  <c r="A1363" i="5" s="1"/>
  <c r="A1364" i="5" s="1"/>
  <c r="A1365" i="5" s="1"/>
  <c r="A1366" i="5" s="1"/>
  <c r="A1367" i="5" s="1"/>
  <c r="A1368" i="5" s="1"/>
  <c r="A1369" i="5" s="1"/>
  <c r="A1370" i="5" s="1"/>
  <c r="A1371" i="5" s="1"/>
  <c r="A1372" i="5" s="1"/>
  <c r="A1373" i="5" s="1"/>
  <c r="A1374" i="5" s="1"/>
  <c r="A1375" i="5" s="1"/>
  <c r="A1376" i="5" s="1"/>
  <c r="A1377" i="5" s="1"/>
  <c r="A1378" i="5" s="1"/>
  <c r="A1379" i="5" s="1"/>
  <c r="A1380" i="5" s="1"/>
  <c r="A1381" i="5" s="1"/>
  <c r="A1382" i="5" s="1"/>
  <c r="A1383" i="5" s="1"/>
  <c r="A1384" i="5" s="1"/>
  <c r="A1385" i="5" s="1"/>
  <c r="A1386" i="5" s="1"/>
  <c r="A1387" i="5" s="1"/>
  <c r="A1388" i="5" s="1"/>
  <c r="A1389" i="5" s="1"/>
  <c r="A1390" i="5" s="1"/>
  <c r="A1391" i="5" s="1"/>
  <c r="A1392" i="5" s="1"/>
  <c r="A1393" i="5" s="1"/>
  <c r="A1394" i="5" s="1"/>
  <c r="A1395" i="5" s="1"/>
  <c r="A1396" i="5" s="1"/>
  <c r="A1397" i="5" s="1"/>
  <c r="A1398" i="5" s="1"/>
  <c r="A1399" i="5" s="1"/>
  <c r="A1400" i="5" s="1"/>
  <c r="A1401" i="5" s="1"/>
  <c r="A1402" i="5" s="1"/>
  <c r="A1403" i="5" s="1"/>
  <c r="A1404" i="5" s="1"/>
  <c r="A1405" i="5" s="1"/>
  <c r="A1406" i="5" s="1"/>
  <c r="A1407" i="5" s="1"/>
  <c r="A1408" i="5" s="1"/>
  <c r="A1409" i="5" s="1"/>
  <c r="A1410" i="5" s="1"/>
  <c r="A1411" i="5" s="1"/>
  <c r="A1412" i="5" s="1"/>
  <c r="A1413" i="5" s="1"/>
  <c r="A1414" i="5" s="1"/>
  <c r="A1415" i="5" s="1"/>
  <c r="A1416" i="5" s="1"/>
  <c r="A1417" i="5" s="1"/>
  <c r="A1418" i="5" s="1"/>
  <c r="A1419" i="5" s="1"/>
  <c r="A1420" i="5" s="1"/>
  <c r="A1421" i="5" s="1"/>
  <c r="A1422" i="5" s="1"/>
  <c r="A1423" i="5" s="1"/>
  <c r="A1424" i="5" s="1"/>
  <c r="A1425" i="5" s="1"/>
  <c r="A1426" i="5" s="1"/>
  <c r="A1427" i="5" s="1"/>
  <c r="A1428" i="5" s="1"/>
  <c r="A1429" i="5" s="1"/>
  <c r="A1430" i="5" s="1"/>
  <c r="A1431" i="5" s="1"/>
  <c r="A1432" i="5" s="1"/>
  <c r="A1433" i="5" s="1"/>
  <c r="A1434" i="5" s="1"/>
  <c r="A1435" i="5" s="1"/>
  <c r="A1436" i="5" s="1"/>
  <c r="A1437" i="5" s="1"/>
  <c r="A1438" i="5" s="1"/>
  <c r="A1439" i="5" s="1"/>
  <c r="A1440" i="5" s="1"/>
  <c r="A1441" i="5" s="1"/>
  <c r="A1442" i="5" s="1"/>
  <c r="A1443" i="5" s="1"/>
  <c r="D1" i="4"/>
  <c r="A11" i="3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A1007" i="3" s="1"/>
  <c r="A1008" i="3" s="1"/>
  <c r="A1009" i="3" s="1"/>
  <c r="A1010" i="3" s="1"/>
  <c r="A1011" i="3" s="1"/>
  <c r="A1012" i="3" s="1"/>
  <c r="A1013" i="3" s="1"/>
  <c r="A1014" i="3" s="1"/>
  <c r="A1015" i="3" s="1"/>
  <c r="A1016" i="3" s="1"/>
  <c r="A1017" i="3" s="1"/>
  <c r="A1018" i="3" s="1"/>
  <c r="A1019" i="3" s="1"/>
  <c r="A1020" i="3" s="1"/>
  <c r="A1021" i="3" s="1"/>
  <c r="A1022" i="3" s="1"/>
  <c r="A1023" i="3" s="1"/>
  <c r="A1024" i="3" s="1"/>
  <c r="A1025" i="3" s="1"/>
  <c r="A1026" i="3" s="1"/>
  <c r="A1027" i="3" s="1"/>
  <c r="A1028" i="3" s="1"/>
  <c r="A1029" i="3" s="1"/>
  <c r="A1030" i="3" s="1"/>
  <c r="A1031" i="3" s="1"/>
  <c r="A1032" i="3" s="1"/>
  <c r="A1033" i="3" s="1"/>
  <c r="A1034" i="3" s="1"/>
  <c r="A1035" i="3" s="1"/>
  <c r="A1036" i="3" s="1"/>
  <c r="A1037" i="3" s="1"/>
  <c r="A1038" i="3" s="1"/>
  <c r="A1039" i="3" s="1"/>
  <c r="A1040" i="3" s="1"/>
  <c r="A1041" i="3" s="1"/>
  <c r="A1042" i="3" s="1"/>
  <c r="A1043" i="3" s="1"/>
  <c r="A1044" i="3" s="1"/>
  <c r="A1045" i="3" s="1"/>
  <c r="A1046" i="3" s="1"/>
  <c r="A1047" i="3" s="1"/>
  <c r="A1048" i="3" s="1"/>
  <c r="A1049" i="3" s="1"/>
  <c r="A1050" i="3" s="1"/>
  <c r="A1051" i="3" s="1"/>
  <c r="A1052" i="3" s="1"/>
  <c r="A1053" i="3" s="1"/>
  <c r="A1054" i="3" s="1"/>
  <c r="A1055" i="3" s="1"/>
  <c r="A1056" i="3" s="1"/>
  <c r="A1057" i="3" s="1"/>
  <c r="A1058" i="3" s="1"/>
  <c r="A1059" i="3" s="1"/>
  <c r="A1060" i="3" s="1"/>
  <c r="A1061" i="3" s="1"/>
  <c r="A1062" i="3" s="1"/>
  <c r="A1063" i="3" s="1"/>
  <c r="A1064" i="3" s="1"/>
  <c r="A1065" i="3" s="1"/>
  <c r="A1066" i="3" s="1"/>
  <c r="A1067" i="3" s="1"/>
  <c r="A1068" i="3" s="1"/>
  <c r="A1069" i="3" s="1"/>
  <c r="A1070" i="3" s="1"/>
  <c r="A1071" i="3" s="1"/>
  <c r="A1072" i="3" s="1"/>
  <c r="A1073" i="3" s="1"/>
  <c r="A1074" i="3" s="1"/>
  <c r="A1075" i="3" s="1"/>
  <c r="A1076" i="3" s="1"/>
  <c r="A1077" i="3" s="1"/>
  <c r="A1078" i="3" s="1"/>
  <c r="A1079" i="3" s="1"/>
  <c r="A1080" i="3" s="1"/>
  <c r="A1081" i="3" s="1"/>
  <c r="A1082" i="3" s="1"/>
  <c r="A1083" i="3" s="1"/>
  <c r="A1084" i="3" s="1"/>
  <c r="A1085" i="3" s="1"/>
  <c r="A1086" i="3" s="1"/>
  <c r="A1087" i="3" s="1"/>
  <c r="A1088" i="3" s="1"/>
  <c r="A1089" i="3" s="1"/>
  <c r="A1090" i="3" s="1"/>
  <c r="A1091" i="3" s="1"/>
  <c r="A1092" i="3" s="1"/>
  <c r="A1093" i="3" s="1"/>
  <c r="A1094" i="3" s="1"/>
  <c r="A1095" i="3" s="1"/>
  <c r="A1096" i="3" s="1"/>
  <c r="A1097" i="3" s="1"/>
  <c r="A1098" i="3" s="1"/>
  <c r="A1099" i="3" s="1"/>
  <c r="A1100" i="3" s="1"/>
  <c r="A1101" i="3" s="1"/>
  <c r="A1102" i="3" s="1"/>
  <c r="A1103" i="3" s="1"/>
  <c r="A1104" i="3" s="1"/>
  <c r="A1105" i="3" s="1"/>
  <c r="A1106" i="3" s="1"/>
  <c r="A1107" i="3" s="1"/>
  <c r="A1108" i="3" s="1"/>
  <c r="A1109" i="3" s="1"/>
  <c r="A1110" i="3" s="1"/>
  <c r="A1111" i="3" s="1"/>
  <c r="A1112" i="3" s="1"/>
  <c r="A1113" i="3" s="1"/>
  <c r="A1114" i="3" s="1"/>
  <c r="A1115" i="3" s="1"/>
  <c r="A1116" i="3" s="1"/>
  <c r="A1117" i="3" s="1"/>
  <c r="A1118" i="3" s="1"/>
  <c r="A1119" i="3" s="1"/>
  <c r="A1120" i="3" s="1"/>
  <c r="A1121" i="3" s="1"/>
  <c r="A1122" i="3" s="1"/>
  <c r="A1123" i="3" s="1"/>
  <c r="A1124" i="3" s="1"/>
  <c r="A1125" i="3" s="1"/>
  <c r="A1126" i="3" s="1"/>
  <c r="A1127" i="3" s="1"/>
  <c r="A1128" i="3" s="1"/>
  <c r="A1129" i="3" s="1"/>
  <c r="A1130" i="3" s="1"/>
  <c r="A1131" i="3" s="1"/>
  <c r="A1132" i="3" s="1"/>
  <c r="A1133" i="3" s="1"/>
  <c r="A1134" i="3" s="1"/>
  <c r="A1135" i="3" s="1"/>
  <c r="A1136" i="3" s="1"/>
  <c r="A1137" i="3" s="1"/>
  <c r="A1138" i="3" s="1"/>
  <c r="A1139" i="3" s="1"/>
  <c r="A1140" i="3" s="1"/>
  <c r="A1141" i="3" s="1"/>
  <c r="A1142" i="3" s="1"/>
  <c r="A1143" i="3" s="1"/>
  <c r="A1144" i="3" s="1"/>
  <c r="A1145" i="3" s="1"/>
  <c r="A1146" i="3" s="1"/>
  <c r="A1147" i="3" s="1"/>
  <c r="A1148" i="3" s="1"/>
  <c r="A1149" i="3" s="1"/>
  <c r="A1150" i="3" s="1"/>
  <c r="A1151" i="3" s="1"/>
  <c r="A1152" i="3" s="1"/>
  <c r="A1153" i="3" s="1"/>
  <c r="A1154" i="3" s="1"/>
  <c r="A1155" i="3" s="1"/>
  <c r="A1156" i="3" s="1"/>
  <c r="A1157" i="3" s="1"/>
  <c r="A1158" i="3" s="1"/>
  <c r="A1159" i="3" s="1"/>
  <c r="A1160" i="3" s="1"/>
  <c r="A1161" i="3" s="1"/>
  <c r="A1162" i="3" s="1"/>
  <c r="A1163" i="3" s="1"/>
  <c r="A1164" i="3" s="1"/>
  <c r="A1165" i="3" s="1"/>
  <c r="A1166" i="3" s="1"/>
  <c r="A1167" i="3" s="1"/>
  <c r="A1168" i="3" s="1"/>
  <c r="A1169" i="3" s="1"/>
  <c r="A1170" i="3" s="1"/>
  <c r="A1171" i="3" s="1"/>
  <c r="A1172" i="3" s="1"/>
  <c r="A1173" i="3" s="1"/>
  <c r="A1174" i="3" s="1"/>
  <c r="A1175" i="3" s="1"/>
  <c r="A1176" i="3" s="1"/>
  <c r="A1177" i="3" s="1"/>
  <c r="A1178" i="3" s="1"/>
  <c r="A1179" i="3" s="1"/>
  <c r="A1180" i="3" s="1"/>
  <c r="A1181" i="3" s="1"/>
  <c r="A1182" i="3" s="1"/>
  <c r="A1183" i="3" s="1"/>
  <c r="A1184" i="3" s="1"/>
  <c r="A1185" i="3" s="1"/>
  <c r="A1186" i="3" s="1"/>
  <c r="A1187" i="3" s="1"/>
  <c r="A1188" i="3" s="1"/>
  <c r="A1189" i="3" s="1"/>
  <c r="A1190" i="3" s="1"/>
  <c r="A1191" i="3" s="1"/>
  <c r="A1192" i="3" s="1"/>
  <c r="A1193" i="3" s="1"/>
  <c r="A1194" i="3" s="1"/>
  <c r="A1195" i="3" s="1"/>
  <c r="A1196" i="3" s="1"/>
  <c r="A1197" i="3" s="1"/>
  <c r="A1198" i="3" s="1"/>
  <c r="A1199" i="3" s="1"/>
  <c r="A1200" i="3" s="1"/>
  <c r="A1201" i="3" s="1"/>
  <c r="A1202" i="3" s="1"/>
  <c r="A1203" i="3" s="1"/>
  <c r="A1204" i="3" s="1"/>
  <c r="A1205" i="3" s="1"/>
  <c r="A1206" i="3" s="1"/>
  <c r="A1207" i="3" s="1"/>
  <c r="A1208" i="3" s="1"/>
  <c r="A1209" i="3" s="1"/>
  <c r="A1210" i="3" s="1"/>
  <c r="A1211" i="3" s="1"/>
  <c r="A1212" i="3" s="1"/>
  <c r="A1213" i="3" s="1"/>
  <c r="A1214" i="3" s="1"/>
  <c r="A1215" i="3" s="1"/>
  <c r="A1216" i="3" s="1"/>
  <c r="A1217" i="3" s="1"/>
  <c r="A1218" i="3" s="1"/>
  <c r="A1219" i="3" s="1"/>
  <c r="A1220" i="3" s="1"/>
  <c r="A1221" i="3" s="1"/>
  <c r="A1222" i="3" s="1"/>
  <c r="A1223" i="3" s="1"/>
  <c r="A1224" i="3" s="1"/>
  <c r="A1225" i="3" s="1"/>
  <c r="A1226" i="3" s="1"/>
  <c r="A1227" i="3" s="1"/>
  <c r="A1228" i="3" s="1"/>
  <c r="A1229" i="3" s="1"/>
  <c r="A1230" i="3" s="1"/>
  <c r="A1231" i="3" s="1"/>
  <c r="A1232" i="3" s="1"/>
  <c r="A1233" i="3" s="1"/>
  <c r="A1234" i="3" s="1"/>
  <c r="A1235" i="3" s="1"/>
  <c r="A1236" i="3" s="1"/>
  <c r="A1237" i="3" s="1"/>
  <c r="A1238" i="3" s="1"/>
  <c r="A1239" i="3" s="1"/>
  <c r="A1240" i="3" s="1"/>
  <c r="A1241" i="3" s="1"/>
  <c r="A1242" i="3" s="1"/>
  <c r="A1243" i="3" s="1"/>
  <c r="A1244" i="3" s="1"/>
  <c r="A1245" i="3" s="1"/>
  <c r="A1246" i="3" s="1"/>
  <c r="A1247" i="3" s="1"/>
  <c r="A1248" i="3" s="1"/>
  <c r="A1249" i="3" s="1"/>
  <c r="A1250" i="3" s="1"/>
  <c r="A1251" i="3" s="1"/>
  <c r="A1252" i="3" s="1"/>
  <c r="A1253" i="3" s="1"/>
  <c r="A1254" i="3" s="1"/>
  <c r="A1255" i="3" s="1"/>
  <c r="A1256" i="3" s="1"/>
  <c r="A1257" i="3" s="1"/>
  <c r="A1258" i="3" s="1"/>
  <c r="A1259" i="3" s="1"/>
  <c r="A1260" i="3" s="1"/>
  <c r="A1261" i="3" s="1"/>
  <c r="A1262" i="3" s="1"/>
  <c r="A1263" i="3" s="1"/>
  <c r="A1264" i="3" s="1"/>
  <c r="A1265" i="3" s="1"/>
  <c r="A1266" i="3" s="1"/>
  <c r="A1267" i="3" s="1"/>
  <c r="A1268" i="3" s="1"/>
  <c r="A1269" i="3" s="1"/>
  <c r="A1270" i="3" s="1"/>
  <c r="A1271" i="3" s="1"/>
  <c r="A1272" i="3" s="1"/>
  <c r="A1273" i="3" s="1"/>
  <c r="A1274" i="3" s="1"/>
  <c r="A1275" i="3" s="1"/>
  <c r="A1276" i="3" s="1"/>
  <c r="A1277" i="3" s="1"/>
  <c r="A1278" i="3" s="1"/>
  <c r="A1279" i="3" s="1"/>
  <c r="A1280" i="3" s="1"/>
  <c r="A1281" i="3" s="1"/>
  <c r="A1282" i="3" s="1"/>
  <c r="A1283" i="3" s="1"/>
  <c r="A1284" i="3" s="1"/>
  <c r="A1285" i="3" s="1"/>
  <c r="A1286" i="3" s="1"/>
  <c r="A1287" i="3" s="1"/>
  <c r="A1288" i="3" s="1"/>
  <c r="A1289" i="3" s="1"/>
  <c r="A1290" i="3" s="1"/>
  <c r="A1291" i="3" s="1"/>
  <c r="A1292" i="3" s="1"/>
  <c r="A1293" i="3" s="1"/>
  <c r="A1294" i="3" s="1"/>
  <c r="A1295" i="3" s="1"/>
  <c r="A1296" i="3" s="1"/>
  <c r="A1297" i="3" s="1"/>
  <c r="A1298" i="3" s="1"/>
  <c r="A1299" i="3" s="1"/>
  <c r="A1300" i="3" s="1"/>
  <c r="A1301" i="3" s="1"/>
  <c r="A1302" i="3" s="1"/>
  <c r="A1303" i="3" s="1"/>
  <c r="A1304" i="3" s="1"/>
  <c r="A1305" i="3" s="1"/>
  <c r="A1306" i="3" s="1"/>
  <c r="A1307" i="3" s="1"/>
  <c r="A1308" i="3" s="1"/>
  <c r="A1309" i="3" s="1"/>
  <c r="A1310" i="3" s="1"/>
  <c r="A1311" i="3" s="1"/>
  <c r="A1312" i="3" s="1"/>
  <c r="A1313" i="3" s="1"/>
  <c r="A1314" i="3" s="1"/>
  <c r="A1315" i="3" s="1"/>
  <c r="A1316" i="3" s="1"/>
  <c r="A1317" i="3" s="1"/>
  <c r="A1318" i="3" s="1"/>
  <c r="A1319" i="3" s="1"/>
  <c r="A1320" i="3" s="1"/>
  <c r="A1321" i="3" s="1"/>
  <c r="A1322" i="3" s="1"/>
  <c r="A1323" i="3" s="1"/>
  <c r="A1324" i="3" s="1"/>
  <c r="A1325" i="3" s="1"/>
  <c r="A1326" i="3" s="1"/>
  <c r="A1327" i="3" s="1"/>
  <c r="A1328" i="3" s="1"/>
  <c r="A1329" i="3" s="1"/>
  <c r="A1330" i="3" s="1"/>
  <c r="A1331" i="3" s="1"/>
  <c r="A1332" i="3" s="1"/>
  <c r="A1333" i="3" s="1"/>
  <c r="A1334" i="3" s="1"/>
  <c r="A1335" i="3" s="1"/>
  <c r="A1336" i="3" s="1"/>
  <c r="A1337" i="3" s="1"/>
  <c r="A1338" i="3" s="1"/>
  <c r="A1339" i="3" s="1"/>
  <c r="A1340" i="3" s="1"/>
  <c r="A1341" i="3" s="1"/>
  <c r="A1342" i="3" s="1"/>
  <c r="A1343" i="3" s="1"/>
  <c r="A1344" i="3" s="1"/>
  <c r="A1345" i="3" s="1"/>
  <c r="A1346" i="3" s="1"/>
  <c r="A1347" i="3" s="1"/>
  <c r="A1348" i="3" s="1"/>
  <c r="A1349" i="3" s="1"/>
  <c r="A1350" i="3" s="1"/>
  <c r="A1351" i="3" s="1"/>
  <c r="A1352" i="3" s="1"/>
  <c r="A1353" i="3" s="1"/>
  <c r="A1354" i="3" s="1"/>
  <c r="A1355" i="3" s="1"/>
  <c r="A1356" i="3" s="1"/>
  <c r="A1357" i="3" s="1"/>
  <c r="A1358" i="3" s="1"/>
  <c r="A1359" i="3" s="1"/>
  <c r="A1360" i="3" s="1"/>
  <c r="A1361" i="3" s="1"/>
  <c r="A1362" i="3" s="1"/>
  <c r="A1363" i="3" s="1"/>
  <c r="A1364" i="3" s="1"/>
  <c r="D1" i="3"/>
  <c r="A11" i="2"/>
  <c r="D1" i="2"/>
  <c r="D1" i="1"/>
  <c r="A11" i="1"/>
  <c r="E4" i="4"/>
  <c r="C4" i="4"/>
  <c r="B4" i="4"/>
  <c r="C3" i="5" a="1"/>
  <c r="C8" i="5" a="1"/>
  <c r="C4" i="5" a="1"/>
  <c r="C5" i="5" a="1"/>
  <c r="C17" i="5" a="1"/>
  <c r="C28" i="5" a="1"/>
  <c r="C34" i="5" a="1"/>
  <c r="C45" i="5" a="1"/>
  <c r="C56" i="5" a="1"/>
  <c r="C67" i="5" a="1"/>
  <c r="C78" i="5" a="1"/>
  <c r="C84" i="5" a="1"/>
  <c r="C95" i="5" a="1"/>
  <c r="C106" i="5" a="1"/>
  <c r="C117" i="5" a="1"/>
  <c r="C128" i="5" a="1"/>
  <c r="C134" i="5" a="1"/>
  <c r="C145" i="5" a="1"/>
  <c r="C156" i="5" a="1"/>
  <c r="C167" i="5" a="1"/>
  <c r="C178" i="5" a="1"/>
  <c r="C184" i="5" a="1"/>
  <c r="C195" i="5" a="1"/>
  <c r="C206" i="5" a="1"/>
  <c r="C217" i="5" a="1"/>
  <c r="C228" i="5" a="1"/>
  <c r="C234" i="5" a="1"/>
  <c r="C245" i="5" a="1"/>
  <c r="C256" i="5" a="1"/>
  <c r="C267" i="5" a="1"/>
  <c r="C278" i="5" a="1"/>
  <c r="C284" i="5" a="1"/>
  <c r="C295" i="5" a="1"/>
  <c r="C306" i="5" a="1"/>
  <c r="C317" i="5" a="1"/>
  <c r="C328" i="5" a="1"/>
  <c r="C334" i="5" a="1"/>
  <c r="C345" i="5" a="1"/>
  <c r="C356" i="5" a="1"/>
  <c r="C367" i="5" a="1"/>
  <c r="C378" i="5" a="1"/>
  <c r="C6" i="5" a="1"/>
  <c r="C12" i="5" a="1"/>
  <c r="C23" i="5" a="1"/>
  <c r="C29" i="5" a="1"/>
  <c r="C40" i="5" a="1"/>
  <c r="C51" i="5" a="1"/>
  <c r="C62" i="5" a="1"/>
  <c r="C73" i="5" a="1"/>
  <c r="C79" i="5" a="1"/>
  <c r="C90" i="5" a="1"/>
  <c r="C101" i="5" a="1"/>
  <c r="C112" i="5" a="1"/>
  <c r="C123" i="5" a="1"/>
  <c r="C129" i="5" a="1"/>
  <c r="C140" i="5" a="1"/>
  <c r="C151" i="5" a="1"/>
  <c r="C162" i="5" a="1"/>
  <c r="C173" i="5" a="1"/>
  <c r="C179" i="5" a="1"/>
  <c r="C190" i="5" a="1"/>
  <c r="C201" i="5" a="1"/>
  <c r="C212" i="5" a="1"/>
  <c r="C223" i="5" a="1"/>
  <c r="C229" i="5" a="1"/>
  <c r="C240" i="5" a="1"/>
  <c r="C251" i="5" a="1"/>
  <c r="C262" i="5" a="1"/>
  <c r="C273" i="5" a="1"/>
  <c r="C279" i="5" a="1"/>
  <c r="C290" i="5" a="1"/>
  <c r="C301" i="5" a="1"/>
  <c r="C312" i="5" a="1"/>
  <c r="C323" i="5" a="1"/>
  <c r="C329" i="5" a="1"/>
  <c r="C340" i="5" a="1"/>
  <c r="C351" i="5" a="1"/>
  <c r="C362" i="5" a="1"/>
  <c r="C373" i="5" a="1"/>
  <c r="C379" i="5" a="1"/>
  <c r="C390" i="5" a="1"/>
  <c r="C401" i="5" a="1"/>
  <c r="C412" i="5" a="1"/>
  <c r="C423" i="5" a="1"/>
  <c r="C18" i="5" a="1"/>
  <c r="C24" i="5" a="1"/>
  <c r="C35" i="5" a="1"/>
  <c r="C46" i="5" a="1"/>
  <c r="C57" i="5" a="1"/>
  <c r="C68" i="5" a="1"/>
  <c r="C74" i="5" a="1"/>
  <c r="C85" i="5" a="1"/>
  <c r="C96" i="5" a="1"/>
  <c r="C107" i="5" a="1"/>
  <c r="C118" i="5" a="1"/>
  <c r="C124" i="5" a="1"/>
  <c r="C135" i="5" a="1"/>
  <c r="C146" i="5" a="1"/>
  <c r="C7" i="5" a="1"/>
  <c r="C14" i="5" a="1"/>
  <c r="C25" i="5" a="1"/>
  <c r="C36" i="5" a="1"/>
  <c r="C47" i="5" a="1"/>
  <c r="C58" i="5" a="1"/>
  <c r="C64" i="5" a="1"/>
  <c r="C75" i="5" a="1"/>
  <c r="C86" i="5" a="1"/>
  <c r="C97" i="5" a="1"/>
  <c r="C108" i="5" a="1"/>
  <c r="C114" i="5" a="1"/>
  <c r="C125" i="5" a="1"/>
  <c r="C136" i="5" a="1"/>
  <c r="C147" i="5" a="1"/>
  <c r="C158" i="5" a="1"/>
  <c r="C164" i="5" a="1"/>
  <c r="C175" i="5" a="1"/>
  <c r="C186" i="5" a="1"/>
  <c r="C197" i="5" a="1"/>
  <c r="C208" i="5" a="1"/>
  <c r="C214" i="5" a="1"/>
  <c r="C225" i="5" a="1"/>
  <c r="C236" i="5" a="1"/>
  <c r="C247" i="5" a="1"/>
  <c r="C258" i="5" a="1"/>
  <c r="C264" i="5" a="1"/>
  <c r="C275" i="5" a="1"/>
  <c r="C286" i="5" a="1"/>
  <c r="C297" i="5" a="1"/>
  <c r="C308" i="5" a="1"/>
  <c r="C9" i="5" a="1"/>
  <c r="C20" i="5" a="1"/>
  <c r="C31" i="5" a="1"/>
  <c r="C42" i="5" a="1"/>
  <c r="C53" i="5" a="1"/>
  <c r="C15" i="5" a="1"/>
  <c r="C26" i="5" a="1"/>
  <c r="C37" i="5" a="1"/>
  <c r="C48" i="5" a="1"/>
  <c r="C54" i="5" a="1"/>
  <c r="C65" i="5" a="1"/>
  <c r="C76" i="5" a="1"/>
  <c r="C87" i="5" a="1"/>
  <c r="C10" i="5" a="1"/>
  <c r="C21" i="5" a="1"/>
  <c r="C32" i="5" a="1"/>
  <c r="C43" i="5" a="1"/>
  <c r="C49" i="5" a="1"/>
  <c r="C16" i="5" a="1"/>
  <c r="C27" i="5" a="1"/>
  <c r="C38" i="5" a="1"/>
  <c r="C44" i="5" a="1"/>
  <c r="C55" i="5" a="1"/>
  <c r="C66" i="5" a="1"/>
  <c r="C11" i="5" a="1"/>
  <c r="C22" i="5" a="1"/>
  <c r="C33" i="5" a="1"/>
  <c r="C39" i="5" a="1"/>
  <c r="C50" i="5" a="1"/>
  <c r="C61" i="5" a="1"/>
  <c r="C72" i="5" a="1"/>
  <c r="C83" i="5" a="1"/>
  <c r="C89" i="5" a="1"/>
  <c r="C100" i="5" a="1"/>
  <c r="C111" i="5" a="1"/>
  <c r="C122" i="5" a="1"/>
  <c r="C133" i="5" a="1"/>
  <c r="C139" i="5" a="1"/>
  <c r="C150" i="5" a="1"/>
  <c r="C161" i="5" a="1"/>
  <c r="C172" i="5" a="1"/>
  <c r="C183" i="5" a="1"/>
  <c r="C189" i="5" a="1"/>
  <c r="C200" i="5" a="1"/>
  <c r="C13" i="5" a="1"/>
  <c r="C59" i="5" a="1"/>
  <c r="C88" i="5" a="1"/>
  <c r="C144" i="5" a="1"/>
  <c r="C174" i="5" a="1"/>
  <c r="C182" i="5" a="1"/>
  <c r="C192" i="5" a="1"/>
  <c r="C241" i="5" a="1"/>
  <c r="C249" i="5" a="1"/>
  <c r="C257" i="5" a="1"/>
  <c r="C265" i="5" a="1"/>
  <c r="C272" i="5" a="1"/>
  <c r="C281" i="5" a="1"/>
  <c r="C288" i="5" a="1"/>
  <c r="C326" i="5" a="1"/>
  <c r="C347" i="5" a="1"/>
  <c r="C354" i="5" a="1"/>
  <c r="C368" i="5" a="1"/>
  <c r="C375" i="5" a="1"/>
  <c r="C394" i="5" a="1"/>
  <c r="C400" i="5" a="1"/>
  <c r="C406" i="5" a="1"/>
  <c r="C419" i="5" a="1"/>
  <c r="C425" i="5" a="1"/>
  <c r="C436" i="5" a="1"/>
  <c r="C447" i="5" a="1"/>
  <c r="C458" i="5" a="1"/>
  <c r="C19" i="5" a="1"/>
  <c r="C60" i="5" a="1"/>
  <c r="C91" i="5" a="1"/>
  <c r="C102" i="5" a="1"/>
  <c r="C113" i="5" a="1"/>
  <c r="C155" i="5" a="1"/>
  <c r="C165" i="5" a="1"/>
  <c r="C202" i="5" a="1"/>
  <c r="C210" i="5" a="1"/>
  <c r="C218" i="5" a="1"/>
  <c r="C226" i="5" a="1"/>
  <c r="C233" i="5" a="1"/>
  <c r="C242" i="5" a="1"/>
  <c r="C274" i="5" a="1"/>
  <c r="C289" i="5" a="1"/>
  <c r="C305" i="5" a="1"/>
  <c r="C313" i="5" a="1"/>
  <c r="C320" i="5" a="1"/>
  <c r="C333" i="5" a="1"/>
  <c r="C341" i="5" a="1"/>
  <c r="C361" i="5" a="1"/>
  <c r="C369" i="5" a="1"/>
  <c r="C382" i="5" a="1"/>
  <c r="C388" i="5" a="1"/>
  <c r="C407" i="5" a="1"/>
  <c r="C413" i="5" a="1"/>
  <c r="C431" i="5" a="1"/>
  <c r="C442" i="5" a="1"/>
  <c r="C453" i="5" a="1"/>
  <c r="C459" i="5" a="1"/>
  <c r="C470" i="5" a="1"/>
  <c r="C481" i="5" a="1"/>
  <c r="C492" i="5" a="1"/>
  <c r="C503" i="5" a="1"/>
  <c r="C509" i="5" a="1"/>
  <c r="C520" i="5" a="1"/>
  <c r="C531" i="5" a="1"/>
  <c r="C542" i="5" a="1"/>
  <c r="C553" i="5" a="1"/>
  <c r="C559" i="5" a="1"/>
  <c r="C570" i="5" a="1"/>
  <c r="C581" i="5" a="1"/>
  <c r="C592" i="5" a="1"/>
  <c r="C63" i="5" a="1"/>
  <c r="C77" i="5" a="1"/>
  <c r="C92" i="5" a="1"/>
  <c r="C103" i="5" a="1"/>
  <c r="C157" i="5" a="1"/>
  <c r="C185" i="5" a="1"/>
  <c r="C193" i="5" a="1"/>
  <c r="C203" i="5" a="1"/>
  <c r="C219" i="5" a="1"/>
  <c r="C235" i="5" a="1"/>
  <c r="C250" i="5" a="1"/>
  <c r="C259" i="5" a="1"/>
  <c r="C266" i="5" a="1"/>
  <c r="C282" i="5" a="1"/>
  <c r="C298" i="5" a="1"/>
  <c r="C314" i="5" a="1"/>
  <c r="C327" i="5" a="1"/>
  <c r="C335" i="5" a="1"/>
  <c r="C348" i="5" a="1"/>
  <c r="C355" i="5" a="1"/>
  <c r="C376" i="5" a="1"/>
  <c r="C389" i="5" a="1"/>
  <c r="C395" i="5" a="1"/>
  <c r="C414" i="5" a="1"/>
  <c r="C420" i="5" a="1"/>
  <c r="C426" i="5" a="1"/>
  <c r="C437" i="5" a="1"/>
  <c r="C448" i="5" a="1"/>
  <c r="C454" i="5" a="1"/>
  <c r="C465" i="5" a="1"/>
  <c r="C476" i="5" a="1"/>
  <c r="C30" i="5" a="1"/>
  <c r="C80" i="5" a="1"/>
  <c r="C104" i="5" a="1"/>
  <c r="C115" i="5" a="1"/>
  <c r="C126" i="5" a="1"/>
  <c r="C137" i="5" a="1"/>
  <c r="C148" i="5" a="1"/>
  <c r="C166" i="5" a="1"/>
  <c r="C176" i="5" a="1"/>
  <c r="C194" i="5" a="1"/>
  <c r="C204" i="5" a="1"/>
  <c r="C211" i="5" a="1"/>
  <c r="C220" i="5" a="1"/>
  <c r="C227" i="5" a="1"/>
  <c r="C243" i="5" a="1"/>
  <c r="C291" i="5" a="1"/>
  <c r="C299" i="5" a="1"/>
  <c r="C307" i="5" a="1"/>
  <c r="C321" i="5" a="1"/>
  <c r="C342" i="5" a="1"/>
  <c r="C349" i="5" a="1"/>
  <c r="C363" i="5" a="1"/>
  <c r="C370" i="5" a="1"/>
  <c r="C383" i="5" a="1"/>
  <c r="C396" i="5" a="1"/>
  <c r="C402" i="5" a="1"/>
  <c r="C408" i="5" a="1"/>
  <c r="C432" i="5" a="1"/>
  <c r="C443" i="5" a="1"/>
  <c r="C449" i="5" a="1"/>
  <c r="C460" i="5" a="1"/>
  <c r="C471" i="5" a="1"/>
  <c r="C482" i="5" a="1"/>
  <c r="C493" i="5" a="1"/>
  <c r="C499" i="5" a="1"/>
  <c r="C510" i="5" a="1"/>
  <c r="C521" i="5" a="1"/>
  <c r="C532" i="5" a="1"/>
  <c r="C543" i="5" a="1"/>
  <c r="C549" i="5" a="1"/>
  <c r="C560" i="5" a="1"/>
  <c r="C571" i="5" a="1"/>
  <c r="C582" i="5" a="1"/>
  <c r="C593" i="5" a="1"/>
  <c r="C599" i="5" a="1"/>
  <c r="C610" i="5" a="1"/>
  <c r="C621" i="5" a="1"/>
  <c r="C632" i="5" a="1"/>
  <c r="C643" i="5" a="1"/>
  <c r="C649" i="5" a="1"/>
  <c r="C660" i="5" a="1"/>
  <c r="C671" i="5" a="1"/>
  <c r="C682" i="5" a="1"/>
  <c r="C693" i="5" a="1"/>
  <c r="C699" i="5" a="1"/>
  <c r="C710" i="5" a="1"/>
  <c r="C721" i="5" a="1"/>
  <c r="C732" i="5" a="1"/>
  <c r="C81" i="5" a="1"/>
  <c r="C93" i="5" a="1"/>
  <c r="C149" i="5" a="1"/>
  <c r="C159" i="5" a="1"/>
  <c r="C168" i="5" a="1"/>
  <c r="C196" i="5" a="1"/>
  <c r="C244" i="5" a="1"/>
  <c r="C252" i="5" a="1"/>
  <c r="C260" i="5" a="1"/>
  <c r="C268" i="5" a="1"/>
  <c r="C276" i="5" a="1"/>
  <c r="C283" i="5" a="1"/>
  <c r="C292" i="5" a="1"/>
  <c r="C315" i="5" a="1"/>
  <c r="C336" i="5" a="1"/>
  <c r="C357" i="5" a="1"/>
  <c r="C364" i="5" a="1"/>
  <c r="C377" i="5" a="1"/>
  <c r="C384" i="5" a="1"/>
  <c r="C409" i="5" a="1"/>
  <c r="C41" i="5" a="1"/>
  <c r="C69" i="5" a="1"/>
  <c r="C82" i="5" a="1"/>
  <c r="C94" i="5" a="1"/>
  <c r="C105" i="5" a="1"/>
  <c r="C116" i="5" a="1"/>
  <c r="C127" i="5" a="1"/>
  <c r="C138" i="5" a="1"/>
  <c r="C169" i="5" a="1"/>
  <c r="C177" i="5" a="1"/>
  <c r="C70" i="5" a="1"/>
  <c r="C119" i="5" a="1"/>
  <c r="C130" i="5" a="1"/>
  <c r="C141" i="5" a="1"/>
  <c r="C160" i="5" a="1"/>
  <c r="C170" i="5" a="1"/>
  <c r="C230" i="5" a="1"/>
  <c r="C246" i="5" a="1"/>
  <c r="C254" i="5" a="1"/>
  <c r="C261" i="5" a="1"/>
  <c r="C270" i="5" a="1"/>
  <c r="C277" i="5" a="1"/>
  <c r="C293" i="5" a="1"/>
  <c r="C316" i="5" a="1"/>
  <c r="C324" i="5" a="1"/>
  <c r="C337" i="5" a="1"/>
  <c r="C344" i="5" a="1"/>
  <c r="C358" i="5" a="1"/>
  <c r="C365" i="5" a="1"/>
  <c r="C404" i="5" a="1"/>
  <c r="C410" i="5" a="1"/>
  <c r="C416" i="5" a="1"/>
  <c r="C422" i="5" a="1"/>
  <c r="C428" i="5" a="1"/>
  <c r="C434" i="5" a="1"/>
  <c r="C445" i="5" a="1"/>
  <c r="C456" i="5" a="1"/>
  <c r="C467" i="5" a="1"/>
  <c r="C478" i="5" a="1"/>
  <c r="C484" i="5" a="1"/>
  <c r="C495" i="5" a="1"/>
  <c r="C506" i="5" a="1"/>
  <c r="C517" i="5" a="1"/>
  <c r="C528" i="5" a="1"/>
  <c r="C534" i="5" a="1"/>
  <c r="C545" i="5" a="1"/>
  <c r="C556" i="5" a="1"/>
  <c r="C567" i="5" a="1"/>
  <c r="C578" i="5" a="1"/>
  <c r="C584" i="5" a="1"/>
  <c r="C595" i="5" a="1"/>
  <c r="C606" i="5" a="1"/>
  <c r="C617" i="5" a="1"/>
  <c r="C628" i="5" a="1"/>
  <c r="C634" i="5" a="1"/>
  <c r="C645" i="5" a="1"/>
  <c r="C656" i="5" a="1"/>
  <c r="C667" i="5" a="1"/>
  <c r="C678" i="5" a="1"/>
  <c r="C684" i="5" a="1"/>
  <c r="C695" i="5" a="1"/>
  <c r="C706" i="5" a="1"/>
  <c r="C717" i="5" a="1"/>
  <c r="C728" i="5" a="1"/>
  <c r="C734" i="5" a="1"/>
  <c r="C745" i="5" a="1"/>
  <c r="C52" i="5" a="1"/>
  <c r="C71" i="5" a="1"/>
  <c r="C109" i="5" a="1"/>
  <c r="C120" i="5" a="1"/>
  <c r="C131" i="5" a="1"/>
  <c r="C142" i="5" a="1"/>
  <c r="C152" i="5" a="1"/>
  <c r="C180" i="5" a="1"/>
  <c r="C188" i="5" a="1"/>
  <c r="C198" i="5" a="1"/>
  <c r="C207" i="5" a="1"/>
  <c r="C215" i="5" a="1"/>
  <c r="C222" i="5" a="1"/>
  <c r="C231" i="5" a="1"/>
  <c r="C238" i="5" a="1"/>
  <c r="C294" i="5" a="1"/>
  <c r="C302" i="5" a="1"/>
  <c r="C310" i="5" a="1"/>
  <c r="C331" i="5" a="1"/>
  <c r="C352" i="5" a="1"/>
  <c r="C359" i="5" a="1"/>
  <c r="C372" i="5" a="1"/>
  <c r="C380" i="5" a="1"/>
  <c r="C386" i="5" a="1"/>
  <c r="C392" i="5" a="1"/>
  <c r="C398" i="5" a="1"/>
  <c r="C429" i="5" a="1"/>
  <c r="C440" i="5" a="1"/>
  <c r="C451" i="5" a="1"/>
  <c r="C462" i="5" a="1"/>
  <c r="C473" i="5" a="1"/>
  <c r="C98" i="5" a="1"/>
  <c r="C153" i="5" a="1"/>
  <c r="C171" i="5" a="1"/>
  <c r="C181" i="5" a="1"/>
  <c r="C199" i="5" a="1"/>
  <c r="C224" i="5" a="1"/>
  <c r="C239" i="5" a="1"/>
  <c r="C255" i="5" a="1"/>
  <c r="C263" i="5" a="1"/>
  <c r="C271" i="5" a="1"/>
  <c r="C287" i="5" a="1"/>
  <c r="C303" i="5" a="1"/>
  <c r="C318" i="5" a="1"/>
  <c r="C325" i="5" a="1"/>
  <c r="C338" i="5" a="1"/>
  <c r="C346" i="5" a="1"/>
  <c r="C366" i="5" a="1"/>
  <c r="C374" i="5" a="1"/>
  <c r="C399" i="5" a="1"/>
  <c r="C405" i="5" a="1"/>
  <c r="C411" i="5" a="1"/>
  <c r="C417" i="5" a="1"/>
  <c r="C424" i="5" a="1"/>
  <c r="C435" i="5" a="1"/>
  <c r="C446" i="5" a="1"/>
  <c r="C457" i="5" a="1"/>
  <c r="C468" i="5" a="1"/>
  <c r="C474" i="5" a="1"/>
  <c r="C485" i="5" a="1"/>
  <c r="C496" i="5" a="1"/>
  <c r="C507" i="5" a="1"/>
  <c r="C518" i="5" a="1"/>
  <c r="C524" i="5" a="1"/>
  <c r="C535" i="5" a="1"/>
  <c r="C546" i="5" a="1"/>
  <c r="C557" i="5" a="1"/>
  <c r="C568" i="5" a="1"/>
  <c r="C574" i="5" a="1"/>
  <c r="C585" i="5" a="1"/>
  <c r="C596" i="5" a="1"/>
  <c r="C607" i="5" a="1"/>
  <c r="C99" i="5" a="1"/>
  <c r="C110" i="5" a="1"/>
  <c r="C121" i="5" a="1"/>
  <c r="C132" i="5" a="1"/>
  <c r="C143" i="5" a="1"/>
  <c r="C154" i="5" a="1"/>
  <c r="C163" i="5" a="1"/>
  <c r="C191" i="5" a="1"/>
  <c r="C209" i="5" a="1"/>
  <c r="C216" i="5" a="1"/>
  <c r="C232" i="5" a="1"/>
  <c r="C248" i="5" a="1"/>
  <c r="C280" i="5" a="1"/>
  <c r="C296" i="5" a="1"/>
  <c r="C304" i="5" a="1"/>
  <c r="C311" i="5" a="1"/>
  <c r="C319" i="5" a="1"/>
  <c r="C332" i="5" a="1"/>
  <c r="C339" i="5" a="1"/>
  <c r="C353" i="5" a="1"/>
  <c r="C360" i="5" a="1"/>
  <c r="C381" i="5" a="1"/>
  <c r="C387" i="5" a="1"/>
  <c r="C393" i="5" a="1"/>
  <c r="C418" i="5" a="1"/>
  <c r="C430" i="5" a="1"/>
  <c r="C441" i="5" a="1"/>
  <c r="C452" i="5" a="1"/>
  <c r="C463" i="5" a="1"/>
  <c r="C469" i="5" a="1"/>
  <c r="C480" i="5" a="1"/>
  <c r="C491" i="5" a="1"/>
  <c r="C502" i="5" a="1"/>
  <c r="C513" i="5" a="1"/>
  <c r="C519" i="5" a="1"/>
  <c r="C530" i="5" a="1"/>
  <c r="C541" i="5" a="1"/>
  <c r="C552" i="5" a="1"/>
  <c r="C563" i="5" a="1"/>
  <c r="C569" i="5" a="1"/>
  <c r="C187" i="5" a="1"/>
  <c r="C269" i="5" a="1"/>
  <c r="C343" i="5" a="1"/>
  <c r="C439" i="5" a="1"/>
  <c r="C466" i="5" a="1"/>
  <c r="C504" i="5" a="1"/>
  <c r="C515" i="5" a="1"/>
  <c r="C526" i="5" a="1"/>
  <c r="C537" i="5" a="1"/>
  <c r="C548" i="5" a="1"/>
  <c r="C580" i="5" a="1"/>
  <c r="C589" i="5" a="1"/>
  <c r="C613" i="5" a="1"/>
  <c r="C620" i="5" a="1"/>
  <c r="C627" i="5" a="1"/>
  <c r="C641" i="5" a="1"/>
  <c r="C655" i="5" a="1"/>
  <c r="C662" i="5" a="1"/>
  <c r="C669" i="5" a="1"/>
  <c r="C690" i="5" a="1"/>
  <c r="C703" i="5" a="1"/>
  <c r="C731" i="5" a="1"/>
  <c r="C744" i="5" a="1"/>
  <c r="C750" i="5" a="1"/>
  <c r="C756" i="5" a="1"/>
  <c r="C767" i="5" a="1"/>
  <c r="C778" i="5" a="1"/>
  <c r="C784" i="5" a="1"/>
  <c r="C795" i="5" a="1"/>
  <c r="C806" i="5" a="1"/>
  <c r="C817" i="5" a="1"/>
  <c r="C828" i="5" a="1"/>
  <c r="C834" i="5" a="1"/>
  <c r="C845" i="5" a="1"/>
  <c r="C856" i="5" a="1"/>
  <c r="C867" i="5" a="1"/>
  <c r="C878" i="5" a="1"/>
  <c r="C884" i="5" a="1"/>
  <c r="C895" i="5" a="1"/>
  <c r="C906" i="5" a="1"/>
  <c r="C917" i="5" a="1"/>
  <c r="C928" i="5" a="1"/>
  <c r="C934" i="5" a="1"/>
  <c r="C945" i="5" a="1"/>
  <c r="C956" i="5" a="1"/>
  <c r="C967" i="5" a="1"/>
  <c r="C350" i="5" a="1"/>
  <c r="C415" i="5" a="1"/>
  <c r="C444" i="5" a="1"/>
  <c r="C494" i="5" a="1"/>
  <c r="C505" i="5" a="1"/>
  <c r="C516" i="5" a="1"/>
  <c r="C527" i="5" a="1"/>
  <c r="C538" i="5" a="1"/>
  <c r="C590" i="5" a="1"/>
  <c r="C598" i="5" a="1"/>
  <c r="C614" i="5" a="1"/>
  <c r="C635" i="5" a="1"/>
  <c r="C648" i="5" a="1"/>
  <c r="C676" i="5" a="1"/>
  <c r="C683" i="5" a="1"/>
  <c r="C697" i="5" a="1"/>
  <c r="C704" i="5" a="1"/>
  <c r="C711" i="5" a="1"/>
  <c r="C718" i="5" a="1"/>
  <c r="C725" i="5" a="1"/>
  <c r="C738" i="5" a="1"/>
  <c r="C751" i="5" a="1"/>
  <c r="C205" i="5" a="1"/>
  <c r="C285" i="5" a="1"/>
  <c r="C483" i="5" a="1"/>
  <c r="C539" i="5" a="1"/>
  <c r="C550" i="5" a="1"/>
  <c r="C561" i="5" a="1"/>
  <c r="C572" i="5" a="1"/>
  <c r="C591" i="5" a="1"/>
  <c r="C629" i="5" a="1"/>
  <c r="C642" i="5" a="1"/>
  <c r="C663" i="5" a="1"/>
  <c r="C670" i="5" a="1"/>
  <c r="C677" i="5" a="1"/>
  <c r="C691" i="5" a="1"/>
  <c r="C705" i="5" a="1"/>
  <c r="C213" i="5" a="1"/>
  <c r="C421" i="5" a="1"/>
  <c r="C529" i="5" a="1"/>
  <c r="C540" i="5" a="1"/>
  <c r="C551" i="5" a="1"/>
  <c r="C562" i="5" a="1"/>
  <c r="C573" i="5" a="1"/>
  <c r="C600" i="5" a="1"/>
  <c r="C608" i="5" a="1"/>
  <c r="C615" i="5" a="1"/>
  <c r="C622" i="5" a="1"/>
  <c r="C636" i="5" a="1"/>
  <c r="C650" i="5" a="1"/>
  <c r="C657" i="5" a="1"/>
  <c r="C664" i="5" a="1"/>
  <c r="C685" i="5" a="1"/>
  <c r="C698" i="5" a="1"/>
  <c r="C726" i="5" a="1"/>
  <c r="C733" i="5" a="1"/>
  <c r="C740" i="5" a="1"/>
  <c r="C746" i="5" a="1"/>
  <c r="C752" i="5" a="1"/>
  <c r="C763" i="5" a="1"/>
  <c r="C769" i="5" a="1"/>
  <c r="C780" i="5" a="1"/>
  <c r="C791" i="5" a="1"/>
  <c r="C802" i="5" a="1"/>
  <c r="C813" i="5" a="1"/>
  <c r="C819" i="5" a="1"/>
  <c r="C830" i="5" a="1"/>
  <c r="C841" i="5" a="1"/>
  <c r="C852" i="5" a="1"/>
  <c r="C863" i="5" a="1"/>
  <c r="C869" i="5" a="1"/>
  <c r="C880" i="5" a="1"/>
  <c r="C891" i="5" a="1"/>
  <c r="C902" i="5" a="1"/>
  <c r="C913" i="5" a="1"/>
  <c r="C919" i="5" a="1"/>
  <c r="C930" i="5" a="1"/>
  <c r="C941" i="5" a="1"/>
  <c r="C952" i="5" a="1"/>
  <c r="C963" i="5" a="1"/>
  <c r="C969" i="5" a="1"/>
  <c r="C974" i="5" a="1"/>
  <c r="C979" i="5" a="1"/>
  <c r="C984" i="5" a="1"/>
  <c r="C221" i="5" a="1"/>
  <c r="C300" i="5" a="1"/>
  <c r="C371" i="5" a="1"/>
  <c r="C450" i="5" a="1"/>
  <c r="C472" i="5" a="1"/>
  <c r="C486" i="5" a="1"/>
  <c r="C497" i="5" a="1"/>
  <c r="C508" i="5" a="1"/>
  <c r="C564" i="5" a="1"/>
  <c r="C583" i="5" a="1"/>
  <c r="C601" i="5" a="1"/>
  <c r="C609" i="5" a="1"/>
  <c r="C616" i="5" a="1"/>
  <c r="C623" i="5" a="1"/>
  <c r="C630" i="5" a="1"/>
  <c r="C644" i="5" a="1"/>
  <c r="C651" i="5" a="1"/>
  <c r="C679" i="5" a="1"/>
  <c r="C692" i="5" a="1"/>
  <c r="C713" i="5" a="1"/>
  <c r="C720" i="5" a="1"/>
  <c r="C727" i="5" a="1"/>
  <c r="C758" i="5" a="1"/>
  <c r="C764" i="5" a="1"/>
  <c r="C775" i="5" a="1"/>
  <c r="C786" i="5" a="1"/>
  <c r="C797" i="5" a="1"/>
  <c r="C808" i="5" a="1"/>
  <c r="C814" i="5" a="1"/>
  <c r="C825" i="5" a="1"/>
  <c r="C836" i="5" a="1"/>
  <c r="C309" i="5" a="1"/>
  <c r="C427" i="5" a="1"/>
  <c r="C455" i="5" a="1"/>
  <c r="C475" i="5" a="1"/>
  <c r="C487" i="5" a="1"/>
  <c r="C498" i="5" a="1"/>
  <c r="C554" i="5" a="1"/>
  <c r="C565" i="5" a="1"/>
  <c r="C575" i="5" a="1"/>
  <c r="C594" i="5" a="1"/>
  <c r="C602" i="5" a="1"/>
  <c r="C624" i="5" a="1"/>
  <c r="C637" i="5" a="1"/>
  <c r="C658" i="5" a="1"/>
  <c r="C665" i="5" a="1"/>
  <c r="C672" i="5" a="1"/>
  <c r="C686" i="5" a="1"/>
  <c r="C700" i="5" a="1"/>
  <c r="C707" i="5" a="1"/>
  <c r="C714" i="5" a="1"/>
  <c r="C735" i="5" a="1"/>
  <c r="C741" i="5" a="1"/>
  <c r="C747" i="5" a="1"/>
  <c r="C753" i="5" a="1"/>
  <c r="C759" i="5" a="1"/>
  <c r="C770" i="5" a="1"/>
  <c r="C781" i="5" a="1"/>
  <c r="C792" i="5" a="1"/>
  <c r="C803" i="5" a="1"/>
  <c r="C809" i="5" a="1"/>
  <c r="C820" i="5" a="1"/>
  <c r="C831" i="5" a="1"/>
  <c r="C842" i="5" a="1"/>
  <c r="C853" i="5" a="1"/>
  <c r="C859" i="5" a="1"/>
  <c r="C870" i="5" a="1"/>
  <c r="C881" i="5" a="1"/>
  <c r="C892" i="5" a="1"/>
  <c r="C903" i="5" a="1"/>
  <c r="C909" i="5" a="1"/>
  <c r="C920" i="5" a="1"/>
  <c r="C931" i="5" a="1"/>
  <c r="C942" i="5" a="1"/>
  <c r="C953" i="5" a="1"/>
  <c r="C959" i="5" a="1"/>
  <c r="C970" i="5" a="1"/>
  <c r="C975" i="5" a="1"/>
  <c r="C980" i="5" a="1"/>
  <c r="C985" i="5" a="1"/>
  <c r="C990" i="5" a="1"/>
  <c r="C995" i="5" a="1"/>
  <c r="C1000" i="5" a="1"/>
  <c r="C1005" i="5" a="1"/>
  <c r="C1010" i="5" a="1"/>
  <c r="C1015" i="5" a="1"/>
  <c r="C237" i="5" a="1"/>
  <c r="C385" i="5" a="1"/>
  <c r="C477" i="5" a="1"/>
  <c r="C488" i="5" a="1"/>
  <c r="C544" i="5" a="1"/>
  <c r="C555" i="5" a="1"/>
  <c r="C566" i="5" a="1"/>
  <c r="C576" i="5" a="1"/>
  <c r="C631" i="5" a="1"/>
  <c r="C638" i="5" a="1"/>
  <c r="C652" i="5" a="1"/>
  <c r="C659" i="5" a="1"/>
  <c r="C666" i="5" a="1"/>
  <c r="C673" i="5" a="1"/>
  <c r="C680" i="5" a="1"/>
  <c r="C694" i="5" a="1"/>
  <c r="C701" i="5" a="1"/>
  <c r="C729" i="5" a="1"/>
  <c r="C754" i="5" a="1"/>
  <c r="C765" i="5" a="1"/>
  <c r="C776" i="5" a="1"/>
  <c r="C787" i="5" a="1"/>
  <c r="C798" i="5" a="1"/>
  <c r="C804" i="5" a="1"/>
  <c r="C815" i="5" a="1"/>
  <c r="C826" i="5" a="1"/>
  <c r="C837" i="5" a="1"/>
  <c r="C848" i="5" a="1"/>
  <c r="C322" i="5" a="1"/>
  <c r="C391" i="5" a="1"/>
  <c r="C489" i="5" a="1"/>
  <c r="C500" i="5" a="1"/>
  <c r="C511" i="5" a="1"/>
  <c r="C522" i="5" a="1"/>
  <c r="C533" i="5" a="1"/>
  <c r="C577" i="5" a="1"/>
  <c r="C586" i="5" a="1"/>
  <c r="C603" i="5" a="1"/>
  <c r="C611" i="5" a="1"/>
  <c r="C618" i="5" a="1"/>
  <c r="C625" i="5" a="1"/>
  <c r="C639" i="5" a="1"/>
  <c r="C646" i="5" a="1"/>
  <c r="C674" i="5" a="1"/>
  <c r="C687" i="5" a="1"/>
  <c r="C708" i="5" a="1"/>
  <c r="C715" i="5" a="1"/>
  <c r="C722" i="5" a="1"/>
  <c r="C736" i="5" a="1"/>
  <c r="C742" i="5" a="1"/>
  <c r="C748" i="5" a="1"/>
  <c r="C760" i="5" a="1"/>
  <c r="C771" i="5" a="1"/>
  <c r="C782" i="5" a="1"/>
  <c r="C253" i="5" a="1"/>
  <c r="C330" i="5" a="1"/>
  <c r="C397" i="5" a="1"/>
  <c r="C433" i="5" a="1"/>
  <c r="C461" i="5" a="1"/>
  <c r="C479" i="5" a="1"/>
  <c r="C490" i="5" a="1"/>
  <c r="C501" i="5" a="1"/>
  <c r="C512" i="5" a="1"/>
  <c r="C523" i="5" a="1"/>
  <c r="C587" i="5" a="1"/>
  <c r="C604" i="5" a="1"/>
  <c r="C612" i="5" a="1"/>
  <c r="C619" i="5" a="1"/>
  <c r="C640" i="5" a="1"/>
  <c r="C653" i="5" a="1"/>
  <c r="C681" i="5" a="1"/>
  <c r="C688" i="5" a="1"/>
  <c r="C702" i="5" a="1"/>
  <c r="C709" i="5" a="1"/>
  <c r="C716" i="5" a="1"/>
  <c r="C723" i="5" a="1"/>
  <c r="C730" i="5" a="1"/>
  <c r="C749" i="5" a="1"/>
  <c r="C755" i="5" a="1"/>
  <c r="C766" i="5" a="1"/>
  <c r="C777" i="5" a="1"/>
  <c r="C788" i="5" a="1"/>
  <c r="C794" i="5" a="1"/>
  <c r="C805" i="5" a="1"/>
  <c r="C816" i="5" a="1"/>
  <c r="C827" i="5" a="1"/>
  <c r="C838" i="5" a="1"/>
  <c r="C844" i="5" a="1"/>
  <c r="C855" i="5" a="1"/>
  <c r="C866" i="5" a="1"/>
  <c r="C877" i="5" a="1"/>
  <c r="C888" i="5" a="1"/>
  <c r="C894" i="5" a="1"/>
  <c r="C905" i="5" a="1"/>
  <c r="C916" i="5" a="1"/>
  <c r="C927" i="5" a="1"/>
  <c r="C938" i="5" a="1"/>
  <c r="C944" i="5" a="1"/>
  <c r="C403" i="5" a="1"/>
  <c r="C438" i="5" a="1"/>
  <c r="C464" i="5" a="1"/>
  <c r="C514" i="5" a="1"/>
  <c r="C525" i="5" a="1"/>
  <c r="C536" i="5" a="1"/>
  <c r="C547" i="5" a="1"/>
  <c r="C558" i="5" a="1"/>
  <c r="C579" i="5" a="1"/>
  <c r="C588" i="5" a="1"/>
  <c r="C597" i="5" a="1"/>
  <c r="C605" i="5" a="1"/>
  <c r="C626" i="5" a="1"/>
  <c r="C633" i="5" a="1"/>
  <c r="C647" i="5" a="1"/>
  <c r="C654" i="5" a="1"/>
  <c r="C661" i="5" a="1"/>
  <c r="C668" i="5" a="1"/>
  <c r="C675" i="5" a="1"/>
  <c r="C689" i="5" a="1"/>
  <c r="C696" i="5" a="1"/>
  <c r="C724" i="5" a="1"/>
  <c r="C737" i="5" a="1"/>
  <c r="C743" i="5" a="1"/>
  <c r="C761" i="5" a="1"/>
  <c r="C772" i="5" a="1"/>
  <c r="C783" i="5" a="1"/>
  <c r="C789" i="5" a="1"/>
  <c r="C800" i="5" a="1"/>
  <c r="C811" i="5" a="1"/>
  <c r="C822" i="5" a="1"/>
  <c r="C833" i="5" a="1"/>
  <c r="C839" i="5" a="1"/>
  <c r="C850" i="5" a="1"/>
  <c r="C861" i="5" a="1"/>
  <c r="C872" i="5" a="1"/>
  <c r="C883" i="5" a="1"/>
  <c r="C889" i="5" a="1"/>
  <c r="C900" i="5" a="1"/>
  <c r="C911" i="5" a="1"/>
  <c r="C922" i="5" a="1"/>
  <c r="C933" i="5" a="1"/>
  <c r="C712" i="5" a="1"/>
  <c r="C790" i="5" a="1"/>
  <c r="C807" i="5" a="1"/>
  <c r="C843" i="5" a="1"/>
  <c r="C879" i="5" a="1"/>
  <c r="C890" i="5" a="1"/>
  <c r="C901" i="5" a="1"/>
  <c r="C912" i="5" a="1"/>
  <c r="C923" i="5" a="1"/>
  <c r="C943" i="5" a="1"/>
  <c r="C960" i="5" a="1"/>
  <c r="C982" i="5" a="1"/>
  <c r="C719" i="5" a="1"/>
  <c r="C768" i="5" a="1"/>
  <c r="C793" i="5" a="1"/>
  <c r="C812" i="5" a="1"/>
  <c r="C846" i="5" a="1"/>
  <c r="C858" i="5" a="1"/>
  <c r="C914" i="5" a="1"/>
  <c r="C925" i="5" a="1"/>
  <c r="C936" i="5" a="1"/>
  <c r="C954" i="5" a="1"/>
  <c r="C961" i="5" a="1"/>
  <c r="C1003" i="5" a="1"/>
  <c r="C1009" i="5" a="1"/>
  <c r="C1021" i="5" a="1"/>
  <c r="C1032" i="5" a="1"/>
  <c r="C1038" i="5" a="1"/>
  <c r="C1049" i="5" a="1"/>
  <c r="C1060" i="5" a="1"/>
  <c r="C773" i="5" a="1"/>
  <c r="C832" i="5" a="1"/>
  <c r="C847" i="5" a="1"/>
  <c r="C904" i="5" a="1"/>
  <c r="C915" i="5" a="1"/>
  <c r="C926" i="5" a="1"/>
  <c r="C937" i="5" a="1"/>
  <c r="C946" i="5" a="1"/>
  <c r="C962" i="5" a="1"/>
  <c r="C977" i="5" a="1"/>
  <c r="C991" i="5" a="1"/>
  <c r="C997" i="5" a="1"/>
  <c r="C1016" i="5" a="1"/>
  <c r="C1027" i="5" a="1"/>
  <c r="C1033" i="5" a="1"/>
  <c r="C1044" i="5" a="1"/>
  <c r="C1055" i="5" a="1"/>
  <c r="C1066" i="5" a="1"/>
  <c r="C1077" i="5" a="1"/>
  <c r="C1082" i="5" a="1"/>
  <c r="C1087" i="5" a="1"/>
  <c r="C1092" i="5" a="1"/>
  <c r="C1097" i="5" a="1"/>
  <c r="C739" i="5" a="1"/>
  <c r="C774" i="5" a="1"/>
  <c r="C796" i="5" a="1"/>
  <c r="C849" i="5" a="1"/>
  <c r="C860" i="5" a="1"/>
  <c r="C871" i="5" a="1"/>
  <c r="C882" i="5" a="1"/>
  <c r="C893" i="5" a="1"/>
  <c r="C947" i="5" a="1"/>
  <c r="C955" i="5" a="1"/>
  <c r="C971" i="5" a="1"/>
  <c r="C978" i="5" a="1"/>
  <c r="C998" i="5" a="1"/>
  <c r="C1004" i="5" a="1"/>
  <c r="C1022" i="5" a="1"/>
  <c r="C1028" i="5" a="1"/>
  <c r="C1039" i="5" a="1"/>
  <c r="C1050" i="5" a="1"/>
  <c r="C1061" i="5" a="1"/>
  <c r="C1072" i="5" a="1"/>
  <c r="C779" i="5" a="1"/>
  <c r="C799" i="5" a="1"/>
  <c r="C835" i="5" a="1"/>
  <c r="C851" i="5" a="1"/>
  <c r="C862" i="5" a="1"/>
  <c r="C873" i="5" a="1"/>
  <c r="C929" i="5" a="1"/>
  <c r="C939" i="5" a="1"/>
  <c r="C948" i="5" a="1"/>
  <c r="C964" i="5" a="1"/>
  <c r="C986" i="5" a="1"/>
  <c r="C992" i="5" a="1"/>
  <c r="C1011" i="5" a="1"/>
  <c r="C1017" i="5" a="1"/>
  <c r="C1023" i="5" a="1"/>
  <c r="C1034" i="5" a="1"/>
  <c r="C1045" i="5" a="1"/>
  <c r="C1056" i="5" a="1"/>
  <c r="C1067" i="5" a="1"/>
  <c r="C1073" i="5" a="1"/>
  <c r="C1078" i="5" a="1"/>
  <c r="C1083" i="5" a="1"/>
  <c r="C1088" i="5" a="1"/>
  <c r="C801" i="5" a="1"/>
  <c r="C818" i="5" a="1"/>
  <c r="C874" i="5" a="1"/>
  <c r="C885" i="5" a="1"/>
  <c r="C896" i="5" a="1"/>
  <c r="C907" i="5" a="1"/>
  <c r="C918" i="5" a="1"/>
  <c r="C821" i="5" a="1"/>
  <c r="C840" i="5" a="1"/>
  <c r="C864" i="5" a="1"/>
  <c r="C875" i="5" a="1"/>
  <c r="C886" i="5" a="1"/>
  <c r="C897" i="5" a="1"/>
  <c r="C908" i="5" a="1"/>
  <c r="C957" i="5" a="1"/>
  <c r="C973" i="5" a="1"/>
  <c r="C987" i="5" a="1"/>
  <c r="C757" i="5" a="1"/>
  <c r="C785" i="5" a="1"/>
  <c r="C823" i="5" a="1"/>
  <c r="C854" i="5" a="1"/>
  <c r="C865" i="5" a="1"/>
  <c r="C876" i="5" a="1"/>
  <c r="C762" i="5" a="1"/>
  <c r="C824" i="5" a="1"/>
  <c r="C899" i="5" a="1"/>
  <c r="C910" i="5" a="1"/>
  <c r="C921" i="5" a="1"/>
  <c r="C932" i="5" a="1"/>
  <c r="C951" i="5" a="1"/>
  <c r="C1001" i="5" a="1"/>
  <c r="C1007" i="5" a="1"/>
  <c r="C1025" i="5" a="1"/>
  <c r="C898" i="5" a="1"/>
  <c r="C968" i="5" a="1"/>
  <c r="C1002" i="5" a="1"/>
  <c r="C1026" i="5" a="1"/>
  <c r="C1036" i="5" a="1"/>
  <c r="C1046" i="5" a="1"/>
  <c r="C1054" i="5" a="1"/>
  <c r="C1064" i="5" a="1"/>
  <c r="C1071" i="5" a="1"/>
  <c r="C1086" i="5" a="1"/>
  <c r="C1105" i="5" a="1"/>
  <c r="C1116" i="5" a="1"/>
  <c r="C1127" i="5" a="1"/>
  <c r="C1133" i="5" a="1"/>
  <c r="C1144" i="5" a="1"/>
  <c r="C1155" i="5" a="1"/>
  <c r="C1166" i="5" a="1"/>
  <c r="C1177" i="5" a="1"/>
  <c r="C1183" i="5" a="1"/>
  <c r="C1194" i="5" a="1"/>
  <c r="C1205" i="5" a="1"/>
  <c r="C1216" i="5" a="1"/>
  <c r="C1227" i="5" a="1"/>
  <c r="C1233" i="5" a="1"/>
  <c r="C1244" i="5" a="1"/>
  <c r="C1255" i="5" a="1"/>
  <c r="C1266" i="5" a="1"/>
  <c r="C1277" i="5" a="1"/>
  <c r="C1283" i="5" a="1"/>
  <c r="C1294" i="5" a="1"/>
  <c r="C1305" i="5" a="1"/>
  <c r="C1316" i="5" a="1"/>
  <c r="C1327" i="5" a="1"/>
  <c r="C1333" i="5" a="1"/>
  <c r="C1344" i="5" a="1"/>
  <c r="C1355" i="5" a="1"/>
  <c r="C972" i="5" a="1"/>
  <c r="C993" i="5" a="1"/>
  <c r="C1018" i="5" a="1"/>
  <c r="C1029" i="5" a="1"/>
  <c r="C1080" i="5" a="1"/>
  <c r="C1094" i="5" a="1"/>
  <c r="C1100" i="5" a="1"/>
  <c r="C1111" i="5" a="1"/>
  <c r="C1122" i="5" a="1"/>
  <c r="C1128" i="5" a="1"/>
  <c r="C1139" i="5" a="1"/>
  <c r="C1150" i="5" a="1"/>
  <c r="C1161" i="5" a="1"/>
  <c r="C1172" i="5" a="1"/>
  <c r="C1178" i="5" a="1"/>
  <c r="C1189" i="5" a="1"/>
  <c r="C1200" i="5" a="1"/>
  <c r="C1211" i="5" a="1"/>
  <c r="C1222" i="5" a="1"/>
  <c r="C1228" i="5" a="1"/>
  <c r="C1239" i="5" a="1"/>
  <c r="C1250" i="5" a="1"/>
  <c r="C1261" i="5" a="1"/>
  <c r="C1272" i="5" a="1"/>
  <c r="C1278" i="5" a="1"/>
  <c r="C1289" i="5" a="1"/>
  <c r="C1300" i="5" a="1"/>
  <c r="C1311" i="5" a="1"/>
  <c r="C1322" i="5" a="1"/>
  <c r="C1328" i="5" a="1"/>
  <c r="C1339" i="5" a="1"/>
  <c r="C1350" i="5" a="1"/>
  <c r="C1361" i="5" a="1"/>
  <c r="C1366" i="5" a="1"/>
  <c r="C1371" i="5" a="1"/>
  <c r="C1376" i="5" a="1"/>
  <c r="C1381" i="5" a="1"/>
  <c r="C1386" i="5" a="1"/>
  <c r="C1391" i="5" a="1"/>
  <c r="C1396" i="5" a="1"/>
  <c r="C1401" i="5" a="1"/>
  <c r="C1406" i="5" a="1"/>
  <c r="C1411" i="5" a="1"/>
  <c r="C1416" i="5" a="1"/>
  <c r="C1421" i="5" a="1"/>
  <c r="C1426" i="5" a="1"/>
  <c r="C1431" i="5" a="1"/>
  <c r="C1436" i="5" a="1"/>
  <c r="C1441" i="5" a="1"/>
  <c r="C1218" i="5" a="1"/>
  <c r="C1229" i="5" a="1"/>
  <c r="C1240" i="5" a="1"/>
  <c r="C1251" i="5" a="1"/>
  <c r="C1422" i="5" a="1"/>
  <c r="C1427" i="5" a="1"/>
  <c r="C1432" i="5" a="1"/>
  <c r="C1437" i="5" a="1"/>
  <c r="C1442" i="5" a="1"/>
  <c r="C1275" i="5" a="1"/>
  <c r="C1286" i="5" a="1"/>
  <c r="C1297" i="5" a="1"/>
  <c r="C1303" i="5" a="1"/>
  <c r="C810" i="5" a="1"/>
  <c r="C949" i="5" a="1"/>
  <c r="C1006" i="5" a="1"/>
  <c r="C1037" i="5" a="1"/>
  <c r="C1047" i="5" a="1"/>
  <c r="C1057" i="5" a="1"/>
  <c r="C1065" i="5" a="1"/>
  <c r="C1074" i="5" a="1"/>
  <c r="C1106" i="5" a="1"/>
  <c r="C1117" i="5" a="1"/>
  <c r="C1123" i="5" a="1"/>
  <c r="C1134" i="5" a="1"/>
  <c r="C1145" i="5" a="1"/>
  <c r="C1156" i="5" a="1"/>
  <c r="C1167" i="5" a="1"/>
  <c r="C1173" i="5" a="1"/>
  <c r="C1184" i="5" a="1"/>
  <c r="C1195" i="5" a="1"/>
  <c r="C1206" i="5" a="1"/>
  <c r="C1217" i="5" a="1"/>
  <c r="C1223" i="5" a="1"/>
  <c r="C1234" i="5" a="1"/>
  <c r="C1245" i="5" a="1"/>
  <c r="C1256" i="5" a="1"/>
  <c r="C1267" i="5" a="1"/>
  <c r="C1273" i="5" a="1"/>
  <c r="C1284" i="5" a="1"/>
  <c r="C1295" i="5" a="1"/>
  <c r="C1306" i="5" a="1"/>
  <c r="C1317" i="5" a="1"/>
  <c r="C1323" i="5" a="1"/>
  <c r="C1334" i="5" a="1"/>
  <c r="C1345" i="5" a="1"/>
  <c r="C1356" i="5" a="1"/>
  <c r="C1048" i="5" a="1"/>
  <c r="C1058" i="5" a="1"/>
  <c r="C1081" i="5" a="1"/>
  <c r="C1095" i="5" a="1"/>
  <c r="C1112" i="5" a="1"/>
  <c r="C1129" i="5" a="1"/>
  <c r="C1140" i="5" a="1"/>
  <c r="C1151" i="5" a="1"/>
  <c r="C1268" i="5" a="1"/>
  <c r="C1225" i="5" a="1"/>
  <c r="C1336" i="5" a="1"/>
  <c r="C829" i="5" a="1"/>
  <c r="C950" i="5" a="1"/>
  <c r="C976" i="5" a="1"/>
  <c r="C994" i="5" a="1"/>
  <c r="C1019" i="5" a="1"/>
  <c r="C1030" i="5" a="1"/>
  <c r="C1040" i="5" a="1"/>
  <c r="C1089" i="5" a="1"/>
  <c r="C1101" i="5" a="1"/>
  <c r="C1118" i="5" a="1"/>
  <c r="C1162" i="5" a="1"/>
  <c r="C1168" i="5" a="1"/>
  <c r="C1179" i="5" a="1"/>
  <c r="C1190" i="5" a="1"/>
  <c r="C1201" i="5" a="1"/>
  <c r="C1212" i="5" a="1"/>
  <c r="C1262" i="5" a="1"/>
  <c r="C1279" i="5" a="1"/>
  <c r="C1290" i="5" a="1"/>
  <c r="C1301" i="5" a="1"/>
  <c r="C1312" i="5" a="1"/>
  <c r="C1318" i="5" a="1"/>
  <c r="C1329" i="5" a="1"/>
  <c r="C1340" i="5" a="1"/>
  <c r="C1351" i="5" a="1"/>
  <c r="C1362" i="5" a="1"/>
  <c r="C1367" i="5" a="1"/>
  <c r="C1372" i="5" a="1"/>
  <c r="C1377" i="5" a="1"/>
  <c r="C1382" i="5" a="1"/>
  <c r="C1387" i="5" a="1"/>
  <c r="C1392" i="5" a="1"/>
  <c r="C1397" i="5" a="1"/>
  <c r="C1402" i="5" a="1"/>
  <c r="C1407" i="5" a="1"/>
  <c r="C1412" i="5" a="1"/>
  <c r="C1417" i="5" a="1"/>
  <c r="C1347" i="5" a="1"/>
  <c r="C1008" i="5" a="1"/>
  <c r="C1020" i="5" a="1"/>
  <c r="C1068" i="5" a="1"/>
  <c r="C1075" i="5" a="1"/>
  <c r="C1107" i="5" a="1"/>
  <c r="C1113" i="5" a="1"/>
  <c r="C1124" i="5" a="1"/>
  <c r="C1135" i="5" a="1"/>
  <c r="C1146" i="5" a="1"/>
  <c r="C1157" i="5" a="1"/>
  <c r="C1163" i="5" a="1"/>
  <c r="C1174" i="5" a="1"/>
  <c r="C1185" i="5" a="1"/>
  <c r="C1196" i="5" a="1"/>
  <c r="C1207" i="5" a="1"/>
  <c r="C1213" i="5" a="1"/>
  <c r="C1224" i="5" a="1"/>
  <c r="C1235" i="5" a="1"/>
  <c r="C1246" i="5" a="1"/>
  <c r="C1257" i="5" a="1"/>
  <c r="C1263" i="5" a="1"/>
  <c r="C1274" i="5" a="1"/>
  <c r="C1285" i="5" a="1"/>
  <c r="C1296" i="5" a="1"/>
  <c r="C1307" i="5" a="1"/>
  <c r="C1313" i="5" a="1"/>
  <c r="C1324" i="5" a="1"/>
  <c r="C1335" i="5" a="1"/>
  <c r="C1346" i="5" a="1"/>
  <c r="C1357" i="5" a="1"/>
  <c r="C1241" i="5" a="1"/>
  <c r="C1252" i="5" a="1"/>
  <c r="C1258" i="5" a="1"/>
  <c r="C1269" i="5" a="1"/>
  <c r="C1280" i="5" a="1"/>
  <c r="C1291" i="5" a="1"/>
  <c r="C1302" i="5" a="1"/>
  <c r="C1308" i="5" a="1"/>
  <c r="C1319" i="5" a="1"/>
  <c r="C1330" i="5" a="1"/>
  <c r="C1341" i="5" a="1"/>
  <c r="C1352" i="5" a="1"/>
  <c r="C1358" i="5" a="1"/>
  <c r="C1363" i="5" a="1"/>
  <c r="C1368" i="5" a="1"/>
  <c r="C1236" i="5" a="1"/>
  <c r="C1247" i="5" a="1"/>
  <c r="C1253" i="5" a="1"/>
  <c r="C857" i="5" a="1"/>
  <c r="C924" i="5" a="1"/>
  <c r="C981" i="5" a="1"/>
  <c r="C996" i="5" a="1"/>
  <c r="C1031" i="5" a="1"/>
  <c r="C1041" i="5" a="1"/>
  <c r="C1051" i="5" a="1"/>
  <c r="C1059" i="5" a="1"/>
  <c r="C1090" i="5" a="1"/>
  <c r="C1096" i="5" a="1"/>
  <c r="C1102" i="5" a="1"/>
  <c r="C1108" i="5" a="1"/>
  <c r="C1119" i="5" a="1"/>
  <c r="C1130" i="5" a="1"/>
  <c r="C1141" i="5" a="1"/>
  <c r="C1152" i="5" a="1"/>
  <c r="C1158" i="5" a="1"/>
  <c r="C1169" i="5" a="1"/>
  <c r="C1180" i="5" a="1"/>
  <c r="C1191" i="5" a="1"/>
  <c r="C1202" i="5" a="1"/>
  <c r="C1208" i="5" a="1"/>
  <c r="C1219" i="5" a="1"/>
  <c r="C1230" i="5" a="1"/>
  <c r="C1373" i="5" a="1"/>
  <c r="C1378" i="5" a="1"/>
  <c r="C1383" i="5" a="1"/>
  <c r="C1388" i="5" a="1"/>
  <c r="C1393" i="5" a="1"/>
  <c r="C1398" i="5" a="1"/>
  <c r="C1403" i="5" a="1"/>
  <c r="C1408" i="5" a="1"/>
  <c r="C1413" i="5" a="1"/>
  <c r="C1418" i="5" a="1"/>
  <c r="C1423" i="5" a="1"/>
  <c r="C1428" i="5" a="1"/>
  <c r="C1433" i="5" a="1"/>
  <c r="C1438" i="5" a="1"/>
  <c r="C1443" i="5" a="1"/>
  <c r="C1314" i="5" a="1"/>
  <c r="C1325" i="5" a="1"/>
  <c r="C1353" i="5" a="1"/>
  <c r="C868" i="5" a="1"/>
  <c r="C958" i="5" a="1"/>
  <c r="C983" i="5" a="1"/>
  <c r="C999" i="5" a="1"/>
  <c r="C1069" i="5" a="1"/>
  <c r="C1076" i="5" a="1"/>
  <c r="C1084" i="5" a="1"/>
  <c r="C1103" i="5" a="1"/>
  <c r="C1114" i="5" a="1"/>
  <c r="C1125" i="5" a="1"/>
  <c r="C1136" i="5" a="1"/>
  <c r="C1147" i="5" a="1"/>
  <c r="C1153" i="5" a="1"/>
  <c r="C1164" i="5" a="1"/>
  <c r="C1175" i="5" a="1"/>
  <c r="C1186" i="5" a="1"/>
  <c r="C1197" i="5" a="1"/>
  <c r="C1203" i="5" a="1"/>
  <c r="C1214" i="5" a="1"/>
  <c r="C1264" i="5" a="1"/>
  <c r="C1012" i="5" a="1"/>
  <c r="C1024" i="5" a="1"/>
  <c r="C1042" i="5" a="1"/>
  <c r="C1052" i="5" a="1"/>
  <c r="C1062" i="5" a="1"/>
  <c r="C1091" i="5" a="1"/>
  <c r="C1098" i="5" a="1"/>
  <c r="C1109" i="5" a="1"/>
  <c r="C1120" i="5" a="1"/>
  <c r="C1131" i="5" a="1"/>
  <c r="C1142" i="5" a="1"/>
  <c r="C1148" i="5" a="1"/>
  <c r="C1159" i="5" a="1"/>
  <c r="C1170" i="5" a="1"/>
  <c r="C1181" i="5" a="1"/>
  <c r="C1192" i="5" a="1"/>
  <c r="C1198" i="5" a="1"/>
  <c r="C1209" i="5" a="1"/>
  <c r="C1220" i="5" a="1"/>
  <c r="C1231" i="5" a="1"/>
  <c r="C1242" i="5" a="1"/>
  <c r="C887" i="5" a="1"/>
  <c r="C935" i="5" a="1"/>
  <c r="C965" i="5" a="1"/>
  <c r="C988" i="5" a="1"/>
  <c r="C1013" i="5" a="1"/>
  <c r="C1035" i="5" a="1"/>
  <c r="C1043" i="5" a="1"/>
  <c r="C1053" i="5" a="1"/>
  <c r="C1063" i="5" a="1"/>
  <c r="C1070" i="5" a="1"/>
  <c r="C1085" i="5" a="1"/>
  <c r="C940" i="5" a="1"/>
  <c r="C966" i="5" a="1"/>
  <c r="C989" i="5" a="1"/>
  <c r="C1014" i="5" a="1"/>
  <c r="C1079" i="5" a="1"/>
  <c r="C1093" i="5" a="1"/>
  <c r="C1099" i="5" a="1"/>
  <c r="C1110" i="5" a="1"/>
  <c r="C1121" i="5" a="1"/>
  <c r="C1132" i="5" a="1"/>
  <c r="C1138" i="5" a="1"/>
  <c r="C1149" i="5" a="1"/>
  <c r="C1160" i="5" a="1"/>
  <c r="C1171" i="5" a="1"/>
  <c r="C1182" i="5" a="1"/>
  <c r="C1188" i="5" a="1"/>
  <c r="C1199" i="5" a="1"/>
  <c r="C1210" i="5" a="1"/>
  <c r="C1221" i="5" a="1"/>
  <c r="C1232" i="5" a="1"/>
  <c r="C1238" i="5" a="1"/>
  <c r="C1249" i="5" a="1"/>
  <c r="C1260" i="5" a="1"/>
  <c r="C1271" i="5" a="1"/>
  <c r="C1282" i="5" a="1"/>
  <c r="C1288" i="5" a="1"/>
  <c r="C1299" i="5" a="1"/>
  <c r="C1310" i="5" a="1"/>
  <c r="C1321" i="5" a="1"/>
  <c r="C1332" i="5" a="1"/>
  <c r="C1338" i="5" a="1"/>
  <c r="C1349" i="5" a="1"/>
  <c r="C1360" i="5" a="1"/>
  <c r="C1365" i="5" a="1"/>
  <c r="C1370" i="5" a="1"/>
  <c r="C1375" i="5" a="1"/>
  <c r="C1380" i="5" a="1"/>
  <c r="C1204" i="5" a="1"/>
  <c r="C1281" i="5" a="1"/>
  <c r="C1309" i="5" a="1"/>
  <c r="C1364" i="5" a="1"/>
  <c r="C1154" i="5" a="1"/>
  <c r="C1254" i="5" a="1"/>
  <c r="C1337" i="5" a="1"/>
  <c r="C1385" i="5" a="1"/>
  <c r="C1399" i="5" a="1"/>
  <c r="C1410" i="5" a="1"/>
  <c r="C1104" i="5" a="1"/>
  <c r="C1215" i="5" a="1"/>
  <c r="C1259" i="5" a="1"/>
  <c r="C1342" i="5" a="1"/>
  <c r="C1369" i="5" a="1"/>
  <c r="C1165" i="5" a="1"/>
  <c r="C1287" i="5" a="1"/>
  <c r="C1315" i="5" a="1"/>
  <c r="C1343" i="5" a="1"/>
  <c r="C1389" i="5" a="1"/>
  <c r="C1400" i="5" a="1"/>
  <c r="C1414" i="5" a="1"/>
  <c r="C1425" i="5" a="1"/>
  <c r="C1439" i="5" a="1"/>
  <c r="C1320" i="5" a="1"/>
  <c r="C1348" i="5" a="1"/>
  <c r="C1374" i="5" a="1"/>
  <c r="C1176" i="5" a="1"/>
  <c r="C1265" i="5" a="1"/>
  <c r="C1293" i="5" a="1"/>
  <c r="C1390" i="5" a="1"/>
  <c r="C1404" i="5" a="1"/>
  <c r="C1415" i="5" a="1"/>
  <c r="C1440" i="5" a="1"/>
  <c r="C1126" i="5" a="1"/>
  <c r="C1237" i="5" a="1"/>
  <c r="C1270" i="5" a="1"/>
  <c r="C1298" i="5" a="1"/>
  <c r="C1379" i="5" a="1"/>
  <c r="C1187" i="5" a="1"/>
  <c r="C1115" i="5" a="1"/>
  <c r="C1226" i="5" a="1"/>
  <c r="C1292" i="5" a="1"/>
  <c r="C1326" i="5" a="1"/>
  <c r="C1429" i="5" a="1"/>
  <c r="C1424" i="5" a="1"/>
  <c r="C1435" i="5" a="1"/>
  <c r="C1243" i="5" a="1"/>
  <c r="C1394" i="5" a="1"/>
  <c r="C1405" i="5" a="1"/>
  <c r="C1419" i="5" a="1"/>
  <c r="C1430" i="5" a="1"/>
  <c r="C1331" i="5" a="1"/>
  <c r="C1359" i="5" a="1"/>
  <c r="C1354" i="5" a="1"/>
  <c r="C1137" i="5" a="1"/>
  <c r="C1193" i="5" a="1"/>
  <c r="C1248" i="5" a="1"/>
  <c r="C1143" i="5" a="1"/>
  <c r="C1276" i="5" a="1"/>
  <c r="C1304" i="5" a="1"/>
  <c r="C1384" i="5" a="1"/>
  <c r="C1395" i="5" a="1"/>
  <c r="C1409" i="5" a="1"/>
  <c r="C1420" i="5" a="1"/>
  <c r="C1434" i="5" a="1"/>
  <c r="C2" i="5" a="1"/>
  <c r="K11" i="2" a="1"/>
  <c r="B3" i="5" a="1"/>
  <c r="B8" i="5" a="1"/>
  <c r="B13" i="5" a="1"/>
  <c r="B18" i="5" a="1"/>
  <c r="B23" i="5" a="1"/>
  <c r="B28" i="5" a="1"/>
  <c r="B33" i="5" a="1"/>
  <c r="B38" i="5" a="1"/>
  <c r="B7" i="5" a="1"/>
  <c r="B4" i="5" a="1"/>
  <c r="B47" i="5" a="1"/>
  <c r="B58" i="5" a="1"/>
  <c r="B64" i="5" a="1"/>
  <c r="B75" i="5" a="1"/>
  <c r="B86" i="5" a="1"/>
  <c r="B97" i="5" a="1"/>
  <c r="B108" i="5" a="1"/>
  <c r="B114" i="5" a="1"/>
  <c r="B125" i="5" a="1"/>
  <c r="B136" i="5" a="1"/>
  <c r="B147" i="5" a="1"/>
  <c r="B158" i="5" a="1"/>
  <c r="B164" i="5" a="1"/>
  <c r="B175" i="5" a="1"/>
  <c r="B186" i="5" a="1"/>
  <c r="B197" i="5" a="1"/>
  <c r="B208" i="5" a="1"/>
  <c r="B214" i="5" a="1"/>
  <c r="B225" i="5" a="1"/>
  <c r="B236" i="5" a="1"/>
  <c r="B247" i="5" a="1"/>
  <c r="B258" i="5" a="1"/>
  <c r="B264" i="5" a="1"/>
  <c r="B275" i="5" a="1"/>
  <c r="B286" i="5" a="1"/>
  <c r="B297" i="5" a="1"/>
  <c r="B308" i="5" a="1"/>
  <c r="B314" i="5" a="1"/>
  <c r="B325" i="5" a="1"/>
  <c r="B336" i="5" a="1"/>
  <c r="B347" i="5" a="1"/>
  <c r="B358" i="5" a="1"/>
  <c r="B11" i="5" a="1"/>
  <c r="B17" i="5" a="1"/>
  <c r="B24" i="5" a="1"/>
  <c r="B30" i="5" a="1"/>
  <c r="B36" i="5" a="1"/>
  <c r="B42" i="5" a="1"/>
  <c r="B53" i="5" a="1"/>
  <c r="B59" i="5" a="1"/>
  <c r="B70" i="5" a="1"/>
  <c r="B81" i="5" a="1"/>
  <c r="B92" i="5" a="1"/>
  <c r="B103" i="5" a="1"/>
  <c r="B109" i="5" a="1"/>
  <c r="B120" i="5" a="1"/>
  <c r="B131" i="5" a="1"/>
  <c r="B142" i="5" a="1"/>
  <c r="B153" i="5" a="1"/>
  <c r="B159" i="5" a="1"/>
  <c r="B170" i="5" a="1"/>
  <c r="B181" i="5" a="1"/>
  <c r="B192" i="5" a="1"/>
  <c r="B203" i="5" a="1"/>
  <c r="B209" i="5" a="1"/>
  <c r="B220" i="5" a="1"/>
  <c r="B231" i="5" a="1"/>
  <c r="B242" i="5" a="1"/>
  <c r="B5" i="5" a="1"/>
  <c r="B48" i="5" a="1"/>
  <c r="B54" i="5" a="1"/>
  <c r="B65" i="5" a="1"/>
  <c r="B76" i="5" a="1"/>
  <c r="B87" i="5" a="1"/>
  <c r="B98" i="5" a="1"/>
  <c r="B104" i="5" a="1"/>
  <c r="B115" i="5" a="1"/>
  <c r="B126" i="5" a="1"/>
  <c r="B137" i="5" a="1"/>
  <c r="B148" i="5" a="1"/>
  <c r="B154" i="5" a="1"/>
  <c r="B165" i="5" a="1"/>
  <c r="B176" i="5" a="1"/>
  <c r="B187" i="5" a="1"/>
  <c r="B198" i="5" a="1"/>
  <c r="B204" i="5" a="1"/>
  <c r="B215" i="5" a="1"/>
  <c r="B226" i="5" a="1"/>
  <c r="B237" i="5" a="1"/>
  <c r="B248" i="5" a="1"/>
  <c r="B254" i="5" a="1"/>
  <c r="B265" i="5" a="1"/>
  <c r="B276" i="5" a="1"/>
  <c r="B287" i="5" a="1"/>
  <c r="B298" i="5" a="1"/>
  <c r="B304" i="5" a="1"/>
  <c r="B315" i="5" a="1"/>
  <c r="B326" i="5" a="1"/>
  <c r="B337" i="5" a="1"/>
  <c r="B348" i="5" a="1"/>
  <c r="B354" i="5" a="1"/>
  <c r="B365" i="5" a="1"/>
  <c r="B376" i="5" a="1"/>
  <c r="B387" i="5" a="1"/>
  <c r="B398" i="5" a="1"/>
  <c r="B12" i="5" a="1"/>
  <c r="B19" i="5" a="1"/>
  <c r="B25" i="5" a="1"/>
  <c r="B31" i="5" a="1"/>
  <c r="B37" i="5" a="1"/>
  <c r="B43" i="5" a="1"/>
  <c r="B49" i="5" a="1"/>
  <c r="B60" i="5" a="1"/>
  <c r="B71" i="5" a="1"/>
  <c r="B82" i="5" a="1"/>
  <c r="B93" i="5" a="1"/>
  <c r="B99" i="5" a="1"/>
  <c r="B110" i="5" a="1"/>
  <c r="B121" i="5" a="1"/>
  <c r="B132" i="5" a="1"/>
  <c r="B143" i="5" a="1"/>
  <c r="B149" i="5" a="1"/>
  <c r="B160" i="5" a="1"/>
  <c r="B171" i="5" a="1"/>
  <c r="B182" i="5" a="1"/>
  <c r="B193" i="5" a="1"/>
  <c r="B199" i="5" a="1"/>
  <c r="B210" i="5" a="1"/>
  <c r="B221" i="5" a="1"/>
  <c r="B232" i="5" a="1"/>
  <c r="B243" i="5" a="1"/>
  <c r="B249" i="5" a="1"/>
  <c r="B260" i="5" a="1"/>
  <c r="B271" i="5" a="1"/>
  <c r="B282" i="5" a="1"/>
  <c r="B293" i="5" a="1"/>
  <c r="B299" i="5" a="1"/>
  <c r="B310" i="5" a="1"/>
  <c r="B321" i="5" a="1"/>
  <c r="B332" i="5" a="1"/>
  <c r="B343" i="5" a="1"/>
  <c r="B349" i="5" a="1"/>
  <c r="B6" i="5" a="1"/>
  <c r="B44" i="5" a="1"/>
  <c r="B55" i="5" a="1"/>
  <c r="B66" i="5" a="1"/>
  <c r="B77" i="5" a="1"/>
  <c r="B88" i="5" a="1"/>
  <c r="B94" i="5" a="1"/>
  <c r="B105" i="5" a="1"/>
  <c r="B116" i="5" a="1"/>
  <c r="B127" i="5" a="1"/>
  <c r="B138" i="5" a="1"/>
  <c r="B144" i="5" a="1"/>
  <c r="B155" i="5" a="1"/>
  <c r="B166" i="5" a="1"/>
  <c r="B177" i="5" a="1"/>
  <c r="B188" i="5" a="1"/>
  <c r="B194" i="5" a="1"/>
  <c r="B205" i="5" a="1"/>
  <c r="B216" i="5" a="1"/>
  <c r="B227" i="5" a="1"/>
  <c r="B238" i="5" a="1"/>
  <c r="B244" i="5" a="1"/>
  <c r="B255" i="5" a="1"/>
  <c r="B266" i="5" a="1"/>
  <c r="B277" i="5" a="1"/>
  <c r="B14" i="5" a="1"/>
  <c r="B20" i="5" a="1"/>
  <c r="B26" i="5" a="1"/>
  <c r="B32" i="5" a="1"/>
  <c r="B39" i="5" a="1"/>
  <c r="B50" i="5" a="1"/>
  <c r="B61" i="5" a="1"/>
  <c r="B72" i="5" a="1"/>
  <c r="B83" i="5" a="1"/>
  <c r="B89" i="5" a="1"/>
  <c r="B100" i="5" a="1"/>
  <c r="B111" i="5" a="1"/>
  <c r="B122" i="5" a="1"/>
  <c r="B133" i="5" a="1"/>
  <c r="B139" i="5" a="1"/>
  <c r="B150" i="5" a="1"/>
  <c r="B161" i="5" a="1"/>
  <c r="B172" i="5" a="1"/>
  <c r="B183" i="5" a="1"/>
  <c r="B189" i="5" a="1"/>
  <c r="B200" i="5" a="1"/>
  <c r="B211" i="5" a="1"/>
  <c r="B222" i="5" a="1"/>
  <c r="B233" i="5" a="1"/>
  <c r="B239" i="5" a="1"/>
  <c r="B250" i="5" a="1"/>
  <c r="B261" i="5" a="1"/>
  <c r="B272" i="5" a="1"/>
  <c r="B283" i="5" a="1"/>
  <c r="B289" i="5" a="1"/>
  <c r="B300" i="5" a="1"/>
  <c r="B311" i="5" a="1"/>
  <c r="B322" i="5" a="1"/>
  <c r="B333" i="5" a="1"/>
  <c r="B339" i="5" a="1"/>
  <c r="B350" i="5" a="1"/>
  <c r="B361" i="5" a="1"/>
  <c r="B372" i="5" a="1"/>
  <c r="B383" i="5" a="1"/>
  <c r="B389" i="5" a="1"/>
  <c r="B400" i="5" a="1"/>
  <c r="B45" i="5" a="1"/>
  <c r="B56" i="5" a="1"/>
  <c r="B67" i="5" a="1"/>
  <c r="B78" i="5" a="1"/>
  <c r="B84" i="5" a="1"/>
  <c r="B95" i="5" a="1"/>
  <c r="B106" i="5" a="1"/>
  <c r="B117" i="5" a="1"/>
  <c r="B128" i="5" a="1"/>
  <c r="B134" i="5" a="1"/>
  <c r="B145" i="5" a="1"/>
  <c r="B156" i="5" a="1"/>
  <c r="B167" i="5" a="1"/>
  <c r="B178" i="5" a="1"/>
  <c r="B184" i="5" a="1"/>
  <c r="B195" i="5" a="1"/>
  <c r="B206" i="5" a="1"/>
  <c r="B217" i="5" a="1"/>
  <c r="B228" i="5" a="1"/>
  <c r="B234" i="5" a="1"/>
  <c r="B245" i="5" a="1"/>
  <c r="B256" i="5" a="1"/>
  <c r="B267" i="5" a="1"/>
  <c r="B278" i="5" a="1"/>
  <c r="B284" i="5" a="1"/>
  <c r="B295" i="5" a="1"/>
  <c r="B306" i="5" a="1"/>
  <c r="B317" i="5" a="1"/>
  <c r="B328" i="5" a="1"/>
  <c r="B334" i="5" a="1"/>
  <c r="B9" i="5" a="1"/>
  <c r="B15" i="5" a="1"/>
  <c r="B21" i="5" a="1"/>
  <c r="B27" i="5" a="1"/>
  <c r="B34" i="5" a="1"/>
  <c r="B40" i="5" a="1"/>
  <c r="B51" i="5" a="1"/>
  <c r="B62" i="5" a="1"/>
  <c r="B73" i="5" a="1"/>
  <c r="B79" i="5" a="1"/>
  <c r="B90" i="5" a="1"/>
  <c r="B101" i="5" a="1"/>
  <c r="B112" i="5" a="1"/>
  <c r="B123" i="5" a="1"/>
  <c r="B129" i="5" a="1"/>
  <c r="B140" i="5" a="1"/>
  <c r="B151" i="5" a="1"/>
  <c r="B162" i="5" a="1"/>
  <c r="B173" i="5" a="1"/>
  <c r="B46" i="5" a="1"/>
  <c r="B57" i="5" a="1"/>
  <c r="B68" i="5" a="1"/>
  <c r="B74" i="5" a="1"/>
  <c r="B85" i="5" a="1"/>
  <c r="B96" i="5" a="1"/>
  <c r="B107" i="5" a="1"/>
  <c r="B118" i="5" a="1"/>
  <c r="B124" i="5" a="1"/>
  <c r="B135" i="5" a="1"/>
  <c r="B146" i="5" a="1"/>
  <c r="B157" i="5" a="1"/>
  <c r="B168" i="5" a="1"/>
  <c r="B174" i="5" a="1"/>
  <c r="B10" i="5" a="1"/>
  <c r="B16" i="5" a="1"/>
  <c r="B22" i="5" a="1"/>
  <c r="B29" i="5" a="1"/>
  <c r="B35" i="5" a="1"/>
  <c r="B41" i="5" a="1"/>
  <c r="B52" i="5" a="1"/>
  <c r="B63" i="5" a="1"/>
  <c r="B69" i="5" a="1"/>
  <c r="B80" i="5" a="1"/>
  <c r="B91" i="5" a="1"/>
  <c r="B102" i="5" a="1"/>
  <c r="B113" i="5" a="1"/>
  <c r="B119" i="5" a="1"/>
  <c r="B130" i="5" a="1"/>
  <c r="B141" i="5" a="1"/>
  <c r="B152" i="5" a="1"/>
  <c r="B163" i="5" a="1"/>
  <c r="B169" i="5" a="1"/>
  <c r="B180" i="5" a="1"/>
  <c r="B191" i="5" a="1"/>
  <c r="B202" i="5" a="1"/>
  <c r="B213" i="5" a="1"/>
  <c r="B219" i="5" a="1"/>
  <c r="B230" i="5" a="1"/>
  <c r="B241" i="5" a="1"/>
  <c r="B252" i="5" a="1"/>
  <c r="B263" i="5" a="1"/>
  <c r="B269" i="5" a="1"/>
  <c r="B280" i="5" a="1"/>
  <c r="B291" i="5" a="1"/>
  <c r="B302" i="5" a="1"/>
  <c r="B313" i="5" a="1"/>
  <c r="B319" i="5" a="1"/>
  <c r="B330" i="5" a="1"/>
  <c r="B341" i="5" a="1"/>
  <c r="B352" i="5" a="1"/>
  <c r="B363" i="5" a="1"/>
  <c r="B369" i="5" a="1"/>
  <c r="B380" i="5" a="1"/>
  <c r="B391" i="5" a="1"/>
  <c r="B402" i="5" a="1"/>
  <c r="B413" i="5" a="1"/>
  <c r="B419" i="5" a="1"/>
  <c r="B179" i="5" a="1"/>
  <c r="B274" i="5" a="1"/>
  <c r="B290" i="5" a="1"/>
  <c r="B303" i="5" a="1"/>
  <c r="B331" i="5" a="1"/>
  <c r="B344" i="5" a="1"/>
  <c r="B371" i="5" a="1"/>
  <c r="B379" i="5" a="1"/>
  <c r="B395" i="5" a="1"/>
  <c r="B409" i="5" a="1"/>
  <c r="B415" i="5" a="1"/>
  <c r="B421" i="5" a="1"/>
  <c r="B427" i="5" a="1"/>
  <c r="B207" i="5" a="1"/>
  <c r="B235" i="5" a="1"/>
  <c r="B257" i="5" a="1"/>
  <c r="B305" i="5" a="1"/>
  <c r="B318" i="5" a="1"/>
  <c r="B345" i="5" a="1"/>
  <c r="B355" i="5" a="1"/>
  <c r="B212" i="5" a="1"/>
  <c r="B240" i="5" a="1"/>
  <c r="B259" i="5" a="1"/>
  <c r="B279" i="5" a="1"/>
  <c r="B185" i="5" a="1"/>
  <c r="B262" i="5" a="1"/>
  <c r="B294" i="5" a="1"/>
  <c r="B307" i="5" a="1"/>
  <c r="B335" i="5" a="1"/>
  <c r="B346" i="5" a="1"/>
  <c r="B373" i="5" a="1"/>
  <c r="B381" i="5" a="1"/>
  <c r="B397" i="5" a="1"/>
  <c r="B434" i="5" a="1"/>
  <c r="B440" i="5" a="1"/>
  <c r="B451" i="5" a="1"/>
  <c r="B462" i="5" a="1"/>
  <c r="B473" i="5" a="1"/>
  <c r="B484" i="5" a="1"/>
  <c r="B490" i="5" a="1"/>
  <c r="B501" i="5" a="1"/>
  <c r="B512" i="5" a="1"/>
  <c r="B523" i="5" a="1"/>
  <c r="B534" i="5" a="1"/>
  <c r="B540" i="5" a="1"/>
  <c r="B551" i="5" a="1"/>
  <c r="B556" i="5" a="1"/>
  <c r="B561" i="5" a="1"/>
  <c r="B190" i="5" a="1"/>
  <c r="B281" i="5" a="1"/>
  <c r="B309" i="5" a="1"/>
  <c r="B323" i="5" a="1"/>
  <c r="B357" i="5" a="1"/>
  <c r="B366" i="5" a="1"/>
  <c r="B374" i="5" a="1"/>
  <c r="B382" i="5" a="1"/>
  <c r="B390" i="5" a="1"/>
  <c r="B405" i="5" a="1"/>
  <c r="B411" i="5" a="1"/>
  <c r="B417" i="5" a="1"/>
  <c r="B423" i="5" a="1"/>
  <c r="B429" i="5" a="1"/>
  <c r="B435" i="5" a="1"/>
  <c r="B446" i="5" a="1"/>
  <c r="B457" i="5" a="1"/>
  <c r="B468" i="5" a="1"/>
  <c r="B479" i="5" a="1"/>
  <c r="B485" i="5" a="1"/>
  <c r="B496" i="5" a="1"/>
  <c r="B507" i="5" a="1"/>
  <c r="B518" i="5" a="1"/>
  <c r="B529" i="5" a="1"/>
  <c r="B535" i="5" a="1"/>
  <c r="B546" i="5" a="1"/>
  <c r="B218" i="5" a="1"/>
  <c r="B246" i="5" a="1"/>
  <c r="B223" i="5" a="1"/>
  <c r="B312" i="5" a="1"/>
  <c r="B360" i="5" a="1"/>
  <c r="B196" i="5" a="1"/>
  <c r="B224" i="5" a="1"/>
  <c r="B251" i="5" a="1"/>
  <c r="B268" i="5" a="1"/>
  <c r="B285" i="5" a="1"/>
  <c r="B327" i="5" a="1"/>
  <c r="B340" i="5" a="1"/>
  <c r="B351" i="5" a="1"/>
  <c r="B201" i="5" a="1"/>
  <c r="B229" i="5" a="1"/>
  <c r="B270" i="5" a="1"/>
  <c r="B301" i="5" a="1"/>
  <c r="B329" i="5" a="1"/>
  <c r="B377" i="5" a="1"/>
  <c r="B385" i="5" a="1"/>
  <c r="B393" i="5" a="1"/>
  <c r="B401" i="5" a="1"/>
  <c r="B407" i="5" a="1"/>
  <c r="B414" i="5" a="1"/>
  <c r="B420" i="5" a="1"/>
  <c r="B426" i="5" a="1"/>
  <c r="B437" i="5" a="1"/>
  <c r="B448" i="5" a="1"/>
  <c r="B459" i="5" a="1"/>
  <c r="B465" i="5" a="1"/>
  <c r="B476" i="5" a="1"/>
  <c r="B487" i="5" a="1"/>
  <c r="B253" i="5" a="1"/>
  <c r="B273" i="5" a="1"/>
  <c r="B288" i="5" a="1"/>
  <c r="B316" i="5" a="1"/>
  <c r="B342" i="5" a="1"/>
  <c r="B353" i="5" a="1"/>
  <c r="B362" i="5" a="1"/>
  <c r="B370" i="5" a="1"/>
  <c r="B378" i="5" a="1"/>
  <c r="B386" i="5" a="1"/>
  <c r="B394" i="5" a="1"/>
  <c r="B408" i="5" a="1"/>
  <c r="B432" i="5" a="1"/>
  <c r="B443" i="5" a="1"/>
  <c r="B403" i="5" a="1"/>
  <c r="B454" i="5" a="1"/>
  <c r="B470" i="5" a="1"/>
  <c r="B486" i="5" a="1"/>
  <c r="B493" i="5" a="1"/>
  <c r="B500" i="5" a="1"/>
  <c r="B514" i="5" a="1"/>
  <c r="B521" i="5" a="1"/>
  <c r="B542" i="5" a="1"/>
  <c r="B555" i="5" a="1"/>
  <c r="B562" i="5" a="1"/>
  <c r="B573" i="5" a="1"/>
  <c r="B584" i="5" a="1"/>
  <c r="B595" i="5" a="1"/>
  <c r="B606" i="5" a="1"/>
  <c r="B612" i="5" a="1"/>
  <c r="B623" i="5" a="1"/>
  <c r="B634" i="5" a="1"/>
  <c r="B645" i="5" a="1"/>
  <c r="B656" i="5" a="1"/>
  <c r="B662" i="5" a="1"/>
  <c r="B673" i="5" a="1"/>
  <c r="B684" i="5" a="1"/>
  <c r="B695" i="5" a="1"/>
  <c r="B706" i="5" a="1"/>
  <c r="B712" i="5" a="1"/>
  <c r="B723" i="5" a="1"/>
  <c r="B734" i="5" a="1"/>
  <c r="B745" i="5" a="1"/>
  <c r="B756" i="5" a="1"/>
  <c r="B762" i="5" a="1"/>
  <c r="B773" i="5" a="1"/>
  <c r="B784" i="5" a="1"/>
  <c r="B795" i="5" a="1"/>
  <c r="B806" i="5" a="1"/>
  <c r="B388" i="5" a="1"/>
  <c r="B404" i="5" a="1"/>
  <c r="B416" i="5" a="1"/>
  <c r="B428" i="5" a="1"/>
  <c r="B438" i="5" a="1"/>
  <c r="B447" i="5" a="1"/>
  <c r="B455" i="5" a="1"/>
  <c r="B463" i="5" a="1"/>
  <c r="B471" i="5" a="1"/>
  <c r="B478" i="5" a="1"/>
  <c r="B508" i="5" a="1"/>
  <c r="B515" i="5" a="1"/>
  <c r="B528" i="5" a="1"/>
  <c r="B536" i="5" a="1"/>
  <c r="B549" i="5" a="1"/>
  <c r="B568" i="5" a="1"/>
  <c r="B579" i="5" a="1"/>
  <c r="B590" i="5" a="1"/>
  <c r="B601" i="5" a="1"/>
  <c r="B292" i="5" a="1"/>
  <c r="B356" i="5" a="1"/>
  <c r="B375" i="5" a="1"/>
  <c r="B430" i="5" a="1"/>
  <c r="B480" i="5" a="1"/>
  <c r="B494" i="5" a="1"/>
  <c r="B502" i="5" a="1"/>
  <c r="B522" i="5" a="1"/>
  <c r="B530" i="5" a="1"/>
  <c r="B543" i="5" a="1"/>
  <c r="B550" i="5" a="1"/>
  <c r="B557" i="5" a="1"/>
  <c r="B296" i="5" a="1"/>
  <c r="B359" i="5" a="1"/>
  <c r="B406" i="5" a="1"/>
  <c r="B418" i="5" a="1"/>
  <c r="B439" i="5" a="1"/>
  <c r="B456" i="5" a="1"/>
  <c r="B464" i="5" a="1"/>
  <c r="B472" i="5" a="1"/>
  <c r="B488" i="5" a="1"/>
  <c r="B495" i="5" a="1"/>
  <c r="B509" i="5" a="1"/>
  <c r="B516" i="5" a="1"/>
  <c r="B392" i="5" a="1"/>
  <c r="B431" i="5" a="1"/>
  <c r="B441" i="5" a="1"/>
  <c r="B449" i="5" a="1"/>
  <c r="B481" i="5" a="1"/>
  <c r="B503" i="5" a="1"/>
  <c r="B510" i="5" a="1"/>
  <c r="B524" i="5" a="1"/>
  <c r="B531" i="5" a="1"/>
  <c r="B544" i="5" a="1"/>
  <c r="B552" i="5" a="1"/>
  <c r="B558" i="5" a="1"/>
  <c r="B564" i="5" a="1"/>
  <c r="B575" i="5" a="1"/>
  <c r="B586" i="5" a="1"/>
  <c r="B592" i="5" a="1"/>
  <c r="B603" i="5" a="1"/>
  <c r="B614" i="5" a="1"/>
  <c r="B625" i="5" a="1"/>
  <c r="B636" i="5" a="1"/>
  <c r="B364" i="5" a="1"/>
  <c r="B450" i="5" a="1"/>
  <c r="B458" i="5" a="1"/>
  <c r="B466" i="5" a="1"/>
  <c r="B474" i="5" a="1"/>
  <c r="B482" i="5" a="1"/>
  <c r="B489" i="5" a="1"/>
  <c r="B497" i="5" a="1"/>
  <c r="B517" i="5" a="1"/>
  <c r="B525" i="5" a="1"/>
  <c r="B538" i="5" a="1"/>
  <c r="B545" i="5" a="1"/>
  <c r="B570" i="5" a="1"/>
  <c r="B581" i="5" a="1"/>
  <c r="B587" i="5" a="1"/>
  <c r="B598" i="5" a="1"/>
  <c r="B609" i="5" a="1"/>
  <c r="B620" i="5" a="1"/>
  <c r="B631" i="5" a="1"/>
  <c r="B637" i="5" a="1"/>
  <c r="B648" i="5" a="1"/>
  <c r="B659" i="5" a="1"/>
  <c r="B670" i="5" a="1"/>
  <c r="B681" i="5" a="1"/>
  <c r="B687" i="5" a="1"/>
  <c r="B698" i="5" a="1"/>
  <c r="B709" i="5" a="1"/>
  <c r="B320" i="5" a="1"/>
  <c r="B396" i="5" a="1"/>
  <c r="B410" i="5" a="1"/>
  <c r="B422" i="5" a="1"/>
  <c r="B433" i="5" a="1"/>
  <c r="B442" i="5" a="1"/>
  <c r="B475" i="5" a="1"/>
  <c r="B491" i="5" a="1"/>
  <c r="B504" i="5" a="1"/>
  <c r="B511" i="5" a="1"/>
  <c r="B532" i="5" a="1"/>
  <c r="B553" i="5" a="1"/>
  <c r="B559" i="5" a="1"/>
  <c r="B565" i="5" a="1"/>
  <c r="B576" i="5" a="1"/>
  <c r="B582" i="5" a="1"/>
  <c r="B593" i="5" a="1"/>
  <c r="B604" i="5" a="1"/>
  <c r="B615" i="5" a="1"/>
  <c r="B626" i="5" a="1"/>
  <c r="B632" i="5" a="1"/>
  <c r="B643" i="5" a="1"/>
  <c r="B654" i="5" a="1"/>
  <c r="B665" i="5" a="1"/>
  <c r="B676" i="5" a="1"/>
  <c r="B324" i="5" a="1"/>
  <c r="B367" i="5" a="1"/>
  <c r="B399" i="5" a="1"/>
  <c r="B424" i="5" a="1"/>
  <c r="B452" i="5" a="1"/>
  <c r="B460" i="5" a="1"/>
  <c r="B467" i="5" a="1"/>
  <c r="B483" i="5" a="1"/>
  <c r="B498" i="5" a="1"/>
  <c r="B384" i="5" a="1"/>
  <c r="B412" i="5" a="1"/>
  <c r="B425" i="5" a="1"/>
  <c r="B444" i="5" a="1"/>
  <c r="B492" i="5" a="1"/>
  <c r="B513" i="5" a="1"/>
  <c r="B520" i="5" a="1"/>
  <c r="B533" i="5" a="1"/>
  <c r="B541" i="5" a="1"/>
  <c r="B554" i="5" a="1"/>
  <c r="B560" i="5" a="1"/>
  <c r="B566" i="5" a="1"/>
  <c r="B572" i="5" a="1"/>
  <c r="B583" i="5" a="1"/>
  <c r="B594" i="5" a="1"/>
  <c r="B605" i="5" a="1"/>
  <c r="B616" i="5" a="1"/>
  <c r="B622" i="5" a="1"/>
  <c r="B633" i="5" a="1"/>
  <c r="B644" i="5" a="1"/>
  <c r="B655" i="5" a="1"/>
  <c r="B666" i="5" a="1"/>
  <c r="B672" i="5" a="1"/>
  <c r="B683" i="5" a="1"/>
  <c r="B694" i="5" a="1"/>
  <c r="B705" i="5" a="1"/>
  <c r="B716" i="5" a="1"/>
  <c r="B722" i="5" a="1"/>
  <c r="B733" i="5" a="1"/>
  <c r="B744" i="5" a="1"/>
  <c r="B755" i="5" a="1"/>
  <c r="B338" i="5" a="1"/>
  <c r="B368" i="5" a="1"/>
  <c r="B436" i="5" a="1"/>
  <c r="B445" i="5" a="1"/>
  <c r="B453" i="5" a="1"/>
  <c r="B461" i="5" a="1"/>
  <c r="B469" i="5" a="1"/>
  <c r="B477" i="5" a="1"/>
  <c r="B499" i="5" a="1"/>
  <c r="B506" i="5" a="1"/>
  <c r="B527" i="5" a="1"/>
  <c r="B548" i="5" a="1"/>
  <c r="B567" i="5" a="1"/>
  <c r="B578" i="5" a="1"/>
  <c r="B589" i="5" a="1"/>
  <c r="B600" i="5" a="1"/>
  <c r="B611" i="5" a="1"/>
  <c r="B617" i="5" a="1"/>
  <c r="B628" i="5" a="1"/>
  <c r="B639" i="5" a="1"/>
  <c r="B650" i="5" a="1"/>
  <c r="B661" i="5" a="1"/>
  <c r="B667" i="5" a="1"/>
  <c r="B678" i="5" a="1"/>
  <c r="B689" i="5" a="1"/>
  <c r="B700" i="5" a="1"/>
  <c r="B711" i="5" a="1"/>
  <c r="B717" i="5" a="1"/>
  <c r="B728" i="5" a="1"/>
  <c r="B739" i="5" a="1"/>
  <c r="B750" i="5" a="1"/>
  <c r="B761" i="5" a="1"/>
  <c r="B767" i="5" a="1"/>
  <c r="B778" i="5" a="1"/>
  <c r="B789" i="5" a="1"/>
  <c r="B800" i="5" a="1"/>
  <c r="B811" i="5" a="1"/>
  <c r="B505" i="5" a="1"/>
  <c r="B547" i="5" a="1"/>
  <c r="B571" i="5" a="1"/>
  <c r="B621" i="5" a="1"/>
  <c r="B635" i="5" a="1"/>
  <c r="B647" i="5" a="1"/>
  <c r="B658" i="5" a="1"/>
  <c r="B669" i="5" a="1"/>
  <c r="B680" i="5" a="1"/>
  <c r="B690" i="5" a="1"/>
  <c r="B708" i="5" a="1"/>
  <c r="B732" i="5" a="1"/>
  <c r="B748" i="5" a="1"/>
  <c r="B757" i="5" a="1"/>
  <c r="B770" i="5" a="1"/>
  <c r="B777" i="5" a="1"/>
  <c r="B791" i="5" a="1"/>
  <c r="B798" i="5" a="1"/>
  <c r="B812" i="5" a="1"/>
  <c r="B574" i="5" a="1"/>
  <c r="B591" i="5" a="1"/>
  <c r="B608" i="5" a="1"/>
  <c r="B699" i="5" a="1"/>
  <c r="B718" i="5" a="1"/>
  <c r="B725" i="5" a="1"/>
  <c r="B741" i="5" a="1"/>
  <c r="B764" i="5" a="1"/>
  <c r="B785" i="5" a="1"/>
  <c r="B792" i="5" a="1"/>
  <c r="B805" i="5" a="1"/>
  <c r="B818" i="5" a="1"/>
  <c r="B829" i="5" a="1"/>
  <c r="B840" i="5" a="1"/>
  <c r="B851" i="5" a="1"/>
  <c r="B857" i="5" a="1"/>
  <c r="B868" i="5" a="1"/>
  <c r="B879" i="5" a="1"/>
  <c r="B890" i="5" a="1"/>
  <c r="B901" i="5" a="1"/>
  <c r="B907" i="5" a="1"/>
  <c r="B918" i="5" a="1"/>
  <c r="B929" i="5" a="1"/>
  <c r="B940" i="5" a="1"/>
  <c r="B951" i="5" a="1"/>
  <c r="B956" i="5" a="1"/>
  <c r="B961" i="5" a="1"/>
  <c r="B966" i="5" a="1"/>
  <c r="B971" i="5" a="1"/>
  <c r="B976" i="5" a="1"/>
  <c r="B981" i="5" a="1"/>
  <c r="B986" i="5" a="1"/>
  <c r="B991" i="5" a="1"/>
  <c r="B996" i="5" a="1"/>
  <c r="B1001" i="5" a="1"/>
  <c r="B1006" i="5" a="1"/>
  <c r="B1011" i="5" a="1"/>
  <c r="B1016" i="5" a="1"/>
  <c r="B1021" i="5" a="1"/>
  <c r="B1026" i="5" a="1"/>
  <c r="B1031" i="5" a="1"/>
  <c r="B1036" i="5" a="1"/>
  <c r="B519" i="5" a="1"/>
  <c r="B610" i="5" a="1"/>
  <c r="B624" i="5" a="1"/>
  <c r="B638" i="5" a="1"/>
  <c r="B649" i="5" a="1"/>
  <c r="B660" i="5" a="1"/>
  <c r="B671" i="5" a="1"/>
  <c r="B682" i="5" a="1"/>
  <c r="B691" i="5" a="1"/>
  <c r="B701" i="5" a="1"/>
  <c r="B742" i="5" a="1"/>
  <c r="B749" i="5" a="1"/>
  <c r="B758" i="5" a="1"/>
  <c r="B771" i="5" a="1"/>
  <c r="B779" i="5" a="1"/>
  <c r="B799" i="5" a="1"/>
  <c r="B807" i="5" a="1"/>
  <c r="B813" i="5" a="1"/>
  <c r="B824" i="5" a="1"/>
  <c r="B835" i="5" a="1"/>
  <c r="B846" i="5" a="1"/>
  <c r="B852" i="5" a="1"/>
  <c r="B863" i="5" a="1"/>
  <c r="B874" i="5" a="1"/>
  <c r="B885" i="5" a="1"/>
  <c r="B896" i="5" a="1"/>
  <c r="B902" i="5" a="1"/>
  <c r="B913" i="5" a="1"/>
  <c r="B924" i="5" a="1"/>
  <c r="B935" i="5" a="1"/>
  <c r="B946" i="5" a="1"/>
  <c r="B577" i="5" a="1"/>
  <c r="B596" i="5" a="1"/>
  <c r="B640" i="5" a="1"/>
  <c r="B651" i="5" a="1"/>
  <c r="B692" i="5" a="1"/>
  <c r="B702" i="5" a="1"/>
  <c r="B710" i="5" a="1"/>
  <c r="B719" i="5" a="1"/>
  <c r="B726" i="5" a="1"/>
  <c r="B735" i="5" a="1"/>
  <c r="B751" i="5" a="1"/>
  <c r="B765" i="5" a="1"/>
  <c r="B772" i="5" a="1"/>
  <c r="B786" i="5" a="1"/>
  <c r="B793" i="5" a="1"/>
  <c r="B819" i="5" a="1"/>
  <c r="B830" i="5" a="1"/>
  <c r="B841" i="5" a="1"/>
  <c r="B847" i="5" a="1"/>
  <c r="B858" i="5" a="1"/>
  <c r="B869" i="5" a="1"/>
  <c r="B880" i="5" a="1"/>
  <c r="B891" i="5" a="1"/>
  <c r="B897" i="5" a="1"/>
  <c r="B908" i="5" a="1"/>
  <c r="B919" i="5" a="1"/>
  <c r="B930" i="5" a="1"/>
  <c r="B941" i="5" a="1"/>
  <c r="B947" i="5" a="1"/>
  <c r="B952" i="5" a="1"/>
  <c r="B957" i="5" a="1"/>
  <c r="B962" i="5" a="1"/>
  <c r="B967" i="5" a="1"/>
  <c r="B972" i="5" a="1"/>
  <c r="B977" i="5" a="1"/>
  <c r="B982" i="5" a="1"/>
  <c r="B987" i="5" a="1"/>
  <c r="B992" i="5" a="1"/>
  <c r="B997" i="5" a="1"/>
  <c r="B1002" i="5" a="1"/>
  <c r="B1007" i="5" a="1"/>
  <c r="B1012" i="5" a="1"/>
  <c r="B526" i="5" a="1"/>
  <c r="B597" i="5" a="1"/>
  <c r="B613" i="5" a="1"/>
  <c r="B627" i="5" a="1"/>
  <c r="B652" i="5" a="1"/>
  <c r="B663" i="5" a="1"/>
  <c r="B674" i="5" a="1"/>
  <c r="B693" i="5" a="1"/>
  <c r="B727" i="5" a="1"/>
  <c r="B743" i="5" a="1"/>
  <c r="B752" i="5" a="1"/>
  <c r="B759" i="5" a="1"/>
  <c r="B780" i="5" a="1"/>
  <c r="B787" i="5" a="1"/>
  <c r="B801" i="5" a="1"/>
  <c r="B808" i="5" a="1"/>
  <c r="B814" i="5" a="1"/>
  <c r="B825" i="5" a="1"/>
  <c r="B836" i="5" a="1"/>
  <c r="B842" i="5" a="1"/>
  <c r="B853" i="5" a="1"/>
  <c r="B864" i="5" a="1"/>
  <c r="B875" i="5" a="1"/>
  <c r="B886" i="5" a="1"/>
  <c r="B892" i="5" a="1"/>
  <c r="B903" i="5" a="1"/>
  <c r="B914" i="5" a="1"/>
  <c r="B925" i="5" a="1"/>
  <c r="B936" i="5" a="1"/>
  <c r="B942" i="5" a="1"/>
  <c r="B953" i="5" a="1"/>
  <c r="B978" i="5" a="1"/>
  <c r="B988" i="5" a="1"/>
  <c r="B563" i="5" a="1"/>
  <c r="B580" i="5" a="1"/>
  <c r="B599" i="5" a="1"/>
  <c r="B629" i="5" a="1"/>
  <c r="B641" i="5" a="1"/>
  <c r="B685" i="5" a="1"/>
  <c r="B703" i="5" a="1"/>
  <c r="B713" i="5" a="1"/>
  <c r="B720" i="5" a="1"/>
  <c r="B729" i="5" a="1"/>
  <c r="B736" i="5" a="1"/>
  <c r="B766" i="5" a="1"/>
  <c r="B774" i="5" a="1"/>
  <c r="B794" i="5" a="1"/>
  <c r="B802" i="5" a="1"/>
  <c r="B820" i="5" a="1"/>
  <c r="B831" i="5" a="1"/>
  <c r="B837" i="5" a="1"/>
  <c r="B848" i="5" a="1"/>
  <c r="B859" i="5" a="1"/>
  <c r="B870" i="5" a="1"/>
  <c r="B881" i="5" a="1"/>
  <c r="B887" i="5" a="1"/>
  <c r="B898" i="5" a="1"/>
  <c r="B909" i="5" a="1"/>
  <c r="B920" i="5" a="1"/>
  <c r="B931" i="5" a="1"/>
  <c r="B937" i="5" a="1"/>
  <c r="B948" i="5" a="1"/>
  <c r="B958" i="5" a="1"/>
  <c r="B963" i="5" a="1"/>
  <c r="B968" i="5" a="1"/>
  <c r="B973" i="5" a="1"/>
  <c r="B983" i="5" a="1"/>
  <c r="B602" i="5" a="1"/>
  <c r="B642" i="5" a="1"/>
  <c r="B653" i="5" a="1"/>
  <c r="B664" i="5" a="1"/>
  <c r="B675" i="5" a="1"/>
  <c r="B704" i="5" a="1"/>
  <c r="B737" i="5" a="1"/>
  <c r="B753" i="5" a="1"/>
  <c r="B760" i="5" a="1"/>
  <c r="B768" i="5" a="1"/>
  <c r="B781" i="5" a="1"/>
  <c r="B788" i="5" a="1"/>
  <c r="B809" i="5" a="1"/>
  <c r="B815" i="5" a="1"/>
  <c r="B826" i="5" a="1"/>
  <c r="B832" i="5" a="1"/>
  <c r="B843" i="5" a="1"/>
  <c r="B854" i="5" a="1"/>
  <c r="B865" i="5" a="1"/>
  <c r="B876" i="5" a="1"/>
  <c r="B537" i="5" a="1"/>
  <c r="B585" i="5" a="1"/>
  <c r="B618" i="5" a="1"/>
  <c r="B630" i="5" a="1"/>
  <c r="B677" i="5" a="1"/>
  <c r="B686" i="5" a="1"/>
  <c r="B696" i="5" a="1"/>
  <c r="B714" i="5" a="1"/>
  <c r="B721" i="5" a="1"/>
  <c r="B730" i="5" a="1"/>
  <c r="B746" i="5" a="1"/>
  <c r="B775" i="5" a="1"/>
  <c r="B782" i="5" a="1"/>
  <c r="B796" i="5" a="1"/>
  <c r="B803" i="5" a="1"/>
  <c r="B821" i="5" a="1"/>
  <c r="B539" i="5" a="1"/>
  <c r="B657" i="5" a="1"/>
  <c r="B668" i="5" a="1"/>
  <c r="B679" i="5" a="1"/>
  <c r="B697" i="5" a="1"/>
  <c r="B707" i="5" a="1"/>
  <c r="B738" i="5" a="1"/>
  <c r="B747" i="5" a="1"/>
  <c r="B754" i="5" a="1"/>
  <c r="B769" i="5" a="1"/>
  <c r="B790" i="5" a="1"/>
  <c r="B797" i="5" a="1"/>
  <c r="B810" i="5" a="1"/>
  <c r="B569" i="5" a="1"/>
  <c r="B588" i="5" a="1"/>
  <c r="B607" i="5" a="1"/>
  <c r="B619" i="5" a="1"/>
  <c r="B646" i="5" a="1"/>
  <c r="B688" i="5" a="1"/>
  <c r="B715" i="5" a="1"/>
  <c r="B724" i="5" a="1"/>
  <c r="B731" i="5" a="1"/>
  <c r="B740" i="5" a="1"/>
  <c r="B816" i="5" a="1"/>
  <c r="B860" i="5" a="1"/>
  <c r="B884" i="5" a="1"/>
  <c r="B895" i="5" a="1"/>
  <c r="B906" i="5" a="1"/>
  <c r="B1030" i="5" a="1"/>
  <c r="B1038" i="5" a="1"/>
  <c r="B1044" i="5" a="1"/>
  <c r="B1050" i="5" a="1"/>
  <c r="B1056" i="5" a="1"/>
  <c r="B1063" i="5" a="1"/>
  <c r="B1069" i="5" a="1"/>
  <c r="B1075" i="5" a="1"/>
  <c r="B1081" i="5" a="1"/>
  <c r="B1088" i="5" a="1"/>
  <c r="B1094" i="5" a="1"/>
  <c r="B1100" i="5" a="1"/>
  <c r="B1106" i="5" a="1"/>
  <c r="B1113" i="5" a="1"/>
  <c r="B1119" i="5" a="1"/>
  <c r="B1125" i="5" a="1"/>
  <c r="B1131" i="5" a="1"/>
  <c r="B1138" i="5" a="1"/>
  <c r="B1144" i="5" a="1"/>
  <c r="B1150" i="5" a="1"/>
  <c r="B1156" i="5" a="1"/>
  <c r="B1163" i="5" a="1"/>
  <c r="B1174" i="5" a="1"/>
  <c r="B1185" i="5" a="1"/>
  <c r="B1196" i="5" a="1"/>
  <c r="B1207" i="5" a="1"/>
  <c r="B1213" i="5" a="1"/>
  <c r="B1224" i="5" a="1"/>
  <c r="B1235" i="5" a="1"/>
  <c r="B1246" i="5" a="1"/>
  <c r="B1257" i="5" a="1"/>
  <c r="B1263" i="5" a="1"/>
  <c r="B817" i="5" a="1"/>
  <c r="B833" i="5" a="1"/>
  <c r="B845" i="5" a="1"/>
  <c r="B873" i="5" a="1"/>
  <c r="B932" i="5" a="1"/>
  <c r="B943" i="5" a="1"/>
  <c r="B993" i="5" a="1"/>
  <c r="B1000" i="5" a="1"/>
  <c r="B1009" i="5" a="1"/>
  <c r="B1017" i="5" a="1"/>
  <c r="B1024" i="5" a="1"/>
  <c r="B1057" i="5" a="1"/>
  <c r="B1082" i="5" a="1"/>
  <c r="B1107" i="5" a="1"/>
  <c r="B1132" i="5" a="1"/>
  <c r="B1157" i="5" a="1"/>
  <c r="B1169" i="5" a="1"/>
  <c r="B1180" i="5" a="1"/>
  <c r="B1191" i="5" a="1"/>
  <c r="B1202" i="5" a="1"/>
  <c r="B1208" i="5" a="1"/>
  <c r="B1219" i="5" a="1"/>
  <c r="B1230" i="5" a="1"/>
  <c r="B1241" i="5" a="1"/>
  <c r="B1252" i="5" a="1"/>
  <c r="B1258" i="5" a="1"/>
  <c r="B1269" i="5" a="1"/>
  <c r="B1280" i="5" a="1"/>
  <c r="B1291" i="5" a="1"/>
  <c r="B1302" i="5" a="1"/>
  <c r="B1308" i="5" a="1"/>
  <c r="B1319" i="5" a="1"/>
  <c r="B1330" i="5" a="1"/>
  <c r="B1341" i="5" a="1"/>
  <c r="B1352" i="5" a="1"/>
  <c r="B1358" i="5" a="1"/>
  <c r="B1369" i="5" a="1"/>
  <c r="B1380" i="5" a="1"/>
  <c r="B1391" i="5" a="1"/>
  <c r="B1402" i="5" a="1"/>
  <c r="B1408" i="5" a="1"/>
  <c r="B1419" i="5" a="1"/>
  <c r="B1430" i="5" a="1"/>
  <c r="B1441" i="5" a="1"/>
  <c r="B1164" i="5" a="1"/>
  <c r="B1236" i="5" a="1"/>
  <c r="B1247" i="5" a="1"/>
  <c r="B1253" i="5" a="1"/>
  <c r="B1264" i="5" a="1"/>
  <c r="B1275" i="5" a="1"/>
  <c r="B1286" i="5" a="1"/>
  <c r="B1297" i="5" a="1"/>
  <c r="B1303" i="5" a="1"/>
  <c r="B1314" i="5" a="1"/>
  <c r="B1325" i="5" a="1"/>
  <c r="B1336" i="5" a="1"/>
  <c r="B1386" i="5" a="1"/>
  <c r="B1397" i="5" a="1"/>
  <c r="B1403" i="5" a="1"/>
  <c r="B1414" i="5" a="1"/>
  <c r="B1425" i="5" a="1"/>
  <c r="B1436" i="5" a="1"/>
  <c r="B763" i="5" a="1"/>
  <c r="B849" i="5" a="1"/>
  <c r="B861" i="5" a="1"/>
  <c r="B877" i="5" a="1"/>
  <c r="B888" i="5" a="1"/>
  <c r="B899" i="5" a="1"/>
  <c r="B910" i="5" a="1"/>
  <c r="B921" i="5" a="1"/>
  <c r="B954" i="5" a="1"/>
  <c r="B964" i="5" a="1"/>
  <c r="B974" i="5" a="1"/>
  <c r="B984" i="5" a="1"/>
  <c r="B1018" i="5" a="1"/>
  <c r="B1032" i="5" a="1"/>
  <c r="B1039" i="5" a="1"/>
  <c r="B1045" i="5" a="1"/>
  <c r="B1051" i="5" a="1"/>
  <c r="B1058" i="5" a="1"/>
  <c r="B1064" i="5" a="1"/>
  <c r="B1070" i="5" a="1"/>
  <c r="B1076" i="5" a="1"/>
  <c r="B1083" i="5" a="1"/>
  <c r="B1089" i="5" a="1"/>
  <c r="B1095" i="5" a="1"/>
  <c r="B1101" i="5" a="1"/>
  <c r="B1108" i="5" a="1"/>
  <c r="B1114" i="5" a="1"/>
  <c r="B1120" i="5" a="1"/>
  <c r="B1126" i="5" a="1"/>
  <c r="B1133" i="5" a="1"/>
  <c r="B1139" i="5" a="1"/>
  <c r="B1145" i="5" a="1"/>
  <c r="B1151" i="5" a="1"/>
  <c r="B1158" i="5" a="1"/>
  <c r="B1175" i="5" a="1"/>
  <c r="B1186" i="5" a="1"/>
  <c r="B1197" i="5" a="1"/>
  <c r="B1203" i="5" a="1"/>
  <c r="B1214" i="5" a="1"/>
  <c r="B1225" i="5" a="1"/>
  <c r="B1347" i="5" a="1"/>
  <c r="B1353" i="5" a="1"/>
  <c r="B1364" i="5" a="1"/>
  <c r="B1375" i="5" a="1"/>
  <c r="B822" i="5" a="1"/>
  <c r="B834" i="5" a="1"/>
  <c r="B862" i="5" a="1"/>
  <c r="B922" i="5" a="1"/>
  <c r="B933" i="5" a="1"/>
  <c r="B944" i="5" a="1"/>
  <c r="B994" i="5" a="1"/>
  <c r="B1003" i="5" a="1"/>
  <c r="B1010" i="5" a="1"/>
  <c r="B1025" i="5" a="1"/>
  <c r="B1033" i="5" a="1"/>
  <c r="B1052" i="5" a="1"/>
  <c r="B1077" i="5" a="1"/>
  <c r="B1102" i="5" a="1"/>
  <c r="B1127" i="5" a="1"/>
  <c r="B1152" i="5" a="1"/>
  <c r="B1170" i="5" a="1"/>
  <c r="B1181" i="5" a="1"/>
  <c r="B1192" i="5" a="1"/>
  <c r="B1198" i="5" a="1"/>
  <c r="B1209" i="5" a="1"/>
  <c r="B1220" i="5" a="1"/>
  <c r="B1231" i="5" a="1"/>
  <c r="B1242" i="5" a="1"/>
  <c r="B1248" i="5" a="1"/>
  <c r="B1259" i="5" a="1"/>
  <c r="B1270" i="5" a="1"/>
  <c r="B1281" i="5" a="1"/>
  <c r="B1292" i="5" a="1"/>
  <c r="B1298" i="5" a="1"/>
  <c r="B1309" i="5" a="1"/>
  <c r="B1320" i="5" a="1"/>
  <c r="B1331" i="5" a="1"/>
  <c r="B1342" i="5" a="1"/>
  <c r="B1348" i="5" a="1"/>
  <c r="B1359" i="5" a="1"/>
  <c r="B1370" i="5" a="1"/>
  <c r="B1381" i="5" a="1"/>
  <c r="B1392" i="5" a="1"/>
  <c r="B1398" i="5" a="1"/>
  <c r="B1409" i="5" a="1"/>
  <c r="B1420" i="5" a="1"/>
  <c r="B1431" i="5" a="1"/>
  <c r="B1442" i="5" a="1"/>
  <c r="B1254" i="5" a="1"/>
  <c r="B1437" i="5" a="1"/>
  <c r="B776" i="5" a="1"/>
  <c r="B838" i="5" a="1"/>
  <c r="B850" i="5" a="1"/>
  <c r="B878" i="5" a="1"/>
  <c r="B889" i="5" a="1"/>
  <c r="B900" i="5" a="1"/>
  <c r="B911" i="5" a="1"/>
  <c r="B955" i="5" a="1"/>
  <c r="B965" i="5" a="1"/>
  <c r="B975" i="5" a="1"/>
  <c r="B985" i="5" a="1"/>
  <c r="B1019" i="5" a="1"/>
  <c r="B1040" i="5" a="1"/>
  <c r="B1046" i="5" a="1"/>
  <c r="B1053" i="5" a="1"/>
  <c r="B1059" i="5" a="1"/>
  <c r="B1065" i="5" a="1"/>
  <c r="B1071" i="5" a="1"/>
  <c r="B1078" i="5" a="1"/>
  <c r="B1084" i="5" a="1"/>
  <c r="B1090" i="5" a="1"/>
  <c r="B1096" i="5" a="1"/>
  <c r="B1103" i="5" a="1"/>
  <c r="B1109" i="5" a="1"/>
  <c r="B1115" i="5" a="1"/>
  <c r="B1121" i="5" a="1"/>
  <c r="B1128" i="5" a="1"/>
  <c r="B1134" i="5" a="1"/>
  <c r="B1140" i="5" a="1"/>
  <c r="B1146" i="5" a="1"/>
  <c r="B1153" i="5" a="1"/>
  <c r="B1159" i="5" a="1"/>
  <c r="B1165" i="5" a="1"/>
  <c r="B1176" i="5" a="1"/>
  <c r="B1187" i="5" a="1"/>
  <c r="B1193" i="5" a="1"/>
  <c r="B1204" i="5" a="1"/>
  <c r="B1215" i="5" a="1"/>
  <c r="B1226" i="5" a="1"/>
  <c r="B1237" i="5" a="1"/>
  <c r="B1243" i="5" a="1"/>
  <c r="B1265" i="5" a="1"/>
  <c r="B1276" i="5" a="1"/>
  <c r="B1287" i="5" a="1"/>
  <c r="B1293" i="5" a="1"/>
  <c r="B1304" i="5" a="1"/>
  <c r="B1315" i="5" a="1"/>
  <c r="B1326" i="5" a="1"/>
  <c r="B1337" i="5" a="1"/>
  <c r="B1343" i="5" a="1"/>
  <c r="B1354" i="5" a="1"/>
  <c r="B1365" i="5" a="1"/>
  <c r="B1376" i="5" a="1"/>
  <c r="B1387" i="5" a="1"/>
  <c r="B1393" i="5" a="1"/>
  <c r="B1404" i="5" a="1"/>
  <c r="B1415" i="5" a="1"/>
  <c r="B1426" i="5" a="1"/>
  <c r="B1443" i="5" a="1"/>
  <c r="B1438" i="5" a="1"/>
  <c r="B783" i="5" a="1"/>
  <c r="B823" i="5" a="1"/>
  <c r="B866" i="5" a="1"/>
  <c r="B912" i="5" a="1"/>
  <c r="B923" i="5" a="1"/>
  <c r="B934" i="5" a="1"/>
  <c r="B945" i="5" a="1"/>
  <c r="B995" i="5" a="1"/>
  <c r="B1004" i="5" a="1"/>
  <c r="B1013" i="5" a="1"/>
  <c r="B1027" i="5" a="1"/>
  <c r="B1034" i="5" a="1"/>
  <c r="B1047" i="5" a="1"/>
  <c r="B1072" i="5" a="1"/>
  <c r="B1097" i="5" a="1"/>
  <c r="B1122" i="5" a="1"/>
  <c r="B1147" i="5" a="1"/>
  <c r="B1171" i="5" a="1"/>
  <c r="B1182" i="5" a="1"/>
  <c r="B1188" i="5" a="1"/>
  <c r="B1199" i="5" a="1"/>
  <c r="B1210" i="5" a="1"/>
  <c r="B1221" i="5" a="1"/>
  <c r="B1232" i="5" a="1"/>
  <c r="B1238" i="5" a="1"/>
  <c r="B1249" i="5" a="1"/>
  <c r="B1260" i="5" a="1"/>
  <c r="B1271" i="5" a="1"/>
  <c r="B1282" i="5" a="1"/>
  <c r="B1288" i="5" a="1"/>
  <c r="B1299" i="5" a="1"/>
  <c r="B1310" i="5" a="1"/>
  <c r="B1321" i="5" a="1"/>
  <c r="B1332" i="5" a="1"/>
  <c r="B1338" i="5" a="1"/>
  <c r="B1349" i="5" a="1"/>
  <c r="B1360" i="5" a="1"/>
  <c r="B1371" i="5" a="1"/>
  <c r="B1382" i="5" a="1"/>
  <c r="B1388" i="5" a="1"/>
  <c r="B1399" i="5" a="1"/>
  <c r="B1410" i="5" a="1"/>
  <c r="B1421" i="5" a="1"/>
  <c r="B1432" i="5" a="1"/>
  <c r="B827" i="5" a="1"/>
  <c r="B839" i="5" a="1"/>
  <c r="B867" i="5" a="1"/>
  <c r="B882" i="5" a="1"/>
  <c r="B893" i="5" a="1"/>
  <c r="B904" i="5" a="1"/>
  <c r="B915" i="5" a="1"/>
  <c r="B926" i="5" a="1"/>
  <c r="B1020" i="5" a="1"/>
  <c r="B1028" i="5" a="1"/>
  <c r="B1041" i="5" a="1"/>
  <c r="B1048" i="5" a="1"/>
  <c r="B1054" i="5" a="1"/>
  <c r="B1060" i="5" a="1"/>
  <c r="B1066" i="5" a="1"/>
  <c r="B1073" i="5" a="1"/>
  <c r="B1079" i="5" a="1"/>
  <c r="B1085" i="5" a="1"/>
  <c r="B1091" i="5" a="1"/>
  <c r="B1098" i="5" a="1"/>
  <c r="B1104" i="5" a="1"/>
  <c r="B1110" i="5" a="1"/>
  <c r="B1116" i="5" a="1"/>
  <c r="B1123" i="5" a="1"/>
  <c r="B1129" i="5" a="1"/>
  <c r="B1135" i="5" a="1"/>
  <c r="B1141" i="5" a="1"/>
  <c r="B1148" i="5" a="1"/>
  <c r="B1154" i="5" a="1"/>
  <c r="B1160" i="5" a="1"/>
  <c r="B1166" i="5" a="1"/>
  <c r="B1177" i="5" a="1"/>
  <c r="B1183" i="5" a="1"/>
  <c r="B1194" i="5" a="1"/>
  <c r="B1205" i="5" a="1"/>
  <c r="B1216" i="5" a="1"/>
  <c r="B1227" i="5" a="1"/>
  <c r="B1233" i="5" a="1"/>
  <c r="B1244" i="5" a="1"/>
  <c r="B1255" i="5" a="1"/>
  <c r="B1266" i="5" a="1"/>
  <c r="B1277" i="5" a="1"/>
  <c r="B1283" i="5" a="1"/>
  <c r="B1294" i="5" a="1"/>
  <c r="B1305" i="5" a="1"/>
  <c r="B1316" i="5" a="1"/>
  <c r="B1327" i="5" a="1"/>
  <c r="B1333" i="5" a="1"/>
  <c r="B1344" i="5" a="1"/>
  <c r="B1355" i="5" a="1"/>
  <c r="B1366" i="5" a="1"/>
  <c r="B1377" i="5" a="1"/>
  <c r="B1383" i="5" a="1"/>
  <c r="B1394" i="5" a="1"/>
  <c r="B1405" i="5" a="1"/>
  <c r="B1416" i="5" a="1"/>
  <c r="B1427" i="5" a="1"/>
  <c r="B1433" i="5" a="1"/>
  <c r="B855" i="5" a="1"/>
  <c r="B927" i="5" a="1"/>
  <c r="B938" i="5" a="1"/>
  <c r="B949" i="5" a="1"/>
  <c r="B959" i="5" a="1"/>
  <c r="B969" i="5" a="1"/>
  <c r="B979" i="5" a="1"/>
  <c r="B989" i="5" a="1"/>
  <c r="B998" i="5" a="1"/>
  <c r="B1005" i="5" a="1"/>
  <c r="B1014" i="5" a="1"/>
  <c r="B1035" i="5" a="1"/>
  <c r="B1042" i="5" a="1"/>
  <c r="B1067" i="5" a="1"/>
  <c r="B1092" i="5" a="1"/>
  <c r="B804" i="5" a="1"/>
  <c r="B828" i="5" a="1"/>
  <c r="B871" i="5" a="1"/>
  <c r="B883" i="5" a="1"/>
  <c r="B894" i="5" a="1"/>
  <c r="B905" i="5" a="1"/>
  <c r="B916" i="5" a="1"/>
  <c r="B1022" i="5" a="1"/>
  <c r="B1029" i="5" a="1"/>
  <c r="B1043" i="5" a="1"/>
  <c r="B1049" i="5" a="1"/>
  <c r="B1055" i="5" a="1"/>
  <c r="B1061" i="5" a="1"/>
  <c r="B1068" i="5" a="1"/>
  <c r="B1074" i="5" a="1"/>
  <c r="B1080" i="5" a="1"/>
  <c r="B1086" i="5" a="1"/>
  <c r="B1093" i="5" a="1"/>
  <c r="B1099" i="5" a="1"/>
  <c r="B1105" i="5" a="1"/>
  <c r="B1111" i="5" a="1"/>
  <c r="B1118" i="5" a="1"/>
  <c r="B1124" i="5" a="1"/>
  <c r="B1130" i="5" a="1"/>
  <c r="B1136" i="5" a="1"/>
  <c r="B1143" i="5" a="1"/>
  <c r="B1149" i="5" a="1"/>
  <c r="B1155" i="5" a="1"/>
  <c r="B1161" i="5" a="1"/>
  <c r="B1167" i="5" a="1"/>
  <c r="B1173" i="5" a="1"/>
  <c r="B1184" i="5" a="1"/>
  <c r="B1195" i="5" a="1"/>
  <c r="B1206" i="5" a="1"/>
  <c r="B1217" i="5" a="1"/>
  <c r="B1223" i="5" a="1"/>
  <c r="B1234" i="5" a="1"/>
  <c r="B844" i="5" a="1"/>
  <c r="B856" i="5" a="1"/>
  <c r="B872" i="5" a="1"/>
  <c r="B917" i="5" a="1"/>
  <c r="B928" i="5" a="1"/>
  <c r="B939" i="5" a="1"/>
  <c r="B950" i="5" a="1"/>
  <c r="B960" i="5" a="1"/>
  <c r="B970" i="5" a="1"/>
  <c r="B980" i="5" a="1"/>
  <c r="B990" i="5" a="1"/>
  <c r="B999" i="5" a="1"/>
  <c r="B1008" i="5" a="1"/>
  <c r="B1015" i="5" a="1"/>
  <c r="B1023" i="5" a="1"/>
  <c r="B1037" i="5" a="1"/>
  <c r="B1062" i="5" a="1"/>
  <c r="B1087" i="5" a="1"/>
  <c r="B1112" i="5" a="1"/>
  <c r="B1137" i="5" a="1"/>
  <c r="B1162" i="5" a="1"/>
  <c r="B1168" i="5" a="1"/>
  <c r="B1179" i="5" a="1"/>
  <c r="B1190" i="5" a="1"/>
  <c r="B1201" i="5" a="1"/>
  <c r="B1212" i="5" a="1"/>
  <c r="B1218" i="5" a="1"/>
  <c r="B1229" i="5" a="1"/>
  <c r="B1240" i="5" a="1"/>
  <c r="B1251" i="5" a="1"/>
  <c r="B1262" i="5" a="1"/>
  <c r="B1268" i="5" a="1"/>
  <c r="B1279" i="5" a="1"/>
  <c r="B1290" i="5" a="1"/>
  <c r="B1301" i="5" a="1"/>
  <c r="B1312" i="5" a="1"/>
  <c r="B1318" i="5" a="1"/>
  <c r="B1329" i="5" a="1"/>
  <c r="B1340" i="5" a="1"/>
  <c r="B1351" i="5" a="1"/>
  <c r="B1362" i="5" a="1"/>
  <c r="B1368" i="5" a="1"/>
  <c r="B1379" i="5" a="1"/>
  <c r="B1390" i="5" a="1"/>
  <c r="B1401" i="5" a="1"/>
  <c r="B1117" i="5" a="1"/>
  <c r="B1178" i="5" a="1"/>
  <c r="B1339" i="5" a="1"/>
  <c r="B1356" i="5" a="1"/>
  <c r="B1374" i="5" a="1"/>
  <c r="B1411" i="5" a="1"/>
  <c r="B1439" i="5" a="1"/>
  <c r="B1378" i="5" a="1"/>
  <c r="B1424" i="5" a="1"/>
  <c r="B1285" i="5" a="1"/>
  <c r="B1323" i="5" a="1"/>
  <c r="B1412" i="5" a="1"/>
  <c r="B1239" i="5" a="1"/>
  <c r="B1284" i="5" a="1"/>
  <c r="B1322" i="5" a="1"/>
  <c r="B1357" i="5" a="1"/>
  <c r="B1395" i="5" a="1"/>
  <c r="B1396" i="5" a="1"/>
  <c r="B1189" i="5" a="1"/>
  <c r="B1267" i="5" a="1"/>
  <c r="B1361" i="5" a="1"/>
  <c r="B1440" i="5" a="1"/>
  <c r="B1289" i="5" a="1"/>
  <c r="B1306" i="5" a="1"/>
  <c r="B1324" i="5" a="1"/>
  <c r="B1400" i="5" a="1"/>
  <c r="B1413" i="5" a="1"/>
  <c r="B1345" i="5" a="1"/>
  <c r="B1429" i="5" a="1"/>
  <c r="B1346" i="5" a="1"/>
  <c r="B1142" i="5" a="1"/>
  <c r="B1200" i="5" a="1"/>
  <c r="B1245" i="5" a="1"/>
  <c r="B1272" i="5" a="1"/>
  <c r="B1307" i="5" a="1"/>
  <c r="B1328" i="5" a="1"/>
  <c r="B1384" i="5" a="1"/>
  <c r="B1250" i="5" a="1"/>
  <c r="B1273" i="5" a="1"/>
  <c r="B1311" i="5" a="1"/>
  <c r="B1211" i="5" a="1"/>
  <c r="B1274" i="5" a="1"/>
  <c r="B1350" i="5" a="1"/>
  <c r="B1367" i="5" a="1"/>
  <c r="B1385" i="5" a="1"/>
  <c r="B1418" i="5" a="1"/>
  <c r="B1278" i="5" a="1"/>
  <c r="B1295" i="5" a="1"/>
  <c r="B1313" i="5" a="1"/>
  <c r="B1389" i="5" a="1"/>
  <c r="B1406" i="5" a="1"/>
  <c r="B1434" i="5" a="1"/>
  <c r="B1222" i="5" a="1"/>
  <c r="B1256" i="5" a="1"/>
  <c r="B1296" i="5" a="1"/>
  <c r="B1334" i="5" a="1"/>
  <c r="B1372" i="5" a="1"/>
  <c r="B1422" i="5" a="1"/>
  <c r="B1417" i="5" a="1"/>
  <c r="B1172" i="5" a="1"/>
  <c r="B1228" i="5" a="1"/>
  <c r="B1261" i="5" a="1"/>
  <c r="B1300" i="5" a="1"/>
  <c r="B1317" i="5" a="1"/>
  <c r="B1335" i="5" a="1"/>
  <c r="B1373" i="5" a="1"/>
  <c r="B1407" i="5" a="1"/>
  <c r="B1423" i="5" a="1"/>
  <c r="B1435" i="5" a="1"/>
  <c r="B1428" i="5" a="1"/>
  <c r="B1363" i="5" a="1"/>
  <c r="B2" i="5" a="1"/>
  <c r="F12" i="3" a="1"/>
  <c r="F17" i="3" a="1"/>
  <c r="F22" i="3" a="1"/>
  <c r="F27" i="3" a="1"/>
  <c r="F32" i="3" a="1"/>
  <c r="F37" i="3" a="1"/>
  <c r="F42" i="3" a="1"/>
  <c r="F47" i="3" a="1"/>
  <c r="F52" i="3" a="1"/>
  <c r="F57" i="3" a="1"/>
  <c r="F62" i="3" a="1"/>
  <c r="F67" i="3" a="1"/>
  <c r="F72" i="3" a="1"/>
  <c r="F77" i="3" a="1"/>
  <c r="F13" i="3" a="1"/>
  <c r="F87" i="3" a="1"/>
  <c r="F93" i="3" a="1"/>
  <c r="F104" i="3" a="1"/>
  <c r="F115" i="3" a="1"/>
  <c r="F126" i="3" a="1"/>
  <c r="F137" i="3" a="1"/>
  <c r="F143" i="3" a="1"/>
  <c r="F154" i="3" a="1"/>
  <c r="F165" i="3" a="1"/>
  <c r="F176" i="3" a="1"/>
  <c r="F187" i="3" a="1"/>
  <c r="F193" i="3" a="1"/>
  <c r="F204" i="3" a="1"/>
  <c r="F215" i="3" a="1"/>
  <c r="F226" i="3" a="1"/>
  <c r="F237" i="3" a="1"/>
  <c r="F243" i="3" a="1"/>
  <c r="F254" i="3" a="1"/>
  <c r="F265" i="3" a="1"/>
  <c r="F276" i="3" a="1"/>
  <c r="F287" i="3" a="1"/>
  <c r="F293" i="3" a="1"/>
  <c r="F304" i="3" a="1"/>
  <c r="F315" i="3" a="1"/>
  <c r="F326" i="3" a="1"/>
  <c r="F337" i="3" a="1"/>
  <c r="F343" i="3" a="1"/>
  <c r="F354" i="3" a="1"/>
  <c r="F365" i="3" a="1"/>
  <c r="F20" i="3" a="1"/>
  <c r="F26" i="3" a="1"/>
  <c r="F33" i="3" a="1"/>
  <c r="F39" i="3" a="1"/>
  <c r="F45" i="3" a="1"/>
  <c r="F51" i="3" a="1"/>
  <c r="F58" i="3" a="1"/>
  <c r="F64" i="3" a="1"/>
  <c r="F70" i="3" a="1"/>
  <c r="F76" i="3" a="1"/>
  <c r="F82" i="3" a="1"/>
  <c r="F88" i="3" a="1"/>
  <c r="F99" i="3" a="1"/>
  <c r="F110" i="3" a="1"/>
  <c r="F121" i="3" a="1"/>
  <c r="F132" i="3" a="1"/>
  <c r="F138" i="3" a="1"/>
  <c r="F149" i="3" a="1"/>
  <c r="F160" i="3" a="1"/>
  <c r="F171" i="3" a="1"/>
  <c r="F182" i="3" a="1"/>
  <c r="F188" i="3" a="1"/>
  <c r="F199" i="3" a="1"/>
  <c r="F210" i="3" a="1"/>
  <c r="F221" i="3" a="1"/>
  <c r="F232" i="3" a="1"/>
  <c r="F238" i="3" a="1"/>
  <c r="F249" i="3" a="1"/>
  <c r="F260" i="3" a="1"/>
  <c r="F271" i="3" a="1"/>
  <c r="F282" i="3" a="1"/>
  <c r="F288" i="3" a="1"/>
  <c r="F299" i="3" a="1"/>
  <c r="F310" i="3" a="1"/>
  <c r="F321" i="3" a="1"/>
  <c r="F332" i="3" a="1"/>
  <c r="F338" i="3" a="1"/>
  <c r="F349" i="3" a="1"/>
  <c r="F360" i="3" a="1"/>
  <c r="F371" i="3" a="1"/>
  <c r="F382" i="3" a="1"/>
  <c r="F388" i="3" a="1"/>
  <c r="F399" i="3" a="1"/>
  <c r="F410" i="3" a="1"/>
  <c r="F421" i="3" a="1"/>
  <c r="F432" i="3" a="1"/>
  <c r="F14" i="3" a="1"/>
  <c r="F83" i="3" a="1"/>
  <c r="F94" i="3" a="1"/>
  <c r="F105" i="3" a="1"/>
  <c r="F116" i="3" a="1"/>
  <c r="F127" i="3" a="1"/>
  <c r="F133" i="3" a="1"/>
  <c r="F144" i="3" a="1"/>
  <c r="F155" i="3" a="1"/>
  <c r="F21" i="3" a="1"/>
  <c r="F28" i="3" a="1"/>
  <c r="F34" i="3" a="1"/>
  <c r="F40" i="3" a="1"/>
  <c r="F46" i="3" a="1"/>
  <c r="F53" i="3" a="1"/>
  <c r="F59" i="3" a="1"/>
  <c r="F65" i="3" a="1"/>
  <c r="F71" i="3" a="1"/>
  <c r="F78" i="3" a="1"/>
  <c r="F89" i="3" a="1"/>
  <c r="F100" i="3" a="1"/>
  <c r="F111" i="3" a="1"/>
  <c r="F122" i="3" a="1"/>
  <c r="F128" i="3" a="1"/>
  <c r="F139" i="3" a="1"/>
  <c r="F15" i="3" a="1"/>
  <c r="F84" i="3" a="1"/>
  <c r="F95" i="3" a="1"/>
  <c r="F106" i="3" a="1"/>
  <c r="F117" i="3" a="1"/>
  <c r="F123" i="3" a="1"/>
  <c r="F134" i="3" a="1"/>
  <c r="F145" i="3" a="1"/>
  <c r="F156" i="3" a="1"/>
  <c r="F167" i="3" a="1"/>
  <c r="F173" i="3" a="1"/>
  <c r="F184" i="3" a="1"/>
  <c r="F195" i="3" a="1"/>
  <c r="F206" i="3" a="1"/>
  <c r="F217" i="3" a="1"/>
  <c r="F223" i="3" a="1"/>
  <c r="F234" i="3" a="1"/>
  <c r="F245" i="3" a="1"/>
  <c r="F256" i="3" a="1"/>
  <c r="F267" i="3" a="1"/>
  <c r="F273" i="3" a="1"/>
  <c r="F284" i="3" a="1"/>
  <c r="F295" i="3" a="1"/>
  <c r="F306" i="3" a="1"/>
  <c r="F317" i="3" a="1"/>
  <c r="F323" i="3" a="1"/>
  <c r="F334" i="3" a="1"/>
  <c r="F345" i="3" a="1"/>
  <c r="F356" i="3" a="1"/>
  <c r="F23" i="3" a="1"/>
  <c r="F29" i="3" a="1"/>
  <c r="F35" i="3" a="1"/>
  <c r="F41" i="3" a="1"/>
  <c r="F48" i="3" a="1"/>
  <c r="F54" i="3" a="1"/>
  <c r="F60" i="3" a="1"/>
  <c r="F66" i="3" a="1"/>
  <c r="F73" i="3" a="1"/>
  <c r="F79" i="3" a="1"/>
  <c r="F90" i="3" a="1"/>
  <c r="F101" i="3" a="1"/>
  <c r="F112" i="3" a="1"/>
  <c r="F118" i="3" a="1"/>
  <c r="F129" i="3" a="1"/>
  <c r="F140" i="3" a="1"/>
  <c r="F151" i="3" a="1"/>
  <c r="F162" i="3" a="1"/>
  <c r="F168" i="3" a="1"/>
  <c r="F179" i="3" a="1"/>
  <c r="F190" i="3" a="1"/>
  <c r="F201" i="3" a="1"/>
  <c r="F212" i="3" a="1"/>
  <c r="F218" i="3" a="1"/>
  <c r="F229" i="3" a="1"/>
  <c r="F240" i="3" a="1"/>
  <c r="F251" i="3" a="1"/>
  <c r="F262" i="3" a="1"/>
  <c r="F268" i="3" a="1"/>
  <c r="F279" i="3" a="1"/>
  <c r="F290" i="3" a="1"/>
  <c r="F301" i="3" a="1"/>
  <c r="F312" i="3" a="1"/>
  <c r="F318" i="3" a="1"/>
  <c r="F329" i="3" a="1"/>
  <c r="F340" i="3" a="1"/>
  <c r="F16" i="3" a="1"/>
  <c r="F85" i="3" a="1"/>
  <c r="F18" i="3" a="1"/>
  <c r="F24" i="3" a="1"/>
  <c r="F30" i="3" a="1"/>
  <c r="F36" i="3" a="1"/>
  <c r="F43" i="3" a="1"/>
  <c r="F49" i="3" a="1"/>
  <c r="F55" i="3" a="1"/>
  <c r="F61" i="3" a="1"/>
  <c r="F68" i="3" a="1"/>
  <c r="F74" i="3" a="1"/>
  <c r="F80" i="3" a="1"/>
  <c r="F91" i="3" a="1"/>
  <c r="F102" i="3" a="1"/>
  <c r="F108" i="3" a="1"/>
  <c r="F119" i="3" a="1"/>
  <c r="F130" i="3" a="1"/>
  <c r="F141" i="3" a="1"/>
  <c r="F152" i="3" a="1"/>
  <c r="F86" i="3" a="1"/>
  <c r="F97" i="3" a="1"/>
  <c r="F103" i="3" a="1"/>
  <c r="F114" i="3" a="1"/>
  <c r="F125" i="3" a="1"/>
  <c r="F19" i="3" a="1"/>
  <c r="F25" i="3" a="1"/>
  <c r="F31" i="3" a="1"/>
  <c r="F38" i="3" a="1"/>
  <c r="F44" i="3" a="1"/>
  <c r="F50" i="3" a="1"/>
  <c r="F56" i="3" a="1"/>
  <c r="F63" i="3" a="1"/>
  <c r="F69" i="3" a="1"/>
  <c r="F75" i="3" a="1"/>
  <c r="F81" i="3" a="1"/>
  <c r="F92" i="3" a="1"/>
  <c r="F98" i="3" a="1"/>
  <c r="F109" i="3" a="1"/>
  <c r="F120" i="3" a="1"/>
  <c r="F131" i="3" a="1"/>
  <c r="F136" i="3" a="1"/>
  <c r="F163" i="3" a="1"/>
  <c r="F227" i="3" a="1"/>
  <c r="F236" i="3" a="1"/>
  <c r="F246" i="3" a="1"/>
  <c r="F255" i="3" a="1"/>
  <c r="F264" i="3" a="1"/>
  <c r="F274" i="3" a="1"/>
  <c r="F283" i="3" a="1"/>
  <c r="F355" i="3" a="1"/>
  <c r="F362" i="3" a="1"/>
  <c r="F369" i="3" a="1"/>
  <c r="F375" i="3" a="1"/>
  <c r="F381" i="3" a="1"/>
  <c r="F387" i="3" a="1"/>
  <c r="F394" i="3" a="1"/>
  <c r="F400" i="3" a="1"/>
  <c r="F406" i="3" a="1"/>
  <c r="F412" i="3" a="1"/>
  <c r="F442" i="3" a="1"/>
  <c r="F448" i="3" a="1"/>
  <c r="F459" i="3" a="1"/>
  <c r="F470" i="3" a="1"/>
  <c r="F481" i="3" a="1"/>
  <c r="F492" i="3" a="1"/>
  <c r="F498" i="3" a="1"/>
  <c r="F509" i="3" a="1"/>
  <c r="F520" i="3" a="1"/>
  <c r="F531" i="3" a="1"/>
  <c r="F542" i="3" a="1"/>
  <c r="F548" i="3" a="1"/>
  <c r="F559" i="3" a="1"/>
  <c r="F570" i="3" a="1"/>
  <c r="F581" i="3" a="1"/>
  <c r="F592" i="3" a="1"/>
  <c r="F598" i="3" a="1"/>
  <c r="F609" i="3" a="1"/>
  <c r="F620" i="3" a="1"/>
  <c r="F631" i="3" a="1"/>
  <c r="F642" i="3" a="1"/>
  <c r="F648" i="3" a="1"/>
  <c r="F659" i="3" a="1"/>
  <c r="F670" i="3" a="1"/>
  <c r="F681" i="3" a="1"/>
  <c r="F692" i="3" a="1"/>
  <c r="F698" i="3" a="1"/>
  <c r="F709" i="3" a="1"/>
  <c r="F720" i="3" a="1"/>
  <c r="F731" i="3" a="1"/>
  <c r="F742" i="3" a="1"/>
  <c r="F748" i="3" a="1"/>
  <c r="F759" i="3" a="1"/>
  <c r="F770" i="3" a="1"/>
  <c r="F781" i="3" a="1"/>
  <c r="F96" i="3" a="1"/>
  <c r="F153" i="3" a="1"/>
  <c r="F172" i="3" a="1"/>
  <c r="F181" i="3" a="1"/>
  <c r="F191" i="3" a="1"/>
  <c r="F200" i="3" a="1"/>
  <c r="F209" i="3" a="1"/>
  <c r="F219" i="3" a="1"/>
  <c r="F228" i="3" a="1"/>
  <c r="F292" i="3" a="1"/>
  <c r="F302" i="3" a="1"/>
  <c r="F311" i="3" a="1"/>
  <c r="F320" i="3" a="1"/>
  <c r="F330" i="3" a="1"/>
  <c r="F339" i="3" a="1"/>
  <c r="F347" i="3" a="1"/>
  <c r="F363" i="3" a="1"/>
  <c r="F413" i="3" a="1"/>
  <c r="F419" i="3" a="1"/>
  <c r="F425" i="3" a="1"/>
  <c r="F431" i="3" a="1"/>
  <c r="F437" i="3" a="1"/>
  <c r="F443" i="3" a="1"/>
  <c r="F454" i="3" a="1"/>
  <c r="F465" i="3" a="1"/>
  <c r="F476" i="3" a="1"/>
  <c r="F487" i="3" a="1"/>
  <c r="F493" i="3" a="1"/>
  <c r="F504" i="3" a="1"/>
  <c r="F515" i="3" a="1"/>
  <c r="F526" i="3" a="1"/>
  <c r="F537" i="3" a="1"/>
  <c r="F543" i="3" a="1"/>
  <c r="F554" i="3" a="1"/>
  <c r="F565" i="3" a="1"/>
  <c r="F576" i="3" a="1"/>
  <c r="F587" i="3" a="1"/>
  <c r="F593" i="3" a="1"/>
  <c r="F604" i="3" a="1"/>
  <c r="F615" i="3" a="1"/>
  <c r="F626" i="3" a="1"/>
  <c r="F637" i="3" a="1"/>
  <c r="F643" i="3" a="1"/>
  <c r="F654" i="3" a="1"/>
  <c r="F665" i="3" a="1"/>
  <c r="F676" i="3" a="1"/>
  <c r="F687" i="3" a="1"/>
  <c r="F693" i="3" a="1"/>
  <c r="F704" i="3" a="1"/>
  <c r="F715" i="3" a="1"/>
  <c r="F726" i="3" a="1"/>
  <c r="F737" i="3" a="1"/>
  <c r="F743" i="3" a="1"/>
  <c r="F754" i="3" a="1"/>
  <c r="F765" i="3" a="1"/>
  <c r="F776" i="3" a="1"/>
  <c r="F787" i="3" a="1"/>
  <c r="F793" i="3" a="1"/>
  <c r="F804" i="3" a="1"/>
  <c r="F815" i="3" a="1"/>
  <c r="F826" i="3" a="1"/>
  <c r="F164" i="3" a="1"/>
  <c r="F174" i="3" a="1"/>
  <c r="F183" i="3" a="1"/>
  <c r="F247" i="3" a="1"/>
  <c r="F257" i="3" a="1"/>
  <c r="F266" i="3" a="1"/>
  <c r="F275" i="3" a="1"/>
  <c r="F285" i="3" a="1"/>
  <c r="F294" i="3" a="1"/>
  <c r="F303" i="3" a="1"/>
  <c r="F313" i="3" a="1"/>
  <c r="F348" i="3" a="1"/>
  <c r="F370" i="3" a="1"/>
  <c r="F376" i="3" a="1"/>
  <c r="F383" i="3" a="1"/>
  <c r="F389" i="3" a="1"/>
  <c r="F395" i="3" a="1"/>
  <c r="F401" i="3" a="1"/>
  <c r="F407" i="3" a="1"/>
  <c r="F438" i="3" a="1"/>
  <c r="F449" i="3" a="1"/>
  <c r="F460" i="3" a="1"/>
  <c r="F471" i="3" a="1"/>
  <c r="F482" i="3" a="1"/>
  <c r="F488" i="3" a="1"/>
  <c r="F499" i="3" a="1"/>
  <c r="F107" i="3" a="1"/>
  <c r="F192" i="3" a="1"/>
  <c r="F202" i="3" a="1"/>
  <c r="F211" i="3" a="1"/>
  <c r="F220" i="3" a="1"/>
  <c r="F230" i="3" a="1"/>
  <c r="F239" i="3" a="1"/>
  <c r="F248" i="3" a="1"/>
  <c r="F258" i="3" a="1"/>
  <c r="F322" i="3" a="1"/>
  <c r="F331" i="3" a="1"/>
  <c r="F341" i="3" a="1"/>
  <c r="F357" i="3" a="1"/>
  <c r="F364" i="3" a="1"/>
  <c r="F377" i="3" a="1"/>
  <c r="F408" i="3" a="1"/>
  <c r="F414" i="3" a="1"/>
  <c r="F420" i="3" a="1"/>
  <c r="F426" i="3" a="1"/>
  <c r="F433" i="3" a="1"/>
  <c r="F444" i="3" a="1"/>
  <c r="F455" i="3" a="1"/>
  <c r="F466" i="3" a="1"/>
  <c r="F477" i="3" a="1"/>
  <c r="F483" i="3" a="1"/>
  <c r="F494" i="3" a="1"/>
  <c r="F505" i="3" a="1"/>
  <c r="F516" i="3" a="1"/>
  <c r="F527" i="3" a="1"/>
  <c r="F533" i="3" a="1"/>
  <c r="F544" i="3" a="1"/>
  <c r="F555" i="3" a="1"/>
  <c r="F566" i="3" a="1"/>
  <c r="F577" i="3" a="1"/>
  <c r="F583" i="3" a="1"/>
  <c r="F594" i="3" a="1"/>
  <c r="F605" i="3" a="1"/>
  <c r="F616" i="3" a="1"/>
  <c r="F627" i="3" a="1"/>
  <c r="F633" i="3" a="1"/>
  <c r="F644" i="3" a="1"/>
  <c r="F655" i="3" a="1"/>
  <c r="F666" i="3" a="1"/>
  <c r="F677" i="3" a="1"/>
  <c r="F683" i="3" a="1"/>
  <c r="F694" i="3" a="1"/>
  <c r="F705" i="3" a="1"/>
  <c r="F716" i="3" a="1"/>
  <c r="F727" i="3" a="1"/>
  <c r="F733" i="3" a="1"/>
  <c r="F744" i="3" a="1"/>
  <c r="F755" i="3" a="1"/>
  <c r="F766" i="3" a="1"/>
  <c r="F777" i="3" a="1"/>
  <c r="F783" i="3" a="1"/>
  <c r="F794" i="3" a="1"/>
  <c r="F805" i="3" a="1"/>
  <c r="F113" i="3" a="1"/>
  <c r="F142" i="3" a="1"/>
  <c r="F157" i="3" a="1"/>
  <c r="F166" i="3" a="1"/>
  <c r="F175" i="3" a="1"/>
  <c r="F185" i="3" a="1"/>
  <c r="F194" i="3" a="1"/>
  <c r="F203" i="3" a="1"/>
  <c r="F213" i="3" a="1"/>
  <c r="F277" i="3" a="1"/>
  <c r="F286" i="3" a="1"/>
  <c r="F296" i="3" a="1"/>
  <c r="F305" i="3" a="1"/>
  <c r="F314" i="3" a="1"/>
  <c r="F324" i="3" a="1"/>
  <c r="F333" i="3" a="1"/>
  <c r="F350" i="3" a="1"/>
  <c r="F358" i="3" a="1"/>
  <c r="F378" i="3" a="1"/>
  <c r="F384" i="3" a="1"/>
  <c r="F390" i="3" a="1"/>
  <c r="F396" i="3" a="1"/>
  <c r="F402" i="3" a="1"/>
  <c r="F427" i="3" a="1"/>
  <c r="F439" i="3" a="1"/>
  <c r="F450" i="3" a="1"/>
  <c r="F461" i="3" a="1"/>
  <c r="F158" i="3" a="1"/>
  <c r="F222" i="3" a="1"/>
  <c r="F231" i="3" a="1"/>
  <c r="F241" i="3" a="1"/>
  <c r="F250" i="3" a="1"/>
  <c r="F259" i="3" a="1"/>
  <c r="F269" i="3" a="1"/>
  <c r="F278" i="3" a="1"/>
  <c r="F342" i="3" a="1"/>
  <c r="F351" i="3" a="1"/>
  <c r="F366" i="3" a="1"/>
  <c r="F372" i="3" a="1"/>
  <c r="F403" i="3" a="1"/>
  <c r="F409" i="3" a="1"/>
  <c r="F415" i="3" a="1"/>
  <c r="F428" i="3" a="1"/>
  <c r="F434" i="3" a="1"/>
  <c r="F445" i="3" a="1"/>
  <c r="F456" i="3" a="1"/>
  <c r="F467" i="3" a="1"/>
  <c r="F473" i="3" a="1"/>
  <c r="F484" i="3" a="1"/>
  <c r="F495" i="3" a="1"/>
  <c r="F506" i="3" a="1"/>
  <c r="F517" i="3" a="1"/>
  <c r="F523" i="3" a="1"/>
  <c r="F534" i="3" a="1"/>
  <c r="F545" i="3" a="1"/>
  <c r="F556" i="3" a="1"/>
  <c r="F567" i="3" a="1"/>
  <c r="F124" i="3" a="1"/>
  <c r="F146" i="3" a="1"/>
  <c r="F177" i="3" a="1"/>
  <c r="F186" i="3" a="1"/>
  <c r="F196" i="3" a="1"/>
  <c r="F205" i="3" a="1"/>
  <c r="F214" i="3" a="1"/>
  <c r="F224" i="3" a="1"/>
  <c r="F233" i="3" a="1"/>
  <c r="F297" i="3" a="1"/>
  <c r="F307" i="3" a="1"/>
  <c r="F316" i="3" a="1"/>
  <c r="F325" i="3" a="1"/>
  <c r="F335" i="3" a="1"/>
  <c r="F344" i="3" a="1"/>
  <c r="F359" i="3" a="1"/>
  <c r="F373" i="3" a="1"/>
  <c r="F147" i="3" a="1"/>
  <c r="F159" i="3" a="1"/>
  <c r="F169" i="3" a="1"/>
  <c r="F178" i="3" a="1"/>
  <c r="F242" i="3" a="1"/>
  <c r="F252" i="3" a="1"/>
  <c r="F261" i="3" a="1"/>
  <c r="F270" i="3" a="1"/>
  <c r="F280" i="3" a="1"/>
  <c r="F289" i="3" a="1"/>
  <c r="F298" i="3" a="1"/>
  <c r="F308" i="3" a="1"/>
  <c r="F352" i="3" a="1"/>
  <c r="F367" i="3" a="1"/>
  <c r="F398" i="3" a="1"/>
  <c r="F404" i="3" a="1"/>
  <c r="F423" i="3" a="1"/>
  <c r="F429" i="3" a="1"/>
  <c r="F435" i="3" a="1"/>
  <c r="F446" i="3" a="1"/>
  <c r="F457" i="3" a="1"/>
  <c r="F463" i="3" a="1"/>
  <c r="F474" i="3" a="1"/>
  <c r="F485" i="3" a="1"/>
  <c r="F496" i="3" a="1"/>
  <c r="F507" i="3" a="1"/>
  <c r="F148" i="3" a="1"/>
  <c r="F197" i="3" a="1"/>
  <c r="F207" i="3" a="1"/>
  <c r="F216" i="3" a="1"/>
  <c r="F225" i="3" a="1"/>
  <c r="F235" i="3" a="1"/>
  <c r="F244" i="3" a="1"/>
  <c r="F253" i="3" a="1"/>
  <c r="F263" i="3" a="1"/>
  <c r="F327" i="3" a="1"/>
  <c r="F336" i="3" a="1"/>
  <c r="F353" i="3" a="1"/>
  <c r="F361" i="3" a="1"/>
  <c r="F368" i="3" a="1"/>
  <c r="F374" i="3" a="1"/>
  <c r="F380" i="3" a="1"/>
  <c r="F386" i="3" a="1"/>
  <c r="F392" i="3" a="1"/>
  <c r="F405" i="3" a="1"/>
  <c r="F411" i="3" a="1"/>
  <c r="F417" i="3" a="1"/>
  <c r="F441" i="3" a="1"/>
  <c r="F452" i="3" a="1"/>
  <c r="F135" i="3" a="1"/>
  <c r="F150" i="3" a="1"/>
  <c r="F161" i="3" a="1"/>
  <c r="F170" i="3" a="1"/>
  <c r="F180" i="3" a="1"/>
  <c r="F189" i="3" a="1"/>
  <c r="F198" i="3" a="1"/>
  <c r="F208" i="3" a="1"/>
  <c r="F272" i="3" a="1"/>
  <c r="F281" i="3" a="1"/>
  <c r="F291" i="3" a="1"/>
  <c r="F300" i="3" a="1"/>
  <c r="F309" i="3" a="1"/>
  <c r="F319" i="3" a="1"/>
  <c r="F328" i="3" a="1"/>
  <c r="F346" i="3" a="1"/>
  <c r="F393" i="3" a="1"/>
  <c r="F418" i="3" a="1"/>
  <c r="F424" i="3" a="1"/>
  <c r="F430" i="3" a="1"/>
  <c r="F436" i="3" a="1"/>
  <c r="F447" i="3" a="1"/>
  <c r="F453" i="3" a="1"/>
  <c r="F379" i="3" a="1"/>
  <c r="F440" i="3" a="1"/>
  <c r="F468" i="3" a="1"/>
  <c r="F508" i="3" a="1"/>
  <c r="F518" i="3" a="1"/>
  <c r="F573" i="3" a="1"/>
  <c r="F580" i="3" a="1"/>
  <c r="F589" i="3" a="1"/>
  <c r="F596" i="3" a="1"/>
  <c r="F612" i="3" a="1"/>
  <c r="F660" i="3" a="1"/>
  <c r="F668" i="3" a="1"/>
  <c r="F675" i="3" a="1"/>
  <c r="F684" i="3" a="1"/>
  <c r="F691" i="3" a="1"/>
  <c r="F700" i="3" a="1"/>
  <c r="F707" i="3" a="1"/>
  <c r="F763" i="3" a="1"/>
  <c r="F771" i="3" a="1"/>
  <c r="F779" i="3" a="1"/>
  <c r="F786" i="3" a="1"/>
  <c r="F807" i="3" a="1"/>
  <c r="F837" i="3" a="1"/>
  <c r="F843" i="3" a="1"/>
  <c r="F854" i="3" a="1"/>
  <c r="F865" i="3" a="1"/>
  <c r="F876" i="3" a="1"/>
  <c r="F887" i="3" a="1"/>
  <c r="F893" i="3" a="1"/>
  <c r="F904" i="3" a="1"/>
  <c r="F915" i="3" a="1"/>
  <c r="F926" i="3" a="1"/>
  <c r="F937" i="3" a="1"/>
  <c r="F943" i="3" a="1"/>
  <c r="F954" i="3" a="1"/>
  <c r="F965" i="3" a="1"/>
  <c r="F976" i="3" a="1"/>
  <c r="F987" i="3" a="1"/>
  <c r="F385" i="3" a="1"/>
  <c r="F469" i="3" a="1"/>
  <c r="F528" i="3" a="1"/>
  <c r="F536" i="3" a="1"/>
  <c r="F546" i="3" a="1"/>
  <c r="F564" i="3" a="1"/>
  <c r="F613" i="3" a="1"/>
  <c r="F621" i="3" a="1"/>
  <c r="F629" i="3" a="1"/>
  <c r="F636" i="3" a="1"/>
  <c r="F645" i="3" a="1"/>
  <c r="F652" i="3" a="1"/>
  <c r="F661" i="3" a="1"/>
  <c r="F708" i="3" a="1"/>
  <c r="F724" i="3" a="1"/>
  <c r="F732" i="3" a="1"/>
  <c r="F740" i="3" a="1"/>
  <c r="F747" i="3" a="1"/>
  <c r="F756" i="3" a="1"/>
  <c r="F772" i="3" a="1"/>
  <c r="F801" i="3" a="1"/>
  <c r="F808" i="3" a="1"/>
  <c r="F814" i="3" a="1"/>
  <c r="F820" i="3" a="1"/>
  <c r="F832" i="3" a="1"/>
  <c r="F838" i="3" a="1"/>
  <c r="F849" i="3" a="1"/>
  <c r="F860" i="3" a="1"/>
  <c r="F871" i="3" a="1"/>
  <c r="F882" i="3" a="1"/>
  <c r="F888" i="3" a="1"/>
  <c r="F899" i="3" a="1"/>
  <c r="F910" i="3" a="1"/>
  <c r="F921" i="3" a="1"/>
  <c r="F932" i="3" a="1"/>
  <c r="F938" i="3" a="1"/>
  <c r="F949" i="3" a="1"/>
  <c r="F960" i="3" a="1"/>
  <c r="F391" i="3" a="1"/>
  <c r="F451" i="3" a="1"/>
  <c r="F497" i="3" a="1"/>
  <c r="F510" i="3" a="1"/>
  <c r="F519" i="3" a="1"/>
  <c r="F529" i="3" a="1"/>
  <c r="F538" i="3" a="1"/>
  <c r="F574" i="3" a="1"/>
  <c r="F582" i="3" a="1"/>
  <c r="F590" i="3" a="1"/>
  <c r="F597" i="3" a="1"/>
  <c r="F606" i="3" a="1"/>
  <c r="F622" i="3" a="1"/>
  <c r="F638" i="3" a="1"/>
  <c r="F653" i="3" a="1"/>
  <c r="F669" i="3" a="1"/>
  <c r="F678" i="3" a="1"/>
  <c r="F685" i="3" a="1"/>
  <c r="F701" i="3" a="1"/>
  <c r="F717" i="3" a="1"/>
  <c r="F749" i="3" a="1"/>
  <c r="F764" i="3" a="1"/>
  <c r="F773" i="3" a="1"/>
  <c r="F780" i="3" a="1"/>
  <c r="F788" i="3" a="1"/>
  <c r="F795" i="3" a="1"/>
  <c r="F821" i="3" a="1"/>
  <c r="F827" i="3" a="1"/>
  <c r="F833" i="3" a="1"/>
  <c r="F844" i="3" a="1"/>
  <c r="F855" i="3" a="1"/>
  <c r="F866" i="3" a="1"/>
  <c r="F877" i="3" a="1"/>
  <c r="F883" i="3" a="1"/>
  <c r="F894" i="3" a="1"/>
  <c r="F905" i="3" a="1"/>
  <c r="F916" i="3" a="1"/>
  <c r="F927" i="3" a="1"/>
  <c r="F933" i="3" a="1"/>
  <c r="F944" i="3" a="1"/>
  <c r="F955" i="3" a="1"/>
  <c r="F966" i="3" a="1"/>
  <c r="F977" i="3" a="1"/>
  <c r="F397" i="3" a="1"/>
  <c r="F472" i="3" a="1"/>
  <c r="F500" i="3" a="1"/>
  <c r="F511" i="3" a="1"/>
  <c r="F539" i="3" a="1"/>
  <c r="F547" i="3" a="1"/>
  <c r="F557" i="3" a="1"/>
  <c r="F599" i="3" a="1"/>
  <c r="F614" i="3" a="1"/>
  <c r="F623" i="3" a="1"/>
  <c r="F630" i="3" a="1"/>
  <c r="F639" i="3" a="1"/>
  <c r="F646" i="3" a="1"/>
  <c r="F662" i="3" a="1"/>
  <c r="F710" i="3" a="1"/>
  <c r="F718" i="3" a="1"/>
  <c r="F458" i="3" a="1"/>
  <c r="F486" i="3" a="1"/>
  <c r="F501" i="3" a="1"/>
  <c r="F512" i="3" a="1"/>
  <c r="F521" i="3" a="1"/>
  <c r="F530" i="3" a="1"/>
  <c r="F540" i="3" a="1"/>
  <c r="F549" i="3" a="1"/>
  <c r="F558" i="3" a="1"/>
  <c r="F568" i="3" a="1"/>
  <c r="F575" i="3" a="1"/>
  <c r="F584" i="3" a="1"/>
  <c r="F591" i="3" a="1"/>
  <c r="F600" i="3" a="1"/>
  <c r="F607" i="3" a="1"/>
  <c r="F663" i="3" a="1"/>
  <c r="F671" i="3" a="1"/>
  <c r="F679" i="3" a="1"/>
  <c r="F686" i="3" a="1"/>
  <c r="F695" i="3" a="1"/>
  <c r="F702" i="3" a="1"/>
  <c r="F711" i="3" a="1"/>
  <c r="F758" i="3" a="1"/>
  <c r="F774" i="3" a="1"/>
  <c r="F782" i="3" a="1"/>
  <c r="F796" i="3" a="1"/>
  <c r="F803" i="3" a="1"/>
  <c r="F489" i="3" a="1"/>
  <c r="F502" i="3" a="1"/>
  <c r="F513" i="3" a="1"/>
  <c r="F522" i="3" a="1"/>
  <c r="F550" i="3" a="1"/>
  <c r="F608" i="3" a="1"/>
  <c r="F624" i="3" a="1"/>
  <c r="F632" i="3" a="1"/>
  <c r="F640" i="3" a="1"/>
  <c r="F647" i="3" a="1"/>
  <c r="F656" i="3" a="1"/>
  <c r="F672" i="3" a="1"/>
  <c r="F688" i="3" a="1"/>
  <c r="F703" i="3" a="1"/>
  <c r="F719" i="3" a="1"/>
  <c r="F728" i="3" a="1"/>
  <c r="F735" i="3" a="1"/>
  <c r="F751" i="3" a="1"/>
  <c r="F767" i="3" a="1"/>
  <c r="F790" i="3" a="1"/>
  <c r="F823" i="3" a="1"/>
  <c r="F829" i="3" a="1"/>
  <c r="F840" i="3" a="1"/>
  <c r="F851" i="3" a="1"/>
  <c r="F862" i="3" a="1"/>
  <c r="F868" i="3" a="1"/>
  <c r="F879" i="3" a="1"/>
  <c r="F890" i="3" a="1"/>
  <c r="F901" i="3" a="1"/>
  <c r="F912" i="3" a="1"/>
  <c r="F918" i="3" a="1"/>
  <c r="F929" i="3" a="1"/>
  <c r="F940" i="3" a="1"/>
  <c r="F951" i="3" a="1"/>
  <c r="F962" i="3" a="1"/>
  <c r="F968" i="3" a="1"/>
  <c r="F979" i="3" a="1"/>
  <c r="F990" i="3" a="1"/>
  <c r="F995" i="3" a="1"/>
  <c r="F1000" i="3" a="1"/>
  <c r="F1005" i="3" a="1"/>
  <c r="F1010" i="3" a="1"/>
  <c r="F1015" i="3" a="1"/>
  <c r="F1020" i="3" a="1"/>
  <c r="F416" i="3" a="1"/>
  <c r="F462" i="3" a="1"/>
  <c r="F475" i="3" a="1"/>
  <c r="F490" i="3" a="1"/>
  <c r="F503" i="3" a="1"/>
  <c r="F532" i="3" a="1"/>
  <c r="F541" i="3" a="1"/>
  <c r="F551" i="3" a="1"/>
  <c r="F560" i="3" a="1"/>
  <c r="F569" i="3" a="1"/>
  <c r="F578" i="3" a="1"/>
  <c r="F585" i="3" a="1"/>
  <c r="F601" i="3" a="1"/>
  <c r="F617" i="3" a="1"/>
  <c r="F649" i="3" a="1"/>
  <c r="F664" i="3" a="1"/>
  <c r="F673" i="3" a="1"/>
  <c r="F680" i="3" a="1"/>
  <c r="F689" i="3" a="1"/>
  <c r="F696" i="3" a="1"/>
  <c r="F712" i="3" a="1"/>
  <c r="F760" i="3" a="1"/>
  <c r="F768" i="3" a="1"/>
  <c r="F422" i="3" a="1"/>
  <c r="F478" i="3" a="1"/>
  <c r="F491" i="3" a="1"/>
  <c r="F514" i="3" a="1"/>
  <c r="F524" i="3" a="1"/>
  <c r="F561" i="3" a="1"/>
  <c r="F610" i="3" a="1"/>
  <c r="F618" i="3" a="1"/>
  <c r="F625" i="3" a="1"/>
  <c r="F634" i="3" a="1"/>
  <c r="F641" i="3" a="1"/>
  <c r="F650" i="3" a="1"/>
  <c r="F657" i="3" a="1"/>
  <c r="F713" i="3" a="1"/>
  <c r="F721" i="3" a="1"/>
  <c r="F729" i="3" a="1"/>
  <c r="F736" i="3" a="1"/>
  <c r="F745" i="3" a="1"/>
  <c r="F752" i="3" a="1"/>
  <c r="F761" i="3" a="1"/>
  <c r="F791" i="3" a="1"/>
  <c r="F798" i="3" a="1"/>
  <c r="F818" i="3" a="1"/>
  <c r="F824" i="3" a="1"/>
  <c r="F830" i="3" a="1"/>
  <c r="F841" i="3" a="1"/>
  <c r="F852" i="3" a="1"/>
  <c r="F858" i="3" a="1"/>
  <c r="F869" i="3" a="1"/>
  <c r="F880" i="3" a="1"/>
  <c r="F891" i="3" a="1"/>
  <c r="F902" i="3" a="1"/>
  <c r="F908" i="3" a="1"/>
  <c r="F919" i="3" a="1"/>
  <c r="F930" i="3" a="1"/>
  <c r="F941" i="3" a="1"/>
  <c r="F952" i="3" a="1"/>
  <c r="F464" i="3" a="1"/>
  <c r="F479" i="3" a="1"/>
  <c r="F552" i="3" a="1"/>
  <c r="F562" i="3" a="1"/>
  <c r="F571" i="3" a="1"/>
  <c r="F579" i="3" a="1"/>
  <c r="F586" i="3" a="1"/>
  <c r="F595" i="3" a="1"/>
  <c r="F602" i="3" a="1"/>
  <c r="F611" i="3" a="1"/>
  <c r="F658" i="3" a="1"/>
  <c r="F674" i="3" a="1"/>
  <c r="F682" i="3" a="1"/>
  <c r="F690" i="3" a="1"/>
  <c r="F697" i="3" a="1"/>
  <c r="F706" i="3" a="1"/>
  <c r="F722" i="3" a="1"/>
  <c r="F738" i="3" a="1"/>
  <c r="F753" i="3" a="1"/>
  <c r="F769" i="3" a="1"/>
  <c r="F778" i="3" a="1"/>
  <c r="F785" i="3" a="1"/>
  <c r="F799" i="3" a="1"/>
  <c r="F806" i="3" a="1"/>
  <c r="F812" i="3" a="1"/>
  <c r="F836" i="3" a="1"/>
  <c r="F847" i="3" a="1"/>
  <c r="F853" i="3" a="1"/>
  <c r="F864" i="3" a="1"/>
  <c r="F875" i="3" a="1"/>
  <c r="F886" i="3" a="1"/>
  <c r="F897" i="3" a="1"/>
  <c r="F903" i="3" a="1"/>
  <c r="F914" i="3" a="1"/>
  <c r="F480" i="3" a="1"/>
  <c r="F525" i="3" a="1"/>
  <c r="F535" i="3" a="1"/>
  <c r="F553" i="3" a="1"/>
  <c r="F563" i="3" a="1"/>
  <c r="F572" i="3" a="1"/>
  <c r="F588" i="3" a="1"/>
  <c r="F603" i="3" a="1"/>
  <c r="F619" i="3" a="1"/>
  <c r="F628" i="3" a="1"/>
  <c r="F635" i="3" a="1"/>
  <c r="F651" i="3" a="1"/>
  <c r="F667" i="3" a="1"/>
  <c r="F699" i="3" a="1"/>
  <c r="F714" i="3" a="1"/>
  <c r="F723" i="3" a="1"/>
  <c r="F730" i="3" a="1"/>
  <c r="F739" i="3" a="1"/>
  <c r="F746" i="3" a="1"/>
  <c r="F762" i="3" a="1"/>
  <c r="F792" i="3" a="1"/>
  <c r="F800" i="3" a="1"/>
  <c r="F813" i="3" a="1"/>
  <c r="F819" i="3" a="1"/>
  <c r="F825" i="3" a="1"/>
  <c r="F831" i="3" a="1"/>
  <c r="F842" i="3" a="1"/>
  <c r="F848" i="3" a="1"/>
  <c r="F859" i="3" a="1"/>
  <c r="F870" i="3" a="1"/>
  <c r="F881" i="3" a="1"/>
  <c r="F892" i="3" a="1"/>
  <c r="F898" i="3" a="1"/>
  <c r="F725" i="3" a="1"/>
  <c r="F789" i="3" a="1"/>
  <c r="F816" i="3" a="1"/>
  <c r="F835" i="3" a="1"/>
  <c r="F873" i="3" a="1"/>
  <c r="F907" i="3" a="1"/>
  <c r="F920" i="3" a="1"/>
  <c r="F931" i="3" a="1"/>
  <c r="F942" i="3" a="1"/>
  <c r="F971" i="3" a="1"/>
  <c r="F986" i="3" a="1"/>
  <c r="F993" i="3" a="1"/>
  <c r="F999" i="3" a="1"/>
  <c r="F1018" i="3" a="1"/>
  <c r="F1024" i="3" a="1"/>
  <c r="F1035" i="3" a="1"/>
  <c r="F1046" i="3" a="1"/>
  <c r="F1057" i="3" a="1"/>
  <c r="F1063" i="3" a="1"/>
  <c r="F1074" i="3" a="1"/>
  <c r="F1085" i="3" a="1"/>
  <c r="F1096" i="3" a="1"/>
  <c r="F734" i="3" a="1"/>
  <c r="F817" i="3" a="1"/>
  <c r="F839" i="3" a="1"/>
  <c r="F856" i="3" a="1"/>
  <c r="F874" i="3" a="1"/>
  <c r="F909" i="3" a="1"/>
  <c r="F922" i="3" a="1"/>
  <c r="F964" i="3" a="1"/>
  <c r="F972" i="3" a="1"/>
  <c r="F980" i="3" a="1"/>
  <c r="F1006" i="3" a="1"/>
  <c r="F1012" i="3" a="1"/>
  <c r="F1030" i="3" a="1"/>
  <c r="F1041" i="3" a="1"/>
  <c r="F1052" i="3" a="1"/>
  <c r="F1058" i="3" a="1"/>
  <c r="F1069" i="3" a="1"/>
  <c r="F1080" i="3" a="1"/>
  <c r="F1091" i="3" a="1"/>
  <c r="F1102" i="3" a="1"/>
  <c r="F741" i="3" a="1"/>
  <c r="F857" i="3" a="1"/>
  <c r="F878" i="3" a="1"/>
  <c r="F895" i="3" a="1"/>
  <c r="F911" i="3" a="1"/>
  <c r="F923" i="3" a="1"/>
  <c r="F934" i="3" a="1"/>
  <c r="F945" i="3" a="1"/>
  <c r="F956" i="3" a="1"/>
  <c r="F973" i="3" a="1"/>
  <c r="F988" i="3" a="1"/>
  <c r="F994" i="3" a="1"/>
  <c r="F1013" i="3" a="1"/>
  <c r="F1019" i="3" a="1"/>
  <c r="F1025" i="3" a="1"/>
  <c r="F1036" i="3" a="1"/>
  <c r="F1047" i="3" a="1"/>
  <c r="F750" i="3" a="1"/>
  <c r="F797" i="3" a="1"/>
  <c r="F822" i="3" a="1"/>
  <c r="F861" i="3" a="1"/>
  <c r="F896" i="3" a="1"/>
  <c r="F924" i="3" a="1"/>
  <c r="F935" i="3" a="1"/>
  <c r="F946" i="3" a="1"/>
  <c r="F957" i="3" a="1"/>
  <c r="F974" i="3" a="1"/>
  <c r="F981" i="3" a="1"/>
  <c r="F1001" i="3" a="1"/>
  <c r="F1007" i="3" a="1"/>
  <c r="F1031" i="3" a="1"/>
  <c r="F1042" i="3" a="1"/>
  <c r="F1048" i="3" a="1"/>
  <c r="F1059" i="3" a="1"/>
  <c r="F1070" i="3" a="1"/>
  <c r="F1081" i="3" a="1"/>
  <c r="F1092" i="3" a="1"/>
  <c r="F1098" i="3" a="1"/>
  <c r="F1169" i="3" a="1"/>
  <c r="F1174" i="3" a="1"/>
  <c r="F1179" i="3" a="1"/>
  <c r="F1184" i="3" a="1"/>
  <c r="F1199" i="3" a="1"/>
  <c r="F1209" i="3" a="1"/>
  <c r="F757" i="3" a="1"/>
  <c r="F802" i="3" a="1"/>
  <c r="F900" i="3" a="1"/>
  <c r="F913" i="3" a="1"/>
  <c r="F925" i="3" a="1"/>
  <c r="F936" i="3" a="1"/>
  <c r="F947" i="3" a="1"/>
  <c r="F958" i="3" a="1"/>
  <c r="F982" i="3" a="1"/>
  <c r="F989" i="3" a="1"/>
  <c r="F1008" i="3" a="1"/>
  <c r="F1014" i="3" a="1"/>
  <c r="F1026" i="3" a="1"/>
  <c r="F1037" i="3" a="1"/>
  <c r="F1043" i="3" a="1"/>
  <c r="F1054" i="3" a="1"/>
  <c r="F1065" i="3" a="1"/>
  <c r="F1076" i="3" a="1"/>
  <c r="F1087" i="3" a="1"/>
  <c r="F1093" i="3" a="1"/>
  <c r="F1104" i="3" a="1"/>
  <c r="F1109" i="3" a="1"/>
  <c r="F1114" i="3" a="1"/>
  <c r="F1119" i="3" a="1"/>
  <c r="F1124" i="3" a="1"/>
  <c r="F1129" i="3" a="1"/>
  <c r="F1134" i="3" a="1"/>
  <c r="F1139" i="3" a="1"/>
  <c r="F1144" i="3" a="1"/>
  <c r="F1149" i="3" a="1"/>
  <c r="F1154" i="3" a="1"/>
  <c r="F1159" i="3" a="1"/>
  <c r="F1164" i="3" a="1"/>
  <c r="F1189" i="3" a="1"/>
  <c r="F1194" i="3" a="1"/>
  <c r="F1204" i="3" a="1"/>
  <c r="F828" i="3" a="1"/>
  <c r="F845" i="3" a="1"/>
  <c r="F863" i="3" a="1"/>
  <c r="F948" i="3" a="1"/>
  <c r="F967" i="3" a="1"/>
  <c r="F975" i="3" a="1"/>
  <c r="F983" i="3" a="1"/>
  <c r="F996" i="3" a="1"/>
  <c r="F1002" i="3" a="1"/>
  <c r="F1021" i="3" a="1"/>
  <c r="F1032" i="3" a="1"/>
  <c r="F1038" i="3" a="1"/>
  <c r="F1049" i="3" a="1"/>
  <c r="F1060" i="3" a="1"/>
  <c r="F1071" i="3" a="1"/>
  <c r="F1082" i="3" a="1"/>
  <c r="F1088" i="3" a="1"/>
  <c r="F1099" i="3" a="1"/>
  <c r="F1055" i="3" a="1"/>
  <c r="F809" i="3" a="1"/>
  <c r="F846" i="3" a="1"/>
  <c r="F884" i="3" a="1"/>
  <c r="F928" i="3" a="1"/>
  <c r="F939" i="3" a="1"/>
  <c r="F950" i="3" a="1"/>
  <c r="F959" i="3" a="1"/>
  <c r="F1003" i="3" a="1"/>
  <c r="F1009" i="3" a="1"/>
  <c r="F1027" i="3" a="1"/>
  <c r="F1033" i="3" a="1"/>
  <c r="F1044" i="3" a="1"/>
  <c r="F775" i="3" a="1"/>
  <c r="F810" i="3" a="1"/>
  <c r="F850" i="3" a="1"/>
  <c r="F867" i="3" a="1"/>
  <c r="F885" i="3" a="1"/>
  <c r="F917" i="3" a="1"/>
  <c r="F961" i="3" a="1"/>
  <c r="F969" i="3" a="1"/>
  <c r="F984" i="3" a="1"/>
  <c r="F991" i="3" a="1"/>
  <c r="F997" i="3" a="1"/>
  <c r="F811" i="3" a="1"/>
  <c r="F889" i="3" a="1"/>
  <c r="F978" i="3" a="1"/>
  <c r="F985" i="3" a="1"/>
  <c r="F998" i="3" a="1"/>
  <c r="F1004" i="3" a="1"/>
  <c r="F1023" i="3" a="1"/>
  <c r="F1034" i="3" a="1"/>
  <c r="F1045" i="3" a="1"/>
  <c r="F1056" i="3" a="1"/>
  <c r="F1067" i="3" a="1"/>
  <c r="F1073" i="3" a="1"/>
  <c r="F1084" i="3" a="1"/>
  <c r="F1095" i="3" a="1"/>
  <c r="F784" i="3" a="1"/>
  <c r="F834" i="3" a="1"/>
  <c r="F872" i="3" a="1"/>
  <c r="F906" i="3" a="1"/>
  <c r="F953" i="3" a="1"/>
  <c r="F963" i="3" a="1"/>
  <c r="F970" i="3" a="1"/>
  <c r="F992" i="3" a="1"/>
  <c r="F1011" i="3" a="1"/>
  <c r="F1017" i="3" a="1"/>
  <c r="F1029" i="3" a="1"/>
  <c r="F1040" i="3" a="1"/>
  <c r="F1051" i="3" a="1"/>
  <c r="F1107" i="3" a="1"/>
  <c r="F1116" i="3" a="1"/>
  <c r="F1125" i="3" a="1"/>
  <c r="F1132" i="3" a="1"/>
  <c r="F1141" i="3" a="1"/>
  <c r="F1150" i="3" a="1"/>
  <c r="F1157" i="3" a="1"/>
  <c r="F1166" i="3" a="1"/>
  <c r="F1175" i="3" a="1"/>
  <c r="F1182" i="3" a="1"/>
  <c r="F1191" i="3" a="1"/>
  <c r="F1200" i="3" a="1"/>
  <c r="F1207" i="3" a="1"/>
  <c r="F1222" i="3" a="1"/>
  <c r="F1230" i="3" a="1"/>
  <c r="F1244" i="3" a="1"/>
  <c r="F1251" i="3" a="1"/>
  <c r="F1272" i="3" a="1"/>
  <c r="F1072" i="3" a="1"/>
  <c r="F1086" i="3" a="1"/>
  <c r="F1100" i="3" a="1"/>
  <c r="F1108" i="3" a="1"/>
  <c r="F1133" i="3" a="1"/>
  <c r="F1158" i="3" a="1"/>
  <c r="F1183" i="3" a="1"/>
  <c r="F1208" i="3" a="1"/>
  <c r="F1216" i="3" a="1"/>
  <c r="F1223" i="3" a="1"/>
  <c r="F1237" i="3" a="1"/>
  <c r="F1245" i="3" a="1"/>
  <c r="F1259" i="3" a="1"/>
  <c r="F1266" i="3" a="1"/>
  <c r="F1273" i="3" a="1"/>
  <c r="F1287" i="3" a="1"/>
  <c r="F1295" i="3" a="1"/>
  <c r="F1309" i="3" a="1"/>
  <c r="F1316" i="3" a="1"/>
  <c r="F1323" i="3" a="1"/>
  <c r="F1337" i="3" a="1"/>
  <c r="F1345" i="3" a="1"/>
  <c r="F1359" i="3" a="1"/>
  <c r="F1252" i="3" a="1"/>
  <c r="F1260" i="3" a="1"/>
  <c r="F1274" i="3" a="1"/>
  <c r="F1281" i="3" a="1"/>
  <c r="F1288" i="3" a="1"/>
  <c r="F1302" i="3" a="1"/>
  <c r="F1310" i="3" a="1"/>
  <c r="F1331" i="3" a="1"/>
  <c r="F1360" i="3" a="1"/>
  <c r="F1303" i="3" a="1"/>
  <c r="F1317" i="3" a="1"/>
  <c r="F1325" i="3" a="1"/>
  <c r="F1120" i="3" a="1"/>
  <c r="F1326" i="3" a="1"/>
  <c r="F1347" i="3" a="1"/>
  <c r="F1355" i="3" a="1"/>
  <c r="F1016" i="3" a="1"/>
  <c r="F1110" i="3" a="1"/>
  <c r="F1117" i="3" a="1"/>
  <c r="F1126" i="3" a="1"/>
  <c r="F1135" i="3" a="1"/>
  <c r="F1142" i="3" a="1"/>
  <c r="F1151" i="3" a="1"/>
  <c r="F1160" i="3" a="1"/>
  <c r="F1167" i="3" a="1"/>
  <c r="F1176" i="3" a="1"/>
  <c r="F1185" i="3" a="1"/>
  <c r="F1192" i="3" a="1"/>
  <c r="F1201" i="3" a="1"/>
  <c r="F1210" i="3" a="1"/>
  <c r="F1224" i="3" a="1"/>
  <c r="F1231" i="3" a="1"/>
  <c r="F1238" i="3" a="1"/>
  <c r="F1324" i="3" a="1"/>
  <c r="F1338" i="3" a="1"/>
  <c r="F1352" i="3" a="1"/>
  <c r="F1246" i="3" a="1"/>
  <c r="F1253" i="3" a="1"/>
  <c r="F1267" i="3" a="1"/>
  <c r="F1275" i="3" a="1"/>
  <c r="F1289" i="3" a="1"/>
  <c r="F1296" i="3" a="1"/>
  <c r="F1339" i="3" a="1"/>
  <c r="F1346" i="3" a="1"/>
  <c r="F1353" i="3" a="1"/>
  <c r="F1127" i="3" a="1"/>
  <c r="F1136" i="3" a="1"/>
  <c r="F1145" i="3" a="1"/>
  <c r="F1152" i="3" a="1"/>
  <c r="F1161" i="3" a="1"/>
  <c r="F1170" i="3" a="1"/>
  <c r="F1177" i="3" a="1"/>
  <c r="F1186" i="3" a="1"/>
  <c r="F1195" i="3" a="1"/>
  <c r="F1202" i="3" a="1"/>
  <c r="F1211" i="3" a="1"/>
  <c r="F1218" i="3" a="1"/>
  <c r="F1232" i="3" a="1"/>
  <c r="F1240" i="3" a="1"/>
  <c r="F1254" i="3" a="1"/>
  <c r="F1261" i="3" a="1"/>
  <c r="F1268" i="3" a="1"/>
  <c r="F1282" i="3" a="1"/>
  <c r="F1290" i="3" a="1"/>
  <c r="F1311" i="3" a="1"/>
  <c r="F1332" i="3" a="1"/>
  <c r="F1340" i="3" a="1"/>
  <c r="F1354" i="3" a="1"/>
  <c r="F1361" i="3" a="1"/>
  <c r="F1319" i="3" a="1"/>
  <c r="F1022" i="3" a="1"/>
  <c r="F1061" i="3" a="1"/>
  <c r="F1075" i="3" a="1"/>
  <c r="F1089" i="3" a="1"/>
  <c r="F1101" i="3" a="1"/>
  <c r="F1118" i="3" a="1"/>
  <c r="F1143" i="3" a="1"/>
  <c r="F1168" i="3" a="1"/>
  <c r="F1193" i="3" a="1"/>
  <c r="F1217" i="3" a="1"/>
  <c r="F1225" i="3" a="1"/>
  <c r="F1239" i="3" a="1"/>
  <c r="F1333" i="3" a="1"/>
  <c r="F1028" i="3" a="1"/>
  <c r="F1062" i="3" a="1"/>
  <c r="F1077" i="3" a="1"/>
  <c r="F1090" i="3" a="1"/>
  <c r="F1111" i="3" a="1"/>
  <c r="F1304" i="3" a="1"/>
  <c r="F1318" i="3" a="1"/>
  <c r="F1064" i="3" a="1"/>
  <c r="F1078" i="3" a="1"/>
  <c r="F1103" i="3" a="1"/>
  <c r="F1128" i="3" a="1"/>
  <c r="F1153" i="3" a="1"/>
  <c r="F1178" i="3" a="1"/>
  <c r="F1203" i="3" a="1"/>
  <c r="F1219" i="3" a="1"/>
  <c r="F1226" i="3" a="1"/>
  <c r="F1233" i="3" a="1"/>
  <c r="F1247" i="3" a="1"/>
  <c r="F1255" i="3" a="1"/>
  <c r="F1269" i="3" a="1"/>
  <c r="F1276" i="3" a="1"/>
  <c r="F1283" i="3" a="1"/>
  <c r="F1297" i="3" a="1"/>
  <c r="F1305" i="3" a="1"/>
  <c r="F1039" i="3" a="1"/>
  <c r="F1066" i="3" a="1"/>
  <c r="F1079" i="3" a="1"/>
  <c r="F1094" i="3" a="1"/>
  <c r="F1105" i="3" a="1"/>
  <c r="F1112" i="3" a="1"/>
  <c r="F1121" i="3" a="1"/>
  <c r="F1130" i="3" a="1"/>
  <c r="F1137" i="3" a="1"/>
  <c r="F1146" i="3" a="1"/>
  <c r="F1155" i="3" a="1"/>
  <c r="F1162" i="3" a="1"/>
  <c r="F1171" i="3" a="1"/>
  <c r="F1180" i="3" a="1"/>
  <c r="F1187" i="3" a="1"/>
  <c r="F1196" i="3" a="1"/>
  <c r="F1205" i="3" a="1"/>
  <c r="F1212" i="3" a="1"/>
  <c r="F1220" i="3" a="1"/>
  <c r="F1234" i="3" a="1"/>
  <c r="F1241" i="3" a="1"/>
  <c r="F1248" i="3" a="1"/>
  <c r="F1262" i="3" a="1"/>
  <c r="F1270" i="3" a="1"/>
  <c r="F1284" i="3" a="1"/>
  <c r="F1291" i="3" a="1"/>
  <c r="F1298" i="3" a="1"/>
  <c r="F1312" i="3" a="1"/>
  <c r="F1320" i="3" a="1"/>
  <c r="F1334" i="3" a="1"/>
  <c r="F1341" i="3" a="1"/>
  <c r="F1348" i="3" a="1"/>
  <c r="F1362" i="3" a="1"/>
  <c r="F1113" i="3" a="1"/>
  <c r="F1138" i="3" a="1"/>
  <c r="F1163" i="3" a="1"/>
  <c r="F1188" i="3" a="1"/>
  <c r="F1213" i="3" a="1"/>
  <c r="F1227" i="3" a="1"/>
  <c r="F1235" i="3" a="1"/>
  <c r="F1249" i="3" a="1"/>
  <c r="F1256" i="3" a="1"/>
  <c r="F1263" i="3" a="1"/>
  <c r="F1277" i="3" a="1"/>
  <c r="F1285" i="3" a="1"/>
  <c r="F1299" i="3" a="1"/>
  <c r="F1306" i="3" a="1"/>
  <c r="F1313" i="3" a="1"/>
  <c r="F1327" i="3" a="1"/>
  <c r="F1335" i="3" a="1"/>
  <c r="F1349" i="3" a="1"/>
  <c r="F1356" i="3" a="1"/>
  <c r="F1363" i="3" a="1"/>
  <c r="F1286" i="3" a="1"/>
  <c r="F1329" i="3" a="1"/>
  <c r="F1336" i="3" a="1"/>
  <c r="F1343" i="3" a="1"/>
  <c r="F1280" i="3" a="1"/>
  <c r="F1294" i="3" a="1"/>
  <c r="F1301" i="3" a="1"/>
  <c r="F1308" i="3" a="1"/>
  <c r="F1322" i="3" a="1"/>
  <c r="F1330" i="3" a="1"/>
  <c r="F1344" i="3" a="1"/>
  <c r="F1351" i="3" a="1"/>
  <c r="F1358" i="3" a="1"/>
  <c r="F1050" i="3" a="1"/>
  <c r="F1068" i="3" a="1"/>
  <c r="F1083" i="3" a="1"/>
  <c r="F1106" i="3" a="1"/>
  <c r="F1115" i="3" a="1"/>
  <c r="F1122" i="3" a="1"/>
  <c r="F1131" i="3" a="1"/>
  <c r="F1140" i="3" a="1"/>
  <c r="F1147" i="3" a="1"/>
  <c r="F1156" i="3" a="1"/>
  <c r="F1165" i="3" a="1"/>
  <c r="F1172" i="3" a="1"/>
  <c r="F1181" i="3" a="1"/>
  <c r="F1190" i="3" a="1"/>
  <c r="F1197" i="3" a="1"/>
  <c r="F1206" i="3" a="1"/>
  <c r="F1214" i="3" a="1"/>
  <c r="F1221" i="3" a="1"/>
  <c r="F1228" i="3" a="1"/>
  <c r="F1242" i="3" a="1"/>
  <c r="F1250" i="3" a="1"/>
  <c r="F1264" i="3" a="1"/>
  <c r="F1271" i="3" a="1"/>
  <c r="F1278" i="3" a="1"/>
  <c r="F1292" i="3" a="1"/>
  <c r="F1300" i="3" a="1"/>
  <c r="F1314" i="3" a="1"/>
  <c r="F1321" i="3" a="1"/>
  <c r="F1328" i="3" a="1"/>
  <c r="F1342" i="3" a="1"/>
  <c r="F1350" i="3" a="1"/>
  <c r="F1364" i="3" a="1"/>
  <c r="F1357" i="3" a="1"/>
  <c r="F1258" i="3" a="1"/>
  <c r="F1053" i="3" a="1"/>
  <c r="F1097" i="3" a="1"/>
  <c r="F1123" i="3" a="1"/>
  <c r="F1148" i="3" a="1"/>
  <c r="F1173" i="3" a="1"/>
  <c r="F1198" i="3" a="1"/>
  <c r="F1215" i="3" a="1"/>
  <c r="F1229" i="3" a="1"/>
  <c r="F1236" i="3" a="1"/>
  <c r="F1243" i="3" a="1"/>
  <c r="F1257" i="3" a="1"/>
  <c r="F1265" i="3" a="1"/>
  <c r="F1279" i="3" a="1"/>
  <c r="F1293" i="3" a="1"/>
  <c r="F1307" i="3" a="1"/>
  <c r="F1315" i="3" a="1"/>
  <c r="F11" i="3" a="1"/>
  <c r="E12" i="3" a="1"/>
  <c r="E17" i="3" a="1"/>
  <c r="E22" i="3" a="1"/>
  <c r="E27" i="3" a="1"/>
  <c r="E32" i="3" a="1"/>
  <c r="E37" i="3" a="1"/>
  <c r="E42" i="3" a="1"/>
  <c r="E13" i="3" a="1"/>
  <c r="E19" i="3" a="1"/>
  <c r="E25" i="3" a="1"/>
  <c r="E31" i="3" a="1"/>
  <c r="E38" i="3" a="1"/>
  <c r="E44" i="3" a="1"/>
  <c r="E55" i="3" a="1"/>
  <c r="E66" i="3" a="1"/>
  <c r="E77" i="3" a="1"/>
  <c r="E83" i="3" a="1"/>
  <c r="E94" i="3" a="1"/>
  <c r="E105" i="3" a="1"/>
  <c r="E116" i="3" a="1"/>
  <c r="E127" i="3" a="1"/>
  <c r="E133" i="3" a="1"/>
  <c r="E144" i="3" a="1"/>
  <c r="E155" i="3" a="1"/>
  <c r="E166" i="3" a="1"/>
  <c r="E177" i="3" a="1"/>
  <c r="E183" i="3" a="1"/>
  <c r="E194" i="3" a="1"/>
  <c r="E205" i="3" a="1"/>
  <c r="E216" i="3" a="1"/>
  <c r="E227" i="3" a="1"/>
  <c r="E233" i="3" a="1"/>
  <c r="E244" i="3" a="1"/>
  <c r="E255" i="3" a="1"/>
  <c r="E266" i="3" a="1"/>
  <c r="E277" i="3" a="1"/>
  <c r="E283" i="3" a="1"/>
  <c r="E294" i="3" a="1"/>
  <c r="E305" i="3" a="1"/>
  <c r="E316" i="3" a="1"/>
  <c r="E327" i="3" a="1"/>
  <c r="E333" i="3" a="1"/>
  <c r="E344" i="3" a="1"/>
  <c r="E355" i="3" a="1"/>
  <c r="E366" i="3" a="1"/>
  <c r="E377" i="3" a="1"/>
  <c r="E383" i="3" a="1"/>
  <c r="E394" i="3" a="1"/>
  <c r="E405" i="3" a="1"/>
  <c r="E416" i="3" a="1"/>
  <c r="E427" i="3" a="1"/>
  <c r="E433" i="3" a="1"/>
  <c r="E50" i="3" a="1"/>
  <c r="E61" i="3" a="1"/>
  <c r="E72" i="3" a="1"/>
  <c r="E78" i="3" a="1"/>
  <c r="E89" i="3" a="1"/>
  <c r="E100" i="3" a="1"/>
  <c r="E111" i="3" a="1"/>
  <c r="E122" i="3" a="1"/>
  <c r="E128" i="3" a="1"/>
  <c r="E139" i="3" a="1"/>
  <c r="E150" i="3" a="1"/>
  <c r="E161" i="3" a="1"/>
  <c r="E172" i="3" a="1"/>
  <c r="E178" i="3" a="1"/>
  <c r="E189" i="3" a="1"/>
  <c r="E200" i="3" a="1"/>
  <c r="E211" i="3" a="1"/>
  <c r="E222" i="3" a="1"/>
  <c r="E228" i="3" a="1"/>
  <c r="E239" i="3" a="1"/>
  <c r="E250" i="3" a="1"/>
  <c r="E261" i="3" a="1"/>
  <c r="E272" i="3" a="1"/>
  <c r="E278" i="3" a="1"/>
  <c r="E289" i="3" a="1"/>
  <c r="E300" i="3" a="1"/>
  <c r="E311" i="3" a="1"/>
  <c r="E322" i="3" a="1"/>
  <c r="E328" i="3" a="1"/>
  <c r="E339" i="3" a="1"/>
  <c r="E350" i="3" a="1"/>
  <c r="E361" i="3" a="1"/>
  <c r="E372" i="3" a="1"/>
  <c r="E378" i="3" a="1"/>
  <c r="E389" i="3" a="1"/>
  <c r="E400" i="3" a="1"/>
  <c r="E411" i="3" a="1"/>
  <c r="E422" i="3" a="1"/>
  <c r="E428" i="3" a="1"/>
  <c r="E14" i="3" a="1"/>
  <c r="E15" i="3" a="1"/>
  <c r="E52" i="3" a="1"/>
  <c r="E16" i="3" a="1"/>
  <c r="E23" i="3" a="1"/>
  <c r="E29" i="3" a="1"/>
  <c r="E35" i="3" a="1"/>
  <c r="E41" i="3" a="1"/>
  <c r="E47" i="3" a="1"/>
  <c r="E53" i="3" a="1"/>
  <c r="E64" i="3" a="1"/>
  <c r="E75" i="3" a="1"/>
  <c r="E86" i="3" a="1"/>
  <c r="E97" i="3" a="1"/>
  <c r="E103" i="3" a="1"/>
  <c r="E114" i="3" a="1"/>
  <c r="E125" i="3" a="1"/>
  <c r="E136" i="3" a="1"/>
  <c r="E147" i="3" a="1"/>
  <c r="E153" i="3" a="1"/>
  <c r="E164" i="3" a="1"/>
  <c r="E175" i="3" a="1"/>
  <c r="E186" i="3" a="1"/>
  <c r="E48" i="3" a="1"/>
  <c r="E59" i="3" a="1"/>
  <c r="E70" i="3" a="1"/>
  <c r="E81" i="3" a="1"/>
  <c r="E92" i="3" a="1"/>
  <c r="E18" i="3" a="1"/>
  <c r="E49" i="3" a="1"/>
  <c r="E60" i="3" a="1"/>
  <c r="E71" i="3" a="1"/>
  <c r="E82" i="3" a="1"/>
  <c r="E88" i="3" a="1"/>
  <c r="E99" i="3" a="1"/>
  <c r="E110" i="3" a="1"/>
  <c r="E121" i="3" a="1"/>
  <c r="E132" i="3" a="1"/>
  <c r="E138" i="3" a="1"/>
  <c r="E149" i="3" a="1"/>
  <c r="E160" i="3" a="1"/>
  <c r="E171" i="3" a="1"/>
  <c r="E182" i="3" a="1"/>
  <c r="E188" i="3" a="1"/>
  <c r="E20" i="3" a="1"/>
  <c r="E39" i="3" a="1"/>
  <c r="E115" i="3" a="1"/>
  <c r="E143" i="3" a="1"/>
  <c r="E152" i="3" a="1"/>
  <c r="E162" i="3" a="1"/>
  <c r="E180" i="3" a="1"/>
  <c r="E190" i="3" a="1"/>
  <c r="E210" i="3" a="1"/>
  <c r="E218" i="3" a="1"/>
  <c r="E231" i="3" a="1"/>
  <c r="E238" i="3" a="1"/>
  <c r="E252" i="3" a="1"/>
  <c r="E259" i="3" a="1"/>
  <c r="E280" i="3" a="1"/>
  <c r="E301" i="3" a="1"/>
  <c r="E308" i="3" a="1"/>
  <c r="E321" i="3" a="1"/>
  <c r="E329" i="3" a="1"/>
  <c r="E342" i="3" a="1"/>
  <c r="E349" i="3" a="1"/>
  <c r="E370" i="3" a="1"/>
  <c r="E391" i="3" a="1"/>
  <c r="E398" i="3" a="1"/>
  <c r="E412" i="3" a="1"/>
  <c r="E419" i="3" a="1"/>
  <c r="E432" i="3" a="1"/>
  <c r="E439" i="3" a="1"/>
  <c r="E450" i="3" a="1"/>
  <c r="E461" i="3" a="1"/>
  <c r="E472" i="3" a="1"/>
  <c r="E483" i="3" a="1"/>
  <c r="E489" i="3" a="1"/>
  <c r="E500" i="3" a="1"/>
  <c r="E21" i="3" a="1"/>
  <c r="E54" i="3" a="1"/>
  <c r="E65" i="3" a="1"/>
  <c r="E76" i="3" a="1"/>
  <c r="E87" i="3" a="1"/>
  <c r="E98" i="3" a="1"/>
  <c r="E107" i="3" a="1"/>
  <c r="E117" i="3" a="1"/>
  <c r="E135" i="3" a="1"/>
  <c r="E145" i="3" a="1"/>
  <c r="E163" i="3" a="1"/>
  <c r="E173" i="3" a="1"/>
  <c r="E181" i="3" a="1"/>
  <c r="E197" i="3" a="1"/>
  <c r="E204" i="3" a="1"/>
  <c r="E225" i="3" a="1"/>
  <c r="E246" i="3" a="1"/>
  <c r="E253" i="3" a="1"/>
  <c r="E267" i="3" a="1"/>
  <c r="E274" i="3" a="1"/>
  <c r="E287" i="3" a="1"/>
  <c r="E295" i="3" a="1"/>
  <c r="E24" i="3" a="1"/>
  <c r="E40" i="3" a="1"/>
  <c r="E56" i="3" a="1"/>
  <c r="E67" i="3" a="1"/>
  <c r="E108" i="3" a="1"/>
  <c r="E118" i="3" a="1"/>
  <c r="E126" i="3" a="1"/>
  <c r="E154" i="3" a="1"/>
  <c r="E191" i="3" a="1"/>
  <c r="E198" i="3" a="1"/>
  <c r="E212" i="3" a="1"/>
  <c r="E219" i="3" a="1"/>
  <c r="E232" i="3" a="1"/>
  <c r="E240" i="3" a="1"/>
  <c r="E260" i="3" a="1"/>
  <c r="E268" i="3" a="1"/>
  <c r="E281" i="3" a="1"/>
  <c r="E288" i="3" a="1"/>
  <c r="E302" i="3" a="1"/>
  <c r="E309" i="3" a="1"/>
  <c r="E330" i="3" a="1"/>
  <c r="E351" i="3" a="1"/>
  <c r="E358" i="3" a="1"/>
  <c r="E26" i="3" a="1"/>
  <c r="E43" i="3" a="1"/>
  <c r="E68" i="3" a="1"/>
  <c r="E79" i="3" a="1"/>
  <c r="E90" i="3" a="1"/>
  <c r="E109" i="3" a="1"/>
  <c r="E146" i="3" a="1"/>
  <c r="E156" i="3" a="1"/>
  <c r="E174" i="3" a="1"/>
  <c r="E184" i="3" a="1"/>
  <c r="E206" i="3" a="1"/>
  <c r="E213" i="3" a="1"/>
  <c r="E226" i="3" a="1"/>
  <c r="E234" i="3" a="1"/>
  <c r="E247" i="3" a="1"/>
  <c r="E254" i="3" a="1"/>
  <c r="E275" i="3" a="1"/>
  <c r="E296" i="3" a="1"/>
  <c r="E303" i="3" a="1"/>
  <c r="E317" i="3" a="1"/>
  <c r="E324" i="3" a="1"/>
  <c r="E337" i="3" a="1"/>
  <c r="E345" i="3" a="1"/>
  <c r="E365" i="3" a="1"/>
  <c r="E373" i="3" a="1"/>
  <c r="E386" i="3" a="1"/>
  <c r="E393" i="3" a="1"/>
  <c r="E407" i="3" a="1"/>
  <c r="E414" i="3" a="1"/>
  <c r="E435" i="3" a="1"/>
  <c r="E446" i="3" a="1"/>
  <c r="E457" i="3" a="1"/>
  <c r="E468" i="3" a="1"/>
  <c r="E474" i="3" a="1"/>
  <c r="E485" i="3" a="1"/>
  <c r="E496" i="3" a="1"/>
  <c r="E507" i="3" a="1"/>
  <c r="E518" i="3" a="1"/>
  <c r="E524" i="3" a="1"/>
  <c r="E535" i="3" a="1"/>
  <c r="E546" i="3" a="1"/>
  <c r="E28" i="3" a="1"/>
  <c r="E45" i="3" a="1"/>
  <c r="E57" i="3" a="1"/>
  <c r="E101" i="3" a="1"/>
  <c r="E119" i="3" a="1"/>
  <c r="E30" i="3" a="1"/>
  <c r="E58" i="3" a="1"/>
  <c r="E69" i="3" a="1"/>
  <c r="E80" i="3" a="1"/>
  <c r="E91" i="3" a="1"/>
  <c r="E120" i="3" a="1"/>
  <c r="E148" i="3" a="1"/>
  <c r="E157" i="3" a="1"/>
  <c r="E167" i="3" a="1"/>
  <c r="E185" i="3" a="1"/>
  <c r="E193" i="3" a="1"/>
  <c r="E207" i="3" a="1"/>
  <c r="E214" i="3" a="1"/>
  <c r="E235" i="3" a="1"/>
  <c r="E256" i="3" a="1"/>
  <c r="E33" i="3" a="1"/>
  <c r="E46" i="3" a="1"/>
  <c r="E93" i="3" a="1"/>
  <c r="E102" i="3" a="1"/>
  <c r="E112" i="3" a="1"/>
  <c r="E130" i="3" a="1"/>
  <c r="E140" i="3" a="1"/>
  <c r="E158" i="3" a="1"/>
  <c r="E168" i="3" a="1"/>
  <c r="E176" i="3" a="1"/>
  <c r="E201" i="3" a="1"/>
  <c r="E208" i="3" a="1"/>
  <c r="E221" i="3" a="1"/>
  <c r="E229" i="3" a="1"/>
  <c r="E242" i="3" a="1"/>
  <c r="E249" i="3" a="1"/>
  <c r="E270" i="3" a="1"/>
  <c r="E291" i="3" a="1"/>
  <c r="E298" i="3" a="1"/>
  <c r="E312" i="3" a="1"/>
  <c r="E319" i="3" a="1"/>
  <c r="E332" i="3" a="1"/>
  <c r="E340" i="3" a="1"/>
  <c r="E360" i="3" a="1"/>
  <c r="E368" i="3" a="1"/>
  <c r="E381" i="3" a="1"/>
  <c r="E388" i="3" a="1"/>
  <c r="E402" i="3" a="1"/>
  <c r="E409" i="3" a="1"/>
  <c r="E430" i="3" a="1"/>
  <c r="E442" i="3" a="1"/>
  <c r="E453" i="3" a="1"/>
  <c r="E459" i="3" a="1"/>
  <c r="E470" i="3" a="1"/>
  <c r="E481" i="3" a="1"/>
  <c r="E492" i="3" a="1"/>
  <c r="E503" i="3" a="1"/>
  <c r="E509" i="3" a="1"/>
  <c r="E520" i="3" a="1"/>
  <c r="E531" i="3" a="1"/>
  <c r="E542" i="3" a="1"/>
  <c r="E553" i="3" a="1"/>
  <c r="E559" i="3" a="1"/>
  <c r="E570" i="3" a="1"/>
  <c r="E581" i="3" a="1"/>
  <c r="E592" i="3" a="1"/>
  <c r="E603" i="3" a="1"/>
  <c r="E609" i="3" a="1"/>
  <c r="E73" i="3" a="1"/>
  <c r="E84" i="3" a="1"/>
  <c r="E95" i="3" a="1"/>
  <c r="E113" i="3" a="1"/>
  <c r="E123" i="3" a="1"/>
  <c r="E131" i="3" a="1"/>
  <c r="E159" i="3" a="1"/>
  <c r="E195" i="3" a="1"/>
  <c r="E215" i="3" a="1"/>
  <c r="E223" i="3" a="1"/>
  <c r="E236" i="3" a="1"/>
  <c r="E243" i="3" a="1"/>
  <c r="E257" i="3" a="1"/>
  <c r="E264" i="3" a="1"/>
  <c r="E285" i="3" a="1"/>
  <c r="E306" i="3" a="1"/>
  <c r="E313" i="3" a="1"/>
  <c r="E326" i="3" a="1"/>
  <c r="E334" i="3" a="1"/>
  <c r="E347" i="3" a="1"/>
  <c r="E354" i="3" a="1"/>
  <c r="E34" i="3" a="1"/>
  <c r="E62" i="3" a="1"/>
  <c r="E104" i="3" a="1"/>
  <c r="E141" i="3" a="1"/>
  <c r="E151" i="3" a="1"/>
  <c r="E169" i="3" a="1"/>
  <c r="E179" i="3" a="1"/>
  <c r="E187" i="3" a="1"/>
  <c r="E202" i="3" a="1"/>
  <c r="E209" i="3" a="1"/>
  <c r="E230" i="3" a="1"/>
  <c r="E251" i="3" a="1"/>
  <c r="E258" i="3" a="1"/>
  <c r="E271" i="3" a="1"/>
  <c r="E279" i="3" a="1"/>
  <c r="E292" i="3" a="1"/>
  <c r="E299" i="3" a="1"/>
  <c r="E320" i="3" a="1"/>
  <c r="E341" i="3" a="1"/>
  <c r="E348" i="3" a="1"/>
  <c r="E362" i="3" a="1"/>
  <c r="E369" i="3" a="1"/>
  <c r="E382" i="3" a="1"/>
  <c r="E390" i="3" a="1"/>
  <c r="E410" i="3" a="1"/>
  <c r="E418" i="3" a="1"/>
  <c r="E431" i="3" a="1"/>
  <c r="E443" i="3" a="1"/>
  <c r="E449" i="3" a="1"/>
  <c r="E460" i="3" a="1"/>
  <c r="E471" i="3" a="1"/>
  <c r="E482" i="3" a="1"/>
  <c r="E493" i="3" a="1"/>
  <c r="E499" i="3" a="1"/>
  <c r="E510" i="3" a="1"/>
  <c r="E521" i="3" a="1"/>
  <c r="E532" i="3" a="1"/>
  <c r="E543" i="3" a="1"/>
  <c r="E549" i="3" a="1"/>
  <c r="E560" i="3" a="1"/>
  <c r="E571" i="3" a="1"/>
  <c r="E582" i="3" a="1"/>
  <c r="E593" i="3" a="1"/>
  <c r="E599" i="3" a="1"/>
  <c r="E610" i="3" a="1"/>
  <c r="E621" i="3" a="1"/>
  <c r="E632" i="3" a="1"/>
  <c r="E643" i="3" a="1"/>
  <c r="E649" i="3" a="1"/>
  <c r="E660" i="3" a="1"/>
  <c r="E671" i="3" a="1"/>
  <c r="E682" i="3" a="1"/>
  <c r="E693" i="3" a="1"/>
  <c r="E699" i="3" a="1"/>
  <c r="E710" i="3" a="1"/>
  <c r="E721" i="3" a="1"/>
  <c r="E36" i="3" a="1"/>
  <c r="E51" i="3" a="1"/>
  <c r="E63" i="3" a="1"/>
  <c r="E74" i="3" a="1"/>
  <c r="E85" i="3" a="1"/>
  <c r="E96" i="3" a="1"/>
  <c r="E106" i="3" a="1"/>
  <c r="E124" i="3" a="1"/>
  <c r="E134" i="3" a="1"/>
  <c r="E142" i="3" a="1"/>
  <c r="E170" i="3" a="1"/>
  <c r="E196" i="3" a="1"/>
  <c r="E203" i="3" a="1"/>
  <c r="E217" i="3" a="1"/>
  <c r="E224" i="3" a="1"/>
  <c r="E237" i="3" a="1"/>
  <c r="E245" i="3" a="1"/>
  <c r="E265" i="3" a="1"/>
  <c r="E273" i="3" a="1"/>
  <c r="E286" i="3" a="1"/>
  <c r="E293" i="3" a="1"/>
  <c r="E307" i="3" a="1"/>
  <c r="E314" i="3" a="1"/>
  <c r="E335" i="3" a="1"/>
  <c r="E356" i="3" a="1"/>
  <c r="E363" i="3" a="1"/>
  <c r="E376" i="3" a="1"/>
  <c r="E384" i="3" a="1"/>
  <c r="E397" i="3" a="1"/>
  <c r="E404" i="3" a="1"/>
  <c r="E425" i="3" a="1"/>
  <c r="E438" i="3" a="1"/>
  <c r="E444" i="3" a="1"/>
  <c r="E129" i="3" a="1"/>
  <c r="E325" i="3" a="1"/>
  <c r="E367" i="3" a="1"/>
  <c r="E395" i="3" a="1"/>
  <c r="E423" i="3" a="1"/>
  <c r="E436" i="3" a="1"/>
  <c r="E447" i="3" a="1"/>
  <c r="E466" i="3" a="1"/>
  <c r="E475" i="3" a="1"/>
  <c r="E494" i="3" a="1"/>
  <c r="E511" i="3" a="1"/>
  <c r="E519" i="3" a="1"/>
  <c r="E527" i="3" a="1"/>
  <c r="E557" i="3" a="1"/>
  <c r="E564" i="3" a="1"/>
  <c r="E578" i="3" a="1"/>
  <c r="E585" i="3" a="1"/>
  <c r="E606" i="3" a="1"/>
  <c r="E619" i="3" a="1"/>
  <c r="E625" i="3" a="1"/>
  <c r="E631" i="3" a="1"/>
  <c r="E637" i="3" a="1"/>
  <c r="E644" i="3" a="1"/>
  <c r="E650" i="3" a="1"/>
  <c r="E656" i="3" a="1"/>
  <c r="E662" i="3" a="1"/>
  <c r="E668" i="3" a="1"/>
  <c r="E724" i="3" a="1"/>
  <c r="E730" i="3" a="1"/>
  <c r="E741" i="3" a="1"/>
  <c r="E752" i="3" a="1"/>
  <c r="E763" i="3" a="1"/>
  <c r="E769" i="3" a="1"/>
  <c r="E780" i="3" a="1"/>
  <c r="E791" i="3" a="1"/>
  <c r="E802" i="3" a="1"/>
  <c r="E813" i="3" a="1"/>
  <c r="E819" i="3" a="1"/>
  <c r="E830" i="3" a="1"/>
  <c r="E841" i="3" a="1"/>
  <c r="E852" i="3" a="1"/>
  <c r="E863" i="3" a="1"/>
  <c r="E869" i="3" a="1"/>
  <c r="E880" i="3" a="1"/>
  <c r="E891" i="3" a="1"/>
  <c r="E902" i="3" a="1"/>
  <c r="E913" i="3" a="1"/>
  <c r="E919" i="3" a="1"/>
  <c r="E930" i="3" a="1"/>
  <c r="E941" i="3" a="1"/>
  <c r="E952" i="3" a="1"/>
  <c r="E963" i="3" a="1"/>
  <c r="E969" i="3" a="1"/>
  <c r="E974" i="3" a="1"/>
  <c r="E979" i="3" a="1"/>
  <c r="E984" i="3" a="1"/>
  <c r="E989" i="3" a="1"/>
  <c r="E994" i="3" a="1"/>
  <c r="E999" i="3" a="1"/>
  <c r="E1004" i="3" a="1"/>
  <c r="E1009" i="3" a="1"/>
  <c r="E1014" i="3" a="1"/>
  <c r="E1019" i="3" a="1"/>
  <c r="E137" i="3" a="1"/>
  <c r="E220" i="3" a="1"/>
  <c r="E304" i="3" a="1"/>
  <c r="E352" i="3" a="1"/>
  <c r="E396" i="3" a="1"/>
  <c r="E424" i="3" a="1"/>
  <c r="E437" i="3" a="1"/>
  <c r="E448" i="3" a="1"/>
  <c r="E467" i="3" a="1"/>
  <c r="E476" i="3" a="1"/>
  <c r="E495" i="3" a="1"/>
  <c r="E504" i="3" a="1"/>
  <c r="E544" i="3" a="1"/>
  <c r="E551" i="3" a="1"/>
  <c r="E565" i="3" a="1"/>
  <c r="E572" i="3" a="1"/>
  <c r="E579" i="3" a="1"/>
  <c r="E600" i="3" a="1"/>
  <c r="E613" i="3" a="1"/>
  <c r="E638" i="3" a="1"/>
  <c r="E669" i="3" a="1"/>
  <c r="E675" i="3" a="1"/>
  <c r="E681" i="3" a="1"/>
  <c r="E687" i="3" a="1"/>
  <c r="E694" i="3" a="1"/>
  <c r="E700" i="3" a="1"/>
  <c r="E706" i="3" a="1"/>
  <c r="E712" i="3" a="1"/>
  <c r="E718" i="3" a="1"/>
  <c r="E736" i="3" a="1"/>
  <c r="E747" i="3" a="1"/>
  <c r="E758" i="3" a="1"/>
  <c r="E764" i="3" a="1"/>
  <c r="E775" i="3" a="1"/>
  <c r="E786" i="3" a="1"/>
  <c r="E797" i="3" a="1"/>
  <c r="E808" i="3" a="1"/>
  <c r="E814" i="3" a="1"/>
  <c r="E825" i="3" a="1"/>
  <c r="E836" i="3" a="1"/>
  <c r="E847" i="3" a="1"/>
  <c r="E858" i="3" a="1"/>
  <c r="E864" i="3" a="1"/>
  <c r="E875" i="3" a="1"/>
  <c r="E886" i="3" a="1"/>
  <c r="E897" i="3" a="1"/>
  <c r="E908" i="3" a="1"/>
  <c r="E914" i="3" a="1"/>
  <c r="E925" i="3" a="1"/>
  <c r="E936" i="3" a="1"/>
  <c r="E947" i="3" a="1"/>
  <c r="E958" i="3" a="1"/>
  <c r="E964" i="3" a="1"/>
  <c r="E663" i="3" a="1"/>
  <c r="E725" i="3" a="1"/>
  <c r="E276" i="3" a="1"/>
  <c r="E331" i="3" a="1"/>
  <c r="E353" i="3" a="1"/>
  <c r="E385" i="3" a="1"/>
  <c r="E413" i="3" a="1"/>
  <c r="E426" i="3" a="1"/>
  <c r="E458" i="3" a="1"/>
  <c r="E477" i="3" a="1"/>
  <c r="E486" i="3" a="1"/>
  <c r="E505" i="3" a="1"/>
  <c r="E512" i="3" a="1"/>
  <c r="E528" i="3" a="1"/>
  <c r="E536" i="3" a="1"/>
  <c r="E558" i="3" a="1"/>
  <c r="E566" i="3" a="1"/>
  <c r="E586" i="3" a="1"/>
  <c r="E594" i="3" a="1"/>
  <c r="E607" i="3" a="1"/>
  <c r="E614" i="3" a="1"/>
  <c r="E620" i="3" a="1"/>
  <c r="E626" i="3" a="1"/>
  <c r="E639" i="3" a="1"/>
  <c r="E645" i="3" a="1"/>
  <c r="E651" i="3" a="1"/>
  <c r="E657" i="3" a="1"/>
  <c r="E688" i="3" a="1"/>
  <c r="E719" i="3" a="1"/>
  <c r="E731" i="3" a="1"/>
  <c r="E282" i="3" a="1"/>
  <c r="E310" i="3" a="1"/>
  <c r="E357" i="3" a="1"/>
  <c r="E371" i="3" a="1"/>
  <c r="E399" i="3" a="1"/>
  <c r="E440" i="3" a="1"/>
  <c r="E469" i="3" a="1"/>
  <c r="E478" i="3" a="1"/>
  <c r="E487" i="3" a="1"/>
  <c r="E513" i="3" a="1"/>
  <c r="E529" i="3" a="1"/>
  <c r="E537" i="3" a="1"/>
  <c r="E545" i="3" a="1"/>
  <c r="E552" i="3" a="1"/>
  <c r="E573" i="3" a="1"/>
  <c r="E580" i="3" a="1"/>
  <c r="E587" i="3" a="1"/>
  <c r="E601" i="3" a="1"/>
  <c r="E627" i="3" a="1"/>
  <c r="E633" i="3" a="1"/>
  <c r="E664" i="3" a="1"/>
  <c r="E670" i="3" a="1"/>
  <c r="E676" i="3" a="1"/>
  <c r="E689" i="3" a="1"/>
  <c r="E695" i="3" a="1"/>
  <c r="E701" i="3" a="1"/>
  <c r="E707" i="3" a="1"/>
  <c r="E713" i="3" a="1"/>
  <c r="E737" i="3" a="1"/>
  <c r="E748" i="3" a="1"/>
  <c r="E754" i="3" a="1"/>
  <c r="E765" i="3" a="1"/>
  <c r="E776" i="3" a="1"/>
  <c r="E787" i="3" a="1"/>
  <c r="E798" i="3" a="1"/>
  <c r="E804" i="3" a="1"/>
  <c r="E815" i="3" a="1"/>
  <c r="E826" i="3" a="1"/>
  <c r="E837" i="3" a="1"/>
  <c r="E848" i="3" a="1"/>
  <c r="E854" i="3" a="1"/>
  <c r="E865" i="3" a="1"/>
  <c r="E876" i="3" a="1"/>
  <c r="E887" i="3" a="1"/>
  <c r="E898" i="3" a="1"/>
  <c r="E904" i="3" a="1"/>
  <c r="E915" i="3" a="1"/>
  <c r="E926" i="3" a="1"/>
  <c r="E165" i="3" a="1"/>
  <c r="E241" i="3" a="1"/>
  <c r="E284" i="3" a="1"/>
  <c r="E336" i="3" a="1"/>
  <c r="E359" i="3" a="1"/>
  <c r="E401" i="3" a="1"/>
  <c r="E429" i="3" a="1"/>
  <c r="E441" i="3" a="1"/>
  <c r="E451" i="3" a="1"/>
  <c r="E479" i="3" a="1"/>
  <c r="E488" i="3" a="1"/>
  <c r="E497" i="3" a="1"/>
  <c r="E506" i="3" a="1"/>
  <c r="E514" i="3" a="1"/>
  <c r="E522" i="3" a="1"/>
  <c r="E530" i="3" a="1"/>
  <c r="E538" i="3" a="1"/>
  <c r="E248" i="3" a="1"/>
  <c r="E290" i="3" a="1"/>
  <c r="E315" i="3" a="1"/>
  <c r="E338" i="3" a="1"/>
  <c r="E374" i="3" a="1"/>
  <c r="E387" i="3" a="1"/>
  <c r="E415" i="3" a="1"/>
  <c r="E452" i="3" a="1"/>
  <c r="E480" i="3" a="1"/>
  <c r="E498" i="3" a="1"/>
  <c r="E515" i="3" a="1"/>
  <c r="E539" i="3" a="1"/>
  <c r="E554" i="3" a="1"/>
  <c r="E561" i="3" a="1"/>
  <c r="E589" i="3" a="1"/>
  <c r="E602" i="3" a="1"/>
  <c r="E616" i="3" a="1"/>
  <c r="E622" i="3" a="1"/>
  <c r="E628" i="3" a="1"/>
  <c r="E659" i="3" a="1"/>
  <c r="E318" i="3" a="1"/>
  <c r="E375" i="3" a="1"/>
  <c r="E403" i="3" a="1"/>
  <c r="E417" i="3" a="1"/>
  <c r="E462" i="3" a="1"/>
  <c r="E490" i="3" a="1"/>
  <c r="E516" i="3" a="1"/>
  <c r="E523" i="3" a="1"/>
  <c r="E547" i="3" a="1"/>
  <c r="E555" i="3" a="1"/>
  <c r="E568" i="3" a="1"/>
  <c r="E575" i="3" a="1"/>
  <c r="E596" i="3" a="1"/>
  <c r="E629" i="3" a="1"/>
  <c r="E635" i="3" a="1"/>
  <c r="E641" i="3" a="1"/>
  <c r="E647" i="3" a="1"/>
  <c r="E192" i="3" a="1"/>
  <c r="E262" i="3" a="1"/>
  <c r="E343" i="3" a="1"/>
  <c r="E364" i="3" a="1"/>
  <c r="E406" i="3" a="1"/>
  <c r="E434" i="3" a="1"/>
  <c r="E445" i="3" a="1"/>
  <c r="E454" i="3" a="1"/>
  <c r="E463" i="3" a="1"/>
  <c r="E491" i="3" a="1"/>
  <c r="E508" i="3" a="1"/>
  <c r="E540" i="3" a="1"/>
  <c r="E548" i="3" a="1"/>
  <c r="E562" i="3" a="1"/>
  <c r="E569" i="3" a="1"/>
  <c r="E576" i="3" a="1"/>
  <c r="E583" i="3" a="1"/>
  <c r="E590" i="3" a="1"/>
  <c r="E604" i="3" a="1"/>
  <c r="E611" i="3" a="1"/>
  <c r="E617" i="3" a="1"/>
  <c r="E199" i="3" a="1"/>
  <c r="E263" i="3" a="1"/>
  <c r="E297" i="3" a="1"/>
  <c r="E323" i="3" a="1"/>
  <c r="E379" i="3" a="1"/>
  <c r="E392" i="3" a="1"/>
  <c r="E420" i="3" a="1"/>
  <c r="E455" i="3" a="1"/>
  <c r="E464" i="3" a="1"/>
  <c r="E473" i="3" a="1"/>
  <c r="E501" i="3" a="1"/>
  <c r="E517" i="3" a="1"/>
  <c r="E525" i="3" a="1"/>
  <c r="E533" i="3" a="1"/>
  <c r="E541" i="3" a="1"/>
  <c r="E556" i="3" a="1"/>
  <c r="E577" i="3" a="1"/>
  <c r="E584" i="3" a="1"/>
  <c r="E597" i="3" a="1"/>
  <c r="E605" i="3" a="1"/>
  <c r="E624" i="3" a="1"/>
  <c r="E630" i="3" a="1"/>
  <c r="E636" i="3" a="1"/>
  <c r="E642" i="3" a="1"/>
  <c r="E648" i="3" a="1"/>
  <c r="E655" i="3" a="1"/>
  <c r="E661" i="3" a="1"/>
  <c r="E667" i="3" a="1"/>
  <c r="E673" i="3" a="1"/>
  <c r="E704" i="3" a="1"/>
  <c r="E729" i="3" a="1"/>
  <c r="E740" i="3" a="1"/>
  <c r="E751" i="3" a="1"/>
  <c r="E762" i="3" a="1"/>
  <c r="E773" i="3" a="1"/>
  <c r="E779" i="3" a="1"/>
  <c r="E790" i="3" a="1"/>
  <c r="E801" i="3" a="1"/>
  <c r="E812" i="3" a="1"/>
  <c r="E823" i="3" a="1"/>
  <c r="E829" i="3" a="1"/>
  <c r="E840" i="3" a="1"/>
  <c r="E851" i="3" a="1"/>
  <c r="E862" i="3" a="1"/>
  <c r="E873" i="3" a="1"/>
  <c r="E879" i="3" a="1"/>
  <c r="E890" i="3" a="1"/>
  <c r="E901" i="3" a="1"/>
  <c r="E912" i="3" a="1"/>
  <c r="E923" i="3" a="1"/>
  <c r="E929" i="3" a="1"/>
  <c r="E940" i="3" a="1"/>
  <c r="E951" i="3" a="1"/>
  <c r="E962" i="3" a="1"/>
  <c r="E973" i="3" a="1"/>
  <c r="E978" i="3" a="1"/>
  <c r="E983" i="3" a="1"/>
  <c r="E988" i="3" a="1"/>
  <c r="E993" i="3" a="1"/>
  <c r="E998" i="3" a="1"/>
  <c r="E1003" i="3" a="1"/>
  <c r="E1008" i="3" a="1"/>
  <c r="E269" i="3" a="1"/>
  <c r="E346" i="3" a="1"/>
  <c r="E380" i="3" a="1"/>
  <c r="E408" i="3" a="1"/>
  <c r="E421" i="3" a="1"/>
  <c r="E456" i="3" a="1"/>
  <c r="E465" i="3" a="1"/>
  <c r="E484" i="3" a="1"/>
  <c r="E502" i="3" a="1"/>
  <c r="E526" i="3" a="1"/>
  <c r="E534" i="3" a="1"/>
  <c r="E550" i="3" a="1"/>
  <c r="E563" i="3" a="1"/>
  <c r="E591" i="3" a="1"/>
  <c r="E598" i="3" a="1"/>
  <c r="E612" i="3" a="1"/>
  <c r="E618" i="3" a="1"/>
  <c r="E674" i="3" a="1"/>
  <c r="E680" i="3" a="1"/>
  <c r="E686" i="3" a="1"/>
  <c r="E692" i="3" a="1"/>
  <c r="E698" i="3" a="1"/>
  <c r="E705" i="3" a="1"/>
  <c r="E711" i="3" a="1"/>
  <c r="E717" i="3" a="1"/>
  <c r="E723" i="3" a="1"/>
  <c r="E735" i="3" a="1"/>
  <c r="E746" i="3" a="1"/>
  <c r="E757" i="3" a="1"/>
  <c r="E768" i="3" a="1"/>
  <c r="E615" i="3" a="1"/>
  <c r="E684" i="3" a="1"/>
  <c r="E697" i="3" a="1"/>
  <c r="E728" i="3" a="1"/>
  <c r="E742" i="3" a="1"/>
  <c r="E753" i="3" a="1"/>
  <c r="E774" i="3" a="1"/>
  <c r="E783" i="3" a="1"/>
  <c r="E793" i="3" a="1"/>
  <c r="E811" i="3" a="1"/>
  <c r="E821" i="3" a="1"/>
  <c r="E839" i="3" a="1"/>
  <c r="E849" i="3" a="1"/>
  <c r="E857" i="3" a="1"/>
  <c r="E885" i="3" a="1"/>
  <c r="E922" i="3" a="1"/>
  <c r="E939" i="3" a="1"/>
  <c r="E955" i="3" a="1"/>
  <c r="E971" i="3" a="1"/>
  <c r="E992" i="3" a="1"/>
  <c r="E1000" i="3" a="1"/>
  <c r="E1013" i="3" a="1"/>
  <c r="E1020" i="3" a="1"/>
  <c r="E1031" i="3" a="1"/>
  <c r="E1042" i="3" a="1"/>
  <c r="E1053" i="3" a="1"/>
  <c r="E1064" i="3" a="1"/>
  <c r="E1070" i="3" a="1"/>
  <c r="E1081" i="3" a="1"/>
  <c r="E1092" i="3" a="1"/>
  <c r="E1103" i="3" a="1"/>
  <c r="E1114" i="3" a="1"/>
  <c r="E1120" i="3" a="1"/>
  <c r="E1131" i="3" a="1"/>
  <c r="E1142" i="3" a="1"/>
  <c r="E1153" i="3" a="1"/>
  <c r="E1164" i="3" a="1"/>
  <c r="E1170" i="3" a="1"/>
  <c r="E1181" i="3" a="1"/>
  <c r="E1192" i="3" a="1"/>
  <c r="E1203" i="3" a="1"/>
  <c r="E1214" i="3" a="1"/>
  <c r="E1220" i="3" a="1"/>
  <c r="E1231" i="3" a="1"/>
  <c r="E1242" i="3" a="1"/>
  <c r="E1253" i="3" a="1"/>
  <c r="E1264" i="3" a="1"/>
  <c r="E1270" i="3" a="1"/>
  <c r="E1281" i="3" a="1"/>
  <c r="E1292" i="3" a="1"/>
  <c r="E1303" i="3" a="1"/>
  <c r="E1314" i="3" a="1"/>
  <c r="E1320" i="3" a="1"/>
  <c r="E1331" i="3" a="1"/>
  <c r="E1342" i="3" a="1"/>
  <c r="E1353" i="3" a="1"/>
  <c r="E1364" i="3" a="1"/>
  <c r="E1198" i="3" a="1"/>
  <c r="E1209" i="3" a="1"/>
  <c r="E1215" i="3" a="1"/>
  <c r="E1226" i="3" a="1"/>
  <c r="E1237" i="3" a="1"/>
  <c r="E1248" i="3" a="1"/>
  <c r="E1259" i="3" a="1"/>
  <c r="E1265" i="3" a="1"/>
  <c r="E1276" i="3" a="1"/>
  <c r="E1287" i="3" a="1"/>
  <c r="E1360" i="3" a="1"/>
  <c r="E1155" i="3" a="1"/>
  <c r="E652" i="3" a="1"/>
  <c r="E715" i="3" a="1"/>
  <c r="E732" i="3" a="1"/>
  <c r="E743" i="3" a="1"/>
  <c r="E784" i="3" a="1"/>
  <c r="E794" i="3" a="1"/>
  <c r="E803" i="3" a="1"/>
  <c r="E831" i="3" a="1"/>
  <c r="E859" i="3" a="1"/>
  <c r="E867" i="3" a="1"/>
  <c r="E877" i="3" a="1"/>
  <c r="E895" i="3" a="1"/>
  <c r="E905" i="3" a="1"/>
  <c r="E932" i="3" a="1"/>
  <c r="E948" i="3" a="1"/>
  <c r="E986" i="3" a="1"/>
  <c r="E1007" i="3" a="1"/>
  <c r="E1026" i="3" a="1"/>
  <c r="E1037" i="3" a="1"/>
  <c r="E1048" i="3" a="1"/>
  <c r="E1059" i="3" a="1"/>
  <c r="E1065" i="3" a="1"/>
  <c r="E1076" i="3" a="1"/>
  <c r="E1087" i="3" a="1"/>
  <c r="E1098" i="3" a="1"/>
  <c r="E1109" i="3" a="1"/>
  <c r="E1115" i="3" a="1"/>
  <c r="E1126" i="3" a="1"/>
  <c r="E1137" i="3" a="1"/>
  <c r="E1148" i="3" a="1"/>
  <c r="E1159" i="3" a="1"/>
  <c r="E1165" i="3" a="1"/>
  <c r="E1176" i="3" a="1"/>
  <c r="E1187" i="3" a="1"/>
  <c r="E1298" i="3" a="1"/>
  <c r="E1309" i="3" a="1"/>
  <c r="E1315" i="3" a="1"/>
  <c r="E1326" i="3" a="1"/>
  <c r="E1337" i="3" a="1"/>
  <c r="E1348" i="3" a="1"/>
  <c r="E1359" i="3" a="1"/>
  <c r="E623" i="3" a="1"/>
  <c r="E653" i="3" a="1"/>
  <c r="E685" i="3" a="1"/>
  <c r="E702" i="3" a="1"/>
  <c r="E716" i="3" a="1"/>
  <c r="E744" i="3" a="1"/>
  <c r="E755" i="3" a="1"/>
  <c r="E766" i="3" a="1"/>
  <c r="E785" i="3" a="1"/>
  <c r="E822" i="3" a="1"/>
  <c r="E832" i="3" a="1"/>
  <c r="E850" i="3" a="1"/>
  <c r="E860" i="3" a="1"/>
  <c r="E868" i="3" a="1"/>
  <c r="E896" i="3" a="1"/>
  <c r="E924" i="3" a="1"/>
  <c r="E949" i="3" a="1"/>
  <c r="E956" i="3" a="1"/>
  <c r="E965" i="3" a="1"/>
  <c r="E972" i="3" a="1"/>
  <c r="E980" i="3" a="1"/>
  <c r="E1001" i="3" a="1"/>
  <c r="E1015" i="3" a="1"/>
  <c r="E1021" i="3" a="1"/>
  <c r="E1032" i="3" a="1"/>
  <c r="E1043" i="3" a="1"/>
  <c r="E1054" i="3" a="1"/>
  <c r="E1060" i="3" a="1"/>
  <c r="E1071" i="3" a="1"/>
  <c r="E1082" i="3" a="1"/>
  <c r="E1093" i="3" a="1"/>
  <c r="E1104" i="3" a="1"/>
  <c r="E1110" i="3" a="1"/>
  <c r="E1121" i="3" a="1"/>
  <c r="E1132" i="3" a="1"/>
  <c r="E1143" i="3" a="1"/>
  <c r="E1154" i="3" a="1"/>
  <c r="E1160" i="3" a="1"/>
  <c r="E1171" i="3" a="1"/>
  <c r="E1182" i="3" a="1"/>
  <c r="E1193" i="3" a="1"/>
  <c r="E1204" i="3" a="1"/>
  <c r="E1210" i="3" a="1"/>
  <c r="E1221" i="3" a="1"/>
  <c r="E1232" i="3" a="1"/>
  <c r="E1243" i="3" a="1"/>
  <c r="E1254" i="3" a="1"/>
  <c r="E1260" i="3" a="1"/>
  <c r="E1271" i="3" a="1"/>
  <c r="E1282" i="3" a="1"/>
  <c r="E1293" i="3" a="1"/>
  <c r="E1304" i="3" a="1"/>
  <c r="E1310" i="3" a="1"/>
  <c r="E1321" i="3" a="1"/>
  <c r="E1332" i="3" a="1"/>
  <c r="E1343" i="3" a="1"/>
  <c r="E1354" i="3" a="1"/>
  <c r="E1166" i="3" a="1"/>
  <c r="E1177" i="3" a="1"/>
  <c r="E567" i="3" a="1"/>
  <c r="E654" i="3" a="1"/>
  <c r="E672" i="3" a="1"/>
  <c r="E720" i="3" a="1"/>
  <c r="E733" i="3" a="1"/>
  <c r="E777" i="3" a="1"/>
  <c r="E795" i="3" a="1"/>
  <c r="E805" i="3" a="1"/>
  <c r="E842" i="3" a="1"/>
  <c r="E870" i="3" a="1"/>
  <c r="E878" i="3" a="1"/>
  <c r="E888" i="3" a="1"/>
  <c r="E906" i="3" a="1"/>
  <c r="E916" i="3" a="1"/>
  <c r="E933" i="3" a="1"/>
  <c r="E942" i="3" a="1"/>
  <c r="E957" i="3" a="1"/>
  <c r="E987" i="3" a="1"/>
  <c r="E995" i="3" a="1"/>
  <c r="E1027" i="3" a="1"/>
  <c r="E1038" i="3" a="1"/>
  <c r="E1049" i="3" a="1"/>
  <c r="E1055" i="3" a="1"/>
  <c r="E1066" i="3" a="1"/>
  <c r="E1077" i="3" a="1"/>
  <c r="E1088" i="3" a="1"/>
  <c r="E1099" i="3" a="1"/>
  <c r="E1105" i="3" a="1"/>
  <c r="E1116" i="3" a="1"/>
  <c r="E1127" i="3" a="1"/>
  <c r="E1138" i="3" a="1"/>
  <c r="E1149" i="3" a="1"/>
  <c r="E574" i="3" a="1"/>
  <c r="E658" i="3" a="1"/>
  <c r="E690" i="3" a="1"/>
  <c r="E703" i="3" a="1"/>
  <c r="E734" i="3" a="1"/>
  <c r="E745" i="3" a="1"/>
  <c r="E756" i="3" a="1"/>
  <c r="E767" i="3" a="1"/>
  <c r="E796" i="3" a="1"/>
  <c r="E824" i="3" a="1"/>
  <c r="E833" i="3" a="1"/>
  <c r="E843" i="3" a="1"/>
  <c r="E861" i="3" a="1"/>
  <c r="E871" i="3" a="1"/>
  <c r="E889" i="3" a="1"/>
  <c r="E899" i="3" a="1"/>
  <c r="E907" i="3" a="1"/>
  <c r="E934" i="3" a="1"/>
  <c r="E950" i="3" a="1"/>
  <c r="E959" i="3" a="1"/>
  <c r="E966" i="3" a="1"/>
  <c r="E981" i="3" a="1"/>
  <c r="E1002" i="3" a="1"/>
  <c r="E1010" i="3" a="1"/>
  <c r="E1016" i="3" a="1"/>
  <c r="E1022" i="3" a="1"/>
  <c r="E1033" i="3" a="1"/>
  <c r="E1044" i="3" a="1"/>
  <c r="E1050" i="3" a="1"/>
  <c r="E1061" i="3" a="1"/>
  <c r="E1072" i="3" a="1"/>
  <c r="E1083" i="3" a="1"/>
  <c r="E1094" i="3" a="1"/>
  <c r="E1100" i="3" a="1"/>
  <c r="E1111" i="3" a="1"/>
  <c r="E1122" i="3" a="1"/>
  <c r="E1133" i="3" a="1"/>
  <c r="E1144" i="3" a="1"/>
  <c r="E1150" i="3" a="1"/>
  <c r="E1161" i="3" a="1"/>
  <c r="E1172" i="3" a="1"/>
  <c r="E1183" i="3" a="1"/>
  <c r="E1194" i="3" a="1"/>
  <c r="E1200" i="3" a="1"/>
  <c r="E1211" i="3" a="1"/>
  <c r="E634" i="3" a="1"/>
  <c r="E677" i="3" a="1"/>
  <c r="E759" i="3" a="1"/>
  <c r="E770" i="3" a="1"/>
  <c r="E778" i="3" a="1"/>
  <c r="E788" i="3" a="1"/>
  <c r="E806" i="3" a="1"/>
  <c r="E816" i="3" a="1"/>
  <c r="E834" i="3" a="1"/>
  <c r="E844" i="3" a="1"/>
  <c r="E853" i="3" a="1"/>
  <c r="E881" i="3" a="1"/>
  <c r="E909" i="3" a="1"/>
  <c r="E917" i="3" a="1"/>
  <c r="E927" i="3" a="1"/>
  <c r="E935" i="3" a="1"/>
  <c r="E943" i="3" a="1"/>
  <c r="E975" i="3" a="1"/>
  <c r="E996" i="3" a="1"/>
  <c r="E1028" i="3" a="1"/>
  <c r="E1039" i="3" a="1"/>
  <c r="E1045" i="3" a="1"/>
  <c r="E1056" i="3" a="1"/>
  <c r="E1067" i="3" a="1"/>
  <c r="E1078" i="3" a="1"/>
  <c r="E1089" i="3" a="1"/>
  <c r="E1095" i="3" a="1"/>
  <c r="E1106" i="3" a="1"/>
  <c r="E1117" i="3" a="1"/>
  <c r="E1128" i="3" a="1"/>
  <c r="E1139" i="3" a="1"/>
  <c r="E1145" i="3" a="1"/>
  <c r="E1156" i="3" a="1"/>
  <c r="E1167" i="3" a="1"/>
  <c r="E1178" i="3" a="1"/>
  <c r="E1189" i="3" a="1"/>
  <c r="E1195" i="3" a="1"/>
  <c r="E1206" i="3" a="1"/>
  <c r="E1217" i="3" a="1"/>
  <c r="E1228" i="3" a="1"/>
  <c r="E1239" i="3" a="1"/>
  <c r="E1245" i="3" a="1"/>
  <c r="E1256" i="3" a="1"/>
  <c r="E1267" i="3" a="1"/>
  <c r="E1278" i="3" a="1"/>
  <c r="E1289" i="3" a="1"/>
  <c r="E1295" i="3" a="1"/>
  <c r="E1306" i="3" a="1"/>
  <c r="E1317" i="3" a="1"/>
  <c r="E1328" i="3" a="1"/>
  <c r="E1339" i="3" a="1"/>
  <c r="E1345" i="3" a="1"/>
  <c r="E1356" i="3" a="1"/>
  <c r="E588" i="3" a="1"/>
  <c r="E691" i="3" a="1"/>
  <c r="E708" i="3" a="1"/>
  <c r="E722" i="3" a="1"/>
  <c r="E749" i="3" a="1"/>
  <c r="E760" i="3" a="1"/>
  <c r="E771" i="3" a="1"/>
  <c r="E789" i="3" a="1"/>
  <c r="E799" i="3" a="1"/>
  <c r="E807" i="3" a="1"/>
  <c r="E835" i="3" a="1"/>
  <c r="E872" i="3" a="1"/>
  <c r="E882" i="3" a="1"/>
  <c r="E900" i="3" a="1"/>
  <c r="E910" i="3" a="1"/>
  <c r="E918" i="3" a="1"/>
  <c r="E944" i="3" a="1"/>
  <c r="E960" i="3" a="1"/>
  <c r="E967" i="3" a="1"/>
  <c r="E982" i="3" a="1"/>
  <c r="E990" i="3" a="1"/>
  <c r="E1011" i="3" a="1"/>
  <c r="E1017" i="3" a="1"/>
  <c r="E1023" i="3" a="1"/>
  <c r="E1034" i="3" a="1"/>
  <c r="E1040" i="3" a="1"/>
  <c r="E1051" i="3" a="1"/>
  <c r="E1062" i="3" a="1"/>
  <c r="E1073" i="3" a="1"/>
  <c r="E1084" i="3" a="1"/>
  <c r="E1090" i="3" a="1"/>
  <c r="E1101" i="3" a="1"/>
  <c r="E1112" i="3" a="1"/>
  <c r="E1123" i="3" a="1"/>
  <c r="E1134" i="3" a="1"/>
  <c r="E1140" i="3" a="1"/>
  <c r="E1151" i="3" a="1"/>
  <c r="E1162" i="3" a="1"/>
  <c r="E1173" i="3" a="1"/>
  <c r="E1184" i="3" a="1"/>
  <c r="E595" i="3" a="1"/>
  <c r="E640" i="3" a="1"/>
  <c r="E678" i="3" a="1"/>
  <c r="E709" i="3" a="1"/>
  <c r="E726" i="3" a="1"/>
  <c r="E738" i="3" a="1"/>
  <c r="E781" i="3" a="1"/>
  <c r="E809" i="3" a="1"/>
  <c r="E817" i="3" a="1"/>
  <c r="E827" i="3" a="1"/>
  <c r="E845" i="3" a="1"/>
  <c r="E855" i="3" a="1"/>
  <c r="E892" i="3" a="1"/>
  <c r="E920" i="3" a="1"/>
  <c r="E928" i="3" a="1"/>
  <c r="E937" i="3" a="1"/>
  <c r="E953" i="3" a="1"/>
  <c r="E968" i="3" a="1"/>
  <c r="E976" i="3" a="1"/>
  <c r="E997" i="3" a="1"/>
  <c r="E1005" i="3" a="1"/>
  <c r="E1029" i="3" a="1"/>
  <c r="E1035" i="3" a="1"/>
  <c r="E1046" i="3" a="1"/>
  <c r="E1057" i="3" a="1"/>
  <c r="E1068" i="3" a="1"/>
  <c r="E1079" i="3" a="1"/>
  <c r="E1085" i="3" a="1"/>
  <c r="E665" i="3" a="1"/>
  <c r="E679" i="3" a="1"/>
  <c r="E696" i="3" a="1"/>
  <c r="E727" i="3" a="1"/>
  <c r="E739" i="3" a="1"/>
  <c r="E750" i="3" a="1"/>
  <c r="E761" i="3" a="1"/>
  <c r="E772" i="3" a="1"/>
  <c r="E782" i="3" a="1"/>
  <c r="E800" i="3" a="1"/>
  <c r="E810" i="3" a="1"/>
  <c r="E818" i="3" a="1"/>
  <c r="E846" i="3" a="1"/>
  <c r="E874" i="3" a="1"/>
  <c r="E883" i="3" a="1"/>
  <c r="E893" i="3" a="1"/>
  <c r="E911" i="3" a="1"/>
  <c r="E921" i="3" a="1"/>
  <c r="E945" i="3" a="1"/>
  <c r="E954" i="3" a="1"/>
  <c r="E961" i="3" a="1"/>
  <c r="E970" i="3" a="1"/>
  <c r="E991" i="3" a="1"/>
  <c r="E1012" i="3" a="1"/>
  <c r="E1018" i="3" a="1"/>
  <c r="E1024" i="3" a="1"/>
  <c r="E1030" i="3" a="1"/>
  <c r="E1041" i="3" a="1"/>
  <c r="E1052" i="3" a="1"/>
  <c r="E1063" i="3" a="1"/>
  <c r="E1074" i="3" a="1"/>
  <c r="E1080" i="3" a="1"/>
  <c r="E1091" i="3" a="1"/>
  <c r="E1102" i="3" a="1"/>
  <c r="E1113" i="3" a="1"/>
  <c r="E1124" i="3" a="1"/>
  <c r="E1130" i="3" a="1"/>
  <c r="E1141" i="3" a="1"/>
  <c r="E1152" i="3" a="1"/>
  <c r="E1163" i="3" a="1"/>
  <c r="E1174" i="3" a="1"/>
  <c r="E1180" i="3" a="1"/>
  <c r="E1191" i="3" a="1"/>
  <c r="E1202" i="3" a="1"/>
  <c r="E1213" i="3" a="1"/>
  <c r="E1224" i="3" a="1"/>
  <c r="E1230" i="3" a="1"/>
  <c r="E1241" i="3" a="1"/>
  <c r="E1252" i="3" a="1"/>
  <c r="E1263" i="3" a="1"/>
  <c r="E1274" i="3" a="1"/>
  <c r="E1280" i="3" a="1"/>
  <c r="E1291" i="3" a="1"/>
  <c r="E1302" i="3" a="1"/>
  <c r="E1313" i="3" a="1"/>
  <c r="E1324" i="3" a="1"/>
  <c r="E1330" i="3" a="1"/>
  <c r="E1341" i="3" a="1"/>
  <c r="E1352" i="3" a="1"/>
  <c r="E1363" i="3" a="1"/>
  <c r="E1147" i="3" a="1"/>
  <c r="E1208" i="3" a="1"/>
  <c r="E1219" i="3" a="1"/>
  <c r="E1225" i="3" a="1"/>
  <c r="E1236" i="3" a="1"/>
  <c r="E1247" i="3" a="1"/>
  <c r="E1258" i="3" a="1"/>
  <c r="E1269" i="3" a="1"/>
  <c r="E1275" i="3" a="1"/>
  <c r="E608" i="3" a="1"/>
  <c r="E646" i="3" a="1"/>
  <c r="E666" i="3" a="1"/>
  <c r="E683" i="3" a="1"/>
  <c r="E714" i="3" a="1"/>
  <c r="E792" i="3" a="1"/>
  <c r="E820" i="3" a="1"/>
  <c r="E828" i="3" a="1"/>
  <c r="E838" i="3" a="1"/>
  <c r="E856" i="3" a="1"/>
  <c r="E866" i="3" a="1"/>
  <c r="E884" i="3" a="1"/>
  <c r="E894" i="3" a="1"/>
  <c r="E903" i="3" a="1"/>
  <c r="E931" i="3" a="1"/>
  <c r="E938" i="3" a="1"/>
  <c r="E946" i="3" a="1"/>
  <c r="E977" i="3" a="1"/>
  <c r="E985" i="3" a="1"/>
  <c r="E1006" i="3" a="1"/>
  <c r="E1025" i="3" a="1"/>
  <c r="E1036" i="3" a="1"/>
  <c r="E1047" i="3" a="1"/>
  <c r="E1058" i="3" a="1"/>
  <c r="E1069" i="3" a="1"/>
  <c r="E1075" i="3" a="1"/>
  <c r="E1086" i="3" a="1"/>
  <c r="E1097" i="3" a="1"/>
  <c r="E1108" i="3" a="1"/>
  <c r="E1119" i="3" a="1"/>
  <c r="E1125" i="3" a="1"/>
  <c r="E1136" i="3" a="1"/>
  <c r="E1158" i="3" a="1"/>
  <c r="E1169" i="3" a="1"/>
  <c r="E1175" i="3" a="1"/>
  <c r="E1186" i="3" a="1"/>
  <c r="E1197" i="3" a="1"/>
  <c r="E1286" i="3" a="1"/>
  <c r="E1297" i="3" a="1"/>
  <c r="E1308" i="3" a="1"/>
  <c r="E1319" i="3" a="1"/>
  <c r="E1325" i="3" a="1"/>
  <c r="E1336" i="3" a="1"/>
  <c r="E1347" i="3" a="1"/>
  <c r="E1358" i="3" a="1"/>
  <c r="E1146" i="3" a="1"/>
  <c r="E1279" i="3" a="1"/>
  <c r="E1294" i="3" a="1"/>
  <c r="E1212" i="3" a="1"/>
  <c r="E1227" i="3" a="1"/>
  <c r="E1240" i="3" a="1"/>
  <c r="E1255" i="3" a="1"/>
  <c r="E1323" i="3" a="1"/>
  <c r="E1096" i="3" a="1"/>
  <c r="E1157" i="3" a="1"/>
  <c r="E1268" i="3" a="1"/>
  <c r="E1283" i="3" a="1"/>
  <c r="E1296" i="3" a="1"/>
  <c r="E1311" i="3" a="1"/>
  <c r="E1299" i="3" a="1"/>
  <c r="E1312" i="3" a="1"/>
  <c r="E1327" i="3" a="1"/>
  <c r="E1340" i="3" a="1"/>
  <c r="E1355" i="3" a="1"/>
  <c r="E1229" i="3" a="1"/>
  <c r="E1244" i="3" a="1"/>
  <c r="E1249" i="3" a="1"/>
  <c r="E1262" i="3" a="1"/>
  <c r="E1290" i="3" a="1"/>
  <c r="E1346" i="3" a="1"/>
  <c r="E1107" i="3" a="1"/>
  <c r="E1196" i="3" a="1"/>
  <c r="E1216" i="3" a="1"/>
  <c r="E1284" i="3" a="1"/>
  <c r="E1257" i="3" a="1"/>
  <c r="E1361" i="3" a="1"/>
  <c r="E1168" i="3" a="1"/>
  <c r="E1199" i="3" a="1"/>
  <c r="E1272" i="3" a="1"/>
  <c r="E1285" i="3" a="1"/>
  <c r="E1300" i="3" a="1"/>
  <c r="E1118" i="3" a="1"/>
  <c r="E1201" i="3" a="1"/>
  <c r="E1273" i="3" a="1"/>
  <c r="E1288" i="3" a="1"/>
  <c r="E1301" i="3" a="1"/>
  <c r="E1316" i="3" a="1"/>
  <c r="E1233" i="3" a="1"/>
  <c r="E1179" i="3" a="1"/>
  <c r="E1218" i="3" a="1"/>
  <c r="E1246" i="3" a="1"/>
  <c r="E1261" i="3" a="1"/>
  <c r="E1329" i="3" a="1"/>
  <c r="E1344" i="3" a="1"/>
  <c r="E1357" i="3" a="1"/>
  <c r="E1277" i="3" a="1"/>
  <c r="E1305" i="3" a="1"/>
  <c r="E1333" i="3" a="1"/>
  <c r="E1129" i="3" a="1"/>
  <c r="E1185" i="3" a="1"/>
  <c r="E1205" i="3" a="1"/>
  <c r="E1234" i="3" a="1"/>
  <c r="E1135" i="3" a="1"/>
  <c r="E1188" i="3" a="1"/>
  <c r="E1222" i="3" a="1"/>
  <c r="E1235" i="3" a="1"/>
  <c r="E1250" i="3" a="1"/>
  <c r="E1318" i="3" a="1"/>
  <c r="E1190" i="3" a="1"/>
  <c r="E1207" i="3" a="1"/>
  <c r="E1223" i="3" a="1"/>
  <c r="E1238" i="3" a="1"/>
  <c r="E1251" i="3" a="1"/>
  <c r="E1266" i="3" a="1"/>
  <c r="E1334" i="3" a="1"/>
  <c r="E1349" i="3" a="1"/>
  <c r="E1362" i="3" a="1"/>
  <c r="E1307" i="3" a="1"/>
  <c r="E1322" i="3" a="1"/>
  <c r="E1335" i="3" a="1"/>
  <c r="E1350" i="3" a="1"/>
  <c r="E1338" i="3" a="1"/>
  <c r="E1351" i="3" a="1"/>
  <c r="E11" i="3" a="1"/>
  <c r="D12" i="3" a="1"/>
  <c r="D17" i="3" a="1"/>
  <c r="D22" i="3" a="1"/>
  <c r="D27" i="3" a="1"/>
  <c r="D32" i="3" a="1"/>
  <c r="D37" i="3" a="1"/>
  <c r="D42" i="3" a="1"/>
  <c r="D47" i="3" a="1"/>
  <c r="D52" i="3" a="1"/>
  <c r="D57" i="3" a="1"/>
  <c r="D62" i="3" a="1"/>
  <c r="D67" i="3" a="1"/>
  <c r="D72" i="3" a="1"/>
  <c r="D13" i="3" a="1"/>
  <c r="D19" i="3" a="1"/>
  <c r="D25" i="3" a="1"/>
  <c r="D31" i="3" a="1"/>
  <c r="D38" i="3" a="1"/>
  <c r="D44" i="3" a="1"/>
  <c r="D50" i="3" a="1"/>
  <c r="D56" i="3" a="1"/>
  <c r="D63" i="3" a="1"/>
  <c r="D69" i="3" a="1"/>
  <c r="D75" i="3" a="1"/>
  <c r="D86" i="3" a="1"/>
  <c r="D97" i="3" a="1"/>
  <c r="D103" i="3" a="1"/>
  <c r="D81" i="3" a="1"/>
  <c r="D92" i="3" a="1"/>
  <c r="D98" i="3" a="1"/>
  <c r="D109" i="3" a="1"/>
  <c r="D120" i="3" a="1"/>
  <c r="D131" i="3" a="1"/>
  <c r="D142" i="3" a="1"/>
  <c r="D148" i="3" a="1"/>
  <c r="D159" i="3" a="1"/>
  <c r="D170" i="3" a="1"/>
  <c r="D181" i="3" a="1"/>
  <c r="D192" i="3" a="1"/>
  <c r="D198" i="3" a="1"/>
  <c r="D209" i="3" a="1"/>
  <c r="D220" i="3" a="1"/>
  <c r="D231" i="3" a="1"/>
  <c r="D242" i="3" a="1"/>
  <c r="D248" i="3" a="1"/>
  <c r="D259" i="3" a="1"/>
  <c r="D14" i="3" a="1"/>
  <c r="D20" i="3" a="1"/>
  <c r="D26" i="3" a="1"/>
  <c r="D33" i="3" a="1"/>
  <c r="D39" i="3" a="1"/>
  <c r="D45" i="3" a="1"/>
  <c r="D51" i="3" a="1"/>
  <c r="D58" i="3" a="1"/>
  <c r="D64" i="3" a="1"/>
  <c r="D70" i="3" a="1"/>
  <c r="D76" i="3" a="1"/>
  <c r="D87" i="3" a="1"/>
  <c r="D93" i="3" a="1"/>
  <c r="D104" i="3" a="1"/>
  <c r="D82" i="3" a="1"/>
  <c r="D15" i="3" a="1"/>
  <c r="D78" i="3" a="1"/>
  <c r="D89" i="3" a="1"/>
  <c r="D100" i="3" a="1"/>
  <c r="D111" i="3" a="1"/>
  <c r="D122" i="3" a="1"/>
  <c r="D128" i="3" a="1"/>
  <c r="D139" i="3" a="1"/>
  <c r="D150" i="3" a="1"/>
  <c r="D161" i="3" a="1"/>
  <c r="D172" i="3" a="1"/>
  <c r="D178" i="3" a="1"/>
  <c r="D189" i="3" a="1"/>
  <c r="D200" i="3" a="1"/>
  <c r="D211" i="3" a="1"/>
  <c r="D222" i="3" a="1"/>
  <c r="D228" i="3" a="1"/>
  <c r="D239" i="3" a="1"/>
  <c r="D250" i="3" a="1"/>
  <c r="D261" i="3" a="1"/>
  <c r="D272" i="3" a="1"/>
  <c r="D278" i="3" a="1"/>
  <c r="D289" i="3" a="1"/>
  <c r="D300" i="3" a="1"/>
  <c r="D311" i="3" a="1"/>
  <c r="D322" i="3" a="1"/>
  <c r="D328" i="3" a="1"/>
  <c r="D339" i="3" a="1"/>
  <c r="D350" i="3" a="1"/>
  <c r="D361" i="3" a="1"/>
  <c r="D372" i="3" a="1"/>
  <c r="D378" i="3" a="1"/>
  <c r="D389" i="3" a="1"/>
  <c r="D400" i="3" a="1"/>
  <c r="D411" i="3" a="1"/>
  <c r="D422" i="3" a="1"/>
  <c r="D428" i="3" a="1"/>
  <c r="D16" i="3" a="1"/>
  <c r="D23" i="3" a="1"/>
  <c r="D29" i="3" a="1"/>
  <c r="D35" i="3" a="1"/>
  <c r="D41" i="3" a="1"/>
  <c r="D48" i="3" a="1"/>
  <c r="D54" i="3" a="1"/>
  <c r="D18" i="3" a="1"/>
  <c r="D80" i="3" a="1"/>
  <c r="D91" i="3" a="1"/>
  <c r="D102" i="3" a="1"/>
  <c r="D108" i="3" a="1"/>
  <c r="D119" i="3" a="1"/>
  <c r="D130" i="3" a="1"/>
  <c r="D141" i="3" a="1"/>
  <c r="D152" i="3" a="1"/>
  <c r="D158" i="3" a="1"/>
  <c r="D169" i="3" a="1"/>
  <c r="D180" i="3" a="1"/>
  <c r="D191" i="3" a="1"/>
  <c r="D202" i="3" a="1"/>
  <c r="D208" i="3" a="1"/>
  <c r="D219" i="3" a="1"/>
  <c r="D230" i="3" a="1"/>
  <c r="D241" i="3" a="1"/>
  <c r="D252" i="3" a="1"/>
  <c r="D21" i="3" a="1"/>
  <c r="D77" i="3" a="1"/>
  <c r="D110" i="3" a="1"/>
  <c r="D118" i="3" a="1"/>
  <c r="D126" i="3" a="1"/>
  <c r="D134" i="3" a="1"/>
  <c r="D157" i="3" a="1"/>
  <c r="D197" i="3" a="1"/>
  <c r="D205" i="3" a="1"/>
  <c r="D213" i="3" a="1"/>
  <c r="D221" i="3" a="1"/>
  <c r="D229" i="3" a="1"/>
  <c r="D237" i="3" a="1"/>
  <c r="D245" i="3" a="1"/>
  <c r="D253" i="3" a="1"/>
  <c r="D260" i="3" a="1"/>
  <c r="D266" i="3" a="1"/>
  <c r="D273" i="3" a="1"/>
  <c r="D279" i="3" a="1"/>
  <c r="D285" i="3" a="1"/>
  <c r="D291" i="3" a="1"/>
  <c r="D297" i="3" a="1"/>
  <c r="D353" i="3" a="1"/>
  <c r="D359" i="3" a="1"/>
  <c r="D365" i="3" a="1"/>
  <c r="D371" i="3" a="1"/>
  <c r="D377" i="3" a="1"/>
  <c r="D384" i="3" a="1"/>
  <c r="D390" i="3" a="1"/>
  <c r="D396" i="3" a="1"/>
  <c r="D402" i="3" a="1"/>
  <c r="D433" i="3" a="1"/>
  <c r="D439" i="3" a="1"/>
  <c r="D450" i="3" a="1"/>
  <c r="D461" i="3" a="1"/>
  <c r="D472" i="3" a="1"/>
  <c r="D483" i="3" a="1"/>
  <c r="D489" i="3" a="1"/>
  <c r="D500" i="3" a="1"/>
  <c r="D511" i="3" a="1"/>
  <c r="D522" i="3" a="1"/>
  <c r="D533" i="3" a="1"/>
  <c r="D539" i="3" a="1"/>
  <c r="D43" i="3" a="1"/>
  <c r="D61" i="3" a="1"/>
  <c r="D90" i="3" a="1"/>
  <c r="D101" i="3" a="1"/>
  <c r="D143" i="3" a="1"/>
  <c r="D166" i="3" a="1"/>
  <c r="D174" i="3" a="1"/>
  <c r="D182" i="3" a="1"/>
  <c r="D190" i="3" a="1"/>
  <c r="D206" i="3" a="1"/>
  <c r="D214" i="3" a="1"/>
  <c r="D24" i="3" a="1"/>
  <c r="D46" i="3" a="1"/>
  <c r="D65" i="3" a="1"/>
  <c r="D79" i="3" a="1"/>
  <c r="D127" i="3" a="1"/>
  <c r="D135" i="3" a="1"/>
  <c r="D151" i="3" a="1"/>
  <c r="D167" i="3" a="1"/>
  <c r="D175" i="3" a="1"/>
  <c r="D183" i="3" a="1"/>
  <c r="D199" i="3" a="1"/>
  <c r="D215" i="3" a="1"/>
  <c r="D28" i="3" a="1"/>
  <c r="D66" i="3" a="1"/>
  <c r="D112" i="3" a="1"/>
  <c r="D136" i="3" a="1"/>
  <c r="D144" i="3" a="1"/>
  <c r="D160" i="3" a="1"/>
  <c r="D168" i="3" a="1"/>
  <c r="D176" i="3" a="1"/>
  <c r="D184" i="3" a="1"/>
  <c r="D49" i="3" a="1"/>
  <c r="D83" i="3" a="1"/>
  <c r="D94" i="3" a="1"/>
  <c r="D105" i="3" a="1"/>
  <c r="D113" i="3" a="1"/>
  <c r="D121" i="3" a="1"/>
  <c r="D129" i="3" a="1"/>
  <c r="D137" i="3" a="1"/>
  <c r="D145" i="3" a="1"/>
  <c r="D153" i="3" a="1"/>
  <c r="D193" i="3" a="1"/>
  <c r="D216" i="3" a="1"/>
  <c r="D224" i="3" a="1"/>
  <c r="D232" i="3" a="1"/>
  <c r="D240" i="3" a="1"/>
  <c r="D256" i="3" a="1"/>
  <c r="D263" i="3" a="1"/>
  <c r="D269" i="3" a="1"/>
  <c r="D30" i="3" a="1"/>
  <c r="D53" i="3" a="1"/>
  <c r="D68" i="3" a="1"/>
  <c r="D84" i="3" a="1"/>
  <c r="D95" i="3" a="1"/>
  <c r="D106" i="3" a="1"/>
  <c r="D114" i="3" a="1"/>
  <c r="D138" i="3" a="1"/>
  <c r="D154" i="3" a="1"/>
  <c r="D34" i="3" a="1"/>
  <c r="D71" i="3" a="1"/>
  <c r="D115" i="3" a="1"/>
  <c r="D123" i="3" a="1"/>
  <c r="D146" i="3" a="1"/>
  <c r="D55" i="3" a="1"/>
  <c r="D73" i="3" a="1"/>
  <c r="D85" i="3" a="1"/>
  <c r="D96" i="3" a="1"/>
  <c r="D107" i="3" a="1"/>
  <c r="D147" i="3" a="1"/>
  <c r="D155" i="3" a="1"/>
  <c r="D36" i="3" a="1"/>
  <c r="D59" i="3" a="1"/>
  <c r="D88" i="3" a="1"/>
  <c r="D99" i="3" a="1"/>
  <c r="D116" i="3" a="1"/>
  <c r="D124" i="3" a="1"/>
  <c r="D132" i="3" a="1"/>
  <c r="D140" i="3" a="1"/>
  <c r="D156" i="3" a="1"/>
  <c r="D164" i="3" a="1"/>
  <c r="D40" i="3" a="1"/>
  <c r="D60" i="3" a="1"/>
  <c r="D74" i="3" a="1"/>
  <c r="D117" i="3" a="1"/>
  <c r="D125" i="3" a="1"/>
  <c r="D133" i="3" a="1"/>
  <c r="D149" i="3" a="1"/>
  <c r="D165" i="3" a="1"/>
  <c r="D173" i="3" a="1"/>
  <c r="D196" i="3" a="1"/>
  <c r="D212" i="3" a="1"/>
  <c r="D236" i="3" a="1"/>
  <c r="D244" i="3" a="1"/>
  <c r="D303" i="3" a="1"/>
  <c r="D179" i="3" a="1"/>
  <c r="D226" i="3" a="1"/>
  <c r="D238" i="3" a="1"/>
  <c r="D249" i="3" a="1"/>
  <c r="D276" i="3" a="1"/>
  <c r="D284" i="3" a="1"/>
  <c r="D292" i="3" a="1"/>
  <c r="D307" i="3" a="1"/>
  <c r="D314" i="3" a="1"/>
  <c r="D327" i="3" a="1"/>
  <c r="D335" i="3" a="1"/>
  <c r="D355" i="3" a="1"/>
  <c r="D362" i="3" a="1"/>
  <c r="D369" i="3" a="1"/>
  <c r="D382" i="3" a="1"/>
  <c r="D410" i="3" a="1"/>
  <c r="D417" i="3" a="1"/>
  <c r="D424" i="3" a="1"/>
  <c r="D437" i="3" a="1"/>
  <c r="D443" i="3" a="1"/>
  <c r="D456" i="3" a="1"/>
  <c r="D462" i="3" a="1"/>
  <c r="D468" i="3" a="1"/>
  <c r="D499" i="3" a="1"/>
  <c r="D505" i="3" a="1"/>
  <c r="D524" i="3" a="1"/>
  <c r="D530" i="3" a="1"/>
  <c r="D536" i="3" a="1"/>
  <c r="D542" i="3" a="1"/>
  <c r="D548" i="3" a="1"/>
  <c r="D559" i="3" a="1"/>
  <c r="D565" i="3" a="1"/>
  <c r="D576" i="3" a="1"/>
  <c r="D587" i="3" a="1"/>
  <c r="D598" i="3" a="1"/>
  <c r="D609" i="3" a="1"/>
  <c r="D615" i="3" a="1"/>
  <c r="D626" i="3" a="1"/>
  <c r="D637" i="3" a="1"/>
  <c r="D648" i="3" a="1"/>
  <c r="D659" i="3" a="1"/>
  <c r="D665" i="3" a="1"/>
  <c r="D293" i="3" a="1"/>
  <c r="D308" i="3" a="1"/>
  <c r="D321" i="3" a="1"/>
  <c r="D329" i="3" a="1"/>
  <c r="D342" i="3" a="1"/>
  <c r="D349" i="3" a="1"/>
  <c r="D356" i="3" a="1"/>
  <c r="D363" i="3" a="1"/>
  <c r="D376" i="3" a="1"/>
  <c r="D383" i="3" a="1"/>
  <c r="D397" i="3" a="1"/>
  <c r="D404" i="3" a="1"/>
  <c r="D418" i="3" a="1"/>
  <c r="D431" i="3" a="1"/>
  <c r="D444" i="3" a="1"/>
  <c r="D469" i="3" a="1"/>
  <c r="D475" i="3" a="1"/>
  <c r="D481" i="3" a="1"/>
  <c r="D487" i="3" a="1"/>
  <c r="D493" i="3" a="1"/>
  <c r="D506" i="3" a="1"/>
  <c r="D512" i="3" a="1"/>
  <c r="D518" i="3" a="1"/>
  <c r="D554" i="3" a="1"/>
  <c r="D560" i="3" a="1"/>
  <c r="D571" i="3" a="1"/>
  <c r="D582" i="3" a="1"/>
  <c r="D593" i="3" a="1"/>
  <c r="D604" i="3" a="1"/>
  <c r="D610" i="3" a="1"/>
  <c r="D621" i="3" a="1"/>
  <c r="D162" i="3" a="1"/>
  <c r="D185" i="3" a="1"/>
  <c r="D201" i="3" a="1"/>
  <c r="D217" i="3" a="1"/>
  <c r="D227" i="3" a="1"/>
  <c r="D270" i="3" a="1"/>
  <c r="D277" i="3" a="1"/>
  <c r="D286" i="3" a="1"/>
  <c r="D301" i="3" a="1"/>
  <c r="D315" i="3" a="1"/>
  <c r="D323" i="3" a="1"/>
  <c r="D336" i="3" a="1"/>
  <c r="D343" i="3" a="1"/>
  <c r="D370" i="3" a="1"/>
  <c r="D391" i="3" a="1"/>
  <c r="D398" i="3" a="1"/>
  <c r="D163" i="3" a="1"/>
  <c r="D186" i="3" a="1"/>
  <c r="D218" i="3" a="1"/>
  <c r="D251" i="3" a="1"/>
  <c r="D262" i="3" a="1"/>
  <c r="D294" i="3" a="1"/>
  <c r="D309" i="3" a="1"/>
  <c r="D316" i="3" a="1"/>
  <c r="D330" i="3" a="1"/>
  <c r="D357" i="3" a="1"/>
  <c r="D364" i="3" a="1"/>
  <c r="D385" i="3" a="1"/>
  <c r="D405" i="3" a="1"/>
  <c r="D412" i="3" a="1"/>
  <c r="D419" i="3" a="1"/>
  <c r="D432" i="3" a="1"/>
  <c r="D464" i="3" a="1"/>
  <c r="D470" i="3" a="1"/>
  <c r="D476" i="3" a="1"/>
  <c r="D482" i="3" a="1"/>
  <c r="D488" i="3" a="1"/>
  <c r="D495" i="3" a="1"/>
  <c r="D501" i="3" a="1"/>
  <c r="D507" i="3" a="1"/>
  <c r="D187" i="3" a="1"/>
  <c r="D203" i="3" a="1"/>
  <c r="D254" i="3" a="1"/>
  <c r="D271" i="3" a="1"/>
  <c r="D280" i="3" a="1"/>
  <c r="D287" i="3" a="1"/>
  <c r="D295" i="3" a="1"/>
  <c r="D302" i="3" a="1"/>
  <c r="D310" i="3" a="1"/>
  <c r="D317" i="3" a="1"/>
  <c r="D324" i="3" a="1"/>
  <c r="D337" i="3" a="1"/>
  <c r="D344" i="3" a="1"/>
  <c r="D351" i="3" a="1"/>
  <c r="D358" i="3" a="1"/>
  <c r="D379" i="3" a="1"/>
  <c r="D188" i="3" a="1"/>
  <c r="D204" i="3" a="1"/>
  <c r="D243" i="3" a="1"/>
  <c r="D264" i="3" a="1"/>
  <c r="D288" i="3" a="1"/>
  <c r="D304" i="3" a="1"/>
  <c r="D318" i="3" a="1"/>
  <c r="D331" i="3" a="1"/>
  <c r="D338" i="3" a="1"/>
  <c r="D345" i="3" a="1"/>
  <c r="D373" i="3" a="1"/>
  <c r="D171" i="3" a="1"/>
  <c r="D207" i="3" a="1"/>
  <c r="D233" i="3" a="1"/>
  <c r="D255" i="3" a="1"/>
  <c r="D274" i="3" a="1"/>
  <c r="D281" i="3" a="1"/>
  <c r="D296" i="3" a="1"/>
  <c r="D325" i="3" a="1"/>
  <c r="D352" i="3" a="1"/>
  <c r="D366" i="3" a="1"/>
  <c r="D223" i="3" a="1"/>
  <c r="D234" i="3" a="1"/>
  <c r="D265" i="3" a="1"/>
  <c r="D298" i="3" a="1"/>
  <c r="D305" i="3" a="1"/>
  <c r="D312" i="3" a="1"/>
  <c r="D319" i="3" a="1"/>
  <c r="D332" i="3" a="1"/>
  <c r="D346" i="3" a="1"/>
  <c r="D360" i="3" a="1"/>
  <c r="D367" i="3" a="1"/>
  <c r="D374" i="3" a="1"/>
  <c r="D387" i="3" a="1"/>
  <c r="D394" i="3" a="1"/>
  <c r="D401" i="3" a="1"/>
  <c r="D408" i="3" a="1"/>
  <c r="D415" i="3" a="1"/>
  <c r="D429" i="3" a="1"/>
  <c r="D454" i="3" a="1"/>
  <c r="D460" i="3" a="1"/>
  <c r="D466" i="3" a="1"/>
  <c r="D479" i="3" a="1"/>
  <c r="D485" i="3" a="1"/>
  <c r="D491" i="3" a="1"/>
  <c r="D497" i="3" a="1"/>
  <c r="D503" i="3" a="1"/>
  <c r="D528" i="3" a="1"/>
  <c r="D552" i="3" a="1"/>
  <c r="D177" i="3" a="1"/>
  <c r="D194" i="3" a="1"/>
  <c r="D210" i="3" a="1"/>
  <c r="D246" i="3" a="1"/>
  <c r="D257" i="3" a="1"/>
  <c r="D267" i="3" a="1"/>
  <c r="D195" i="3" a="1"/>
  <c r="D225" i="3" a="1"/>
  <c r="D235" i="3" a="1"/>
  <c r="D247" i="3" a="1"/>
  <c r="D258" i="3" a="1"/>
  <c r="D268" i="3" a="1"/>
  <c r="D283" i="3" a="1"/>
  <c r="D299" i="3" a="1"/>
  <c r="D320" i="3" a="1"/>
  <c r="D334" i="3" a="1"/>
  <c r="D275" i="3" a="1"/>
  <c r="D341" i="3" a="1"/>
  <c r="D403" i="3" a="1"/>
  <c r="D414" i="3" a="1"/>
  <c r="D426" i="3" a="1"/>
  <c r="D447" i="3" a="1"/>
  <c r="D458" i="3" a="1"/>
  <c r="D478" i="3" a="1"/>
  <c r="D498" i="3" a="1"/>
  <c r="D509" i="3" a="1"/>
  <c r="D519" i="3" a="1"/>
  <c r="D545" i="3" a="1"/>
  <c r="D567" i="3" a="1"/>
  <c r="D588" i="3" a="1"/>
  <c r="D595" i="3" a="1"/>
  <c r="D608" i="3" a="1"/>
  <c r="D616" i="3" a="1"/>
  <c r="D635" i="3" a="1"/>
  <c r="D641" i="3" a="1"/>
  <c r="D647" i="3" a="1"/>
  <c r="D653" i="3" a="1"/>
  <c r="D660" i="3" a="1"/>
  <c r="D666" i="3" a="1"/>
  <c r="D672" i="3" a="1"/>
  <c r="D683" i="3" a="1"/>
  <c r="D694" i="3" a="1"/>
  <c r="D705" i="3" a="1"/>
  <c r="D711" i="3" a="1"/>
  <c r="D722" i="3" a="1"/>
  <c r="D733" i="3" a="1"/>
  <c r="D744" i="3" a="1"/>
  <c r="D755" i="3" a="1"/>
  <c r="D761" i="3" a="1"/>
  <c r="D772" i="3" a="1"/>
  <c r="D783" i="3" a="1"/>
  <c r="D794" i="3" a="1"/>
  <c r="D805" i="3" a="1"/>
  <c r="D811" i="3" a="1"/>
  <c r="D822" i="3" a="1"/>
  <c r="D833" i="3" a="1"/>
  <c r="D282" i="3" a="1"/>
  <c r="D347" i="3" a="1"/>
  <c r="D375" i="3" a="1"/>
  <c r="D392" i="3" a="1"/>
  <c r="D427" i="3" a="1"/>
  <c r="D438" i="3" a="1"/>
  <c r="D448" i="3" a="1"/>
  <c r="D459" i="3" a="1"/>
  <c r="D490" i="3" a="1"/>
  <c r="D510" i="3" a="1"/>
  <c r="D527" i="3" a="1"/>
  <c r="D537" i="3" a="1"/>
  <c r="D553" i="3" a="1"/>
  <c r="D561" i="3" a="1"/>
  <c r="D574" i="3" a="1"/>
  <c r="D581" i="3" a="1"/>
  <c r="D602" i="3" a="1"/>
  <c r="D623" i="3" a="1"/>
  <c r="D629" i="3" a="1"/>
  <c r="D654" i="3" a="1"/>
  <c r="D678" i="3" a="1"/>
  <c r="D689" i="3" a="1"/>
  <c r="D700" i="3" a="1"/>
  <c r="D706" i="3" a="1"/>
  <c r="D717" i="3" a="1"/>
  <c r="D728" i="3" a="1"/>
  <c r="D739" i="3" a="1"/>
  <c r="D750" i="3" a="1"/>
  <c r="D756" i="3" a="1"/>
  <c r="D767" i="3" a="1"/>
  <c r="D778" i="3" a="1"/>
  <c r="D789" i="3" a="1"/>
  <c r="D800" i="3" a="1"/>
  <c r="D290" i="3" a="1"/>
  <c r="D348" i="3" a="1"/>
  <c r="D393" i="3" a="1"/>
  <c r="D406" i="3" a="1"/>
  <c r="D416" i="3" a="1"/>
  <c r="D440" i="3" a="1"/>
  <c r="D449" i="3" a="1"/>
  <c r="D480" i="3" a="1"/>
  <c r="D520" i="3" a="1"/>
  <c r="D529" i="3" a="1"/>
  <c r="D546" i="3" a="1"/>
  <c r="D555" i="3" a="1"/>
  <c r="D568" i="3" a="1"/>
  <c r="D575" i="3" a="1"/>
  <c r="D354" i="3" a="1"/>
  <c r="D380" i="3" a="1"/>
  <c r="D451" i="3" a="1"/>
  <c r="D471" i="3" a="1"/>
  <c r="D502" i="3" a="1"/>
  <c r="D538" i="3" a="1"/>
  <c r="D547" i="3" a="1"/>
  <c r="D562" i="3" a="1"/>
  <c r="D583" i="3" a="1"/>
  <c r="D590" i="3" a="1"/>
  <c r="D603" i="3" a="1"/>
  <c r="D611" i="3" a="1"/>
  <c r="D624" i="3" a="1"/>
  <c r="D643" i="3" a="1"/>
  <c r="D649" i="3" a="1"/>
  <c r="D679" i="3" a="1"/>
  <c r="D690" i="3" a="1"/>
  <c r="D696" i="3" a="1"/>
  <c r="D707" i="3" a="1"/>
  <c r="D718" i="3" a="1"/>
  <c r="D729" i="3" a="1"/>
  <c r="D740" i="3" a="1"/>
  <c r="D746" i="3" a="1"/>
  <c r="D757" i="3" a="1"/>
  <c r="D768" i="3" a="1"/>
  <c r="D306" i="3" a="1"/>
  <c r="D381" i="3" a="1"/>
  <c r="D395" i="3" a="1"/>
  <c r="D407" i="3" a="1"/>
  <c r="D430" i="3" a="1"/>
  <c r="D441" i="3" a="1"/>
  <c r="D452" i="3" a="1"/>
  <c r="D492" i="3" a="1"/>
  <c r="D513" i="3" a="1"/>
  <c r="D521" i="3" a="1"/>
  <c r="D531" i="3" a="1"/>
  <c r="D556" i="3" a="1"/>
  <c r="D569" i="3" a="1"/>
  <c r="D577" i="3" a="1"/>
  <c r="D597" i="3" a="1"/>
  <c r="D605" i="3" a="1"/>
  <c r="D618" i="3" a="1"/>
  <c r="D625" i="3" a="1"/>
  <c r="D631" i="3" a="1"/>
  <c r="D650" i="3" a="1"/>
  <c r="D656" i="3" a="1"/>
  <c r="D662" i="3" a="1"/>
  <c r="D668" i="3" a="1"/>
  <c r="D674" i="3" a="1"/>
  <c r="D685" i="3" a="1"/>
  <c r="D691" i="3" a="1"/>
  <c r="D702" i="3" a="1"/>
  <c r="D713" i="3" a="1"/>
  <c r="D724" i="3" a="1"/>
  <c r="D735" i="3" a="1"/>
  <c r="D741" i="3" a="1"/>
  <c r="D752" i="3" a="1"/>
  <c r="D763" i="3" a="1"/>
  <c r="D774" i="3" a="1"/>
  <c r="D785" i="3" a="1"/>
  <c r="D791" i="3" a="1"/>
  <c r="D802" i="3" a="1"/>
  <c r="D813" i="3" a="1"/>
  <c r="D824" i="3" a="1"/>
  <c r="D835" i="3" a="1"/>
  <c r="D841" i="3" a="1"/>
  <c r="D852" i="3" a="1"/>
  <c r="D863" i="3" a="1"/>
  <c r="D313" i="3" a="1"/>
  <c r="D409" i="3" a="1"/>
  <c r="D420" i="3" a="1"/>
  <c r="D442" i="3" a="1"/>
  <c r="D463" i="3" a="1"/>
  <c r="D473" i="3" a="1"/>
  <c r="D484" i="3" a="1"/>
  <c r="D494" i="3" a="1"/>
  <c r="D399" i="3" a="1"/>
  <c r="D421" i="3" a="1"/>
  <c r="D434" i="3" a="1"/>
  <c r="D453" i="3" a="1"/>
  <c r="D474" i="3" a="1"/>
  <c r="D523" i="3" a="1"/>
  <c r="D532" i="3" a="1"/>
  <c r="D541" i="3" a="1"/>
  <c r="D550" i="3" a="1"/>
  <c r="D326" i="3" a="1"/>
  <c r="D368" i="3" a="1"/>
  <c r="D386" i="3" a="1"/>
  <c r="D423" i="3" a="1"/>
  <c r="D445" i="3" a="1"/>
  <c r="D465" i="3" a="1"/>
  <c r="D496" i="3" a="1"/>
  <c r="D515" i="3" a="1"/>
  <c r="D525" i="3" a="1"/>
  <c r="D564" i="3" a="1"/>
  <c r="D572" i="3" a="1"/>
  <c r="D592" i="3" a="1"/>
  <c r="D600" i="3" a="1"/>
  <c r="D613" i="3" a="1"/>
  <c r="D620" i="3" a="1"/>
  <c r="D627" i="3" a="1"/>
  <c r="D633" i="3" a="1"/>
  <c r="D639" i="3" a="1"/>
  <c r="D670" i="3" a="1"/>
  <c r="D676" i="3" a="1"/>
  <c r="D687" i="3" a="1"/>
  <c r="D698" i="3" a="1"/>
  <c r="D709" i="3" a="1"/>
  <c r="D720" i="3" a="1"/>
  <c r="D726" i="3" a="1"/>
  <c r="D737" i="3" a="1"/>
  <c r="D748" i="3" a="1"/>
  <c r="D759" i="3" a="1"/>
  <c r="D770" i="3" a="1"/>
  <c r="D776" i="3" a="1"/>
  <c r="D787" i="3" a="1"/>
  <c r="D798" i="3" a="1"/>
  <c r="D809" i="3" a="1"/>
  <c r="D820" i="3" a="1"/>
  <c r="D826" i="3" a="1"/>
  <c r="D837" i="3" a="1"/>
  <c r="D848" i="3" a="1"/>
  <c r="D859" i="3" a="1"/>
  <c r="D870" i="3" a="1"/>
  <c r="D876" i="3" a="1"/>
  <c r="D887" i="3" a="1"/>
  <c r="D898" i="3" a="1"/>
  <c r="D909" i="3" a="1"/>
  <c r="D920" i="3" a="1"/>
  <c r="D926" i="3" a="1"/>
  <c r="D937" i="3" a="1"/>
  <c r="D948" i="3" a="1"/>
  <c r="D959" i="3" a="1"/>
  <c r="D970" i="3" a="1"/>
  <c r="D976" i="3" a="1"/>
  <c r="D987" i="3" a="1"/>
  <c r="D998" i="3" a="1"/>
  <c r="D1009" i="3" a="1"/>
  <c r="D1020" i="3" a="1"/>
  <c r="D1026" i="3" a="1"/>
  <c r="D1037" i="3" a="1"/>
  <c r="D333" i="3" a="1"/>
  <c r="D413" i="3" a="1"/>
  <c r="D435" i="3" a="1"/>
  <c r="D446" i="3" a="1"/>
  <c r="D455" i="3" a="1"/>
  <c r="D486" i="3" a="1"/>
  <c r="D516" i="3" a="1"/>
  <c r="D534" i="3" a="1"/>
  <c r="D543" i="3" a="1"/>
  <c r="D551" i="3" a="1"/>
  <c r="D558" i="3" a="1"/>
  <c r="D566" i="3" a="1"/>
  <c r="D579" i="3" a="1"/>
  <c r="D586" i="3" a="1"/>
  <c r="D607" i="3" a="1"/>
  <c r="D640" i="3" a="1"/>
  <c r="D646" i="3" a="1"/>
  <c r="D652" i="3" a="1"/>
  <c r="D658" i="3" a="1"/>
  <c r="D664" i="3" a="1"/>
  <c r="D671" i="3" a="1"/>
  <c r="D682" i="3" a="1"/>
  <c r="D340" i="3" a="1"/>
  <c r="D388" i="3" a="1"/>
  <c r="D425" i="3" a="1"/>
  <c r="D436" i="3" a="1"/>
  <c r="D457" i="3" a="1"/>
  <c r="D467" i="3" a="1"/>
  <c r="D477" i="3" a="1"/>
  <c r="D508" i="3" a="1"/>
  <c r="D517" i="3" a="1"/>
  <c r="D526" i="3" a="1"/>
  <c r="D535" i="3" a="1"/>
  <c r="D544" i="3" a="1"/>
  <c r="D573" i="3" a="1"/>
  <c r="D580" i="3" a="1"/>
  <c r="D594" i="3" a="1"/>
  <c r="D601" i="3" a="1"/>
  <c r="D614" i="3" a="1"/>
  <c r="D622" i="3" a="1"/>
  <c r="D628" i="3" a="1"/>
  <c r="D504" i="3" a="1"/>
  <c r="D570" i="3" a="1"/>
  <c r="D596" i="3" a="1"/>
  <c r="D638" i="3" a="1"/>
  <c r="D716" i="3" a="1"/>
  <c r="D727" i="3" a="1"/>
  <c r="D738" i="3" a="1"/>
  <c r="D749" i="3" a="1"/>
  <c r="D760" i="3" a="1"/>
  <c r="D781" i="3" a="1"/>
  <c r="D790" i="3" a="1"/>
  <c r="D799" i="3" a="1"/>
  <c r="D808" i="3" a="1"/>
  <c r="D816" i="3" a="1"/>
  <c r="D832" i="3" a="1"/>
  <c r="D839" i="3" a="1"/>
  <c r="D846" i="3" a="1"/>
  <c r="D853" i="3" a="1"/>
  <c r="D860" i="3" a="1"/>
  <c r="D867" i="3" a="1"/>
  <c r="D873" i="3" a="1"/>
  <c r="D879" i="3" a="1"/>
  <c r="D885" i="3" a="1"/>
  <c r="D904" i="3" a="1"/>
  <c r="D910" i="3" a="1"/>
  <c r="D941" i="3" a="1"/>
  <c r="D947" i="3" a="1"/>
  <c r="D953" i="3" a="1"/>
  <c r="D966" i="3" a="1"/>
  <c r="D972" i="3" a="1"/>
  <c r="D514" i="3" a="1"/>
  <c r="D619" i="3" a="1"/>
  <c r="D655" i="3" a="1"/>
  <c r="D669" i="3" a="1"/>
  <c r="D684" i="3" a="1"/>
  <c r="D695" i="3" a="1"/>
  <c r="D751" i="3" a="1"/>
  <c r="D762" i="3" a="1"/>
  <c r="D773" i="3" a="1"/>
  <c r="D782" i="3" a="1"/>
  <c r="D801" i="3" a="1"/>
  <c r="D817" i="3" a="1"/>
  <c r="D847" i="3" a="1"/>
  <c r="D854" i="3" a="1"/>
  <c r="D861" i="3" a="1"/>
  <c r="D886" i="3" a="1"/>
  <c r="D892" i="3" a="1"/>
  <c r="D599" i="3" a="1"/>
  <c r="D686" i="3" a="1"/>
  <c r="D697" i="3" a="1"/>
  <c r="D708" i="3" a="1"/>
  <c r="D719" i="3" a="1"/>
  <c r="D730" i="3" a="1"/>
  <c r="D792" i="3" a="1"/>
  <c r="D825" i="3" a="1"/>
  <c r="D840" i="3" a="1"/>
  <c r="D868" i="3" a="1"/>
  <c r="D874" i="3" a="1"/>
  <c r="D880" i="3" a="1"/>
  <c r="D893" i="3" a="1"/>
  <c r="D899" i="3" a="1"/>
  <c r="D905" i="3" a="1"/>
  <c r="D936" i="3" a="1"/>
  <c r="D942" i="3" a="1"/>
  <c r="D961" i="3" a="1"/>
  <c r="D967" i="3" a="1"/>
  <c r="D973" i="3" a="1"/>
  <c r="D979" i="3" a="1"/>
  <c r="D985" i="3" a="1"/>
  <c r="D1004" i="3" a="1"/>
  <c r="D1010" i="3" a="1"/>
  <c r="D1041" i="3" a="1"/>
  <c r="D1047" i="3" a="1"/>
  <c r="D1058" i="3" a="1"/>
  <c r="D1069" i="3" a="1"/>
  <c r="D1080" i="3" a="1"/>
  <c r="D1086" i="3" a="1"/>
  <c r="D1097" i="3" a="1"/>
  <c r="D1108" i="3" a="1"/>
  <c r="D1119" i="3" a="1"/>
  <c r="D1130" i="3" a="1"/>
  <c r="D1136" i="3" a="1"/>
  <c r="D1147" i="3" a="1"/>
  <c r="D1158" i="3" a="1"/>
  <c r="D1169" i="3" a="1"/>
  <c r="D1180" i="3" a="1"/>
  <c r="D1186" i="3" a="1"/>
  <c r="D1197" i="3" a="1"/>
  <c r="D1208" i="3" a="1"/>
  <c r="D1219" i="3" a="1"/>
  <c r="D1230" i="3" a="1"/>
  <c r="D1235" i="3" a="1"/>
  <c r="D1240" i="3" a="1"/>
  <c r="D1245" i="3" a="1"/>
  <c r="D1250" i="3" a="1"/>
  <c r="D1255" i="3" a="1"/>
  <c r="D1260" i="3" a="1"/>
  <c r="D1265" i="3" a="1"/>
  <c r="D1270" i="3" a="1"/>
  <c r="D1275" i="3" a="1"/>
  <c r="D1280" i="3" a="1"/>
  <c r="D1285" i="3" a="1"/>
  <c r="D1290" i="3" a="1"/>
  <c r="D1295" i="3" a="1"/>
  <c r="D1300" i="3" a="1"/>
  <c r="D578" i="3" a="1"/>
  <c r="D642" i="3" a="1"/>
  <c r="D657" i="3" a="1"/>
  <c r="D673" i="3" a="1"/>
  <c r="D731" i="3" a="1"/>
  <c r="D742" i="3" a="1"/>
  <c r="D753" i="3" a="1"/>
  <c r="D764" i="3" a="1"/>
  <c r="D784" i="3" a="1"/>
  <c r="D793" i="3" a="1"/>
  <c r="D810" i="3" a="1"/>
  <c r="D818" i="3" a="1"/>
  <c r="D834" i="3" a="1"/>
  <c r="D855" i="3" a="1"/>
  <c r="D862" i="3" a="1"/>
  <c r="D881" i="3" a="1"/>
  <c r="D906" i="3" a="1"/>
  <c r="D912" i="3" a="1"/>
  <c r="D918" i="3" a="1"/>
  <c r="D924" i="3" a="1"/>
  <c r="D930" i="3" a="1"/>
  <c r="D943" i="3" a="1"/>
  <c r="D949" i="3" a="1"/>
  <c r="D955" i="3" a="1"/>
  <c r="D986" i="3" a="1"/>
  <c r="D992" i="3" a="1"/>
  <c r="D1011" i="3" a="1"/>
  <c r="D1017" i="3" a="1"/>
  <c r="D1023" i="3" a="1"/>
  <c r="D1029" i="3" a="1"/>
  <c r="D1035" i="3" a="1"/>
  <c r="D1053" i="3" a="1"/>
  <c r="D540" i="3" a="1"/>
  <c r="D644" i="3" a="1"/>
  <c r="D721" i="3" a="1"/>
  <c r="D732" i="3" a="1"/>
  <c r="D743" i="3" a="1"/>
  <c r="D754" i="3" a="1"/>
  <c r="D765" i="3" a="1"/>
  <c r="D775" i="3" a="1"/>
  <c r="D803" i="3" a="1"/>
  <c r="D819" i="3" a="1"/>
  <c r="D827" i="3" a="1"/>
  <c r="D842" i="3" a="1"/>
  <c r="D849" i="3" a="1"/>
  <c r="D856" i="3" a="1"/>
  <c r="D869" i="3" a="1"/>
  <c r="D875" i="3" a="1"/>
  <c r="D882" i="3" a="1"/>
  <c r="D888" i="3" a="1"/>
  <c r="D894" i="3" a="1"/>
  <c r="D900" i="3" a="1"/>
  <c r="D931" i="3" a="1"/>
  <c r="D956" i="3" a="1"/>
  <c r="D962" i="3" a="1"/>
  <c r="D968" i="3" a="1"/>
  <c r="D974" i="3" a="1"/>
  <c r="D980" i="3" a="1"/>
  <c r="D993" i="3" a="1"/>
  <c r="D549" i="3" a="1"/>
  <c r="D584" i="3" a="1"/>
  <c r="D606" i="3" a="1"/>
  <c r="D630" i="3" a="1"/>
  <c r="D645" i="3" a="1"/>
  <c r="D661" i="3" a="1"/>
  <c r="D675" i="3" a="1"/>
  <c r="D688" i="3" a="1"/>
  <c r="D699" i="3" a="1"/>
  <c r="D710" i="3" a="1"/>
  <c r="D766" i="3" a="1"/>
  <c r="D786" i="3" a="1"/>
  <c r="D795" i="3" a="1"/>
  <c r="D804" i="3" a="1"/>
  <c r="D812" i="3" a="1"/>
  <c r="D828" i="3" a="1"/>
  <c r="D836" i="3" a="1"/>
  <c r="D843" i="3" a="1"/>
  <c r="D901" i="3" a="1"/>
  <c r="D907" i="3" a="1"/>
  <c r="D913" i="3" a="1"/>
  <c r="D919" i="3" a="1"/>
  <c r="D925" i="3" a="1"/>
  <c r="D932" i="3" a="1"/>
  <c r="D938" i="3" a="1"/>
  <c r="D944" i="3" a="1"/>
  <c r="D950" i="3" a="1"/>
  <c r="D981" i="3" a="1"/>
  <c r="D1006" i="3" a="1"/>
  <c r="D1012" i="3" a="1"/>
  <c r="D1018" i="3" a="1"/>
  <c r="D1024" i="3" a="1"/>
  <c r="D1030" i="3" a="1"/>
  <c r="D1043" i="3" a="1"/>
  <c r="D1054" i="3" a="1"/>
  <c r="D1065" i="3" a="1"/>
  <c r="D1071" i="3" a="1"/>
  <c r="D1082" i="3" a="1"/>
  <c r="D1093" i="3" a="1"/>
  <c r="D1104" i="3" a="1"/>
  <c r="D1115" i="3" a="1"/>
  <c r="D1121" i="3" a="1"/>
  <c r="D1132" i="3" a="1"/>
  <c r="D1143" i="3" a="1"/>
  <c r="D1154" i="3" a="1"/>
  <c r="D1165" i="3" a="1"/>
  <c r="D1171" i="3" a="1"/>
  <c r="D1182" i="3" a="1"/>
  <c r="D1193" i="3" a="1"/>
  <c r="D1204" i="3" a="1"/>
  <c r="D1215" i="3" a="1"/>
  <c r="D585" i="3" a="1"/>
  <c r="D632" i="3" a="1"/>
  <c r="D677" i="3" a="1"/>
  <c r="D701" i="3" a="1"/>
  <c r="D712" i="3" a="1"/>
  <c r="D723" i="3" a="1"/>
  <c r="D734" i="3" a="1"/>
  <c r="D745" i="3" a="1"/>
  <c r="D777" i="3" a="1"/>
  <c r="D796" i="3" a="1"/>
  <c r="D821" i="3" a="1"/>
  <c r="D850" i="3" a="1"/>
  <c r="D857" i="3" a="1"/>
  <c r="D864" i="3" a="1"/>
  <c r="D871" i="3" a="1"/>
  <c r="D877" i="3" a="1"/>
  <c r="D883" i="3" a="1"/>
  <c r="D889" i="3" a="1"/>
  <c r="D895" i="3" a="1"/>
  <c r="D951" i="3" a="1"/>
  <c r="D957" i="3" a="1"/>
  <c r="D963" i="3" a="1"/>
  <c r="D557" i="3" a="1"/>
  <c r="D589" i="3" a="1"/>
  <c r="D612" i="3" a="1"/>
  <c r="D663" i="3" a="1"/>
  <c r="D736" i="3" a="1"/>
  <c r="D747" i="3" a="1"/>
  <c r="D758" i="3" a="1"/>
  <c r="D769" i="3" a="1"/>
  <c r="D797" i="3" a="1"/>
  <c r="D806" i="3" a="1"/>
  <c r="D563" i="3" a="1"/>
  <c r="D591" i="3" a="1"/>
  <c r="D634" i="3" a="1"/>
  <c r="D680" i="3" a="1"/>
  <c r="D692" i="3" a="1"/>
  <c r="D703" i="3" a="1"/>
  <c r="D714" i="3" a="1"/>
  <c r="D725" i="3" a="1"/>
  <c r="D779" i="3" a="1"/>
  <c r="D788" i="3" a="1"/>
  <c r="D814" i="3" a="1"/>
  <c r="D830" i="3" a="1"/>
  <c r="D838" i="3" a="1"/>
  <c r="D866" i="3" a="1"/>
  <c r="D872" i="3" a="1"/>
  <c r="D878" i="3" a="1"/>
  <c r="D884" i="3" a="1"/>
  <c r="D890" i="3" a="1"/>
  <c r="D915" i="3" a="1"/>
  <c r="D946" i="3" a="1"/>
  <c r="D952" i="3" a="1"/>
  <c r="D958" i="3" a="1"/>
  <c r="D964" i="3" a="1"/>
  <c r="D971" i="3" a="1"/>
  <c r="D977" i="3" a="1"/>
  <c r="D983" i="3" a="1"/>
  <c r="D989" i="3" a="1"/>
  <c r="D995" i="3" a="1"/>
  <c r="D1050" i="3" a="1"/>
  <c r="D1056" i="3" a="1"/>
  <c r="D1067" i="3" a="1"/>
  <c r="D1078" i="3" a="1"/>
  <c r="D617" i="3" a="1"/>
  <c r="D636" i="3" a="1"/>
  <c r="D651" i="3" a="1"/>
  <c r="D667" i="3" a="1"/>
  <c r="D681" i="3" a="1"/>
  <c r="D693" i="3" a="1"/>
  <c r="D704" i="3" a="1"/>
  <c r="D715" i="3" a="1"/>
  <c r="D771" i="3" a="1"/>
  <c r="D780" i="3" a="1"/>
  <c r="D807" i="3" a="1"/>
  <c r="D815" i="3" a="1"/>
  <c r="D823" i="3" a="1"/>
  <c r="D831" i="3" a="1"/>
  <c r="D845" i="3" a="1"/>
  <c r="D891" i="3" a="1"/>
  <c r="D897" i="3" a="1"/>
  <c r="D914" i="3" a="1"/>
  <c r="D934" i="3" a="1"/>
  <c r="D954" i="3" a="1"/>
  <c r="D997" i="3" a="1"/>
  <c r="D1008" i="3" a="1"/>
  <c r="D1028" i="3" a="1"/>
  <c r="D1039" i="3" a="1"/>
  <c r="D1049" i="3" a="1"/>
  <c r="D1066" i="3" a="1"/>
  <c r="D1095" i="3" a="1"/>
  <c r="D1102" i="3" a="1"/>
  <c r="D1109" i="3" a="1"/>
  <c r="D1123" i="3" a="1"/>
  <c r="D1137" i="3" a="1"/>
  <c r="D1144" i="3" a="1"/>
  <c r="D1151" i="3" a="1"/>
  <c r="D1172" i="3" a="1"/>
  <c r="D1185" i="3" a="1"/>
  <c r="D1213" i="3" a="1"/>
  <c r="D1220" i="3" a="1"/>
  <c r="D1232" i="3" a="1"/>
  <c r="D1243" i="3" a="1"/>
  <c r="D1254" i="3" a="1"/>
  <c r="D1271" i="3" a="1"/>
  <c r="D1282" i="3" a="1"/>
  <c r="D1293" i="3" a="1"/>
  <c r="D1304" i="3" a="1"/>
  <c r="D1233" i="3" a="1"/>
  <c r="D1244" i="3" a="1"/>
  <c r="D1261" i="3" a="1"/>
  <c r="D1272" i="3" a="1"/>
  <c r="D1283" i="3" a="1"/>
  <c r="D1294" i="3" a="1"/>
  <c r="D1305" i="3" a="1"/>
  <c r="D1310" i="3" a="1"/>
  <c r="D1315" i="3" a="1"/>
  <c r="D1267" i="3" a="1"/>
  <c r="D1278" i="3" a="1"/>
  <c r="D1289" i="3" a="1"/>
  <c r="D1361" i="3" a="1"/>
  <c r="D916" i="3" a="1"/>
  <c r="D935" i="3" a="1"/>
  <c r="D975" i="3" a="1"/>
  <c r="D988" i="3" a="1"/>
  <c r="D999" i="3" a="1"/>
  <c r="D1019" i="3" a="1"/>
  <c r="D1074" i="3" a="1"/>
  <c r="D1089" i="3" a="1"/>
  <c r="D1096" i="3" a="1"/>
  <c r="D1103" i="3" a="1"/>
  <c r="D1110" i="3" a="1"/>
  <c r="D1117" i="3" a="1"/>
  <c r="D1131" i="3" a="1"/>
  <c r="D1138" i="3" a="1"/>
  <c r="D1166" i="3" a="1"/>
  <c r="D1179" i="3" a="1"/>
  <c r="D1200" i="3" a="1"/>
  <c r="D1207" i="3" a="1"/>
  <c r="D1214" i="3" a="1"/>
  <c r="D1221" i="3" a="1"/>
  <c r="D1227" i="3" a="1"/>
  <c r="D1238" i="3" a="1"/>
  <c r="D1249" i="3" a="1"/>
  <c r="D1266" i="3" a="1"/>
  <c r="D1277" i="3" a="1"/>
  <c r="D1288" i="3" a="1"/>
  <c r="D1299" i="3" a="1"/>
  <c r="D1051" i="3" a="1"/>
  <c r="D1059" i="3" a="1"/>
  <c r="D1083" i="3" a="1"/>
  <c r="D1111" i="3" a="1"/>
  <c r="D1124" i="3" a="1"/>
  <c r="D1194" i="3" a="1"/>
  <c r="D1201" i="3" a="1"/>
  <c r="D1076" i="3" a="1"/>
  <c r="D1090" i="3" a="1"/>
  <c r="D1118" i="3" a="1"/>
  <c r="D1139" i="3" a="1"/>
  <c r="D1146" i="3" a="1"/>
  <c r="D1153" i="3" a="1"/>
  <c r="D1160" i="3" a="1"/>
  <c r="D1167" i="3" a="1"/>
  <c r="D1181" i="3" a="1"/>
  <c r="D1188" i="3" a="1"/>
  <c r="D1216" i="3" a="1"/>
  <c r="D1222" i="3" a="1"/>
  <c r="D1228" i="3" a="1"/>
  <c r="D1239" i="3" a="1"/>
  <c r="D1256" i="3" a="1"/>
  <c r="D829" i="3" a="1"/>
  <c r="D896" i="3" a="1"/>
  <c r="D917" i="3" a="1"/>
  <c r="D939" i="3" a="1"/>
  <c r="D1000" i="3" a="1"/>
  <c r="D1021" i="3" a="1"/>
  <c r="D1031" i="3" a="1"/>
  <c r="D1040" i="3" a="1"/>
  <c r="D1075" i="3" a="1"/>
  <c r="D1125" i="3" a="1"/>
  <c r="D1217" i="3" a="1"/>
  <c r="D1312" i="3" a="1"/>
  <c r="D1317" i="3" a="1"/>
  <c r="D1322" i="3" a="1"/>
  <c r="D921" i="3" a="1"/>
  <c r="D940" i="3" a="1"/>
  <c r="D960" i="3" a="1"/>
  <c r="D1001" i="3" a="1"/>
  <c r="D1032" i="3" a="1"/>
  <c r="D1042" i="3" a="1"/>
  <c r="D1060" i="3" a="1"/>
  <c r="D1068" i="3" a="1"/>
  <c r="D844" i="3" a="1"/>
  <c r="D902" i="3" a="1"/>
  <c r="D922" i="3" a="1"/>
  <c r="D978" i="3" a="1"/>
  <c r="D990" i="3" a="1"/>
  <c r="D1002" i="3" a="1"/>
  <c r="D1022" i="3" a="1"/>
  <c r="D1033" i="3" a="1"/>
  <c r="D1052" i="3" a="1"/>
  <c r="D1061" i="3" a="1"/>
  <c r="D1077" i="3" a="1"/>
  <c r="D1084" i="3" a="1"/>
  <c r="D1091" i="3" a="1"/>
  <c r="D1098" i="3" a="1"/>
  <c r="D1105" i="3" a="1"/>
  <c r="D1112" i="3" a="1"/>
  <c r="D1126" i="3" a="1"/>
  <c r="D1133" i="3" a="1"/>
  <c r="D1161" i="3" a="1"/>
  <c r="D1174" i="3" a="1"/>
  <c r="D1195" i="3" a="1"/>
  <c r="D1202" i="3" a="1"/>
  <c r="D1209" i="3" a="1"/>
  <c r="D1234" i="3" a="1"/>
  <c r="D1251" i="3" a="1"/>
  <c r="D1262" i="3" a="1"/>
  <c r="D1273" i="3" a="1"/>
  <c r="D1284" i="3" a="1"/>
  <c r="D1301" i="3" a="1"/>
  <c r="D1306" i="3" a="1"/>
  <c r="D1311" i="3" a="1"/>
  <c r="D1316" i="3" a="1"/>
  <c r="D1321" i="3" a="1"/>
  <c r="D1326" i="3" a="1"/>
  <c r="D1331" i="3" a="1"/>
  <c r="D1336" i="3" a="1"/>
  <c r="D1341" i="3" a="1"/>
  <c r="D1346" i="3" a="1"/>
  <c r="D1351" i="3" a="1"/>
  <c r="D1356" i="3" a="1"/>
  <c r="D1203" i="3" a="1"/>
  <c r="D851" i="3" a="1"/>
  <c r="D903" i="3" a="1"/>
  <c r="D923" i="3" a="1"/>
  <c r="D945" i="3" a="1"/>
  <c r="D965" i="3" a="1"/>
  <c r="D991" i="3" a="1"/>
  <c r="D1013" i="3" a="1"/>
  <c r="D1044" i="3" a="1"/>
  <c r="D1062" i="3" a="1"/>
  <c r="D1092" i="3" a="1"/>
  <c r="D1099" i="3" a="1"/>
  <c r="D1106" i="3" a="1"/>
  <c r="D1127" i="3" a="1"/>
  <c r="D1140" i="3" a="1"/>
  <c r="D1168" i="3" a="1"/>
  <c r="D1175" i="3" a="1"/>
  <c r="D1189" i="3" a="1"/>
  <c r="D1196" i="3" a="1"/>
  <c r="D1327" i="3" a="1"/>
  <c r="D1332" i="3" a="1"/>
  <c r="D1337" i="3" a="1"/>
  <c r="D1342" i="3" a="1"/>
  <c r="D1347" i="3" a="1"/>
  <c r="D1352" i="3" a="1"/>
  <c r="D1357" i="3" a="1"/>
  <c r="D1362" i="3" a="1"/>
  <c r="D858" i="3" a="1"/>
  <c r="D927" i="3" a="1"/>
  <c r="D982" i="3" a="1"/>
  <c r="D994" i="3" a="1"/>
  <c r="D1003" i="3" a="1"/>
  <c r="D1014" i="3" a="1"/>
  <c r="D1034" i="3" a="1"/>
  <c r="D1045" i="3" a="1"/>
  <c r="D1070" i="3" a="1"/>
  <c r="D1085" i="3" a="1"/>
  <c r="D1113" i="3" a="1"/>
  <c r="D1120" i="3" a="1"/>
  <c r="D1134" i="3" a="1"/>
  <c r="D1141" i="3" a="1"/>
  <c r="D1148" i="3" a="1"/>
  <c r="D1155" i="3" a="1"/>
  <c r="D1162" i="3" a="1"/>
  <c r="D1176" i="3" a="1"/>
  <c r="D1183" i="3" a="1"/>
  <c r="D1211" i="3" a="1"/>
  <c r="D1241" i="3" a="1"/>
  <c r="D1252" i="3" a="1"/>
  <c r="D1263" i="3" a="1"/>
  <c r="D1274" i="3" a="1"/>
  <c r="D1291" i="3" a="1"/>
  <c r="D1302" i="3" a="1"/>
  <c r="D1307" i="3" a="1"/>
  <c r="D865" i="3" a="1"/>
  <c r="D908" i="3" a="1"/>
  <c r="D928" i="3" a="1"/>
  <c r="D969" i="3" a="1"/>
  <c r="D1005" i="3" a="1"/>
  <c r="D1015" i="3" a="1"/>
  <c r="D1025" i="3" a="1"/>
  <c r="D1036" i="3" a="1"/>
  <c r="D1046" i="3" a="1"/>
  <c r="D1055" i="3" a="1"/>
  <c r="D1063" i="3" a="1"/>
  <c r="D1079" i="3" a="1"/>
  <c r="D1100" i="3" a="1"/>
  <c r="D1107" i="3" a="1"/>
  <c r="D1114" i="3" a="1"/>
  <c r="D1128" i="3" a="1"/>
  <c r="D1142" i="3" a="1"/>
  <c r="D1149" i="3" a="1"/>
  <c r="D1156" i="3" a="1"/>
  <c r="D1177" i="3" a="1"/>
  <c r="D1190" i="3" a="1"/>
  <c r="D1218" i="3" a="1"/>
  <c r="D1224" i="3" a="1"/>
  <c r="D1236" i="3" a="1"/>
  <c r="D1247" i="3" a="1"/>
  <c r="D1258" i="3" a="1"/>
  <c r="D1269" i="3" a="1"/>
  <c r="D1286" i="3" a="1"/>
  <c r="D1297" i="3" a="1"/>
  <c r="D1309" i="3" a="1"/>
  <c r="D1314" i="3" a="1"/>
  <c r="D1319" i="3" a="1"/>
  <c r="D1324" i="3" a="1"/>
  <c r="D1329" i="3" a="1"/>
  <c r="D1334" i="3" a="1"/>
  <c r="D1359" i="3" a="1"/>
  <c r="D1364" i="3" a="1"/>
  <c r="D1145" i="3" a="1"/>
  <c r="D1152" i="3" a="1"/>
  <c r="D1159" i="3" a="1"/>
  <c r="D1173" i="3" a="1"/>
  <c r="D1187" i="3" a="1"/>
  <c r="D1210" i="3" a="1"/>
  <c r="D1246" i="3" a="1"/>
  <c r="D1257" i="3" a="1"/>
  <c r="D1268" i="3" a="1"/>
  <c r="D1279" i="3" a="1"/>
  <c r="D1296" i="3" a="1"/>
  <c r="D929" i="3" a="1"/>
  <c r="D996" i="3" a="1"/>
  <c r="D1016" i="3" a="1"/>
  <c r="D1027" i="3" a="1"/>
  <c r="D1064" i="3" a="1"/>
  <c r="D1072" i="3" a="1"/>
  <c r="D1087" i="3" a="1"/>
  <c r="D1094" i="3" a="1"/>
  <c r="D1101" i="3" a="1"/>
  <c r="D1122" i="3" a="1"/>
  <c r="D1135" i="3" a="1"/>
  <c r="D1163" i="3" a="1"/>
  <c r="D1170" i="3" a="1"/>
  <c r="D1184" i="3" a="1"/>
  <c r="D1191" i="3" a="1"/>
  <c r="D1198" i="3" a="1"/>
  <c r="D1205" i="3" a="1"/>
  <c r="D1212" i="3" a="1"/>
  <c r="D1225" i="3" a="1"/>
  <c r="D1231" i="3" a="1"/>
  <c r="D1242" i="3" a="1"/>
  <c r="D1253" i="3" a="1"/>
  <c r="D1264" i="3" a="1"/>
  <c r="D1281" i="3" a="1"/>
  <c r="D1292" i="3" a="1"/>
  <c r="D1303" i="3" a="1"/>
  <c r="D1308" i="3" a="1"/>
  <c r="D1313" i="3" a="1"/>
  <c r="D1318" i="3" a="1"/>
  <c r="D1323" i="3" a="1"/>
  <c r="D1328" i="3" a="1"/>
  <c r="D1333" i="3" a="1"/>
  <c r="D1338" i="3" a="1"/>
  <c r="D1343" i="3" a="1"/>
  <c r="D1348" i="3" a="1"/>
  <c r="D1353" i="3" a="1"/>
  <c r="D1358" i="3" a="1"/>
  <c r="D1363" i="3" a="1"/>
  <c r="D1116" i="3" a="1"/>
  <c r="D1129" i="3" a="1"/>
  <c r="D1150" i="3" a="1"/>
  <c r="D1157" i="3" a="1"/>
  <c r="D1164" i="3" a="1"/>
  <c r="D1178" i="3" a="1"/>
  <c r="D1192" i="3" a="1"/>
  <c r="D1199" i="3" a="1"/>
  <c r="D1206" i="3" a="1"/>
  <c r="D1226" i="3" a="1"/>
  <c r="D1237" i="3" a="1"/>
  <c r="D1248" i="3" a="1"/>
  <c r="D1259" i="3" a="1"/>
  <c r="D1276" i="3" a="1"/>
  <c r="D1287" i="3" a="1"/>
  <c r="D1339" i="3" a="1"/>
  <c r="D1344" i="3" a="1"/>
  <c r="D1349" i="3" a="1"/>
  <c r="D1354" i="3" a="1"/>
  <c r="D1223" i="3" a="1"/>
  <c r="D1229" i="3" a="1"/>
  <c r="D911" i="3" a="1"/>
  <c r="D933" i="3" a="1"/>
  <c r="D984" i="3" a="1"/>
  <c r="D1007" i="3" a="1"/>
  <c r="D1038" i="3" a="1"/>
  <c r="D1048" i="3" a="1"/>
  <c r="D1057" i="3" a="1"/>
  <c r="D1073" i="3" a="1"/>
  <c r="D1081" i="3" a="1"/>
  <c r="D1088" i="3" a="1"/>
  <c r="D1298" i="3" a="1"/>
  <c r="D1320" i="3" a="1"/>
  <c r="D1325" i="3" a="1"/>
  <c r="D1330" i="3" a="1"/>
  <c r="D1335" i="3" a="1"/>
  <c r="D1340" i="3" a="1"/>
  <c r="D1345" i="3" a="1"/>
  <c r="D1350" i="3" a="1"/>
  <c r="D1355" i="3" a="1"/>
  <c r="D1360" i="3" a="1"/>
  <c r="D11" i="3" a="1"/>
  <c r="C12" i="3" a="1"/>
  <c r="C13" i="3" a="1"/>
  <c r="C24" i="3" a="1"/>
  <c r="C35" i="3" a="1"/>
  <c r="C46" i="3" a="1"/>
  <c r="C57" i="3" a="1"/>
  <c r="C63" i="3" a="1"/>
  <c r="C74" i="3" a="1"/>
  <c r="C85" i="3" a="1"/>
  <c r="C96" i="3" a="1"/>
  <c r="C107" i="3" a="1"/>
  <c r="C113" i="3" a="1"/>
  <c r="C124" i="3" a="1"/>
  <c r="C135" i="3" a="1"/>
  <c r="C146" i="3" a="1"/>
  <c r="C157" i="3" a="1"/>
  <c r="C163" i="3" a="1"/>
  <c r="C174" i="3" a="1"/>
  <c r="C185" i="3" a="1"/>
  <c r="C196" i="3" a="1"/>
  <c r="C207" i="3" a="1"/>
  <c r="C213" i="3" a="1"/>
  <c r="C224" i="3" a="1"/>
  <c r="C235" i="3" a="1"/>
  <c r="C246" i="3" a="1"/>
  <c r="C257" i="3" a="1"/>
  <c r="C263" i="3" a="1"/>
  <c r="C274" i="3" a="1"/>
  <c r="C285" i="3" a="1"/>
  <c r="C19" i="3" a="1"/>
  <c r="C30" i="3" a="1"/>
  <c r="C41" i="3" a="1"/>
  <c r="C52" i="3" a="1"/>
  <c r="C58" i="3" a="1"/>
  <c r="C69" i="3" a="1"/>
  <c r="C80" i="3" a="1"/>
  <c r="C91" i="3" a="1"/>
  <c r="C102" i="3" a="1"/>
  <c r="C108" i="3" a="1"/>
  <c r="C119" i="3" a="1"/>
  <c r="C130" i="3" a="1"/>
  <c r="C141" i="3" a="1"/>
  <c r="C152" i="3" a="1"/>
  <c r="C158" i="3" a="1"/>
  <c r="C169" i="3" a="1"/>
  <c r="C180" i="3" a="1"/>
  <c r="C191" i="3" a="1"/>
  <c r="C202" i="3" a="1"/>
  <c r="C208" i="3" a="1"/>
  <c r="C219" i="3" a="1"/>
  <c r="C230" i="3" a="1"/>
  <c r="C241" i="3" a="1"/>
  <c r="C252" i="3" a="1"/>
  <c r="C258" i="3" a="1"/>
  <c r="C269" i="3" a="1"/>
  <c r="C280" i="3" a="1"/>
  <c r="C291" i="3" a="1"/>
  <c r="C302" i="3" a="1"/>
  <c r="C308" i="3" a="1"/>
  <c r="C319" i="3" a="1"/>
  <c r="C330" i="3" a="1"/>
  <c r="C341" i="3" a="1"/>
  <c r="C352" i="3" a="1"/>
  <c r="C358" i="3" a="1"/>
  <c r="C369" i="3" a="1"/>
  <c r="C380" i="3" a="1"/>
  <c r="C391" i="3" a="1"/>
  <c r="C402" i="3" a="1"/>
  <c r="C408" i="3" a="1"/>
  <c r="C419" i="3" a="1"/>
  <c r="C430" i="3" a="1"/>
  <c r="C14" i="3" a="1"/>
  <c r="C25" i="3" a="1"/>
  <c r="C15" i="3" a="1"/>
  <c r="C21" i="3" a="1"/>
  <c r="C16" i="3" a="1"/>
  <c r="C27" i="3" a="1"/>
  <c r="C22" i="3" a="1"/>
  <c r="C28" i="3" a="1"/>
  <c r="C39" i="3" a="1"/>
  <c r="C50" i="3" a="1"/>
  <c r="C61" i="3" a="1"/>
  <c r="C72" i="3" a="1"/>
  <c r="C78" i="3" a="1"/>
  <c r="C89" i="3" a="1"/>
  <c r="C100" i="3" a="1"/>
  <c r="C111" i="3" a="1"/>
  <c r="C122" i="3" a="1"/>
  <c r="C128" i="3" a="1"/>
  <c r="C139" i="3" a="1"/>
  <c r="C150" i="3" a="1"/>
  <c r="C161" i="3" a="1"/>
  <c r="C17" i="3" a="1"/>
  <c r="C23" i="3" a="1"/>
  <c r="C34" i="3" a="1"/>
  <c r="C45" i="3" a="1"/>
  <c r="C56" i="3" a="1"/>
  <c r="C67" i="3" a="1"/>
  <c r="C73" i="3" a="1"/>
  <c r="C84" i="3" a="1"/>
  <c r="C95" i="3" a="1"/>
  <c r="C106" i="3" a="1"/>
  <c r="C117" i="3" a="1"/>
  <c r="C123" i="3" a="1"/>
  <c r="C134" i="3" a="1"/>
  <c r="C145" i="3" a="1"/>
  <c r="C156" i="3" a="1"/>
  <c r="C18" i="3" a="1"/>
  <c r="C29" i="3" a="1"/>
  <c r="C40" i="3" a="1"/>
  <c r="C51" i="3" a="1"/>
  <c r="C62" i="3" a="1"/>
  <c r="C68" i="3" a="1"/>
  <c r="C79" i="3" a="1"/>
  <c r="C90" i="3" a="1"/>
  <c r="C20" i="3" a="1"/>
  <c r="C36" i="3" a="1"/>
  <c r="C47" i="3" a="1"/>
  <c r="C127" i="3" a="1"/>
  <c r="C137" i="3" a="1"/>
  <c r="C147" i="3" a="1"/>
  <c r="C155" i="3" a="1"/>
  <c r="C171" i="3" a="1"/>
  <c r="C178" i="3" a="1"/>
  <c r="C192" i="3" a="1"/>
  <c r="C199" i="3" a="1"/>
  <c r="C212" i="3" a="1"/>
  <c r="C220" i="3" a="1"/>
  <c r="C240" i="3" a="1"/>
  <c r="C248" i="3" a="1"/>
  <c r="C261" i="3" a="1"/>
  <c r="C268" i="3" a="1"/>
  <c r="C282" i="3" a="1"/>
  <c r="C289" i="3" a="1"/>
  <c r="C295" i="3" a="1"/>
  <c r="C301" i="3" a="1"/>
  <c r="C307" i="3" a="1"/>
  <c r="C314" i="3" a="1"/>
  <c r="C320" i="3" a="1"/>
  <c r="C326" i="3" a="1"/>
  <c r="C332" i="3" a="1"/>
  <c r="C363" i="3" a="1"/>
  <c r="C48" i="3" a="1"/>
  <c r="C59" i="3" a="1"/>
  <c r="C70" i="3" a="1"/>
  <c r="C81" i="3" a="1"/>
  <c r="C92" i="3" a="1"/>
  <c r="C101" i="3" a="1"/>
  <c r="C110" i="3" a="1"/>
  <c r="C120" i="3" a="1"/>
  <c r="C129" i="3" a="1"/>
  <c r="C138" i="3" a="1"/>
  <c r="C148" i="3" a="1"/>
  <c r="C165" i="3" a="1"/>
  <c r="C186" i="3" a="1"/>
  <c r="C193" i="3" a="1"/>
  <c r="C206" i="3" a="1"/>
  <c r="C214" i="3" a="1"/>
  <c r="C227" i="3" a="1"/>
  <c r="C234" i="3" a="1"/>
  <c r="C255" i="3" a="1"/>
  <c r="C276" i="3" a="1"/>
  <c r="C37" i="3" a="1"/>
  <c r="C93" i="3" a="1"/>
  <c r="C103" i="3" a="1"/>
  <c r="C172" i="3" a="1"/>
  <c r="C179" i="3" a="1"/>
  <c r="C200" i="3" a="1"/>
  <c r="C221" i="3" a="1"/>
  <c r="C228" i="3" a="1"/>
  <c r="C242" i="3" a="1"/>
  <c r="C249" i="3" a="1"/>
  <c r="C262" i="3" a="1"/>
  <c r="C270" i="3" a="1"/>
  <c r="C290" i="3" a="1"/>
  <c r="C296" i="3" a="1"/>
  <c r="C26" i="3" a="1"/>
  <c r="C38" i="3" a="1"/>
  <c r="C49" i="3" a="1"/>
  <c r="C60" i="3" a="1"/>
  <c r="C71" i="3" a="1"/>
  <c r="C82" i="3" a="1"/>
  <c r="C112" i="3" a="1"/>
  <c r="C121" i="3" a="1"/>
  <c r="C131" i="3" a="1"/>
  <c r="C140" i="3" a="1"/>
  <c r="C149" i="3" a="1"/>
  <c r="C159" i="3" a="1"/>
  <c r="C166" i="3" a="1"/>
  <c r="C173" i="3" a="1"/>
  <c r="C187" i="3" a="1"/>
  <c r="C194" i="3" a="1"/>
  <c r="C215" i="3" a="1"/>
  <c r="C236" i="3" a="1"/>
  <c r="C83" i="3" a="1"/>
  <c r="C94" i="3" a="1"/>
  <c r="C104" i="3" a="1"/>
  <c r="C114" i="3" a="1"/>
  <c r="C181" i="3" a="1"/>
  <c r="C188" i="3" a="1"/>
  <c r="C201" i="3" a="1"/>
  <c r="C209" i="3" a="1"/>
  <c r="C222" i="3" a="1"/>
  <c r="C229" i="3" a="1"/>
  <c r="C250" i="3" a="1"/>
  <c r="C271" i="3" a="1"/>
  <c r="C278" i="3" a="1"/>
  <c r="C298" i="3" a="1"/>
  <c r="C304" i="3" a="1"/>
  <c r="C310" i="3" a="1"/>
  <c r="C316" i="3" a="1"/>
  <c r="C322" i="3" a="1"/>
  <c r="C347" i="3" a="1"/>
  <c r="C378" i="3" a="1"/>
  <c r="C384" i="3" a="1"/>
  <c r="C390" i="3" a="1"/>
  <c r="C396" i="3" a="1"/>
  <c r="C403" i="3" a="1"/>
  <c r="C409" i="3" a="1"/>
  <c r="C415" i="3" a="1"/>
  <c r="C421" i="3" a="1"/>
  <c r="C427" i="3" a="1"/>
  <c r="C439" i="3" a="1"/>
  <c r="C450" i="3" a="1"/>
  <c r="C456" i="3" a="1"/>
  <c r="C467" i="3" a="1"/>
  <c r="C478" i="3" a="1"/>
  <c r="C489" i="3" a="1"/>
  <c r="C500" i="3" a="1"/>
  <c r="C506" i="3" a="1"/>
  <c r="C517" i="3" a="1"/>
  <c r="C528" i="3" a="1"/>
  <c r="C539" i="3" a="1"/>
  <c r="C550" i="3" a="1"/>
  <c r="C556" i="3" a="1"/>
  <c r="C567" i="3" a="1"/>
  <c r="C578" i="3" a="1"/>
  <c r="C589" i="3" a="1"/>
  <c r="C600" i="3" a="1"/>
  <c r="C606" i="3" a="1"/>
  <c r="C617" i="3" a="1"/>
  <c r="C628" i="3" a="1"/>
  <c r="C639" i="3" a="1"/>
  <c r="C650" i="3" a="1"/>
  <c r="C656" i="3" a="1"/>
  <c r="C667" i="3" a="1"/>
  <c r="C678" i="3" a="1"/>
  <c r="C689" i="3" a="1"/>
  <c r="C53" i="3" a="1"/>
  <c r="C64" i="3" a="1"/>
  <c r="C75" i="3" a="1"/>
  <c r="C86" i="3" a="1"/>
  <c r="C132" i="3" a="1"/>
  <c r="C142" i="3" a="1"/>
  <c r="C151" i="3" a="1"/>
  <c r="C160" i="3" a="1"/>
  <c r="C167" i="3" a="1"/>
  <c r="C175" i="3" a="1"/>
  <c r="C195" i="3" a="1"/>
  <c r="C203" i="3" a="1"/>
  <c r="C216" i="3" a="1"/>
  <c r="C223" i="3" a="1"/>
  <c r="C237" i="3" a="1"/>
  <c r="C244" i="3" a="1"/>
  <c r="C265" i="3" a="1"/>
  <c r="C31" i="3" a="1"/>
  <c r="C42" i="3" a="1"/>
  <c r="C97" i="3" a="1"/>
  <c r="C105" i="3" a="1"/>
  <c r="C115" i="3" a="1"/>
  <c r="C125" i="3" a="1"/>
  <c r="C133" i="3" a="1"/>
  <c r="C143" i="3" a="1"/>
  <c r="C153" i="3" a="1"/>
  <c r="C168" i="3" a="1"/>
  <c r="C182" i="3" a="1"/>
  <c r="C189" i="3" a="1"/>
  <c r="C210" i="3" a="1"/>
  <c r="C231" i="3" a="1"/>
  <c r="C238" i="3" a="1"/>
  <c r="C251" i="3" a="1"/>
  <c r="C259" i="3" a="1"/>
  <c r="C272" i="3" a="1"/>
  <c r="C279" i="3" a="1"/>
  <c r="C43" i="3" a="1"/>
  <c r="C54" i="3" a="1"/>
  <c r="C65" i="3" a="1"/>
  <c r="C76" i="3" a="1"/>
  <c r="C87" i="3" a="1"/>
  <c r="C98" i="3" a="1"/>
  <c r="C176" i="3" a="1"/>
  <c r="C32" i="3" a="1"/>
  <c r="C88" i="3" a="1"/>
  <c r="C116" i="3" a="1"/>
  <c r="C126" i="3" a="1"/>
  <c r="C136" i="3" a="1"/>
  <c r="C144" i="3" a="1"/>
  <c r="C154" i="3" a="1"/>
  <c r="C162" i="3" a="1"/>
  <c r="C170" i="3" a="1"/>
  <c r="C190" i="3" a="1"/>
  <c r="C198" i="3" a="1"/>
  <c r="C211" i="3" a="1"/>
  <c r="C218" i="3" a="1"/>
  <c r="C232" i="3" a="1"/>
  <c r="C239" i="3" a="1"/>
  <c r="C260" i="3" a="1"/>
  <c r="C281" i="3" a="1"/>
  <c r="C288" i="3" a="1"/>
  <c r="C294" i="3" a="1"/>
  <c r="C300" i="3" a="1"/>
  <c r="C306" i="3" a="1"/>
  <c r="C312" i="3" a="1"/>
  <c r="C325" i="3" a="1"/>
  <c r="C33" i="3" a="1"/>
  <c r="C44" i="3" a="1"/>
  <c r="C55" i="3" a="1"/>
  <c r="C66" i="3" a="1"/>
  <c r="C77" i="3" a="1"/>
  <c r="C99" i="3" a="1"/>
  <c r="C109" i="3" a="1"/>
  <c r="C118" i="3" a="1"/>
  <c r="C164" i="3" a="1"/>
  <c r="C177" i="3" a="1"/>
  <c r="C184" i="3" a="1"/>
  <c r="C205" i="3" a="1"/>
  <c r="C226" i="3" a="1"/>
  <c r="C233" i="3" a="1"/>
  <c r="C247" i="3" a="1"/>
  <c r="C254" i="3" a="1"/>
  <c r="C267" i="3" a="1"/>
  <c r="C183" i="3" a="1"/>
  <c r="C245" i="3" a="1"/>
  <c r="C275" i="3" a="1"/>
  <c r="C299" i="3" a="1"/>
  <c r="C349" i="3" a="1"/>
  <c r="C356" i="3" a="1"/>
  <c r="C371" i="3" a="1"/>
  <c r="C385" i="3" a="1"/>
  <c r="C392" i="3" a="1"/>
  <c r="C399" i="3" a="1"/>
  <c r="C412" i="3" a="1"/>
  <c r="C426" i="3" a="1"/>
  <c r="C433" i="3" a="1"/>
  <c r="C446" i="3" a="1"/>
  <c r="C452" i="3" a="1"/>
  <c r="C458" i="3" a="1"/>
  <c r="C464" i="3" a="1"/>
  <c r="C470" i="3" a="1"/>
  <c r="C495" i="3" a="1"/>
  <c r="C526" i="3" a="1"/>
  <c r="C532" i="3" a="1"/>
  <c r="C538" i="3" a="1"/>
  <c r="C544" i="3" a="1"/>
  <c r="C551" i="3" a="1"/>
  <c r="C557" i="3" a="1"/>
  <c r="C563" i="3" a="1"/>
  <c r="C569" i="3" a="1"/>
  <c r="C575" i="3" a="1"/>
  <c r="C631" i="3" a="1"/>
  <c r="C637" i="3" a="1"/>
  <c r="C643" i="3" a="1"/>
  <c r="C649" i="3" a="1"/>
  <c r="C655" i="3" a="1"/>
  <c r="C662" i="3" a="1"/>
  <c r="C668" i="3" a="1"/>
  <c r="C674" i="3" a="1"/>
  <c r="C680" i="3" a="1"/>
  <c r="C704" i="3" a="1"/>
  <c r="C715" i="3" a="1"/>
  <c r="C721" i="3" a="1"/>
  <c r="C732" i="3" a="1"/>
  <c r="C743" i="3" a="1"/>
  <c r="C754" i="3" a="1"/>
  <c r="C765" i="3" a="1"/>
  <c r="C771" i="3" a="1"/>
  <c r="C782" i="3" a="1"/>
  <c r="C793" i="3" a="1"/>
  <c r="C804" i="3" a="1"/>
  <c r="C815" i="3" a="1"/>
  <c r="C821" i="3" a="1"/>
  <c r="C832" i="3" a="1"/>
  <c r="C843" i="3" a="1"/>
  <c r="C854" i="3" a="1"/>
  <c r="C865" i="3" a="1"/>
  <c r="C871" i="3" a="1"/>
  <c r="C882" i="3" a="1"/>
  <c r="C893" i="3" a="1"/>
  <c r="C904" i="3" a="1"/>
  <c r="C277" i="3" a="1"/>
  <c r="C309" i="3" a="1"/>
  <c r="C317" i="3" a="1"/>
  <c r="C334" i="3" a="1"/>
  <c r="C342" i="3" a="1"/>
  <c r="C357" i="3" a="1"/>
  <c r="C365" i="3" a="1"/>
  <c r="C372" i="3" a="1"/>
  <c r="C379" i="3" a="1"/>
  <c r="C386" i="3" a="1"/>
  <c r="C393" i="3" a="1"/>
  <c r="C406" i="3" a="1"/>
  <c r="C413" i="3" a="1"/>
  <c r="C420" i="3" a="1"/>
  <c r="C434" i="3" a="1"/>
  <c r="C440" i="3" a="1"/>
  <c r="C471" i="3" a="1"/>
  <c r="C477" i="3" a="1"/>
  <c r="C483" i="3" a="1"/>
  <c r="C496" i="3" a="1"/>
  <c r="C502" i="3" a="1"/>
  <c r="C508" i="3" a="1"/>
  <c r="C514" i="3" a="1"/>
  <c r="C197" i="3" a="1"/>
  <c r="C253" i="3" a="1"/>
  <c r="C318" i="3" a="1"/>
  <c r="C327" i="3" a="1"/>
  <c r="C335" i="3" a="1"/>
  <c r="C343" i="3" a="1"/>
  <c r="C350" i="3" a="1"/>
  <c r="C366" i="3" a="1"/>
  <c r="C373" i="3" a="1"/>
  <c r="C400" i="3" a="1"/>
  <c r="C414" i="3" a="1"/>
  <c r="C428" i="3" a="1"/>
  <c r="C441" i="3" a="1"/>
  <c r="C447" i="3" a="1"/>
  <c r="C453" i="3" a="1"/>
  <c r="C459" i="3" a="1"/>
  <c r="C465" i="3" a="1"/>
  <c r="C484" i="3" a="1"/>
  <c r="C490" i="3" a="1"/>
  <c r="C521" i="3" a="1"/>
  <c r="C527" i="3" a="1"/>
  <c r="C533" i="3" a="1"/>
  <c r="C546" i="3" a="1"/>
  <c r="C552" i="3" a="1"/>
  <c r="C558" i="3" a="1"/>
  <c r="C564" i="3" a="1"/>
  <c r="C570" i="3" a="1"/>
  <c r="C595" i="3" a="1"/>
  <c r="C626" i="3" a="1"/>
  <c r="C632" i="3" a="1"/>
  <c r="C638" i="3" a="1"/>
  <c r="C204" i="3" a="1"/>
  <c r="C256" i="3" a="1"/>
  <c r="C292" i="3" a="1"/>
  <c r="C328" i="3" a="1"/>
  <c r="C336" i="3" a="1"/>
  <c r="C351" i="3" a="1"/>
  <c r="C359" i="3" a="1"/>
  <c r="C387" i="3" a="1"/>
  <c r="C394" i="3" a="1"/>
  <c r="C407" i="3" a="1"/>
  <c r="C435" i="3" a="1"/>
  <c r="C466" i="3" a="1"/>
  <c r="C472" i="3" a="1"/>
  <c r="C491" i="3" a="1"/>
  <c r="C497" i="3" a="1"/>
  <c r="C293" i="3" a="1"/>
  <c r="C303" i="3" a="1"/>
  <c r="C311" i="3" a="1"/>
  <c r="C329" i="3" a="1"/>
  <c r="C344" i="3" a="1"/>
  <c r="C360" i="3" a="1"/>
  <c r="C367" i="3" a="1"/>
  <c r="C374" i="3" a="1"/>
  <c r="C381" i="3" a="1"/>
  <c r="C388" i="3" a="1"/>
  <c r="C401" i="3" a="1"/>
  <c r="C422" i="3" a="1"/>
  <c r="C429" i="3" a="1"/>
  <c r="C436" i="3" a="1"/>
  <c r="C442" i="3" a="1"/>
  <c r="C448" i="3" a="1"/>
  <c r="C454" i="3" a="1"/>
  <c r="C460" i="3" a="1"/>
  <c r="C473" i="3" a="1"/>
  <c r="C479" i="3" a="1"/>
  <c r="C485" i="3" a="1"/>
  <c r="C516" i="3" a="1"/>
  <c r="C522" i="3" a="1"/>
  <c r="C541" i="3" a="1"/>
  <c r="C547" i="3" a="1"/>
  <c r="C553" i="3" a="1"/>
  <c r="C559" i="3" a="1"/>
  <c r="C565" i="3" a="1"/>
  <c r="C584" i="3" a="1"/>
  <c r="C590" i="3" a="1"/>
  <c r="C621" i="3" a="1"/>
  <c r="C627" i="3" a="1"/>
  <c r="C633" i="3" a="1"/>
  <c r="C646" i="3" a="1"/>
  <c r="C652" i="3" a="1"/>
  <c r="C658" i="3" a="1"/>
  <c r="C664" i="3" a="1"/>
  <c r="C670" i="3" a="1"/>
  <c r="C695" i="3" a="1"/>
  <c r="C701" i="3" a="1"/>
  <c r="C712" i="3" a="1"/>
  <c r="C723" i="3" a="1"/>
  <c r="C734" i="3" a="1"/>
  <c r="C745" i="3" a="1"/>
  <c r="C751" i="3" a="1"/>
  <c r="C762" i="3" a="1"/>
  <c r="C773" i="3" a="1"/>
  <c r="C784" i="3" a="1"/>
  <c r="C795" i="3" a="1"/>
  <c r="C801" i="3" a="1"/>
  <c r="C217" i="3" a="1"/>
  <c r="C264" i="3" a="1"/>
  <c r="C283" i="3" a="1"/>
  <c r="C321" i="3" a="1"/>
  <c r="C337" i="3" a="1"/>
  <c r="C345" i="3" a="1"/>
  <c r="C353" i="3" a="1"/>
  <c r="C368" i="3" a="1"/>
  <c r="C375" i="3" a="1"/>
  <c r="C395" i="3" a="1"/>
  <c r="C416" i="3" a="1"/>
  <c r="C423" i="3" a="1"/>
  <c r="C225" i="3" a="1"/>
  <c r="C266" i="3" a="1"/>
  <c r="C284" i="3" a="1"/>
  <c r="C313" i="3" a="1"/>
  <c r="C338" i="3" a="1"/>
  <c r="C354" i="3" a="1"/>
  <c r="C361" i="3" a="1"/>
  <c r="C382" i="3" a="1"/>
  <c r="C389" i="3" a="1"/>
  <c r="C410" i="3" a="1"/>
  <c r="C437" i="3" a="1"/>
  <c r="C443" i="3" a="1"/>
  <c r="C449" i="3" a="1"/>
  <c r="C455" i="3" a="1"/>
  <c r="C462" i="3" a="1"/>
  <c r="C468" i="3" a="1"/>
  <c r="C474" i="3" a="1"/>
  <c r="C480" i="3" a="1"/>
  <c r="C511" i="3" a="1"/>
  <c r="C536" i="3" a="1"/>
  <c r="C542" i="3" a="1"/>
  <c r="C548" i="3" a="1"/>
  <c r="C554" i="3" a="1"/>
  <c r="C560" i="3" a="1"/>
  <c r="C573" i="3" a="1"/>
  <c r="C579" i="3" a="1"/>
  <c r="C585" i="3" a="1"/>
  <c r="C616" i="3" a="1"/>
  <c r="C622" i="3" a="1"/>
  <c r="C641" i="3" a="1"/>
  <c r="C647" i="3" a="1"/>
  <c r="C653" i="3" a="1"/>
  <c r="C659" i="3" a="1"/>
  <c r="C665" i="3" a="1"/>
  <c r="C684" i="3" a="1"/>
  <c r="C690" i="3" a="1"/>
  <c r="C702" i="3" a="1"/>
  <c r="C713" i="3" a="1"/>
  <c r="C724" i="3" a="1"/>
  <c r="C286" i="3" a="1"/>
  <c r="C305" i="3" a="1"/>
  <c r="C323" i="3" a="1"/>
  <c r="C331" i="3" a="1"/>
  <c r="C339" i="3" a="1"/>
  <c r="C346" i="3" a="1"/>
  <c r="C376" i="3" a="1"/>
  <c r="C383" i="3" a="1"/>
  <c r="C397" i="3" a="1"/>
  <c r="C404" i="3" a="1"/>
  <c r="C417" i="3" a="1"/>
  <c r="C424" i="3" a="1"/>
  <c r="C431" i="3" a="1"/>
  <c r="C481" i="3" a="1"/>
  <c r="C487" i="3" a="1"/>
  <c r="C493" i="3" a="1"/>
  <c r="C499" i="3" a="1"/>
  <c r="C505" i="3" a="1"/>
  <c r="C512" i="3" a="1"/>
  <c r="C518" i="3" a="1"/>
  <c r="C524" i="3" a="1"/>
  <c r="C530" i="3" a="1"/>
  <c r="C297" i="3" a="1"/>
  <c r="C315" i="3" a="1"/>
  <c r="C348" i="3" a="1"/>
  <c r="C355" i="3" a="1"/>
  <c r="C362" i="3" a="1"/>
  <c r="C370" i="3" a="1"/>
  <c r="C398" i="3" a="1"/>
  <c r="C411" i="3" a="1"/>
  <c r="C418" i="3" a="1"/>
  <c r="C425" i="3" a="1"/>
  <c r="C438" i="3" a="1"/>
  <c r="C444" i="3" a="1"/>
  <c r="C451" i="3" a="1"/>
  <c r="C457" i="3" a="1"/>
  <c r="C463" i="3" a="1"/>
  <c r="C469" i="3" a="1"/>
  <c r="C475" i="3" a="1"/>
  <c r="C243" i="3" a="1"/>
  <c r="C273" i="3" a="1"/>
  <c r="C287" i="3" a="1"/>
  <c r="C324" i="3" a="1"/>
  <c r="C333" i="3" a="1"/>
  <c r="C340" i="3" a="1"/>
  <c r="C364" i="3" a="1"/>
  <c r="C377" i="3" a="1"/>
  <c r="C405" i="3" a="1"/>
  <c r="C432" i="3" a="1"/>
  <c r="C445" i="3" a="1"/>
  <c r="C476" i="3" a="1"/>
  <c r="C482" i="3" a="1"/>
  <c r="C488" i="3" a="1"/>
  <c r="C494" i="3" a="1"/>
  <c r="C501" i="3" a="1"/>
  <c r="C507" i="3" a="1"/>
  <c r="C513" i="3" a="1"/>
  <c r="C519" i="3" a="1"/>
  <c r="C525" i="3" a="1"/>
  <c r="C581" i="3" a="1"/>
  <c r="C587" i="3" a="1"/>
  <c r="C593" i="3" a="1"/>
  <c r="C599" i="3" a="1"/>
  <c r="C605" i="3" a="1"/>
  <c r="C612" i="3" a="1"/>
  <c r="C618" i="3" a="1"/>
  <c r="C624" i="3" a="1"/>
  <c r="C630" i="3" a="1"/>
  <c r="C661" i="3" a="1"/>
  <c r="C686" i="3" a="1"/>
  <c r="C692" i="3" a="1"/>
  <c r="C698" i="3" a="1"/>
  <c r="C709" i="3" a="1"/>
  <c r="C720" i="3" a="1"/>
  <c r="C726" i="3" a="1"/>
  <c r="C737" i="3" a="1"/>
  <c r="C486" i="3" a="1"/>
  <c r="C510" i="3" a="1"/>
  <c r="C566" i="3" a="1"/>
  <c r="C591" i="3" a="1"/>
  <c r="C603" i="3" a="1"/>
  <c r="C615" i="3" a="1"/>
  <c r="C640" i="3" a="1"/>
  <c r="C651" i="3" a="1"/>
  <c r="C660" i="3" a="1"/>
  <c r="C671" i="3" a="1"/>
  <c r="C711" i="3" a="1"/>
  <c r="C729" i="3" a="1"/>
  <c r="C744" i="3" a="1"/>
  <c r="C758" i="3" a="1"/>
  <c r="C772" i="3" a="1"/>
  <c r="C779" i="3" a="1"/>
  <c r="C786" i="3" a="1"/>
  <c r="C831" i="3" a="1"/>
  <c r="C837" i="3" a="1"/>
  <c r="C856" i="3" a="1"/>
  <c r="C862" i="3" a="1"/>
  <c r="C868" i="3" a="1"/>
  <c r="C874" i="3" a="1"/>
  <c r="C880" i="3" a="1"/>
  <c r="C899" i="3" a="1"/>
  <c r="C905" i="3" a="1"/>
  <c r="C917" i="3" a="1"/>
  <c r="C928" i="3" a="1"/>
  <c r="C939" i="3" a="1"/>
  <c r="C950" i="3" a="1"/>
  <c r="C956" i="3" a="1"/>
  <c r="C967" i="3" a="1"/>
  <c r="C1048" i="3" a="1"/>
  <c r="C529" i="3" a="1"/>
  <c r="C592" i="3" a="1"/>
  <c r="C604" i="3" a="1"/>
  <c r="C629" i="3" a="1"/>
  <c r="C672" i="3" a="1"/>
  <c r="C682" i="3" a="1"/>
  <c r="C693" i="3" a="1"/>
  <c r="C738" i="3" a="1"/>
  <c r="C752" i="3" a="1"/>
  <c r="C766" i="3" a="1"/>
  <c r="C800" i="3" a="1"/>
  <c r="C807" i="3" a="1"/>
  <c r="C813" i="3" a="1"/>
  <c r="C819" i="3" a="1"/>
  <c r="C825" i="3" a="1"/>
  <c r="C838" i="3" a="1"/>
  <c r="C844" i="3" a="1"/>
  <c r="C850" i="3" a="1"/>
  <c r="C881" i="3" a="1"/>
  <c r="C887" i="3" a="1"/>
  <c r="C906" i="3" a="1"/>
  <c r="C912" i="3" a="1"/>
  <c r="C923" i="3" a="1"/>
  <c r="C934" i="3" a="1"/>
  <c r="C945" i="3" a="1"/>
  <c r="C951" i="3" a="1"/>
  <c r="C962" i="3" a="1"/>
  <c r="C973" i="3" a="1"/>
  <c r="C978" i="3" a="1"/>
  <c r="C983" i="3" a="1"/>
  <c r="C988" i="3" a="1"/>
  <c r="C993" i="3" a="1"/>
  <c r="C998" i="3" a="1"/>
  <c r="C1003" i="3" a="1"/>
  <c r="C1008" i="3" a="1"/>
  <c r="C1013" i="3" a="1"/>
  <c r="C1018" i="3" a="1"/>
  <c r="C1023" i="3" a="1"/>
  <c r="C1028" i="3" a="1"/>
  <c r="C1033" i="3" a="1"/>
  <c r="C1038" i="3" a="1"/>
  <c r="C1043" i="3" a="1"/>
  <c r="C492" i="3" a="1"/>
  <c r="C515" i="3" a="1"/>
  <c r="C531" i="3" a="1"/>
  <c r="C543" i="3" a="1"/>
  <c r="C555" i="3" a="1"/>
  <c r="C568" i="3" a="1"/>
  <c r="C580" i="3" a="1"/>
  <c r="C642" i="3" a="1"/>
  <c r="C663" i="3" a="1"/>
  <c r="C673" i="3" a="1"/>
  <c r="C683" i="3" a="1"/>
  <c r="C703" i="3" a="1"/>
  <c r="C722" i="3" a="1"/>
  <c r="C730" i="3" a="1"/>
  <c r="C746" i="3" a="1"/>
  <c r="C759" i="3" a="1"/>
  <c r="C780" i="3" a="1"/>
  <c r="C787" i="3" a="1"/>
  <c r="C794" i="3" a="1"/>
  <c r="C545" i="3" a="1"/>
  <c r="C582" i="3" a="1"/>
  <c r="C594" i="3" a="1"/>
  <c r="C607" i="3" a="1"/>
  <c r="C619" i="3" a="1"/>
  <c r="C694" i="3" a="1"/>
  <c r="C731" i="3" a="1"/>
  <c r="C739" i="3" a="1"/>
  <c r="C753" i="3" a="1"/>
  <c r="C760" i="3" a="1"/>
  <c r="C767" i="3" a="1"/>
  <c r="C774" i="3" a="1"/>
  <c r="C781" i="3" a="1"/>
  <c r="C788" i="3" a="1"/>
  <c r="C802" i="3" a="1"/>
  <c r="C808" i="3" a="1"/>
  <c r="C814" i="3" a="1"/>
  <c r="C820" i="3" a="1"/>
  <c r="C827" i="3" a="1"/>
  <c r="C833" i="3" a="1"/>
  <c r="C498" i="3" a="1"/>
  <c r="C534" i="3" a="1"/>
  <c r="C571" i="3" a="1"/>
  <c r="C583" i="3" a="1"/>
  <c r="C596" i="3" a="1"/>
  <c r="C608" i="3" a="1"/>
  <c r="C620" i="3" a="1"/>
  <c r="C644" i="3" a="1"/>
  <c r="C654" i="3" a="1"/>
  <c r="C675" i="3" a="1"/>
  <c r="C685" i="3" a="1"/>
  <c r="C696" i="3" a="1"/>
  <c r="C705" i="3" a="1"/>
  <c r="C714" i="3" a="1"/>
  <c r="C740" i="3" a="1"/>
  <c r="C747" i="3" a="1"/>
  <c r="C761" i="3" a="1"/>
  <c r="C768" i="3" a="1"/>
  <c r="C796" i="3" a="1"/>
  <c r="C846" i="3" a="1"/>
  <c r="C852" i="3" a="1"/>
  <c r="C858" i="3" a="1"/>
  <c r="C864" i="3" a="1"/>
  <c r="C870" i="3" a="1"/>
  <c r="C877" i="3" a="1"/>
  <c r="C883" i="3" a="1"/>
  <c r="C889" i="3" a="1"/>
  <c r="C895" i="3" a="1"/>
  <c r="C919" i="3" a="1"/>
  <c r="C930" i="3" a="1"/>
  <c r="C936" i="3" a="1"/>
  <c r="C461" i="3" a="1"/>
  <c r="C520" i="3" a="1"/>
  <c r="C535" i="3" a="1"/>
  <c r="C572" i="3" a="1"/>
  <c r="C597" i="3" a="1"/>
  <c r="C609" i="3" a="1"/>
  <c r="C634" i="3" a="1"/>
  <c r="C645" i="3" a="1"/>
  <c r="C666" i="3" a="1"/>
  <c r="C676" i="3" a="1"/>
  <c r="C687" i="3" a="1"/>
  <c r="C697" i="3" a="1"/>
  <c r="C706" i="3" a="1"/>
  <c r="C716" i="3" a="1"/>
  <c r="C503" i="3" a="1"/>
  <c r="C561" i="3" a="1"/>
  <c r="C586" i="3" a="1"/>
  <c r="C598" i="3" a="1"/>
  <c r="C610" i="3" a="1"/>
  <c r="C623" i="3" a="1"/>
  <c r="C504" i="3" a="1"/>
  <c r="C523" i="3" a="1"/>
  <c r="C537" i="3" a="1"/>
  <c r="C549" i="3" a="1"/>
  <c r="C562" i="3" a="1"/>
  <c r="C574" i="3" a="1"/>
  <c r="C611" i="3" a="1"/>
  <c r="C636" i="3" a="1"/>
  <c r="C688" i="3" a="1"/>
  <c r="C699" i="3" a="1"/>
  <c r="C708" i="3" a="1"/>
  <c r="C717" i="3" a="1"/>
  <c r="C727" i="3" a="1"/>
  <c r="C742" i="3" a="1"/>
  <c r="C749" i="3" a="1"/>
  <c r="C756" i="3" a="1"/>
  <c r="C763" i="3" a="1"/>
  <c r="C777" i="3" a="1"/>
  <c r="C791" i="3" a="1"/>
  <c r="C811" i="3" a="1"/>
  <c r="C817" i="3" a="1"/>
  <c r="C823" i="3" a="1"/>
  <c r="C829" i="3" a="1"/>
  <c r="C835" i="3" a="1"/>
  <c r="C860" i="3" a="1"/>
  <c r="C891" i="3" a="1"/>
  <c r="C897" i="3" a="1"/>
  <c r="C903" i="3" a="1"/>
  <c r="C909" i="3" a="1"/>
  <c r="C915" i="3" a="1"/>
  <c r="C921" i="3" a="1"/>
  <c r="C932" i="3" a="1"/>
  <c r="C943" i="3" a="1"/>
  <c r="C954" i="3" a="1"/>
  <c r="C965" i="3" a="1"/>
  <c r="C971" i="3" a="1"/>
  <c r="C976" i="3" a="1"/>
  <c r="C981" i="3" a="1"/>
  <c r="C986" i="3" a="1"/>
  <c r="C991" i="3" a="1"/>
  <c r="C996" i="3" a="1"/>
  <c r="C1001" i="3" a="1"/>
  <c r="C1006" i="3" a="1"/>
  <c r="C1011" i="3" a="1"/>
  <c r="C1016" i="3" a="1"/>
  <c r="C1021" i="3" a="1"/>
  <c r="C1026" i="3" a="1"/>
  <c r="C1031" i="3" a="1"/>
  <c r="C576" i="3" a="1"/>
  <c r="C588" i="3" a="1"/>
  <c r="C601" i="3" a="1"/>
  <c r="C613" i="3" a="1"/>
  <c r="C625" i="3" a="1"/>
  <c r="C648" i="3" a="1"/>
  <c r="C669" i="3" a="1"/>
  <c r="C679" i="3" a="1"/>
  <c r="C718" i="3" a="1"/>
  <c r="C735" i="3" a="1"/>
  <c r="C757" i="3" a="1"/>
  <c r="C770" i="3" a="1"/>
  <c r="C798" i="3" a="1"/>
  <c r="C805" i="3" a="1"/>
  <c r="C836" i="3" a="1"/>
  <c r="C842" i="3" a="1"/>
  <c r="C848" i="3" a="1"/>
  <c r="C861" i="3" a="1"/>
  <c r="C867" i="3" a="1"/>
  <c r="C873" i="3" a="1"/>
  <c r="C879" i="3" a="1"/>
  <c r="C885" i="3" a="1"/>
  <c r="C910" i="3" a="1"/>
  <c r="C916" i="3" a="1"/>
  <c r="C927" i="3" a="1"/>
  <c r="C938" i="3" a="1"/>
  <c r="C949" i="3" a="1"/>
  <c r="C960" i="3" a="1"/>
  <c r="C966" i="3" a="1"/>
  <c r="C509" i="3" a="1"/>
  <c r="C540" i="3" a="1"/>
  <c r="C577" i="3" a="1"/>
  <c r="C602" i="3" a="1"/>
  <c r="C614" i="3" a="1"/>
  <c r="C681" i="3" a="1"/>
  <c r="C691" i="3" a="1"/>
  <c r="C700" i="3" a="1"/>
  <c r="C710" i="3" a="1"/>
  <c r="C719" i="3" a="1"/>
  <c r="C728" i="3" a="1"/>
  <c r="C736" i="3" a="1"/>
  <c r="C750" i="3" a="1"/>
  <c r="C764" i="3" a="1"/>
  <c r="C778" i="3" a="1"/>
  <c r="C785" i="3" a="1"/>
  <c r="C792" i="3" a="1"/>
  <c r="C799" i="3" a="1"/>
  <c r="C806" i="3" a="1"/>
  <c r="C812" i="3" a="1"/>
  <c r="C818" i="3" a="1"/>
  <c r="C824" i="3" a="1"/>
  <c r="C830" i="3" a="1"/>
  <c r="C849" i="3" a="1"/>
  <c r="C855" i="3" a="1"/>
  <c r="C886" i="3" a="1"/>
  <c r="C892" i="3" a="1"/>
  <c r="C898" i="3" a="1"/>
  <c r="C911" i="3" a="1"/>
  <c r="C922" i="3" a="1"/>
  <c r="C933" i="3" a="1"/>
  <c r="C944" i="3" a="1"/>
  <c r="C955" i="3" a="1"/>
  <c r="C961" i="3" a="1"/>
  <c r="C972" i="3" a="1"/>
  <c r="C977" i="3" a="1"/>
  <c r="C982" i="3" a="1"/>
  <c r="C987" i="3" a="1"/>
  <c r="C992" i="3" a="1"/>
  <c r="C997" i="3" a="1"/>
  <c r="C1002" i="3" a="1"/>
  <c r="C1007" i="3" a="1"/>
  <c r="C1012" i="3" a="1"/>
  <c r="C1017" i="3" a="1"/>
  <c r="C1022" i="3" a="1"/>
  <c r="C1027" i="3" a="1"/>
  <c r="C1032" i="3" a="1"/>
  <c r="C1037" i="3" a="1"/>
  <c r="C1042" i="3" a="1"/>
  <c r="C1047" i="3" a="1"/>
  <c r="C1052" i="3" a="1"/>
  <c r="C1057" i="3" a="1"/>
  <c r="C635" i="3" a="1"/>
  <c r="C725" i="3" a="1"/>
  <c r="C797" i="3" a="1"/>
  <c r="C841" i="3" a="1"/>
  <c r="C872" i="3" a="1"/>
  <c r="C946" i="3" a="1"/>
  <c r="C957" i="3" a="1"/>
  <c r="C968" i="3" a="1"/>
  <c r="C1036" i="3" a="1"/>
  <c r="C1045" i="3" a="1"/>
  <c r="C1060" i="3" a="1"/>
  <c r="C1066" i="3" a="1"/>
  <c r="C1073" i="3" a="1"/>
  <c r="C1079" i="3" a="1"/>
  <c r="C1085" i="3" a="1"/>
  <c r="C1091" i="3" a="1"/>
  <c r="C1098" i="3" a="1"/>
  <c r="C1104" i="3" a="1"/>
  <c r="C1110" i="3" a="1"/>
  <c r="C1116" i="3" a="1"/>
  <c r="C1123" i="3" a="1"/>
  <c r="C1129" i="3" a="1"/>
  <c r="C1135" i="3" a="1"/>
  <c r="C1141" i="3" a="1"/>
  <c r="C1159" i="3" a="1"/>
  <c r="C1170" i="3" a="1"/>
  <c r="C1181" i="3" a="1"/>
  <c r="C1192" i="3" a="1"/>
  <c r="C1198" i="3" a="1"/>
  <c r="C1209" i="3" a="1"/>
  <c r="C1220" i="3" a="1"/>
  <c r="C1231" i="3" a="1"/>
  <c r="C1242" i="3" a="1"/>
  <c r="C1248" i="3" a="1"/>
  <c r="C1259" i="3" a="1"/>
  <c r="C1281" i="3" a="1"/>
  <c r="C1309" i="3" a="1"/>
  <c r="C1331" i="3" a="1"/>
  <c r="C1342" i="3" a="1"/>
  <c r="C1310" i="3" a="1"/>
  <c r="C1168" i="3" a="1"/>
  <c r="C733" i="3" a="1"/>
  <c r="C803" i="3" a="1"/>
  <c r="C826" i="3" a="1"/>
  <c r="C875" i="3" a="1"/>
  <c r="C979" i="3" a="1"/>
  <c r="C989" i="3" a="1"/>
  <c r="C999" i="3" a="1"/>
  <c r="C1009" i="3" a="1"/>
  <c r="C1019" i="3" a="1"/>
  <c r="C1029" i="3" a="1"/>
  <c r="C1054" i="3" a="1"/>
  <c r="C1067" i="3" a="1"/>
  <c r="C1092" i="3" a="1"/>
  <c r="C1117" i="3" a="1"/>
  <c r="C1142" i="3" a="1"/>
  <c r="C1154" i="3" a="1"/>
  <c r="C1165" i="3" a="1"/>
  <c r="C1176" i="3" a="1"/>
  <c r="C1187" i="3" a="1"/>
  <c r="C1193" i="3" a="1"/>
  <c r="C1204" i="3" a="1"/>
  <c r="C1215" i="3" a="1"/>
  <c r="C1226" i="3" a="1"/>
  <c r="C1237" i="3" a="1"/>
  <c r="C1243" i="3" a="1"/>
  <c r="C1254" i="3" a="1"/>
  <c r="C1265" i="3" a="1"/>
  <c r="C1276" i="3" a="1"/>
  <c r="C1287" i="3" a="1"/>
  <c r="C1293" i="3" a="1"/>
  <c r="C1304" i="3" a="1"/>
  <c r="C1315" i="3" a="1"/>
  <c r="C1326" i="3" a="1"/>
  <c r="C1337" i="3" a="1"/>
  <c r="C1343" i="3" a="1"/>
  <c r="C1354" i="3" a="1"/>
  <c r="C1162" i="3" a="1"/>
  <c r="C657" i="3" a="1"/>
  <c r="C769" i="3" a="1"/>
  <c r="C828" i="3" a="1"/>
  <c r="C845" i="3" a="1"/>
  <c r="C859" i="3" a="1"/>
  <c r="C876" i="3" a="1"/>
  <c r="C890" i="3" a="1"/>
  <c r="C907" i="3" a="1"/>
  <c r="C920" i="3" a="1"/>
  <c r="C935" i="3" a="1"/>
  <c r="C947" i="3" a="1"/>
  <c r="C958" i="3" a="1"/>
  <c r="C969" i="3" a="1"/>
  <c r="C1039" i="3" a="1"/>
  <c r="C1046" i="3" a="1"/>
  <c r="C1061" i="3" a="1"/>
  <c r="C1068" i="3" a="1"/>
  <c r="C1074" i="3" a="1"/>
  <c r="C1080" i="3" a="1"/>
  <c r="C1086" i="3" a="1"/>
  <c r="C1093" i="3" a="1"/>
  <c r="C1099" i="3" a="1"/>
  <c r="C1105" i="3" a="1"/>
  <c r="C1111" i="3" a="1"/>
  <c r="C1118" i="3" a="1"/>
  <c r="C1124" i="3" a="1"/>
  <c r="C1130" i="3" a="1"/>
  <c r="C1136" i="3" a="1"/>
  <c r="C1143" i="3" a="1"/>
  <c r="C1149" i="3" a="1"/>
  <c r="C1160" i="3" a="1"/>
  <c r="C1171" i="3" a="1"/>
  <c r="C1182" i="3" a="1"/>
  <c r="C1188" i="3" a="1"/>
  <c r="C1199" i="3" a="1"/>
  <c r="C1210" i="3" a="1"/>
  <c r="C1221" i="3" a="1"/>
  <c r="C1232" i="3" a="1"/>
  <c r="C1238" i="3" a="1"/>
  <c r="C1249" i="3" a="1"/>
  <c r="C1260" i="3" a="1"/>
  <c r="C1271" i="3" a="1"/>
  <c r="C1282" i="3" a="1"/>
  <c r="C1288" i="3" a="1"/>
  <c r="C1299" i="3" a="1"/>
  <c r="C1268" i="3" a="1"/>
  <c r="C1279" i="3" a="1"/>
  <c r="C1290" i="3" a="1"/>
  <c r="C1301" i="3" a="1"/>
  <c r="C1312" i="3" a="1"/>
  <c r="C1318" i="3" a="1"/>
  <c r="C1329" i="3" a="1"/>
  <c r="C741" i="3" a="1"/>
  <c r="C775" i="3" a="1"/>
  <c r="C809" i="3" a="1"/>
  <c r="C863" i="3" a="1"/>
  <c r="C894" i="3" a="1"/>
  <c r="C908" i="3" a="1"/>
  <c r="C980" i="3" a="1"/>
  <c r="C990" i="3" a="1"/>
  <c r="C1000" i="3" a="1"/>
  <c r="C1010" i="3" a="1"/>
  <c r="C1020" i="3" a="1"/>
  <c r="C1030" i="3" a="1"/>
  <c r="C1055" i="3" a="1"/>
  <c r="C1062" i="3" a="1"/>
  <c r="C1087" i="3" a="1"/>
  <c r="C1112" i="3" a="1"/>
  <c r="C1137" i="3" a="1"/>
  <c r="C1155" i="3" a="1"/>
  <c r="C1166" i="3" a="1"/>
  <c r="C1177" i="3" a="1"/>
  <c r="C1183" i="3" a="1"/>
  <c r="C1194" i="3" a="1"/>
  <c r="C1205" i="3" a="1"/>
  <c r="C1216" i="3" a="1"/>
  <c r="C1227" i="3" a="1"/>
  <c r="C1233" i="3" a="1"/>
  <c r="C1244" i="3" a="1"/>
  <c r="C1255" i="3" a="1"/>
  <c r="C1266" i="3" a="1"/>
  <c r="C1277" i="3" a="1"/>
  <c r="C1283" i="3" a="1"/>
  <c r="C1294" i="3" a="1"/>
  <c r="C1305" i="3" a="1"/>
  <c r="C1316" i="3" a="1"/>
  <c r="C1327" i="3" a="1"/>
  <c r="C1333" i="3" a="1"/>
  <c r="C1344" i="3" a="1"/>
  <c r="C1355" i="3" a="1"/>
  <c r="C1179" i="3" a="1"/>
  <c r="C1190" i="3" a="1"/>
  <c r="C1201" i="3" a="1"/>
  <c r="C1212" i="3" a="1"/>
  <c r="C1262" i="3" a="1"/>
  <c r="C677" i="3" a="1"/>
  <c r="C776" i="3" a="1"/>
  <c r="C810" i="3" a="1"/>
  <c r="C847" i="3" a="1"/>
  <c r="C878" i="3" a="1"/>
  <c r="C924" i="3" a="1"/>
  <c r="C937" i="3" a="1"/>
  <c r="C948" i="3" a="1"/>
  <c r="C959" i="3" a="1"/>
  <c r="C970" i="3" a="1"/>
  <c r="C1040" i="3" a="1"/>
  <c r="C1049" i="3" a="1"/>
  <c r="C1063" i="3" a="1"/>
  <c r="C1069" i="3" a="1"/>
  <c r="C1075" i="3" a="1"/>
  <c r="C1081" i="3" a="1"/>
  <c r="C1088" i="3" a="1"/>
  <c r="C1094" i="3" a="1"/>
  <c r="C1100" i="3" a="1"/>
  <c r="C1106" i="3" a="1"/>
  <c r="C1113" i="3" a="1"/>
  <c r="C1119" i="3" a="1"/>
  <c r="C1125" i="3" a="1"/>
  <c r="C1131" i="3" a="1"/>
  <c r="C1138" i="3" a="1"/>
  <c r="C1144" i="3" a="1"/>
  <c r="C1150" i="3" a="1"/>
  <c r="C1161" i="3" a="1"/>
  <c r="C1172" i="3" a="1"/>
  <c r="C1178" i="3" a="1"/>
  <c r="C1189" i="3" a="1"/>
  <c r="C1200" i="3" a="1"/>
  <c r="C1211" i="3" a="1"/>
  <c r="C1222" i="3" a="1"/>
  <c r="C1228" i="3" a="1"/>
  <c r="C1239" i="3" a="1"/>
  <c r="C1250" i="3" a="1"/>
  <c r="C1261" i="3" a="1"/>
  <c r="C1272" i="3" a="1"/>
  <c r="C1278" i="3" a="1"/>
  <c r="C1289" i="3" a="1"/>
  <c r="C1300" i="3" a="1"/>
  <c r="C1311" i="3" a="1"/>
  <c r="C1322" i="3" a="1"/>
  <c r="C1328" i="3" a="1"/>
  <c r="C1339" i="3" a="1"/>
  <c r="C1350" i="3" a="1"/>
  <c r="C1361" i="3" a="1"/>
  <c r="C1101" i="3" a="1"/>
  <c r="C1114" i="3" a="1"/>
  <c r="C1120" i="3" a="1"/>
  <c r="C1126" i="3" a="1"/>
  <c r="C1133" i="3" a="1"/>
  <c r="C1139" i="3" a="1"/>
  <c r="C1145" i="3" a="1"/>
  <c r="C834" i="3" a="1"/>
  <c r="C851" i="3" a="1"/>
  <c r="C896" i="3" a="1"/>
  <c r="C925" i="3" a="1"/>
  <c r="C940" i="3" a="1"/>
  <c r="C1056" i="3" a="1"/>
  <c r="C1082" i="3" a="1"/>
  <c r="C1107" i="3" a="1"/>
  <c r="C1132" i="3" a="1"/>
  <c r="C1156" i="3" a="1"/>
  <c r="C1167" i="3" a="1"/>
  <c r="C1173" i="3" a="1"/>
  <c r="C1184" i="3" a="1"/>
  <c r="C1195" i="3" a="1"/>
  <c r="C1206" i="3" a="1"/>
  <c r="C1217" i="3" a="1"/>
  <c r="C1223" i="3" a="1"/>
  <c r="C1234" i="3" a="1"/>
  <c r="C1245" i="3" a="1"/>
  <c r="C1256" i="3" a="1"/>
  <c r="C1267" i="3" a="1"/>
  <c r="C1273" i="3" a="1"/>
  <c r="C1284" i="3" a="1"/>
  <c r="C1295" i="3" a="1"/>
  <c r="C1306" i="3" a="1"/>
  <c r="C1317" i="3" a="1"/>
  <c r="C1323" i="3" a="1"/>
  <c r="C1334" i="3" a="1"/>
  <c r="C1345" i="3" a="1"/>
  <c r="C1356" i="3" a="1"/>
  <c r="C748" i="3" a="1"/>
  <c r="C783" i="3" a="1"/>
  <c r="C816" i="3" a="1"/>
  <c r="C866" i="3" a="1"/>
  <c r="C913" i="3" a="1"/>
  <c r="C926" i="3" a="1"/>
  <c r="C941" i="3" a="1"/>
  <c r="C952" i="3" a="1"/>
  <c r="C963" i="3" a="1"/>
  <c r="C974" i="3" a="1"/>
  <c r="C984" i="3" a="1"/>
  <c r="C994" i="3" a="1"/>
  <c r="C1004" i="3" a="1"/>
  <c r="C1014" i="3" a="1"/>
  <c r="C1024" i="3" a="1"/>
  <c r="C1034" i="3" a="1"/>
  <c r="C1041" i="3" a="1"/>
  <c r="C1050" i="3" a="1"/>
  <c r="C1058" i="3" a="1"/>
  <c r="C1064" i="3" a="1"/>
  <c r="C1070" i="3" a="1"/>
  <c r="C1076" i="3" a="1"/>
  <c r="C1083" i="3" a="1"/>
  <c r="C1089" i="3" a="1"/>
  <c r="C1095" i="3" a="1"/>
  <c r="C1108" i="3" a="1"/>
  <c r="C1351" i="3" a="1"/>
  <c r="C707" i="3" a="1"/>
  <c r="C789" i="3" a="1"/>
  <c r="C869" i="3" a="1"/>
  <c r="C900" i="3" a="1"/>
  <c r="C914" i="3" a="1"/>
  <c r="C929" i="3" a="1"/>
  <c r="C1077" i="3" a="1"/>
  <c r="C1102" i="3" a="1"/>
  <c r="C1127" i="3" a="1"/>
  <c r="C1157" i="3" a="1"/>
  <c r="C1163" i="3" a="1"/>
  <c r="C1174" i="3" a="1"/>
  <c r="C1185" i="3" a="1"/>
  <c r="C1196" i="3" a="1"/>
  <c r="C1207" i="3" a="1"/>
  <c r="C1213" i="3" a="1"/>
  <c r="C1224" i="3" a="1"/>
  <c r="C1235" i="3" a="1"/>
  <c r="C1246" i="3" a="1"/>
  <c r="C1257" i="3" a="1"/>
  <c r="C1263" i="3" a="1"/>
  <c r="C1274" i="3" a="1"/>
  <c r="C1285" i="3" a="1"/>
  <c r="C1296" i="3" a="1"/>
  <c r="C1307" i="3" a="1"/>
  <c r="C1313" i="3" a="1"/>
  <c r="C1324" i="3" a="1"/>
  <c r="C1335" i="3" a="1"/>
  <c r="C1346" i="3" a="1"/>
  <c r="C1357" i="3" a="1"/>
  <c r="C1363" i="3" a="1"/>
  <c r="C1115" i="3" a="1"/>
  <c r="C1121" i="3" a="1"/>
  <c r="C1140" i="3" a="1"/>
  <c r="C1146" i="3" a="1"/>
  <c r="C1152" i="3" a="1"/>
  <c r="C1158" i="3" a="1"/>
  <c r="C1169" i="3" a="1"/>
  <c r="C1202" i="3" a="1"/>
  <c r="C1208" i="3" a="1"/>
  <c r="C1151" i="3" a="1"/>
  <c r="C1218" i="3" a="1"/>
  <c r="C1229" i="3" a="1"/>
  <c r="C1240" i="3" a="1"/>
  <c r="C1251" i="3" a="1"/>
  <c r="C755" i="3" a="1"/>
  <c r="C790" i="3" a="1"/>
  <c r="C839" i="3" a="1"/>
  <c r="C853" i="3" a="1"/>
  <c r="C884" i="3" a="1"/>
  <c r="C901" i="3" a="1"/>
  <c r="C942" i="3" a="1"/>
  <c r="C953" i="3" a="1"/>
  <c r="C964" i="3" a="1"/>
  <c r="C975" i="3" a="1"/>
  <c r="C985" i="3" a="1"/>
  <c r="C995" i="3" a="1"/>
  <c r="C1005" i="3" a="1"/>
  <c r="C1015" i="3" a="1"/>
  <c r="C1025" i="3" a="1"/>
  <c r="C1035" i="3" a="1"/>
  <c r="C1044" i="3" a="1"/>
  <c r="C1051" i="3" a="1"/>
  <c r="C1059" i="3" a="1"/>
  <c r="C1065" i="3" a="1"/>
  <c r="C1071" i="3" a="1"/>
  <c r="C1078" i="3" a="1"/>
  <c r="C1084" i="3" a="1"/>
  <c r="C1090" i="3" a="1"/>
  <c r="C1096" i="3" a="1"/>
  <c r="C1103" i="3" a="1"/>
  <c r="C1109" i="3" a="1"/>
  <c r="C1128" i="3" a="1"/>
  <c r="C1134" i="3" a="1"/>
  <c r="C1180" i="3" a="1"/>
  <c r="C1191" i="3" a="1"/>
  <c r="C1219" i="3" a="1"/>
  <c r="C1230" i="3" a="1"/>
  <c r="C1241" i="3" a="1"/>
  <c r="C1252" i="3" a="1"/>
  <c r="C1258" i="3" a="1"/>
  <c r="C1269" i="3" a="1"/>
  <c r="C1280" i="3" a="1"/>
  <c r="C1291" i="3" a="1"/>
  <c r="C1302" i="3" a="1"/>
  <c r="C1308" i="3" a="1"/>
  <c r="C1319" i="3" a="1"/>
  <c r="C1330" i="3" a="1"/>
  <c r="C1341" i="3" a="1"/>
  <c r="C1352" i="3" a="1"/>
  <c r="C1358" i="3" a="1"/>
  <c r="C1321" i="3" a="1"/>
  <c r="C1332" i="3" a="1"/>
  <c r="C1338" i="3" a="1"/>
  <c r="C1349" i="3" a="1"/>
  <c r="C1360" i="3" a="1"/>
  <c r="C1362" i="3" a="1"/>
  <c r="C822" i="3" a="1"/>
  <c r="C840" i="3" a="1"/>
  <c r="C857" i="3" a="1"/>
  <c r="C888" i="3" a="1"/>
  <c r="C902" i="3" a="1"/>
  <c r="C918" i="3" a="1"/>
  <c r="C931" i="3" a="1"/>
  <c r="C1053" i="3" a="1"/>
  <c r="C1072" i="3" a="1"/>
  <c r="C1097" i="3" a="1"/>
  <c r="C1122" i="3" a="1"/>
  <c r="C1147" i="3" a="1"/>
  <c r="C1153" i="3" a="1"/>
  <c r="C1164" i="3" a="1"/>
  <c r="C1175" i="3" a="1"/>
  <c r="C1186" i="3" a="1"/>
  <c r="C1197" i="3" a="1"/>
  <c r="C1203" i="3" a="1"/>
  <c r="C1214" i="3" a="1"/>
  <c r="C1225" i="3" a="1"/>
  <c r="C1236" i="3" a="1"/>
  <c r="C1247" i="3" a="1"/>
  <c r="C1253" i="3" a="1"/>
  <c r="C1264" i="3" a="1"/>
  <c r="C1275" i="3" a="1"/>
  <c r="C1286" i="3" a="1"/>
  <c r="C1297" i="3" a="1"/>
  <c r="C1303" i="3" a="1"/>
  <c r="C1314" i="3" a="1"/>
  <c r="C1325" i="3" a="1"/>
  <c r="C1336" i="3" a="1"/>
  <c r="C1347" i="3" a="1"/>
  <c r="C1353" i="3" a="1"/>
  <c r="C1364" i="3" a="1"/>
  <c r="C1148" i="3" a="1"/>
  <c r="C1270" i="3" a="1"/>
  <c r="C1292" i="3" a="1"/>
  <c r="C1298" i="3" a="1"/>
  <c r="C1320" i="3" a="1"/>
  <c r="C1348" i="3" a="1"/>
  <c r="C1359" i="3" a="1"/>
  <c r="C1340" i="3" a="1"/>
  <c r="C11" i="3" a="1"/>
  <c r="B12" i="3" a="1"/>
  <c r="B17" i="3" a="1"/>
  <c r="B22" i="3" a="1"/>
  <c r="B27" i="3" a="1"/>
  <c r="B32" i="3" a="1"/>
  <c r="B37" i="3" a="1"/>
  <c r="B42" i="3" a="1"/>
  <c r="B47" i="3" a="1"/>
  <c r="B16" i="3" a="1"/>
  <c r="B13" i="3" a="1"/>
  <c r="B56" i="3" a="1"/>
  <c r="B67" i="3" a="1"/>
  <c r="B73" i="3" a="1"/>
  <c r="B84" i="3" a="1"/>
  <c r="B95" i="3" a="1"/>
  <c r="B106" i="3" a="1"/>
  <c r="B117" i="3" a="1"/>
  <c r="B123" i="3" a="1"/>
  <c r="B134" i="3" a="1"/>
  <c r="B145" i="3" a="1"/>
  <c r="B156" i="3" a="1"/>
  <c r="B167" i="3" a="1"/>
  <c r="B173" i="3" a="1"/>
  <c r="B184" i="3" a="1"/>
  <c r="B195" i="3" a="1"/>
  <c r="B206" i="3" a="1"/>
  <c r="B217" i="3" a="1"/>
  <c r="B223" i="3" a="1"/>
  <c r="B234" i="3" a="1"/>
  <c r="B245" i="3" a="1"/>
  <c r="B256" i="3" a="1"/>
  <c r="B267" i="3" a="1"/>
  <c r="B273" i="3" a="1"/>
  <c r="B284" i="3" a="1"/>
  <c r="B20" i="3" a="1"/>
  <c r="B26" i="3" a="1"/>
  <c r="B33" i="3" a="1"/>
  <c r="B39" i="3" a="1"/>
  <c r="B45" i="3" a="1"/>
  <c r="B51" i="3" a="1"/>
  <c r="B62" i="3" a="1"/>
  <c r="B68" i="3" a="1"/>
  <c r="B79" i="3" a="1"/>
  <c r="B90" i="3" a="1"/>
  <c r="B101" i="3" a="1"/>
  <c r="B112" i="3" a="1"/>
  <c r="B118" i="3" a="1"/>
  <c r="B129" i="3" a="1"/>
  <c r="B140" i="3" a="1"/>
  <c r="B151" i="3" a="1"/>
  <c r="B162" i="3" a="1"/>
  <c r="B168" i="3" a="1"/>
  <c r="B179" i="3" a="1"/>
  <c r="B190" i="3" a="1"/>
  <c r="B201" i="3" a="1"/>
  <c r="B212" i="3" a="1"/>
  <c r="B218" i="3" a="1"/>
  <c r="B229" i="3" a="1"/>
  <c r="B240" i="3" a="1"/>
  <c r="B251" i="3" a="1"/>
  <c r="B262" i="3" a="1"/>
  <c r="B268" i="3" a="1"/>
  <c r="B279" i="3" a="1"/>
  <c r="B290" i="3" a="1"/>
  <c r="B301" i="3" a="1"/>
  <c r="B312" i="3" a="1"/>
  <c r="B318" i="3" a="1"/>
  <c r="B329" i="3" a="1"/>
  <c r="B340" i="3" a="1"/>
  <c r="B351" i="3" a="1"/>
  <c r="B362" i="3" a="1"/>
  <c r="B368" i="3" a="1"/>
  <c r="B379" i="3" a="1"/>
  <c r="B390" i="3" a="1"/>
  <c r="B401" i="3" a="1"/>
  <c r="B412" i="3" a="1"/>
  <c r="B418" i="3" a="1"/>
  <c r="B429" i="3" a="1"/>
  <c r="B14" i="3" a="1"/>
  <c r="B57" i="3" a="1"/>
  <c r="B63" i="3" a="1"/>
  <c r="B74" i="3" a="1"/>
  <c r="B85" i="3" a="1"/>
  <c r="B96" i="3" a="1"/>
  <c r="B107" i="3" a="1"/>
  <c r="B113" i="3" a="1"/>
  <c r="B124" i="3" a="1"/>
  <c r="B135" i="3" a="1"/>
  <c r="B146" i="3" a="1"/>
  <c r="B157" i="3" a="1"/>
  <c r="B163" i="3" a="1"/>
  <c r="B174" i="3" a="1"/>
  <c r="B21" i="3" a="1"/>
  <c r="B28" i="3" a="1"/>
  <c r="B34" i="3" a="1"/>
  <c r="B40" i="3" a="1"/>
  <c r="B46" i="3" a="1"/>
  <c r="B52" i="3" a="1"/>
  <c r="B58" i="3" a="1"/>
  <c r="B69" i="3" a="1"/>
  <c r="B80" i="3" a="1"/>
  <c r="B91" i="3" a="1"/>
  <c r="B102" i="3" a="1"/>
  <c r="B108" i="3" a="1"/>
  <c r="B119" i="3" a="1"/>
  <c r="B130" i="3" a="1"/>
  <c r="B141" i="3" a="1"/>
  <c r="B152" i="3" a="1"/>
  <c r="B158" i="3" a="1"/>
  <c r="B169" i="3" a="1"/>
  <c r="B180" i="3" a="1"/>
  <c r="B191" i="3" a="1"/>
  <c r="B202" i="3" a="1"/>
  <c r="B208" i="3" a="1"/>
  <c r="B15" i="3" a="1"/>
  <c r="B53" i="3" a="1"/>
  <c r="B64" i="3" a="1"/>
  <c r="B75" i="3" a="1"/>
  <c r="B86" i="3" a="1"/>
  <c r="B97" i="3" a="1"/>
  <c r="B103" i="3" a="1"/>
  <c r="B114" i="3" a="1"/>
  <c r="B125" i="3" a="1"/>
  <c r="B136" i="3" a="1"/>
  <c r="B147" i="3" a="1"/>
  <c r="B153" i="3" a="1"/>
  <c r="B164" i="3" a="1"/>
  <c r="B175" i="3" a="1"/>
  <c r="B186" i="3" a="1"/>
  <c r="B197" i="3" a="1"/>
  <c r="B203" i="3" a="1"/>
  <c r="B214" i="3" a="1"/>
  <c r="B225" i="3" a="1"/>
  <c r="B236" i="3" a="1"/>
  <c r="B247" i="3" a="1"/>
  <c r="B253" i="3" a="1"/>
  <c r="B264" i="3" a="1"/>
  <c r="B275" i="3" a="1"/>
  <c r="B286" i="3" a="1"/>
  <c r="B297" i="3" a="1"/>
  <c r="B303" i="3" a="1"/>
  <c r="B314" i="3" a="1"/>
  <c r="B325" i="3" a="1"/>
  <c r="B336" i="3" a="1"/>
  <c r="B347" i="3" a="1"/>
  <c r="B353" i="3" a="1"/>
  <c r="B23" i="3" a="1"/>
  <c r="B29" i="3" a="1"/>
  <c r="B35" i="3" a="1"/>
  <c r="B41" i="3" a="1"/>
  <c r="B48" i="3" a="1"/>
  <c r="B59" i="3" a="1"/>
  <c r="B70" i="3" a="1"/>
  <c r="B81" i="3" a="1"/>
  <c r="B92" i="3" a="1"/>
  <c r="B98" i="3" a="1"/>
  <c r="B109" i="3" a="1"/>
  <c r="B54" i="3" a="1"/>
  <c r="B65" i="3" a="1"/>
  <c r="B76" i="3" a="1"/>
  <c r="B87" i="3" a="1"/>
  <c r="B93" i="3" a="1"/>
  <c r="B104" i="3" a="1"/>
  <c r="B115" i="3" a="1"/>
  <c r="B126" i="3" a="1"/>
  <c r="B137" i="3" a="1"/>
  <c r="B143" i="3" a="1"/>
  <c r="B154" i="3" a="1"/>
  <c r="B165" i="3" a="1"/>
  <c r="B176" i="3" a="1"/>
  <c r="B187" i="3" a="1"/>
  <c r="B193" i="3" a="1"/>
  <c r="B204" i="3" a="1"/>
  <c r="B215" i="3" a="1"/>
  <c r="B226" i="3" a="1"/>
  <c r="B237" i="3" a="1"/>
  <c r="B243" i="3" a="1"/>
  <c r="B254" i="3" a="1"/>
  <c r="B265" i="3" a="1"/>
  <c r="B276" i="3" a="1"/>
  <c r="B287" i="3" a="1"/>
  <c r="B293" i="3" a="1"/>
  <c r="B304" i="3" a="1"/>
  <c r="B18" i="3" a="1"/>
  <c r="B24" i="3" a="1"/>
  <c r="B30" i="3" a="1"/>
  <c r="B36" i="3" a="1"/>
  <c r="B43" i="3" a="1"/>
  <c r="B49" i="3" a="1"/>
  <c r="B60" i="3" a="1"/>
  <c r="B71" i="3" a="1"/>
  <c r="B82" i="3" a="1"/>
  <c r="B88" i="3" a="1"/>
  <c r="B99" i="3" a="1"/>
  <c r="B110" i="3" a="1"/>
  <c r="B121" i="3" a="1"/>
  <c r="B132" i="3" a="1"/>
  <c r="B138" i="3" a="1"/>
  <c r="B149" i="3" a="1"/>
  <c r="B160" i="3" a="1"/>
  <c r="B171" i="3" a="1"/>
  <c r="B182" i="3" a="1"/>
  <c r="B188" i="3" a="1"/>
  <c r="B199" i="3" a="1"/>
  <c r="B210" i="3" a="1"/>
  <c r="B221" i="3" a="1"/>
  <c r="B232" i="3" a="1"/>
  <c r="B238" i="3" a="1"/>
  <c r="B249" i="3" a="1"/>
  <c r="B260" i="3" a="1"/>
  <c r="B271" i="3" a="1"/>
  <c r="B282" i="3" a="1"/>
  <c r="B288" i="3" a="1"/>
  <c r="B299" i="3" a="1"/>
  <c r="B310" i="3" a="1"/>
  <c r="B321" i="3" a="1"/>
  <c r="B332" i="3" a="1"/>
  <c r="B338" i="3" a="1"/>
  <c r="B349" i="3" a="1"/>
  <c r="B360" i="3" a="1"/>
  <c r="B371" i="3" a="1"/>
  <c r="B382" i="3" a="1"/>
  <c r="B388" i="3" a="1"/>
  <c r="B399" i="3" a="1"/>
  <c r="B410" i="3" a="1"/>
  <c r="B421" i="3" a="1"/>
  <c r="B55" i="3" a="1"/>
  <c r="B66" i="3" a="1"/>
  <c r="B77" i="3" a="1"/>
  <c r="B83" i="3" a="1"/>
  <c r="B94" i="3" a="1"/>
  <c r="B105" i="3" a="1"/>
  <c r="B116" i="3" a="1"/>
  <c r="B127" i="3" a="1"/>
  <c r="B133" i="3" a="1"/>
  <c r="B144" i="3" a="1"/>
  <c r="B155" i="3" a="1"/>
  <c r="B166" i="3" a="1"/>
  <c r="B177" i="3" a="1"/>
  <c r="B183" i="3" a="1"/>
  <c r="B194" i="3" a="1"/>
  <c r="B205" i="3" a="1"/>
  <c r="B216" i="3" a="1"/>
  <c r="B227" i="3" a="1"/>
  <c r="B233" i="3" a="1"/>
  <c r="B244" i="3" a="1"/>
  <c r="B255" i="3" a="1"/>
  <c r="B266" i="3" a="1"/>
  <c r="B277" i="3" a="1"/>
  <c r="B283" i="3" a="1"/>
  <c r="B294" i="3" a="1"/>
  <c r="B305" i="3" a="1"/>
  <c r="B316" i="3" a="1"/>
  <c r="B327" i="3" a="1"/>
  <c r="B333" i="3" a="1"/>
  <c r="B344" i="3" a="1"/>
  <c r="B355" i="3" a="1"/>
  <c r="B366" i="3" a="1"/>
  <c r="B377" i="3" a="1"/>
  <c r="B383" i="3" a="1"/>
  <c r="B394" i="3" a="1"/>
  <c r="B405" i="3" a="1"/>
  <c r="B416" i="3" a="1"/>
  <c r="B427" i="3" a="1"/>
  <c r="B433" i="3" a="1"/>
  <c r="B438" i="3" a="1"/>
  <c r="B443" i="3" a="1"/>
  <c r="B448" i="3" a="1"/>
  <c r="B453" i="3" a="1"/>
  <c r="B458" i="3" a="1"/>
  <c r="B463" i="3" a="1"/>
  <c r="B468" i="3" a="1"/>
  <c r="B473" i="3" a="1"/>
  <c r="B478" i="3" a="1"/>
  <c r="B483" i="3" a="1"/>
  <c r="B488" i="3" a="1"/>
  <c r="B493" i="3" a="1"/>
  <c r="B498" i="3" a="1"/>
  <c r="B503" i="3" a="1"/>
  <c r="B508" i="3" a="1"/>
  <c r="B513" i="3" a="1"/>
  <c r="B518" i="3" a="1"/>
  <c r="B523" i="3" a="1"/>
  <c r="B528" i="3" a="1"/>
  <c r="B533" i="3" a="1"/>
  <c r="B538" i="3" a="1"/>
  <c r="B543" i="3" a="1"/>
  <c r="B548" i="3" a="1"/>
  <c r="B553" i="3" a="1"/>
  <c r="B558" i="3" a="1"/>
  <c r="B563" i="3" a="1"/>
  <c r="B19" i="3" a="1"/>
  <c r="B25" i="3" a="1"/>
  <c r="B31" i="3" a="1"/>
  <c r="B38" i="3" a="1"/>
  <c r="B44" i="3" a="1"/>
  <c r="B50" i="3" a="1"/>
  <c r="B61" i="3" a="1"/>
  <c r="B72" i="3" a="1"/>
  <c r="B78" i="3" a="1"/>
  <c r="B89" i="3" a="1"/>
  <c r="B100" i="3" a="1"/>
  <c r="B111" i="3" a="1"/>
  <c r="B122" i="3" a="1"/>
  <c r="B128" i="3" a="1"/>
  <c r="B139" i="3" a="1"/>
  <c r="B150" i="3" a="1"/>
  <c r="B161" i="3" a="1"/>
  <c r="B172" i="3" a="1"/>
  <c r="B178" i="3" a="1"/>
  <c r="B189" i="3" a="1"/>
  <c r="B200" i="3" a="1"/>
  <c r="B211" i="3" a="1"/>
  <c r="B222" i="3" a="1"/>
  <c r="B228" i="3" a="1"/>
  <c r="B170" i="3" a="1"/>
  <c r="B224" i="3" a="1"/>
  <c r="B239" i="3" a="1"/>
  <c r="B252" i="3" a="1"/>
  <c r="B280" i="3" a="1"/>
  <c r="B292" i="3" a="1"/>
  <c r="B323" i="3" a="1"/>
  <c r="B341" i="3" a="1"/>
  <c r="B359" i="3" a="1"/>
  <c r="B367" i="3" a="1"/>
  <c r="B375" i="3" a="1"/>
  <c r="B391" i="3" a="1"/>
  <c r="B407" i="3" a="1"/>
  <c r="B423" i="3" a="1"/>
  <c r="B430" i="3" a="1"/>
  <c r="B449" i="3" a="1"/>
  <c r="B474" i="3" a="1"/>
  <c r="B499" i="3" a="1"/>
  <c r="B524" i="3" a="1"/>
  <c r="B549" i="3" a="1"/>
  <c r="B573" i="3" a="1"/>
  <c r="B584" i="3" a="1"/>
  <c r="B590" i="3" a="1"/>
  <c r="B601" i="3" a="1"/>
  <c r="B612" i="3" a="1"/>
  <c r="B623" i="3" a="1"/>
  <c r="B634" i="3" a="1"/>
  <c r="B640" i="3" a="1"/>
  <c r="B651" i="3" a="1"/>
  <c r="B120" i="3" a="1"/>
  <c r="B281" i="3" a="1"/>
  <c r="B324" i="3" a="1"/>
  <c r="B342" i="3" a="1"/>
  <c r="B384" i="3" a="1"/>
  <c r="B400" i="3" a="1"/>
  <c r="B408" i="3" a="1"/>
  <c r="B415" i="3" a="1"/>
  <c r="B424" i="3" a="1"/>
  <c r="B437" i="3" a="1"/>
  <c r="B450" i="3" a="1"/>
  <c r="B456" i="3" a="1"/>
  <c r="B462" i="3" a="1"/>
  <c r="B475" i="3" a="1"/>
  <c r="B481" i="3" a="1"/>
  <c r="B487" i="3" a="1"/>
  <c r="B500" i="3" a="1"/>
  <c r="B506" i="3" a="1"/>
  <c r="B512" i="3" a="1"/>
  <c r="B525" i="3" a="1"/>
  <c r="B531" i="3" a="1"/>
  <c r="B537" i="3" a="1"/>
  <c r="B550" i="3" a="1"/>
  <c r="B556" i="3" a="1"/>
  <c r="B562" i="3" a="1"/>
  <c r="B568" i="3" a="1"/>
  <c r="B207" i="3" a="1"/>
  <c r="B241" i="3" a="1"/>
  <c r="B269" i="3" a="1"/>
  <c r="B295" i="3" a="1"/>
  <c r="B306" i="3" a="1"/>
  <c r="B315" i="3" a="1"/>
  <c r="B334" i="3" a="1"/>
  <c r="B343" i="3" a="1"/>
  <c r="B352" i="3" a="1"/>
  <c r="B361" i="3" a="1"/>
  <c r="B369" i="3" a="1"/>
  <c r="B376" i="3" a="1"/>
  <c r="B385" i="3" a="1"/>
  <c r="B392" i="3" a="1"/>
  <c r="B431" i="3" a="1"/>
  <c r="B444" i="3" a="1"/>
  <c r="B469" i="3" a="1"/>
  <c r="B494" i="3" a="1"/>
  <c r="B519" i="3" a="1"/>
  <c r="B544" i="3" a="1"/>
  <c r="B574" i="3" a="1"/>
  <c r="B580" i="3" a="1"/>
  <c r="B591" i="3" a="1"/>
  <c r="B602" i="3" a="1"/>
  <c r="B613" i="3" a="1"/>
  <c r="B624" i="3" a="1"/>
  <c r="B630" i="3" a="1"/>
  <c r="B641" i="3" a="1"/>
  <c r="B652" i="3" a="1"/>
  <c r="B663" i="3" a="1"/>
  <c r="B674" i="3" a="1"/>
  <c r="B680" i="3" a="1"/>
  <c r="B691" i="3" a="1"/>
  <c r="B702" i="3" a="1"/>
  <c r="B713" i="3" a="1"/>
  <c r="B724" i="3" a="1"/>
  <c r="B730" i="3" a="1"/>
  <c r="B741" i="3" a="1"/>
  <c r="B752" i="3" a="1"/>
  <c r="B131" i="3" a="1"/>
  <c r="B181" i="3" a="1"/>
  <c r="B209" i="3" a="1"/>
  <c r="B242" i="3" a="1"/>
  <c r="B257" i="3" a="1"/>
  <c r="B270" i="3" a="1"/>
  <c r="B285" i="3" a="1"/>
  <c r="B296" i="3" a="1"/>
  <c r="B307" i="3" a="1"/>
  <c r="B335" i="3" a="1"/>
  <c r="B378" i="3" a="1"/>
  <c r="B393" i="3" a="1"/>
  <c r="B409" i="3" a="1"/>
  <c r="B417" i="3" a="1"/>
  <c r="B425" i="3" a="1"/>
  <c r="B445" i="3" a="1"/>
  <c r="B451" i="3" a="1"/>
  <c r="B457" i="3" a="1"/>
  <c r="B470" i="3" a="1"/>
  <c r="B476" i="3" a="1"/>
  <c r="B482" i="3" a="1"/>
  <c r="B495" i="3" a="1"/>
  <c r="B501" i="3" a="1"/>
  <c r="B507" i="3" a="1"/>
  <c r="B520" i="3" a="1"/>
  <c r="B526" i="3" a="1"/>
  <c r="B532" i="3" a="1"/>
  <c r="B545" i="3" a="1"/>
  <c r="B551" i="3" a="1"/>
  <c r="B557" i="3" a="1"/>
  <c r="B569" i="3" a="1"/>
  <c r="B575" i="3" a="1"/>
  <c r="B185" i="3" a="1"/>
  <c r="B213" i="3" a="1"/>
  <c r="B230" i="3" a="1"/>
  <c r="B258" i="3" a="1"/>
  <c r="B272" i="3" a="1"/>
  <c r="B308" i="3" a="1"/>
  <c r="B317" i="3" a="1"/>
  <c r="B326" i="3" a="1"/>
  <c r="B345" i="3" a="1"/>
  <c r="B354" i="3" a="1"/>
  <c r="B363" i="3" a="1"/>
  <c r="B370" i="3" a="1"/>
  <c r="B386" i="3" a="1"/>
  <c r="B402" i="3" a="1"/>
  <c r="B432" i="3" a="1"/>
  <c r="B439" i="3" a="1"/>
  <c r="B464" i="3" a="1"/>
  <c r="B489" i="3" a="1"/>
  <c r="B514" i="3" a="1"/>
  <c r="B539" i="3" a="1"/>
  <c r="B564" i="3" a="1"/>
  <c r="B570" i="3" a="1"/>
  <c r="B581" i="3" a="1"/>
  <c r="B592" i="3" a="1"/>
  <c r="B603" i="3" a="1"/>
  <c r="B614" i="3" a="1"/>
  <c r="B620" i="3" a="1"/>
  <c r="B142" i="3" a="1"/>
  <c r="B231" i="3" a="1"/>
  <c r="B246" i="3" a="1"/>
  <c r="B259" i="3" a="1"/>
  <c r="B274" i="3" a="1"/>
  <c r="B298" i="3" a="1"/>
  <c r="B309" i="3" a="1"/>
  <c r="B328" i="3" a="1"/>
  <c r="B346" i="3" a="1"/>
  <c r="B395" i="3" a="1"/>
  <c r="B403" i="3" a="1"/>
  <c r="B411" i="3" a="1"/>
  <c r="B419" i="3" a="1"/>
  <c r="B426" i="3" a="1"/>
  <c r="B440" i="3" a="1"/>
  <c r="B446" i="3" a="1"/>
  <c r="B452" i="3" a="1"/>
  <c r="B465" i="3" a="1"/>
  <c r="B471" i="3" a="1"/>
  <c r="B477" i="3" a="1"/>
  <c r="B490" i="3" a="1"/>
  <c r="B496" i="3" a="1"/>
  <c r="B502" i="3" a="1"/>
  <c r="B515" i="3" a="1"/>
  <c r="B521" i="3" a="1"/>
  <c r="B527" i="3" a="1"/>
  <c r="B148" i="3" a="1"/>
  <c r="B261" i="3" a="1"/>
  <c r="B289" i="3" a="1"/>
  <c r="B300" i="3" a="1"/>
  <c r="B319" i="3" a="1"/>
  <c r="B337" i="3" a="1"/>
  <c r="B356" i="3" a="1"/>
  <c r="B364" i="3" a="1"/>
  <c r="B372" i="3" a="1"/>
  <c r="B380" i="3" a="1"/>
  <c r="B387" i="3" a="1"/>
  <c r="B396" i="3" a="1"/>
  <c r="B434" i="3" a="1"/>
  <c r="B459" i="3" a="1"/>
  <c r="B484" i="3" a="1"/>
  <c r="B509" i="3" a="1"/>
  <c r="B192" i="3" a="1"/>
  <c r="B235" i="3" a="1"/>
  <c r="B248" i="3" a="1"/>
  <c r="B263" i="3" a="1"/>
  <c r="B311" i="3" a="1"/>
  <c r="B320" i="3" a="1"/>
  <c r="B339" i="3" a="1"/>
  <c r="B348" i="3" a="1"/>
  <c r="B357" i="3" a="1"/>
  <c r="B373" i="3" a="1"/>
  <c r="B389" i="3" a="1"/>
  <c r="B404" i="3" a="1"/>
  <c r="B413" i="3" a="1"/>
  <c r="B420" i="3" a="1"/>
  <c r="B428" i="3" a="1"/>
  <c r="B435" i="3" a="1"/>
  <c r="B441" i="3" a="1"/>
  <c r="B447" i="3" a="1"/>
  <c r="B460" i="3" a="1"/>
  <c r="B466" i="3" a="1"/>
  <c r="B472" i="3" a="1"/>
  <c r="B485" i="3" a="1"/>
  <c r="B491" i="3" a="1"/>
  <c r="B497" i="3" a="1"/>
  <c r="B510" i="3" a="1"/>
  <c r="B516" i="3" a="1"/>
  <c r="B522" i="3" a="1"/>
  <c r="B535" i="3" a="1"/>
  <c r="B541" i="3" a="1"/>
  <c r="B547" i="3" a="1"/>
  <c r="B560" i="3" a="1"/>
  <c r="B566" i="3" a="1"/>
  <c r="B577" i="3" a="1"/>
  <c r="B588" i="3" a="1"/>
  <c r="B599" i="3" a="1"/>
  <c r="B605" i="3" a="1"/>
  <c r="B616" i="3" a="1"/>
  <c r="B627" i="3" a="1"/>
  <c r="B638" i="3" a="1"/>
  <c r="B649" i="3" a="1"/>
  <c r="B655" i="3" a="1"/>
  <c r="B666" i="3" a="1"/>
  <c r="B159" i="3" a="1"/>
  <c r="B196" i="3" a="1"/>
  <c r="B219" i="3" a="1"/>
  <c r="B250" i="3" a="1"/>
  <c r="B278" i="3" a="1"/>
  <c r="B330" i="3" a="1"/>
  <c r="B358" i="3" a="1"/>
  <c r="B365" i="3" a="1"/>
  <c r="B374" i="3" a="1"/>
  <c r="B381" i="3" a="1"/>
  <c r="B397" i="3" a="1"/>
  <c r="B454" i="3" a="1"/>
  <c r="B479" i="3" a="1"/>
  <c r="B504" i="3" a="1"/>
  <c r="B529" i="3" a="1"/>
  <c r="B554" i="3" a="1"/>
  <c r="B572" i="3" a="1"/>
  <c r="B583" i="3" a="1"/>
  <c r="B594" i="3" a="1"/>
  <c r="B600" i="3" a="1"/>
  <c r="B611" i="3" a="1"/>
  <c r="B622" i="3" a="1"/>
  <c r="B633" i="3" a="1"/>
  <c r="B644" i="3" a="1"/>
  <c r="B650" i="3" a="1"/>
  <c r="B661" i="3" a="1"/>
  <c r="B672" i="3" a="1"/>
  <c r="B683" i="3" a="1"/>
  <c r="B694" i="3" a="1"/>
  <c r="B700" i="3" a="1"/>
  <c r="B711" i="3" a="1"/>
  <c r="B722" i="3" a="1"/>
  <c r="B733" i="3" a="1"/>
  <c r="B744" i="3" a="1"/>
  <c r="B750" i="3" a="1"/>
  <c r="B761" i="3" a="1"/>
  <c r="B772" i="3" a="1"/>
  <c r="B783" i="3" a="1"/>
  <c r="B794" i="3" a="1"/>
  <c r="B800" i="3" a="1"/>
  <c r="B811" i="3" a="1"/>
  <c r="B822" i="3" a="1"/>
  <c r="B833" i="3" a="1"/>
  <c r="B844" i="3" a="1"/>
  <c r="B850" i="3" a="1"/>
  <c r="B861" i="3" a="1"/>
  <c r="B198" i="3" a="1"/>
  <c r="B220" i="3" a="1"/>
  <c r="B291" i="3" a="1"/>
  <c r="B302" i="3" a="1"/>
  <c r="B313" i="3" a="1"/>
  <c r="B322" i="3" a="1"/>
  <c r="B331" i="3" a="1"/>
  <c r="B350" i="3" a="1"/>
  <c r="B398" i="3" a="1"/>
  <c r="B406" i="3" a="1"/>
  <c r="B414" i="3" a="1"/>
  <c r="B422" i="3" a="1"/>
  <c r="B436" i="3" a="1"/>
  <c r="B442" i="3" a="1"/>
  <c r="B455" i="3" a="1"/>
  <c r="B461" i="3" a="1"/>
  <c r="B467" i="3" a="1"/>
  <c r="B480" i="3" a="1"/>
  <c r="B486" i="3" a="1"/>
  <c r="B530" i="3" a="1"/>
  <c r="B552" i="3" a="1"/>
  <c r="B571" i="3" a="1"/>
  <c r="B595" i="3" a="1"/>
  <c r="B606" i="3" a="1"/>
  <c r="B617" i="3" a="1"/>
  <c r="B646" i="3" a="1"/>
  <c r="B654" i="3" a="1"/>
  <c r="B677" i="3" a="1"/>
  <c r="B684" i="3" a="1"/>
  <c r="B698" i="3" a="1"/>
  <c r="B705" i="3" a="1"/>
  <c r="B712" i="3" a="1"/>
  <c r="B719" i="3" a="1"/>
  <c r="B726" i="3" a="1"/>
  <c r="B740" i="3" a="1"/>
  <c r="B747" i="3" a="1"/>
  <c r="B760" i="3" a="1"/>
  <c r="B766" i="3" a="1"/>
  <c r="B785" i="3" a="1"/>
  <c r="B791" i="3" a="1"/>
  <c r="B797" i="3" a="1"/>
  <c r="B803" i="3" a="1"/>
  <c r="B492" i="3" a="1"/>
  <c r="B585" i="3" a="1"/>
  <c r="B596" i="3" a="1"/>
  <c r="B607" i="3" a="1"/>
  <c r="B618" i="3" a="1"/>
  <c r="B628" i="3" a="1"/>
  <c r="B637" i="3" a="1"/>
  <c r="B647" i="3" a="1"/>
  <c r="B656" i="3" a="1"/>
  <c r="B671" i="3" a="1"/>
  <c r="B678" i="3" a="1"/>
  <c r="B685" i="3" a="1"/>
  <c r="B692" i="3" a="1"/>
  <c r="B706" i="3" a="1"/>
  <c r="B720" i="3" a="1"/>
  <c r="B754" i="3" a="1"/>
  <c r="B767" i="3" a="1"/>
  <c r="B773" i="3" a="1"/>
  <c r="B779" i="3" a="1"/>
  <c r="B810" i="3" a="1"/>
  <c r="B816" i="3" a="1"/>
  <c r="B835" i="3" a="1"/>
  <c r="B841" i="3" a="1"/>
  <c r="B847" i="3" a="1"/>
  <c r="B853" i="3" a="1"/>
  <c r="B859" i="3" a="1"/>
  <c r="B877" i="3" a="1"/>
  <c r="B888" i="3" a="1"/>
  <c r="B899" i="3" a="1"/>
  <c r="B905" i="3" a="1"/>
  <c r="B916" i="3" a="1"/>
  <c r="B927" i="3" a="1"/>
  <c r="B938" i="3" a="1"/>
  <c r="B949" i="3" a="1"/>
  <c r="B955" i="3" a="1"/>
  <c r="B966" i="3" a="1"/>
  <c r="B534" i="3" a="1"/>
  <c r="B555" i="3" a="1"/>
  <c r="B586" i="3" a="1"/>
  <c r="B597" i="3" a="1"/>
  <c r="B608" i="3" a="1"/>
  <c r="B619" i="3" a="1"/>
  <c r="B629" i="3" a="1"/>
  <c r="B664" i="3" a="1"/>
  <c r="B686" i="3" a="1"/>
  <c r="B699" i="3" a="1"/>
  <c r="B727" i="3" a="1"/>
  <c r="B734" i="3" a="1"/>
  <c r="B748" i="3" a="1"/>
  <c r="B755" i="3" a="1"/>
  <c r="B780" i="3" a="1"/>
  <c r="B786" i="3" a="1"/>
  <c r="B792" i="3" a="1"/>
  <c r="B798" i="3" a="1"/>
  <c r="B804" i="3" a="1"/>
  <c r="B817" i="3" a="1"/>
  <c r="B823" i="3" a="1"/>
  <c r="B829" i="3" a="1"/>
  <c r="B860" i="3" a="1"/>
  <c r="B866" i="3" a="1"/>
  <c r="B872" i="3" a="1"/>
  <c r="B883" i="3" a="1"/>
  <c r="B894" i="3" a="1"/>
  <c r="B900" i="3" a="1"/>
  <c r="B911" i="3" a="1"/>
  <c r="B505" i="3" a="1"/>
  <c r="B536" i="3" a="1"/>
  <c r="B576" i="3" a="1"/>
  <c r="B587" i="3" a="1"/>
  <c r="B598" i="3" a="1"/>
  <c r="B609" i="3" a="1"/>
  <c r="B639" i="3" a="1"/>
  <c r="B648" i="3" a="1"/>
  <c r="B657" i="3" a="1"/>
  <c r="B665" i="3" a="1"/>
  <c r="B679" i="3" a="1"/>
  <c r="B693" i="3" a="1"/>
  <c r="B707" i="3" a="1"/>
  <c r="B714" i="3" a="1"/>
  <c r="B721" i="3" a="1"/>
  <c r="B728" i="3" a="1"/>
  <c r="B735" i="3" a="1"/>
  <c r="B742" i="3" a="1"/>
  <c r="B756" i="3" a="1"/>
  <c r="B762" i="3" a="1"/>
  <c r="B768" i="3" a="1"/>
  <c r="B774" i="3" a="1"/>
  <c r="B805" i="3" a="1"/>
  <c r="B830" i="3" a="1"/>
  <c r="B836" i="3" a="1"/>
  <c r="B842" i="3" a="1"/>
  <c r="B511" i="3" a="1"/>
  <c r="B540" i="3" a="1"/>
  <c r="B559" i="3" a="1"/>
  <c r="B610" i="3" a="1"/>
  <c r="B621" i="3" a="1"/>
  <c r="B631" i="3" a="1"/>
  <c r="B658" i="3" a="1"/>
  <c r="B673" i="3" a="1"/>
  <c r="B687" i="3" a="1"/>
  <c r="B701" i="3" a="1"/>
  <c r="B708" i="3" a="1"/>
  <c r="B715" i="3" a="1"/>
  <c r="B736" i="3" a="1"/>
  <c r="B749" i="3" a="1"/>
  <c r="B775" i="3" a="1"/>
  <c r="B781" i="3" a="1"/>
  <c r="B787" i="3" a="1"/>
  <c r="B793" i="3" a="1"/>
  <c r="B799" i="3" a="1"/>
  <c r="B806" i="3" a="1"/>
  <c r="B812" i="3" a="1"/>
  <c r="B818" i="3" a="1"/>
  <c r="B824" i="3" a="1"/>
  <c r="B855" i="3" a="1"/>
  <c r="B873" i="3" a="1"/>
  <c r="B561" i="3" a="1"/>
  <c r="B578" i="3" a="1"/>
  <c r="B589" i="3" a="1"/>
  <c r="B667" i="3" a="1"/>
  <c r="B681" i="3" a="1"/>
  <c r="B695" i="3" a="1"/>
  <c r="B729" i="3" a="1"/>
  <c r="B743" i="3" a="1"/>
  <c r="B757" i="3" a="1"/>
  <c r="B763" i="3" a="1"/>
  <c r="B769" i="3" a="1"/>
  <c r="B825" i="3" a="1"/>
  <c r="B831" i="3" a="1"/>
  <c r="B837" i="3" a="1"/>
  <c r="B843" i="3" a="1"/>
  <c r="B849" i="3" a="1"/>
  <c r="B856" i="3" a="1"/>
  <c r="B862" i="3" a="1"/>
  <c r="B868" i="3" a="1"/>
  <c r="B879" i="3" a="1"/>
  <c r="B885" i="3" a="1"/>
  <c r="B896" i="3" a="1"/>
  <c r="B907" i="3" a="1"/>
  <c r="B918" i="3" a="1"/>
  <c r="B929" i="3" a="1"/>
  <c r="B935" i="3" a="1"/>
  <c r="B946" i="3" a="1"/>
  <c r="B957" i="3" a="1"/>
  <c r="B968" i="3" a="1"/>
  <c r="B979" i="3" a="1"/>
  <c r="B517" i="3" a="1"/>
  <c r="B542" i="3" a="1"/>
  <c r="B565" i="3" a="1"/>
  <c r="B579" i="3" a="1"/>
  <c r="B632" i="3" a="1"/>
  <c r="B642" i="3" a="1"/>
  <c r="B659" i="3" a="1"/>
  <c r="B675" i="3" a="1"/>
  <c r="B688" i="3" a="1"/>
  <c r="B709" i="3" a="1"/>
  <c r="B716" i="3" a="1"/>
  <c r="B723" i="3" a="1"/>
  <c r="B737" i="3" a="1"/>
  <c r="B751" i="3" a="1"/>
  <c r="B770" i="3" a="1"/>
  <c r="B776" i="3" a="1"/>
  <c r="B782" i="3" a="1"/>
  <c r="B788" i="3" a="1"/>
  <c r="B795" i="3" a="1"/>
  <c r="B801" i="3" a="1"/>
  <c r="B807" i="3" a="1"/>
  <c r="B813" i="3" a="1"/>
  <c r="B819" i="3" a="1"/>
  <c r="B874" i="3" a="1"/>
  <c r="B880" i="3" a="1"/>
  <c r="B891" i="3" a="1"/>
  <c r="B902" i="3" a="1"/>
  <c r="B913" i="3" a="1"/>
  <c r="B924" i="3" a="1"/>
  <c r="B546" i="3" a="1"/>
  <c r="B625" i="3" a="1"/>
  <c r="B660" i="3" a="1"/>
  <c r="B668" i="3" a="1"/>
  <c r="B682" i="3" a="1"/>
  <c r="B689" i="3" a="1"/>
  <c r="B696" i="3" a="1"/>
  <c r="B703" i="3" a="1"/>
  <c r="B710" i="3" a="1"/>
  <c r="B717" i="3" a="1"/>
  <c r="B731" i="3" a="1"/>
  <c r="B745" i="3" a="1"/>
  <c r="B758" i="3" a="1"/>
  <c r="B764" i="3" a="1"/>
  <c r="B789" i="3" a="1"/>
  <c r="B820" i="3" a="1"/>
  <c r="B826" i="3" a="1"/>
  <c r="B832" i="3" a="1"/>
  <c r="B838" i="3" a="1"/>
  <c r="B567" i="3" a="1"/>
  <c r="B615" i="3" a="1"/>
  <c r="B635" i="3" a="1"/>
  <c r="B643" i="3" a="1"/>
  <c r="B653" i="3" a="1"/>
  <c r="B669" i="3" a="1"/>
  <c r="B676" i="3" a="1"/>
  <c r="B690" i="3" a="1"/>
  <c r="B697" i="3" a="1"/>
  <c r="B725" i="3" a="1"/>
  <c r="B738" i="3" a="1"/>
  <c r="B765" i="3" a="1"/>
  <c r="B771" i="3" a="1"/>
  <c r="B777" i="3" a="1"/>
  <c r="B790" i="3" a="1"/>
  <c r="B796" i="3" a="1"/>
  <c r="B802" i="3" a="1"/>
  <c r="B808" i="3" a="1"/>
  <c r="B814" i="3" a="1"/>
  <c r="B839" i="3" a="1"/>
  <c r="B870" i="3" a="1"/>
  <c r="B881" i="3" a="1"/>
  <c r="B892" i="3" a="1"/>
  <c r="B903" i="3" a="1"/>
  <c r="B914" i="3" a="1"/>
  <c r="B920" i="3" a="1"/>
  <c r="B931" i="3" a="1"/>
  <c r="B942" i="3" a="1"/>
  <c r="B953" i="3" a="1"/>
  <c r="B964" i="3" a="1"/>
  <c r="B970" i="3" a="1"/>
  <c r="B582" i="3" a="1"/>
  <c r="B593" i="3" a="1"/>
  <c r="B604" i="3" a="1"/>
  <c r="B626" i="3" a="1"/>
  <c r="B636" i="3" a="1"/>
  <c r="B645" i="3" a="1"/>
  <c r="B662" i="3" a="1"/>
  <c r="B670" i="3" a="1"/>
  <c r="B704" i="3" a="1"/>
  <c r="B718" i="3" a="1"/>
  <c r="B732" i="3" a="1"/>
  <c r="B739" i="3" a="1"/>
  <c r="B746" i="3" a="1"/>
  <c r="B753" i="3" a="1"/>
  <c r="B759" i="3" a="1"/>
  <c r="B778" i="3" a="1"/>
  <c r="B784" i="3" a="1"/>
  <c r="B815" i="3" a="1"/>
  <c r="B821" i="3" a="1"/>
  <c r="B827" i="3" a="1"/>
  <c r="B840" i="3" a="1"/>
  <c r="B846" i="3" a="1"/>
  <c r="B852" i="3" a="1"/>
  <c r="B858" i="3" a="1"/>
  <c r="B864" i="3" a="1"/>
  <c r="B876" i="3" a="1"/>
  <c r="B887" i="3" a="1"/>
  <c r="B898" i="3" a="1"/>
  <c r="B909" i="3" a="1"/>
  <c r="B809" i="3" a="1"/>
  <c r="B901" i="3" a="1"/>
  <c r="B915" i="3" a="1"/>
  <c r="B923" i="3" a="1"/>
  <c r="B932" i="3" a="1"/>
  <c r="B940" i="3" a="1"/>
  <c r="B948" i="3" a="1"/>
  <c r="B956" i="3" a="1"/>
  <c r="B989" i="3" a="1"/>
  <c r="B995" i="3" a="1"/>
  <c r="B1006" i="3" a="1"/>
  <c r="B1017" i="3" a="1"/>
  <c r="B1028" i="3" a="1"/>
  <c r="B1039" i="3" a="1"/>
  <c r="B1045" i="3" a="1"/>
  <c r="B1056" i="3" a="1"/>
  <c r="B1067" i="3" a="1"/>
  <c r="B1078" i="3" a="1"/>
  <c r="B1089" i="3" a="1"/>
  <c r="B1095" i="3" a="1"/>
  <c r="B1106" i="3" a="1"/>
  <c r="B1128" i="3" a="1"/>
  <c r="B1139" i="3" a="1"/>
  <c r="B1174" i="3" a="1"/>
  <c r="B1179" i="3" a="1"/>
  <c r="B854" i="3" a="1"/>
  <c r="B875" i="3" a="1"/>
  <c r="B889" i="3" a="1"/>
  <c r="B925" i="3" a="1"/>
  <c r="B933" i="3" a="1"/>
  <c r="B941" i="3" a="1"/>
  <c r="B965" i="3" a="1"/>
  <c r="B972" i="3" a="1"/>
  <c r="B978" i="3" a="1"/>
  <c r="B984" i="3" a="1"/>
  <c r="B990" i="3" a="1"/>
  <c r="B1001" i="3" a="1"/>
  <c r="B1012" i="3" a="1"/>
  <c r="B1023" i="3" a="1"/>
  <c r="B1034" i="3" a="1"/>
  <c r="B1040" i="3" a="1"/>
  <c r="B1051" i="3" a="1"/>
  <c r="B1062" i="3" a="1"/>
  <c r="B1073" i="3" a="1"/>
  <c r="B1084" i="3" a="1"/>
  <c r="B1090" i="3" a="1"/>
  <c r="B1101" i="3" a="1"/>
  <c r="B1112" i="3" a="1"/>
  <c r="B857" i="3" a="1"/>
  <c r="B890" i="3" a="1"/>
  <c r="B904" i="3" a="1"/>
  <c r="B926" i="3" a="1"/>
  <c r="B950" i="3" a="1"/>
  <c r="B985" i="3" a="1"/>
  <c r="B996" i="3" a="1"/>
  <c r="B1007" i="3" a="1"/>
  <c r="B1018" i="3" a="1"/>
  <c r="B1029" i="3" a="1"/>
  <c r="B1035" i="3" a="1"/>
  <c r="B1046" i="3" a="1"/>
  <c r="B1057" i="3" a="1"/>
  <c r="B1068" i="3" a="1"/>
  <c r="B1079" i="3" a="1"/>
  <c r="B1085" i="3" a="1"/>
  <c r="B1096" i="3" a="1"/>
  <c r="B1107" i="3" a="1"/>
  <c r="B1118" i="3" a="1"/>
  <c r="B1129" i="3" a="1"/>
  <c r="B1135" i="3" a="1"/>
  <c r="B1140" i="3" a="1"/>
  <c r="B1145" i="3" a="1"/>
  <c r="B1150" i="3" a="1"/>
  <c r="B1155" i="3" a="1"/>
  <c r="B1160" i="3" a="1"/>
  <c r="B1165" i="3" a="1"/>
  <c r="B1170" i="3" a="1"/>
  <c r="B1175" i="3" a="1"/>
  <c r="B1180" i="3" a="1"/>
  <c r="B1185" i="3" a="1"/>
  <c r="B1190" i="3" a="1"/>
  <c r="B1195" i="3" a="1"/>
  <c r="B1200" i="3" a="1"/>
  <c r="B1205" i="3" a="1"/>
  <c r="B1210" i="3" a="1"/>
  <c r="B1215" i="3" a="1"/>
  <c r="B1220" i="3" a="1"/>
  <c r="B1225" i="3" a="1"/>
  <c r="B1230" i="3" a="1"/>
  <c r="B1235" i="3" a="1"/>
  <c r="B1240" i="3" a="1"/>
  <c r="B1245" i="3" a="1"/>
  <c r="B1250" i="3" a="1"/>
  <c r="B828" i="3" a="1"/>
  <c r="B878" i="3" a="1"/>
  <c r="B906" i="3" a="1"/>
  <c r="B917" i="3" a="1"/>
  <c r="B934" i="3" a="1"/>
  <c r="B958" i="3" a="1"/>
  <c r="B973" i="3" a="1"/>
  <c r="B980" i="3" a="1"/>
  <c r="B991" i="3" a="1"/>
  <c r="B1002" i="3" a="1"/>
  <c r="B1013" i="3" a="1"/>
  <c r="B1024" i="3" a="1"/>
  <c r="B1030" i="3" a="1"/>
  <c r="B1041" i="3" a="1"/>
  <c r="B1052" i="3" a="1"/>
  <c r="B1063" i="3" a="1"/>
  <c r="B1074" i="3" a="1"/>
  <c r="B1080" i="3" a="1"/>
  <c r="B1091" i="3" a="1"/>
  <c r="B1102" i="3" a="1"/>
  <c r="B1113" i="3" a="1"/>
  <c r="B834" i="3" a="1"/>
  <c r="B893" i="3" a="1"/>
  <c r="B943" i="3" a="1"/>
  <c r="B951" i="3" a="1"/>
  <c r="B959" i="3" a="1"/>
  <c r="B967" i="3" a="1"/>
  <c r="B974" i="3" a="1"/>
  <c r="B986" i="3" a="1"/>
  <c r="B997" i="3" a="1"/>
  <c r="B1008" i="3" a="1"/>
  <c r="B1019" i="3" a="1"/>
  <c r="B1025" i="3" a="1"/>
  <c r="B1036" i="3" a="1"/>
  <c r="B1047" i="3" a="1"/>
  <c r="B1058" i="3" a="1"/>
  <c r="B1069" i="3" a="1"/>
  <c r="B1075" i="3" a="1"/>
  <c r="B1086" i="3" a="1"/>
  <c r="B1097" i="3" a="1"/>
  <c r="B1108" i="3" a="1"/>
  <c r="B1119" i="3" a="1"/>
  <c r="B1125" i="3" a="1"/>
  <c r="B1136" i="3" a="1"/>
  <c r="B1141" i="3" a="1"/>
  <c r="B1146" i="3" a="1"/>
  <c r="B863" i="3" a="1"/>
  <c r="B895" i="3" a="1"/>
  <c r="B908" i="3" a="1"/>
  <c r="B919" i="3" a="1"/>
  <c r="B928" i="3" a="1"/>
  <c r="B936" i="3" a="1"/>
  <c r="B944" i="3" a="1"/>
  <c r="B952" i="3" a="1"/>
  <c r="B960" i="3" a="1"/>
  <c r="B975" i="3" a="1"/>
  <c r="B981" i="3" a="1"/>
  <c r="B992" i="3" a="1"/>
  <c r="B1003" i="3" a="1"/>
  <c r="B1014" i="3" a="1"/>
  <c r="B1020" i="3" a="1"/>
  <c r="B1031" i="3" a="1"/>
  <c r="B1042" i="3" a="1"/>
  <c r="B1053" i="3" a="1"/>
  <c r="B1064" i="3" a="1"/>
  <c r="B845" i="3" a="1"/>
  <c r="B865" i="3" a="1"/>
  <c r="B882" i="3" a="1"/>
  <c r="B910" i="3" a="1"/>
  <c r="B937" i="3" a="1"/>
  <c r="B945" i="3" a="1"/>
  <c r="B961" i="3" a="1"/>
  <c r="B987" i="3" a="1"/>
  <c r="B998" i="3" a="1"/>
  <c r="B1009" i="3" a="1"/>
  <c r="B1015" i="3" a="1"/>
  <c r="B1026" i="3" a="1"/>
  <c r="B1037" i="3" a="1"/>
  <c r="B1048" i="3" a="1"/>
  <c r="B1059" i="3" a="1"/>
  <c r="B1065" i="3" a="1"/>
  <c r="B1076" i="3" a="1"/>
  <c r="B1087" i="3" a="1"/>
  <c r="B1098" i="3" a="1"/>
  <c r="B867" i="3" a="1"/>
  <c r="B897" i="3" a="1"/>
  <c r="B921" i="3" a="1"/>
  <c r="B930" i="3" a="1"/>
  <c r="B969" i="3" a="1"/>
  <c r="B976" i="3" a="1"/>
  <c r="B982" i="3" a="1"/>
  <c r="B993" i="3" a="1"/>
  <c r="B1004" i="3" a="1"/>
  <c r="B1010" i="3" a="1"/>
  <c r="B1021" i="3" a="1"/>
  <c r="B848" i="3" a="1"/>
  <c r="B869" i="3" a="1"/>
  <c r="B884" i="3" a="1"/>
  <c r="B912" i="3" a="1"/>
  <c r="B922" i="3" a="1"/>
  <c r="B954" i="3" a="1"/>
  <c r="B962" i="3" a="1"/>
  <c r="B988" i="3" a="1"/>
  <c r="B999" i="3" a="1"/>
  <c r="B1005" i="3" a="1"/>
  <c r="B1016" i="3" a="1"/>
  <c r="B1027" i="3" a="1"/>
  <c r="B1038" i="3" a="1"/>
  <c r="B1049" i="3" a="1"/>
  <c r="B1055" i="3" a="1"/>
  <c r="B1066" i="3" a="1"/>
  <c r="B1077" i="3" a="1"/>
  <c r="B1088" i="3" a="1"/>
  <c r="B1099" i="3" a="1"/>
  <c r="B1105" i="3" a="1"/>
  <c r="B1116" i="3" a="1"/>
  <c r="B1127" i="3" a="1"/>
  <c r="B1138" i="3" a="1"/>
  <c r="B1143" i="3" a="1"/>
  <c r="B1148" i="3" a="1"/>
  <c r="B1153" i="3" a="1"/>
  <c r="B1158" i="3" a="1"/>
  <c r="B1163" i="3" a="1"/>
  <c r="B1168" i="3" a="1"/>
  <c r="B1173" i="3" a="1"/>
  <c r="B1178" i="3" a="1"/>
  <c r="B1183" i="3" a="1"/>
  <c r="B851" i="3" a="1"/>
  <c r="B871" i="3" a="1"/>
  <c r="B886" i="3" a="1"/>
  <c r="B939" i="3" a="1"/>
  <c r="B947" i="3" a="1"/>
  <c r="B963" i="3" a="1"/>
  <c r="B971" i="3" a="1"/>
  <c r="B977" i="3" a="1"/>
  <c r="B983" i="3" a="1"/>
  <c r="B994" i="3" a="1"/>
  <c r="B1000" i="3" a="1"/>
  <c r="B1011" i="3" a="1"/>
  <c r="B1022" i="3" a="1"/>
  <c r="B1033" i="3" a="1"/>
  <c r="B1044" i="3" a="1"/>
  <c r="B1050" i="3" a="1"/>
  <c r="B1061" i="3" a="1"/>
  <c r="B1072" i="3" a="1"/>
  <c r="B1083" i="3" a="1"/>
  <c r="B1094" i="3" a="1"/>
  <c r="B1100" i="3" a="1"/>
  <c r="B1111" i="3" a="1"/>
  <c r="B1122" i="3" a="1"/>
  <c r="B1133" i="3" a="1"/>
  <c r="B1117" i="3" a="1"/>
  <c r="B1144" i="3" a="1"/>
  <c r="B1149" i="3" a="1"/>
  <c r="B1154" i="3" a="1"/>
  <c r="B1159" i="3" a="1"/>
  <c r="B1164" i="3" a="1"/>
  <c r="B1169" i="3" a="1"/>
  <c r="B1103" i="3" a="1"/>
  <c r="B1130" i="3" a="1"/>
  <c r="B1196" i="3" a="1"/>
  <c r="B1202" i="3" a="1"/>
  <c r="B1208" i="3" a="1"/>
  <c r="B1221" i="3" a="1"/>
  <c r="B1227" i="3" a="1"/>
  <c r="B1233" i="3" a="1"/>
  <c r="B1246" i="3" a="1"/>
  <c r="B1252" i="3" a="1"/>
  <c r="B1263" i="3" a="1"/>
  <c r="B1269" i="3" a="1"/>
  <c r="B1280" i="3" a="1"/>
  <c r="B1291" i="3" a="1"/>
  <c r="B1302" i="3" a="1"/>
  <c r="B1313" i="3" a="1"/>
  <c r="B1319" i="3" a="1"/>
  <c r="B1330" i="3" a="1"/>
  <c r="B1341" i="3" a="1"/>
  <c r="B1352" i="3" a="1"/>
  <c r="B1363" i="3" a="1"/>
  <c r="B1184" i="3" a="1"/>
  <c r="B1209" i="3" a="1"/>
  <c r="B1234" i="3" a="1"/>
  <c r="B1258" i="3" a="1"/>
  <c r="B1286" i="3" a="1"/>
  <c r="B1297" i="3" a="1"/>
  <c r="B1349" i="3" a="1"/>
  <c r="B1339" i="3" a="1"/>
  <c r="B1350" i="3" a="1"/>
  <c r="B1032" i="3" a="1"/>
  <c r="B1120" i="3" a="1"/>
  <c r="B1131" i="3" a="1"/>
  <c r="B1151" i="3" a="1"/>
  <c r="B1167" i="3" a="1"/>
  <c r="B1176" i="3" a="1"/>
  <c r="B1264" i="3" a="1"/>
  <c r="B1275" i="3" a="1"/>
  <c r="B1308" i="3" a="1"/>
  <c r="B1314" i="3" a="1"/>
  <c r="B1325" i="3" a="1"/>
  <c r="B1081" i="3" a="1"/>
  <c r="B1104" i="3" a="1"/>
  <c r="B1142" i="3" a="1"/>
  <c r="B1191" i="3" a="1"/>
  <c r="B1197" i="3" a="1"/>
  <c r="B1203" i="3" a="1"/>
  <c r="B1216" i="3" a="1"/>
  <c r="B1222" i="3" a="1"/>
  <c r="B1228" i="3" a="1"/>
  <c r="B1241" i="3" a="1"/>
  <c r="B1247" i="3" a="1"/>
  <c r="B1253" i="3" a="1"/>
  <c r="B1259" i="3" a="1"/>
  <c r="B1270" i="3" a="1"/>
  <c r="B1281" i="3" a="1"/>
  <c r="B1292" i="3" a="1"/>
  <c r="B1303" i="3" a="1"/>
  <c r="B1309" i="3" a="1"/>
  <c r="B1320" i="3" a="1"/>
  <c r="B1331" i="3" a="1"/>
  <c r="B1342" i="3" a="1"/>
  <c r="B1353" i="3" a="1"/>
  <c r="B1359" i="3" a="1"/>
  <c r="B1348" i="3" a="1"/>
  <c r="B1043" i="3" a="1"/>
  <c r="B1082" i="3" a="1"/>
  <c r="B1121" i="3" a="1"/>
  <c r="B1132" i="3" a="1"/>
  <c r="B1152" i="3" a="1"/>
  <c r="B1161" i="3" a="1"/>
  <c r="B1177" i="3" a="1"/>
  <c r="B1204" i="3" a="1"/>
  <c r="B1229" i="3" a="1"/>
  <c r="B1254" i="3" a="1"/>
  <c r="B1265" i="3" a="1"/>
  <c r="B1276" i="3" a="1"/>
  <c r="B1287" i="3" a="1"/>
  <c r="B1298" i="3" a="1"/>
  <c r="B1304" i="3" a="1"/>
  <c r="B1315" i="3" a="1"/>
  <c r="B1326" i="3" a="1"/>
  <c r="B1337" i="3" a="1"/>
  <c r="B1109" i="3" a="1"/>
  <c r="B1123" i="3" a="1"/>
  <c r="B1134" i="3" a="1"/>
  <c r="B1186" i="3" a="1"/>
  <c r="B1192" i="3" a="1"/>
  <c r="B1198" i="3" a="1"/>
  <c r="B1211" i="3" a="1"/>
  <c r="B1217" i="3" a="1"/>
  <c r="B1223" i="3" a="1"/>
  <c r="B1236" i="3" a="1"/>
  <c r="B1242" i="3" a="1"/>
  <c r="B1248" i="3" a="1"/>
  <c r="B1260" i="3" a="1"/>
  <c r="B1271" i="3" a="1"/>
  <c r="B1282" i="3" a="1"/>
  <c r="B1293" i="3" a="1"/>
  <c r="B1299" i="3" a="1"/>
  <c r="B1310" i="3" a="1"/>
  <c r="B1321" i="3" a="1"/>
  <c r="B1332" i="3" a="1"/>
  <c r="B1343" i="3" a="1"/>
  <c r="B1338" i="3" a="1"/>
  <c r="B1344" i="3" a="1"/>
  <c r="B1355" i="3" a="1"/>
  <c r="B1054" i="3" a="1"/>
  <c r="B1110" i="3" a="1"/>
  <c r="B1124" i="3" a="1"/>
  <c r="B1162" i="3" a="1"/>
  <c r="B1171" i="3" a="1"/>
  <c r="B1199" i="3" a="1"/>
  <c r="B1224" i="3" a="1"/>
  <c r="B1249" i="3" a="1"/>
  <c r="B1255" i="3" a="1"/>
  <c r="B1266" i="3" a="1"/>
  <c r="B1277" i="3" a="1"/>
  <c r="B1288" i="3" a="1"/>
  <c r="B1294" i="3" a="1"/>
  <c r="B1305" i="3" a="1"/>
  <c r="B1316" i="3" a="1"/>
  <c r="B1327" i="3" a="1"/>
  <c r="B1361" i="3" a="1"/>
  <c r="B1060" i="3" a="1"/>
  <c r="B1092" i="3" a="1"/>
  <c r="B1114" i="3" a="1"/>
  <c r="B1187" i="3" a="1"/>
  <c r="B1193" i="3" a="1"/>
  <c r="B1206" i="3" a="1"/>
  <c r="B1212" i="3" a="1"/>
  <c r="B1218" i="3" a="1"/>
  <c r="B1231" i="3" a="1"/>
  <c r="B1237" i="3" a="1"/>
  <c r="B1243" i="3" a="1"/>
  <c r="B1261" i="3" a="1"/>
  <c r="B1272" i="3" a="1"/>
  <c r="B1283" i="3" a="1"/>
  <c r="B1289" i="3" a="1"/>
  <c r="B1300" i="3" a="1"/>
  <c r="B1311" i="3" a="1"/>
  <c r="B1322" i="3" a="1"/>
  <c r="B1333" i="3" a="1"/>
  <c r="B1093" i="3" a="1"/>
  <c r="B1115" i="3" a="1"/>
  <c r="B1126" i="3" a="1"/>
  <c r="B1137" i="3" a="1"/>
  <c r="B1147" i="3" a="1"/>
  <c r="B1156" i="3" a="1"/>
  <c r="B1172" i="3" a="1"/>
  <c r="B1181" i="3" a="1"/>
  <c r="B1194" i="3" a="1"/>
  <c r="B1219" i="3" a="1"/>
  <c r="B1244" i="3" a="1"/>
  <c r="B1256" i="3" a="1"/>
  <c r="B1267" i="3" a="1"/>
  <c r="B1278" i="3" a="1"/>
  <c r="B1284" i="3" a="1"/>
  <c r="B1295" i="3" a="1"/>
  <c r="B1306" i="3" a="1"/>
  <c r="B1317" i="3" a="1"/>
  <c r="B1328" i="3" a="1"/>
  <c r="B1334" i="3" a="1"/>
  <c r="B1345" i="3" a="1"/>
  <c r="B1356" i="3" a="1"/>
  <c r="B1362" i="3" a="1"/>
  <c r="B1335" i="3" a="1"/>
  <c r="B1346" i="3" a="1"/>
  <c r="B1357" i="3" a="1"/>
  <c r="B1336" i="3" a="1"/>
  <c r="B1347" i="3" a="1"/>
  <c r="B1364" i="3" a="1"/>
  <c r="B1354" i="3" a="1"/>
  <c r="B1070" i="3" a="1"/>
  <c r="B1188" i="3" a="1"/>
  <c r="B1201" i="3" a="1"/>
  <c r="B1207" i="3" a="1"/>
  <c r="B1213" i="3" a="1"/>
  <c r="B1226" i="3" a="1"/>
  <c r="B1232" i="3" a="1"/>
  <c r="B1238" i="3" a="1"/>
  <c r="B1251" i="3" a="1"/>
  <c r="B1262" i="3" a="1"/>
  <c r="B1273" i="3" a="1"/>
  <c r="B1279" i="3" a="1"/>
  <c r="B1290" i="3" a="1"/>
  <c r="B1301" i="3" a="1"/>
  <c r="B1312" i="3" a="1"/>
  <c r="B1323" i="3" a="1"/>
  <c r="B1329" i="3" a="1"/>
  <c r="B1340" i="3" a="1"/>
  <c r="B1351" i="3" a="1"/>
  <c r="B1358" i="3" a="1"/>
  <c r="B1071" i="3" a="1"/>
  <c r="B1157" i="3" a="1"/>
  <c r="B1166" i="3" a="1"/>
  <c r="B1182" i="3" a="1"/>
  <c r="B1189" i="3" a="1"/>
  <c r="B1214" i="3" a="1"/>
  <c r="B1239" i="3" a="1"/>
  <c r="B1257" i="3" a="1"/>
  <c r="B1268" i="3" a="1"/>
  <c r="B1274" i="3" a="1"/>
  <c r="B1285" i="3" a="1"/>
  <c r="B1296" i="3" a="1"/>
  <c r="B1307" i="3" a="1"/>
  <c r="B1318" i="3" a="1"/>
  <c r="B1324" i="3" a="1"/>
  <c r="B1360" i="3" a="1"/>
  <c r="B11" i="3" a="1"/>
  <c r="A1" i="3"/>
  <c r="L1365" i="2" a="1"/>
  <c r="L11" i="2" a="1"/>
  <c r="A1" i="2"/>
  <c r="C8" i="1"/>
  <c r="B6" i="1"/>
  <c r="D11" i="1"/>
  <c r="C3" i="1"/>
  <c r="C7" i="1"/>
  <c r="B8" i="1"/>
  <c r="B3" i="1"/>
  <c r="B11" i="1" a="1"/>
  <c r="C6" i="1"/>
  <c r="C5" i="1"/>
  <c r="B4" i="1"/>
  <c r="C11" i="1" a="1"/>
  <c r="B7" i="1"/>
  <c r="B5" i="1"/>
  <c r="C4" i="1"/>
  <c r="D2" i="4" l="1"/>
  <c r="C1434" i="5"/>
  <c r="C1420" i="5"/>
  <c r="C1409" i="5"/>
  <c r="C1395" i="5"/>
  <c r="C1384" i="5"/>
  <c r="C1304" i="5"/>
  <c r="C1276" i="5"/>
  <c r="C1143" i="5"/>
  <c r="C1248" i="5"/>
  <c r="C1193" i="5"/>
  <c r="C1137" i="5"/>
  <c r="C1354" i="5"/>
  <c r="C1359" i="5"/>
  <c r="C1331" i="5"/>
  <c r="C1430" i="5"/>
  <c r="C1419" i="5"/>
  <c r="C1405" i="5"/>
  <c r="C1394" i="5"/>
  <c r="C1243" i="5"/>
  <c r="C1435" i="5"/>
  <c r="C1424" i="5"/>
  <c r="C1429" i="5"/>
  <c r="C1326" i="5"/>
  <c r="C1292" i="5"/>
  <c r="C1226" i="5"/>
  <c r="C1115" i="5"/>
  <c r="C1187" i="5"/>
  <c r="C1379" i="5"/>
  <c r="C1298" i="5"/>
  <c r="C1270" i="5"/>
  <c r="C1237" i="5"/>
  <c r="C1126" i="5"/>
  <c r="C1440" i="5"/>
  <c r="C1415" i="5"/>
  <c r="C1404" i="5"/>
  <c r="C1390" i="5"/>
  <c r="C1293" i="5"/>
  <c r="C1265" i="5"/>
  <c r="C1176" i="5"/>
  <c r="C1374" i="5"/>
  <c r="C1348" i="5"/>
  <c r="C1320" i="5"/>
  <c r="C1439" i="5"/>
  <c r="C1425" i="5"/>
  <c r="C1414" i="5"/>
  <c r="C1400" i="5"/>
  <c r="C1389" i="5"/>
  <c r="C1343" i="5"/>
  <c r="C1315" i="5"/>
  <c r="C1287" i="5"/>
  <c r="C1165" i="5"/>
  <c r="C1369" i="5"/>
  <c r="C1342" i="5"/>
  <c r="C1259" i="5"/>
  <c r="C1215" i="5"/>
  <c r="C1104" i="5"/>
  <c r="C1410" i="5"/>
  <c r="C1399" i="5"/>
  <c r="C1385" i="5"/>
  <c r="C1337" i="5"/>
  <c r="C1254" i="5"/>
  <c r="C1154" i="5"/>
  <c r="C1364" i="5"/>
  <c r="C1309" i="5"/>
  <c r="C1281" i="5"/>
  <c r="C1204" i="5"/>
  <c r="C1380" i="5"/>
  <c r="C1375" i="5"/>
  <c r="C1370" i="5"/>
  <c r="C1365" i="5"/>
  <c r="C1360" i="5"/>
  <c r="C1349" i="5"/>
  <c r="C1338" i="5"/>
  <c r="C1332" i="5"/>
  <c r="C1321" i="5"/>
  <c r="C1310" i="5"/>
  <c r="C1299" i="5"/>
  <c r="C1288" i="5"/>
  <c r="C1282" i="5"/>
  <c r="C1271" i="5"/>
  <c r="C1260" i="5"/>
  <c r="C1249" i="5"/>
  <c r="C1238" i="5"/>
  <c r="C1232" i="5"/>
  <c r="C1221" i="5"/>
  <c r="C1210" i="5"/>
  <c r="C1199" i="5"/>
  <c r="C1188" i="5"/>
  <c r="C1182" i="5"/>
  <c r="C1171" i="5"/>
  <c r="C1160" i="5"/>
  <c r="C1149" i="5"/>
  <c r="C1138" i="5"/>
  <c r="C1132" i="5"/>
  <c r="C1121" i="5"/>
  <c r="C1110" i="5"/>
  <c r="C1099" i="5"/>
  <c r="C1093" i="5"/>
  <c r="C1079" i="5"/>
  <c r="C1014" i="5"/>
  <c r="C989" i="5"/>
  <c r="C966" i="5"/>
  <c r="C940" i="5"/>
  <c r="C1085" i="5"/>
  <c r="C1070" i="5"/>
  <c r="C1063" i="5"/>
  <c r="C1053" i="5"/>
  <c r="C1043" i="5"/>
  <c r="C1035" i="5"/>
  <c r="C1013" i="5"/>
  <c r="C988" i="5"/>
  <c r="C965" i="5"/>
  <c r="C935" i="5"/>
  <c r="C887" i="5"/>
  <c r="C1242" i="5"/>
  <c r="C1231" i="5"/>
  <c r="C1220" i="5"/>
  <c r="C1209" i="5"/>
  <c r="C1198" i="5"/>
  <c r="C1192" i="5"/>
  <c r="C1181" i="5"/>
  <c r="C1170" i="5"/>
  <c r="C1159" i="5"/>
  <c r="C1148" i="5"/>
  <c r="C1142" i="5"/>
  <c r="C1131" i="5"/>
  <c r="C1120" i="5"/>
  <c r="C1109" i="5"/>
  <c r="C1098" i="5"/>
  <c r="C1091" i="5"/>
  <c r="C1062" i="5"/>
  <c r="C1052" i="5"/>
  <c r="C1042" i="5"/>
  <c r="C1024" i="5"/>
  <c r="C1012" i="5"/>
  <c r="C1264" i="5"/>
  <c r="C1214" i="5"/>
  <c r="C1203" i="5"/>
  <c r="C1197" i="5"/>
  <c r="C1186" i="5"/>
  <c r="C1175" i="5"/>
  <c r="C1164" i="5"/>
  <c r="C1153" i="5"/>
  <c r="C1147" i="5"/>
  <c r="C1136" i="5"/>
  <c r="C1125" i="5"/>
  <c r="C1114" i="5"/>
  <c r="C1103" i="5"/>
  <c r="C1084" i="5"/>
  <c r="C1076" i="5"/>
  <c r="C1069" i="5"/>
  <c r="C999" i="5"/>
  <c r="C983" i="5"/>
  <c r="C958" i="5"/>
  <c r="C868" i="5"/>
  <c r="C1353" i="5"/>
  <c r="C1325" i="5"/>
  <c r="C1314" i="5"/>
  <c r="C1443" i="5"/>
  <c r="C1438" i="5"/>
  <c r="C1433" i="5"/>
  <c r="C1428" i="5"/>
  <c r="C1423" i="5"/>
  <c r="C1418" i="5"/>
  <c r="C1413" i="5"/>
  <c r="C1408" i="5"/>
  <c r="C1403" i="5"/>
  <c r="C1398" i="5"/>
  <c r="C1393" i="5"/>
  <c r="C1388" i="5"/>
  <c r="C1383" i="5"/>
  <c r="C1378" i="5"/>
  <c r="C1373" i="5"/>
  <c r="C1230" i="5"/>
  <c r="C1219" i="5"/>
  <c r="C1208" i="5"/>
  <c r="C1202" i="5"/>
  <c r="C1191" i="5"/>
  <c r="C1180" i="5"/>
  <c r="C1169" i="5"/>
  <c r="C1158" i="5"/>
  <c r="C1152" i="5"/>
  <c r="C1141" i="5"/>
  <c r="C1130" i="5"/>
  <c r="C1119" i="5"/>
  <c r="C1108" i="5"/>
  <c r="C1102" i="5"/>
  <c r="C1096" i="5"/>
  <c r="C1090" i="5"/>
  <c r="C1059" i="5"/>
  <c r="C1051" i="5"/>
  <c r="C1041" i="5"/>
  <c r="C1031" i="5"/>
  <c r="C996" i="5"/>
  <c r="C981" i="5"/>
  <c r="C924" i="5"/>
  <c r="C857" i="5"/>
  <c r="C1253" i="5"/>
  <c r="C1247" i="5"/>
  <c r="C1236" i="5"/>
  <c r="C1368" i="5"/>
  <c r="C1363" i="5"/>
  <c r="C1358" i="5"/>
  <c r="C1352" i="5"/>
  <c r="C1341" i="5"/>
  <c r="C1330" i="5"/>
  <c r="C1319" i="5"/>
  <c r="C1308" i="5"/>
  <c r="C1302" i="5"/>
  <c r="C1291" i="5"/>
  <c r="C1280" i="5"/>
  <c r="C1269" i="5"/>
  <c r="C1258" i="5"/>
  <c r="C1252" i="5"/>
  <c r="C1241" i="5"/>
  <c r="C1357" i="5"/>
  <c r="C1346" i="5"/>
  <c r="C1335" i="5"/>
  <c r="C1324" i="5"/>
  <c r="C1313" i="5"/>
  <c r="C1307" i="5"/>
  <c r="C1296" i="5"/>
  <c r="C1285" i="5"/>
  <c r="C1274" i="5"/>
  <c r="C1263" i="5"/>
  <c r="C1257" i="5"/>
  <c r="C1246" i="5"/>
  <c r="C1235" i="5"/>
  <c r="C1224" i="5"/>
  <c r="C1213" i="5"/>
  <c r="C1207" i="5"/>
  <c r="C1196" i="5"/>
  <c r="C1185" i="5"/>
  <c r="C1174" i="5"/>
  <c r="C1163" i="5"/>
  <c r="C1157" i="5"/>
  <c r="C1146" i="5"/>
  <c r="C1135" i="5"/>
  <c r="C1124" i="5"/>
  <c r="C1113" i="5"/>
  <c r="C1107" i="5"/>
  <c r="C1075" i="5"/>
  <c r="C1068" i="5"/>
  <c r="C1020" i="5"/>
  <c r="C1008" i="5"/>
  <c r="C1347" i="5"/>
  <c r="C1417" i="5"/>
  <c r="C1412" i="5"/>
  <c r="C1407" i="5"/>
  <c r="C1402" i="5"/>
  <c r="C1397" i="5"/>
  <c r="C1392" i="5"/>
  <c r="C1387" i="5"/>
  <c r="C1382" i="5"/>
  <c r="C1377" i="5"/>
  <c r="C1372" i="5"/>
  <c r="C1367" i="5"/>
  <c r="C1362" i="5"/>
  <c r="C1351" i="5"/>
  <c r="C1340" i="5"/>
  <c r="C1329" i="5"/>
  <c r="C1318" i="5"/>
  <c r="C1312" i="5"/>
  <c r="C1301" i="5"/>
  <c r="C1290" i="5"/>
  <c r="C1279" i="5"/>
  <c r="C1262" i="5"/>
  <c r="C1212" i="5"/>
  <c r="C1201" i="5"/>
  <c r="C1190" i="5"/>
  <c r="C1179" i="5"/>
  <c r="C1168" i="5"/>
  <c r="C1162" i="5"/>
  <c r="C1118" i="5"/>
  <c r="C1101" i="5"/>
  <c r="C1089" i="5"/>
  <c r="C1040" i="5"/>
  <c r="C1030" i="5"/>
  <c r="C1019" i="5"/>
  <c r="C994" i="5"/>
  <c r="C976" i="5"/>
  <c r="C950" i="5"/>
  <c r="C829" i="5"/>
  <c r="C1336" i="5"/>
  <c r="C1225" i="5"/>
  <c r="C1268" i="5"/>
  <c r="C1151" i="5"/>
  <c r="C1140" i="5"/>
  <c r="C1129" i="5"/>
  <c r="C1112" i="5"/>
  <c r="C1095" i="5"/>
  <c r="C1081" i="5"/>
  <c r="C1058" i="5"/>
  <c r="C1048" i="5"/>
  <c r="C1356" i="5"/>
  <c r="C1345" i="5"/>
  <c r="C1334" i="5"/>
  <c r="C1323" i="5"/>
  <c r="C1317" i="5"/>
  <c r="C1306" i="5"/>
  <c r="C1295" i="5"/>
  <c r="C1284" i="5"/>
  <c r="C1273" i="5"/>
  <c r="C1267" i="5"/>
  <c r="C1256" i="5"/>
  <c r="C1245" i="5"/>
  <c r="C1234" i="5"/>
  <c r="C1223" i="5"/>
  <c r="C1217" i="5"/>
  <c r="C1206" i="5"/>
  <c r="C1195" i="5"/>
  <c r="C1184" i="5"/>
  <c r="C1173" i="5"/>
  <c r="C1167" i="5"/>
  <c r="C1156" i="5"/>
  <c r="C1145" i="5"/>
  <c r="C1134" i="5"/>
  <c r="C1123" i="5"/>
  <c r="C1117" i="5"/>
  <c r="C1106" i="5"/>
  <c r="C1074" i="5"/>
  <c r="C1065" i="5"/>
  <c r="C1057" i="5"/>
  <c r="C1047" i="5"/>
  <c r="C1037" i="5"/>
  <c r="C1006" i="5"/>
  <c r="C949" i="5"/>
  <c r="C810" i="5"/>
  <c r="C1303" i="5"/>
  <c r="C1297" i="5"/>
  <c r="C1286" i="5"/>
  <c r="C1275" i="5"/>
  <c r="C1442" i="5"/>
  <c r="C1437" i="5"/>
  <c r="C1432" i="5"/>
  <c r="C1427" i="5"/>
  <c r="C1422" i="5"/>
  <c r="C1251" i="5"/>
  <c r="C1240" i="5"/>
  <c r="C1229" i="5"/>
  <c r="C1218" i="5"/>
  <c r="C1441" i="5"/>
  <c r="C1436" i="5"/>
  <c r="C1431" i="5"/>
  <c r="C1426" i="5"/>
  <c r="C1421" i="5"/>
  <c r="C1416" i="5"/>
  <c r="C1411" i="5"/>
  <c r="C1406" i="5"/>
  <c r="C1401" i="5"/>
  <c r="C1396" i="5"/>
  <c r="C1391" i="5"/>
  <c r="C1386" i="5"/>
  <c r="C1381" i="5"/>
  <c r="C1376" i="5"/>
  <c r="C1371" i="5"/>
  <c r="C1366" i="5"/>
  <c r="C1361" i="5"/>
  <c r="C1350" i="5"/>
  <c r="C1339" i="5"/>
  <c r="C1328" i="5"/>
  <c r="C1322" i="5"/>
  <c r="C1311" i="5"/>
  <c r="C1300" i="5"/>
  <c r="C1289" i="5"/>
  <c r="C1278" i="5"/>
  <c r="C1272" i="5"/>
  <c r="C1261" i="5"/>
  <c r="C1250" i="5"/>
  <c r="C1239" i="5"/>
  <c r="C1228" i="5"/>
  <c r="C1222" i="5"/>
  <c r="C1211" i="5"/>
  <c r="C1200" i="5"/>
  <c r="C1189" i="5"/>
  <c r="C1178" i="5"/>
  <c r="C1172" i="5"/>
  <c r="C1161" i="5"/>
  <c r="C1150" i="5"/>
  <c r="C1139" i="5"/>
  <c r="C1128" i="5"/>
  <c r="C1122" i="5"/>
  <c r="C1111" i="5"/>
  <c r="C1100" i="5"/>
  <c r="C1094" i="5"/>
  <c r="C1080" i="5"/>
  <c r="C1029" i="5"/>
  <c r="C1018" i="5"/>
  <c r="C993" i="5"/>
  <c r="C972" i="5"/>
  <c r="C1355" i="5"/>
  <c r="C1344" i="5"/>
  <c r="C1333" i="5"/>
  <c r="C1327" i="5"/>
  <c r="C1316" i="5"/>
  <c r="C1305" i="5"/>
  <c r="C1294" i="5"/>
  <c r="C1283" i="5"/>
  <c r="C1277" i="5"/>
  <c r="C1266" i="5"/>
  <c r="C1255" i="5"/>
  <c r="C1244" i="5"/>
  <c r="C1233" i="5"/>
  <c r="C1227" i="5"/>
  <c r="C1216" i="5"/>
  <c r="C1205" i="5"/>
  <c r="C1194" i="5"/>
  <c r="C1183" i="5"/>
  <c r="C1177" i="5"/>
  <c r="C1166" i="5"/>
  <c r="C1155" i="5"/>
  <c r="C1144" i="5"/>
  <c r="C1133" i="5"/>
  <c r="C1127" i="5"/>
  <c r="C1116" i="5"/>
  <c r="C1105" i="5"/>
  <c r="C1086" i="5"/>
  <c r="C1071" i="5"/>
  <c r="C1064" i="5"/>
  <c r="C1054" i="5"/>
  <c r="C1046" i="5"/>
  <c r="C1036" i="5"/>
  <c r="C1026" i="5"/>
  <c r="C1002" i="5"/>
  <c r="C968" i="5"/>
  <c r="C898" i="5"/>
  <c r="C1025" i="5"/>
  <c r="C1007" i="5"/>
  <c r="C1001" i="5"/>
  <c r="C951" i="5"/>
  <c r="C932" i="5"/>
  <c r="C921" i="5"/>
  <c r="C910" i="5"/>
  <c r="C899" i="5"/>
  <c r="C824" i="5"/>
  <c r="C762" i="5"/>
  <c r="C876" i="5"/>
  <c r="C865" i="5"/>
  <c r="C854" i="5"/>
  <c r="C823" i="5"/>
  <c r="C785" i="5"/>
  <c r="C757" i="5"/>
  <c r="C987" i="5"/>
  <c r="C973" i="5"/>
  <c r="C957" i="5"/>
  <c r="C908" i="5"/>
  <c r="C897" i="5"/>
  <c r="C886" i="5"/>
  <c r="C875" i="5"/>
  <c r="C864" i="5"/>
  <c r="C840" i="5"/>
  <c r="C821" i="5"/>
  <c r="C918" i="5"/>
  <c r="C907" i="5"/>
  <c r="C896" i="5"/>
  <c r="C885" i="5"/>
  <c r="C874" i="5"/>
  <c r="C818" i="5"/>
  <c r="C801" i="5"/>
  <c r="C1088" i="5"/>
  <c r="C1083" i="5"/>
  <c r="C1078" i="5"/>
  <c r="C1073" i="5"/>
  <c r="C1067" i="5"/>
  <c r="C1056" i="5"/>
  <c r="C1045" i="5"/>
  <c r="C1034" i="5"/>
  <c r="C1023" i="5"/>
  <c r="C1017" i="5"/>
  <c r="C1011" i="5"/>
  <c r="C992" i="5"/>
  <c r="C986" i="5"/>
  <c r="C964" i="5"/>
  <c r="C948" i="5"/>
  <c r="C939" i="5"/>
  <c r="C929" i="5"/>
  <c r="C873" i="5"/>
  <c r="C862" i="5"/>
  <c r="C851" i="5"/>
  <c r="C835" i="5"/>
  <c r="C799" i="5"/>
  <c r="C779" i="5"/>
  <c r="C1072" i="5"/>
  <c r="C1061" i="5"/>
  <c r="C1050" i="5"/>
  <c r="C1039" i="5"/>
  <c r="C1028" i="5"/>
  <c r="C1022" i="5"/>
  <c r="C1004" i="5"/>
  <c r="C998" i="5"/>
  <c r="C978" i="5"/>
  <c r="C971" i="5"/>
  <c r="C955" i="5"/>
  <c r="C947" i="5"/>
  <c r="C893" i="5"/>
  <c r="C882" i="5"/>
  <c r="C871" i="5"/>
  <c r="C860" i="5"/>
  <c r="C849" i="5"/>
  <c r="C796" i="5"/>
  <c r="C774" i="5"/>
  <c r="C739" i="5"/>
  <c r="C1097" i="5"/>
  <c r="C1092" i="5"/>
  <c r="C1087" i="5"/>
  <c r="C1082" i="5"/>
  <c r="C1077" i="5"/>
  <c r="C1066" i="5"/>
  <c r="C1055" i="5"/>
  <c r="C1044" i="5"/>
  <c r="C1033" i="5"/>
  <c r="C1027" i="5"/>
  <c r="C1016" i="5"/>
  <c r="C997" i="5"/>
  <c r="C991" i="5"/>
  <c r="C977" i="5"/>
  <c r="C962" i="5"/>
  <c r="C946" i="5"/>
  <c r="C937" i="5"/>
  <c r="C926" i="5"/>
  <c r="C915" i="5"/>
  <c r="C904" i="5"/>
  <c r="C847" i="5"/>
  <c r="C832" i="5"/>
  <c r="C773" i="5"/>
  <c r="C1060" i="5"/>
  <c r="C1049" i="5"/>
  <c r="C1038" i="5"/>
  <c r="C1032" i="5"/>
  <c r="C1021" i="5"/>
  <c r="C1009" i="5"/>
  <c r="C1003" i="5"/>
  <c r="C961" i="5"/>
  <c r="C954" i="5"/>
  <c r="C936" i="5"/>
  <c r="C925" i="5"/>
  <c r="C914" i="5"/>
  <c r="C858" i="5"/>
  <c r="C846" i="5"/>
  <c r="C812" i="5"/>
  <c r="C793" i="5"/>
  <c r="C768" i="5"/>
  <c r="C719" i="5"/>
  <c r="C982" i="5"/>
  <c r="C960" i="5"/>
  <c r="C943" i="5"/>
  <c r="C923" i="5"/>
  <c r="C912" i="5"/>
  <c r="C901" i="5"/>
  <c r="C890" i="5"/>
  <c r="C879" i="5"/>
  <c r="C843" i="5"/>
  <c r="C807" i="5"/>
  <c r="C790" i="5"/>
  <c r="C712" i="5"/>
  <c r="C933" i="5"/>
  <c r="C922" i="5"/>
  <c r="C911" i="5"/>
  <c r="C900" i="5"/>
  <c r="C889" i="5"/>
  <c r="C883" i="5"/>
  <c r="C872" i="5"/>
  <c r="C861" i="5"/>
  <c r="C850" i="5"/>
  <c r="C839" i="5"/>
  <c r="C833" i="5"/>
  <c r="C822" i="5"/>
  <c r="C811" i="5"/>
  <c r="C800" i="5"/>
  <c r="C789" i="5"/>
  <c r="C783" i="5"/>
  <c r="C772" i="5"/>
  <c r="C761" i="5"/>
  <c r="C743" i="5"/>
  <c r="C737" i="5"/>
  <c r="C724" i="5"/>
  <c r="C696" i="5"/>
  <c r="C689" i="5"/>
  <c r="C675" i="5"/>
  <c r="C668" i="5"/>
  <c r="C661" i="5"/>
  <c r="C654" i="5"/>
  <c r="C647" i="5"/>
  <c r="C633" i="5"/>
  <c r="C626" i="5"/>
  <c r="C605" i="5"/>
  <c r="C597" i="5"/>
  <c r="C588" i="5"/>
  <c r="C579" i="5"/>
  <c r="C558" i="5"/>
  <c r="C547" i="5"/>
  <c r="C536" i="5"/>
  <c r="C525" i="5"/>
  <c r="C514" i="5"/>
  <c r="C464" i="5"/>
  <c r="C438" i="5"/>
  <c r="C403" i="5"/>
  <c r="C944" i="5"/>
  <c r="C938" i="5"/>
  <c r="C927" i="5"/>
  <c r="C916" i="5"/>
  <c r="C905" i="5"/>
  <c r="C894" i="5"/>
  <c r="C888" i="5"/>
  <c r="C877" i="5"/>
  <c r="C866" i="5"/>
  <c r="C855" i="5"/>
  <c r="C844" i="5"/>
  <c r="C838" i="5"/>
  <c r="C827" i="5"/>
  <c r="C816" i="5"/>
  <c r="C805" i="5"/>
  <c r="C794" i="5"/>
  <c r="C788" i="5"/>
  <c r="C777" i="5"/>
  <c r="C766" i="5"/>
  <c r="C755" i="5"/>
  <c r="C749" i="5"/>
  <c r="C730" i="5"/>
  <c r="C723" i="5"/>
  <c r="C716" i="5"/>
  <c r="C709" i="5"/>
  <c r="C702" i="5"/>
  <c r="C688" i="5"/>
  <c r="C681" i="5"/>
  <c r="C653" i="5"/>
  <c r="C640" i="5"/>
  <c r="C619" i="5"/>
  <c r="C612" i="5"/>
  <c r="C604" i="5"/>
  <c r="C587" i="5"/>
  <c r="C523" i="5"/>
  <c r="C512" i="5"/>
  <c r="C501" i="5"/>
  <c r="C490" i="5"/>
  <c r="C479" i="5"/>
  <c r="C461" i="5"/>
  <c r="C433" i="5"/>
  <c r="C397" i="5"/>
  <c r="C330" i="5"/>
  <c r="C253" i="5"/>
  <c r="C782" i="5"/>
  <c r="C771" i="5"/>
  <c r="C760" i="5"/>
  <c r="C748" i="5"/>
  <c r="C742" i="5"/>
  <c r="C736" i="5"/>
  <c r="C722" i="5"/>
  <c r="C715" i="5"/>
  <c r="C708" i="5"/>
  <c r="C687" i="5"/>
  <c r="C674" i="5"/>
  <c r="C646" i="5"/>
  <c r="C639" i="5"/>
  <c r="C625" i="5"/>
  <c r="C618" i="5"/>
  <c r="C611" i="5"/>
  <c r="C603" i="5"/>
  <c r="C586" i="5"/>
  <c r="C577" i="5"/>
  <c r="C533" i="5"/>
  <c r="C522" i="5"/>
  <c r="C511" i="5"/>
  <c r="C500" i="5"/>
  <c r="C489" i="5"/>
  <c r="C391" i="5"/>
  <c r="C322" i="5"/>
  <c r="C848" i="5"/>
  <c r="C837" i="5"/>
  <c r="C826" i="5"/>
  <c r="C815" i="5"/>
  <c r="C804" i="5"/>
  <c r="C798" i="5"/>
  <c r="C787" i="5"/>
  <c r="C776" i="5"/>
  <c r="C765" i="5"/>
  <c r="C754" i="5"/>
  <c r="C729" i="5"/>
  <c r="C701" i="5"/>
  <c r="C694" i="5"/>
  <c r="C680" i="5"/>
  <c r="C673" i="5"/>
  <c r="C666" i="5"/>
  <c r="C659" i="5"/>
  <c r="C652" i="5"/>
  <c r="C638" i="5"/>
  <c r="C631" i="5"/>
  <c r="C576" i="5"/>
  <c r="C566" i="5"/>
  <c r="C555" i="5"/>
  <c r="C544" i="5"/>
  <c r="C488" i="5"/>
  <c r="C477" i="5"/>
  <c r="C385" i="5"/>
  <c r="C237" i="5"/>
  <c r="C1015" i="5"/>
  <c r="C1010" i="5"/>
  <c r="C1005" i="5"/>
  <c r="C1000" i="5"/>
  <c r="C995" i="5"/>
  <c r="C990" i="5"/>
  <c r="C985" i="5"/>
  <c r="C980" i="5"/>
  <c r="C975" i="5"/>
  <c r="C970" i="5"/>
  <c r="C959" i="5"/>
  <c r="C953" i="5"/>
  <c r="C942" i="5"/>
  <c r="C931" i="5"/>
  <c r="C920" i="5"/>
  <c r="C909" i="5"/>
  <c r="C903" i="5"/>
  <c r="C892" i="5"/>
  <c r="C881" i="5"/>
  <c r="C870" i="5"/>
  <c r="C859" i="5"/>
  <c r="C853" i="5"/>
  <c r="C842" i="5"/>
  <c r="C831" i="5"/>
  <c r="C820" i="5"/>
  <c r="C809" i="5"/>
  <c r="C803" i="5"/>
  <c r="C792" i="5"/>
  <c r="C781" i="5"/>
  <c r="C770" i="5"/>
  <c r="C759" i="5"/>
  <c r="C753" i="5"/>
  <c r="C747" i="5"/>
  <c r="C741" i="5"/>
  <c r="C735" i="5"/>
  <c r="C714" i="5"/>
  <c r="C707" i="5"/>
  <c r="C700" i="5"/>
  <c r="C686" i="5"/>
  <c r="C672" i="5"/>
  <c r="C665" i="5"/>
  <c r="C658" i="5"/>
  <c r="C637" i="5"/>
  <c r="C624" i="5"/>
  <c r="C602" i="5"/>
  <c r="C594" i="5"/>
  <c r="C575" i="5"/>
  <c r="C565" i="5"/>
  <c r="C554" i="5"/>
  <c r="C498" i="5"/>
  <c r="C487" i="5"/>
  <c r="C475" i="5"/>
  <c r="C455" i="5"/>
  <c r="C427" i="5"/>
  <c r="C309" i="5"/>
  <c r="C836" i="5"/>
  <c r="C825" i="5"/>
  <c r="C814" i="5"/>
  <c r="C808" i="5"/>
  <c r="C797" i="5"/>
  <c r="C786" i="5"/>
  <c r="C775" i="5"/>
  <c r="C764" i="5"/>
  <c r="C758" i="5"/>
  <c r="C727" i="5"/>
  <c r="C720" i="5"/>
  <c r="C713" i="5"/>
  <c r="C692" i="5"/>
  <c r="C679" i="5"/>
  <c r="C651" i="5"/>
  <c r="C644" i="5"/>
  <c r="C630" i="5"/>
  <c r="C623" i="5"/>
  <c r="C616" i="5"/>
  <c r="C609" i="5"/>
  <c r="C601" i="5"/>
  <c r="C583" i="5"/>
  <c r="C564" i="5"/>
  <c r="C508" i="5"/>
  <c r="C497" i="5"/>
  <c r="C486" i="5"/>
  <c r="C472" i="5"/>
  <c r="C450" i="5"/>
  <c r="C371" i="5"/>
  <c r="C300" i="5"/>
  <c r="C221" i="5"/>
  <c r="C984" i="5"/>
  <c r="C979" i="5"/>
  <c r="C974" i="5"/>
  <c r="C969" i="5"/>
  <c r="C963" i="5"/>
  <c r="C952" i="5"/>
  <c r="C941" i="5"/>
  <c r="C930" i="5"/>
  <c r="C919" i="5"/>
  <c r="C913" i="5"/>
  <c r="C902" i="5"/>
  <c r="C891" i="5"/>
  <c r="C880" i="5"/>
  <c r="C869" i="5"/>
  <c r="C863" i="5"/>
  <c r="C852" i="5"/>
  <c r="C841" i="5"/>
  <c r="C830" i="5"/>
  <c r="C819" i="5"/>
  <c r="C813" i="5"/>
  <c r="C802" i="5"/>
  <c r="C791" i="5"/>
  <c r="C780" i="5"/>
  <c r="C769" i="5"/>
  <c r="C763" i="5"/>
  <c r="C752" i="5"/>
  <c r="C746" i="5"/>
  <c r="C740" i="5"/>
  <c r="C733" i="5"/>
  <c r="C726" i="5"/>
  <c r="C698" i="5"/>
  <c r="C685" i="5"/>
  <c r="C664" i="5"/>
  <c r="C657" i="5"/>
  <c r="C650" i="5"/>
  <c r="C636" i="5"/>
  <c r="C622" i="5"/>
  <c r="C615" i="5"/>
  <c r="C608" i="5"/>
  <c r="C600" i="5"/>
  <c r="C573" i="5"/>
  <c r="C562" i="5"/>
  <c r="C551" i="5"/>
  <c r="C540" i="5"/>
  <c r="C529" i="5"/>
  <c r="C421" i="5"/>
  <c r="C213" i="5"/>
  <c r="C705" i="5"/>
  <c r="C691" i="5"/>
  <c r="C677" i="5"/>
  <c r="C670" i="5"/>
  <c r="C663" i="5"/>
  <c r="C642" i="5"/>
  <c r="C629" i="5"/>
  <c r="C591" i="5"/>
  <c r="C572" i="5"/>
  <c r="C561" i="5"/>
  <c r="C550" i="5"/>
  <c r="C539" i="5"/>
  <c r="C483" i="5"/>
  <c r="C285" i="5"/>
  <c r="C205" i="5"/>
  <c r="C751" i="5"/>
  <c r="C738" i="5"/>
  <c r="C725" i="5"/>
  <c r="C718" i="5"/>
  <c r="C711" i="5"/>
  <c r="C704" i="5"/>
  <c r="C697" i="5"/>
  <c r="C683" i="5"/>
  <c r="C676" i="5"/>
  <c r="C648" i="5"/>
  <c r="C635" i="5"/>
  <c r="C614" i="5"/>
  <c r="C598" i="5"/>
  <c r="C590" i="5"/>
  <c r="C538" i="5"/>
  <c r="C527" i="5"/>
  <c r="C516" i="5"/>
  <c r="C505" i="5"/>
  <c r="C494" i="5"/>
  <c r="C444" i="5"/>
  <c r="C415" i="5"/>
  <c r="C350" i="5"/>
  <c r="C967" i="5"/>
  <c r="C956" i="5"/>
  <c r="C945" i="5"/>
  <c r="C934" i="5"/>
  <c r="C928" i="5"/>
  <c r="C917" i="5"/>
  <c r="C906" i="5"/>
  <c r="C895" i="5"/>
  <c r="C884" i="5"/>
  <c r="C878" i="5"/>
  <c r="C867" i="5"/>
  <c r="C856" i="5"/>
  <c r="C845" i="5"/>
  <c r="C834" i="5"/>
  <c r="C828" i="5"/>
  <c r="C817" i="5"/>
  <c r="C806" i="5"/>
  <c r="C795" i="5"/>
  <c r="C784" i="5"/>
  <c r="C778" i="5"/>
  <c r="C767" i="5"/>
  <c r="C756" i="5"/>
  <c r="C750" i="5"/>
  <c r="C744" i="5"/>
  <c r="C731" i="5"/>
  <c r="C703" i="5"/>
  <c r="C690" i="5"/>
  <c r="C669" i="5"/>
  <c r="C662" i="5"/>
  <c r="C655" i="5"/>
  <c r="C641" i="5"/>
  <c r="C627" i="5"/>
  <c r="C620" i="5"/>
  <c r="C613" i="5"/>
  <c r="C589" i="5"/>
  <c r="C580" i="5"/>
  <c r="C548" i="5"/>
  <c r="C537" i="5"/>
  <c r="C526" i="5"/>
  <c r="C515" i="5"/>
  <c r="C504" i="5"/>
  <c r="C466" i="5"/>
  <c r="C439" i="5"/>
  <c r="C343" i="5"/>
  <c r="C269" i="5"/>
  <c r="C187" i="5"/>
  <c r="C569" i="5"/>
  <c r="C563" i="5"/>
  <c r="C552" i="5"/>
  <c r="C541" i="5"/>
  <c r="C530" i="5"/>
  <c r="C519" i="5"/>
  <c r="C513" i="5"/>
  <c r="C502" i="5"/>
  <c r="C491" i="5"/>
  <c r="C480" i="5"/>
  <c r="C469" i="5"/>
  <c r="C463" i="5"/>
  <c r="C452" i="5"/>
  <c r="C441" i="5"/>
  <c r="C430" i="5"/>
  <c r="C418" i="5"/>
  <c r="C393" i="5"/>
  <c r="C387" i="5"/>
  <c r="C381" i="5"/>
  <c r="C360" i="5"/>
  <c r="C353" i="5"/>
  <c r="C339" i="5"/>
  <c r="C332" i="5"/>
  <c r="C319" i="5"/>
  <c r="C311" i="5"/>
  <c r="C304" i="5"/>
  <c r="C296" i="5"/>
  <c r="C280" i="5"/>
  <c r="C248" i="5"/>
  <c r="C232" i="5"/>
  <c r="C216" i="5"/>
  <c r="C209" i="5"/>
  <c r="C191" i="5"/>
  <c r="C163" i="5"/>
  <c r="C154" i="5"/>
  <c r="C143" i="5"/>
  <c r="C132" i="5"/>
  <c r="C121" i="5"/>
  <c r="C110" i="5"/>
  <c r="C99" i="5"/>
  <c r="C607" i="5"/>
  <c r="C596" i="5"/>
  <c r="C585" i="5"/>
  <c r="C574" i="5"/>
  <c r="C568" i="5"/>
  <c r="C557" i="5"/>
  <c r="C546" i="5"/>
  <c r="C535" i="5"/>
  <c r="C524" i="5"/>
  <c r="C518" i="5"/>
  <c r="C507" i="5"/>
  <c r="C496" i="5"/>
  <c r="C485" i="5"/>
  <c r="C474" i="5"/>
  <c r="C468" i="5"/>
  <c r="C457" i="5"/>
  <c r="C446" i="5"/>
  <c r="C435" i="5"/>
  <c r="C424" i="5"/>
  <c r="C417" i="5"/>
  <c r="C411" i="5"/>
  <c r="C405" i="5"/>
  <c r="C399" i="5"/>
  <c r="C374" i="5"/>
  <c r="C366" i="5"/>
  <c r="C346" i="5"/>
  <c r="C338" i="5"/>
  <c r="C325" i="5"/>
  <c r="C318" i="5"/>
  <c r="C303" i="5"/>
  <c r="C287" i="5"/>
  <c r="C271" i="5"/>
  <c r="C263" i="5"/>
  <c r="C255" i="5"/>
  <c r="C239" i="5"/>
  <c r="C224" i="5"/>
  <c r="C199" i="5"/>
  <c r="C181" i="5"/>
  <c r="C171" i="5"/>
  <c r="C153" i="5"/>
  <c r="C98" i="5"/>
  <c r="C473" i="5"/>
  <c r="C462" i="5"/>
  <c r="C451" i="5"/>
  <c r="C440" i="5"/>
  <c r="C429" i="5"/>
  <c r="C398" i="5"/>
  <c r="C392" i="5"/>
  <c r="C386" i="5"/>
  <c r="C380" i="5"/>
  <c r="C372" i="5"/>
  <c r="C359" i="5"/>
  <c r="C352" i="5"/>
  <c r="C331" i="5"/>
  <c r="C310" i="5"/>
  <c r="C302" i="5"/>
  <c r="C294" i="5"/>
  <c r="C238" i="5"/>
  <c r="C231" i="5"/>
  <c r="C222" i="5"/>
  <c r="C215" i="5"/>
  <c r="C207" i="5"/>
  <c r="C198" i="5"/>
  <c r="C188" i="5"/>
  <c r="C180" i="5"/>
  <c r="C152" i="5"/>
  <c r="C142" i="5"/>
  <c r="C131" i="5"/>
  <c r="C120" i="5"/>
  <c r="C109" i="5"/>
  <c r="C71" i="5"/>
  <c r="C52" i="5"/>
  <c r="C745" i="5"/>
  <c r="C734" i="5"/>
  <c r="C728" i="5"/>
  <c r="C717" i="5"/>
  <c r="C706" i="5"/>
  <c r="C695" i="5"/>
  <c r="C684" i="5"/>
  <c r="C678" i="5"/>
  <c r="C667" i="5"/>
  <c r="C656" i="5"/>
  <c r="C645" i="5"/>
  <c r="C634" i="5"/>
  <c r="C628" i="5"/>
  <c r="C617" i="5"/>
  <c r="C606" i="5"/>
  <c r="C595" i="5"/>
  <c r="C584" i="5"/>
  <c r="C578" i="5"/>
  <c r="C567" i="5"/>
  <c r="C556" i="5"/>
  <c r="C545" i="5"/>
  <c r="C534" i="5"/>
  <c r="C528" i="5"/>
  <c r="C517" i="5"/>
  <c r="C506" i="5"/>
  <c r="C495" i="5"/>
  <c r="C484" i="5"/>
  <c r="C478" i="5"/>
  <c r="C467" i="5"/>
  <c r="C456" i="5"/>
  <c r="C445" i="5"/>
  <c r="C434" i="5"/>
  <c r="C428" i="5"/>
  <c r="C422" i="5"/>
  <c r="C416" i="5"/>
  <c r="C410" i="5"/>
  <c r="C404" i="5"/>
  <c r="C365" i="5"/>
  <c r="C358" i="5"/>
  <c r="C344" i="5"/>
  <c r="C337" i="5"/>
  <c r="C324" i="5"/>
  <c r="C316" i="5"/>
  <c r="C293" i="5"/>
  <c r="C277" i="5"/>
  <c r="C270" i="5"/>
  <c r="C261" i="5"/>
  <c r="C254" i="5"/>
  <c r="C246" i="5"/>
  <c r="C230" i="5"/>
  <c r="C170" i="5"/>
  <c r="C160" i="5"/>
  <c r="C141" i="5"/>
  <c r="C130" i="5"/>
  <c r="C119" i="5"/>
  <c r="C70" i="5"/>
  <c r="C177" i="5"/>
  <c r="C169" i="5"/>
  <c r="C138" i="5"/>
  <c r="C127" i="5"/>
  <c r="C116" i="5"/>
  <c r="C105" i="5"/>
  <c r="C94" i="5"/>
  <c r="C82" i="5"/>
  <c r="C69" i="5"/>
  <c r="C41" i="5"/>
  <c r="C409" i="5"/>
  <c r="C384" i="5"/>
  <c r="C377" i="5"/>
  <c r="C364" i="5"/>
  <c r="C357" i="5"/>
  <c r="C336" i="5"/>
  <c r="C315" i="5"/>
  <c r="C292" i="5"/>
  <c r="C283" i="5"/>
  <c r="C276" i="5"/>
  <c r="C268" i="5"/>
  <c r="C260" i="5"/>
  <c r="C252" i="5"/>
  <c r="C244" i="5"/>
  <c r="C196" i="5"/>
  <c r="C168" i="5"/>
  <c r="C159" i="5"/>
  <c r="C149" i="5"/>
  <c r="C93" i="5"/>
  <c r="C81" i="5"/>
  <c r="C732" i="5"/>
  <c r="C721" i="5"/>
  <c r="C710" i="5"/>
  <c r="C699" i="5"/>
  <c r="C693" i="5"/>
  <c r="C682" i="5"/>
  <c r="C671" i="5"/>
  <c r="C660" i="5"/>
  <c r="C649" i="5"/>
  <c r="C643" i="5"/>
  <c r="C632" i="5"/>
  <c r="C621" i="5"/>
  <c r="C610" i="5"/>
  <c r="C599" i="5"/>
  <c r="C593" i="5"/>
  <c r="C582" i="5"/>
  <c r="C571" i="5"/>
  <c r="C560" i="5"/>
  <c r="C549" i="5"/>
  <c r="C543" i="5"/>
  <c r="C532" i="5"/>
  <c r="C521" i="5"/>
  <c r="C510" i="5"/>
  <c r="C499" i="5"/>
  <c r="C493" i="5"/>
  <c r="C482" i="5"/>
  <c r="C471" i="5"/>
  <c r="C460" i="5"/>
  <c r="C449" i="5"/>
  <c r="C443" i="5"/>
  <c r="C432" i="5"/>
  <c r="C408" i="5"/>
  <c r="C402" i="5"/>
  <c r="C396" i="5"/>
  <c r="C383" i="5"/>
  <c r="C370" i="5"/>
  <c r="C363" i="5"/>
  <c r="C349" i="5"/>
  <c r="C342" i="5"/>
  <c r="C321" i="5"/>
  <c r="C307" i="5"/>
  <c r="C299" i="5"/>
  <c r="C291" i="5"/>
  <c r="C243" i="5"/>
  <c r="C227" i="5"/>
  <c r="C220" i="5"/>
  <c r="C211" i="5"/>
  <c r="C204" i="5"/>
  <c r="C194" i="5"/>
  <c r="C176" i="5"/>
  <c r="C166" i="5"/>
  <c r="C148" i="5"/>
  <c r="C137" i="5"/>
  <c r="C126" i="5"/>
  <c r="C115" i="5"/>
  <c r="C104" i="5"/>
  <c r="C80" i="5"/>
  <c r="C30" i="5"/>
  <c r="C476" i="5"/>
  <c r="C465" i="5"/>
  <c r="C454" i="5"/>
  <c r="C448" i="5"/>
  <c r="C437" i="5"/>
  <c r="C426" i="5"/>
  <c r="C420" i="5"/>
  <c r="C414" i="5"/>
  <c r="C395" i="5"/>
  <c r="C389" i="5"/>
  <c r="C376" i="5"/>
  <c r="C355" i="5"/>
  <c r="C348" i="5"/>
  <c r="C335" i="5"/>
  <c r="C327" i="5"/>
  <c r="C314" i="5"/>
  <c r="C298" i="5"/>
  <c r="C282" i="5"/>
  <c r="C266" i="5"/>
  <c r="C259" i="5"/>
  <c r="C250" i="5"/>
  <c r="C235" i="5"/>
  <c r="C219" i="5"/>
  <c r="C203" i="5"/>
  <c r="C193" i="5"/>
  <c r="C185" i="5"/>
  <c r="C157" i="5"/>
  <c r="C103" i="5"/>
  <c r="C92" i="5"/>
  <c r="C77" i="5"/>
  <c r="C63" i="5"/>
  <c r="C592" i="5"/>
  <c r="C581" i="5"/>
  <c r="C570" i="5"/>
  <c r="C559" i="5"/>
  <c r="C553" i="5"/>
  <c r="C542" i="5"/>
  <c r="C531" i="5"/>
  <c r="C520" i="5"/>
  <c r="C509" i="5"/>
  <c r="C503" i="5"/>
  <c r="C492" i="5"/>
  <c r="C481" i="5"/>
  <c r="C470" i="5"/>
  <c r="C459" i="5"/>
  <c r="C453" i="5"/>
  <c r="C442" i="5"/>
  <c r="C431" i="5"/>
  <c r="C413" i="5"/>
  <c r="C407" i="5"/>
  <c r="C388" i="5"/>
  <c r="C382" i="5"/>
  <c r="C369" i="5"/>
  <c r="C361" i="5"/>
  <c r="C341" i="5"/>
  <c r="C333" i="5"/>
  <c r="C320" i="5"/>
  <c r="C313" i="5"/>
  <c r="C305" i="5"/>
  <c r="C289" i="5"/>
  <c r="C274" i="5"/>
  <c r="C242" i="5"/>
  <c r="C233" i="5"/>
  <c r="C226" i="5"/>
  <c r="C218" i="5"/>
  <c r="C210" i="5"/>
  <c r="C202" i="5"/>
  <c r="C165" i="5"/>
  <c r="C155" i="5"/>
  <c r="C113" i="5"/>
  <c r="C102" i="5"/>
  <c r="C91" i="5"/>
  <c r="C60" i="5"/>
  <c r="C19" i="5"/>
  <c r="C458" i="5"/>
  <c r="C447" i="5"/>
  <c r="C436" i="5"/>
  <c r="C425" i="5"/>
  <c r="C419" i="5"/>
  <c r="C406" i="5"/>
  <c r="C400" i="5"/>
  <c r="C394" i="5"/>
  <c r="C375" i="5"/>
  <c r="C368" i="5"/>
  <c r="C354" i="5"/>
  <c r="C347" i="5"/>
  <c r="C326" i="5"/>
  <c r="C288" i="5"/>
  <c r="C281" i="5"/>
  <c r="C272" i="5"/>
  <c r="C265" i="5"/>
  <c r="C257" i="5"/>
  <c r="C249" i="5"/>
  <c r="C241" i="5"/>
  <c r="C192" i="5"/>
  <c r="C182" i="5"/>
  <c r="C174" i="5"/>
  <c r="C144" i="5"/>
  <c r="C88" i="5"/>
  <c r="C59" i="5"/>
  <c r="C13" i="5"/>
  <c r="C200" i="5"/>
  <c r="C189" i="5"/>
  <c r="C183" i="5"/>
  <c r="C172" i="5"/>
  <c r="C161" i="5"/>
  <c r="C150" i="5"/>
  <c r="C139" i="5"/>
  <c r="C133" i="5"/>
  <c r="C122" i="5"/>
  <c r="C111" i="5"/>
  <c r="C100" i="5"/>
  <c r="C89" i="5"/>
  <c r="C83" i="5"/>
  <c r="C72" i="5"/>
  <c r="C61" i="5"/>
  <c r="C50" i="5"/>
  <c r="C39" i="5"/>
  <c r="C33" i="5"/>
  <c r="C22" i="5"/>
  <c r="C11" i="5"/>
  <c r="C66" i="5"/>
  <c r="C55" i="5"/>
  <c r="C44" i="5"/>
  <c r="C38" i="5"/>
  <c r="C27" i="5"/>
  <c r="C16" i="5"/>
  <c r="C49" i="5"/>
  <c r="C43" i="5"/>
  <c r="C32" i="5"/>
  <c r="C21" i="5"/>
  <c r="C10" i="5"/>
  <c r="C87" i="5"/>
  <c r="C76" i="5"/>
  <c r="C65" i="5"/>
  <c r="C54" i="5"/>
  <c r="C48" i="5"/>
  <c r="C37" i="5"/>
  <c r="C26" i="5"/>
  <c r="C15" i="5"/>
  <c r="C53" i="5"/>
  <c r="C42" i="5"/>
  <c r="C31" i="5"/>
  <c r="C20" i="5"/>
  <c r="C9" i="5"/>
  <c r="C308" i="5"/>
  <c r="C297" i="5"/>
  <c r="C286" i="5"/>
  <c r="C275" i="5"/>
  <c r="C264" i="5"/>
  <c r="C258" i="5"/>
  <c r="C247" i="5"/>
  <c r="C236" i="5"/>
  <c r="C225" i="5"/>
  <c r="C214" i="5"/>
  <c r="C208" i="5"/>
  <c r="C197" i="5"/>
  <c r="C186" i="5"/>
  <c r="C175" i="5"/>
  <c r="C164" i="5"/>
  <c r="C158" i="5"/>
  <c r="C147" i="5"/>
  <c r="C136" i="5"/>
  <c r="C125" i="5"/>
  <c r="C114" i="5"/>
  <c r="C108" i="5"/>
  <c r="C97" i="5"/>
  <c r="C86" i="5"/>
  <c r="C75" i="5"/>
  <c r="C64" i="5"/>
  <c r="C58" i="5"/>
  <c r="C47" i="5"/>
  <c r="C36" i="5"/>
  <c r="C25" i="5"/>
  <c r="C14" i="5"/>
  <c r="C7" i="5"/>
  <c r="C146" i="5"/>
  <c r="C135" i="5"/>
  <c r="C124" i="5"/>
  <c r="C118" i="5"/>
  <c r="C107" i="5"/>
  <c r="C96" i="5"/>
  <c r="C85" i="5"/>
  <c r="C74" i="5"/>
  <c r="C68" i="5"/>
  <c r="C57" i="5"/>
  <c r="C46" i="5"/>
  <c r="C35" i="5"/>
  <c r="C24" i="5"/>
  <c r="C18" i="5"/>
  <c r="C423" i="5"/>
  <c r="C412" i="5"/>
  <c r="C401" i="5"/>
  <c r="C390" i="5"/>
  <c r="C379" i="5"/>
  <c r="C373" i="5"/>
  <c r="C362" i="5"/>
  <c r="C351" i="5"/>
  <c r="C340" i="5"/>
  <c r="C329" i="5"/>
  <c r="C323" i="5"/>
  <c r="C312" i="5"/>
  <c r="C301" i="5"/>
  <c r="C290" i="5"/>
  <c r="C279" i="5"/>
  <c r="C273" i="5"/>
  <c r="C262" i="5"/>
  <c r="C251" i="5"/>
  <c r="C240" i="5"/>
  <c r="C229" i="5"/>
  <c r="C223" i="5"/>
  <c r="C212" i="5"/>
  <c r="C201" i="5"/>
  <c r="C190" i="5"/>
  <c r="C179" i="5"/>
  <c r="C173" i="5"/>
  <c r="C162" i="5"/>
  <c r="C151" i="5"/>
  <c r="C140" i="5"/>
  <c r="C129" i="5"/>
  <c r="C123" i="5"/>
  <c r="C112" i="5"/>
  <c r="C101" i="5"/>
  <c r="C90" i="5"/>
  <c r="C79" i="5"/>
  <c r="C73" i="5"/>
  <c r="C62" i="5"/>
  <c r="C51" i="5"/>
  <c r="C40" i="5"/>
  <c r="C29" i="5"/>
  <c r="C23" i="5"/>
  <c r="C12" i="5"/>
  <c r="C6" i="5"/>
  <c r="C378" i="5"/>
  <c r="C367" i="5"/>
  <c r="C356" i="5"/>
  <c r="C345" i="5"/>
  <c r="C334" i="5"/>
  <c r="C328" i="5"/>
  <c r="C317" i="5"/>
  <c r="C306" i="5"/>
  <c r="C295" i="5"/>
  <c r="C284" i="5"/>
  <c r="C278" i="5"/>
  <c r="C267" i="5"/>
  <c r="C256" i="5"/>
  <c r="C245" i="5"/>
  <c r="C234" i="5"/>
  <c r="C228" i="5"/>
  <c r="C217" i="5"/>
  <c r="C206" i="5"/>
  <c r="C195" i="5"/>
  <c r="C184" i="5"/>
  <c r="C178" i="5"/>
  <c r="C167" i="5"/>
  <c r="C156" i="5"/>
  <c r="C145" i="5"/>
  <c r="C134" i="5"/>
  <c r="C128" i="5"/>
  <c r="C117" i="5"/>
  <c r="C106" i="5"/>
  <c r="C95" i="5"/>
  <c r="C84" i="5"/>
  <c r="C78" i="5"/>
  <c r="C67" i="5"/>
  <c r="C56" i="5"/>
  <c r="C45" i="5"/>
  <c r="C34" i="5"/>
  <c r="C28" i="5"/>
  <c r="C17" i="5"/>
  <c r="C5" i="5"/>
  <c r="C4" i="5"/>
  <c r="C8" i="5"/>
  <c r="C3" i="5"/>
  <c r="C2" i="5"/>
  <c r="A12" i="2"/>
  <c r="A13" i="2" s="1"/>
  <c r="K11" i="2"/>
  <c r="B1363" i="5"/>
  <c r="B1428" i="5"/>
  <c r="B1435" i="5"/>
  <c r="B1423" i="5"/>
  <c r="B1407" i="5"/>
  <c r="B1373" i="5"/>
  <c r="B1335" i="5"/>
  <c r="B1317" i="5"/>
  <c r="B1300" i="5"/>
  <c r="B1261" i="5"/>
  <c r="B1228" i="5"/>
  <c r="B1172" i="5"/>
  <c r="B1417" i="5"/>
  <c r="B1422" i="5"/>
  <c r="B1372" i="5"/>
  <c r="B1334" i="5"/>
  <c r="B1296" i="5"/>
  <c r="B1256" i="5"/>
  <c r="B1222" i="5"/>
  <c r="B1434" i="5"/>
  <c r="B1406" i="5"/>
  <c r="B1389" i="5"/>
  <c r="B1313" i="5"/>
  <c r="B1295" i="5"/>
  <c r="B1278" i="5"/>
  <c r="B1418" i="5"/>
  <c r="B1385" i="5"/>
  <c r="B1367" i="5"/>
  <c r="B1350" i="5"/>
  <c r="B1274" i="5"/>
  <c r="B1211" i="5"/>
  <c r="B1311" i="5"/>
  <c r="B1273" i="5"/>
  <c r="B1250" i="5"/>
  <c r="B1384" i="5"/>
  <c r="B1328" i="5"/>
  <c r="B1307" i="5"/>
  <c r="B1272" i="5"/>
  <c r="B1245" i="5"/>
  <c r="B1200" i="5"/>
  <c r="B1142" i="5"/>
  <c r="B1346" i="5"/>
  <c r="B1429" i="5"/>
  <c r="B1345" i="5"/>
  <c r="B1413" i="5"/>
  <c r="B1400" i="5"/>
  <c r="B1324" i="5"/>
  <c r="B1306" i="5"/>
  <c r="B1289" i="5"/>
  <c r="B1440" i="5"/>
  <c r="B1361" i="5"/>
  <c r="B1267" i="5"/>
  <c r="B1189" i="5"/>
  <c r="B1396" i="5"/>
  <c r="B1395" i="5"/>
  <c r="B1357" i="5"/>
  <c r="B1322" i="5"/>
  <c r="B1284" i="5"/>
  <c r="B1239" i="5"/>
  <c r="B1412" i="5"/>
  <c r="B1323" i="5"/>
  <c r="B1285" i="5"/>
  <c r="B1424" i="5"/>
  <c r="B1378" i="5"/>
  <c r="B1439" i="5"/>
  <c r="B1411" i="5"/>
  <c r="B1374" i="5"/>
  <c r="B1356" i="5"/>
  <c r="B1339" i="5"/>
  <c r="B1178" i="5"/>
  <c r="B1117" i="5"/>
  <c r="B1401" i="5"/>
  <c r="B1390" i="5"/>
  <c r="B1379" i="5"/>
  <c r="B1368" i="5"/>
  <c r="B1362" i="5"/>
  <c r="B1351" i="5"/>
  <c r="B1340" i="5"/>
  <c r="B1329" i="5"/>
  <c r="B1318" i="5"/>
  <c r="B1312" i="5"/>
  <c r="B1301" i="5"/>
  <c r="B1290" i="5"/>
  <c r="B1279" i="5"/>
  <c r="B1268" i="5"/>
  <c r="B1262" i="5"/>
  <c r="B1251" i="5"/>
  <c r="B1240" i="5"/>
  <c r="B1229" i="5"/>
  <c r="B1218" i="5"/>
  <c r="B1212" i="5"/>
  <c r="B1201" i="5"/>
  <c r="B1190" i="5"/>
  <c r="B1179" i="5"/>
  <c r="B1168" i="5"/>
  <c r="B1162" i="5"/>
  <c r="B1137" i="5"/>
  <c r="B1112" i="5"/>
  <c r="B1087" i="5"/>
  <c r="B1062" i="5"/>
  <c r="B1037" i="5"/>
  <c r="B1023" i="5"/>
  <c r="B1015" i="5"/>
  <c r="B1008" i="5"/>
  <c r="B999" i="5"/>
  <c r="B990" i="5"/>
  <c r="B980" i="5"/>
  <c r="B970" i="5"/>
  <c r="B960" i="5"/>
  <c r="B950" i="5"/>
  <c r="B939" i="5"/>
  <c r="B928" i="5"/>
  <c r="B917" i="5"/>
  <c r="B872" i="5"/>
  <c r="B856" i="5"/>
  <c r="B844" i="5"/>
  <c r="B1234" i="5"/>
  <c r="B1223" i="5"/>
  <c r="B1217" i="5"/>
  <c r="B1206" i="5"/>
  <c r="B1195" i="5"/>
  <c r="B1184" i="5"/>
  <c r="B1173" i="5"/>
  <c r="B1167" i="5"/>
  <c r="B1161" i="5"/>
  <c r="B1155" i="5"/>
  <c r="B1149" i="5"/>
  <c r="B1143" i="5"/>
  <c r="B1136" i="5"/>
  <c r="B1130" i="5"/>
  <c r="B1124" i="5"/>
  <c r="B1118" i="5"/>
  <c r="B1111" i="5"/>
  <c r="B1105" i="5"/>
  <c r="B1099" i="5"/>
  <c r="B1093" i="5"/>
  <c r="B1086" i="5"/>
  <c r="B1080" i="5"/>
  <c r="B1074" i="5"/>
  <c r="B1068" i="5"/>
  <c r="B1061" i="5"/>
  <c r="B1055" i="5"/>
  <c r="B1049" i="5"/>
  <c r="B1043" i="5"/>
  <c r="B1029" i="5"/>
  <c r="B1022" i="5"/>
  <c r="B916" i="5"/>
  <c r="B905" i="5"/>
  <c r="B894" i="5"/>
  <c r="B883" i="5"/>
  <c r="B871" i="5"/>
  <c r="B828" i="5"/>
  <c r="B804" i="5"/>
  <c r="B1092" i="5"/>
  <c r="B1067" i="5"/>
  <c r="B1042" i="5"/>
  <c r="B1035" i="5"/>
  <c r="B1014" i="5"/>
  <c r="B1005" i="5"/>
  <c r="B998" i="5"/>
  <c r="B989" i="5"/>
  <c r="B979" i="5"/>
  <c r="B969" i="5"/>
  <c r="B959" i="5"/>
  <c r="B949" i="5"/>
  <c r="B938" i="5"/>
  <c r="B927" i="5"/>
  <c r="B855" i="5"/>
  <c r="B1433" i="5"/>
  <c r="B1427" i="5"/>
  <c r="B1416" i="5"/>
  <c r="B1405" i="5"/>
  <c r="B1394" i="5"/>
  <c r="B1383" i="5"/>
  <c r="B1377" i="5"/>
  <c r="B1366" i="5"/>
  <c r="B1355" i="5"/>
  <c r="B1344" i="5"/>
  <c r="B1333" i="5"/>
  <c r="B1327" i="5"/>
  <c r="B1316" i="5"/>
  <c r="B1305" i="5"/>
  <c r="B1294" i="5"/>
  <c r="B1283" i="5"/>
  <c r="B1277" i="5"/>
  <c r="B1266" i="5"/>
  <c r="B1255" i="5"/>
  <c r="B1244" i="5"/>
  <c r="B1233" i="5"/>
  <c r="B1227" i="5"/>
  <c r="B1216" i="5"/>
  <c r="B1205" i="5"/>
  <c r="B1194" i="5"/>
  <c r="B1183" i="5"/>
  <c r="B1177" i="5"/>
  <c r="B1166" i="5"/>
  <c r="B1160" i="5"/>
  <c r="B1154" i="5"/>
  <c r="B1148" i="5"/>
  <c r="B1141" i="5"/>
  <c r="B1135" i="5"/>
  <c r="B1129" i="5"/>
  <c r="B1123" i="5"/>
  <c r="B1116" i="5"/>
  <c r="B1110" i="5"/>
  <c r="B1104" i="5"/>
  <c r="B1098" i="5"/>
  <c r="B1091" i="5"/>
  <c r="B1085" i="5"/>
  <c r="B1079" i="5"/>
  <c r="B1073" i="5"/>
  <c r="B1066" i="5"/>
  <c r="B1060" i="5"/>
  <c r="B1054" i="5"/>
  <c r="B1048" i="5"/>
  <c r="B1041" i="5"/>
  <c r="B1028" i="5"/>
  <c r="B1020" i="5"/>
  <c r="B926" i="5"/>
  <c r="B915" i="5"/>
  <c r="B904" i="5"/>
  <c r="B893" i="5"/>
  <c r="B882" i="5"/>
  <c r="B867" i="5"/>
  <c r="B839" i="5"/>
  <c r="B827" i="5"/>
  <c r="B1432" i="5"/>
  <c r="B1421" i="5"/>
  <c r="B1410" i="5"/>
  <c r="B1399" i="5"/>
  <c r="B1388" i="5"/>
  <c r="B1382" i="5"/>
  <c r="B1371" i="5"/>
  <c r="B1360" i="5"/>
  <c r="B1349" i="5"/>
  <c r="B1338" i="5"/>
  <c r="B1332" i="5"/>
  <c r="B1321" i="5"/>
  <c r="B1310" i="5"/>
  <c r="B1299" i="5"/>
  <c r="B1288" i="5"/>
  <c r="B1282" i="5"/>
  <c r="B1271" i="5"/>
  <c r="B1260" i="5"/>
  <c r="B1249" i="5"/>
  <c r="B1238" i="5"/>
  <c r="B1232" i="5"/>
  <c r="B1221" i="5"/>
  <c r="B1210" i="5"/>
  <c r="B1199" i="5"/>
  <c r="B1188" i="5"/>
  <c r="B1182" i="5"/>
  <c r="B1171" i="5"/>
  <c r="B1147" i="5"/>
  <c r="B1122" i="5"/>
  <c r="B1097" i="5"/>
  <c r="B1072" i="5"/>
  <c r="B1047" i="5"/>
  <c r="B1034" i="5"/>
  <c r="B1027" i="5"/>
  <c r="B1013" i="5"/>
  <c r="B1004" i="5"/>
  <c r="B995" i="5"/>
  <c r="B945" i="5"/>
  <c r="B934" i="5"/>
  <c r="B923" i="5"/>
  <c r="B912" i="5"/>
  <c r="B866" i="5"/>
  <c r="B823" i="5"/>
  <c r="B783" i="5"/>
  <c r="B1438" i="5"/>
  <c r="B1443" i="5"/>
  <c r="B1426" i="5"/>
  <c r="B1415" i="5"/>
  <c r="B1404" i="5"/>
  <c r="B1393" i="5"/>
  <c r="B1387" i="5"/>
  <c r="B1376" i="5"/>
  <c r="B1365" i="5"/>
  <c r="B1354" i="5"/>
  <c r="B1343" i="5"/>
  <c r="B1337" i="5"/>
  <c r="B1326" i="5"/>
  <c r="B1315" i="5"/>
  <c r="B1304" i="5"/>
  <c r="B1293" i="5"/>
  <c r="B1287" i="5"/>
  <c r="B1276" i="5"/>
  <c r="B1265" i="5"/>
  <c r="B1243" i="5"/>
  <c r="B1237" i="5"/>
  <c r="B1226" i="5"/>
  <c r="B1215" i="5"/>
  <c r="B1204" i="5"/>
  <c r="B1193" i="5"/>
  <c r="B1187" i="5"/>
  <c r="B1176" i="5"/>
  <c r="B1165" i="5"/>
  <c r="B1159" i="5"/>
  <c r="B1153" i="5"/>
  <c r="B1146" i="5"/>
  <c r="B1140" i="5"/>
  <c r="B1134" i="5"/>
  <c r="B1128" i="5"/>
  <c r="B1121" i="5"/>
  <c r="B1115" i="5"/>
  <c r="B1109" i="5"/>
  <c r="B1103" i="5"/>
  <c r="B1096" i="5"/>
  <c r="B1090" i="5"/>
  <c r="B1084" i="5"/>
  <c r="B1078" i="5"/>
  <c r="B1071" i="5"/>
  <c r="B1065" i="5"/>
  <c r="B1059" i="5"/>
  <c r="B1053" i="5"/>
  <c r="B1046" i="5"/>
  <c r="B1040" i="5"/>
  <c r="B1019" i="5"/>
  <c r="B985" i="5"/>
  <c r="B975" i="5"/>
  <c r="B965" i="5"/>
  <c r="B955" i="5"/>
  <c r="B911" i="5"/>
  <c r="B900" i="5"/>
  <c r="B889" i="5"/>
  <c r="B878" i="5"/>
  <c r="B850" i="5"/>
  <c r="B838" i="5"/>
  <c r="B776" i="5"/>
  <c r="B1437" i="5"/>
  <c r="B1254" i="5"/>
  <c r="B1442" i="5"/>
  <c r="B1431" i="5"/>
  <c r="B1420" i="5"/>
  <c r="B1409" i="5"/>
  <c r="B1398" i="5"/>
  <c r="B1392" i="5"/>
  <c r="B1381" i="5"/>
  <c r="B1370" i="5"/>
  <c r="B1359" i="5"/>
  <c r="B1348" i="5"/>
  <c r="B1342" i="5"/>
  <c r="B1331" i="5"/>
  <c r="B1320" i="5"/>
  <c r="B1309" i="5"/>
  <c r="B1298" i="5"/>
  <c r="B1292" i="5"/>
  <c r="B1281" i="5"/>
  <c r="B1270" i="5"/>
  <c r="B1259" i="5"/>
  <c r="B1248" i="5"/>
  <c r="B1242" i="5"/>
  <c r="B1231" i="5"/>
  <c r="B1220" i="5"/>
  <c r="B1209" i="5"/>
  <c r="B1198" i="5"/>
  <c r="B1192" i="5"/>
  <c r="B1181" i="5"/>
  <c r="B1170" i="5"/>
  <c r="B1152" i="5"/>
  <c r="B1127" i="5"/>
  <c r="B1102" i="5"/>
  <c r="B1077" i="5"/>
  <c r="B1052" i="5"/>
  <c r="B1033" i="5"/>
  <c r="B1025" i="5"/>
  <c r="B1010" i="5"/>
  <c r="B1003" i="5"/>
  <c r="B994" i="5"/>
  <c r="B944" i="5"/>
  <c r="B933" i="5"/>
  <c r="B922" i="5"/>
  <c r="B862" i="5"/>
  <c r="B834" i="5"/>
  <c r="B822" i="5"/>
  <c r="B1375" i="5"/>
  <c r="B1364" i="5"/>
  <c r="B1353" i="5"/>
  <c r="B1347" i="5"/>
  <c r="B1225" i="5"/>
  <c r="B1214" i="5"/>
  <c r="B1203" i="5"/>
  <c r="B1197" i="5"/>
  <c r="B1186" i="5"/>
  <c r="B1175" i="5"/>
  <c r="B1158" i="5"/>
  <c r="B1151" i="5"/>
  <c r="B1145" i="5"/>
  <c r="B1139" i="5"/>
  <c r="B1133" i="5"/>
  <c r="B1126" i="5"/>
  <c r="B1120" i="5"/>
  <c r="B1114" i="5"/>
  <c r="B1108" i="5"/>
  <c r="B1101" i="5"/>
  <c r="B1095" i="5"/>
  <c r="B1089" i="5"/>
  <c r="B1083" i="5"/>
  <c r="B1076" i="5"/>
  <c r="B1070" i="5"/>
  <c r="B1064" i="5"/>
  <c r="B1058" i="5"/>
  <c r="B1051" i="5"/>
  <c r="B1045" i="5"/>
  <c r="B1039" i="5"/>
  <c r="B1032" i="5"/>
  <c r="B1018" i="5"/>
  <c r="B984" i="5"/>
  <c r="B974" i="5"/>
  <c r="B964" i="5"/>
  <c r="B954" i="5"/>
  <c r="B921" i="5"/>
  <c r="B910" i="5"/>
  <c r="B899" i="5"/>
  <c r="B888" i="5"/>
  <c r="B877" i="5"/>
  <c r="B861" i="5"/>
  <c r="B849" i="5"/>
  <c r="B763" i="5"/>
  <c r="B1436" i="5"/>
  <c r="B1425" i="5"/>
  <c r="B1414" i="5"/>
  <c r="B1403" i="5"/>
  <c r="B1397" i="5"/>
  <c r="B1386" i="5"/>
  <c r="B1336" i="5"/>
  <c r="B1325" i="5"/>
  <c r="B1314" i="5"/>
  <c r="B1303" i="5"/>
  <c r="B1297" i="5"/>
  <c r="B1286" i="5"/>
  <c r="B1275" i="5"/>
  <c r="B1264" i="5"/>
  <c r="B1253" i="5"/>
  <c r="B1247" i="5"/>
  <c r="B1236" i="5"/>
  <c r="B1164" i="5"/>
  <c r="B1441" i="5"/>
  <c r="B1430" i="5"/>
  <c r="B1419" i="5"/>
  <c r="B1408" i="5"/>
  <c r="B1402" i="5"/>
  <c r="B1391" i="5"/>
  <c r="B1380" i="5"/>
  <c r="B1369" i="5"/>
  <c r="B1358" i="5"/>
  <c r="B1352" i="5"/>
  <c r="B1341" i="5"/>
  <c r="B1330" i="5"/>
  <c r="B1319" i="5"/>
  <c r="B1308" i="5"/>
  <c r="B1302" i="5"/>
  <c r="B1291" i="5"/>
  <c r="B1280" i="5"/>
  <c r="B1269" i="5"/>
  <c r="B1258" i="5"/>
  <c r="B1252" i="5"/>
  <c r="B1241" i="5"/>
  <c r="B1230" i="5"/>
  <c r="B1219" i="5"/>
  <c r="B1208" i="5"/>
  <c r="B1202" i="5"/>
  <c r="B1191" i="5"/>
  <c r="B1180" i="5"/>
  <c r="B1169" i="5"/>
  <c r="B1157" i="5"/>
  <c r="B1132" i="5"/>
  <c r="B1107" i="5"/>
  <c r="B1082" i="5"/>
  <c r="B1057" i="5"/>
  <c r="B1024" i="5"/>
  <c r="B1017" i="5"/>
  <c r="B1009" i="5"/>
  <c r="B1000" i="5"/>
  <c r="B993" i="5"/>
  <c r="B943" i="5"/>
  <c r="B932" i="5"/>
  <c r="B873" i="5"/>
  <c r="B845" i="5"/>
  <c r="B833" i="5"/>
  <c r="B817" i="5"/>
  <c r="B1263" i="5"/>
  <c r="B1257" i="5"/>
  <c r="B1246" i="5"/>
  <c r="B1235" i="5"/>
  <c r="B1224" i="5"/>
  <c r="B1213" i="5"/>
  <c r="B1207" i="5"/>
  <c r="B1196" i="5"/>
  <c r="B1185" i="5"/>
  <c r="B1174" i="5"/>
  <c r="B1163" i="5"/>
  <c r="B1156" i="5"/>
  <c r="B1150" i="5"/>
  <c r="B1144" i="5"/>
  <c r="B1138" i="5"/>
  <c r="B1131" i="5"/>
  <c r="B1125" i="5"/>
  <c r="B1119" i="5"/>
  <c r="B1113" i="5"/>
  <c r="B1106" i="5"/>
  <c r="B1100" i="5"/>
  <c r="B1094" i="5"/>
  <c r="B1088" i="5"/>
  <c r="B1081" i="5"/>
  <c r="B1075" i="5"/>
  <c r="B1069" i="5"/>
  <c r="B1063" i="5"/>
  <c r="B1056" i="5"/>
  <c r="B1050" i="5"/>
  <c r="B1044" i="5"/>
  <c r="B1038" i="5"/>
  <c r="B1030" i="5"/>
  <c r="B906" i="5"/>
  <c r="B895" i="5"/>
  <c r="B884" i="5"/>
  <c r="B860" i="5"/>
  <c r="B816" i="5"/>
  <c r="B740" i="5"/>
  <c r="B731" i="5"/>
  <c r="B724" i="5"/>
  <c r="B715" i="5"/>
  <c r="B688" i="5"/>
  <c r="B646" i="5"/>
  <c r="B619" i="5"/>
  <c r="B607" i="5"/>
  <c r="B588" i="5"/>
  <c r="B569" i="5"/>
  <c r="B810" i="5"/>
  <c r="B797" i="5"/>
  <c r="B790" i="5"/>
  <c r="B769" i="5"/>
  <c r="B754" i="5"/>
  <c r="B747" i="5"/>
  <c r="B738" i="5"/>
  <c r="B707" i="5"/>
  <c r="B697" i="5"/>
  <c r="B679" i="5"/>
  <c r="B668" i="5"/>
  <c r="B657" i="5"/>
  <c r="B539" i="5"/>
  <c r="B821" i="5"/>
  <c r="B803" i="5"/>
  <c r="B796" i="5"/>
  <c r="B782" i="5"/>
  <c r="B775" i="5"/>
  <c r="B746" i="5"/>
  <c r="B730" i="5"/>
  <c r="B721" i="5"/>
  <c r="B714" i="5"/>
  <c r="B696" i="5"/>
  <c r="B686" i="5"/>
  <c r="B677" i="5"/>
  <c r="B630" i="5"/>
  <c r="B618" i="5"/>
  <c r="B585" i="5"/>
  <c r="B537" i="5"/>
  <c r="B876" i="5"/>
  <c r="B865" i="5"/>
  <c r="B854" i="5"/>
  <c r="B843" i="5"/>
  <c r="B832" i="5"/>
  <c r="B826" i="5"/>
  <c r="B815" i="5"/>
  <c r="B809" i="5"/>
  <c r="B788" i="5"/>
  <c r="B781" i="5"/>
  <c r="B768" i="5"/>
  <c r="B760" i="5"/>
  <c r="B753" i="5"/>
  <c r="B737" i="5"/>
  <c r="B704" i="5"/>
  <c r="B675" i="5"/>
  <c r="B664" i="5"/>
  <c r="B653" i="5"/>
  <c r="B642" i="5"/>
  <c r="B602" i="5"/>
  <c r="B983" i="5"/>
  <c r="B973" i="5"/>
  <c r="B968" i="5"/>
  <c r="B963" i="5"/>
  <c r="B958" i="5"/>
  <c r="B948" i="5"/>
  <c r="B937" i="5"/>
  <c r="B931" i="5"/>
  <c r="B920" i="5"/>
  <c r="B909" i="5"/>
  <c r="B898" i="5"/>
  <c r="B887" i="5"/>
  <c r="B881" i="5"/>
  <c r="B870" i="5"/>
  <c r="B859" i="5"/>
  <c r="B848" i="5"/>
  <c r="B837" i="5"/>
  <c r="B831" i="5"/>
  <c r="B820" i="5"/>
  <c r="B802" i="5"/>
  <c r="B794" i="5"/>
  <c r="B774" i="5"/>
  <c r="B766" i="5"/>
  <c r="B736" i="5"/>
  <c r="B729" i="5"/>
  <c r="B720" i="5"/>
  <c r="B713" i="5"/>
  <c r="B703" i="5"/>
  <c r="B685" i="5"/>
  <c r="B641" i="5"/>
  <c r="B629" i="5"/>
  <c r="B599" i="5"/>
  <c r="B580" i="5"/>
  <c r="B563" i="5"/>
  <c r="B988" i="5"/>
  <c r="B978" i="5"/>
  <c r="B953" i="5"/>
  <c r="B942" i="5"/>
  <c r="B936" i="5"/>
  <c r="B925" i="5"/>
  <c r="B914" i="5"/>
  <c r="B903" i="5"/>
  <c r="B892" i="5"/>
  <c r="B886" i="5"/>
  <c r="B875" i="5"/>
  <c r="B864" i="5"/>
  <c r="B853" i="5"/>
  <c r="B842" i="5"/>
  <c r="B836" i="5"/>
  <c r="B825" i="5"/>
  <c r="B814" i="5"/>
  <c r="B808" i="5"/>
  <c r="B801" i="5"/>
  <c r="B787" i="5"/>
  <c r="B780" i="5"/>
  <c r="B759" i="5"/>
  <c r="B752" i="5"/>
  <c r="B743" i="5"/>
  <c r="B727" i="5"/>
  <c r="B693" i="5"/>
  <c r="B674" i="5"/>
  <c r="B663" i="5"/>
  <c r="B652" i="5"/>
  <c r="B627" i="5"/>
  <c r="B613" i="5"/>
  <c r="B597" i="5"/>
  <c r="B526" i="5"/>
  <c r="B1012" i="5"/>
  <c r="B1007" i="5"/>
  <c r="B1002" i="5"/>
  <c r="B997" i="5"/>
  <c r="B992" i="5"/>
  <c r="B987" i="5"/>
  <c r="B982" i="5"/>
  <c r="B977" i="5"/>
  <c r="B972" i="5"/>
  <c r="B967" i="5"/>
  <c r="B962" i="5"/>
  <c r="B957" i="5"/>
  <c r="B952" i="5"/>
  <c r="B947" i="5"/>
  <c r="B941" i="5"/>
  <c r="B930" i="5"/>
  <c r="B919" i="5"/>
  <c r="B908" i="5"/>
  <c r="B897" i="5"/>
  <c r="B891" i="5"/>
  <c r="B880" i="5"/>
  <c r="B869" i="5"/>
  <c r="B858" i="5"/>
  <c r="B847" i="5"/>
  <c r="B841" i="5"/>
  <c r="B830" i="5"/>
  <c r="B819" i="5"/>
  <c r="B793" i="5"/>
  <c r="B786" i="5"/>
  <c r="B772" i="5"/>
  <c r="B765" i="5"/>
  <c r="B751" i="5"/>
  <c r="B735" i="5"/>
  <c r="B726" i="5"/>
  <c r="B719" i="5"/>
  <c r="B710" i="5"/>
  <c r="B702" i="5"/>
  <c r="B692" i="5"/>
  <c r="B651" i="5"/>
  <c r="B640" i="5"/>
  <c r="B596" i="5"/>
  <c r="B577" i="5"/>
  <c r="B946" i="5"/>
  <c r="B935" i="5"/>
  <c r="B924" i="5"/>
  <c r="B913" i="5"/>
  <c r="B902" i="5"/>
  <c r="B896" i="5"/>
  <c r="B885" i="5"/>
  <c r="B874" i="5"/>
  <c r="B863" i="5"/>
  <c r="B852" i="5"/>
  <c r="B846" i="5"/>
  <c r="B835" i="5"/>
  <c r="B824" i="5"/>
  <c r="B813" i="5"/>
  <c r="B807" i="5"/>
  <c r="B799" i="5"/>
  <c r="B779" i="5"/>
  <c r="B771" i="5"/>
  <c r="B758" i="5"/>
  <c r="B749" i="5"/>
  <c r="B742" i="5"/>
  <c r="B701" i="5"/>
  <c r="B691" i="5"/>
  <c r="B682" i="5"/>
  <c r="B671" i="5"/>
  <c r="B660" i="5"/>
  <c r="B649" i="5"/>
  <c r="B638" i="5"/>
  <c r="B624" i="5"/>
  <c r="B610" i="5"/>
  <c r="B519" i="5"/>
  <c r="B1036" i="5"/>
  <c r="B1031" i="5"/>
  <c r="B1026" i="5"/>
  <c r="B1021" i="5"/>
  <c r="B1016" i="5"/>
  <c r="B1011" i="5"/>
  <c r="B1006" i="5"/>
  <c r="B1001" i="5"/>
  <c r="B996" i="5"/>
  <c r="B991" i="5"/>
  <c r="B986" i="5"/>
  <c r="B981" i="5"/>
  <c r="B976" i="5"/>
  <c r="B971" i="5"/>
  <c r="B966" i="5"/>
  <c r="B961" i="5"/>
  <c r="B956" i="5"/>
  <c r="B951" i="5"/>
  <c r="B940" i="5"/>
  <c r="B929" i="5"/>
  <c r="B918" i="5"/>
  <c r="B907" i="5"/>
  <c r="B901" i="5"/>
  <c r="B890" i="5"/>
  <c r="B879" i="5"/>
  <c r="B868" i="5"/>
  <c r="B857" i="5"/>
  <c r="B851" i="5"/>
  <c r="B840" i="5"/>
  <c r="B829" i="5"/>
  <c r="B818" i="5"/>
  <c r="B805" i="5"/>
  <c r="B792" i="5"/>
  <c r="B785" i="5"/>
  <c r="B764" i="5"/>
  <c r="B741" i="5"/>
  <c r="B725" i="5"/>
  <c r="B718" i="5"/>
  <c r="B699" i="5"/>
  <c r="B608" i="5"/>
  <c r="B591" i="5"/>
  <c r="B574" i="5"/>
  <c r="B812" i="5"/>
  <c r="B798" i="5"/>
  <c r="B791" i="5"/>
  <c r="B777" i="5"/>
  <c r="B770" i="5"/>
  <c r="B757" i="5"/>
  <c r="B748" i="5"/>
  <c r="B732" i="5"/>
  <c r="B708" i="5"/>
  <c r="B690" i="5"/>
  <c r="B680" i="5"/>
  <c r="B669" i="5"/>
  <c r="B658" i="5"/>
  <c r="B647" i="5"/>
  <c r="B635" i="5"/>
  <c r="B621" i="5"/>
  <c r="B571" i="5"/>
  <c r="B547" i="5"/>
  <c r="B505" i="5"/>
  <c r="B811" i="5"/>
  <c r="B800" i="5"/>
  <c r="B789" i="5"/>
  <c r="B778" i="5"/>
  <c r="B767" i="5"/>
  <c r="B761" i="5"/>
  <c r="B750" i="5"/>
  <c r="B739" i="5"/>
  <c r="B728" i="5"/>
  <c r="B717" i="5"/>
  <c r="B711" i="5"/>
  <c r="B700" i="5"/>
  <c r="B689" i="5"/>
  <c r="B678" i="5"/>
  <c r="B667" i="5"/>
  <c r="B661" i="5"/>
  <c r="B650" i="5"/>
  <c r="B639" i="5"/>
  <c r="B628" i="5"/>
  <c r="B617" i="5"/>
  <c r="B611" i="5"/>
  <c r="B600" i="5"/>
  <c r="B589" i="5"/>
  <c r="B578" i="5"/>
  <c r="B567" i="5"/>
  <c r="B548" i="5"/>
  <c r="B527" i="5"/>
  <c r="B506" i="5"/>
  <c r="B499" i="5"/>
  <c r="B477" i="5"/>
  <c r="B469" i="5"/>
  <c r="B461" i="5"/>
  <c r="B453" i="5"/>
  <c r="B445" i="5"/>
  <c r="B436" i="5"/>
  <c r="B368" i="5"/>
  <c r="B338" i="5"/>
  <c r="B755" i="5"/>
  <c r="B744" i="5"/>
  <c r="B733" i="5"/>
  <c r="B722" i="5"/>
  <c r="B716" i="5"/>
  <c r="B705" i="5"/>
  <c r="B694" i="5"/>
  <c r="B683" i="5"/>
  <c r="B672" i="5"/>
  <c r="B666" i="5"/>
  <c r="B655" i="5"/>
  <c r="B644" i="5"/>
  <c r="B633" i="5"/>
  <c r="B622" i="5"/>
  <c r="B616" i="5"/>
  <c r="B605" i="5"/>
  <c r="B594" i="5"/>
  <c r="B583" i="5"/>
  <c r="B572" i="5"/>
  <c r="B566" i="5"/>
  <c r="B560" i="5"/>
  <c r="B554" i="5"/>
  <c r="B541" i="5"/>
  <c r="B533" i="5"/>
  <c r="B520" i="5"/>
  <c r="B513" i="5"/>
  <c r="B492" i="5"/>
  <c r="B444" i="5"/>
  <c r="B425" i="5"/>
  <c r="B412" i="5"/>
  <c r="B384" i="5"/>
  <c r="B498" i="5"/>
  <c r="B483" i="5"/>
  <c r="B467" i="5"/>
  <c r="B460" i="5"/>
  <c r="B452" i="5"/>
  <c r="B424" i="5"/>
  <c r="B399" i="5"/>
  <c r="B367" i="5"/>
  <c r="B324" i="5"/>
  <c r="B676" i="5"/>
  <c r="B665" i="5"/>
  <c r="B654" i="5"/>
  <c r="B643" i="5"/>
  <c r="B632" i="5"/>
  <c r="B626" i="5"/>
  <c r="B615" i="5"/>
  <c r="B604" i="5"/>
  <c r="B593" i="5"/>
  <c r="B582" i="5"/>
  <c r="B576" i="5"/>
  <c r="B565" i="5"/>
  <c r="B559" i="5"/>
  <c r="B553" i="5"/>
  <c r="B532" i="5"/>
  <c r="B511" i="5"/>
  <c r="B504" i="5"/>
  <c r="B491" i="5"/>
  <c r="B475" i="5"/>
  <c r="B442" i="5"/>
  <c r="B433" i="5"/>
  <c r="B422" i="5"/>
  <c r="B410" i="5"/>
  <c r="B396" i="5"/>
  <c r="B320" i="5"/>
  <c r="B709" i="5"/>
  <c r="B698" i="5"/>
  <c r="B687" i="5"/>
  <c r="B681" i="5"/>
  <c r="B670" i="5"/>
  <c r="B659" i="5"/>
  <c r="B648" i="5"/>
  <c r="B637" i="5"/>
  <c r="B631" i="5"/>
  <c r="B620" i="5"/>
  <c r="B609" i="5"/>
  <c r="B598" i="5"/>
  <c r="B587" i="5"/>
  <c r="B581" i="5"/>
  <c r="B570" i="5"/>
  <c r="B545" i="5"/>
  <c r="B538" i="5"/>
  <c r="B525" i="5"/>
  <c r="B517" i="5"/>
  <c r="B497" i="5"/>
  <c r="B489" i="5"/>
  <c r="B482" i="5"/>
  <c r="B474" i="5"/>
  <c r="B466" i="5"/>
  <c r="B458" i="5"/>
  <c r="B450" i="5"/>
  <c r="B364" i="5"/>
  <c r="B636" i="5"/>
  <c r="B625" i="5"/>
  <c r="B614" i="5"/>
  <c r="B603" i="5"/>
  <c r="B592" i="5"/>
  <c r="B586" i="5"/>
  <c r="B575" i="5"/>
  <c r="B564" i="5"/>
  <c r="B558" i="5"/>
  <c r="B552" i="5"/>
  <c r="B544" i="5"/>
  <c r="B531" i="5"/>
  <c r="B524" i="5"/>
  <c r="B510" i="5"/>
  <c r="B503" i="5"/>
  <c r="B481" i="5"/>
  <c r="B449" i="5"/>
  <c r="B441" i="5"/>
  <c r="B431" i="5"/>
  <c r="B392" i="5"/>
  <c r="B516" i="5"/>
  <c r="B509" i="5"/>
  <c r="B495" i="5"/>
  <c r="B488" i="5"/>
  <c r="B472" i="5"/>
  <c r="B464" i="5"/>
  <c r="B456" i="5"/>
  <c r="B439" i="5"/>
  <c r="B418" i="5"/>
  <c r="B406" i="5"/>
  <c r="B359" i="5"/>
  <c r="B296" i="5"/>
  <c r="B557" i="5"/>
  <c r="B550" i="5"/>
  <c r="B543" i="5"/>
  <c r="B530" i="5"/>
  <c r="B522" i="5"/>
  <c r="B502" i="5"/>
  <c r="B494" i="5"/>
  <c r="B480" i="5"/>
  <c r="B430" i="5"/>
  <c r="B375" i="5"/>
  <c r="B356" i="5"/>
  <c r="B292" i="5"/>
  <c r="B601" i="5"/>
  <c r="B590" i="5"/>
  <c r="B579" i="5"/>
  <c r="B568" i="5"/>
  <c r="B549" i="5"/>
  <c r="B536" i="5"/>
  <c r="B528" i="5"/>
  <c r="B515" i="5"/>
  <c r="B508" i="5"/>
  <c r="B478" i="5"/>
  <c r="B471" i="5"/>
  <c r="B463" i="5"/>
  <c r="B455" i="5"/>
  <c r="B447" i="5"/>
  <c r="B438" i="5"/>
  <c r="B428" i="5"/>
  <c r="B416" i="5"/>
  <c r="B404" i="5"/>
  <c r="B388" i="5"/>
  <c r="B806" i="5"/>
  <c r="B795" i="5"/>
  <c r="B784" i="5"/>
  <c r="B773" i="5"/>
  <c r="B762" i="5"/>
  <c r="B756" i="5"/>
  <c r="B745" i="5"/>
  <c r="B734" i="5"/>
  <c r="B723" i="5"/>
  <c r="B712" i="5"/>
  <c r="B706" i="5"/>
  <c r="B695" i="5"/>
  <c r="B684" i="5"/>
  <c r="B673" i="5"/>
  <c r="B662" i="5"/>
  <c r="B656" i="5"/>
  <c r="B645" i="5"/>
  <c r="B634" i="5"/>
  <c r="B623" i="5"/>
  <c r="B612" i="5"/>
  <c r="B606" i="5"/>
  <c r="B595" i="5"/>
  <c r="B584" i="5"/>
  <c r="B573" i="5"/>
  <c r="B562" i="5"/>
  <c r="B555" i="5"/>
  <c r="B542" i="5"/>
  <c r="B521" i="5"/>
  <c r="B514" i="5"/>
  <c r="B500" i="5"/>
  <c r="B493" i="5"/>
  <c r="B486" i="5"/>
  <c r="B470" i="5"/>
  <c r="B454" i="5"/>
  <c r="B403" i="5"/>
  <c r="B443" i="5"/>
  <c r="B432" i="5"/>
  <c r="B408" i="5"/>
  <c r="B394" i="5"/>
  <c r="B386" i="5"/>
  <c r="B378" i="5"/>
  <c r="B370" i="5"/>
  <c r="B362" i="5"/>
  <c r="B353" i="5"/>
  <c r="B342" i="5"/>
  <c r="B316" i="5"/>
  <c r="B288" i="5"/>
  <c r="B273" i="5"/>
  <c r="B253" i="5"/>
  <c r="B487" i="5"/>
  <c r="B476" i="5"/>
  <c r="B465" i="5"/>
  <c r="B459" i="5"/>
  <c r="B448" i="5"/>
  <c r="B437" i="5"/>
  <c r="B426" i="5"/>
  <c r="B420" i="5"/>
  <c r="B414" i="5"/>
  <c r="B407" i="5"/>
  <c r="B401" i="5"/>
  <c r="B393" i="5"/>
  <c r="B385" i="5"/>
  <c r="B377" i="5"/>
  <c r="B329" i="5"/>
  <c r="B301" i="5"/>
  <c r="B270" i="5"/>
  <c r="B229" i="5"/>
  <c r="B201" i="5"/>
  <c r="B351" i="5"/>
  <c r="B340" i="5"/>
  <c r="B327" i="5"/>
  <c r="B285" i="5"/>
  <c r="B268" i="5"/>
  <c r="B251" i="5"/>
  <c r="B224" i="5"/>
  <c r="B196" i="5"/>
  <c r="B360" i="5"/>
  <c r="B312" i="5"/>
  <c r="B223" i="5"/>
  <c r="B246" i="5"/>
  <c r="B218" i="5"/>
  <c r="B546" i="5"/>
  <c r="B535" i="5"/>
  <c r="B529" i="5"/>
  <c r="B518" i="5"/>
  <c r="B507" i="5"/>
  <c r="B496" i="5"/>
  <c r="B485" i="5"/>
  <c r="B479" i="5"/>
  <c r="B468" i="5"/>
  <c r="B457" i="5"/>
  <c r="B446" i="5"/>
  <c r="B435" i="5"/>
  <c r="B429" i="5"/>
  <c r="B423" i="5"/>
  <c r="B417" i="5"/>
  <c r="B411" i="5"/>
  <c r="B405" i="5"/>
  <c r="B390" i="5"/>
  <c r="B382" i="5"/>
  <c r="B374" i="5"/>
  <c r="B366" i="5"/>
  <c r="B357" i="5"/>
  <c r="B323" i="5"/>
  <c r="B309" i="5"/>
  <c r="B281" i="5"/>
  <c r="B190" i="5"/>
  <c r="B561" i="5"/>
  <c r="B556" i="5"/>
  <c r="B551" i="5"/>
  <c r="B540" i="5"/>
  <c r="B534" i="5"/>
  <c r="B523" i="5"/>
  <c r="B512" i="5"/>
  <c r="B501" i="5"/>
  <c r="B490" i="5"/>
  <c r="B484" i="5"/>
  <c r="B473" i="5"/>
  <c r="B462" i="5"/>
  <c r="B451" i="5"/>
  <c r="B440" i="5"/>
  <c r="B434" i="5"/>
  <c r="B397" i="5"/>
  <c r="B381" i="5"/>
  <c r="B373" i="5"/>
  <c r="B346" i="5"/>
  <c r="B335" i="5"/>
  <c r="B307" i="5"/>
  <c r="B294" i="5"/>
  <c r="B262" i="5"/>
  <c r="B185" i="5"/>
  <c r="B279" i="5"/>
  <c r="B259" i="5"/>
  <c r="B240" i="5"/>
  <c r="B212" i="5"/>
  <c r="B355" i="5"/>
  <c r="B345" i="5"/>
  <c r="B318" i="5"/>
  <c r="B305" i="5"/>
  <c r="B257" i="5"/>
  <c r="B235" i="5"/>
  <c r="B207" i="5"/>
  <c r="B427" i="5"/>
  <c r="B421" i="5"/>
  <c r="B415" i="5"/>
  <c r="B409" i="5"/>
  <c r="B395" i="5"/>
  <c r="B379" i="5"/>
  <c r="B371" i="5"/>
  <c r="B344" i="5"/>
  <c r="B331" i="5"/>
  <c r="B303" i="5"/>
  <c r="B290" i="5"/>
  <c r="B274" i="5"/>
  <c r="B179" i="5"/>
  <c r="B419" i="5"/>
  <c r="B413" i="5"/>
  <c r="B402" i="5"/>
  <c r="B391" i="5"/>
  <c r="B380" i="5"/>
  <c r="B369" i="5"/>
  <c r="B363" i="5"/>
  <c r="B352" i="5"/>
  <c r="B341" i="5"/>
  <c r="B330" i="5"/>
  <c r="B319" i="5"/>
  <c r="B313" i="5"/>
  <c r="B302" i="5"/>
  <c r="B291" i="5"/>
  <c r="B280" i="5"/>
  <c r="B269" i="5"/>
  <c r="B263" i="5"/>
  <c r="B252" i="5"/>
  <c r="B241" i="5"/>
  <c r="B230" i="5"/>
  <c r="B219" i="5"/>
  <c r="B213" i="5"/>
  <c r="B202" i="5"/>
  <c r="B191" i="5"/>
  <c r="B180" i="5"/>
  <c r="B169" i="5"/>
  <c r="B163" i="5"/>
  <c r="B152" i="5"/>
  <c r="B141" i="5"/>
  <c r="B130" i="5"/>
  <c r="B119" i="5"/>
  <c r="B113" i="5"/>
  <c r="B102" i="5"/>
  <c r="B91" i="5"/>
  <c r="B80" i="5"/>
  <c r="B69" i="5"/>
  <c r="B63" i="5"/>
  <c r="B52" i="5"/>
  <c r="B41" i="5"/>
  <c r="B35" i="5"/>
  <c r="B29" i="5"/>
  <c r="B22" i="5"/>
  <c r="B16" i="5"/>
  <c r="B10" i="5"/>
  <c r="B174" i="5"/>
  <c r="B168" i="5"/>
  <c r="B157" i="5"/>
  <c r="B146" i="5"/>
  <c r="B135" i="5"/>
  <c r="B124" i="5"/>
  <c r="B118" i="5"/>
  <c r="B107" i="5"/>
  <c r="B96" i="5"/>
  <c r="B85" i="5"/>
  <c r="B74" i="5"/>
  <c r="B68" i="5"/>
  <c r="B57" i="5"/>
  <c r="B46" i="5"/>
  <c r="B173" i="5"/>
  <c r="B162" i="5"/>
  <c r="B151" i="5"/>
  <c r="B140" i="5"/>
  <c r="B129" i="5"/>
  <c r="B123" i="5"/>
  <c r="B112" i="5"/>
  <c r="B101" i="5"/>
  <c r="B90" i="5"/>
  <c r="B79" i="5"/>
  <c r="B73" i="5"/>
  <c r="B62" i="5"/>
  <c r="B51" i="5"/>
  <c r="B40" i="5"/>
  <c r="B34" i="5"/>
  <c r="B27" i="5"/>
  <c r="B21" i="5"/>
  <c r="B15" i="5"/>
  <c r="B9" i="5"/>
  <c r="B334" i="5"/>
  <c r="B328" i="5"/>
  <c r="B317" i="5"/>
  <c r="B306" i="5"/>
  <c r="B295" i="5"/>
  <c r="B284" i="5"/>
  <c r="B278" i="5"/>
  <c r="B267" i="5"/>
  <c r="B256" i="5"/>
  <c r="B245" i="5"/>
  <c r="B234" i="5"/>
  <c r="B228" i="5"/>
  <c r="B217" i="5"/>
  <c r="B206" i="5"/>
  <c r="B195" i="5"/>
  <c r="B184" i="5"/>
  <c r="B178" i="5"/>
  <c r="B167" i="5"/>
  <c r="B156" i="5"/>
  <c r="B145" i="5"/>
  <c r="B134" i="5"/>
  <c r="B128" i="5"/>
  <c r="B117" i="5"/>
  <c r="B106" i="5"/>
  <c r="B95" i="5"/>
  <c r="B84" i="5"/>
  <c r="B78" i="5"/>
  <c r="B67" i="5"/>
  <c r="B56" i="5"/>
  <c r="B45" i="5"/>
  <c r="B400" i="5"/>
  <c r="B389" i="5"/>
  <c r="B383" i="5"/>
  <c r="B372" i="5"/>
  <c r="B361" i="5"/>
  <c r="B350" i="5"/>
  <c r="B339" i="5"/>
  <c r="B333" i="5"/>
  <c r="B322" i="5"/>
  <c r="B311" i="5"/>
  <c r="B300" i="5"/>
  <c r="B289" i="5"/>
  <c r="B283" i="5"/>
  <c r="B272" i="5"/>
  <c r="B261" i="5"/>
  <c r="B250" i="5"/>
  <c r="B239" i="5"/>
  <c r="B233" i="5"/>
  <c r="B222" i="5"/>
  <c r="B211" i="5"/>
  <c r="B200" i="5"/>
  <c r="B189" i="5"/>
  <c r="B183" i="5"/>
  <c r="B172" i="5"/>
  <c r="B161" i="5"/>
  <c r="B150" i="5"/>
  <c r="B139" i="5"/>
  <c r="B133" i="5"/>
  <c r="B122" i="5"/>
  <c r="B111" i="5"/>
  <c r="B100" i="5"/>
  <c r="B89" i="5"/>
  <c r="B83" i="5"/>
  <c r="B72" i="5"/>
  <c r="B61" i="5"/>
  <c r="B50" i="5"/>
  <c r="B39" i="5"/>
  <c r="B32" i="5"/>
  <c r="B26" i="5"/>
  <c r="B20" i="5"/>
  <c r="B14" i="5"/>
  <c r="B277" i="5"/>
  <c r="B266" i="5"/>
  <c r="B255" i="5"/>
  <c r="B244" i="5"/>
  <c r="B238" i="5"/>
  <c r="B227" i="5"/>
  <c r="B216" i="5"/>
  <c r="B205" i="5"/>
  <c r="B194" i="5"/>
  <c r="B188" i="5"/>
  <c r="B177" i="5"/>
  <c r="B166" i="5"/>
  <c r="B155" i="5"/>
  <c r="B144" i="5"/>
  <c r="B138" i="5"/>
  <c r="B127" i="5"/>
  <c r="B116" i="5"/>
  <c r="B105" i="5"/>
  <c r="B94" i="5"/>
  <c r="B88" i="5"/>
  <c r="B77" i="5"/>
  <c r="B66" i="5"/>
  <c r="B55" i="5"/>
  <c r="B44" i="5"/>
  <c r="B6" i="5"/>
  <c r="B349" i="5"/>
  <c r="B343" i="5"/>
  <c r="B332" i="5"/>
  <c r="B321" i="5"/>
  <c r="B310" i="5"/>
  <c r="B299" i="5"/>
  <c r="B293" i="5"/>
  <c r="B282" i="5"/>
  <c r="B271" i="5"/>
  <c r="B260" i="5"/>
  <c r="B249" i="5"/>
  <c r="B243" i="5"/>
  <c r="B232" i="5"/>
  <c r="B221" i="5"/>
  <c r="B210" i="5"/>
  <c r="B199" i="5"/>
  <c r="B193" i="5"/>
  <c r="B182" i="5"/>
  <c r="B171" i="5"/>
  <c r="B160" i="5"/>
  <c r="B149" i="5"/>
  <c r="B143" i="5"/>
  <c r="B132" i="5"/>
  <c r="B121" i="5"/>
  <c r="B110" i="5"/>
  <c r="B99" i="5"/>
  <c r="B93" i="5"/>
  <c r="B82" i="5"/>
  <c r="B71" i="5"/>
  <c r="B60" i="5"/>
  <c r="B49" i="5"/>
  <c r="B43" i="5"/>
  <c r="B37" i="5"/>
  <c r="B31" i="5"/>
  <c r="B25" i="5"/>
  <c r="B19" i="5"/>
  <c r="B12" i="5"/>
  <c r="B398" i="5"/>
  <c r="B387" i="5"/>
  <c r="B376" i="5"/>
  <c r="B365" i="5"/>
  <c r="B354" i="5"/>
  <c r="B348" i="5"/>
  <c r="B337" i="5"/>
  <c r="B326" i="5"/>
  <c r="B315" i="5"/>
  <c r="B304" i="5"/>
  <c r="B298" i="5"/>
  <c r="B287" i="5"/>
  <c r="B276" i="5"/>
  <c r="B265" i="5"/>
  <c r="B254" i="5"/>
  <c r="B248" i="5"/>
  <c r="B237" i="5"/>
  <c r="B226" i="5"/>
  <c r="B215" i="5"/>
  <c r="B204" i="5"/>
  <c r="B198" i="5"/>
  <c r="B187" i="5"/>
  <c r="B176" i="5"/>
  <c r="B165" i="5"/>
  <c r="B154" i="5"/>
  <c r="B148" i="5"/>
  <c r="B137" i="5"/>
  <c r="B126" i="5"/>
  <c r="B115" i="5"/>
  <c r="B104" i="5"/>
  <c r="B98" i="5"/>
  <c r="B87" i="5"/>
  <c r="B76" i="5"/>
  <c r="B65" i="5"/>
  <c r="B54" i="5"/>
  <c r="B48" i="5"/>
  <c r="B5" i="5"/>
  <c r="B242" i="5"/>
  <c r="B231" i="5"/>
  <c r="B220" i="5"/>
  <c r="B209" i="5"/>
  <c r="B203" i="5"/>
  <c r="B192" i="5"/>
  <c r="B181" i="5"/>
  <c r="B170" i="5"/>
  <c r="B159" i="5"/>
  <c r="B153" i="5"/>
  <c r="B142" i="5"/>
  <c r="B131" i="5"/>
  <c r="B120" i="5"/>
  <c r="B109" i="5"/>
  <c r="B103" i="5"/>
  <c r="B92" i="5"/>
  <c r="B81" i="5"/>
  <c r="B70" i="5"/>
  <c r="B59" i="5"/>
  <c r="B53" i="5"/>
  <c r="B42" i="5"/>
  <c r="B36" i="5"/>
  <c r="B30" i="5"/>
  <c r="B24" i="5"/>
  <c r="B17" i="5"/>
  <c r="B11" i="5"/>
  <c r="B358" i="5"/>
  <c r="B347" i="5"/>
  <c r="B336" i="5"/>
  <c r="B325" i="5"/>
  <c r="B314" i="5"/>
  <c r="B308" i="5"/>
  <c r="B297" i="5"/>
  <c r="B286" i="5"/>
  <c r="B275" i="5"/>
  <c r="B264" i="5"/>
  <c r="B258" i="5"/>
  <c r="B247" i="5"/>
  <c r="B236" i="5"/>
  <c r="B225" i="5"/>
  <c r="B214" i="5"/>
  <c r="B208" i="5"/>
  <c r="B197" i="5"/>
  <c r="B186" i="5"/>
  <c r="B175" i="5"/>
  <c r="B164" i="5"/>
  <c r="B158" i="5"/>
  <c r="B147" i="5"/>
  <c r="B136" i="5"/>
  <c r="B125" i="5"/>
  <c r="B114" i="5"/>
  <c r="B108" i="5"/>
  <c r="B97" i="5"/>
  <c r="B86" i="5"/>
  <c r="B75" i="5"/>
  <c r="B64" i="5"/>
  <c r="B58" i="5"/>
  <c r="B47" i="5"/>
  <c r="B4" i="5"/>
  <c r="B7" i="5"/>
  <c r="B38" i="5"/>
  <c r="B33" i="5"/>
  <c r="B28" i="5"/>
  <c r="B23" i="5"/>
  <c r="B18" i="5"/>
  <c r="B13" i="5"/>
  <c r="B8" i="5"/>
  <c r="B3" i="5"/>
  <c r="B2" i="5"/>
  <c r="F1315" i="3"/>
  <c r="F1307" i="3"/>
  <c r="F1293" i="3"/>
  <c r="F1279" i="3"/>
  <c r="F1265" i="3"/>
  <c r="F1257" i="3"/>
  <c r="F1243" i="3"/>
  <c r="F1236" i="3"/>
  <c r="F1229" i="3"/>
  <c r="F1215" i="3"/>
  <c r="F1198" i="3"/>
  <c r="F1173" i="3"/>
  <c r="F1148" i="3"/>
  <c r="F1123" i="3"/>
  <c r="F1097" i="3"/>
  <c r="F1053" i="3"/>
  <c r="F1258" i="3"/>
  <c r="F1357" i="3"/>
  <c r="F1364" i="3"/>
  <c r="F1350" i="3"/>
  <c r="F1342" i="3"/>
  <c r="F1328" i="3"/>
  <c r="F1321" i="3"/>
  <c r="F1314" i="3"/>
  <c r="F1300" i="3"/>
  <c r="F1292" i="3"/>
  <c r="F1278" i="3"/>
  <c r="F1271" i="3"/>
  <c r="F1264" i="3"/>
  <c r="F1250" i="3"/>
  <c r="F1242" i="3"/>
  <c r="F1228" i="3"/>
  <c r="F1221" i="3"/>
  <c r="F1214" i="3"/>
  <c r="F1206" i="3"/>
  <c r="F1197" i="3"/>
  <c r="F1190" i="3"/>
  <c r="F1181" i="3"/>
  <c r="F1172" i="3"/>
  <c r="F1165" i="3"/>
  <c r="F1156" i="3"/>
  <c r="F1147" i="3"/>
  <c r="F1140" i="3"/>
  <c r="F1131" i="3"/>
  <c r="F1122" i="3"/>
  <c r="F1115" i="3"/>
  <c r="F1106" i="3"/>
  <c r="F1083" i="3"/>
  <c r="F1068" i="3"/>
  <c r="F1050" i="3"/>
  <c r="F1358" i="3"/>
  <c r="F1351" i="3"/>
  <c r="F1344" i="3"/>
  <c r="F1330" i="3"/>
  <c r="F1322" i="3"/>
  <c r="F1308" i="3"/>
  <c r="F1301" i="3"/>
  <c r="F1294" i="3"/>
  <c r="F1280" i="3"/>
  <c r="F1343" i="3"/>
  <c r="F1336" i="3"/>
  <c r="F1329" i="3"/>
  <c r="F1286" i="3"/>
  <c r="F1363" i="3"/>
  <c r="F1356" i="3"/>
  <c r="F1349" i="3"/>
  <c r="F1335" i="3"/>
  <c r="F1327" i="3"/>
  <c r="F1313" i="3"/>
  <c r="F1306" i="3"/>
  <c r="F1299" i="3"/>
  <c r="F1285" i="3"/>
  <c r="F1277" i="3"/>
  <c r="F1263" i="3"/>
  <c r="F1256" i="3"/>
  <c r="F1249" i="3"/>
  <c r="F1235" i="3"/>
  <c r="F1227" i="3"/>
  <c r="F1213" i="3"/>
  <c r="F1188" i="3"/>
  <c r="F1163" i="3"/>
  <c r="F1138" i="3"/>
  <c r="F1113" i="3"/>
  <c r="F1362" i="3"/>
  <c r="F1348" i="3"/>
  <c r="F1341" i="3"/>
  <c r="F1334" i="3"/>
  <c r="F1320" i="3"/>
  <c r="F1312" i="3"/>
  <c r="F1298" i="3"/>
  <c r="F1291" i="3"/>
  <c r="F1284" i="3"/>
  <c r="F1270" i="3"/>
  <c r="F1262" i="3"/>
  <c r="F1248" i="3"/>
  <c r="F1241" i="3"/>
  <c r="F1234" i="3"/>
  <c r="F1220" i="3"/>
  <c r="F1212" i="3"/>
  <c r="F1205" i="3"/>
  <c r="F1196" i="3"/>
  <c r="F1187" i="3"/>
  <c r="F1180" i="3"/>
  <c r="F1171" i="3"/>
  <c r="F1162" i="3"/>
  <c r="F1155" i="3"/>
  <c r="F1146" i="3"/>
  <c r="F1137" i="3"/>
  <c r="F1130" i="3"/>
  <c r="F1121" i="3"/>
  <c r="F1112" i="3"/>
  <c r="F1105" i="3"/>
  <c r="F1094" i="3"/>
  <c r="F1079" i="3"/>
  <c r="F1066" i="3"/>
  <c r="F1039" i="3"/>
  <c r="F1305" i="3"/>
  <c r="F1297" i="3"/>
  <c r="F1283" i="3"/>
  <c r="F1276" i="3"/>
  <c r="F1269" i="3"/>
  <c r="F1255" i="3"/>
  <c r="F1247" i="3"/>
  <c r="F1233" i="3"/>
  <c r="F1226" i="3"/>
  <c r="F1219" i="3"/>
  <c r="F1203" i="3"/>
  <c r="F1178" i="3"/>
  <c r="F1153" i="3"/>
  <c r="F1128" i="3"/>
  <c r="F1103" i="3"/>
  <c r="F1078" i="3"/>
  <c r="F1064" i="3"/>
  <c r="F1318" i="3"/>
  <c r="F1304" i="3"/>
  <c r="F1111" i="3"/>
  <c r="F1090" i="3"/>
  <c r="F1077" i="3"/>
  <c r="F1062" i="3"/>
  <c r="F1028" i="3"/>
  <c r="F1333" i="3"/>
  <c r="F1239" i="3"/>
  <c r="F1225" i="3"/>
  <c r="F1217" i="3"/>
  <c r="F1193" i="3"/>
  <c r="F1168" i="3"/>
  <c r="F1143" i="3"/>
  <c r="F1118" i="3"/>
  <c r="F1101" i="3"/>
  <c r="F1089" i="3"/>
  <c r="F1075" i="3"/>
  <c r="F1061" i="3"/>
  <c r="F1022" i="3"/>
  <c r="F1319" i="3"/>
  <c r="F1361" i="3"/>
  <c r="F1354" i="3"/>
  <c r="F1340" i="3"/>
  <c r="F1332" i="3"/>
  <c r="F1311" i="3"/>
  <c r="F1290" i="3"/>
  <c r="F1282" i="3"/>
  <c r="F1268" i="3"/>
  <c r="F1261" i="3"/>
  <c r="F1254" i="3"/>
  <c r="F1240" i="3"/>
  <c r="F1232" i="3"/>
  <c r="F1218" i="3"/>
  <c r="F1211" i="3"/>
  <c r="F1202" i="3"/>
  <c r="F1195" i="3"/>
  <c r="F1186" i="3"/>
  <c r="F1177" i="3"/>
  <c r="F1170" i="3"/>
  <c r="F1161" i="3"/>
  <c r="F1152" i="3"/>
  <c r="F1145" i="3"/>
  <c r="F1136" i="3"/>
  <c r="F1127" i="3"/>
  <c r="F1353" i="3"/>
  <c r="F1346" i="3"/>
  <c r="F1339" i="3"/>
  <c r="F1296" i="3"/>
  <c r="F1289" i="3"/>
  <c r="F1275" i="3"/>
  <c r="F1267" i="3"/>
  <c r="F1253" i="3"/>
  <c r="F1246" i="3"/>
  <c r="F1352" i="3"/>
  <c r="F1338" i="3"/>
  <c r="F1324" i="3"/>
  <c r="F1238" i="3"/>
  <c r="F1231" i="3"/>
  <c r="F1224" i="3"/>
  <c r="F1210" i="3"/>
  <c r="F1201" i="3"/>
  <c r="F1192" i="3"/>
  <c r="F1185" i="3"/>
  <c r="F1176" i="3"/>
  <c r="F1167" i="3"/>
  <c r="F1160" i="3"/>
  <c r="F1151" i="3"/>
  <c r="F1142" i="3"/>
  <c r="F1135" i="3"/>
  <c r="F1126" i="3"/>
  <c r="F1117" i="3"/>
  <c r="F1110" i="3"/>
  <c r="F1016" i="3"/>
  <c r="F1355" i="3"/>
  <c r="F1347" i="3"/>
  <c r="F1326" i="3"/>
  <c r="F1120" i="3"/>
  <c r="F1325" i="3"/>
  <c r="F1317" i="3"/>
  <c r="F1303" i="3"/>
  <c r="F1360" i="3"/>
  <c r="F1331" i="3"/>
  <c r="F1310" i="3"/>
  <c r="F1302" i="3"/>
  <c r="F1288" i="3"/>
  <c r="F1281" i="3"/>
  <c r="F1274" i="3"/>
  <c r="F1260" i="3"/>
  <c r="F1252" i="3"/>
  <c r="F1359" i="3"/>
  <c r="F1345" i="3"/>
  <c r="F1337" i="3"/>
  <c r="F1323" i="3"/>
  <c r="F1316" i="3"/>
  <c r="F1309" i="3"/>
  <c r="F1295" i="3"/>
  <c r="F1287" i="3"/>
  <c r="F1273" i="3"/>
  <c r="F1266" i="3"/>
  <c r="F1259" i="3"/>
  <c r="F1245" i="3"/>
  <c r="F1237" i="3"/>
  <c r="F1223" i="3"/>
  <c r="F1216" i="3"/>
  <c r="F1208" i="3"/>
  <c r="F1183" i="3"/>
  <c r="F1158" i="3"/>
  <c r="F1133" i="3"/>
  <c r="F1108" i="3"/>
  <c r="F1100" i="3"/>
  <c r="F1086" i="3"/>
  <c r="F1072" i="3"/>
  <c r="F1272" i="3"/>
  <c r="F1251" i="3"/>
  <c r="F1244" i="3"/>
  <c r="F1230" i="3"/>
  <c r="F1222" i="3"/>
  <c r="F1207" i="3"/>
  <c r="F1200" i="3"/>
  <c r="F1191" i="3"/>
  <c r="F1182" i="3"/>
  <c r="F1175" i="3"/>
  <c r="F1166" i="3"/>
  <c r="F1157" i="3"/>
  <c r="F1150" i="3"/>
  <c r="F1141" i="3"/>
  <c r="F1132" i="3"/>
  <c r="F1125" i="3"/>
  <c r="F1116" i="3"/>
  <c r="F1107" i="3"/>
  <c r="F1051" i="3"/>
  <c r="F1040" i="3"/>
  <c r="F1029" i="3"/>
  <c r="F1017" i="3"/>
  <c r="F1011" i="3"/>
  <c r="F992" i="3"/>
  <c r="F970" i="3"/>
  <c r="F963" i="3"/>
  <c r="F953" i="3"/>
  <c r="F906" i="3"/>
  <c r="F872" i="3"/>
  <c r="F834" i="3"/>
  <c r="F784" i="3"/>
  <c r="F1095" i="3"/>
  <c r="F1084" i="3"/>
  <c r="F1073" i="3"/>
  <c r="F1067" i="3"/>
  <c r="F1056" i="3"/>
  <c r="F1045" i="3"/>
  <c r="F1034" i="3"/>
  <c r="F1023" i="3"/>
  <c r="F1004" i="3"/>
  <c r="F998" i="3"/>
  <c r="F985" i="3"/>
  <c r="F978" i="3"/>
  <c r="F889" i="3"/>
  <c r="F811" i="3"/>
  <c r="F997" i="3"/>
  <c r="F991" i="3"/>
  <c r="F984" i="3"/>
  <c r="F969" i="3"/>
  <c r="F961" i="3"/>
  <c r="F917" i="3"/>
  <c r="F885" i="3"/>
  <c r="F867" i="3"/>
  <c r="F850" i="3"/>
  <c r="F810" i="3"/>
  <c r="F775" i="3"/>
  <c r="F1044" i="3"/>
  <c r="F1033" i="3"/>
  <c r="F1027" i="3"/>
  <c r="F1009" i="3"/>
  <c r="F1003" i="3"/>
  <c r="F959" i="3"/>
  <c r="F950" i="3"/>
  <c r="F939" i="3"/>
  <c r="F928" i="3"/>
  <c r="F884" i="3"/>
  <c r="F846" i="3"/>
  <c r="F809" i="3"/>
  <c r="F1055" i="3"/>
  <c r="F1099" i="3"/>
  <c r="F1088" i="3"/>
  <c r="F1082" i="3"/>
  <c r="F1071" i="3"/>
  <c r="F1060" i="3"/>
  <c r="F1049" i="3"/>
  <c r="F1038" i="3"/>
  <c r="F1032" i="3"/>
  <c r="F1021" i="3"/>
  <c r="F1002" i="3"/>
  <c r="F996" i="3"/>
  <c r="F983" i="3"/>
  <c r="F975" i="3"/>
  <c r="F967" i="3"/>
  <c r="F948" i="3"/>
  <c r="F863" i="3"/>
  <c r="F845" i="3"/>
  <c r="F828" i="3"/>
  <c r="F1204" i="3"/>
  <c r="F1194" i="3"/>
  <c r="F1189" i="3"/>
  <c r="F1164" i="3"/>
  <c r="F1159" i="3"/>
  <c r="F1154" i="3"/>
  <c r="F1149" i="3"/>
  <c r="F1144" i="3"/>
  <c r="F1139" i="3"/>
  <c r="F1134" i="3"/>
  <c r="F1129" i="3"/>
  <c r="F1124" i="3"/>
  <c r="F1119" i="3"/>
  <c r="F1114" i="3"/>
  <c r="F1109" i="3"/>
  <c r="F1104" i="3"/>
  <c r="F1093" i="3"/>
  <c r="F1087" i="3"/>
  <c r="F1076" i="3"/>
  <c r="F1065" i="3"/>
  <c r="F1054" i="3"/>
  <c r="F1043" i="3"/>
  <c r="F1037" i="3"/>
  <c r="F1026" i="3"/>
  <c r="F1014" i="3"/>
  <c r="F1008" i="3"/>
  <c r="F989" i="3"/>
  <c r="F982" i="3"/>
  <c r="F958" i="3"/>
  <c r="F947" i="3"/>
  <c r="F936" i="3"/>
  <c r="F925" i="3"/>
  <c r="F913" i="3"/>
  <c r="F900" i="3"/>
  <c r="F802" i="3"/>
  <c r="F757" i="3"/>
  <c r="F1209" i="3"/>
  <c r="F1199" i="3"/>
  <c r="F1184" i="3"/>
  <c r="F1179" i="3"/>
  <c r="F1174" i="3"/>
  <c r="F1169" i="3"/>
  <c r="F1098" i="3"/>
  <c r="F1092" i="3"/>
  <c r="F1081" i="3"/>
  <c r="F1070" i="3"/>
  <c r="F1059" i="3"/>
  <c r="F1048" i="3"/>
  <c r="F1042" i="3"/>
  <c r="F1031" i="3"/>
  <c r="F1007" i="3"/>
  <c r="F1001" i="3"/>
  <c r="F981" i="3"/>
  <c r="F974" i="3"/>
  <c r="F957" i="3"/>
  <c r="F946" i="3"/>
  <c r="F935" i="3"/>
  <c r="F924" i="3"/>
  <c r="F896" i="3"/>
  <c r="F861" i="3"/>
  <c r="F822" i="3"/>
  <c r="F797" i="3"/>
  <c r="F750" i="3"/>
  <c r="F1047" i="3"/>
  <c r="F1036" i="3"/>
  <c r="F1025" i="3"/>
  <c r="F1019" i="3"/>
  <c r="F1013" i="3"/>
  <c r="F994" i="3"/>
  <c r="F988" i="3"/>
  <c r="F973" i="3"/>
  <c r="F956" i="3"/>
  <c r="F945" i="3"/>
  <c r="F934" i="3"/>
  <c r="F923" i="3"/>
  <c r="F911" i="3"/>
  <c r="F895" i="3"/>
  <c r="F878" i="3"/>
  <c r="F857" i="3"/>
  <c r="F741" i="3"/>
  <c r="F1102" i="3"/>
  <c r="F1091" i="3"/>
  <c r="F1080" i="3"/>
  <c r="F1069" i="3"/>
  <c r="F1058" i="3"/>
  <c r="F1052" i="3"/>
  <c r="F1041" i="3"/>
  <c r="F1030" i="3"/>
  <c r="F1012" i="3"/>
  <c r="F1006" i="3"/>
  <c r="F980" i="3"/>
  <c r="F972" i="3"/>
  <c r="F964" i="3"/>
  <c r="F922" i="3"/>
  <c r="F909" i="3"/>
  <c r="F874" i="3"/>
  <c r="F856" i="3"/>
  <c r="F839" i="3"/>
  <c r="F817" i="3"/>
  <c r="F734" i="3"/>
  <c r="F1096" i="3"/>
  <c r="F1085" i="3"/>
  <c r="F1074" i="3"/>
  <c r="F1063" i="3"/>
  <c r="F1057" i="3"/>
  <c r="F1046" i="3"/>
  <c r="F1035" i="3"/>
  <c r="F1024" i="3"/>
  <c r="F1018" i="3"/>
  <c r="F999" i="3"/>
  <c r="F993" i="3"/>
  <c r="F986" i="3"/>
  <c r="F971" i="3"/>
  <c r="F942" i="3"/>
  <c r="F931" i="3"/>
  <c r="F920" i="3"/>
  <c r="F907" i="3"/>
  <c r="F873" i="3"/>
  <c r="F835" i="3"/>
  <c r="F816" i="3"/>
  <c r="F789" i="3"/>
  <c r="F725" i="3"/>
  <c r="F898" i="3"/>
  <c r="F892" i="3"/>
  <c r="F881" i="3"/>
  <c r="F870" i="3"/>
  <c r="F859" i="3"/>
  <c r="F848" i="3"/>
  <c r="F842" i="3"/>
  <c r="F831" i="3"/>
  <c r="F825" i="3"/>
  <c r="F819" i="3"/>
  <c r="F813" i="3"/>
  <c r="F800" i="3"/>
  <c r="F792" i="3"/>
  <c r="F762" i="3"/>
  <c r="F746" i="3"/>
  <c r="F739" i="3"/>
  <c r="F730" i="3"/>
  <c r="F723" i="3"/>
  <c r="F714" i="3"/>
  <c r="F699" i="3"/>
  <c r="F667" i="3"/>
  <c r="F651" i="3"/>
  <c r="F635" i="3"/>
  <c r="F628" i="3"/>
  <c r="F619" i="3"/>
  <c r="F603" i="3"/>
  <c r="F588" i="3"/>
  <c r="F572" i="3"/>
  <c r="F563" i="3"/>
  <c r="F553" i="3"/>
  <c r="F535" i="3"/>
  <c r="F525" i="3"/>
  <c r="F480" i="3"/>
  <c r="F914" i="3"/>
  <c r="F903" i="3"/>
  <c r="F897" i="3"/>
  <c r="F886" i="3"/>
  <c r="F875" i="3"/>
  <c r="F864" i="3"/>
  <c r="F853" i="3"/>
  <c r="F847" i="3"/>
  <c r="F836" i="3"/>
  <c r="F812" i="3"/>
  <c r="F806" i="3"/>
  <c r="F799" i="3"/>
  <c r="F785" i="3"/>
  <c r="F778" i="3"/>
  <c r="F769" i="3"/>
  <c r="F753" i="3"/>
  <c r="F738" i="3"/>
  <c r="F722" i="3"/>
  <c r="F706" i="3"/>
  <c r="F697" i="3"/>
  <c r="F690" i="3"/>
  <c r="F682" i="3"/>
  <c r="F674" i="3"/>
  <c r="F658" i="3"/>
  <c r="F611" i="3"/>
  <c r="F602" i="3"/>
  <c r="F595" i="3"/>
  <c r="F586" i="3"/>
  <c r="F579" i="3"/>
  <c r="F571" i="3"/>
  <c r="F562" i="3"/>
  <c r="F552" i="3"/>
  <c r="F479" i="3"/>
  <c r="F464" i="3"/>
  <c r="F952" i="3"/>
  <c r="F941" i="3"/>
  <c r="F930" i="3"/>
  <c r="F919" i="3"/>
  <c r="F908" i="3"/>
  <c r="F902" i="3"/>
  <c r="F891" i="3"/>
  <c r="F880" i="3"/>
  <c r="F869" i="3"/>
  <c r="F858" i="3"/>
  <c r="F852" i="3"/>
  <c r="F841" i="3"/>
  <c r="F830" i="3"/>
  <c r="F824" i="3"/>
  <c r="F818" i="3"/>
  <c r="F798" i="3"/>
  <c r="F791" i="3"/>
  <c r="F761" i="3"/>
  <c r="F752" i="3"/>
  <c r="F745" i="3"/>
  <c r="F736" i="3"/>
  <c r="F729" i="3"/>
  <c r="F721" i="3"/>
  <c r="F713" i="3"/>
  <c r="F657" i="3"/>
  <c r="F650" i="3"/>
  <c r="F641" i="3"/>
  <c r="F634" i="3"/>
  <c r="F625" i="3"/>
  <c r="F618" i="3"/>
  <c r="F610" i="3"/>
  <c r="F561" i="3"/>
  <c r="F524" i="3"/>
  <c r="F514" i="3"/>
  <c r="F491" i="3"/>
  <c r="F478" i="3"/>
  <c r="F422" i="3"/>
  <c r="F768" i="3"/>
  <c r="F760" i="3"/>
  <c r="F712" i="3"/>
  <c r="F696" i="3"/>
  <c r="F689" i="3"/>
  <c r="F680" i="3"/>
  <c r="F673" i="3"/>
  <c r="F664" i="3"/>
  <c r="F649" i="3"/>
  <c r="F617" i="3"/>
  <c r="F601" i="3"/>
  <c r="F585" i="3"/>
  <c r="F578" i="3"/>
  <c r="F569" i="3"/>
  <c r="F560" i="3"/>
  <c r="F551" i="3"/>
  <c r="F541" i="3"/>
  <c r="F532" i="3"/>
  <c r="F503" i="3"/>
  <c r="F490" i="3"/>
  <c r="F475" i="3"/>
  <c r="F462" i="3"/>
  <c r="F416" i="3"/>
  <c r="F1020" i="3"/>
  <c r="F1015" i="3"/>
  <c r="F1010" i="3"/>
  <c r="F1005" i="3"/>
  <c r="F1000" i="3"/>
  <c r="F995" i="3"/>
  <c r="F990" i="3"/>
  <c r="F979" i="3"/>
  <c r="F968" i="3"/>
  <c r="F962" i="3"/>
  <c r="F951" i="3"/>
  <c r="F940" i="3"/>
  <c r="F929" i="3"/>
  <c r="F918" i="3"/>
  <c r="F912" i="3"/>
  <c r="F901" i="3"/>
  <c r="F890" i="3"/>
  <c r="F879" i="3"/>
  <c r="F868" i="3"/>
  <c r="F862" i="3"/>
  <c r="F851" i="3"/>
  <c r="F840" i="3"/>
  <c r="F829" i="3"/>
  <c r="F823" i="3"/>
  <c r="F790" i="3"/>
  <c r="F767" i="3"/>
  <c r="F751" i="3"/>
  <c r="F735" i="3"/>
  <c r="F728" i="3"/>
  <c r="F719" i="3"/>
  <c r="F703" i="3"/>
  <c r="F688" i="3"/>
  <c r="F672" i="3"/>
  <c r="F656" i="3"/>
  <c r="F647" i="3"/>
  <c r="F640" i="3"/>
  <c r="F632" i="3"/>
  <c r="F624" i="3"/>
  <c r="F608" i="3"/>
  <c r="F550" i="3"/>
  <c r="F522" i="3"/>
  <c r="F513" i="3"/>
  <c r="F502" i="3"/>
  <c r="F489" i="3"/>
  <c r="F803" i="3"/>
  <c r="F796" i="3"/>
  <c r="F782" i="3"/>
  <c r="F774" i="3"/>
  <c r="F758" i="3"/>
  <c r="F711" i="3"/>
  <c r="F702" i="3"/>
  <c r="F695" i="3"/>
  <c r="F686" i="3"/>
  <c r="F679" i="3"/>
  <c r="F671" i="3"/>
  <c r="F663" i="3"/>
  <c r="F607" i="3"/>
  <c r="F600" i="3"/>
  <c r="F591" i="3"/>
  <c r="F584" i="3"/>
  <c r="F575" i="3"/>
  <c r="F568" i="3"/>
  <c r="F558" i="3"/>
  <c r="F549" i="3"/>
  <c r="F540" i="3"/>
  <c r="F530" i="3"/>
  <c r="F521" i="3"/>
  <c r="F512" i="3"/>
  <c r="F501" i="3"/>
  <c r="F486" i="3"/>
  <c r="F458" i="3"/>
  <c r="F718" i="3"/>
  <c r="F710" i="3"/>
  <c r="F662" i="3"/>
  <c r="F646" i="3"/>
  <c r="F639" i="3"/>
  <c r="F630" i="3"/>
  <c r="F623" i="3"/>
  <c r="F614" i="3"/>
  <c r="F599" i="3"/>
  <c r="F557" i="3"/>
  <c r="F547" i="3"/>
  <c r="F539" i="3"/>
  <c r="F511" i="3"/>
  <c r="F500" i="3"/>
  <c r="F472" i="3"/>
  <c r="F397" i="3"/>
  <c r="F977" i="3"/>
  <c r="F966" i="3"/>
  <c r="F955" i="3"/>
  <c r="F944" i="3"/>
  <c r="F933" i="3"/>
  <c r="F927" i="3"/>
  <c r="F916" i="3"/>
  <c r="F905" i="3"/>
  <c r="F894" i="3"/>
  <c r="F883" i="3"/>
  <c r="F877" i="3"/>
  <c r="F866" i="3"/>
  <c r="F855" i="3"/>
  <c r="F844" i="3"/>
  <c r="F833" i="3"/>
  <c r="F827" i="3"/>
  <c r="F821" i="3"/>
  <c r="F795" i="3"/>
  <c r="F788" i="3"/>
  <c r="F780" i="3"/>
  <c r="F773" i="3"/>
  <c r="F764" i="3"/>
  <c r="F749" i="3"/>
  <c r="F717" i="3"/>
  <c r="F701" i="3"/>
  <c r="F685" i="3"/>
  <c r="F678" i="3"/>
  <c r="F669" i="3"/>
  <c r="F653" i="3"/>
  <c r="F638" i="3"/>
  <c r="F622" i="3"/>
  <c r="F606" i="3"/>
  <c r="F597" i="3"/>
  <c r="F590" i="3"/>
  <c r="F582" i="3"/>
  <c r="F574" i="3"/>
  <c r="F538" i="3"/>
  <c r="F529" i="3"/>
  <c r="F519" i="3"/>
  <c r="F510" i="3"/>
  <c r="F497" i="3"/>
  <c r="F451" i="3"/>
  <c r="F391" i="3"/>
  <c r="F960" i="3"/>
  <c r="F949" i="3"/>
  <c r="F938" i="3"/>
  <c r="F932" i="3"/>
  <c r="F921" i="3"/>
  <c r="F910" i="3"/>
  <c r="F899" i="3"/>
  <c r="F888" i="3"/>
  <c r="F882" i="3"/>
  <c r="F871" i="3"/>
  <c r="F860" i="3"/>
  <c r="F849" i="3"/>
  <c r="F838" i="3"/>
  <c r="F832" i="3"/>
  <c r="F820" i="3"/>
  <c r="F814" i="3"/>
  <c r="F808" i="3"/>
  <c r="F801" i="3"/>
  <c r="F772" i="3"/>
  <c r="F756" i="3"/>
  <c r="F747" i="3"/>
  <c r="F740" i="3"/>
  <c r="F732" i="3"/>
  <c r="F724" i="3"/>
  <c r="F708" i="3"/>
  <c r="F661" i="3"/>
  <c r="F652" i="3"/>
  <c r="F645" i="3"/>
  <c r="F636" i="3"/>
  <c r="F629" i="3"/>
  <c r="F621" i="3"/>
  <c r="F613" i="3"/>
  <c r="F564" i="3"/>
  <c r="F546" i="3"/>
  <c r="F536" i="3"/>
  <c r="F528" i="3"/>
  <c r="F469" i="3"/>
  <c r="F385" i="3"/>
  <c r="F987" i="3"/>
  <c r="F976" i="3"/>
  <c r="F965" i="3"/>
  <c r="F954" i="3"/>
  <c r="F943" i="3"/>
  <c r="F937" i="3"/>
  <c r="F926" i="3"/>
  <c r="F915" i="3"/>
  <c r="F904" i="3"/>
  <c r="F893" i="3"/>
  <c r="F887" i="3"/>
  <c r="F876" i="3"/>
  <c r="F865" i="3"/>
  <c r="F854" i="3"/>
  <c r="F843" i="3"/>
  <c r="F837" i="3"/>
  <c r="F807" i="3"/>
  <c r="F786" i="3"/>
  <c r="F779" i="3"/>
  <c r="F771" i="3"/>
  <c r="F763" i="3"/>
  <c r="F707" i="3"/>
  <c r="F700" i="3"/>
  <c r="F691" i="3"/>
  <c r="F684" i="3"/>
  <c r="F675" i="3"/>
  <c r="F668" i="3"/>
  <c r="F660" i="3"/>
  <c r="F612" i="3"/>
  <c r="F596" i="3"/>
  <c r="F589" i="3"/>
  <c r="F580" i="3"/>
  <c r="F573" i="3"/>
  <c r="F518" i="3"/>
  <c r="F508" i="3"/>
  <c r="F468" i="3"/>
  <c r="F440" i="3"/>
  <c r="F379" i="3"/>
  <c r="F453" i="3"/>
  <c r="F447" i="3"/>
  <c r="F436" i="3"/>
  <c r="F430" i="3"/>
  <c r="F424" i="3"/>
  <c r="F418" i="3"/>
  <c r="F393" i="3"/>
  <c r="F346" i="3"/>
  <c r="F328" i="3"/>
  <c r="F319" i="3"/>
  <c r="F309" i="3"/>
  <c r="F300" i="3"/>
  <c r="F291" i="3"/>
  <c r="F281" i="3"/>
  <c r="F272" i="3"/>
  <c r="F208" i="3"/>
  <c r="F198" i="3"/>
  <c r="F189" i="3"/>
  <c r="F180" i="3"/>
  <c r="F170" i="3"/>
  <c r="F161" i="3"/>
  <c r="F150" i="3"/>
  <c r="F135" i="3"/>
  <c r="F452" i="3"/>
  <c r="F441" i="3"/>
  <c r="F417" i="3"/>
  <c r="F411" i="3"/>
  <c r="F405" i="3"/>
  <c r="F392" i="3"/>
  <c r="F386" i="3"/>
  <c r="F380" i="3"/>
  <c r="F374" i="3"/>
  <c r="F368" i="3"/>
  <c r="F361" i="3"/>
  <c r="F353" i="3"/>
  <c r="F336" i="3"/>
  <c r="F327" i="3"/>
  <c r="F263" i="3"/>
  <c r="F253" i="3"/>
  <c r="F244" i="3"/>
  <c r="F235" i="3"/>
  <c r="F225" i="3"/>
  <c r="F216" i="3"/>
  <c r="F207" i="3"/>
  <c r="F197" i="3"/>
  <c r="F148" i="3"/>
  <c r="F507" i="3"/>
  <c r="F496" i="3"/>
  <c r="F485" i="3"/>
  <c r="F474" i="3"/>
  <c r="F463" i="3"/>
  <c r="F457" i="3"/>
  <c r="F446" i="3"/>
  <c r="F435" i="3"/>
  <c r="F429" i="3"/>
  <c r="F423" i="3"/>
  <c r="F404" i="3"/>
  <c r="F398" i="3"/>
  <c r="F367" i="3"/>
  <c r="F352" i="3"/>
  <c r="F308" i="3"/>
  <c r="F298" i="3"/>
  <c r="F289" i="3"/>
  <c r="F280" i="3"/>
  <c r="F270" i="3"/>
  <c r="F261" i="3"/>
  <c r="F252" i="3"/>
  <c r="F242" i="3"/>
  <c r="F178" i="3"/>
  <c r="F169" i="3"/>
  <c r="F159" i="3"/>
  <c r="F147" i="3"/>
  <c r="F373" i="3"/>
  <c r="F359" i="3"/>
  <c r="F344" i="3"/>
  <c r="F335" i="3"/>
  <c r="F325" i="3"/>
  <c r="F316" i="3"/>
  <c r="F307" i="3"/>
  <c r="F297" i="3"/>
  <c r="F233" i="3"/>
  <c r="F224" i="3"/>
  <c r="F214" i="3"/>
  <c r="F205" i="3"/>
  <c r="F196" i="3"/>
  <c r="F186" i="3"/>
  <c r="F177" i="3"/>
  <c r="F146" i="3"/>
  <c r="F124" i="3"/>
  <c r="F567" i="3"/>
  <c r="F556" i="3"/>
  <c r="F545" i="3"/>
  <c r="F534" i="3"/>
  <c r="F523" i="3"/>
  <c r="F517" i="3"/>
  <c r="F506" i="3"/>
  <c r="F495" i="3"/>
  <c r="F484" i="3"/>
  <c r="F473" i="3"/>
  <c r="F467" i="3"/>
  <c r="F456" i="3"/>
  <c r="F445" i="3"/>
  <c r="F434" i="3"/>
  <c r="F428" i="3"/>
  <c r="F415" i="3"/>
  <c r="F409" i="3"/>
  <c r="F403" i="3"/>
  <c r="F372" i="3"/>
  <c r="F366" i="3"/>
  <c r="F351" i="3"/>
  <c r="F342" i="3"/>
  <c r="F278" i="3"/>
  <c r="F269" i="3"/>
  <c r="F259" i="3"/>
  <c r="F250" i="3"/>
  <c r="F241" i="3"/>
  <c r="F231" i="3"/>
  <c r="F222" i="3"/>
  <c r="F158" i="3"/>
  <c r="F461" i="3"/>
  <c r="F450" i="3"/>
  <c r="F439" i="3"/>
  <c r="F427" i="3"/>
  <c r="F402" i="3"/>
  <c r="F396" i="3"/>
  <c r="F390" i="3"/>
  <c r="F384" i="3"/>
  <c r="F378" i="3"/>
  <c r="F358" i="3"/>
  <c r="F350" i="3"/>
  <c r="F333" i="3"/>
  <c r="F324" i="3"/>
  <c r="F314" i="3"/>
  <c r="F305" i="3"/>
  <c r="F296" i="3"/>
  <c r="F286" i="3"/>
  <c r="F277" i="3"/>
  <c r="F213" i="3"/>
  <c r="F203" i="3"/>
  <c r="F194" i="3"/>
  <c r="F185" i="3"/>
  <c r="F175" i="3"/>
  <c r="F166" i="3"/>
  <c r="F157" i="3"/>
  <c r="F142" i="3"/>
  <c r="F113" i="3"/>
  <c r="F805" i="3"/>
  <c r="F794" i="3"/>
  <c r="F783" i="3"/>
  <c r="F777" i="3"/>
  <c r="F766" i="3"/>
  <c r="F755" i="3"/>
  <c r="F744" i="3"/>
  <c r="F733" i="3"/>
  <c r="F727" i="3"/>
  <c r="F716" i="3"/>
  <c r="F705" i="3"/>
  <c r="F694" i="3"/>
  <c r="F683" i="3"/>
  <c r="F677" i="3"/>
  <c r="F666" i="3"/>
  <c r="F655" i="3"/>
  <c r="F644" i="3"/>
  <c r="F633" i="3"/>
  <c r="F627" i="3"/>
  <c r="F616" i="3"/>
  <c r="F605" i="3"/>
  <c r="F594" i="3"/>
  <c r="F583" i="3"/>
  <c r="F577" i="3"/>
  <c r="F566" i="3"/>
  <c r="F555" i="3"/>
  <c r="F544" i="3"/>
  <c r="F533" i="3"/>
  <c r="F527" i="3"/>
  <c r="F516" i="3"/>
  <c r="F505" i="3"/>
  <c r="F494" i="3"/>
  <c r="F483" i="3"/>
  <c r="F477" i="3"/>
  <c r="F466" i="3"/>
  <c r="F455" i="3"/>
  <c r="F444" i="3"/>
  <c r="F433" i="3"/>
  <c r="F426" i="3"/>
  <c r="F420" i="3"/>
  <c r="F414" i="3"/>
  <c r="F408" i="3"/>
  <c r="F377" i="3"/>
  <c r="F364" i="3"/>
  <c r="F357" i="3"/>
  <c r="F341" i="3"/>
  <c r="F331" i="3"/>
  <c r="F322" i="3"/>
  <c r="F258" i="3"/>
  <c r="F248" i="3"/>
  <c r="F239" i="3"/>
  <c r="F230" i="3"/>
  <c r="F220" i="3"/>
  <c r="F211" i="3"/>
  <c r="F202" i="3"/>
  <c r="F192" i="3"/>
  <c r="F107" i="3"/>
  <c r="F499" i="3"/>
  <c r="F488" i="3"/>
  <c r="F482" i="3"/>
  <c r="F471" i="3"/>
  <c r="F460" i="3"/>
  <c r="F449" i="3"/>
  <c r="F438" i="3"/>
  <c r="F407" i="3"/>
  <c r="F401" i="3"/>
  <c r="F395" i="3"/>
  <c r="F389" i="3"/>
  <c r="F383" i="3"/>
  <c r="F376" i="3"/>
  <c r="F370" i="3"/>
  <c r="F348" i="3"/>
  <c r="F313" i="3"/>
  <c r="F303" i="3"/>
  <c r="F294" i="3"/>
  <c r="F285" i="3"/>
  <c r="F275" i="3"/>
  <c r="F266" i="3"/>
  <c r="F257" i="3"/>
  <c r="F247" i="3"/>
  <c r="F183" i="3"/>
  <c r="F174" i="3"/>
  <c r="F164" i="3"/>
  <c r="F826" i="3"/>
  <c r="F815" i="3"/>
  <c r="F804" i="3"/>
  <c r="F793" i="3"/>
  <c r="F787" i="3"/>
  <c r="F776" i="3"/>
  <c r="F765" i="3"/>
  <c r="F754" i="3"/>
  <c r="F743" i="3"/>
  <c r="F737" i="3"/>
  <c r="F726" i="3"/>
  <c r="F715" i="3"/>
  <c r="F704" i="3"/>
  <c r="F693" i="3"/>
  <c r="F687" i="3"/>
  <c r="F676" i="3"/>
  <c r="F665" i="3"/>
  <c r="F654" i="3"/>
  <c r="F643" i="3"/>
  <c r="F637" i="3"/>
  <c r="F626" i="3"/>
  <c r="F615" i="3"/>
  <c r="F604" i="3"/>
  <c r="F593" i="3"/>
  <c r="F587" i="3"/>
  <c r="F576" i="3"/>
  <c r="F565" i="3"/>
  <c r="F554" i="3"/>
  <c r="F543" i="3"/>
  <c r="F537" i="3"/>
  <c r="F526" i="3"/>
  <c r="F515" i="3"/>
  <c r="F504" i="3"/>
  <c r="F493" i="3"/>
  <c r="F487" i="3"/>
  <c r="F476" i="3"/>
  <c r="F465" i="3"/>
  <c r="F454" i="3"/>
  <c r="F443" i="3"/>
  <c r="F437" i="3"/>
  <c r="F431" i="3"/>
  <c r="F425" i="3"/>
  <c r="F419" i="3"/>
  <c r="F413" i="3"/>
  <c r="F363" i="3"/>
  <c r="F347" i="3"/>
  <c r="F339" i="3"/>
  <c r="F330" i="3"/>
  <c r="F320" i="3"/>
  <c r="F311" i="3"/>
  <c r="F302" i="3"/>
  <c r="F292" i="3"/>
  <c r="F228" i="3"/>
  <c r="F219" i="3"/>
  <c r="F209" i="3"/>
  <c r="F200" i="3"/>
  <c r="F191" i="3"/>
  <c r="F181" i="3"/>
  <c r="F172" i="3"/>
  <c r="F153" i="3"/>
  <c r="F96" i="3"/>
  <c r="F781" i="3"/>
  <c r="F770" i="3"/>
  <c r="F759" i="3"/>
  <c r="F748" i="3"/>
  <c r="F742" i="3"/>
  <c r="F731" i="3"/>
  <c r="F720" i="3"/>
  <c r="F709" i="3"/>
  <c r="F698" i="3"/>
  <c r="F692" i="3"/>
  <c r="F681" i="3"/>
  <c r="F670" i="3"/>
  <c r="F659" i="3"/>
  <c r="F648" i="3"/>
  <c r="F642" i="3"/>
  <c r="F631" i="3"/>
  <c r="F620" i="3"/>
  <c r="F609" i="3"/>
  <c r="F598" i="3"/>
  <c r="F592" i="3"/>
  <c r="F581" i="3"/>
  <c r="F570" i="3"/>
  <c r="F559" i="3"/>
  <c r="F548" i="3"/>
  <c r="F542" i="3"/>
  <c r="F531" i="3"/>
  <c r="F520" i="3"/>
  <c r="F509" i="3"/>
  <c r="F498" i="3"/>
  <c r="F492" i="3"/>
  <c r="F481" i="3"/>
  <c r="F470" i="3"/>
  <c r="F459" i="3"/>
  <c r="F448" i="3"/>
  <c r="F442" i="3"/>
  <c r="F412" i="3"/>
  <c r="F406" i="3"/>
  <c r="F400" i="3"/>
  <c r="F394" i="3"/>
  <c r="F387" i="3"/>
  <c r="F381" i="3"/>
  <c r="F375" i="3"/>
  <c r="F369" i="3"/>
  <c r="F362" i="3"/>
  <c r="F355" i="3"/>
  <c r="F283" i="3"/>
  <c r="F274" i="3"/>
  <c r="F264" i="3"/>
  <c r="F255" i="3"/>
  <c r="F246" i="3"/>
  <c r="F236" i="3"/>
  <c r="F227" i="3"/>
  <c r="F163" i="3"/>
  <c r="F136" i="3"/>
  <c r="F131" i="3"/>
  <c r="F120" i="3"/>
  <c r="F109" i="3"/>
  <c r="F98" i="3"/>
  <c r="F92" i="3"/>
  <c r="F81" i="3"/>
  <c r="F75" i="3"/>
  <c r="F69" i="3"/>
  <c r="F63" i="3"/>
  <c r="F56" i="3"/>
  <c r="F50" i="3"/>
  <c r="F44" i="3"/>
  <c r="F38" i="3"/>
  <c r="F31" i="3"/>
  <c r="F25" i="3"/>
  <c r="F19" i="3"/>
  <c r="F125" i="3"/>
  <c r="F114" i="3"/>
  <c r="F103" i="3"/>
  <c r="F97" i="3"/>
  <c r="F86" i="3"/>
  <c r="F152" i="3"/>
  <c r="F141" i="3"/>
  <c r="F130" i="3"/>
  <c r="F119" i="3"/>
  <c r="F108" i="3"/>
  <c r="F102" i="3"/>
  <c r="F91" i="3"/>
  <c r="F80" i="3"/>
  <c r="F74" i="3"/>
  <c r="F68" i="3"/>
  <c r="F61" i="3"/>
  <c r="F55" i="3"/>
  <c r="F49" i="3"/>
  <c r="F43" i="3"/>
  <c r="F36" i="3"/>
  <c r="F30" i="3"/>
  <c r="F24" i="3"/>
  <c r="F18" i="3"/>
  <c r="F85" i="3"/>
  <c r="F16" i="3"/>
  <c r="F340" i="3"/>
  <c r="F329" i="3"/>
  <c r="F318" i="3"/>
  <c r="F312" i="3"/>
  <c r="F301" i="3"/>
  <c r="F290" i="3"/>
  <c r="F279" i="3"/>
  <c r="F268" i="3"/>
  <c r="F262" i="3"/>
  <c r="F251" i="3"/>
  <c r="F240" i="3"/>
  <c r="F229" i="3"/>
  <c r="F218" i="3"/>
  <c r="F212" i="3"/>
  <c r="F201" i="3"/>
  <c r="F190" i="3"/>
  <c r="F179" i="3"/>
  <c r="F168" i="3"/>
  <c r="F162" i="3"/>
  <c r="F151" i="3"/>
  <c r="F140" i="3"/>
  <c r="F129" i="3"/>
  <c r="F118" i="3"/>
  <c r="F112" i="3"/>
  <c r="F101" i="3"/>
  <c r="F90" i="3"/>
  <c r="F79" i="3"/>
  <c r="F73" i="3"/>
  <c r="F66" i="3"/>
  <c r="F60" i="3"/>
  <c r="F54" i="3"/>
  <c r="F48" i="3"/>
  <c r="F41" i="3"/>
  <c r="F35" i="3"/>
  <c r="F29" i="3"/>
  <c r="F23" i="3"/>
  <c r="F356" i="3"/>
  <c r="F345" i="3"/>
  <c r="F334" i="3"/>
  <c r="F323" i="3"/>
  <c r="F317" i="3"/>
  <c r="F306" i="3"/>
  <c r="F295" i="3"/>
  <c r="F284" i="3"/>
  <c r="F273" i="3"/>
  <c r="F267" i="3"/>
  <c r="F256" i="3"/>
  <c r="F245" i="3"/>
  <c r="F234" i="3"/>
  <c r="F223" i="3"/>
  <c r="F217" i="3"/>
  <c r="F206" i="3"/>
  <c r="F195" i="3"/>
  <c r="F184" i="3"/>
  <c r="F173" i="3"/>
  <c r="F167" i="3"/>
  <c r="F156" i="3"/>
  <c r="F145" i="3"/>
  <c r="F134" i="3"/>
  <c r="F123" i="3"/>
  <c r="F117" i="3"/>
  <c r="F106" i="3"/>
  <c r="F95" i="3"/>
  <c r="F84" i="3"/>
  <c r="F15" i="3"/>
  <c r="F139" i="3"/>
  <c r="F128" i="3"/>
  <c r="F122" i="3"/>
  <c r="F111" i="3"/>
  <c r="F100" i="3"/>
  <c r="F89" i="3"/>
  <c r="F78" i="3"/>
  <c r="F71" i="3"/>
  <c r="F65" i="3"/>
  <c r="F59" i="3"/>
  <c r="F53" i="3"/>
  <c r="F46" i="3"/>
  <c r="F40" i="3"/>
  <c r="F34" i="3"/>
  <c r="F28" i="3"/>
  <c r="F21" i="3"/>
  <c r="F155" i="3"/>
  <c r="F144" i="3"/>
  <c r="F133" i="3"/>
  <c r="F127" i="3"/>
  <c r="F116" i="3"/>
  <c r="F105" i="3"/>
  <c r="F94" i="3"/>
  <c r="F83" i="3"/>
  <c r="F14" i="3"/>
  <c r="F432" i="3"/>
  <c r="F421" i="3"/>
  <c r="F410" i="3"/>
  <c r="F399" i="3"/>
  <c r="F388" i="3"/>
  <c r="F382" i="3"/>
  <c r="F371" i="3"/>
  <c r="F360" i="3"/>
  <c r="F349" i="3"/>
  <c r="F338" i="3"/>
  <c r="F332" i="3"/>
  <c r="F321" i="3"/>
  <c r="F310" i="3"/>
  <c r="F299" i="3"/>
  <c r="F288" i="3"/>
  <c r="F282" i="3"/>
  <c r="F271" i="3"/>
  <c r="F260" i="3"/>
  <c r="F249" i="3"/>
  <c r="F238" i="3"/>
  <c r="F232" i="3"/>
  <c r="F221" i="3"/>
  <c r="F210" i="3"/>
  <c r="F199" i="3"/>
  <c r="F188" i="3"/>
  <c r="F182" i="3"/>
  <c r="F171" i="3"/>
  <c r="F160" i="3"/>
  <c r="F149" i="3"/>
  <c r="F138" i="3"/>
  <c r="F132" i="3"/>
  <c r="F121" i="3"/>
  <c r="F110" i="3"/>
  <c r="F99" i="3"/>
  <c r="F88" i="3"/>
  <c r="F82" i="3"/>
  <c r="F76" i="3"/>
  <c r="F70" i="3"/>
  <c r="F64" i="3"/>
  <c r="F58" i="3"/>
  <c r="F51" i="3"/>
  <c r="F45" i="3"/>
  <c r="F39" i="3"/>
  <c r="F33" i="3"/>
  <c r="F26" i="3"/>
  <c r="F20" i="3"/>
  <c r="F365" i="3"/>
  <c r="F354" i="3"/>
  <c r="F343" i="3"/>
  <c r="F337" i="3"/>
  <c r="F326" i="3"/>
  <c r="F315" i="3"/>
  <c r="F304" i="3"/>
  <c r="F293" i="3"/>
  <c r="F287" i="3"/>
  <c r="F276" i="3"/>
  <c r="F265" i="3"/>
  <c r="F254" i="3"/>
  <c r="F243" i="3"/>
  <c r="F237" i="3"/>
  <c r="F226" i="3"/>
  <c r="F215" i="3"/>
  <c r="F204" i="3"/>
  <c r="F193" i="3"/>
  <c r="F187" i="3"/>
  <c r="F176" i="3"/>
  <c r="F165" i="3"/>
  <c r="F154" i="3"/>
  <c r="F143" i="3"/>
  <c r="F137" i="3"/>
  <c r="F126" i="3"/>
  <c r="F115" i="3"/>
  <c r="F104" i="3"/>
  <c r="F93" i="3"/>
  <c r="F87" i="3"/>
  <c r="F13" i="3"/>
  <c r="F77" i="3"/>
  <c r="F72" i="3"/>
  <c r="F67" i="3"/>
  <c r="F62" i="3"/>
  <c r="F57" i="3"/>
  <c r="F52" i="3"/>
  <c r="F47" i="3"/>
  <c r="F42" i="3"/>
  <c r="F37" i="3"/>
  <c r="F32" i="3"/>
  <c r="F27" i="3"/>
  <c r="F22" i="3"/>
  <c r="F17" i="3"/>
  <c r="F12" i="3"/>
  <c r="F11" i="3"/>
  <c r="E1351" i="3"/>
  <c r="E1338" i="3"/>
  <c r="E1350" i="3"/>
  <c r="E1335" i="3"/>
  <c r="E1322" i="3"/>
  <c r="E1307" i="3"/>
  <c r="E1362" i="3"/>
  <c r="E1349" i="3"/>
  <c r="E1334" i="3"/>
  <c r="E1266" i="3"/>
  <c r="E1251" i="3"/>
  <c r="E1238" i="3"/>
  <c r="E1223" i="3"/>
  <c r="E1207" i="3"/>
  <c r="E1190" i="3"/>
  <c r="E1318" i="3"/>
  <c r="E1250" i="3"/>
  <c r="E1235" i="3"/>
  <c r="E1222" i="3"/>
  <c r="E1188" i="3"/>
  <c r="E1135" i="3"/>
  <c r="E1234" i="3"/>
  <c r="E1205" i="3"/>
  <c r="E1185" i="3"/>
  <c r="E1129" i="3"/>
  <c r="E1333" i="3"/>
  <c r="E1305" i="3"/>
  <c r="E1277" i="3"/>
  <c r="E1357" i="3"/>
  <c r="E1344" i="3"/>
  <c r="E1329" i="3"/>
  <c r="E1261" i="3"/>
  <c r="E1246" i="3"/>
  <c r="E1218" i="3"/>
  <c r="E1179" i="3"/>
  <c r="E1233" i="3"/>
  <c r="E1316" i="3"/>
  <c r="E1301" i="3"/>
  <c r="E1288" i="3"/>
  <c r="E1273" i="3"/>
  <c r="E1201" i="3"/>
  <c r="E1118" i="3"/>
  <c r="E1300" i="3"/>
  <c r="E1285" i="3"/>
  <c r="E1272" i="3"/>
  <c r="E1199" i="3"/>
  <c r="E1168" i="3"/>
  <c r="E1361" i="3"/>
  <c r="E1257" i="3"/>
  <c r="E1284" i="3"/>
  <c r="E1216" i="3"/>
  <c r="E1196" i="3"/>
  <c r="E1107" i="3"/>
  <c r="E1346" i="3"/>
  <c r="E1290" i="3"/>
  <c r="E1262" i="3"/>
  <c r="E1249" i="3"/>
  <c r="E1244" i="3"/>
  <c r="E1229" i="3"/>
  <c r="E1355" i="3"/>
  <c r="E1340" i="3"/>
  <c r="E1327" i="3"/>
  <c r="E1312" i="3"/>
  <c r="E1299" i="3"/>
  <c r="E1311" i="3"/>
  <c r="E1296" i="3"/>
  <c r="E1283" i="3"/>
  <c r="E1268" i="3"/>
  <c r="E1157" i="3"/>
  <c r="E1096" i="3"/>
  <c r="E1323" i="3"/>
  <c r="E1255" i="3"/>
  <c r="E1240" i="3"/>
  <c r="E1227" i="3"/>
  <c r="E1212" i="3"/>
  <c r="E1294" i="3"/>
  <c r="E1279" i="3"/>
  <c r="E1146" i="3"/>
  <c r="E1358" i="3"/>
  <c r="E1347" i="3"/>
  <c r="E1336" i="3"/>
  <c r="E1325" i="3"/>
  <c r="E1319" i="3"/>
  <c r="E1308" i="3"/>
  <c r="E1297" i="3"/>
  <c r="E1286" i="3"/>
  <c r="E1197" i="3"/>
  <c r="E1186" i="3"/>
  <c r="E1175" i="3"/>
  <c r="E1169" i="3"/>
  <c r="E1158" i="3"/>
  <c r="E1136" i="3"/>
  <c r="E1125" i="3"/>
  <c r="E1119" i="3"/>
  <c r="E1108" i="3"/>
  <c r="E1097" i="3"/>
  <c r="E1086" i="3"/>
  <c r="E1075" i="3"/>
  <c r="E1069" i="3"/>
  <c r="E1058" i="3"/>
  <c r="E1047" i="3"/>
  <c r="E1036" i="3"/>
  <c r="E1025" i="3"/>
  <c r="E1006" i="3"/>
  <c r="E985" i="3"/>
  <c r="E977" i="3"/>
  <c r="E946" i="3"/>
  <c r="E938" i="3"/>
  <c r="E931" i="3"/>
  <c r="E903" i="3"/>
  <c r="E894" i="3"/>
  <c r="E884" i="3"/>
  <c r="E866" i="3"/>
  <c r="E856" i="3"/>
  <c r="E838" i="3"/>
  <c r="E828" i="3"/>
  <c r="E820" i="3"/>
  <c r="E792" i="3"/>
  <c r="E714" i="3"/>
  <c r="E683" i="3"/>
  <c r="E666" i="3"/>
  <c r="E646" i="3"/>
  <c r="E608" i="3"/>
  <c r="E1275" i="3"/>
  <c r="E1269" i="3"/>
  <c r="E1258" i="3"/>
  <c r="E1247" i="3"/>
  <c r="E1236" i="3"/>
  <c r="E1225" i="3"/>
  <c r="E1219" i="3"/>
  <c r="E1208" i="3"/>
  <c r="E1147" i="3"/>
  <c r="E1363" i="3"/>
  <c r="E1352" i="3"/>
  <c r="E1341" i="3"/>
  <c r="E1330" i="3"/>
  <c r="E1324" i="3"/>
  <c r="E1313" i="3"/>
  <c r="E1302" i="3"/>
  <c r="E1291" i="3"/>
  <c r="E1280" i="3"/>
  <c r="E1274" i="3"/>
  <c r="E1263" i="3"/>
  <c r="E1252" i="3"/>
  <c r="E1241" i="3"/>
  <c r="E1230" i="3"/>
  <c r="E1224" i="3"/>
  <c r="E1213" i="3"/>
  <c r="E1202" i="3"/>
  <c r="E1191" i="3"/>
  <c r="E1180" i="3"/>
  <c r="E1174" i="3"/>
  <c r="E1163" i="3"/>
  <c r="E1152" i="3"/>
  <c r="E1141" i="3"/>
  <c r="E1130" i="3"/>
  <c r="E1124" i="3"/>
  <c r="E1113" i="3"/>
  <c r="E1102" i="3"/>
  <c r="E1091" i="3"/>
  <c r="E1080" i="3"/>
  <c r="E1074" i="3"/>
  <c r="E1063" i="3"/>
  <c r="E1052" i="3"/>
  <c r="E1041" i="3"/>
  <c r="E1030" i="3"/>
  <c r="E1024" i="3"/>
  <c r="E1018" i="3"/>
  <c r="E1012" i="3"/>
  <c r="E991" i="3"/>
  <c r="E970" i="3"/>
  <c r="E961" i="3"/>
  <c r="E954" i="3"/>
  <c r="E945" i="3"/>
  <c r="E921" i="3"/>
  <c r="E911" i="3"/>
  <c r="E893" i="3"/>
  <c r="E883" i="3"/>
  <c r="E874" i="3"/>
  <c r="E846" i="3"/>
  <c r="E818" i="3"/>
  <c r="E810" i="3"/>
  <c r="E800" i="3"/>
  <c r="E782" i="3"/>
  <c r="E772" i="3"/>
  <c r="E761" i="3"/>
  <c r="E750" i="3"/>
  <c r="E739" i="3"/>
  <c r="E727" i="3"/>
  <c r="E696" i="3"/>
  <c r="E679" i="3"/>
  <c r="E665" i="3"/>
  <c r="E1085" i="3"/>
  <c r="E1079" i="3"/>
  <c r="E1068" i="3"/>
  <c r="E1057" i="3"/>
  <c r="E1046" i="3"/>
  <c r="E1035" i="3"/>
  <c r="E1029" i="3"/>
  <c r="E1005" i="3"/>
  <c r="E997" i="3"/>
  <c r="E976" i="3"/>
  <c r="E968" i="3"/>
  <c r="E953" i="3"/>
  <c r="E937" i="3"/>
  <c r="E928" i="3"/>
  <c r="E920" i="3"/>
  <c r="E892" i="3"/>
  <c r="E855" i="3"/>
  <c r="E845" i="3"/>
  <c r="E827" i="3"/>
  <c r="E817" i="3"/>
  <c r="E809" i="3"/>
  <c r="E781" i="3"/>
  <c r="E738" i="3"/>
  <c r="E726" i="3"/>
  <c r="E709" i="3"/>
  <c r="E678" i="3"/>
  <c r="E640" i="3"/>
  <c r="E595" i="3"/>
  <c r="E1184" i="3"/>
  <c r="E1173" i="3"/>
  <c r="E1162" i="3"/>
  <c r="E1151" i="3"/>
  <c r="E1140" i="3"/>
  <c r="E1134" i="3"/>
  <c r="E1123" i="3"/>
  <c r="E1112" i="3"/>
  <c r="E1101" i="3"/>
  <c r="E1090" i="3"/>
  <c r="E1084" i="3"/>
  <c r="E1073" i="3"/>
  <c r="E1062" i="3"/>
  <c r="E1051" i="3"/>
  <c r="E1040" i="3"/>
  <c r="E1034" i="3"/>
  <c r="E1023" i="3"/>
  <c r="E1017" i="3"/>
  <c r="E1011" i="3"/>
  <c r="E990" i="3"/>
  <c r="E982" i="3"/>
  <c r="E967" i="3"/>
  <c r="E960" i="3"/>
  <c r="E944" i="3"/>
  <c r="E918" i="3"/>
  <c r="E910" i="3"/>
  <c r="E900" i="3"/>
  <c r="E882" i="3"/>
  <c r="E872" i="3"/>
  <c r="E835" i="3"/>
  <c r="E807" i="3"/>
  <c r="E799" i="3"/>
  <c r="E789" i="3"/>
  <c r="E771" i="3"/>
  <c r="E760" i="3"/>
  <c r="E749" i="3"/>
  <c r="E722" i="3"/>
  <c r="E708" i="3"/>
  <c r="E691" i="3"/>
  <c r="E588" i="3"/>
  <c r="E1356" i="3"/>
  <c r="E1345" i="3"/>
  <c r="E1339" i="3"/>
  <c r="E1328" i="3"/>
  <c r="E1317" i="3"/>
  <c r="E1306" i="3"/>
  <c r="E1295" i="3"/>
  <c r="E1289" i="3"/>
  <c r="E1278" i="3"/>
  <c r="E1267" i="3"/>
  <c r="E1256" i="3"/>
  <c r="E1245" i="3"/>
  <c r="E1239" i="3"/>
  <c r="E1228" i="3"/>
  <c r="E1217" i="3"/>
  <c r="E1206" i="3"/>
  <c r="E1195" i="3"/>
  <c r="E1189" i="3"/>
  <c r="E1178" i="3"/>
  <c r="E1167" i="3"/>
  <c r="E1156" i="3"/>
  <c r="E1145" i="3"/>
  <c r="E1139" i="3"/>
  <c r="E1128" i="3"/>
  <c r="E1117" i="3"/>
  <c r="E1106" i="3"/>
  <c r="E1095" i="3"/>
  <c r="E1089" i="3"/>
  <c r="E1078" i="3"/>
  <c r="E1067" i="3"/>
  <c r="E1056" i="3"/>
  <c r="E1045" i="3"/>
  <c r="E1039" i="3"/>
  <c r="E1028" i="3"/>
  <c r="E996" i="3"/>
  <c r="E975" i="3"/>
  <c r="E943" i="3"/>
  <c r="E935" i="3"/>
  <c r="E927" i="3"/>
  <c r="E917" i="3"/>
  <c r="E909" i="3"/>
  <c r="E881" i="3"/>
  <c r="E853" i="3"/>
  <c r="E844" i="3"/>
  <c r="E834" i="3"/>
  <c r="E816" i="3"/>
  <c r="E806" i="3"/>
  <c r="E788" i="3"/>
  <c r="E778" i="3"/>
  <c r="E770" i="3"/>
  <c r="E759" i="3"/>
  <c r="E677" i="3"/>
  <c r="E634" i="3"/>
  <c r="E1211" i="3"/>
  <c r="E1200" i="3"/>
  <c r="E1194" i="3"/>
  <c r="E1183" i="3"/>
  <c r="E1172" i="3"/>
  <c r="E1161" i="3"/>
  <c r="E1150" i="3"/>
  <c r="E1144" i="3"/>
  <c r="E1133" i="3"/>
  <c r="E1122" i="3"/>
  <c r="E1111" i="3"/>
  <c r="E1100" i="3"/>
  <c r="E1094" i="3"/>
  <c r="E1083" i="3"/>
  <c r="E1072" i="3"/>
  <c r="E1061" i="3"/>
  <c r="E1050" i="3"/>
  <c r="E1044" i="3"/>
  <c r="E1033" i="3"/>
  <c r="E1022" i="3"/>
  <c r="E1016" i="3"/>
  <c r="E1010" i="3"/>
  <c r="E1002" i="3"/>
  <c r="E981" i="3"/>
  <c r="E966" i="3"/>
  <c r="E959" i="3"/>
  <c r="E950" i="3"/>
  <c r="E934" i="3"/>
  <c r="E907" i="3"/>
  <c r="E899" i="3"/>
  <c r="E889" i="3"/>
  <c r="E871" i="3"/>
  <c r="E861" i="3"/>
  <c r="E843" i="3"/>
  <c r="E833" i="3"/>
  <c r="E824" i="3"/>
  <c r="E796" i="3"/>
  <c r="E767" i="3"/>
  <c r="E756" i="3"/>
  <c r="E745" i="3"/>
  <c r="E734" i="3"/>
  <c r="E703" i="3"/>
  <c r="E690" i="3"/>
  <c r="E658" i="3"/>
  <c r="E574" i="3"/>
  <c r="E1149" i="3"/>
  <c r="E1138" i="3"/>
  <c r="E1127" i="3"/>
  <c r="E1116" i="3"/>
  <c r="E1105" i="3"/>
  <c r="E1099" i="3"/>
  <c r="E1088" i="3"/>
  <c r="E1077" i="3"/>
  <c r="E1066" i="3"/>
  <c r="E1055" i="3"/>
  <c r="E1049" i="3"/>
  <c r="E1038" i="3"/>
  <c r="E1027" i="3"/>
  <c r="E995" i="3"/>
  <c r="E987" i="3"/>
  <c r="E957" i="3"/>
  <c r="E942" i="3"/>
  <c r="E933" i="3"/>
  <c r="E916" i="3"/>
  <c r="E906" i="3"/>
  <c r="E888" i="3"/>
  <c r="E878" i="3"/>
  <c r="E870" i="3"/>
  <c r="E842" i="3"/>
  <c r="E805" i="3"/>
  <c r="E795" i="3"/>
  <c r="E777" i="3"/>
  <c r="E733" i="3"/>
  <c r="E720" i="3"/>
  <c r="E672" i="3"/>
  <c r="E654" i="3"/>
  <c r="E567" i="3"/>
  <c r="E1177" i="3"/>
  <c r="E1166" i="3"/>
  <c r="E1354" i="3"/>
  <c r="E1343" i="3"/>
  <c r="E1332" i="3"/>
  <c r="E1321" i="3"/>
  <c r="E1310" i="3"/>
  <c r="E1304" i="3"/>
  <c r="E1293" i="3"/>
  <c r="E1282" i="3"/>
  <c r="E1271" i="3"/>
  <c r="E1260" i="3"/>
  <c r="E1254" i="3"/>
  <c r="E1243" i="3"/>
  <c r="E1232" i="3"/>
  <c r="E1221" i="3"/>
  <c r="E1210" i="3"/>
  <c r="E1204" i="3"/>
  <c r="E1193" i="3"/>
  <c r="E1182" i="3"/>
  <c r="E1171" i="3"/>
  <c r="E1160" i="3"/>
  <c r="E1154" i="3"/>
  <c r="E1143" i="3"/>
  <c r="E1132" i="3"/>
  <c r="E1121" i="3"/>
  <c r="E1110" i="3"/>
  <c r="E1104" i="3"/>
  <c r="E1093" i="3"/>
  <c r="E1082" i="3"/>
  <c r="E1071" i="3"/>
  <c r="E1060" i="3"/>
  <c r="E1054" i="3"/>
  <c r="E1043" i="3"/>
  <c r="E1032" i="3"/>
  <c r="E1021" i="3"/>
  <c r="E1015" i="3"/>
  <c r="E1001" i="3"/>
  <c r="E980" i="3"/>
  <c r="E972" i="3"/>
  <c r="E965" i="3"/>
  <c r="E956" i="3"/>
  <c r="E949" i="3"/>
  <c r="E924" i="3"/>
  <c r="E896" i="3"/>
  <c r="E868" i="3"/>
  <c r="E860" i="3"/>
  <c r="E850" i="3"/>
  <c r="E832" i="3"/>
  <c r="E822" i="3"/>
  <c r="E785" i="3"/>
  <c r="E766" i="3"/>
  <c r="E755" i="3"/>
  <c r="E744" i="3"/>
  <c r="E716" i="3"/>
  <c r="E702" i="3"/>
  <c r="E685" i="3"/>
  <c r="E653" i="3"/>
  <c r="E623" i="3"/>
  <c r="E1359" i="3"/>
  <c r="E1348" i="3"/>
  <c r="E1337" i="3"/>
  <c r="E1326" i="3"/>
  <c r="E1315" i="3"/>
  <c r="E1309" i="3"/>
  <c r="E1298" i="3"/>
  <c r="E1187" i="3"/>
  <c r="E1176" i="3"/>
  <c r="E1165" i="3"/>
  <c r="E1159" i="3"/>
  <c r="E1148" i="3"/>
  <c r="E1137" i="3"/>
  <c r="E1126" i="3"/>
  <c r="E1115" i="3"/>
  <c r="E1109" i="3"/>
  <c r="E1098" i="3"/>
  <c r="E1087" i="3"/>
  <c r="E1076" i="3"/>
  <c r="E1065" i="3"/>
  <c r="E1059" i="3"/>
  <c r="E1048" i="3"/>
  <c r="E1037" i="3"/>
  <c r="E1026" i="3"/>
  <c r="E1007" i="3"/>
  <c r="E986" i="3"/>
  <c r="E948" i="3"/>
  <c r="E932" i="3"/>
  <c r="E905" i="3"/>
  <c r="E895" i="3"/>
  <c r="E877" i="3"/>
  <c r="E867" i="3"/>
  <c r="E859" i="3"/>
  <c r="E831" i="3"/>
  <c r="E803" i="3"/>
  <c r="E794" i="3"/>
  <c r="E784" i="3"/>
  <c r="E743" i="3"/>
  <c r="E732" i="3"/>
  <c r="E715" i="3"/>
  <c r="E652" i="3"/>
  <c r="E1155" i="3"/>
  <c r="E1360" i="3"/>
  <c r="E1287" i="3"/>
  <c r="E1276" i="3"/>
  <c r="E1265" i="3"/>
  <c r="E1259" i="3"/>
  <c r="E1248" i="3"/>
  <c r="E1237" i="3"/>
  <c r="E1226" i="3"/>
  <c r="E1215" i="3"/>
  <c r="E1209" i="3"/>
  <c r="E1198" i="3"/>
  <c r="E1364" i="3"/>
  <c r="E1353" i="3"/>
  <c r="E1342" i="3"/>
  <c r="E1331" i="3"/>
  <c r="E1320" i="3"/>
  <c r="E1314" i="3"/>
  <c r="E1303" i="3"/>
  <c r="E1292" i="3"/>
  <c r="E1281" i="3"/>
  <c r="E1270" i="3"/>
  <c r="E1264" i="3"/>
  <c r="E1253" i="3"/>
  <c r="E1242" i="3"/>
  <c r="E1231" i="3"/>
  <c r="E1220" i="3"/>
  <c r="E1214" i="3"/>
  <c r="E1203" i="3"/>
  <c r="E1192" i="3"/>
  <c r="E1181" i="3"/>
  <c r="E1170" i="3"/>
  <c r="E1164" i="3"/>
  <c r="E1153" i="3"/>
  <c r="E1142" i="3"/>
  <c r="E1131" i="3"/>
  <c r="E1120" i="3"/>
  <c r="E1114" i="3"/>
  <c r="E1103" i="3"/>
  <c r="E1092" i="3"/>
  <c r="E1081" i="3"/>
  <c r="E1070" i="3"/>
  <c r="E1064" i="3"/>
  <c r="E1053" i="3"/>
  <c r="E1042" i="3"/>
  <c r="E1031" i="3"/>
  <c r="E1020" i="3"/>
  <c r="E1013" i="3"/>
  <c r="E1000" i="3"/>
  <c r="E992" i="3"/>
  <c r="E971" i="3"/>
  <c r="E955" i="3"/>
  <c r="E939" i="3"/>
  <c r="E922" i="3"/>
  <c r="E885" i="3"/>
  <c r="E857" i="3"/>
  <c r="E849" i="3"/>
  <c r="E839" i="3"/>
  <c r="E821" i="3"/>
  <c r="E811" i="3"/>
  <c r="E793" i="3"/>
  <c r="E783" i="3"/>
  <c r="E774" i="3"/>
  <c r="E753" i="3"/>
  <c r="E742" i="3"/>
  <c r="E728" i="3"/>
  <c r="E697" i="3"/>
  <c r="E684" i="3"/>
  <c r="E615" i="3"/>
  <c r="E768" i="3"/>
  <c r="E757" i="3"/>
  <c r="E746" i="3"/>
  <c r="E735" i="3"/>
  <c r="E723" i="3"/>
  <c r="E717" i="3"/>
  <c r="E711" i="3"/>
  <c r="E705" i="3"/>
  <c r="E698" i="3"/>
  <c r="E692" i="3"/>
  <c r="E686" i="3"/>
  <c r="E680" i="3"/>
  <c r="E674" i="3"/>
  <c r="E618" i="3"/>
  <c r="E612" i="3"/>
  <c r="E598" i="3"/>
  <c r="E591" i="3"/>
  <c r="E563" i="3"/>
  <c r="E550" i="3"/>
  <c r="E534" i="3"/>
  <c r="E526" i="3"/>
  <c r="E502" i="3"/>
  <c r="E484" i="3"/>
  <c r="E465" i="3"/>
  <c r="E456" i="3"/>
  <c r="E421" i="3"/>
  <c r="E408" i="3"/>
  <c r="E380" i="3"/>
  <c r="E346" i="3"/>
  <c r="E269" i="3"/>
  <c r="E1008" i="3"/>
  <c r="E1003" i="3"/>
  <c r="E998" i="3"/>
  <c r="E993" i="3"/>
  <c r="E988" i="3"/>
  <c r="E983" i="3"/>
  <c r="E978" i="3"/>
  <c r="E973" i="3"/>
  <c r="E962" i="3"/>
  <c r="E951" i="3"/>
  <c r="E940" i="3"/>
  <c r="E929" i="3"/>
  <c r="E923" i="3"/>
  <c r="E912" i="3"/>
  <c r="E901" i="3"/>
  <c r="E890" i="3"/>
  <c r="E879" i="3"/>
  <c r="E873" i="3"/>
  <c r="E862" i="3"/>
  <c r="E851" i="3"/>
  <c r="E840" i="3"/>
  <c r="E829" i="3"/>
  <c r="E823" i="3"/>
  <c r="E812" i="3"/>
  <c r="E801" i="3"/>
  <c r="E790" i="3"/>
  <c r="E779" i="3"/>
  <c r="E773" i="3"/>
  <c r="E762" i="3"/>
  <c r="E751" i="3"/>
  <c r="E740" i="3"/>
  <c r="E729" i="3"/>
  <c r="E704" i="3"/>
  <c r="E673" i="3"/>
  <c r="E667" i="3"/>
  <c r="E661" i="3"/>
  <c r="E655" i="3"/>
  <c r="E648" i="3"/>
  <c r="E642" i="3"/>
  <c r="E636" i="3"/>
  <c r="E630" i="3"/>
  <c r="E624" i="3"/>
  <c r="E605" i="3"/>
  <c r="E597" i="3"/>
  <c r="E584" i="3"/>
  <c r="E577" i="3"/>
  <c r="E556" i="3"/>
  <c r="E541" i="3"/>
  <c r="E533" i="3"/>
  <c r="E525" i="3"/>
  <c r="E517" i="3"/>
  <c r="E501" i="3"/>
  <c r="E473" i="3"/>
  <c r="E464" i="3"/>
  <c r="E455" i="3"/>
  <c r="E420" i="3"/>
  <c r="E392" i="3"/>
  <c r="E379" i="3"/>
  <c r="E323" i="3"/>
  <c r="E297" i="3"/>
  <c r="E263" i="3"/>
  <c r="E199" i="3"/>
  <c r="E617" i="3"/>
  <c r="E611" i="3"/>
  <c r="E604" i="3"/>
  <c r="E590" i="3"/>
  <c r="E583" i="3"/>
  <c r="E576" i="3"/>
  <c r="E569" i="3"/>
  <c r="E562" i="3"/>
  <c r="E548" i="3"/>
  <c r="E540" i="3"/>
  <c r="E508" i="3"/>
  <c r="E491" i="3"/>
  <c r="E463" i="3"/>
  <c r="E454" i="3"/>
  <c r="E445" i="3"/>
  <c r="E434" i="3"/>
  <c r="E406" i="3"/>
  <c r="E364" i="3"/>
  <c r="E343" i="3"/>
  <c r="E262" i="3"/>
  <c r="E192" i="3"/>
  <c r="E647" i="3"/>
  <c r="E641" i="3"/>
  <c r="E635" i="3"/>
  <c r="E629" i="3"/>
  <c r="E596" i="3"/>
  <c r="E575" i="3"/>
  <c r="E568" i="3"/>
  <c r="E555" i="3"/>
  <c r="E547" i="3"/>
  <c r="E523" i="3"/>
  <c r="E516" i="3"/>
  <c r="E490" i="3"/>
  <c r="E462" i="3"/>
  <c r="E417" i="3"/>
  <c r="E403" i="3"/>
  <c r="E375" i="3"/>
  <c r="E318" i="3"/>
  <c r="E659" i="3"/>
  <c r="E628" i="3"/>
  <c r="E622" i="3"/>
  <c r="E616" i="3"/>
  <c r="E602" i="3"/>
  <c r="E589" i="3"/>
  <c r="E561" i="3"/>
  <c r="E554" i="3"/>
  <c r="E539" i="3"/>
  <c r="E515" i="3"/>
  <c r="E498" i="3"/>
  <c r="E480" i="3"/>
  <c r="E452" i="3"/>
  <c r="E415" i="3"/>
  <c r="E387" i="3"/>
  <c r="E374" i="3"/>
  <c r="E338" i="3"/>
  <c r="E315" i="3"/>
  <c r="E290" i="3"/>
  <c r="E248" i="3"/>
  <c r="E538" i="3"/>
  <c r="E530" i="3"/>
  <c r="E522" i="3"/>
  <c r="E514" i="3"/>
  <c r="E506" i="3"/>
  <c r="E497" i="3"/>
  <c r="E488" i="3"/>
  <c r="E479" i="3"/>
  <c r="E451" i="3"/>
  <c r="E441" i="3"/>
  <c r="E429" i="3"/>
  <c r="E401" i="3"/>
  <c r="E359" i="3"/>
  <c r="E336" i="3"/>
  <c r="E284" i="3"/>
  <c r="E241" i="3"/>
  <c r="E165" i="3"/>
  <c r="E926" i="3"/>
  <c r="E915" i="3"/>
  <c r="E904" i="3"/>
  <c r="E898" i="3"/>
  <c r="E887" i="3"/>
  <c r="E876" i="3"/>
  <c r="E865" i="3"/>
  <c r="E854" i="3"/>
  <c r="E848" i="3"/>
  <c r="E837" i="3"/>
  <c r="E826" i="3"/>
  <c r="E815" i="3"/>
  <c r="E804" i="3"/>
  <c r="E798" i="3"/>
  <c r="E787" i="3"/>
  <c r="E776" i="3"/>
  <c r="E765" i="3"/>
  <c r="E754" i="3"/>
  <c r="E748" i="3"/>
  <c r="E737" i="3"/>
  <c r="E713" i="3"/>
  <c r="E707" i="3"/>
  <c r="E701" i="3"/>
  <c r="E695" i="3"/>
  <c r="E689" i="3"/>
  <c r="E676" i="3"/>
  <c r="E670" i="3"/>
  <c r="E664" i="3"/>
  <c r="E633" i="3"/>
  <c r="E627" i="3"/>
  <c r="E601" i="3"/>
  <c r="E587" i="3"/>
  <c r="E580" i="3"/>
  <c r="E573" i="3"/>
  <c r="E552" i="3"/>
  <c r="E545" i="3"/>
  <c r="E537" i="3"/>
  <c r="E529" i="3"/>
  <c r="E513" i="3"/>
  <c r="E487" i="3"/>
  <c r="E478" i="3"/>
  <c r="E469" i="3"/>
  <c r="E440" i="3"/>
  <c r="E399" i="3"/>
  <c r="E371" i="3"/>
  <c r="E357" i="3"/>
  <c r="E310" i="3"/>
  <c r="E282" i="3"/>
  <c r="E731" i="3"/>
  <c r="E719" i="3"/>
  <c r="E688" i="3"/>
  <c r="E657" i="3"/>
  <c r="E651" i="3"/>
  <c r="E645" i="3"/>
  <c r="E639" i="3"/>
  <c r="E626" i="3"/>
  <c r="E620" i="3"/>
  <c r="E614" i="3"/>
  <c r="E607" i="3"/>
  <c r="E594" i="3"/>
  <c r="E586" i="3"/>
  <c r="E566" i="3"/>
  <c r="E558" i="3"/>
  <c r="E536" i="3"/>
  <c r="E528" i="3"/>
  <c r="E512" i="3"/>
  <c r="E505" i="3"/>
  <c r="E486" i="3"/>
  <c r="E477" i="3"/>
  <c r="E458" i="3"/>
  <c r="E426" i="3"/>
  <c r="E413" i="3"/>
  <c r="E385" i="3"/>
  <c r="E353" i="3"/>
  <c r="E331" i="3"/>
  <c r="E276" i="3"/>
  <c r="E725" i="3"/>
  <c r="E663" i="3"/>
  <c r="E964" i="3"/>
  <c r="E958" i="3"/>
  <c r="E947" i="3"/>
  <c r="E936" i="3"/>
  <c r="E925" i="3"/>
  <c r="E914" i="3"/>
  <c r="E908" i="3"/>
  <c r="E897" i="3"/>
  <c r="E886" i="3"/>
  <c r="E875" i="3"/>
  <c r="E864" i="3"/>
  <c r="E858" i="3"/>
  <c r="E847" i="3"/>
  <c r="E836" i="3"/>
  <c r="E825" i="3"/>
  <c r="E814" i="3"/>
  <c r="E808" i="3"/>
  <c r="E797" i="3"/>
  <c r="E786" i="3"/>
  <c r="E775" i="3"/>
  <c r="E764" i="3"/>
  <c r="E758" i="3"/>
  <c r="E747" i="3"/>
  <c r="E736" i="3"/>
  <c r="E718" i="3"/>
  <c r="E712" i="3"/>
  <c r="E706" i="3"/>
  <c r="E700" i="3"/>
  <c r="E694" i="3"/>
  <c r="E687" i="3"/>
  <c r="E681" i="3"/>
  <c r="E675" i="3"/>
  <c r="E669" i="3"/>
  <c r="E638" i="3"/>
  <c r="E613" i="3"/>
  <c r="E600" i="3"/>
  <c r="E579" i="3"/>
  <c r="E572" i="3"/>
  <c r="E565" i="3"/>
  <c r="E551" i="3"/>
  <c r="E544" i="3"/>
  <c r="E504" i="3"/>
  <c r="E495" i="3"/>
  <c r="E476" i="3"/>
  <c r="E467" i="3"/>
  <c r="E448" i="3"/>
  <c r="E437" i="3"/>
  <c r="E424" i="3"/>
  <c r="E396" i="3"/>
  <c r="E352" i="3"/>
  <c r="E304" i="3"/>
  <c r="E220" i="3"/>
  <c r="E137" i="3"/>
  <c r="E1019" i="3"/>
  <c r="E1014" i="3"/>
  <c r="E1009" i="3"/>
  <c r="E1004" i="3"/>
  <c r="E999" i="3"/>
  <c r="E994" i="3"/>
  <c r="E989" i="3"/>
  <c r="E984" i="3"/>
  <c r="E979" i="3"/>
  <c r="E974" i="3"/>
  <c r="E969" i="3"/>
  <c r="E963" i="3"/>
  <c r="E952" i="3"/>
  <c r="E941" i="3"/>
  <c r="E930" i="3"/>
  <c r="E919" i="3"/>
  <c r="E913" i="3"/>
  <c r="E902" i="3"/>
  <c r="E891" i="3"/>
  <c r="E880" i="3"/>
  <c r="E869" i="3"/>
  <c r="E863" i="3"/>
  <c r="E852" i="3"/>
  <c r="E841" i="3"/>
  <c r="E830" i="3"/>
  <c r="E819" i="3"/>
  <c r="E813" i="3"/>
  <c r="E802" i="3"/>
  <c r="E791" i="3"/>
  <c r="E780" i="3"/>
  <c r="E769" i="3"/>
  <c r="E763" i="3"/>
  <c r="E752" i="3"/>
  <c r="E741" i="3"/>
  <c r="E730" i="3"/>
  <c r="E724" i="3"/>
  <c r="E668" i="3"/>
  <c r="E662" i="3"/>
  <c r="E656" i="3"/>
  <c r="E650" i="3"/>
  <c r="E644" i="3"/>
  <c r="E637" i="3"/>
  <c r="E631" i="3"/>
  <c r="E625" i="3"/>
  <c r="E619" i="3"/>
  <c r="E606" i="3"/>
  <c r="E585" i="3"/>
  <c r="E578" i="3"/>
  <c r="E564" i="3"/>
  <c r="E557" i="3"/>
  <c r="E527" i="3"/>
  <c r="E519" i="3"/>
  <c r="E511" i="3"/>
  <c r="E494" i="3"/>
  <c r="E475" i="3"/>
  <c r="E466" i="3"/>
  <c r="E447" i="3"/>
  <c r="E436" i="3"/>
  <c r="E423" i="3"/>
  <c r="E395" i="3"/>
  <c r="E367" i="3"/>
  <c r="E325" i="3"/>
  <c r="E129" i="3"/>
  <c r="E444" i="3"/>
  <c r="E438" i="3"/>
  <c r="E425" i="3"/>
  <c r="E404" i="3"/>
  <c r="E397" i="3"/>
  <c r="E384" i="3"/>
  <c r="E376" i="3"/>
  <c r="E363" i="3"/>
  <c r="E356" i="3"/>
  <c r="E335" i="3"/>
  <c r="E314" i="3"/>
  <c r="E307" i="3"/>
  <c r="E293" i="3"/>
  <c r="E286" i="3"/>
  <c r="E273" i="3"/>
  <c r="E265" i="3"/>
  <c r="E245" i="3"/>
  <c r="E237" i="3"/>
  <c r="E224" i="3"/>
  <c r="E217" i="3"/>
  <c r="E203" i="3"/>
  <c r="E196" i="3"/>
  <c r="E170" i="3"/>
  <c r="E142" i="3"/>
  <c r="E134" i="3"/>
  <c r="E124" i="3"/>
  <c r="E106" i="3"/>
  <c r="E96" i="3"/>
  <c r="E85" i="3"/>
  <c r="E74" i="3"/>
  <c r="E63" i="3"/>
  <c r="E51" i="3"/>
  <c r="E36" i="3"/>
  <c r="E721" i="3"/>
  <c r="E710" i="3"/>
  <c r="E699" i="3"/>
  <c r="E693" i="3"/>
  <c r="E682" i="3"/>
  <c r="E671" i="3"/>
  <c r="E660" i="3"/>
  <c r="E649" i="3"/>
  <c r="E643" i="3"/>
  <c r="E632" i="3"/>
  <c r="E621" i="3"/>
  <c r="E610" i="3"/>
  <c r="E599" i="3"/>
  <c r="E593" i="3"/>
  <c r="E582" i="3"/>
  <c r="E571" i="3"/>
  <c r="E560" i="3"/>
  <c r="E549" i="3"/>
  <c r="E543" i="3"/>
  <c r="E532" i="3"/>
  <c r="E521" i="3"/>
  <c r="E510" i="3"/>
  <c r="E499" i="3"/>
  <c r="E493" i="3"/>
  <c r="E482" i="3"/>
  <c r="E471" i="3"/>
  <c r="E460" i="3"/>
  <c r="E449" i="3"/>
  <c r="E443" i="3"/>
  <c r="E431" i="3"/>
  <c r="E418" i="3"/>
  <c r="E410" i="3"/>
  <c r="E390" i="3"/>
  <c r="E382" i="3"/>
  <c r="E369" i="3"/>
  <c r="E362" i="3"/>
  <c r="E348" i="3"/>
  <c r="E341" i="3"/>
  <c r="E320" i="3"/>
  <c r="E299" i="3"/>
  <c r="E292" i="3"/>
  <c r="E279" i="3"/>
  <c r="E271" i="3"/>
  <c r="E258" i="3"/>
  <c r="E251" i="3"/>
  <c r="E230" i="3"/>
  <c r="E209" i="3"/>
  <c r="E202" i="3"/>
  <c r="E187" i="3"/>
  <c r="E179" i="3"/>
  <c r="E169" i="3"/>
  <c r="E151" i="3"/>
  <c r="E141" i="3"/>
  <c r="E104" i="3"/>
  <c r="E62" i="3"/>
  <c r="E34" i="3"/>
  <c r="E354" i="3"/>
  <c r="E347" i="3"/>
  <c r="E334" i="3"/>
  <c r="E326" i="3"/>
  <c r="E313" i="3"/>
  <c r="E306" i="3"/>
  <c r="E285" i="3"/>
  <c r="E264" i="3"/>
  <c r="E257" i="3"/>
  <c r="E243" i="3"/>
  <c r="E236" i="3"/>
  <c r="E223" i="3"/>
  <c r="E215" i="3"/>
  <c r="E195" i="3"/>
  <c r="E159" i="3"/>
  <c r="E131" i="3"/>
  <c r="E123" i="3"/>
  <c r="E113" i="3"/>
  <c r="E95" i="3"/>
  <c r="E84" i="3"/>
  <c r="E73" i="3"/>
  <c r="E609" i="3"/>
  <c r="E603" i="3"/>
  <c r="E592" i="3"/>
  <c r="E581" i="3"/>
  <c r="E570" i="3"/>
  <c r="E559" i="3"/>
  <c r="E553" i="3"/>
  <c r="E542" i="3"/>
  <c r="E531" i="3"/>
  <c r="E520" i="3"/>
  <c r="E509" i="3"/>
  <c r="E503" i="3"/>
  <c r="E492" i="3"/>
  <c r="E481" i="3"/>
  <c r="E470" i="3"/>
  <c r="E459" i="3"/>
  <c r="E453" i="3"/>
  <c r="E442" i="3"/>
  <c r="E430" i="3"/>
  <c r="E409" i="3"/>
  <c r="E402" i="3"/>
  <c r="E388" i="3"/>
  <c r="E381" i="3"/>
  <c r="E368" i="3"/>
  <c r="E360" i="3"/>
  <c r="E340" i="3"/>
  <c r="E332" i="3"/>
  <c r="E319" i="3"/>
  <c r="E312" i="3"/>
  <c r="E298" i="3"/>
  <c r="E291" i="3"/>
  <c r="E270" i="3"/>
  <c r="E249" i="3"/>
  <c r="E242" i="3"/>
  <c r="E229" i="3"/>
  <c r="E221" i="3"/>
  <c r="E208" i="3"/>
  <c r="E201" i="3"/>
  <c r="E176" i="3"/>
  <c r="E168" i="3"/>
  <c r="E158" i="3"/>
  <c r="E140" i="3"/>
  <c r="E130" i="3"/>
  <c r="E112" i="3"/>
  <c r="E102" i="3"/>
  <c r="E93" i="3"/>
  <c r="E46" i="3"/>
  <c r="E33" i="3"/>
  <c r="E256" i="3"/>
  <c r="E235" i="3"/>
  <c r="E214" i="3"/>
  <c r="E207" i="3"/>
  <c r="E193" i="3"/>
  <c r="E185" i="3"/>
  <c r="E167" i="3"/>
  <c r="E157" i="3"/>
  <c r="E148" i="3"/>
  <c r="E120" i="3"/>
  <c r="E91" i="3"/>
  <c r="E80" i="3"/>
  <c r="E69" i="3"/>
  <c r="E58" i="3"/>
  <c r="E30" i="3"/>
  <c r="E119" i="3"/>
  <c r="E101" i="3"/>
  <c r="E57" i="3"/>
  <c r="E45" i="3"/>
  <c r="E28" i="3"/>
  <c r="E546" i="3"/>
  <c r="E535" i="3"/>
  <c r="E524" i="3"/>
  <c r="E518" i="3"/>
  <c r="E507" i="3"/>
  <c r="E496" i="3"/>
  <c r="E485" i="3"/>
  <c r="E474" i="3"/>
  <c r="E468" i="3"/>
  <c r="E457" i="3"/>
  <c r="E446" i="3"/>
  <c r="E435" i="3"/>
  <c r="E414" i="3"/>
  <c r="E407" i="3"/>
  <c r="E393" i="3"/>
  <c r="E386" i="3"/>
  <c r="E373" i="3"/>
  <c r="E365" i="3"/>
  <c r="E345" i="3"/>
  <c r="E337" i="3"/>
  <c r="E324" i="3"/>
  <c r="E317" i="3"/>
  <c r="E303" i="3"/>
  <c r="E296" i="3"/>
  <c r="E275" i="3"/>
  <c r="E254" i="3"/>
  <c r="E247" i="3"/>
  <c r="E234" i="3"/>
  <c r="E226" i="3"/>
  <c r="E213" i="3"/>
  <c r="E206" i="3"/>
  <c r="E184" i="3"/>
  <c r="E174" i="3"/>
  <c r="E156" i="3"/>
  <c r="E146" i="3"/>
  <c r="E109" i="3"/>
  <c r="E90" i="3"/>
  <c r="E79" i="3"/>
  <c r="E68" i="3"/>
  <c r="E43" i="3"/>
  <c r="E26" i="3"/>
  <c r="E358" i="3"/>
  <c r="E351" i="3"/>
  <c r="E330" i="3"/>
  <c r="E309" i="3"/>
  <c r="E302" i="3"/>
  <c r="E288" i="3"/>
  <c r="E281" i="3"/>
  <c r="E268" i="3"/>
  <c r="E260" i="3"/>
  <c r="E240" i="3"/>
  <c r="E232" i="3"/>
  <c r="E219" i="3"/>
  <c r="E212" i="3"/>
  <c r="E198" i="3"/>
  <c r="E191" i="3"/>
  <c r="E154" i="3"/>
  <c r="E126" i="3"/>
  <c r="E118" i="3"/>
  <c r="E108" i="3"/>
  <c r="E67" i="3"/>
  <c r="E56" i="3"/>
  <c r="E40" i="3"/>
  <c r="E24" i="3"/>
  <c r="E295" i="3"/>
  <c r="E287" i="3"/>
  <c r="E274" i="3"/>
  <c r="E267" i="3"/>
  <c r="E253" i="3"/>
  <c r="E246" i="3"/>
  <c r="E225" i="3"/>
  <c r="E204" i="3"/>
  <c r="E197" i="3"/>
  <c r="E181" i="3"/>
  <c r="E173" i="3"/>
  <c r="E163" i="3"/>
  <c r="E145" i="3"/>
  <c r="E135" i="3"/>
  <c r="E117" i="3"/>
  <c r="E107" i="3"/>
  <c r="E98" i="3"/>
  <c r="E87" i="3"/>
  <c r="E76" i="3"/>
  <c r="E65" i="3"/>
  <c r="E54" i="3"/>
  <c r="E21" i="3"/>
  <c r="E500" i="3"/>
  <c r="E489" i="3"/>
  <c r="E483" i="3"/>
  <c r="E472" i="3"/>
  <c r="E461" i="3"/>
  <c r="E450" i="3"/>
  <c r="E439" i="3"/>
  <c r="E432" i="3"/>
  <c r="E419" i="3"/>
  <c r="E412" i="3"/>
  <c r="E398" i="3"/>
  <c r="E391" i="3"/>
  <c r="E370" i="3"/>
  <c r="E349" i="3"/>
  <c r="E342" i="3"/>
  <c r="E329" i="3"/>
  <c r="E321" i="3"/>
  <c r="E308" i="3"/>
  <c r="E301" i="3"/>
  <c r="E280" i="3"/>
  <c r="E259" i="3"/>
  <c r="E252" i="3"/>
  <c r="E238" i="3"/>
  <c r="E231" i="3"/>
  <c r="E218" i="3"/>
  <c r="E210" i="3"/>
  <c r="E190" i="3"/>
  <c r="E180" i="3"/>
  <c r="E162" i="3"/>
  <c r="E152" i="3"/>
  <c r="E143" i="3"/>
  <c r="E115" i="3"/>
  <c r="E39" i="3"/>
  <c r="E20" i="3"/>
  <c r="E188" i="3"/>
  <c r="E182" i="3"/>
  <c r="E171" i="3"/>
  <c r="E160" i="3"/>
  <c r="E149" i="3"/>
  <c r="E138" i="3"/>
  <c r="E132" i="3"/>
  <c r="E121" i="3"/>
  <c r="E110" i="3"/>
  <c r="E99" i="3"/>
  <c r="E88" i="3"/>
  <c r="E82" i="3"/>
  <c r="E71" i="3"/>
  <c r="E60" i="3"/>
  <c r="E49" i="3"/>
  <c r="E18" i="3"/>
  <c r="E92" i="3"/>
  <c r="E81" i="3"/>
  <c r="E70" i="3"/>
  <c r="E59" i="3"/>
  <c r="E48" i="3"/>
  <c r="E186" i="3"/>
  <c r="E175" i="3"/>
  <c r="E164" i="3"/>
  <c r="E153" i="3"/>
  <c r="E147" i="3"/>
  <c r="E136" i="3"/>
  <c r="E125" i="3"/>
  <c r="E114" i="3"/>
  <c r="E103" i="3"/>
  <c r="E97" i="3"/>
  <c r="E86" i="3"/>
  <c r="E75" i="3"/>
  <c r="E64" i="3"/>
  <c r="E53" i="3"/>
  <c r="E47" i="3"/>
  <c r="E41" i="3"/>
  <c r="E35" i="3"/>
  <c r="E29" i="3"/>
  <c r="E23" i="3"/>
  <c r="E16" i="3"/>
  <c r="E52" i="3"/>
  <c r="E15" i="3"/>
  <c r="E14" i="3"/>
  <c r="E428" i="3"/>
  <c r="E422" i="3"/>
  <c r="E411" i="3"/>
  <c r="E400" i="3"/>
  <c r="E389" i="3"/>
  <c r="E378" i="3"/>
  <c r="E372" i="3"/>
  <c r="E361" i="3"/>
  <c r="E350" i="3"/>
  <c r="E339" i="3"/>
  <c r="E328" i="3"/>
  <c r="E322" i="3"/>
  <c r="E311" i="3"/>
  <c r="E300" i="3"/>
  <c r="E289" i="3"/>
  <c r="E278" i="3"/>
  <c r="E272" i="3"/>
  <c r="E261" i="3"/>
  <c r="E250" i="3"/>
  <c r="E239" i="3"/>
  <c r="E228" i="3"/>
  <c r="E222" i="3"/>
  <c r="E211" i="3"/>
  <c r="E200" i="3"/>
  <c r="E189" i="3"/>
  <c r="E178" i="3"/>
  <c r="E172" i="3"/>
  <c r="E161" i="3"/>
  <c r="E150" i="3"/>
  <c r="E139" i="3"/>
  <c r="E128" i="3"/>
  <c r="E122" i="3"/>
  <c r="E111" i="3"/>
  <c r="E100" i="3"/>
  <c r="E89" i="3"/>
  <c r="E78" i="3"/>
  <c r="E72" i="3"/>
  <c r="E61" i="3"/>
  <c r="E50" i="3"/>
  <c r="E433" i="3"/>
  <c r="E427" i="3"/>
  <c r="E416" i="3"/>
  <c r="E405" i="3"/>
  <c r="E394" i="3"/>
  <c r="E383" i="3"/>
  <c r="E377" i="3"/>
  <c r="E366" i="3"/>
  <c r="E355" i="3"/>
  <c r="E344" i="3"/>
  <c r="E333" i="3"/>
  <c r="E327" i="3"/>
  <c r="E316" i="3"/>
  <c r="E305" i="3"/>
  <c r="E294" i="3"/>
  <c r="E283" i="3"/>
  <c r="E277" i="3"/>
  <c r="E266" i="3"/>
  <c r="E255" i="3"/>
  <c r="E244" i="3"/>
  <c r="E233" i="3"/>
  <c r="E227" i="3"/>
  <c r="E216" i="3"/>
  <c r="E205" i="3"/>
  <c r="E194" i="3"/>
  <c r="E183" i="3"/>
  <c r="E177" i="3"/>
  <c r="E166" i="3"/>
  <c r="E155" i="3"/>
  <c r="E144" i="3"/>
  <c r="E133" i="3"/>
  <c r="E127" i="3"/>
  <c r="E116" i="3"/>
  <c r="E105" i="3"/>
  <c r="E94" i="3"/>
  <c r="E83" i="3"/>
  <c r="E77" i="3"/>
  <c r="E66" i="3"/>
  <c r="E55" i="3"/>
  <c r="E44" i="3"/>
  <c r="E38" i="3"/>
  <c r="E31" i="3"/>
  <c r="E25" i="3"/>
  <c r="E19" i="3"/>
  <c r="E13" i="3"/>
  <c r="E42" i="3"/>
  <c r="E37" i="3"/>
  <c r="E32" i="3"/>
  <c r="E27" i="3"/>
  <c r="E22" i="3"/>
  <c r="E17" i="3"/>
  <c r="E12" i="3"/>
  <c r="E11" i="3"/>
  <c r="D1360" i="3"/>
  <c r="D1355" i="3"/>
  <c r="D1350" i="3"/>
  <c r="D1345" i="3"/>
  <c r="D1340" i="3"/>
  <c r="D1335" i="3"/>
  <c r="D1330" i="3"/>
  <c r="D1325" i="3"/>
  <c r="D1320" i="3"/>
  <c r="D1298" i="3"/>
  <c r="D1088" i="3"/>
  <c r="D1081" i="3"/>
  <c r="D1073" i="3"/>
  <c r="D1057" i="3"/>
  <c r="D1048" i="3"/>
  <c r="D1038" i="3"/>
  <c r="D1007" i="3"/>
  <c r="D984" i="3"/>
  <c r="D933" i="3"/>
  <c r="D911" i="3"/>
  <c r="D1229" i="3"/>
  <c r="D1223" i="3"/>
  <c r="D1354" i="3"/>
  <c r="D1349" i="3"/>
  <c r="D1344" i="3"/>
  <c r="D1339" i="3"/>
  <c r="D1287" i="3"/>
  <c r="D1276" i="3"/>
  <c r="D1259" i="3"/>
  <c r="D1248" i="3"/>
  <c r="D1237" i="3"/>
  <c r="D1226" i="3"/>
  <c r="D1206" i="3"/>
  <c r="D1199" i="3"/>
  <c r="D1192" i="3"/>
  <c r="D1178" i="3"/>
  <c r="D1164" i="3"/>
  <c r="D1157" i="3"/>
  <c r="D1150" i="3"/>
  <c r="D1129" i="3"/>
  <c r="D1116" i="3"/>
  <c r="D1363" i="3"/>
  <c r="D1358" i="3"/>
  <c r="D1353" i="3"/>
  <c r="D1348" i="3"/>
  <c r="D1343" i="3"/>
  <c r="D1338" i="3"/>
  <c r="D1333" i="3"/>
  <c r="D1328" i="3"/>
  <c r="D1323" i="3"/>
  <c r="D1318" i="3"/>
  <c r="D1313" i="3"/>
  <c r="D1308" i="3"/>
  <c r="D1303" i="3"/>
  <c r="D1292" i="3"/>
  <c r="D1281" i="3"/>
  <c r="D1264" i="3"/>
  <c r="D1253" i="3"/>
  <c r="D1242" i="3"/>
  <c r="D1231" i="3"/>
  <c r="D1225" i="3"/>
  <c r="D1212" i="3"/>
  <c r="D1205" i="3"/>
  <c r="D1198" i="3"/>
  <c r="D1191" i="3"/>
  <c r="D1184" i="3"/>
  <c r="D1170" i="3"/>
  <c r="D1163" i="3"/>
  <c r="D1135" i="3"/>
  <c r="D1122" i="3"/>
  <c r="D1101" i="3"/>
  <c r="D1094" i="3"/>
  <c r="D1087" i="3"/>
  <c r="D1072" i="3"/>
  <c r="D1064" i="3"/>
  <c r="D1027" i="3"/>
  <c r="D1016" i="3"/>
  <c r="D996" i="3"/>
  <c r="D929" i="3"/>
  <c r="D1296" i="3"/>
  <c r="D1279" i="3"/>
  <c r="D1268" i="3"/>
  <c r="D1257" i="3"/>
  <c r="D1246" i="3"/>
  <c r="D1210" i="3"/>
  <c r="D1187" i="3"/>
  <c r="D1173" i="3"/>
  <c r="D1159" i="3"/>
  <c r="D1152" i="3"/>
  <c r="D1145" i="3"/>
  <c r="D1364" i="3"/>
  <c r="D1359" i="3"/>
  <c r="D1334" i="3"/>
  <c r="D1329" i="3"/>
  <c r="D1324" i="3"/>
  <c r="D1319" i="3"/>
  <c r="D1314" i="3"/>
  <c r="D1309" i="3"/>
  <c r="D1297" i="3"/>
  <c r="D1286" i="3"/>
  <c r="D1269" i="3"/>
  <c r="D1258" i="3"/>
  <c r="D1247" i="3"/>
  <c r="D1236" i="3"/>
  <c r="D1224" i="3"/>
  <c r="D1218" i="3"/>
  <c r="D1190" i="3"/>
  <c r="D1177" i="3"/>
  <c r="D1156" i="3"/>
  <c r="D1149" i="3"/>
  <c r="D1142" i="3"/>
  <c r="D1128" i="3"/>
  <c r="D1114" i="3"/>
  <c r="D1107" i="3"/>
  <c r="D1100" i="3"/>
  <c r="D1079" i="3"/>
  <c r="D1063" i="3"/>
  <c r="D1055" i="3"/>
  <c r="D1046" i="3"/>
  <c r="D1036" i="3"/>
  <c r="D1025" i="3"/>
  <c r="D1015" i="3"/>
  <c r="D1005" i="3"/>
  <c r="D969" i="3"/>
  <c r="D928" i="3"/>
  <c r="D908" i="3"/>
  <c r="D865" i="3"/>
  <c r="D1307" i="3"/>
  <c r="D1302" i="3"/>
  <c r="D1291" i="3"/>
  <c r="D1274" i="3"/>
  <c r="D1263" i="3"/>
  <c r="D1252" i="3"/>
  <c r="D1241" i="3"/>
  <c r="D1211" i="3"/>
  <c r="D1183" i="3"/>
  <c r="D1176" i="3"/>
  <c r="D1162" i="3"/>
  <c r="D1155" i="3"/>
  <c r="D1148" i="3"/>
  <c r="D1141" i="3"/>
  <c r="D1134" i="3"/>
  <c r="D1120" i="3"/>
  <c r="D1113" i="3"/>
  <c r="D1085" i="3"/>
  <c r="D1070" i="3"/>
  <c r="D1045" i="3"/>
  <c r="D1034" i="3"/>
  <c r="D1014" i="3"/>
  <c r="D1003" i="3"/>
  <c r="D994" i="3"/>
  <c r="D982" i="3"/>
  <c r="D927" i="3"/>
  <c r="D858" i="3"/>
  <c r="D1362" i="3"/>
  <c r="D1357" i="3"/>
  <c r="D1352" i="3"/>
  <c r="D1347" i="3"/>
  <c r="D1342" i="3"/>
  <c r="D1337" i="3"/>
  <c r="D1332" i="3"/>
  <c r="D1327" i="3"/>
  <c r="D1196" i="3"/>
  <c r="D1189" i="3"/>
  <c r="D1175" i="3"/>
  <c r="D1168" i="3"/>
  <c r="D1140" i="3"/>
  <c r="D1127" i="3"/>
  <c r="D1106" i="3"/>
  <c r="D1099" i="3"/>
  <c r="D1092" i="3"/>
  <c r="D1062" i="3"/>
  <c r="D1044" i="3"/>
  <c r="D1013" i="3"/>
  <c r="D991" i="3"/>
  <c r="D965" i="3"/>
  <c r="D945" i="3"/>
  <c r="D923" i="3"/>
  <c r="D903" i="3"/>
  <c r="D851" i="3"/>
  <c r="D1203" i="3"/>
  <c r="D1356" i="3"/>
  <c r="D1351" i="3"/>
  <c r="D1346" i="3"/>
  <c r="D1341" i="3"/>
  <c r="D1336" i="3"/>
  <c r="D1331" i="3"/>
  <c r="D1326" i="3"/>
  <c r="D1321" i="3"/>
  <c r="D1316" i="3"/>
  <c r="D1311" i="3"/>
  <c r="D1306" i="3"/>
  <c r="D1301" i="3"/>
  <c r="D1284" i="3"/>
  <c r="D1273" i="3"/>
  <c r="D1262" i="3"/>
  <c r="D1251" i="3"/>
  <c r="D1234" i="3"/>
  <c r="D1209" i="3"/>
  <c r="D1202" i="3"/>
  <c r="D1195" i="3"/>
  <c r="D1174" i="3"/>
  <c r="D1161" i="3"/>
  <c r="D1133" i="3"/>
  <c r="D1126" i="3"/>
  <c r="D1112" i="3"/>
  <c r="D1105" i="3"/>
  <c r="D1098" i="3"/>
  <c r="D1091" i="3"/>
  <c r="D1084" i="3"/>
  <c r="D1077" i="3"/>
  <c r="D1061" i="3"/>
  <c r="D1052" i="3"/>
  <c r="D1033" i="3"/>
  <c r="D1022" i="3"/>
  <c r="D1002" i="3"/>
  <c r="D990" i="3"/>
  <c r="D978" i="3"/>
  <c r="D922" i="3"/>
  <c r="D902" i="3"/>
  <c r="D844" i="3"/>
  <c r="D1068" i="3"/>
  <c r="D1060" i="3"/>
  <c r="D1042" i="3"/>
  <c r="D1032" i="3"/>
  <c r="D1001" i="3"/>
  <c r="D960" i="3"/>
  <c r="D940" i="3"/>
  <c r="D921" i="3"/>
  <c r="D1322" i="3"/>
  <c r="D1317" i="3"/>
  <c r="D1312" i="3"/>
  <c r="D1217" i="3"/>
  <c r="D1125" i="3"/>
  <c r="D1075" i="3"/>
  <c r="D1040" i="3"/>
  <c r="D1031" i="3"/>
  <c r="D1021" i="3"/>
  <c r="D1000" i="3"/>
  <c r="D939" i="3"/>
  <c r="D917" i="3"/>
  <c r="D896" i="3"/>
  <c r="D829" i="3"/>
  <c r="D1256" i="3"/>
  <c r="D1239" i="3"/>
  <c r="D1228" i="3"/>
  <c r="D1222" i="3"/>
  <c r="D1216" i="3"/>
  <c r="D1188" i="3"/>
  <c r="D1181" i="3"/>
  <c r="D1167" i="3"/>
  <c r="D1160" i="3"/>
  <c r="D1153" i="3"/>
  <c r="D1146" i="3"/>
  <c r="D1139" i="3"/>
  <c r="D1118" i="3"/>
  <c r="D1090" i="3"/>
  <c r="D1076" i="3"/>
  <c r="D1201" i="3"/>
  <c r="D1194" i="3"/>
  <c r="D1124" i="3"/>
  <c r="D1111" i="3"/>
  <c r="D1083" i="3"/>
  <c r="D1059" i="3"/>
  <c r="D1051" i="3"/>
  <c r="D1299" i="3"/>
  <c r="D1288" i="3"/>
  <c r="D1277" i="3"/>
  <c r="D1266" i="3"/>
  <c r="D1249" i="3"/>
  <c r="D1238" i="3"/>
  <c r="D1227" i="3"/>
  <c r="D1221" i="3"/>
  <c r="D1214" i="3"/>
  <c r="D1207" i="3"/>
  <c r="D1200" i="3"/>
  <c r="D1179" i="3"/>
  <c r="D1166" i="3"/>
  <c r="D1138" i="3"/>
  <c r="D1131" i="3"/>
  <c r="D1117" i="3"/>
  <c r="D1110" i="3"/>
  <c r="D1103" i="3"/>
  <c r="D1096" i="3"/>
  <c r="D1089" i="3"/>
  <c r="D1074" i="3"/>
  <c r="D1019" i="3"/>
  <c r="D999" i="3"/>
  <c r="D988" i="3"/>
  <c r="D975" i="3"/>
  <c r="D935" i="3"/>
  <c r="D916" i="3"/>
  <c r="D1361" i="3"/>
  <c r="D1289" i="3"/>
  <c r="D1278" i="3"/>
  <c r="D1267" i="3"/>
  <c r="D1315" i="3"/>
  <c r="D1310" i="3"/>
  <c r="D1305" i="3"/>
  <c r="D1294" i="3"/>
  <c r="D1283" i="3"/>
  <c r="D1272" i="3"/>
  <c r="D1261" i="3"/>
  <c r="D1244" i="3"/>
  <c r="D1233" i="3"/>
  <c r="D1304" i="3"/>
  <c r="D1293" i="3"/>
  <c r="D1282" i="3"/>
  <c r="D1271" i="3"/>
  <c r="D1254" i="3"/>
  <c r="D1243" i="3"/>
  <c r="D1232" i="3"/>
  <c r="D1220" i="3"/>
  <c r="D1213" i="3"/>
  <c r="D1185" i="3"/>
  <c r="D1172" i="3"/>
  <c r="D1151" i="3"/>
  <c r="D1144" i="3"/>
  <c r="D1137" i="3"/>
  <c r="D1123" i="3"/>
  <c r="D1109" i="3"/>
  <c r="D1102" i="3"/>
  <c r="D1095" i="3"/>
  <c r="D1066" i="3"/>
  <c r="D1049" i="3"/>
  <c r="D1039" i="3"/>
  <c r="D1028" i="3"/>
  <c r="D1008" i="3"/>
  <c r="D997" i="3"/>
  <c r="D954" i="3"/>
  <c r="D934" i="3"/>
  <c r="D914" i="3"/>
  <c r="D897" i="3"/>
  <c r="D891" i="3"/>
  <c r="D845" i="3"/>
  <c r="D831" i="3"/>
  <c r="D823" i="3"/>
  <c r="D815" i="3"/>
  <c r="D807" i="3"/>
  <c r="D780" i="3"/>
  <c r="D771" i="3"/>
  <c r="D715" i="3"/>
  <c r="D704" i="3"/>
  <c r="D693" i="3"/>
  <c r="D681" i="3"/>
  <c r="D667" i="3"/>
  <c r="D651" i="3"/>
  <c r="D636" i="3"/>
  <c r="D617" i="3"/>
  <c r="D1078" i="3"/>
  <c r="D1067" i="3"/>
  <c r="D1056" i="3"/>
  <c r="D1050" i="3"/>
  <c r="D995" i="3"/>
  <c r="D989" i="3"/>
  <c r="D983" i="3"/>
  <c r="D977" i="3"/>
  <c r="D971" i="3"/>
  <c r="D964" i="3"/>
  <c r="D958" i="3"/>
  <c r="D952" i="3"/>
  <c r="D946" i="3"/>
  <c r="D915" i="3"/>
  <c r="D890" i="3"/>
  <c r="D884" i="3"/>
  <c r="D878" i="3"/>
  <c r="D872" i="3"/>
  <c r="D866" i="3"/>
  <c r="D838" i="3"/>
  <c r="D830" i="3"/>
  <c r="D814" i="3"/>
  <c r="D788" i="3"/>
  <c r="D779" i="3"/>
  <c r="D725" i="3"/>
  <c r="D714" i="3"/>
  <c r="D703" i="3"/>
  <c r="D692" i="3"/>
  <c r="D680" i="3"/>
  <c r="D634" i="3"/>
  <c r="D591" i="3"/>
  <c r="D563" i="3"/>
  <c r="D806" i="3"/>
  <c r="D797" i="3"/>
  <c r="D769" i="3"/>
  <c r="D758" i="3"/>
  <c r="D747" i="3"/>
  <c r="D736" i="3"/>
  <c r="D663" i="3"/>
  <c r="D612" i="3"/>
  <c r="D589" i="3"/>
  <c r="D557" i="3"/>
  <c r="D963" i="3"/>
  <c r="D957" i="3"/>
  <c r="D951" i="3"/>
  <c r="D895" i="3"/>
  <c r="D889" i="3"/>
  <c r="D883" i="3"/>
  <c r="D877" i="3"/>
  <c r="D871" i="3"/>
  <c r="D864" i="3"/>
  <c r="D857" i="3"/>
  <c r="D850" i="3"/>
  <c r="D821" i="3"/>
  <c r="D796" i="3"/>
  <c r="D777" i="3"/>
  <c r="D745" i="3"/>
  <c r="D734" i="3"/>
  <c r="D723" i="3"/>
  <c r="D712" i="3"/>
  <c r="D701" i="3"/>
  <c r="D677" i="3"/>
  <c r="D632" i="3"/>
  <c r="D585" i="3"/>
  <c r="D1215" i="3"/>
  <c r="D1204" i="3"/>
  <c r="D1193" i="3"/>
  <c r="D1182" i="3"/>
  <c r="D1171" i="3"/>
  <c r="D1165" i="3"/>
  <c r="D1154" i="3"/>
  <c r="D1143" i="3"/>
  <c r="D1132" i="3"/>
  <c r="D1121" i="3"/>
  <c r="D1115" i="3"/>
  <c r="D1104" i="3"/>
  <c r="D1093" i="3"/>
  <c r="D1082" i="3"/>
  <c r="D1071" i="3"/>
  <c r="D1065" i="3"/>
  <c r="D1054" i="3"/>
  <c r="D1043" i="3"/>
  <c r="D1030" i="3"/>
  <c r="D1024" i="3"/>
  <c r="D1018" i="3"/>
  <c r="D1012" i="3"/>
  <c r="D1006" i="3"/>
  <c r="D981" i="3"/>
  <c r="D950" i="3"/>
  <c r="D944" i="3"/>
  <c r="D938" i="3"/>
  <c r="D932" i="3"/>
  <c r="D925" i="3"/>
  <c r="D919" i="3"/>
  <c r="D913" i="3"/>
  <c r="D907" i="3"/>
  <c r="D901" i="3"/>
  <c r="D843" i="3"/>
  <c r="D836" i="3"/>
  <c r="D828" i="3"/>
  <c r="D812" i="3"/>
  <c r="D804" i="3"/>
  <c r="D795" i="3"/>
  <c r="D786" i="3"/>
  <c r="D766" i="3"/>
  <c r="D710" i="3"/>
  <c r="D699" i="3"/>
  <c r="D688" i="3"/>
  <c r="D675" i="3"/>
  <c r="D661" i="3"/>
  <c r="D645" i="3"/>
  <c r="D630" i="3"/>
  <c r="D606" i="3"/>
  <c r="D584" i="3"/>
  <c r="D549" i="3"/>
  <c r="D993" i="3"/>
  <c r="D980" i="3"/>
  <c r="D974" i="3"/>
  <c r="D968" i="3"/>
  <c r="D962" i="3"/>
  <c r="D956" i="3"/>
  <c r="D931" i="3"/>
  <c r="D900" i="3"/>
  <c r="D894" i="3"/>
  <c r="D888" i="3"/>
  <c r="D882" i="3"/>
  <c r="D875" i="3"/>
  <c r="D869" i="3"/>
  <c r="D856" i="3"/>
  <c r="D849" i="3"/>
  <c r="D842" i="3"/>
  <c r="D827" i="3"/>
  <c r="D819" i="3"/>
  <c r="D803" i="3"/>
  <c r="D775" i="3"/>
  <c r="D765" i="3"/>
  <c r="D754" i="3"/>
  <c r="D743" i="3"/>
  <c r="D732" i="3"/>
  <c r="D721" i="3"/>
  <c r="D644" i="3"/>
  <c r="D540" i="3"/>
  <c r="D1053" i="3"/>
  <c r="D1035" i="3"/>
  <c r="D1029" i="3"/>
  <c r="D1023" i="3"/>
  <c r="D1017" i="3"/>
  <c r="D1011" i="3"/>
  <c r="D992" i="3"/>
  <c r="D986" i="3"/>
  <c r="D955" i="3"/>
  <c r="D949" i="3"/>
  <c r="D943" i="3"/>
  <c r="D930" i="3"/>
  <c r="D924" i="3"/>
  <c r="D918" i="3"/>
  <c r="D912" i="3"/>
  <c r="D906" i="3"/>
  <c r="D881" i="3"/>
  <c r="D862" i="3"/>
  <c r="D855" i="3"/>
  <c r="D834" i="3"/>
  <c r="D818" i="3"/>
  <c r="D810" i="3"/>
  <c r="D793" i="3"/>
  <c r="D784" i="3"/>
  <c r="D764" i="3"/>
  <c r="D753" i="3"/>
  <c r="D742" i="3"/>
  <c r="D731" i="3"/>
  <c r="D673" i="3"/>
  <c r="D657" i="3"/>
  <c r="D642" i="3"/>
  <c r="D578" i="3"/>
  <c r="D1300" i="3"/>
  <c r="D1295" i="3"/>
  <c r="D1290" i="3"/>
  <c r="D1285" i="3"/>
  <c r="D1280" i="3"/>
  <c r="D1275" i="3"/>
  <c r="D1270" i="3"/>
  <c r="D1265" i="3"/>
  <c r="D1260" i="3"/>
  <c r="D1255" i="3"/>
  <c r="D1250" i="3"/>
  <c r="D1245" i="3"/>
  <c r="D1240" i="3"/>
  <c r="D1235" i="3"/>
  <c r="D1230" i="3"/>
  <c r="D1219" i="3"/>
  <c r="D1208" i="3"/>
  <c r="D1197" i="3"/>
  <c r="D1186" i="3"/>
  <c r="D1180" i="3"/>
  <c r="D1169" i="3"/>
  <c r="D1158" i="3"/>
  <c r="D1147" i="3"/>
  <c r="D1136" i="3"/>
  <c r="D1130" i="3"/>
  <c r="D1119" i="3"/>
  <c r="D1108" i="3"/>
  <c r="D1097" i="3"/>
  <c r="D1086" i="3"/>
  <c r="D1080" i="3"/>
  <c r="D1069" i="3"/>
  <c r="D1058" i="3"/>
  <c r="D1047" i="3"/>
  <c r="D1041" i="3"/>
  <c r="D1010" i="3"/>
  <c r="D1004" i="3"/>
  <c r="D985" i="3"/>
  <c r="D979" i="3"/>
  <c r="D973" i="3"/>
  <c r="D967" i="3"/>
  <c r="D961" i="3"/>
  <c r="D942" i="3"/>
  <c r="D936" i="3"/>
  <c r="D905" i="3"/>
  <c r="D899" i="3"/>
  <c r="D893" i="3"/>
  <c r="D880" i="3"/>
  <c r="D874" i="3"/>
  <c r="D868" i="3"/>
  <c r="D840" i="3"/>
  <c r="D825" i="3"/>
  <c r="D792" i="3"/>
  <c r="D730" i="3"/>
  <c r="D719" i="3"/>
  <c r="D708" i="3"/>
  <c r="D697" i="3"/>
  <c r="D686" i="3"/>
  <c r="D599" i="3"/>
  <c r="D892" i="3"/>
  <c r="D886" i="3"/>
  <c r="D861" i="3"/>
  <c r="D854" i="3"/>
  <c r="D847" i="3"/>
  <c r="D817" i="3"/>
  <c r="D801" i="3"/>
  <c r="D782" i="3"/>
  <c r="D773" i="3"/>
  <c r="D762" i="3"/>
  <c r="D751" i="3"/>
  <c r="D695" i="3"/>
  <c r="D684" i="3"/>
  <c r="D669" i="3"/>
  <c r="D655" i="3"/>
  <c r="D619" i="3"/>
  <c r="D514" i="3"/>
  <c r="D972" i="3"/>
  <c r="D966" i="3"/>
  <c r="D953" i="3"/>
  <c r="D947" i="3"/>
  <c r="D941" i="3"/>
  <c r="D910" i="3"/>
  <c r="D904" i="3"/>
  <c r="D885" i="3"/>
  <c r="D879" i="3"/>
  <c r="D873" i="3"/>
  <c r="D867" i="3"/>
  <c r="D860" i="3"/>
  <c r="D853" i="3"/>
  <c r="D846" i="3"/>
  <c r="D839" i="3"/>
  <c r="D832" i="3"/>
  <c r="D816" i="3"/>
  <c r="D808" i="3"/>
  <c r="D799" i="3"/>
  <c r="D790" i="3"/>
  <c r="D781" i="3"/>
  <c r="D760" i="3"/>
  <c r="D749" i="3"/>
  <c r="D738" i="3"/>
  <c r="D727" i="3"/>
  <c r="D716" i="3"/>
  <c r="D638" i="3"/>
  <c r="D596" i="3"/>
  <c r="D570" i="3"/>
  <c r="D504" i="3"/>
  <c r="D628" i="3"/>
  <c r="D622" i="3"/>
  <c r="D614" i="3"/>
  <c r="D601" i="3"/>
  <c r="D594" i="3"/>
  <c r="D580" i="3"/>
  <c r="D573" i="3"/>
  <c r="D544" i="3"/>
  <c r="D535" i="3"/>
  <c r="D526" i="3"/>
  <c r="D517" i="3"/>
  <c r="D508" i="3"/>
  <c r="D477" i="3"/>
  <c r="D467" i="3"/>
  <c r="D457" i="3"/>
  <c r="D436" i="3"/>
  <c r="D425" i="3"/>
  <c r="D388" i="3"/>
  <c r="D340" i="3"/>
  <c r="D682" i="3"/>
  <c r="D671" i="3"/>
  <c r="D664" i="3"/>
  <c r="D658" i="3"/>
  <c r="D652" i="3"/>
  <c r="D646" i="3"/>
  <c r="D640" i="3"/>
  <c r="D607" i="3"/>
  <c r="D586" i="3"/>
  <c r="D579" i="3"/>
  <c r="D566" i="3"/>
  <c r="D558" i="3"/>
  <c r="D551" i="3"/>
  <c r="D543" i="3"/>
  <c r="D534" i="3"/>
  <c r="D516" i="3"/>
  <c r="D486" i="3"/>
  <c r="D455" i="3"/>
  <c r="D446" i="3"/>
  <c r="D435" i="3"/>
  <c r="D413" i="3"/>
  <c r="D333" i="3"/>
  <c r="D1037" i="3"/>
  <c r="D1026" i="3"/>
  <c r="D1020" i="3"/>
  <c r="D1009" i="3"/>
  <c r="D998" i="3"/>
  <c r="D987" i="3"/>
  <c r="D976" i="3"/>
  <c r="D970" i="3"/>
  <c r="D959" i="3"/>
  <c r="D948" i="3"/>
  <c r="D937" i="3"/>
  <c r="D926" i="3"/>
  <c r="D920" i="3"/>
  <c r="D909" i="3"/>
  <c r="D898" i="3"/>
  <c r="D887" i="3"/>
  <c r="D876" i="3"/>
  <c r="D870" i="3"/>
  <c r="D859" i="3"/>
  <c r="D848" i="3"/>
  <c r="D837" i="3"/>
  <c r="D826" i="3"/>
  <c r="D820" i="3"/>
  <c r="D809" i="3"/>
  <c r="D798" i="3"/>
  <c r="D787" i="3"/>
  <c r="D776" i="3"/>
  <c r="D770" i="3"/>
  <c r="D759" i="3"/>
  <c r="D748" i="3"/>
  <c r="D737" i="3"/>
  <c r="D726" i="3"/>
  <c r="D720" i="3"/>
  <c r="D709" i="3"/>
  <c r="D698" i="3"/>
  <c r="D687" i="3"/>
  <c r="D676" i="3"/>
  <c r="D670" i="3"/>
  <c r="D639" i="3"/>
  <c r="D633" i="3"/>
  <c r="D627" i="3"/>
  <c r="D620" i="3"/>
  <c r="D613" i="3"/>
  <c r="D600" i="3"/>
  <c r="D592" i="3"/>
  <c r="D572" i="3"/>
  <c r="D564" i="3"/>
  <c r="D525" i="3"/>
  <c r="D515" i="3"/>
  <c r="D496" i="3"/>
  <c r="D465" i="3"/>
  <c r="D445" i="3"/>
  <c r="D423" i="3"/>
  <c r="D386" i="3"/>
  <c r="D368" i="3"/>
  <c r="D326" i="3"/>
  <c r="D550" i="3"/>
  <c r="D541" i="3"/>
  <c r="D532" i="3"/>
  <c r="D523" i="3"/>
  <c r="D474" i="3"/>
  <c r="D453" i="3"/>
  <c r="D434" i="3"/>
  <c r="D421" i="3"/>
  <c r="D399" i="3"/>
  <c r="D494" i="3"/>
  <c r="D484" i="3"/>
  <c r="D473" i="3"/>
  <c r="D463" i="3"/>
  <c r="D442" i="3"/>
  <c r="D420" i="3"/>
  <c r="D409" i="3"/>
  <c r="D313" i="3"/>
  <c r="D863" i="3"/>
  <c r="D852" i="3"/>
  <c r="D841" i="3"/>
  <c r="D835" i="3"/>
  <c r="D824" i="3"/>
  <c r="D813" i="3"/>
  <c r="D802" i="3"/>
  <c r="D791" i="3"/>
  <c r="D785" i="3"/>
  <c r="D774" i="3"/>
  <c r="D763" i="3"/>
  <c r="D752" i="3"/>
  <c r="D741" i="3"/>
  <c r="D735" i="3"/>
  <c r="D724" i="3"/>
  <c r="D713" i="3"/>
  <c r="D702" i="3"/>
  <c r="D691" i="3"/>
  <c r="D685" i="3"/>
  <c r="D674" i="3"/>
  <c r="D668" i="3"/>
  <c r="D662" i="3"/>
  <c r="D656" i="3"/>
  <c r="D650" i="3"/>
  <c r="D631" i="3"/>
  <c r="D625" i="3"/>
  <c r="D618" i="3"/>
  <c r="D605" i="3"/>
  <c r="D597" i="3"/>
  <c r="D577" i="3"/>
  <c r="D569" i="3"/>
  <c r="D556" i="3"/>
  <c r="D531" i="3"/>
  <c r="D521" i="3"/>
  <c r="D513" i="3"/>
  <c r="D492" i="3"/>
  <c r="D452" i="3"/>
  <c r="D441" i="3"/>
  <c r="D430" i="3"/>
  <c r="D407" i="3"/>
  <c r="D395" i="3"/>
  <c r="D381" i="3"/>
  <c r="D306" i="3"/>
  <c r="D768" i="3"/>
  <c r="D757" i="3"/>
  <c r="D746" i="3"/>
  <c r="D740" i="3"/>
  <c r="D729" i="3"/>
  <c r="D718" i="3"/>
  <c r="D707" i="3"/>
  <c r="D696" i="3"/>
  <c r="D690" i="3"/>
  <c r="D679" i="3"/>
  <c r="D649" i="3"/>
  <c r="D643" i="3"/>
  <c r="D624" i="3"/>
  <c r="D611" i="3"/>
  <c r="D603" i="3"/>
  <c r="D590" i="3"/>
  <c r="D583" i="3"/>
  <c r="D562" i="3"/>
  <c r="D547" i="3"/>
  <c r="D538" i="3"/>
  <c r="D502" i="3"/>
  <c r="D471" i="3"/>
  <c r="D451" i="3"/>
  <c r="D380" i="3"/>
  <c r="D354" i="3"/>
  <c r="D575" i="3"/>
  <c r="D568" i="3"/>
  <c r="D555" i="3"/>
  <c r="D546" i="3"/>
  <c r="D529" i="3"/>
  <c r="D520" i="3"/>
  <c r="D480" i="3"/>
  <c r="D449" i="3"/>
  <c r="D440" i="3"/>
  <c r="D416" i="3"/>
  <c r="D406" i="3"/>
  <c r="D393" i="3"/>
  <c r="D348" i="3"/>
  <c r="D290" i="3"/>
  <c r="D800" i="3"/>
  <c r="D789" i="3"/>
  <c r="D778" i="3"/>
  <c r="D767" i="3"/>
  <c r="D756" i="3"/>
  <c r="D750" i="3"/>
  <c r="D739" i="3"/>
  <c r="D728" i="3"/>
  <c r="D717" i="3"/>
  <c r="D706" i="3"/>
  <c r="D700" i="3"/>
  <c r="D689" i="3"/>
  <c r="D678" i="3"/>
  <c r="D654" i="3"/>
  <c r="D629" i="3"/>
  <c r="D623" i="3"/>
  <c r="D602" i="3"/>
  <c r="D581" i="3"/>
  <c r="D574" i="3"/>
  <c r="D561" i="3"/>
  <c r="D553" i="3"/>
  <c r="D537" i="3"/>
  <c r="D527" i="3"/>
  <c r="D510" i="3"/>
  <c r="D490" i="3"/>
  <c r="D459" i="3"/>
  <c r="D448" i="3"/>
  <c r="D438" i="3"/>
  <c r="D427" i="3"/>
  <c r="D392" i="3"/>
  <c r="D375" i="3"/>
  <c r="D347" i="3"/>
  <c r="D282" i="3"/>
  <c r="D833" i="3"/>
  <c r="D822" i="3"/>
  <c r="D811" i="3"/>
  <c r="D805" i="3"/>
  <c r="D794" i="3"/>
  <c r="D783" i="3"/>
  <c r="D772" i="3"/>
  <c r="D761" i="3"/>
  <c r="D755" i="3"/>
  <c r="D744" i="3"/>
  <c r="D733" i="3"/>
  <c r="D722" i="3"/>
  <c r="D711" i="3"/>
  <c r="D705" i="3"/>
  <c r="D694" i="3"/>
  <c r="D683" i="3"/>
  <c r="D672" i="3"/>
  <c r="D666" i="3"/>
  <c r="D660" i="3"/>
  <c r="D653" i="3"/>
  <c r="D647" i="3"/>
  <c r="D641" i="3"/>
  <c r="D635" i="3"/>
  <c r="D616" i="3"/>
  <c r="D608" i="3"/>
  <c r="D595" i="3"/>
  <c r="D588" i="3"/>
  <c r="D567" i="3"/>
  <c r="D545" i="3"/>
  <c r="D519" i="3"/>
  <c r="D509" i="3"/>
  <c r="D498" i="3"/>
  <c r="D478" i="3"/>
  <c r="D458" i="3"/>
  <c r="D447" i="3"/>
  <c r="D426" i="3"/>
  <c r="D414" i="3"/>
  <c r="D403" i="3"/>
  <c r="D341" i="3"/>
  <c r="D275" i="3"/>
  <c r="D334" i="3"/>
  <c r="D320" i="3"/>
  <c r="D299" i="3"/>
  <c r="D283" i="3"/>
  <c r="D268" i="3"/>
  <c r="D258" i="3"/>
  <c r="D247" i="3"/>
  <c r="D235" i="3"/>
  <c r="D225" i="3"/>
  <c r="D195" i="3"/>
  <c r="D267" i="3"/>
  <c r="D257" i="3"/>
  <c r="D246" i="3"/>
  <c r="D210" i="3"/>
  <c r="D194" i="3"/>
  <c r="D177" i="3"/>
  <c r="D552" i="3"/>
  <c r="D528" i="3"/>
  <c r="D503" i="3"/>
  <c r="D497" i="3"/>
  <c r="D491" i="3"/>
  <c r="D485" i="3"/>
  <c r="D479" i="3"/>
  <c r="D466" i="3"/>
  <c r="D460" i="3"/>
  <c r="D454" i="3"/>
  <c r="D429" i="3"/>
  <c r="D415" i="3"/>
  <c r="D408" i="3"/>
  <c r="D401" i="3"/>
  <c r="D394" i="3"/>
  <c r="D387" i="3"/>
  <c r="D374" i="3"/>
  <c r="D367" i="3"/>
  <c r="D360" i="3"/>
  <c r="D346" i="3"/>
  <c r="D332" i="3"/>
  <c r="D319" i="3"/>
  <c r="D312" i="3"/>
  <c r="D305" i="3"/>
  <c r="D298" i="3"/>
  <c r="D265" i="3"/>
  <c r="D234" i="3"/>
  <c r="D223" i="3"/>
  <c r="D366" i="3"/>
  <c r="D352" i="3"/>
  <c r="D325" i="3"/>
  <c r="D296" i="3"/>
  <c r="D281" i="3"/>
  <c r="D274" i="3"/>
  <c r="D255" i="3"/>
  <c r="D233" i="3"/>
  <c r="D207" i="3"/>
  <c r="D171" i="3"/>
  <c r="D373" i="3"/>
  <c r="D345" i="3"/>
  <c r="D338" i="3"/>
  <c r="D331" i="3"/>
  <c r="D318" i="3"/>
  <c r="D304" i="3"/>
  <c r="D288" i="3"/>
  <c r="D264" i="3"/>
  <c r="D243" i="3"/>
  <c r="D204" i="3"/>
  <c r="D188" i="3"/>
  <c r="D379" i="3"/>
  <c r="D358" i="3"/>
  <c r="D351" i="3"/>
  <c r="D344" i="3"/>
  <c r="D337" i="3"/>
  <c r="D324" i="3"/>
  <c r="D317" i="3"/>
  <c r="D310" i="3"/>
  <c r="D302" i="3"/>
  <c r="D295" i="3"/>
  <c r="D287" i="3"/>
  <c r="D280" i="3"/>
  <c r="D271" i="3"/>
  <c r="D254" i="3"/>
  <c r="D203" i="3"/>
  <c r="D187" i="3"/>
  <c r="D507" i="3"/>
  <c r="D501" i="3"/>
  <c r="D495" i="3"/>
  <c r="D488" i="3"/>
  <c r="D482" i="3"/>
  <c r="D476" i="3"/>
  <c r="D470" i="3"/>
  <c r="D464" i="3"/>
  <c r="D432" i="3"/>
  <c r="D419" i="3"/>
  <c r="D412" i="3"/>
  <c r="D405" i="3"/>
  <c r="D385" i="3"/>
  <c r="D364" i="3"/>
  <c r="D357" i="3"/>
  <c r="D330" i="3"/>
  <c r="D316" i="3"/>
  <c r="D309" i="3"/>
  <c r="D294" i="3"/>
  <c r="D262" i="3"/>
  <c r="D251" i="3"/>
  <c r="D218" i="3"/>
  <c r="D186" i="3"/>
  <c r="D163" i="3"/>
  <c r="D398" i="3"/>
  <c r="D391" i="3"/>
  <c r="D370" i="3"/>
  <c r="D343" i="3"/>
  <c r="D336" i="3"/>
  <c r="D323" i="3"/>
  <c r="D315" i="3"/>
  <c r="D301" i="3"/>
  <c r="D286" i="3"/>
  <c r="D277" i="3"/>
  <c r="D270" i="3"/>
  <c r="D227" i="3"/>
  <c r="D217" i="3"/>
  <c r="D201" i="3"/>
  <c r="D185" i="3"/>
  <c r="D162" i="3"/>
  <c r="D621" i="3"/>
  <c r="D610" i="3"/>
  <c r="D604" i="3"/>
  <c r="D593" i="3"/>
  <c r="D582" i="3"/>
  <c r="D571" i="3"/>
  <c r="D560" i="3"/>
  <c r="D554" i="3"/>
  <c r="D518" i="3"/>
  <c r="D512" i="3"/>
  <c r="D506" i="3"/>
  <c r="D493" i="3"/>
  <c r="D487" i="3"/>
  <c r="D481" i="3"/>
  <c r="D475" i="3"/>
  <c r="D469" i="3"/>
  <c r="D444" i="3"/>
  <c r="D431" i="3"/>
  <c r="D418" i="3"/>
  <c r="D404" i="3"/>
  <c r="D397" i="3"/>
  <c r="D383" i="3"/>
  <c r="D376" i="3"/>
  <c r="D363" i="3"/>
  <c r="D356" i="3"/>
  <c r="D349" i="3"/>
  <c r="D342" i="3"/>
  <c r="D329" i="3"/>
  <c r="D321" i="3"/>
  <c r="D308" i="3"/>
  <c r="D293" i="3"/>
  <c r="D665" i="3"/>
  <c r="D659" i="3"/>
  <c r="D648" i="3"/>
  <c r="D637" i="3"/>
  <c r="D626" i="3"/>
  <c r="D615" i="3"/>
  <c r="D609" i="3"/>
  <c r="D598" i="3"/>
  <c r="D587" i="3"/>
  <c r="D576" i="3"/>
  <c r="D565" i="3"/>
  <c r="D559" i="3"/>
  <c r="D548" i="3"/>
  <c r="D542" i="3"/>
  <c r="D536" i="3"/>
  <c r="D530" i="3"/>
  <c r="D524" i="3"/>
  <c r="D505" i="3"/>
  <c r="D499" i="3"/>
  <c r="D468" i="3"/>
  <c r="D462" i="3"/>
  <c r="D456" i="3"/>
  <c r="D443" i="3"/>
  <c r="D437" i="3"/>
  <c r="D424" i="3"/>
  <c r="D417" i="3"/>
  <c r="D410" i="3"/>
  <c r="D382" i="3"/>
  <c r="D369" i="3"/>
  <c r="D362" i="3"/>
  <c r="D355" i="3"/>
  <c r="D335" i="3"/>
  <c r="D327" i="3"/>
  <c r="D314" i="3"/>
  <c r="D307" i="3"/>
  <c r="D292" i="3"/>
  <c r="D284" i="3"/>
  <c r="D276" i="3"/>
  <c r="D249" i="3"/>
  <c r="D238" i="3"/>
  <c r="D226" i="3"/>
  <c r="D179" i="3"/>
  <c r="D303" i="3"/>
  <c r="D244" i="3"/>
  <c r="D236" i="3"/>
  <c r="D212" i="3"/>
  <c r="D196" i="3"/>
  <c r="D173" i="3"/>
  <c r="D165" i="3"/>
  <c r="D149" i="3"/>
  <c r="D133" i="3"/>
  <c r="D125" i="3"/>
  <c r="D117" i="3"/>
  <c r="D74" i="3"/>
  <c r="D60" i="3"/>
  <c r="D40" i="3"/>
  <c r="D164" i="3"/>
  <c r="D156" i="3"/>
  <c r="D140" i="3"/>
  <c r="D132" i="3"/>
  <c r="D124" i="3"/>
  <c r="D116" i="3"/>
  <c r="D99" i="3"/>
  <c r="D88" i="3"/>
  <c r="D59" i="3"/>
  <c r="D36" i="3"/>
  <c r="D155" i="3"/>
  <c r="D147" i="3"/>
  <c r="D107" i="3"/>
  <c r="D96" i="3"/>
  <c r="D85" i="3"/>
  <c r="D73" i="3"/>
  <c r="D55" i="3"/>
  <c r="D146" i="3"/>
  <c r="D123" i="3"/>
  <c r="D115" i="3"/>
  <c r="D71" i="3"/>
  <c r="D34" i="3"/>
  <c r="D154" i="3"/>
  <c r="D138" i="3"/>
  <c r="D114" i="3"/>
  <c r="D106" i="3"/>
  <c r="D95" i="3"/>
  <c r="D84" i="3"/>
  <c r="D68" i="3"/>
  <c r="D53" i="3"/>
  <c r="D30" i="3"/>
  <c r="D269" i="3"/>
  <c r="D263" i="3"/>
  <c r="D256" i="3"/>
  <c r="D240" i="3"/>
  <c r="D232" i="3"/>
  <c r="D224" i="3"/>
  <c r="D216" i="3"/>
  <c r="D193" i="3"/>
  <c r="D153" i="3"/>
  <c r="D145" i="3"/>
  <c r="D137" i="3"/>
  <c r="D129" i="3"/>
  <c r="D121" i="3"/>
  <c r="D113" i="3"/>
  <c r="D105" i="3"/>
  <c r="D94" i="3"/>
  <c r="D83" i="3"/>
  <c r="D49" i="3"/>
  <c r="D184" i="3"/>
  <c r="D176" i="3"/>
  <c r="D168" i="3"/>
  <c r="D160" i="3"/>
  <c r="D144" i="3"/>
  <c r="D136" i="3"/>
  <c r="D112" i="3"/>
  <c r="D66" i="3"/>
  <c r="D28" i="3"/>
  <c r="D215" i="3"/>
  <c r="D199" i="3"/>
  <c r="D183" i="3"/>
  <c r="D175" i="3"/>
  <c r="D167" i="3"/>
  <c r="D151" i="3"/>
  <c r="D135" i="3"/>
  <c r="D127" i="3"/>
  <c r="D79" i="3"/>
  <c r="D65" i="3"/>
  <c r="D46" i="3"/>
  <c r="D24" i="3"/>
  <c r="D214" i="3"/>
  <c r="D206" i="3"/>
  <c r="D190" i="3"/>
  <c r="D182" i="3"/>
  <c r="D174" i="3"/>
  <c r="D166" i="3"/>
  <c r="D143" i="3"/>
  <c r="D101" i="3"/>
  <c r="D90" i="3"/>
  <c r="D61" i="3"/>
  <c r="D43" i="3"/>
  <c r="D539" i="3"/>
  <c r="D533" i="3"/>
  <c r="D522" i="3"/>
  <c r="D511" i="3"/>
  <c r="D500" i="3"/>
  <c r="D489" i="3"/>
  <c r="D483" i="3"/>
  <c r="D472" i="3"/>
  <c r="D461" i="3"/>
  <c r="D450" i="3"/>
  <c r="D439" i="3"/>
  <c r="D433" i="3"/>
  <c r="D402" i="3"/>
  <c r="D396" i="3"/>
  <c r="D390" i="3"/>
  <c r="D384" i="3"/>
  <c r="D377" i="3"/>
  <c r="D371" i="3"/>
  <c r="D365" i="3"/>
  <c r="D359" i="3"/>
  <c r="D353" i="3"/>
  <c r="D297" i="3"/>
  <c r="D291" i="3"/>
  <c r="D285" i="3"/>
  <c r="D279" i="3"/>
  <c r="D273" i="3"/>
  <c r="D266" i="3"/>
  <c r="D260" i="3"/>
  <c r="D253" i="3"/>
  <c r="D245" i="3"/>
  <c r="D237" i="3"/>
  <c r="D229" i="3"/>
  <c r="D221" i="3"/>
  <c r="D213" i="3"/>
  <c r="D205" i="3"/>
  <c r="D197" i="3"/>
  <c r="D157" i="3"/>
  <c r="D134" i="3"/>
  <c r="D126" i="3"/>
  <c r="D118" i="3"/>
  <c r="D110" i="3"/>
  <c r="D77" i="3"/>
  <c r="D21" i="3"/>
  <c r="D252" i="3"/>
  <c r="D241" i="3"/>
  <c r="D230" i="3"/>
  <c r="D219" i="3"/>
  <c r="D208" i="3"/>
  <c r="D202" i="3"/>
  <c r="D191" i="3"/>
  <c r="D180" i="3"/>
  <c r="D169" i="3"/>
  <c r="D158" i="3"/>
  <c r="D152" i="3"/>
  <c r="D141" i="3"/>
  <c r="D130" i="3"/>
  <c r="D119" i="3"/>
  <c r="D108" i="3"/>
  <c r="D102" i="3"/>
  <c r="D91" i="3"/>
  <c r="D80" i="3"/>
  <c r="D18" i="3"/>
  <c r="D54" i="3"/>
  <c r="D48" i="3"/>
  <c r="D41" i="3"/>
  <c r="D35" i="3"/>
  <c r="D29" i="3"/>
  <c r="D23" i="3"/>
  <c r="D16" i="3"/>
  <c r="D428" i="3"/>
  <c r="D422" i="3"/>
  <c r="D411" i="3"/>
  <c r="D400" i="3"/>
  <c r="D389" i="3"/>
  <c r="D378" i="3"/>
  <c r="D372" i="3"/>
  <c r="D361" i="3"/>
  <c r="D350" i="3"/>
  <c r="D339" i="3"/>
  <c r="D328" i="3"/>
  <c r="D322" i="3"/>
  <c r="D311" i="3"/>
  <c r="D300" i="3"/>
  <c r="D289" i="3"/>
  <c r="D278" i="3"/>
  <c r="D272" i="3"/>
  <c r="D261" i="3"/>
  <c r="D250" i="3"/>
  <c r="D239" i="3"/>
  <c r="D228" i="3"/>
  <c r="D222" i="3"/>
  <c r="D211" i="3"/>
  <c r="D200" i="3"/>
  <c r="D189" i="3"/>
  <c r="D178" i="3"/>
  <c r="D172" i="3"/>
  <c r="D161" i="3"/>
  <c r="D150" i="3"/>
  <c r="D139" i="3"/>
  <c r="D128" i="3"/>
  <c r="D122" i="3"/>
  <c r="D111" i="3"/>
  <c r="D100" i="3"/>
  <c r="D89" i="3"/>
  <c r="D78" i="3"/>
  <c r="D15" i="3"/>
  <c r="D82" i="3"/>
  <c r="D104" i="3"/>
  <c r="D93" i="3"/>
  <c r="D87" i="3"/>
  <c r="D76" i="3"/>
  <c r="D70" i="3"/>
  <c r="D64" i="3"/>
  <c r="D58" i="3"/>
  <c r="D51" i="3"/>
  <c r="D45" i="3"/>
  <c r="D39" i="3"/>
  <c r="D33" i="3"/>
  <c r="D26" i="3"/>
  <c r="D20" i="3"/>
  <c r="D14" i="3"/>
  <c r="D259" i="3"/>
  <c r="D248" i="3"/>
  <c r="D242" i="3"/>
  <c r="D231" i="3"/>
  <c r="D220" i="3"/>
  <c r="D209" i="3"/>
  <c r="D198" i="3"/>
  <c r="D192" i="3"/>
  <c r="D181" i="3"/>
  <c r="D170" i="3"/>
  <c r="D159" i="3"/>
  <c r="D148" i="3"/>
  <c r="D142" i="3"/>
  <c r="D131" i="3"/>
  <c r="D120" i="3"/>
  <c r="D109" i="3"/>
  <c r="D98" i="3"/>
  <c r="D92" i="3"/>
  <c r="D81" i="3"/>
  <c r="D103" i="3"/>
  <c r="D97" i="3"/>
  <c r="D86" i="3"/>
  <c r="D75" i="3"/>
  <c r="D69" i="3"/>
  <c r="D63" i="3"/>
  <c r="D56" i="3"/>
  <c r="D50" i="3"/>
  <c r="D44" i="3"/>
  <c r="D38" i="3"/>
  <c r="D31" i="3"/>
  <c r="D25" i="3"/>
  <c r="D19" i="3"/>
  <c r="D13" i="3"/>
  <c r="D72" i="3"/>
  <c r="D67" i="3"/>
  <c r="D62" i="3"/>
  <c r="D57" i="3"/>
  <c r="D52" i="3"/>
  <c r="D47" i="3"/>
  <c r="D42" i="3"/>
  <c r="D37" i="3"/>
  <c r="D32" i="3"/>
  <c r="D27" i="3"/>
  <c r="D22" i="3"/>
  <c r="D17" i="3"/>
  <c r="D12" i="3"/>
  <c r="D11" i="3"/>
  <c r="C1340" i="3"/>
  <c r="C1359" i="3"/>
  <c r="C1348" i="3"/>
  <c r="C1320" i="3"/>
  <c r="C1298" i="3"/>
  <c r="C1292" i="3"/>
  <c r="C1270" i="3"/>
  <c r="C1148" i="3"/>
  <c r="C1364" i="3"/>
  <c r="C1353" i="3"/>
  <c r="C1347" i="3"/>
  <c r="C1336" i="3"/>
  <c r="C1325" i="3"/>
  <c r="C1314" i="3"/>
  <c r="C1303" i="3"/>
  <c r="C1297" i="3"/>
  <c r="C1286" i="3"/>
  <c r="C1275" i="3"/>
  <c r="C1264" i="3"/>
  <c r="C1253" i="3"/>
  <c r="C1247" i="3"/>
  <c r="C1236" i="3"/>
  <c r="C1225" i="3"/>
  <c r="C1214" i="3"/>
  <c r="C1203" i="3"/>
  <c r="C1197" i="3"/>
  <c r="C1186" i="3"/>
  <c r="C1175" i="3"/>
  <c r="C1164" i="3"/>
  <c r="C1153" i="3"/>
  <c r="C1147" i="3"/>
  <c r="C1122" i="3"/>
  <c r="C1097" i="3"/>
  <c r="C1072" i="3"/>
  <c r="C1053" i="3"/>
  <c r="C931" i="3"/>
  <c r="C918" i="3"/>
  <c r="C902" i="3"/>
  <c r="C888" i="3"/>
  <c r="C857" i="3"/>
  <c r="C840" i="3"/>
  <c r="C822" i="3"/>
  <c r="C1362" i="3"/>
  <c r="C1360" i="3"/>
  <c r="C1349" i="3"/>
  <c r="C1338" i="3"/>
  <c r="C1332" i="3"/>
  <c r="C1321" i="3"/>
  <c r="C1358" i="3"/>
  <c r="C1352" i="3"/>
  <c r="C1341" i="3"/>
  <c r="C1330" i="3"/>
  <c r="C1319" i="3"/>
  <c r="C1308" i="3"/>
  <c r="C1302" i="3"/>
  <c r="C1291" i="3"/>
  <c r="C1280" i="3"/>
  <c r="C1269" i="3"/>
  <c r="C1258" i="3"/>
  <c r="C1252" i="3"/>
  <c r="C1241" i="3"/>
  <c r="C1230" i="3"/>
  <c r="C1219" i="3"/>
  <c r="C1191" i="3"/>
  <c r="C1180" i="3"/>
  <c r="C1134" i="3"/>
  <c r="C1128" i="3"/>
  <c r="C1109" i="3"/>
  <c r="C1103" i="3"/>
  <c r="C1096" i="3"/>
  <c r="C1090" i="3"/>
  <c r="C1084" i="3"/>
  <c r="C1078" i="3"/>
  <c r="C1071" i="3"/>
  <c r="C1065" i="3"/>
  <c r="C1059" i="3"/>
  <c r="C1051" i="3"/>
  <c r="C1044" i="3"/>
  <c r="C1035" i="3"/>
  <c r="C1025" i="3"/>
  <c r="C1015" i="3"/>
  <c r="C1005" i="3"/>
  <c r="C995" i="3"/>
  <c r="C985" i="3"/>
  <c r="C975" i="3"/>
  <c r="C964" i="3"/>
  <c r="C953" i="3"/>
  <c r="C942" i="3"/>
  <c r="C901" i="3"/>
  <c r="C884" i="3"/>
  <c r="C853" i="3"/>
  <c r="C839" i="3"/>
  <c r="C790" i="3"/>
  <c r="C755" i="3"/>
  <c r="C1251" i="3"/>
  <c r="C1240" i="3"/>
  <c r="C1229" i="3"/>
  <c r="C1218" i="3"/>
  <c r="C1151" i="3"/>
  <c r="C1208" i="3"/>
  <c r="C1202" i="3"/>
  <c r="C1169" i="3"/>
  <c r="C1158" i="3"/>
  <c r="C1152" i="3"/>
  <c r="C1146" i="3"/>
  <c r="C1140" i="3"/>
  <c r="C1121" i="3"/>
  <c r="C1115" i="3"/>
  <c r="C1363" i="3"/>
  <c r="C1357" i="3"/>
  <c r="C1346" i="3"/>
  <c r="C1335" i="3"/>
  <c r="C1324" i="3"/>
  <c r="C1313" i="3"/>
  <c r="C1307" i="3"/>
  <c r="C1296" i="3"/>
  <c r="C1285" i="3"/>
  <c r="C1274" i="3"/>
  <c r="C1263" i="3"/>
  <c r="C1257" i="3"/>
  <c r="C1246" i="3"/>
  <c r="C1235" i="3"/>
  <c r="C1224" i="3"/>
  <c r="C1213" i="3"/>
  <c r="C1207" i="3"/>
  <c r="C1196" i="3"/>
  <c r="C1185" i="3"/>
  <c r="C1174" i="3"/>
  <c r="C1163" i="3"/>
  <c r="C1157" i="3"/>
  <c r="C1127" i="3"/>
  <c r="C1102" i="3"/>
  <c r="C1077" i="3"/>
  <c r="C929" i="3"/>
  <c r="C914" i="3"/>
  <c r="C900" i="3"/>
  <c r="C869" i="3"/>
  <c r="C789" i="3"/>
  <c r="C707" i="3"/>
  <c r="C1351" i="3"/>
  <c r="C1108" i="3"/>
  <c r="C1095" i="3"/>
  <c r="C1089" i="3"/>
  <c r="C1083" i="3"/>
  <c r="C1076" i="3"/>
  <c r="C1070" i="3"/>
  <c r="C1064" i="3"/>
  <c r="C1058" i="3"/>
  <c r="C1050" i="3"/>
  <c r="C1041" i="3"/>
  <c r="C1034" i="3"/>
  <c r="C1024" i="3"/>
  <c r="C1014" i="3"/>
  <c r="C1004" i="3"/>
  <c r="C994" i="3"/>
  <c r="C984" i="3"/>
  <c r="C974" i="3"/>
  <c r="C963" i="3"/>
  <c r="C952" i="3"/>
  <c r="C941" i="3"/>
  <c r="C926" i="3"/>
  <c r="C913" i="3"/>
  <c r="C866" i="3"/>
  <c r="C816" i="3"/>
  <c r="C783" i="3"/>
  <c r="C748" i="3"/>
  <c r="C1356" i="3"/>
  <c r="C1345" i="3"/>
  <c r="C1334" i="3"/>
  <c r="C1323" i="3"/>
  <c r="C1317" i="3"/>
  <c r="C1306" i="3"/>
  <c r="C1295" i="3"/>
  <c r="C1284" i="3"/>
  <c r="C1273" i="3"/>
  <c r="C1267" i="3"/>
  <c r="C1256" i="3"/>
  <c r="C1245" i="3"/>
  <c r="C1234" i="3"/>
  <c r="C1223" i="3"/>
  <c r="C1217" i="3"/>
  <c r="C1206" i="3"/>
  <c r="C1195" i="3"/>
  <c r="C1184" i="3"/>
  <c r="C1173" i="3"/>
  <c r="C1167" i="3"/>
  <c r="C1156" i="3"/>
  <c r="C1132" i="3"/>
  <c r="C1107" i="3"/>
  <c r="C1082" i="3"/>
  <c r="C1056" i="3"/>
  <c r="C940" i="3"/>
  <c r="C925" i="3"/>
  <c r="C896" i="3"/>
  <c r="C851" i="3"/>
  <c r="C834" i="3"/>
  <c r="C1145" i="3"/>
  <c r="C1139" i="3"/>
  <c r="C1133" i="3"/>
  <c r="C1126" i="3"/>
  <c r="C1120" i="3"/>
  <c r="C1114" i="3"/>
  <c r="C1101" i="3"/>
  <c r="C1361" i="3"/>
  <c r="C1350" i="3"/>
  <c r="C1339" i="3"/>
  <c r="C1328" i="3"/>
  <c r="C1322" i="3"/>
  <c r="C1311" i="3"/>
  <c r="C1300" i="3"/>
  <c r="C1289" i="3"/>
  <c r="C1278" i="3"/>
  <c r="C1272" i="3"/>
  <c r="C1261" i="3"/>
  <c r="C1250" i="3"/>
  <c r="C1239" i="3"/>
  <c r="C1228" i="3"/>
  <c r="C1222" i="3"/>
  <c r="C1211" i="3"/>
  <c r="C1200" i="3"/>
  <c r="C1189" i="3"/>
  <c r="C1178" i="3"/>
  <c r="C1172" i="3"/>
  <c r="C1161" i="3"/>
  <c r="C1150" i="3"/>
  <c r="C1144" i="3"/>
  <c r="C1138" i="3"/>
  <c r="C1131" i="3"/>
  <c r="C1125" i="3"/>
  <c r="C1119" i="3"/>
  <c r="C1113" i="3"/>
  <c r="C1106" i="3"/>
  <c r="C1100" i="3"/>
  <c r="C1094" i="3"/>
  <c r="C1088" i="3"/>
  <c r="C1081" i="3"/>
  <c r="C1075" i="3"/>
  <c r="C1069" i="3"/>
  <c r="C1063" i="3"/>
  <c r="C1049" i="3"/>
  <c r="C1040" i="3"/>
  <c r="C970" i="3"/>
  <c r="C959" i="3"/>
  <c r="C948" i="3"/>
  <c r="C937" i="3"/>
  <c r="C924" i="3"/>
  <c r="C878" i="3"/>
  <c r="C847" i="3"/>
  <c r="C810" i="3"/>
  <c r="C776" i="3"/>
  <c r="C677" i="3"/>
  <c r="C1262" i="3"/>
  <c r="C1212" i="3"/>
  <c r="C1201" i="3"/>
  <c r="C1190" i="3"/>
  <c r="C1179" i="3"/>
  <c r="C1355" i="3"/>
  <c r="C1344" i="3"/>
  <c r="C1333" i="3"/>
  <c r="C1327" i="3"/>
  <c r="C1316" i="3"/>
  <c r="C1305" i="3"/>
  <c r="C1294" i="3"/>
  <c r="C1283" i="3"/>
  <c r="C1277" i="3"/>
  <c r="C1266" i="3"/>
  <c r="C1255" i="3"/>
  <c r="C1244" i="3"/>
  <c r="C1233" i="3"/>
  <c r="C1227" i="3"/>
  <c r="C1216" i="3"/>
  <c r="C1205" i="3"/>
  <c r="C1194" i="3"/>
  <c r="C1183" i="3"/>
  <c r="C1177" i="3"/>
  <c r="C1166" i="3"/>
  <c r="C1155" i="3"/>
  <c r="C1137" i="3"/>
  <c r="C1112" i="3"/>
  <c r="C1087" i="3"/>
  <c r="C1062" i="3"/>
  <c r="C1055" i="3"/>
  <c r="C1030" i="3"/>
  <c r="C1020" i="3"/>
  <c r="C1010" i="3"/>
  <c r="C1000" i="3"/>
  <c r="C990" i="3"/>
  <c r="C980" i="3"/>
  <c r="C908" i="3"/>
  <c r="C894" i="3"/>
  <c r="C863" i="3"/>
  <c r="C809" i="3"/>
  <c r="C775" i="3"/>
  <c r="C741" i="3"/>
  <c r="C1329" i="3"/>
  <c r="C1318" i="3"/>
  <c r="C1312" i="3"/>
  <c r="C1301" i="3"/>
  <c r="C1290" i="3"/>
  <c r="C1279" i="3"/>
  <c r="C1268" i="3"/>
  <c r="C1299" i="3"/>
  <c r="C1288" i="3"/>
  <c r="C1282" i="3"/>
  <c r="C1271" i="3"/>
  <c r="C1260" i="3"/>
  <c r="C1249" i="3"/>
  <c r="C1238" i="3"/>
  <c r="C1232" i="3"/>
  <c r="C1221" i="3"/>
  <c r="C1210" i="3"/>
  <c r="C1199" i="3"/>
  <c r="C1188" i="3"/>
  <c r="C1182" i="3"/>
  <c r="C1171" i="3"/>
  <c r="C1160" i="3"/>
  <c r="C1149" i="3"/>
  <c r="C1143" i="3"/>
  <c r="C1136" i="3"/>
  <c r="C1130" i="3"/>
  <c r="C1124" i="3"/>
  <c r="C1118" i="3"/>
  <c r="C1111" i="3"/>
  <c r="C1105" i="3"/>
  <c r="C1099" i="3"/>
  <c r="C1093" i="3"/>
  <c r="C1086" i="3"/>
  <c r="C1080" i="3"/>
  <c r="C1074" i="3"/>
  <c r="C1068" i="3"/>
  <c r="C1061" i="3"/>
  <c r="C1046" i="3"/>
  <c r="C1039" i="3"/>
  <c r="C969" i="3"/>
  <c r="C958" i="3"/>
  <c r="C947" i="3"/>
  <c r="C935" i="3"/>
  <c r="C920" i="3"/>
  <c r="C907" i="3"/>
  <c r="C890" i="3"/>
  <c r="C876" i="3"/>
  <c r="C859" i="3"/>
  <c r="C845" i="3"/>
  <c r="C828" i="3"/>
  <c r="C769" i="3"/>
  <c r="C657" i="3"/>
  <c r="C1162" i="3"/>
  <c r="C1354" i="3"/>
  <c r="C1343" i="3"/>
  <c r="C1337" i="3"/>
  <c r="C1326" i="3"/>
  <c r="C1315" i="3"/>
  <c r="C1304" i="3"/>
  <c r="C1293" i="3"/>
  <c r="C1287" i="3"/>
  <c r="C1276" i="3"/>
  <c r="C1265" i="3"/>
  <c r="C1254" i="3"/>
  <c r="C1243" i="3"/>
  <c r="C1237" i="3"/>
  <c r="C1226" i="3"/>
  <c r="C1215" i="3"/>
  <c r="C1204" i="3"/>
  <c r="C1193" i="3"/>
  <c r="C1187" i="3"/>
  <c r="C1176" i="3"/>
  <c r="C1165" i="3"/>
  <c r="C1154" i="3"/>
  <c r="C1142" i="3"/>
  <c r="C1117" i="3"/>
  <c r="C1092" i="3"/>
  <c r="C1067" i="3"/>
  <c r="C1054" i="3"/>
  <c r="C1029" i="3"/>
  <c r="C1019" i="3"/>
  <c r="C1009" i="3"/>
  <c r="C999" i="3"/>
  <c r="C989" i="3"/>
  <c r="C979" i="3"/>
  <c r="C875" i="3"/>
  <c r="C826" i="3"/>
  <c r="C803" i="3"/>
  <c r="C733" i="3"/>
  <c r="C1168" i="3"/>
  <c r="C1310" i="3"/>
  <c r="C1342" i="3"/>
  <c r="C1331" i="3"/>
  <c r="C1309" i="3"/>
  <c r="C1281" i="3"/>
  <c r="C1259" i="3"/>
  <c r="C1248" i="3"/>
  <c r="C1242" i="3"/>
  <c r="C1231" i="3"/>
  <c r="C1220" i="3"/>
  <c r="C1209" i="3"/>
  <c r="C1198" i="3"/>
  <c r="C1192" i="3"/>
  <c r="C1181" i="3"/>
  <c r="C1170" i="3"/>
  <c r="C1159" i="3"/>
  <c r="C1141" i="3"/>
  <c r="C1135" i="3"/>
  <c r="C1129" i="3"/>
  <c r="C1123" i="3"/>
  <c r="C1116" i="3"/>
  <c r="C1110" i="3"/>
  <c r="C1104" i="3"/>
  <c r="C1098" i="3"/>
  <c r="C1091" i="3"/>
  <c r="C1085" i="3"/>
  <c r="C1079" i="3"/>
  <c r="C1073" i="3"/>
  <c r="C1066" i="3"/>
  <c r="C1060" i="3"/>
  <c r="C1045" i="3"/>
  <c r="C1036" i="3"/>
  <c r="C968" i="3"/>
  <c r="C957" i="3"/>
  <c r="C946" i="3"/>
  <c r="C872" i="3"/>
  <c r="C841" i="3"/>
  <c r="C797" i="3"/>
  <c r="C725" i="3"/>
  <c r="C635" i="3"/>
  <c r="C1057" i="3"/>
  <c r="C1052" i="3"/>
  <c r="C1047" i="3"/>
  <c r="C1042" i="3"/>
  <c r="C1037" i="3"/>
  <c r="C1032" i="3"/>
  <c r="C1027" i="3"/>
  <c r="C1022" i="3"/>
  <c r="C1017" i="3"/>
  <c r="C1012" i="3"/>
  <c r="C1007" i="3"/>
  <c r="C1002" i="3"/>
  <c r="C997" i="3"/>
  <c r="C992" i="3"/>
  <c r="C987" i="3"/>
  <c r="C982" i="3"/>
  <c r="C977" i="3"/>
  <c r="C972" i="3"/>
  <c r="C961" i="3"/>
  <c r="C955" i="3"/>
  <c r="C944" i="3"/>
  <c r="C933" i="3"/>
  <c r="C922" i="3"/>
  <c r="C911" i="3"/>
  <c r="C898" i="3"/>
  <c r="C892" i="3"/>
  <c r="C886" i="3"/>
  <c r="C855" i="3"/>
  <c r="C849" i="3"/>
  <c r="C830" i="3"/>
  <c r="C824" i="3"/>
  <c r="C818" i="3"/>
  <c r="C812" i="3"/>
  <c r="C806" i="3"/>
  <c r="C799" i="3"/>
  <c r="C792" i="3"/>
  <c r="C785" i="3"/>
  <c r="C778" i="3"/>
  <c r="C764" i="3"/>
  <c r="C750" i="3"/>
  <c r="C736" i="3"/>
  <c r="C728" i="3"/>
  <c r="C719" i="3"/>
  <c r="C710" i="3"/>
  <c r="C700" i="3"/>
  <c r="C691" i="3"/>
  <c r="C681" i="3"/>
  <c r="C614" i="3"/>
  <c r="C602" i="3"/>
  <c r="C577" i="3"/>
  <c r="C540" i="3"/>
  <c r="C509" i="3"/>
  <c r="C966" i="3"/>
  <c r="C960" i="3"/>
  <c r="C949" i="3"/>
  <c r="C938" i="3"/>
  <c r="C927" i="3"/>
  <c r="C916" i="3"/>
  <c r="C910" i="3"/>
  <c r="C885" i="3"/>
  <c r="C879" i="3"/>
  <c r="C873" i="3"/>
  <c r="C867" i="3"/>
  <c r="C861" i="3"/>
  <c r="C848" i="3"/>
  <c r="C842" i="3"/>
  <c r="C836" i="3"/>
  <c r="C805" i="3"/>
  <c r="C798" i="3"/>
  <c r="C770" i="3"/>
  <c r="C757" i="3"/>
  <c r="C735" i="3"/>
  <c r="C718" i="3"/>
  <c r="C679" i="3"/>
  <c r="C669" i="3"/>
  <c r="C648" i="3"/>
  <c r="C625" i="3"/>
  <c r="C613" i="3"/>
  <c r="C601" i="3"/>
  <c r="C588" i="3"/>
  <c r="C576" i="3"/>
  <c r="C1031" i="3"/>
  <c r="C1026" i="3"/>
  <c r="C1021" i="3"/>
  <c r="C1016" i="3"/>
  <c r="C1011" i="3"/>
  <c r="C1006" i="3"/>
  <c r="C1001" i="3"/>
  <c r="C996" i="3"/>
  <c r="C991" i="3"/>
  <c r="C986" i="3"/>
  <c r="C981" i="3"/>
  <c r="C976" i="3"/>
  <c r="C971" i="3"/>
  <c r="C965" i="3"/>
  <c r="C954" i="3"/>
  <c r="C943" i="3"/>
  <c r="C932" i="3"/>
  <c r="C921" i="3"/>
  <c r="C915" i="3"/>
  <c r="C909" i="3"/>
  <c r="C903" i="3"/>
  <c r="C897" i="3"/>
  <c r="C891" i="3"/>
  <c r="C860" i="3"/>
  <c r="C835" i="3"/>
  <c r="C829" i="3"/>
  <c r="C823" i="3"/>
  <c r="C817" i="3"/>
  <c r="C811" i="3"/>
  <c r="C791" i="3"/>
  <c r="C777" i="3"/>
  <c r="C763" i="3"/>
  <c r="C756" i="3"/>
  <c r="C749" i="3"/>
  <c r="C742" i="3"/>
  <c r="C727" i="3"/>
  <c r="C717" i="3"/>
  <c r="C708" i="3"/>
  <c r="C699" i="3"/>
  <c r="C688" i="3"/>
  <c r="C636" i="3"/>
  <c r="C611" i="3"/>
  <c r="C574" i="3"/>
  <c r="C562" i="3"/>
  <c r="C549" i="3"/>
  <c r="C537" i="3"/>
  <c r="C523" i="3"/>
  <c r="C504" i="3"/>
  <c r="C623" i="3"/>
  <c r="C610" i="3"/>
  <c r="C598" i="3"/>
  <c r="C586" i="3"/>
  <c r="C561" i="3"/>
  <c r="C503" i="3"/>
  <c r="C716" i="3"/>
  <c r="C706" i="3"/>
  <c r="C697" i="3"/>
  <c r="C687" i="3"/>
  <c r="C676" i="3"/>
  <c r="C666" i="3"/>
  <c r="C645" i="3"/>
  <c r="C634" i="3"/>
  <c r="C609" i="3"/>
  <c r="C597" i="3"/>
  <c r="C572" i="3"/>
  <c r="C535" i="3"/>
  <c r="C520" i="3"/>
  <c r="C461" i="3"/>
  <c r="C936" i="3"/>
  <c r="C930" i="3"/>
  <c r="C919" i="3"/>
  <c r="C895" i="3"/>
  <c r="C889" i="3"/>
  <c r="C883" i="3"/>
  <c r="C877" i="3"/>
  <c r="C870" i="3"/>
  <c r="C864" i="3"/>
  <c r="C858" i="3"/>
  <c r="C852" i="3"/>
  <c r="C846" i="3"/>
  <c r="C796" i="3"/>
  <c r="C768" i="3"/>
  <c r="C761" i="3"/>
  <c r="C747" i="3"/>
  <c r="C740" i="3"/>
  <c r="C714" i="3"/>
  <c r="C705" i="3"/>
  <c r="C696" i="3"/>
  <c r="C685" i="3"/>
  <c r="C675" i="3"/>
  <c r="C654" i="3"/>
  <c r="C644" i="3"/>
  <c r="C620" i="3"/>
  <c r="C608" i="3"/>
  <c r="C596" i="3"/>
  <c r="C583" i="3"/>
  <c r="C571" i="3"/>
  <c r="C534" i="3"/>
  <c r="C498" i="3"/>
  <c r="C833" i="3"/>
  <c r="C827" i="3"/>
  <c r="C820" i="3"/>
  <c r="C814" i="3"/>
  <c r="C808" i="3"/>
  <c r="C802" i="3"/>
  <c r="C788" i="3"/>
  <c r="C781" i="3"/>
  <c r="C774" i="3"/>
  <c r="C767" i="3"/>
  <c r="C760" i="3"/>
  <c r="C753" i="3"/>
  <c r="C739" i="3"/>
  <c r="C731" i="3"/>
  <c r="C694" i="3"/>
  <c r="C619" i="3"/>
  <c r="C607" i="3"/>
  <c r="C594" i="3"/>
  <c r="C582" i="3"/>
  <c r="C545" i="3"/>
  <c r="C794" i="3"/>
  <c r="C787" i="3"/>
  <c r="C780" i="3"/>
  <c r="C759" i="3"/>
  <c r="C746" i="3"/>
  <c r="C730" i="3"/>
  <c r="C722" i="3"/>
  <c r="C703" i="3"/>
  <c r="C683" i="3"/>
  <c r="C673" i="3"/>
  <c r="C663" i="3"/>
  <c r="C642" i="3"/>
  <c r="C580" i="3"/>
  <c r="C568" i="3"/>
  <c r="C555" i="3"/>
  <c r="C543" i="3"/>
  <c r="C531" i="3"/>
  <c r="C515" i="3"/>
  <c r="C492" i="3"/>
  <c r="C1043" i="3"/>
  <c r="C1038" i="3"/>
  <c r="C1033" i="3"/>
  <c r="C1028" i="3"/>
  <c r="C1023" i="3"/>
  <c r="C1018" i="3"/>
  <c r="C1013" i="3"/>
  <c r="C1008" i="3"/>
  <c r="C1003" i="3"/>
  <c r="C998" i="3"/>
  <c r="C993" i="3"/>
  <c r="C988" i="3"/>
  <c r="C983" i="3"/>
  <c r="C978" i="3"/>
  <c r="C973" i="3"/>
  <c r="C962" i="3"/>
  <c r="C951" i="3"/>
  <c r="C945" i="3"/>
  <c r="C934" i="3"/>
  <c r="C923" i="3"/>
  <c r="C912" i="3"/>
  <c r="C906" i="3"/>
  <c r="C887" i="3"/>
  <c r="C881" i="3"/>
  <c r="C850" i="3"/>
  <c r="C844" i="3"/>
  <c r="C838" i="3"/>
  <c r="C825" i="3"/>
  <c r="C819" i="3"/>
  <c r="C813" i="3"/>
  <c r="C807" i="3"/>
  <c r="C800" i="3"/>
  <c r="C766" i="3"/>
  <c r="C752" i="3"/>
  <c r="C738" i="3"/>
  <c r="C693" i="3"/>
  <c r="C682" i="3"/>
  <c r="C672" i="3"/>
  <c r="C629" i="3"/>
  <c r="C604" i="3"/>
  <c r="C592" i="3"/>
  <c r="C529" i="3"/>
  <c r="C1048" i="3"/>
  <c r="C967" i="3"/>
  <c r="C956" i="3"/>
  <c r="C950" i="3"/>
  <c r="C939" i="3"/>
  <c r="C928" i="3"/>
  <c r="C917" i="3"/>
  <c r="C905" i="3"/>
  <c r="C899" i="3"/>
  <c r="C880" i="3"/>
  <c r="C874" i="3"/>
  <c r="C868" i="3"/>
  <c r="C862" i="3"/>
  <c r="C856" i="3"/>
  <c r="C837" i="3"/>
  <c r="C831" i="3"/>
  <c r="C786" i="3"/>
  <c r="C779" i="3"/>
  <c r="C772" i="3"/>
  <c r="C758" i="3"/>
  <c r="C744" i="3"/>
  <c r="C729" i="3"/>
  <c r="C711" i="3"/>
  <c r="C671" i="3"/>
  <c r="C660" i="3"/>
  <c r="C651" i="3"/>
  <c r="C640" i="3"/>
  <c r="C615" i="3"/>
  <c r="C603" i="3"/>
  <c r="C591" i="3"/>
  <c r="C566" i="3"/>
  <c r="C510" i="3"/>
  <c r="C486" i="3"/>
  <c r="C737" i="3"/>
  <c r="C726" i="3"/>
  <c r="C720" i="3"/>
  <c r="C709" i="3"/>
  <c r="C698" i="3"/>
  <c r="C692" i="3"/>
  <c r="C686" i="3"/>
  <c r="C661" i="3"/>
  <c r="C630" i="3"/>
  <c r="C624" i="3"/>
  <c r="C618" i="3"/>
  <c r="C612" i="3"/>
  <c r="C605" i="3"/>
  <c r="C599" i="3"/>
  <c r="C593" i="3"/>
  <c r="C587" i="3"/>
  <c r="C581" i="3"/>
  <c r="C525" i="3"/>
  <c r="C519" i="3"/>
  <c r="C513" i="3"/>
  <c r="C507" i="3"/>
  <c r="C501" i="3"/>
  <c r="C494" i="3"/>
  <c r="C488" i="3"/>
  <c r="C482" i="3"/>
  <c r="C476" i="3"/>
  <c r="C445" i="3"/>
  <c r="C432" i="3"/>
  <c r="C405" i="3"/>
  <c r="C377" i="3"/>
  <c r="C364" i="3"/>
  <c r="C340" i="3"/>
  <c r="C333" i="3"/>
  <c r="C324" i="3"/>
  <c r="C287" i="3"/>
  <c r="C273" i="3"/>
  <c r="C243" i="3"/>
  <c r="C475" i="3"/>
  <c r="C469" i="3"/>
  <c r="C463" i="3"/>
  <c r="C457" i="3"/>
  <c r="C451" i="3"/>
  <c r="C444" i="3"/>
  <c r="C438" i="3"/>
  <c r="C425" i="3"/>
  <c r="C418" i="3"/>
  <c r="C411" i="3"/>
  <c r="C398" i="3"/>
  <c r="C370" i="3"/>
  <c r="C362" i="3"/>
  <c r="C355" i="3"/>
  <c r="C348" i="3"/>
  <c r="C315" i="3"/>
  <c r="C297" i="3"/>
  <c r="C530" i="3"/>
  <c r="C524" i="3"/>
  <c r="C518" i="3"/>
  <c r="C512" i="3"/>
  <c r="C505" i="3"/>
  <c r="C499" i="3"/>
  <c r="C493" i="3"/>
  <c r="C487" i="3"/>
  <c r="C481" i="3"/>
  <c r="C431" i="3"/>
  <c r="C424" i="3"/>
  <c r="C417" i="3"/>
  <c r="C404" i="3"/>
  <c r="C397" i="3"/>
  <c r="C383" i="3"/>
  <c r="C376" i="3"/>
  <c r="C346" i="3"/>
  <c r="C339" i="3"/>
  <c r="C331" i="3"/>
  <c r="C323" i="3"/>
  <c r="C305" i="3"/>
  <c r="C286" i="3"/>
  <c r="C724" i="3"/>
  <c r="C713" i="3"/>
  <c r="C702" i="3"/>
  <c r="C690" i="3"/>
  <c r="C684" i="3"/>
  <c r="C665" i="3"/>
  <c r="C659" i="3"/>
  <c r="C653" i="3"/>
  <c r="C647" i="3"/>
  <c r="C641" i="3"/>
  <c r="C622" i="3"/>
  <c r="C616" i="3"/>
  <c r="C585" i="3"/>
  <c r="C579" i="3"/>
  <c r="C573" i="3"/>
  <c r="C560" i="3"/>
  <c r="C554" i="3"/>
  <c r="C548" i="3"/>
  <c r="C542" i="3"/>
  <c r="C536" i="3"/>
  <c r="C511" i="3"/>
  <c r="C480" i="3"/>
  <c r="C474" i="3"/>
  <c r="C468" i="3"/>
  <c r="C462" i="3"/>
  <c r="C455" i="3"/>
  <c r="C449" i="3"/>
  <c r="C443" i="3"/>
  <c r="C437" i="3"/>
  <c r="C410" i="3"/>
  <c r="C389" i="3"/>
  <c r="C382" i="3"/>
  <c r="C361" i="3"/>
  <c r="C354" i="3"/>
  <c r="C338" i="3"/>
  <c r="C313" i="3"/>
  <c r="C284" i="3"/>
  <c r="C266" i="3"/>
  <c r="C225" i="3"/>
  <c r="C423" i="3"/>
  <c r="C416" i="3"/>
  <c r="C395" i="3"/>
  <c r="C375" i="3"/>
  <c r="C368" i="3"/>
  <c r="C353" i="3"/>
  <c r="C345" i="3"/>
  <c r="C337" i="3"/>
  <c r="C321" i="3"/>
  <c r="C283" i="3"/>
  <c r="C264" i="3"/>
  <c r="C217" i="3"/>
  <c r="C801" i="3"/>
  <c r="C795" i="3"/>
  <c r="C784" i="3"/>
  <c r="C773" i="3"/>
  <c r="C762" i="3"/>
  <c r="C751" i="3"/>
  <c r="C745" i="3"/>
  <c r="C734" i="3"/>
  <c r="C723" i="3"/>
  <c r="C712" i="3"/>
  <c r="C701" i="3"/>
  <c r="C695" i="3"/>
  <c r="C670" i="3"/>
  <c r="C664" i="3"/>
  <c r="C658" i="3"/>
  <c r="C652" i="3"/>
  <c r="C646" i="3"/>
  <c r="C633" i="3"/>
  <c r="C627" i="3"/>
  <c r="C621" i="3"/>
  <c r="C590" i="3"/>
  <c r="C584" i="3"/>
  <c r="C565" i="3"/>
  <c r="C559" i="3"/>
  <c r="C553" i="3"/>
  <c r="C547" i="3"/>
  <c r="C541" i="3"/>
  <c r="C522" i="3"/>
  <c r="C516" i="3"/>
  <c r="C485" i="3"/>
  <c r="C479" i="3"/>
  <c r="C473" i="3"/>
  <c r="C460" i="3"/>
  <c r="C454" i="3"/>
  <c r="C448" i="3"/>
  <c r="C442" i="3"/>
  <c r="C436" i="3"/>
  <c r="C429" i="3"/>
  <c r="C422" i="3"/>
  <c r="C401" i="3"/>
  <c r="C388" i="3"/>
  <c r="C381" i="3"/>
  <c r="C374" i="3"/>
  <c r="C367" i="3"/>
  <c r="C360" i="3"/>
  <c r="C344" i="3"/>
  <c r="C329" i="3"/>
  <c r="C311" i="3"/>
  <c r="C303" i="3"/>
  <c r="C293" i="3"/>
  <c r="C497" i="3"/>
  <c r="C491" i="3"/>
  <c r="C472" i="3"/>
  <c r="C466" i="3"/>
  <c r="C435" i="3"/>
  <c r="C407" i="3"/>
  <c r="C394" i="3"/>
  <c r="C387" i="3"/>
  <c r="C359" i="3"/>
  <c r="C351" i="3"/>
  <c r="C336" i="3"/>
  <c r="C328" i="3"/>
  <c r="C292" i="3"/>
  <c r="C256" i="3"/>
  <c r="C204" i="3"/>
  <c r="C638" i="3"/>
  <c r="C632" i="3"/>
  <c r="C626" i="3"/>
  <c r="C595" i="3"/>
  <c r="C570" i="3"/>
  <c r="C564" i="3"/>
  <c r="C558" i="3"/>
  <c r="C552" i="3"/>
  <c r="C546" i="3"/>
  <c r="C533" i="3"/>
  <c r="C527" i="3"/>
  <c r="C521" i="3"/>
  <c r="C490" i="3"/>
  <c r="C484" i="3"/>
  <c r="C465" i="3"/>
  <c r="C459" i="3"/>
  <c r="C453" i="3"/>
  <c r="C447" i="3"/>
  <c r="C441" i="3"/>
  <c r="C428" i="3"/>
  <c r="C414" i="3"/>
  <c r="C400" i="3"/>
  <c r="C373" i="3"/>
  <c r="C366" i="3"/>
  <c r="C350" i="3"/>
  <c r="C343" i="3"/>
  <c r="C335" i="3"/>
  <c r="C327" i="3"/>
  <c r="C318" i="3"/>
  <c r="C253" i="3"/>
  <c r="C197" i="3"/>
  <c r="C514" i="3"/>
  <c r="C508" i="3"/>
  <c r="C502" i="3"/>
  <c r="C496" i="3"/>
  <c r="C483" i="3"/>
  <c r="C477" i="3"/>
  <c r="C471" i="3"/>
  <c r="C440" i="3"/>
  <c r="C434" i="3"/>
  <c r="C420" i="3"/>
  <c r="C413" i="3"/>
  <c r="C406" i="3"/>
  <c r="C393" i="3"/>
  <c r="C386" i="3"/>
  <c r="C379" i="3"/>
  <c r="C372" i="3"/>
  <c r="C365" i="3"/>
  <c r="C357" i="3"/>
  <c r="C342" i="3"/>
  <c r="C334" i="3"/>
  <c r="C317" i="3"/>
  <c r="C309" i="3"/>
  <c r="C277" i="3"/>
  <c r="C904" i="3"/>
  <c r="C893" i="3"/>
  <c r="C882" i="3"/>
  <c r="C871" i="3"/>
  <c r="C865" i="3"/>
  <c r="C854" i="3"/>
  <c r="C843" i="3"/>
  <c r="C832" i="3"/>
  <c r="C821" i="3"/>
  <c r="C815" i="3"/>
  <c r="C804" i="3"/>
  <c r="C793" i="3"/>
  <c r="C782" i="3"/>
  <c r="C771" i="3"/>
  <c r="C765" i="3"/>
  <c r="C754" i="3"/>
  <c r="C743" i="3"/>
  <c r="C732" i="3"/>
  <c r="C721" i="3"/>
  <c r="C715" i="3"/>
  <c r="C704" i="3"/>
  <c r="C680" i="3"/>
  <c r="C674" i="3"/>
  <c r="C668" i="3"/>
  <c r="C662" i="3"/>
  <c r="C655" i="3"/>
  <c r="C649" i="3"/>
  <c r="C643" i="3"/>
  <c r="C637" i="3"/>
  <c r="C631" i="3"/>
  <c r="C575" i="3"/>
  <c r="C569" i="3"/>
  <c r="C563" i="3"/>
  <c r="C557" i="3"/>
  <c r="C551" i="3"/>
  <c r="C544" i="3"/>
  <c r="C538" i="3"/>
  <c r="C532" i="3"/>
  <c r="C526" i="3"/>
  <c r="C495" i="3"/>
  <c r="C470" i="3"/>
  <c r="C464" i="3"/>
  <c r="C458" i="3"/>
  <c r="C452" i="3"/>
  <c r="C446" i="3"/>
  <c r="C433" i="3"/>
  <c r="C426" i="3"/>
  <c r="C412" i="3"/>
  <c r="C399" i="3"/>
  <c r="C392" i="3"/>
  <c r="C385" i="3"/>
  <c r="C371" i="3"/>
  <c r="C356" i="3"/>
  <c r="C349" i="3"/>
  <c r="C299" i="3"/>
  <c r="C275" i="3"/>
  <c r="C245" i="3"/>
  <c r="C183" i="3"/>
  <c r="C267" i="3"/>
  <c r="C254" i="3"/>
  <c r="C247" i="3"/>
  <c r="C233" i="3"/>
  <c r="C226" i="3"/>
  <c r="C205" i="3"/>
  <c r="C184" i="3"/>
  <c r="C177" i="3"/>
  <c r="C164" i="3"/>
  <c r="C118" i="3"/>
  <c r="C109" i="3"/>
  <c r="C99" i="3"/>
  <c r="C77" i="3"/>
  <c r="C66" i="3"/>
  <c r="C55" i="3"/>
  <c r="C44" i="3"/>
  <c r="C33" i="3"/>
  <c r="C325" i="3"/>
  <c r="C312" i="3"/>
  <c r="C306" i="3"/>
  <c r="C300" i="3"/>
  <c r="C294" i="3"/>
  <c r="C288" i="3"/>
  <c r="C281" i="3"/>
  <c r="C260" i="3"/>
  <c r="C239" i="3"/>
  <c r="C232" i="3"/>
  <c r="C218" i="3"/>
  <c r="C211" i="3"/>
  <c r="C198" i="3"/>
  <c r="C190" i="3"/>
  <c r="C170" i="3"/>
  <c r="C162" i="3"/>
  <c r="C154" i="3"/>
  <c r="C144" i="3"/>
  <c r="C136" i="3"/>
  <c r="C126" i="3"/>
  <c r="C116" i="3"/>
  <c r="C88" i="3"/>
  <c r="C32" i="3"/>
  <c r="C176" i="3"/>
  <c r="C98" i="3"/>
  <c r="C87" i="3"/>
  <c r="C76" i="3"/>
  <c r="C65" i="3"/>
  <c r="C54" i="3"/>
  <c r="C43" i="3"/>
  <c r="C279" i="3"/>
  <c r="C272" i="3"/>
  <c r="C259" i="3"/>
  <c r="C251" i="3"/>
  <c r="C238" i="3"/>
  <c r="C231" i="3"/>
  <c r="C210" i="3"/>
  <c r="C189" i="3"/>
  <c r="C182" i="3"/>
  <c r="C168" i="3"/>
  <c r="C153" i="3"/>
  <c r="C143" i="3"/>
  <c r="C133" i="3"/>
  <c r="C125" i="3"/>
  <c r="C115" i="3"/>
  <c r="C105" i="3"/>
  <c r="C97" i="3"/>
  <c r="C42" i="3"/>
  <c r="C31" i="3"/>
  <c r="C265" i="3"/>
  <c r="C244" i="3"/>
  <c r="C237" i="3"/>
  <c r="C223" i="3"/>
  <c r="C216" i="3"/>
  <c r="C203" i="3"/>
  <c r="C195" i="3"/>
  <c r="C175" i="3"/>
  <c r="C167" i="3"/>
  <c r="C160" i="3"/>
  <c r="C151" i="3"/>
  <c r="C142" i="3"/>
  <c r="C132" i="3"/>
  <c r="C86" i="3"/>
  <c r="C75" i="3"/>
  <c r="C64" i="3"/>
  <c r="C53" i="3"/>
  <c r="C689" i="3"/>
  <c r="C678" i="3"/>
  <c r="C667" i="3"/>
  <c r="C656" i="3"/>
  <c r="C650" i="3"/>
  <c r="C639" i="3"/>
  <c r="C628" i="3"/>
  <c r="C617" i="3"/>
  <c r="C606" i="3"/>
  <c r="C600" i="3"/>
  <c r="C589" i="3"/>
  <c r="C578" i="3"/>
  <c r="C567" i="3"/>
  <c r="C556" i="3"/>
  <c r="C550" i="3"/>
  <c r="C539" i="3"/>
  <c r="C528" i="3"/>
  <c r="C517" i="3"/>
  <c r="C506" i="3"/>
  <c r="C500" i="3"/>
  <c r="C489" i="3"/>
  <c r="C478" i="3"/>
  <c r="C467" i="3"/>
  <c r="C456" i="3"/>
  <c r="C450" i="3"/>
  <c r="C439" i="3"/>
  <c r="C427" i="3"/>
  <c r="C421" i="3"/>
  <c r="C415" i="3"/>
  <c r="C409" i="3"/>
  <c r="C403" i="3"/>
  <c r="C396" i="3"/>
  <c r="C390" i="3"/>
  <c r="C384" i="3"/>
  <c r="C378" i="3"/>
  <c r="C347" i="3"/>
  <c r="C322" i="3"/>
  <c r="C316" i="3"/>
  <c r="C310" i="3"/>
  <c r="C304" i="3"/>
  <c r="C298" i="3"/>
  <c r="C278" i="3"/>
  <c r="C271" i="3"/>
  <c r="C250" i="3"/>
  <c r="C229" i="3"/>
  <c r="C222" i="3"/>
  <c r="C209" i="3"/>
  <c r="C201" i="3"/>
  <c r="C188" i="3"/>
  <c r="C181" i="3"/>
  <c r="C114" i="3"/>
  <c r="C104" i="3"/>
  <c r="C94" i="3"/>
  <c r="C83" i="3"/>
  <c r="C236" i="3"/>
  <c r="C215" i="3"/>
  <c r="C194" i="3"/>
  <c r="C187" i="3"/>
  <c r="C173" i="3"/>
  <c r="C166" i="3"/>
  <c r="C159" i="3"/>
  <c r="C149" i="3"/>
  <c r="C140" i="3"/>
  <c r="C131" i="3"/>
  <c r="C121" i="3"/>
  <c r="C112" i="3"/>
  <c r="C82" i="3"/>
  <c r="C71" i="3"/>
  <c r="C60" i="3"/>
  <c r="C49" i="3"/>
  <c r="C38" i="3"/>
  <c r="C26" i="3"/>
  <c r="C296" i="3"/>
  <c r="C290" i="3"/>
  <c r="C270" i="3"/>
  <c r="C262" i="3"/>
  <c r="C249" i="3"/>
  <c r="C242" i="3"/>
  <c r="C228" i="3"/>
  <c r="C221" i="3"/>
  <c r="C200" i="3"/>
  <c r="C179" i="3"/>
  <c r="C172" i="3"/>
  <c r="C103" i="3"/>
  <c r="C93" i="3"/>
  <c r="C37" i="3"/>
  <c r="C276" i="3"/>
  <c r="C255" i="3"/>
  <c r="C234" i="3"/>
  <c r="C227" i="3"/>
  <c r="C214" i="3"/>
  <c r="C206" i="3"/>
  <c r="C193" i="3"/>
  <c r="C186" i="3"/>
  <c r="C165" i="3"/>
  <c r="C148" i="3"/>
  <c r="C138" i="3"/>
  <c r="C129" i="3"/>
  <c r="C120" i="3"/>
  <c r="C110" i="3"/>
  <c r="C101" i="3"/>
  <c r="C92" i="3"/>
  <c r="C81" i="3"/>
  <c r="C70" i="3"/>
  <c r="C59" i="3"/>
  <c r="C48" i="3"/>
  <c r="C363" i="3"/>
  <c r="C332" i="3"/>
  <c r="C326" i="3"/>
  <c r="C320" i="3"/>
  <c r="C314" i="3"/>
  <c r="C307" i="3"/>
  <c r="C301" i="3"/>
  <c r="C295" i="3"/>
  <c r="C289" i="3"/>
  <c r="C282" i="3"/>
  <c r="C268" i="3"/>
  <c r="C261" i="3"/>
  <c r="C248" i="3"/>
  <c r="C240" i="3"/>
  <c r="C220" i="3"/>
  <c r="C212" i="3"/>
  <c r="C199" i="3"/>
  <c r="C192" i="3"/>
  <c r="C178" i="3"/>
  <c r="C171" i="3"/>
  <c r="C155" i="3"/>
  <c r="C147" i="3"/>
  <c r="C137" i="3"/>
  <c r="C127" i="3"/>
  <c r="C47" i="3"/>
  <c r="C36" i="3"/>
  <c r="C20" i="3"/>
  <c r="C90" i="3"/>
  <c r="C79" i="3"/>
  <c r="C68" i="3"/>
  <c r="C62" i="3"/>
  <c r="C51" i="3"/>
  <c r="C40" i="3"/>
  <c r="C29" i="3"/>
  <c r="C18" i="3"/>
  <c r="C156" i="3"/>
  <c r="C145" i="3"/>
  <c r="C134" i="3"/>
  <c r="C123" i="3"/>
  <c r="C117" i="3"/>
  <c r="C106" i="3"/>
  <c r="C95" i="3"/>
  <c r="C84" i="3"/>
  <c r="C73" i="3"/>
  <c r="C67" i="3"/>
  <c r="C56" i="3"/>
  <c r="C45" i="3"/>
  <c r="C34" i="3"/>
  <c r="C23" i="3"/>
  <c r="C17" i="3"/>
  <c r="C161" i="3"/>
  <c r="C150" i="3"/>
  <c r="C139" i="3"/>
  <c r="C128" i="3"/>
  <c r="C122" i="3"/>
  <c r="C111" i="3"/>
  <c r="C100" i="3"/>
  <c r="C89" i="3"/>
  <c r="C78" i="3"/>
  <c r="C72" i="3"/>
  <c r="C61" i="3"/>
  <c r="C50" i="3"/>
  <c r="C39" i="3"/>
  <c r="C28" i="3"/>
  <c r="C22" i="3"/>
  <c r="C27" i="3"/>
  <c r="C16" i="3"/>
  <c r="C21" i="3"/>
  <c r="C15" i="3"/>
  <c r="C25" i="3"/>
  <c r="C14" i="3"/>
  <c r="C430" i="3"/>
  <c r="C419" i="3"/>
  <c r="C408" i="3"/>
  <c r="C402" i="3"/>
  <c r="C391" i="3"/>
  <c r="C380" i="3"/>
  <c r="C369" i="3"/>
  <c r="C358" i="3"/>
  <c r="C352" i="3"/>
  <c r="C341" i="3"/>
  <c r="C330" i="3"/>
  <c r="C319" i="3"/>
  <c r="C308" i="3"/>
  <c r="C302" i="3"/>
  <c r="C291" i="3"/>
  <c r="C280" i="3"/>
  <c r="C269" i="3"/>
  <c r="C258" i="3"/>
  <c r="C252" i="3"/>
  <c r="C241" i="3"/>
  <c r="C230" i="3"/>
  <c r="C219" i="3"/>
  <c r="C208" i="3"/>
  <c r="C202" i="3"/>
  <c r="C191" i="3"/>
  <c r="C180" i="3"/>
  <c r="C169" i="3"/>
  <c r="C158" i="3"/>
  <c r="C152" i="3"/>
  <c r="C141" i="3"/>
  <c r="C130" i="3"/>
  <c r="C119" i="3"/>
  <c r="C108" i="3"/>
  <c r="C102" i="3"/>
  <c r="C91" i="3"/>
  <c r="C80" i="3"/>
  <c r="C69" i="3"/>
  <c r="C58" i="3"/>
  <c r="C52" i="3"/>
  <c r="C41" i="3"/>
  <c r="C30" i="3"/>
  <c r="C19" i="3"/>
  <c r="C285" i="3"/>
  <c r="C274" i="3"/>
  <c r="C263" i="3"/>
  <c r="C257" i="3"/>
  <c r="C246" i="3"/>
  <c r="C235" i="3"/>
  <c r="C224" i="3"/>
  <c r="C213" i="3"/>
  <c r="C207" i="3"/>
  <c r="C196" i="3"/>
  <c r="C185" i="3"/>
  <c r="C174" i="3"/>
  <c r="C163" i="3"/>
  <c r="C157" i="3"/>
  <c r="C146" i="3"/>
  <c r="C135" i="3"/>
  <c r="C124" i="3"/>
  <c r="C113" i="3"/>
  <c r="C107" i="3"/>
  <c r="C96" i="3"/>
  <c r="C85" i="3"/>
  <c r="C74" i="3"/>
  <c r="C63" i="3"/>
  <c r="C57" i="3"/>
  <c r="C46" i="3"/>
  <c r="C35" i="3"/>
  <c r="C24" i="3"/>
  <c r="C13" i="3"/>
  <c r="C12" i="3"/>
  <c r="C11" i="3"/>
  <c r="B1360" i="3"/>
  <c r="B1324" i="3"/>
  <c r="B1318" i="3"/>
  <c r="B1307" i="3"/>
  <c r="B1296" i="3"/>
  <c r="B1285" i="3"/>
  <c r="B1274" i="3"/>
  <c r="B1268" i="3"/>
  <c r="B1257" i="3"/>
  <c r="B1239" i="3"/>
  <c r="B1214" i="3"/>
  <c r="B1189" i="3"/>
  <c r="B1182" i="3"/>
  <c r="B1166" i="3"/>
  <c r="B1157" i="3"/>
  <c r="B1071" i="3"/>
  <c r="B1358" i="3"/>
  <c r="B1351" i="3"/>
  <c r="B1340" i="3"/>
  <c r="B1329" i="3"/>
  <c r="B1323" i="3"/>
  <c r="B1312" i="3"/>
  <c r="B1301" i="3"/>
  <c r="B1290" i="3"/>
  <c r="B1279" i="3"/>
  <c r="B1273" i="3"/>
  <c r="B1262" i="3"/>
  <c r="B1251" i="3"/>
  <c r="B1238" i="3"/>
  <c r="B1232" i="3"/>
  <c r="B1226" i="3"/>
  <c r="B1213" i="3"/>
  <c r="B1207" i="3"/>
  <c r="B1201" i="3"/>
  <c r="B1188" i="3"/>
  <c r="B1070" i="3"/>
  <c r="B1354" i="3"/>
  <c r="B1364" i="3"/>
  <c r="B1347" i="3"/>
  <c r="B1336" i="3"/>
  <c r="B1357" i="3"/>
  <c r="B1346" i="3"/>
  <c r="B1335" i="3"/>
  <c r="B1362" i="3"/>
  <c r="B1356" i="3"/>
  <c r="B1345" i="3"/>
  <c r="B1334" i="3"/>
  <c r="B1328" i="3"/>
  <c r="B1317" i="3"/>
  <c r="B1306" i="3"/>
  <c r="B1295" i="3"/>
  <c r="B1284" i="3"/>
  <c r="B1278" i="3"/>
  <c r="B1267" i="3"/>
  <c r="B1256" i="3"/>
  <c r="B1244" i="3"/>
  <c r="B1219" i="3"/>
  <c r="B1194" i="3"/>
  <c r="B1181" i="3"/>
  <c r="B1172" i="3"/>
  <c r="B1156" i="3"/>
  <c r="B1147" i="3"/>
  <c r="B1137" i="3"/>
  <c r="B1126" i="3"/>
  <c r="B1115" i="3"/>
  <c r="B1093" i="3"/>
  <c r="B1333" i="3"/>
  <c r="B1322" i="3"/>
  <c r="B1311" i="3"/>
  <c r="B1300" i="3"/>
  <c r="B1289" i="3"/>
  <c r="B1283" i="3"/>
  <c r="B1272" i="3"/>
  <c r="B1261" i="3"/>
  <c r="B1243" i="3"/>
  <c r="B1237" i="3"/>
  <c r="B1231" i="3"/>
  <c r="B1218" i="3"/>
  <c r="B1212" i="3"/>
  <c r="B1206" i="3"/>
  <c r="B1193" i="3"/>
  <c r="B1187" i="3"/>
  <c r="B1114" i="3"/>
  <c r="B1092" i="3"/>
  <c r="B1060" i="3"/>
  <c r="B1361" i="3"/>
  <c r="B1327" i="3"/>
  <c r="B1316" i="3"/>
  <c r="B1305" i="3"/>
  <c r="B1294" i="3"/>
  <c r="B1288" i="3"/>
  <c r="B1277" i="3"/>
  <c r="B1266" i="3"/>
  <c r="B1255" i="3"/>
  <c r="B1249" i="3"/>
  <c r="B1224" i="3"/>
  <c r="B1199" i="3"/>
  <c r="B1171" i="3"/>
  <c r="B1162" i="3"/>
  <c r="B1124" i="3"/>
  <c r="B1110" i="3"/>
  <c r="B1054" i="3"/>
  <c r="B1355" i="3"/>
  <c r="B1344" i="3"/>
  <c r="B1338" i="3"/>
  <c r="B1343" i="3"/>
  <c r="B1332" i="3"/>
  <c r="B1321" i="3"/>
  <c r="B1310" i="3"/>
  <c r="B1299" i="3"/>
  <c r="B1293" i="3"/>
  <c r="B1282" i="3"/>
  <c r="B1271" i="3"/>
  <c r="B1260" i="3"/>
  <c r="B1248" i="3"/>
  <c r="B1242" i="3"/>
  <c r="B1236" i="3"/>
  <c r="B1223" i="3"/>
  <c r="B1217" i="3"/>
  <c r="B1211" i="3"/>
  <c r="B1198" i="3"/>
  <c r="B1192" i="3"/>
  <c r="B1186" i="3"/>
  <c r="B1134" i="3"/>
  <c r="B1123" i="3"/>
  <c r="B1109" i="3"/>
  <c r="B1337" i="3"/>
  <c r="B1326" i="3"/>
  <c r="B1315" i="3"/>
  <c r="B1304" i="3"/>
  <c r="B1298" i="3"/>
  <c r="B1287" i="3"/>
  <c r="B1276" i="3"/>
  <c r="B1265" i="3"/>
  <c r="B1254" i="3"/>
  <c r="B1229" i="3"/>
  <c r="B1204" i="3"/>
  <c r="B1177" i="3"/>
  <c r="B1161" i="3"/>
  <c r="B1152" i="3"/>
  <c r="B1132" i="3"/>
  <c r="B1121" i="3"/>
  <c r="B1082" i="3"/>
  <c r="B1043" i="3"/>
  <c r="B1348" i="3"/>
  <c r="B1359" i="3"/>
  <c r="B1353" i="3"/>
  <c r="B1342" i="3"/>
  <c r="B1331" i="3"/>
  <c r="B1320" i="3"/>
  <c r="B1309" i="3"/>
  <c r="B1303" i="3"/>
  <c r="B1292" i="3"/>
  <c r="B1281" i="3"/>
  <c r="B1270" i="3"/>
  <c r="B1259" i="3"/>
  <c r="B1253" i="3"/>
  <c r="B1247" i="3"/>
  <c r="B1241" i="3"/>
  <c r="B1228" i="3"/>
  <c r="B1222" i="3"/>
  <c r="B1216" i="3"/>
  <c r="B1203" i="3"/>
  <c r="B1197" i="3"/>
  <c r="B1191" i="3"/>
  <c r="B1142" i="3"/>
  <c r="B1104" i="3"/>
  <c r="B1081" i="3"/>
  <c r="B1325" i="3"/>
  <c r="B1314" i="3"/>
  <c r="B1308" i="3"/>
  <c r="B1275" i="3"/>
  <c r="B1264" i="3"/>
  <c r="B1176" i="3"/>
  <c r="B1167" i="3"/>
  <c r="B1151" i="3"/>
  <c r="B1131" i="3"/>
  <c r="B1120" i="3"/>
  <c r="B1032" i="3"/>
  <c r="B1350" i="3"/>
  <c r="B1339" i="3"/>
  <c r="B1349" i="3"/>
  <c r="B1297" i="3"/>
  <c r="B1286" i="3"/>
  <c r="B1258" i="3"/>
  <c r="B1234" i="3"/>
  <c r="B1209" i="3"/>
  <c r="B1184" i="3"/>
  <c r="B1363" i="3"/>
  <c r="B1352" i="3"/>
  <c r="B1341" i="3"/>
  <c r="B1330" i="3"/>
  <c r="B1319" i="3"/>
  <c r="B1313" i="3"/>
  <c r="B1302" i="3"/>
  <c r="B1291" i="3"/>
  <c r="B1280" i="3"/>
  <c r="B1269" i="3"/>
  <c r="B1263" i="3"/>
  <c r="B1252" i="3"/>
  <c r="B1246" i="3"/>
  <c r="B1233" i="3"/>
  <c r="B1227" i="3"/>
  <c r="B1221" i="3"/>
  <c r="B1208" i="3"/>
  <c r="B1202" i="3"/>
  <c r="B1196" i="3"/>
  <c r="B1130" i="3"/>
  <c r="B1103" i="3"/>
  <c r="B1169" i="3"/>
  <c r="B1164" i="3"/>
  <c r="B1159" i="3"/>
  <c r="B1154" i="3"/>
  <c r="B1149" i="3"/>
  <c r="B1144" i="3"/>
  <c r="B1117" i="3"/>
  <c r="B1133" i="3"/>
  <c r="B1122" i="3"/>
  <c r="B1111" i="3"/>
  <c r="B1100" i="3"/>
  <c r="B1094" i="3"/>
  <c r="B1083" i="3"/>
  <c r="B1072" i="3"/>
  <c r="B1061" i="3"/>
  <c r="B1050" i="3"/>
  <c r="B1044" i="3"/>
  <c r="B1033" i="3"/>
  <c r="B1022" i="3"/>
  <c r="B1011" i="3"/>
  <c r="B1000" i="3"/>
  <c r="B994" i="3"/>
  <c r="B983" i="3"/>
  <c r="B977" i="3"/>
  <c r="B971" i="3"/>
  <c r="B963" i="3"/>
  <c r="B947" i="3"/>
  <c r="B939" i="3"/>
  <c r="B886" i="3"/>
  <c r="B871" i="3"/>
  <c r="B851" i="3"/>
  <c r="B1183" i="3"/>
  <c r="B1178" i="3"/>
  <c r="B1173" i="3"/>
  <c r="B1168" i="3"/>
  <c r="B1163" i="3"/>
  <c r="B1158" i="3"/>
  <c r="B1153" i="3"/>
  <c r="B1148" i="3"/>
  <c r="B1143" i="3"/>
  <c r="B1138" i="3"/>
  <c r="B1127" i="3"/>
  <c r="B1116" i="3"/>
  <c r="B1105" i="3"/>
  <c r="B1099" i="3"/>
  <c r="B1088" i="3"/>
  <c r="B1077" i="3"/>
  <c r="B1066" i="3"/>
  <c r="B1055" i="3"/>
  <c r="B1049" i="3"/>
  <c r="B1038" i="3"/>
  <c r="B1027" i="3"/>
  <c r="B1016" i="3"/>
  <c r="B1005" i="3"/>
  <c r="B999" i="3"/>
  <c r="B988" i="3"/>
  <c r="B962" i="3"/>
  <c r="B954" i="3"/>
  <c r="B922" i="3"/>
  <c r="B912" i="3"/>
  <c r="B884" i="3"/>
  <c r="B869" i="3"/>
  <c r="B848" i="3"/>
  <c r="B1021" i="3"/>
  <c r="B1010" i="3"/>
  <c r="B1004" i="3"/>
  <c r="B993" i="3"/>
  <c r="B982" i="3"/>
  <c r="B976" i="3"/>
  <c r="B969" i="3"/>
  <c r="B930" i="3"/>
  <c r="B921" i="3"/>
  <c r="B897" i="3"/>
  <c r="B867" i="3"/>
  <c r="B1098" i="3"/>
  <c r="B1087" i="3"/>
  <c r="B1076" i="3"/>
  <c r="B1065" i="3"/>
  <c r="B1059" i="3"/>
  <c r="B1048" i="3"/>
  <c r="B1037" i="3"/>
  <c r="B1026" i="3"/>
  <c r="B1015" i="3"/>
  <c r="B1009" i="3"/>
  <c r="B998" i="3"/>
  <c r="B987" i="3"/>
  <c r="B961" i="3"/>
  <c r="B945" i="3"/>
  <c r="B937" i="3"/>
  <c r="B910" i="3"/>
  <c r="B882" i="3"/>
  <c r="B865" i="3"/>
  <c r="B845" i="3"/>
  <c r="B1064" i="3"/>
  <c r="B1053" i="3"/>
  <c r="B1042" i="3"/>
  <c r="B1031" i="3"/>
  <c r="B1020" i="3"/>
  <c r="B1014" i="3"/>
  <c r="B1003" i="3"/>
  <c r="B992" i="3"/>
  <c r="B981" i="3"/>
  <c r="B975" i="3"/>
  <c r="B960" i="3"/>
  <c r="B952" i="3"/>
  <c r="B944" i="3"/>
  <c r="B936" i="3"/>
  <c r="B928" i="3"/>
  <c r="B919" i="3"/>
  <c r="B908" i="3"/>
  <c r="B895" i="3"/>
  <c r="B863" i="3"/>
  <c r="B1146" i="3"/>
  <c r="B1141" i="3"/>
  <c r="B1136" i="3"/>
  <c r="B1125" i="3"/>
  <c r="B1119" i="3"/>
  <c r="B1108" i="3"/>
  <c r="B1097" i="3"/>
  <c r="B1086" i="3"/>
  <c r="B1075" i="3"/>
  <c r="B1069" i="3"/>
  <c r="B1058" i="3"/>
  <c r="B1047" i="3"/>
  <c r="B1036" i="3"/>
  <c r="B1025" i="3"/>
  <c r="B1019" i="3"/>
  <c r="B1008" i="3"/>
  <c r="B997" i="3"/>
  <c r="B986" i="3"/>
  <c r="B974" i="3"/>
  <c r="B967" i="3"/>
  <c r="B959" i="3"/>
  <c r="B951" i="3"/>
  <c r="B943" i="3"/>
  <c r="B893" i="3"/>
  <c r="B834" i="3"/>
  <c r="B1113" i="3"/>
  <c r="B1102" i="3"/>
  <c r="B1091" i="3"/>
  <c r="B1080" i="3"/>
  <c r="B1074" i="3"/>
  <c r="B1063" i="3"/>
  <c r="B1052" i="3"/>
  <c r="B1041" i="3"/>
  <c r="B1030" i="3"/>
  <c r="B1024" i="3"/>
  <c r="B1013" i="3"/>
  <c r="B1002" i="3"/>
  <c r="B991" i="3"/>
  <c r="B980" i="3"/>
  <c r="B973" i="3"/>
  <c r="B958" i="3"/>
  <c r="B934" i="3"/>
  <c r="B917" i="3"/>
  <c r="B906" i="3"/>
  <c r="B878" i="3"/>
  <c r="B828" i="3"/>
  <c r="B1250" i="3"/>
  <c r="B1245" i="3"/>
  <c r="B1240" i="3"/>
  <c r="B1235" i="3"/>
  <c r="B1230" i="3"/>
  <c r="B1225" i="3"/>
  <c r="B1220" i="3"/>
  <c r="B1215" i="3"/>
  <c r="B1210" i="3"/>
  <c r="B1205" i="3"/>
  <c r="B1200" i="3"/>
  <c r="B1195" i="3"/>
  <c r="B1190" i="3"/>
  <c r="B1185" i="3"/>
  <c r="B1180" i="3"/>
  <c r="B1175" i="3"/>
  <c r="B1170" i="3"/>
  <c r="B1165" i="3"/>
  <c r="B1160" i="3"/>
  <c r="B1155" i="3"/>
  <c r="B1150" i="3"/>
  <c r="B1145" i="3"/>
  <c r="B1140" i="3"/>
  <c r="B1135" i="3"/>
  <c r="B1129" i="3"/>
  <c r="B1118" i="3"/>
  <c r="B1107" i="3"/>
  <c r="B1096" i="3"/>
  <c r="B1085" i="3"/>
  <c r="B1079" i="3"/>
  <c r="B1068" i="3"/>
  <c r="B1057" i="3"/>
  <c r="B1046" i="3"/>
  <c r="B1035" i="3"/>
  <c r="B1029" i="3"/>
  <c r="B1018" i="3"/>
  <c r="B1007" i="3"/>
  <c r="B996" i="3"/>
  <c r="B985" i="3"/>
  <c r="B950" i="3"/>
  <c r="B926" i="3"/>
  <c r="B904" i="3"/>
  <c r="B890" i="3"/>
  <c r="B857" i="3"/>
  <c r="B1112" i="3"/>
  <c r="B1101" i="3"/>
  <c r="B1090" i="3"/>
  <c r="B1084" i="3"/>
  <c r="B1073" i="3"/>
  <c r="B1062" i="3"/>
  <c r="B1051" i="3"/>
  <c r="B1040" i="3"/>
  <c r="B1034" i="3"/>
  <c r="B1023" i="3"/>
  <c r="B1012" i="3"/>
  <c r="B1001" i="3"/>
  <c r="B990" i="3"/>
  <c r="B984" i="3"/>
  <c r="B978" i="3"/>
  <c r="B972" i="3"/>
  <c r="B965" i="3"/>
  <c r="B941" i="3"/>
  <c r="B933" i="3"/>
  <c r="B925" i="3"/>
  <c r="B889" i="3"/>
  <c r="B875" i="3"/>
  <c r="B854" i="3"/>
  <c r="B1179" i="3"/>
  <c r="B1174" i="3"/>
  <c r="B1139" i="3"/>
  <c r="B1128" i="3"/>
  <c r="B1106" i="3"/>
  <c r="B1095" i="3"/>
  <c r="B1089" i="3"/>
  <c r="B1078" i="3"/>
  <c r="B1067" i="3"/>
  <c r="B1056" i="3"/>
  <c r="B1045" i="3"/>
  <c r="B1039" i="3"/>
  <c r="B1028" i="3"/>
  <c r="B1017" i="3"/>
  <c r="B1006" i="3"/>
  <c r="B995" i="3"/>
  <c r="B989" i="3"/>
  <c r="B956" i="3"/>
  <c r="B948" i="3"/>
  <c r="B940" i="3"/>
  <c r="B932" i="3"/>
  <c r="B923" i="3"/>
  <c r="B915" i="3"/>
  <c r="B901" i="3"/>
  <c r="B809" i="3"/>
  <c r="B909" i="3"/>
  <c r="B898" i="3"/>
  <c r="B887" i="3"/>
  <c r="B876" i="3"/>
  <c r="B864" i="3"/>
  <c r="B858" i="3"/>
  <c r="B852" i="3"/>
  <c r="B846" i="3"/>
  <c r="B840" i="3"/>
  <c r="B827" i="3"/>
  <c r="B821" i="3"/>
  <c r="B815" i="3"/>
  <c r="B784" i="3"/>
  <c r="B778" i="3"/>
  <c r="B759" i="3"/>
  <c r="B753" i="3"/>
  <c r="B746" i="3"/>
  <c r="B739" i="3"/>
  <c r="B732" i="3"/>
  <c r="B718" i="3"/>
  <c r="B704" i="3"/>
  <c r="B670" i="3"/>
  <c r="B662" i="3"/>
  <c r="B645" i="3"/>
  <c r="B636" i="3"/>
  <c r="B626" i="3"/>
  <c r="B604" i="3"/>
  <c r="B593" i="3"/>
  <c r="B582" i="3"/>
  <c r="B970" i="3"/>
  <c r="B964" i="3"/>
  <c r="B953" i="3"/>
  <c r="B942" i="3"/>
  <c r="B931" i="3"/>
  <c r="B920" i="3"/>
  <c r="B914" i="3"/>
  <c r="B903" i="3"/>
  <c r="B892" i="3"/>
  <c r="B881" i="3"/>
  <c r="B870" i="3"/>
  <c r="B839" i="3"/>
  <c r="B814" i="3"/>
  <c r="B808" i="3"/>
  <c r="B802" i="3"/>
  <c r="B796" i="3"/>
  <c r="B790" i="3"/>
  <c r="B777" i="3"/>
  <c r="B771" i="3"/>
  <c r="B765" i="3"/>
  <c r="B738" i="3"/>
  <c r="B725" i="3"/>
  <c r="B697" i="3"/>
  <c r="B690" i="3"/>
  <c r="B676" i="3"/>
  <c r="B669" i="3"/>
  <c r="B653" i="3"/>
  <c r="B643" i="3"/>
  <c r="B635" i="3"/>
  <c r="B615" i="3"/>
  <c r="B567" i="3"/>
  <c r="B838" i="3"/>
  <c r="B832" i="3"/>
  <c r="B826" i="3"/>
  <c r="B820" i="3"/>
  <c r="B789" i="3"/>
  <c r="B764" i="3"/>
  <c r="B758" i="3"/>
  <c r="B745" i="3"/>
  <c r="B731" i="3"/>
  <c r="B717" i="3"/>
  <c r="B710" i="3"/>
  <c r="B703" i="3"/>
  <c r="B696" i="3"/>
  <c r="B689" i="3"/>
  <c r="B682" i="3"/>
  <c r="B668" i="3"/>
  <c r="B660" i="3"/>
  <c r="B625" i="3"/>
  <c r="B546" i="3"/>
  <c r="B924" i="3"/>
  <c r="B913" i="3"/>
  <c r="B902" i="3"/>
  <c r="B891" i="3"/>
  <c r="B880" i="3"/>
  <c r="B874" i="3"/>
  <c r="B819" i="3"/>
  <c r="B813" i="3"/>
  <c r="B807" i="3"/>
  <c r="B801" i="3"/>
  <c r="B795" i="3"/>
  <c r="B788" i="3"/>
  <c r="B782" i="3"/>
  <c r="B776" i="3"/>
  <c r="B770" i="3"/>
  <c r="B751" i="3"/>
  <c r="B737" i="3"/>
  <c r="B723" i="3"/>
  <c r="B716" i="3"/>
  <c r="B709" i="3"/>
  <c r="B688" i="3"/>
  <c r="B675" i="3"/>
  <c r="B659" i="3"/>
  <c r="B642" i="3"/>
  <c r="B632" i="3"/>
  <c r="B579" i="3"/>
  <c r="B565" i="3"/>
  <c r="B542" i="3"/>
  <c r="B517" i="3"/>
  <c r="B979" i="3"/>
  <c r="B968" i="3"/>
  <c r="B957" i="3"/>
  <c r="B946" i="3"/>
  <c r="B935" i="3"/>
  <c r="B929" i="3"/>
  <c r="B918" i="3"/>
  <c r="B907" i="3"/>
  <c r="B896" i="3"/>
  <c r="B885" i="3"/>
  <c r="B879" i="3"/>
  <c r="B868" i="3"/>
  <c r="B862" i="3"/>
  <c r="B856" i="3"/>
  <c r="B849" i="3"/>
  <c r="B843" i="3"/>
  <c r="B837" i="3"/>
  <c r="B831" i="3"/>
  <c r="B825" i="3"/>
  <c r="B769" i="3"/>
  <c r="B763" i="3"/>
  <c r="B757" i="3"/>
  <c r="B743" i="3"/>
  <c r="B729" i="3"/>
  <c r="B695" i="3"/>
  <c r="B681" i="3"/>
  <c r="B667" i="3"/>
  <c r="B589" i="3"/>
  <c r="B578" i="3"/>
  <c r="B561" i="3"/>
  <c r="B873" i="3"/>
  <c r="B855" i="3"/>
  <c r="B824" i="3"/>
  <c r="B818" i="3"/>
  <c r="B812" i="3"/>
  <c r="B806" i="3"/>
  <c r="B799" i="3"/>
  <c r="B793" i="3"/>
  <c r="B787" i="3"/>
  <c r="B781" i="3"/>
  <c r="B775" i="3"/>
  <c r="B749" i="3"/>
  <c r="B736" i="3"/>
  <c r="B715" i="3"/>
  <c r="B708" i="3"/>
  <c r="B701" i="3"/>
  <c r="B687" i="3"/>
  <c r="B673" i="3"/>
  <c r="B658" i="3"/>
  <c r="B631" i="3"/>
  <c r="B621" i="3"/>
  <c r="B610" i="3"/>
  <c r="B559" i="3"/>
  <c r="B540" i="3"/>
  <c r="B511" i="3"/>
  <c r="B842" i="3"/>
  <c r="B836" i="3"/>
  <c r="B830" i="3"/>
  <c r="B805" i="3"/>
  <c r="B774" i="3"/>
  <c r="B768" i="3"/>
  <c r="B762" i="3"/>
  <c r="B756" i="3"/>
  <c r="B742" i="3"/>
  <c r="B735" i="3"/>
  <c r="B728" i="3"/>
  <c r="B721" i="3"/>
  <c r="B714" i="3"/>
  <c r="B707" i="3"/>
  <c r="B693" i="3"/>
  <c r="B679" i="3"/>
  <c r="B665" i="3"/>
  <c r="B657" i="3"/>
  <c r="B648" i="3"/>
  <c r="B639" i="3"/>
  <c r="B609" i="3"/>
  <c r="B598" i="3"/>
  <c r="B587" i="3"/>
  <c r="B576" i="3"/>
  <c r="B536" i="3"/>
  <c r="B505" i="3"/>
  <c r="B911" i="3"/>
  <c r="B900" i="3"/>
  <c r="B894" i="3"/>
  <c r="B883" i="3"/>
  <c r="B872" i="3"/>
  <c r="B866" i="3"/>
  <c r="B860" i="3"/>
  <c r="B829" i="3"/>
  <c r="B823" i="3"/>
  <c r="B817" i="3"/>
  <c r="B804" i="3"/>
  <c r="B798" i="3"/>
  <c r="B792" i="3"/>
  <c r="B786" i="3"/>
  <c r="B780" i="3"/>
  <c r="B755" i="3"/>
  <c r="B748" i="3"/>
  <c r="B734" i="3"/>
  <c r="B727" i="3"/>
  <c r="B699" i="3"/>
  <c r="B686" i="3"/>
  <c r="B664" i="3"/>
  <c r="B629" i="3"/>
  <c r="B619" i="3"/>
  <c r="B608" i="3"/>
  <c r="B597" i="3"/>
  <c r="B586" i="3"/>
  <c r="B555" i="3"/>
  <c r="B534" i="3"/>
  <c r="B966" i="3"/>
  <c r="B955" i="3"/>
  <c r="B949" i="3"/>
  <c r="B938" i="3"/>
  <c r="B927" i="3"/>
  <c r="B916" i="3"/>
  <c r="B905" i="3"/>
  <c r="B899" i="3"/>
  <c r="B888" i="3"/>
  <c r="B877" i="3"/>
  <c r="B859" i="3"/>
  <c r="B853" i="3"/>
  <c r="B847" i="3"/>
  <c r="B841" i="3"/>
  <c r="B835" i="3"/>
  <c r="B816" i="3"/>
  <c r="B810" i="3"/>
  <c r="B779" i="3"/>
  <c r="B773" i="3"/>
  <c r="B767" i="3"/>
  <c r="B754" i="3"/>
  <c r="B720" i="3"/>
  <c r="B706" i="3"/>
  <c r="B692" i="3"/>
  <c r="B685" i="3"/>
  <c r="B678" i="3"/>
  <c r="B671" i="3"/>
  <c r="B656" i="3"/>
  <c r="B647" i="3"/>
  <c r="B637" i="3"/>
  <c r="B628" i="3"/>
  <c r="B618" i="3"/>
  <c r="B607" i="3"/>
  <c r="B596" i="3"/>
  <c r="B585" i="3"/>
  <c r="B492" i="3"/>
  <c r="B803" i="3"/>
  <c r="B797" i="3"/>
  <c r="B791" i="3"/>
  <c r="B785" i="3"/>
  <c r="B766" i="3"/>
  <c r="B760" i="3"/>
  <c r="B747" i="3"/>
  <c r="B740" i="3"/>
  <c r="B726" i="3"/>
  <c r="B719" i="3"/>
  <c r="B712" i="3"/>
  <c r="B705" i="3"/>
  <c r="B698" i="3"/>
  <c r="B684" i="3"/>
  <c r="B677" i="3"/>
  <c r="B654" i="3"/>
  <c r="B646" i="3"/>
  <c r="B617" i="3"/>
  <c r="B606" i="3"/>
  <c r="B595" i="3"/>
  <c r="B571" i="3"/>
  <c r="B552" i="3"/>
  <c r="B530" i="3"/>
  <c r="B486" i="3"/>
  <c r="B480" i="3"/>
  <c r="B467" i="3"/>
  <c r="B461" i="3"/>
  <c r="B455" i="3"/>
  <c r="B442" i="3"/>
  <c r="B436" i="3"/>
  <c r="B422" i="3"/>
  <c r="B414" i="3"/>
  <c r="B406" i="3"/>
  <c r="B398" i="3"/>
  <c r="B350" i="3"/>
  <c r="B331" i="3"/>
  <c r="B322" i="3"/>
  <c r="B313" i="3"/>
  <c r="B302" i="3"/>
  <c r="B291" i="3"/>
  <c r="B220" i="3"/>
  <c r="B198" i="3"/>
  <c r="B861" i="3"/>
  <c r="B850" i="3"/>
  <c r="B844" i="3"/>
  <c r="B833" i="3"/>
  <c r="B822" i="3"/>
  <c r="B811" i="3"/>
  <c r="B800" i="3"/>
  <c r="B794" i="3"/>
  <c r="B783" i="3"/>
  <c r="B772" i="3"/>
  <c r="B761" i="3"/>
  <c r="B750" i="3"/>
  <c r="B744" i="3"/>
  <c r="B733" i="3"/>
  <c r="B722" i="3"/>
  <c r="B711" i="3"/>
  <c r="B700" i="3"/>
  <c r="B694" i="3"/>
  <c r="B683" i="3"/>
  <c r="B672" i="3"/>
  <c r="B661" i="3"/>
  <c r="B650" i="3"/>
  <c r="B644" i="3"/>
  <c r="B633" i="3"/>
  <c r="B622" i="3"/>
  <c r="B611" i="3"/>
  <c r="B600" i="3"/>
  <c r="B594" i="3"/>
  <c r="B583" i="3"/>
  <c r="B572" i="3"/>
  <c r="B554" i="3"/>
  <c r="B529" i="3"/>
  <c r="B504" i="3"/>
  <c r="B479" i="3"/>
  <c r="B454" i="3"/>
  <c r="B397" i="3"/>
  <c r="B381" i="3"/>
  <c r="B374" i="3"/>
  <c r="B365" i="3"/>
  <c r="B358" i="3"/>
  <c r="B330" i="3"/>
  <c r="B278" i="3"/>
  <c r="B250" i="3"/>
  <c r="B219" i="3"/>
  <c r="B196" i="3"/>
  <c r="B159" i="3"/>
  <c r="B666" i="3"/>
  <c r="B655" i="3"/>
  <c r="B649" i="3"/>
  <c r="B638" i="3"/>
  <c r="B627" i="3"/>
  <c r="B616" i="3"/>
  <c r="B605" i="3"/>
  <c r="B599" i="3"/>
  <c r="B588" i="3"/>
  <c r="B577" i="3"/>
  <c r="B566" i="3"/>
  <c r="B560" i="3"/>
  <c r="B547" i="3"/>
  <c r="B541" i="3"/>
  <c r="B535" i="3"/>
  <c r="B522" i="3"/>
  <c r="B516" i="3"/>
  <c r="B510" i="3"/>
  <c r="B497" i="3"/>
  <c r="B491" i="3"/>
  <c r="B485" i="3"/>
  <c r="B472" i="3"/>
  <c r="B466" i="3"/>
  <c r="B460" i="3"/>
  <c r="B447" i="3"/>
  <c r="B441" i="3"/>
  <c r="B435" i="3"/>
  <c r="B428" i="3"/>
  <c r="B420" i="3"/>
  <c r="B413" i="3"/>
  <c r="B404" i="3"/>
  <c r="B389" i="3"/>
  <c r="B373" i="3"/>
  <c r="B357" i="3"/>
  <c r="B348" i="3"/>
  <c r="B339" i="3"/>
  <c r="B320" i="3"/>
  <c r="B311" i="3"/>
  <c r="B263" i="3"/>
  <c r="B248" i="3"/>
  <c r="B235" i="3"/>
  <c r="B192" i="3"/>
  <c r="B509" i="3"/>
  <c r="B484" i="3"/>
  <c r="B459" i="3"/>
  <c r="B434" i="3"/>
  <c r="B396" i="3"/>
  <c r="B387" i="3"/>
  <c r="B380" i="3"/>
  <c r="B372" i="3"/>
  <c r="B364" i="3"/>
  <c r="B356" i="3"/>
  <c r="B337" i="3"/>
  <c r="B319" i="3"/>
  <c r="B300" i="3"/>
  <c r="B289" i="3"/>
  <c r="B261" i="3"/>
  <c r="B148" i="3"/>
  <c r="B527" i="3"/>
  <c r="B521" i="3"/>
  <c r="B515" i="3"/>
  <c r="B502" i="3"/>
  <c r="B496" i="3"/>
  <c r="B490" i="3"/>
  <c r="B477" i="3"/>
  <c r="B471" i="3"/>
  <c r="B465" i="3"/>
  <c r="B452" i="3"/>
  <c r="B446" i="3"/>
  <c r="B440" i="3"/>
  <c r="B426" i="3"/>
  <c r="B419" i="3"/>
  <c r="B411" i="3"/>
  <c r="B403" i="3"/>
  <c r="B395" i="3"/>
  <c r="B346" i="3"/>
  <c r="B328" i="3"/>
  <c r="B309" i="3"/>
  <c r="B298" i="3"/>
  <c r="B274" i="3"/>
  <c r="B259" i="3"/>
  <c r="B246" i="3"/>
  <c r="B231" i="3"/>
  <c r="B142" i="3"/>
  <c r="B620" i="3"/>
  <c r="B614" i="3"/>
  <c r="B603" i="3"/>
  <c r="B592" i="3"/>
  <c r="B581" i="3"/>
  <c r="B570" i="3"/>
  <c r="B564" i="3"/>
  <c r="B539" i="3"/>
  <c r="B514" i="3"/>
  <c r="B489" i="3"/>
  <c r="B464" i="3"/>
  <c r="B439" i="3"/>
  <c r="B432" i="3"/>
  <c r="B402" i="3"/>
  <c r="B386" i="3"/>
  <c r="B370" i="3"/>
  <c r="B363" i="3"/>
  <c r="B354" i="3"/>
  <c r="B345" i="3"/>
  <c r="B326" i="3"/>
  <c r="B317" i="3"/>
  <c r="B308" i="3"/>
  <c r="B272" i="3"/>
  <c r="B258" i="3"/>
  <c r="B230" i="3"/>
  <c r="B213" i="3"/>
  <c r="B185" i="3"/>
  <c r="B575" i="3"/>
  <c r="B569" i="3"/>
  <c r="B557" i="3"/>
  <c r="B551" i="3"/>
  <c r="B545" i="3"/>
  <c r="B532" i="3"/>
  <c r="B526" i="3"/>
  <c r="B520" i="3"/>
  <c r="B507" i="3"/>
  <c r="B501" i="3"/>
  <c r="B495" i="3"/>
  <c r="B482" i="3"/>
  <c r="B476" i="3"/>
  <c r="B470" i="3"/>
  <c r="B457" i="3"/>
  <c r="B451" i="3"/>
  <c r="B445" i="3"/>
  <c r="B425" i="3"/>
  <c r="B417" i="3"/>
  <c r="B409" i="3"/>
  <c r="B393" i="3"/>
  <c r="B378" i="3"/>
  <c r="B335" i="3"/>
  <c r="B307" i="3"/>
  <c r="B296" i="3"/>
  <c r="B285" i="3"/>
  <c r="B270" i="3"/>
  <c r="B257" i="3"/>
  <c r="B242" i="3"/>
  <c r="B209" i="3"/>
  <c r="B181" i="3"/>
  <c r="B131" i="3"/>
  <c r="B752" i="3"/>
  <c r="B741" i="3"/>
  <c r="B730" i="3"/>
  <c r="B724" i="3"/>
  <c r="B713" i="3"/>
  <c r="B702" i="3"/>
  <c r="B691" i="3"/>
  <c r="B680" i="3"/>
  <c r="B674" i="3"/>
  <c r="B663" i="3"/>
  <c r="B652" i="3"/>
  <c r="B641" i="3"/>
  <c r="B630" i="3"/>
  <c r="B624" i="3"/>
  <c r="B613" i="3"/>
  <c r="B602" i="3"/>
  <c r="B591" i="3"/>
  <c r="B580" i="3"/>
  <c r="B574" i="3"/>
  <c r="B544" i="3"/>
  <c r="B519" i="3"/>
  <c r="B494" i="3"/>
  <c r="B469" i="3"/>
  <c r="B444" i="3"/>
  <c r="B431" i="3"/>
  <c r="B392" i="3"/>
  <c r="B385" i="3"/>
  <c r="B376" i="3"/>
  <c r="B369" i="3"/>
  <c r="B361" i="3"/>
  <c r="B352" i="3"/>
  <c r="B343" i="3"/>
  <c r="B334" i="3"/>
  <c r="B315" i="3"/>
  <c r="B306" i="3"/>
  <c r="B295" i="3"/>
  <c r="B269" i="3"/>
  <c r="B241" i="3"/>
  <c r="B207" i="3"/>
  <c r="B568" i="3"/>
  <c r="B562" i="3"/>
  <c r="B556" i="3"/>
  <c r="B550" i="3"/>
  <c r="B537" i="3"/>
  <c r="B531" i="3"/>
  <c r="B525" i="3"/>
  <c r="B512" i="3"/>
  <c r="B506" i="3"/>
  <c r="B500" i="3"/>
  <c r="B487" i="3"/>
  <c r="B481" i="3"/>
  <c r="B475" i="3"/>
  <c r="B462" i="3"/>
  <c r="B456" i="3"/>
  <c r="B450" i="3"/>
  <c r="B437" i="3"/>
  <c r="B424" i="3"/>
  <c r="B415" i="3"/>
  <c r="B408" i="3"/>
  <c r="B400" i="3"/>
  <c r="B384" i="3"/>
  <c r="B342" i="3"/>
  <c r="B324" i="3"/>
  <c r="B281" i="3"/>
  <c r="B120" i="3"/>
  <c r="B651" i="3"/>
  <c r="B640" i="3"/>
  <c r="B634" i="3"/>
  <c r="B623" i="3"/>
  <c r="B612" i="3"/>
  <c r="B601" i="3"/>
  <c r="B590" i="3"/>
  <c r="B584" i="3"/>
  <c r="B573" i="3"/>
  <c r="B549" i="3"/>
  <c r="B524" i="3"/>
  <c r="B499" i="3"/>
  <c r="B474" i="3"/>
  <c r="B449" i="3"/>
  <c r="B430" i="3"/>
  <c r="B423" i="3"/>
  <c r="B407" i="3"/>
  <c r="B391" i="3"/>
  <c r="B375" i="3"/>
  <c r="B367" i="3"/>
  <c r="B359" i="3"/>
  <c r="B341" i="3"/>
  <c r="B323" i="3"/>
  <c r="B292" i="3"/>
  <c r="B280" i="3"/>
  <c r="B252" i="3"/>
  <c r="B239" i="3"/>
  <c r="B224" i="3"/>
  <c r="B170" i="3"/>
  <c r="B228" i="3"/>
  <c r="B222" i="3"/>
  <c r="B211" i="3"/>
  <c r="B200" i="3"/>
  <c r="B189" i="3"/>
  <c r="B178" i="3"/>
  <c r="B172" i="3"/>
  <c r="B161" i="3"/>
  <c r="B150" i="3"/>
  <c r="B139" i="3"/>
  <c r="B128" i="3"/>
  <c r="B122" i="3"/>
  <c r="B111" i="3"/>
  <c r="B100" i="3"/>
  <c r="B89" i="3"/>
  <c r="B78" i="3"/>
  <c r="B72" i="3"/>
  <c r="B61" i="3"/>
  <c r="B50" i="3"/>
  <c r="B44" i="3"/>
  <c r="B38" i="3"/>
  <c r="B31" i="3"/>
  <c r="B25" i="3"/>
  <c r="B19" i="3"/>
  <c r="B563" i="3"/>
  <c r="B558" i="3"/>
  <c r="B553" i="3"/>
  <c r="B548" i="3"/>
  <c r="B543" i="3"/>
  <c r="B538" i="3"/>
  <c r="B533" i="3"/>
  <c r="B528" i="3"/>
  <c r="B523" i="3"/>
  <c r="B518" i="3"/>
  <c r="B513" i="3"/>
  <c r="B508" i="3"/>
  <c r="B503" i="3"/>
  <c r="B498" i="3"/>
  <c r="B493" i="3"/>
  <c r="B488" i="3"/>
  <c r="B483" i="3"/>
  <c r="B478" i="3"/>
  <c r="B473" i="3"/>
  <c r="B468" i="3"/>
  <c r="B463" i="3"/>
  <c r="B458" i="3"/>
  <c r="B453" i="3"/>
  <c r="B448" i="3"/>
  <c r="B443" i="3"/>
  <c r="B438" i="3"/>
  <c r="B433" i="3"/>
  <c r="B427" i="3"/>
  <c r="B416" i="3"/>
  <c r="B405" i="3"/>
  <c r="B394" i="3"/>
  <c r="B383" i="3"/>
  <c r="B377" i="3"/>
  <c r="B366" i="3"/>
  <c r="B355" i="3"/>
  <c r="B344" i="3"/>
  <c r="B333" i="3"/>
  <c r="B327" i="3"/>
  <c r="B316" i="3"/>
  <c r="B305" i="3"/>
  <c r="B294" i="3"/>
  <c r="B283" i="3"/>
  <c r="B277" i="3"/>
  <c r="B266" i="3"/>
  <c r="B255" i="3"/>
  <c r="B244" i="3"/>
  <c r="B233" i="3"/>
  <c r="B227" i="3"/>
  <c r="B216" i="3"/>
  <c r="B205" i="3"/>
  <c r="B194" i="3"/>
  <c r="B183" i="3"/>
  <c r="B177" i="3"/>
  <c r="B166" i="3"/>
  <c r="B155" i="3"/>
  <c r="B144" i="3"/>
  <c r="B133" i="3"/>
  <c r="B127" i="3"/>
  <c r="B116" i="3"/>
  <c r="B105" i="3"/>
  <c r="B94" i="3"/>
  <c r="B83" i="3"/>
  <c r="B77" i="3"/>
  <c r="B66" i="3"/>
  <c r="B55" i="3"/>
  <c r="B421" i="3"/>
  <c r="B410" i="3"/>
  <c r="B399" i="3"/>
  <c r="B388" i="3"/>
  <c r="B382" i="3"/>
  <c r="B371" i="3"/>
  <c r="B360" i="3"/>
  <c r="B349" i="3"/>
  <c r="B338" i="3"/>
  <c r="B332" i="3"/>
  <c r="B321" i="3"/>
  <c r="B310" i="3"/>
  <c r="B299" i="3"/>
  <c r="B288" i="3"/>
  <c r="B282" i="3"/>
  <c r="B271" i="3"/>
  <c r="B260" i="3"/>
  <c r="B249" i="3"/>
  <c r="B238" i="3"/>
  <c r="B232" i="3"/>
  <c r="B221" i="3"/>
  <c r="B210" i="3"/>
  <c r="B199" i="3"/>
  <c r="B188" i="3"/>
  <c r="B182" i="3"/>
  <c r="B171" i="3"/>
  <c r="B160" i="3"/>
  <c r="B149" i="3"/>
  <c r="B138" i="3"/>
  <c r="B132" i="3"/>
  <c r="B121" i="3"/>
  <c r="B110" i="3"/>
  <c r="B99" i="3"/>
  <c r="B88" i="3"/>
  <c r="B82" i="3"/>
  <c r="B71" i="3"/>
  <c r="B60" i="3"/>
  <c r="B49" i="3"/>
  <c r="B43" i="3"/>
  <c r="B36" i="3"/>
  <c r="B30" i="3"/>
  <c r="B24" i="3"/>
  <c r="B18" i="3"/>
  <c r="B304" i="3"/>
  <c r="B293" i="3"/>
  <c r="B287" i="3"/>
  <c r="B276" i="3"/>
  <c r="B265" i="3"/>
  <c r="B254" i="3"/>
  <c r="B243" i="3"/>
  <c r="B237" i="3"/>
  <c r="B226" i="3"/>
  <c r="B215" i="3"/>
  <c r="B204" i="3"/>
  <c r="B193" i="3"/>
  <c r="B187" i="3"/>
  <c r="B176" i="3"/>
  <c r="B165" i="3"/>
  <c r="B154" i="3"/>
  <c r="B143" i="3"/>
  <c r="B137" i="3"/>
  <c r="B126" i="3"/>
  <c r="B115" i="3"/>
  <c r="B104" i="3"/>
  <c r="B93" i="3"/>
  <c r="B87" i="3"/>
  <c r="B76" i="3"/>
  <c r="B65" i="3"/>
  <c r="B54" i="3"/>
  <c r="B109" i="3"/>
  <c r="B98" i="3"/>
  <c r="B92" i="3"/>
  <c r="B81" i="3"/>
  <c r="B70" i="3"/>
  <c r="B59" i="3"/>
  <c r="B48" i="3"/>
  <c r="B41" i="3"/>
  <c r="B35" i="3"/>
  <c r="B29" i="3"/>
  <c r="B23" i="3"/>
  <c r="B353" i="3"/>
  <c r="B347" i="3"/>
  <c r="B336" i="3"/>
  <c r="B325" i="3"/>
  <c r="B314" i="3"/>
  <c r="B303" i="3"/>
  <c r="B297" i="3"/>
  <c r="B286" i="3"/>
  <c r="B275" i="3"/>
  <c r="B264" i="3"/>
  <c r="B253" i="3"/>
  <c r="B247" i="3"/>
  <c r="B236" i="3"/>
  <c r="B225" i="3"/>
  <c r="B214" i="3"/>
  <c r="B203" i="3"/>
  <c r="B197" i="3"/>
  <c r="B186" i="3"/>
  <c r="B175" i="3"/>
  <c r="B164" i="3"/>
  <c r="B153" i="3"/>
  <c r="B147" i="3"/>
  <c r="B136" i="3"/>
  <c r="B125" i="3"/>
  <c r="B114" i="3"/>
  <c r="B103" i="3"/>
  <c r="B97" i="3"/>
  <c r="B86" i="3"/>
  <c r="B75" i="3"/>
  <c r="B64" i="3"/>
  <c r="B53" i="3"/>
  <c r="B15" i="3"/>
  <c r="B208" i="3"/>
  <c r="B202" i="3"/>
  <c r="B191" i="3"/>
  <c r="B180" i="3"/>
  <c r="B169" i="3"/>
  <c r="B158" i="3"/>
  <c r="B152" i="3"/>
  <c r="B141" i="3"/>
  <c r="B130" i="3"/>
  <c r="B119" i="3"/>
  <c r="B108" i="3"/>
  <c r="B102" i="3"/>
  <c r="B91" i="3"/>
  <c r="B80" i="3"/>
  <c r="B69" i="3"/>
  <c r="B58" i="3"/>
  <c r="B52" i="3"/>
  <c r="B46" i="3"/>
  <c r="B40" i="3"/>
  <c r="B34" i="3"/>
  <c r="B28" i="3"/>
  <c r="B21" i="3"/>
  <c r="B174" i="3"/>
  <c r="B163" i="3"/>
  <c r="B157" i="3"/>
  <c r="B146" i="3"/>
  <c r="B135" i="3"/>
  <c r="B124" i="3"/>
  <c r="B113" i="3"/>
  <c r="B107" i="3"/>
  <c r="B96" i="3"/>
  <c r="B85" i="3"/>
  <c r="B74" i="3"/>
  <c r="B63" i="3"/>
  <c r="B57" i="3"/>
  <c r="B14" i="3"/>
  <c r="B429" i="3"/>
  <c r="B418" i="3"/>
  <c r="B412" i="3"/>
  <c r="B401" i="3"/>
  <c r="B390" i="3"/>
  <c r="B379" i="3"/>
  <c r="B368" i="3"/>
  <c r="B362" i="3"/>
  <c r="B351" i="3"/>
  <c r="B340" i="3"/>
  <c r="B329" i="3"/>
  <c r="B318" i="3"/>
  <c r="B312" i="3"/>
  <c r="B301" i="3"/>
  <c r="B290" i="3"/>
  <c r="B279" i="3"/>
  <c r="B268" i="3"/>
  <c r="B262" i="3"/>
  <c r="B251" i="3"/>
  <c r="B240" i="3"/>
  <c r="B229" i="3"/>
  <c r="B218" i="3"/>
  <c r="B212" i="3"/>
  <c r="B201" i="3"/>
  <c r="B190" i="3"/>
  <c r="B179" i="3"/>
  <c r="B168" i="3"/>
  <c r="B162" i="3"/>
  <c r="B151" i="3"/>
  <c r="B140" i="3"/>
  <c r="B129" i="3"/>
  <c r="B118" i="3"/>
  <c r="B112" i="3"/>
  <c r="B101" i="3"/>
  <c r="B90" i="3"/>
  <c r="B79" i="3"/>
  <c r="B68" i="3"/>
  <c r="B62" i="3"/>
  <c r="B51" i="3"/>
  <c r="B45" i="3"/>
  <c r="B39" i="3"/>
  <c r="B33" i="3"/>
  <c r="B26" i="3"/>
  <c r="B20" i="3"/>
  <c r="B284" i="3"/>
  <c r="B273" i="3"/>
  <c r="B267" i="3"/>
  <c r="B256" i="3"/>
  <c r="B245" i="3"/>
  <c r="B234" i="3"/>
  <c r="B223" i="3"/>
  <c r="B217" i="3"/>
  <c r="B206" i="3"/>
  <c r="B195" i="3"/>
  <c r="B184" i="3"/>
  <c r="B173" i="3"/>
  <c r="B167" i="3"/>
  <c r="B156" i="3"/>
  <c r="B145" i="3"/>
  <c r="B134" i="3"/>
  <c r="B123" i="3"/>
  <c r="B117" i="3"/>
  <c r="B106" i="3"/>
  <c r="B95" i="3"/>
  <c r="B84" i="3"/>
  <c r="B73" i="3"/>
  <c r="B67" i="3"/>
  <c r="B56" i="3"/>
  <c r="B13" i="3"/>
  <c r="B16" i="3"/>
  <c r="B47" i="3"/>
  <c r="B42" i="3"/>
  <c r="B37" i="3"/>
  <c r="B32" i="3"/>
  <c r="B27" i="3"/>
  <c r="B22" i="3"/>
  <c r="B17" i="3"/>
  <c r="B12" i="3"/>
  <c r="B11" i="3"/>
  <c r="L1365" i="2"/>
  <c r="L11" i="2"/>
  <c r="B11" i="1"/>
  <c r="A12" i="1"/>
  <c r="C11" i="1"/>
  <c r="E5" i="4"/>
  <c r="C12" i="2" a="1"/>
  <c r="D12" i="2" a="1"/>
  <c r="E12" i="2" a="1"/>
  <c r="F12" i="2" a="1"/>
  <c r="G12" i="2" a="1"/>
  <c r="H12" i="2" a="1"/>
  <c r="I12" i="2" a="1"/>
  <c r="J12" i="2" a="1"/>
  <c r="L12" i="2" a="1"/>
  <c r="K14" i="2" a="1"/>
  <c r="K12" i="2" a="1"/>
  <c r="L13" i="2" a="1"/>
  <c r="J13" i="2" a="1"/>
  <c r="J11" i="2" a="1"/>
  <c r="I13" i="2" a="1"/>
  <c r="I11" i="2" a="1"/>
  <c r="H13" i="2" a="1"/>
  <c r="H11" i="2" a="1"/>
  <c r="G13" i="2" a="1"/>
  <c r="G11" i="2" a="1"/>
  <c r="F13" i="2" a="1"/>
  <c r="F11" i="2" a="1"/>
  <c r="E13" i="2" a="1"/>
  <c r="E11" i="2" a="1"/>
  <c r="D13" i="2" a="1"/>
  <c r="D11" i="2" a="1"/>
  <c r="C13" i="2" a="1"/>
  <c r="C11" i="2" a="1"/>
  <c r="B12" i="2" a="1"/>
  <c r="B11" i="2" a="1"/>
  <c r="D12" i="1"/>
  <c r="C12" i="1" a="1"/>
  <c r="B12" i="1" a="1"/>
  <c r="D3" i="4" l="1"/>
  <c r="K12" i="2"/>
  <c r="K14" i="2"/>
  <c r="L12" i="2"/>
  <c r="J12" i="2"/>
  <c r="I12" i="2"/>
  <c r="H12" i="2"/>
  <c r="G12" i="2"/>
  <c r="F12" i="2"/>
  <c r="E12" i="2"/>
  <c r="D12" i="2"/>
  <c r="C12" i="2"/>
  <c r="L13" i="2"/>
  <c r="J13" i="2"/>
  <c r="J11" i="2"/>
  <c r="I13" i="2"/>
  <c r="I11" i="2"/>
  <c r="H13" i="2"/>
  <c r="H11" i="2"/>
  <c r="G13" i="2"/>
  <c r="G11" i="2"/>
  <c r="F13" i="2"/>
  <c r="F11" i="2"/>
  <c r="E13" i="2"/>
  <c r="E11" i="2"/>
  <c r="D13" i="2"/>
  <c r="D11" i="2"/>
  <c r="C13" i="2"/>
  <c r="C11" i="2"/>
  <c r="B12" i="2"/>
  <c r="A14" i="2"/>
  <c r="B11" i="2"/>
  <c r="B12" i="1"/>
  <c r="C12" i="1"/>
  <c r="A13" i="1"/>
  <c r="E6" i="4"/>
  <c r="K13" i="2" a="1"/>
  <c r="K15" i="2" a="1"/>
  <c r="L14" i="2" a="1"/>
  <c r="J14" i="2" a="1"/>
  <c r="I14" i="2" a="1"/>
  <c r="H14" i="2" a="1"/>
  <c r="G14" i="2" a="1"/>
  <c r="F14" i="2" a="1"/>
  <c r="E14" i="2" a="1"/>
  <c r="D14" i="2" a="1"/>
  <c r="C14" i="2" a="1"/>
  <c r="B13" i="2" a="1"/>
  <c r="D13" i="1"/>
  <c r="C13" i="1" a="1"/>
  <c r="B13" i="1" a="1"/>
  <c r="D4" i="4" l="1"/>
  <c r="K15" i="2"/>
  <c r="K13" i="2"/>
  <c r="L14" i="2"/>
  <c r="J14" i="2"/>
  <c r="I14" i="2"/>
  <c r="H14" i="2"/>
  <c r="G14" i="2"/>
  <c r="F14" i="2"/>
  <c r="E14" i="2"/>
  <c r="D14" i="2"/>
  <c r="C14" i="2"/>
  <c r="B13" i="2"/>
  <c r="A15" i="2"/>
  <c r="B13" i="1"/>
  <c r="C13" i="1"/>
  <c r="A14" i="1"/>
  <c r="E7" i="4"/>
  <c r="K16" i="2" a="1"/>
  <c r="L15" i="2" a="1"/>
  <c r="J15" i="2" a="1"/>
  <c r="I15" i="2" a="1"/>
  <c r="H15" i="2" a="1"/>
  <c r="G15" i="2" a="1"/>
  <c r="F15" i="2" a="1"/>
  <c r="E15" i="2" a="1"/>
  <c r="D15" i="2" a="1"/>
  <c r="C15" i="2" a="1"/>
  <c r="B14" i="2" a="1"/>
  <c r="D14" i="1"/>
  <c r="C14" i="1" a="1"/>
  <c r="B14" i="1" a="1"/>
  <c r="D5" i="4" l="1"/>
  <c r="K16" i="2"/>
  <c r="L15" i="2"/>
  <c r="J15" i="2"/>
  <c r="I15" i="2"/>
  <c r="H15" i="2"/>
  <c r="G15" i="2"/>
  <c r="F15" i="2"/>
  <c r="E15" i="2"/>
  <c r="D15" i="2"/>
  <c r="C15" i="2"/>
  <c r="B14" i="2"/>
  <c r="A16" i="2"/>
  <c r="B14" i="1"/>
  <c r="C14" i="1"/>
  <c r="A15" i="1"/>
  <c r="E8" i="4"/>
  <c r="K17" i="2" a="1"/>
  <c r="L16" i="2" a="1"/>
  <c r="J16" i="2" a="1"/>
  <c r="I16" i="2" a="1"/>
  <c r="H16" i="2" a="1"/>
  <c r="G16" i="2" a="1"/>
  <c r="F16" i="2" a="1"/>
  <c r="E16" i="2" a="1"/>
  <c r="D16" i="2" a="1"/>
  <c r="C16" i="2" a="1"/>
  <c r="B15" i="2" a="1"/>
  <c r="D15" i="1"/>
  <c r="B15" i="1" a="1"/>
  <c r="C15" i="1" a="1"/>
  <c r="D6" i="4" l="1"/>
  <c r="K17" i="2"/>
  <c r="L16" i="2"/>
  <c r="J16" i="2"/>
  <c r="I16" i="2"/>
  <c r="H16" i="2"/>
  <c r="G16" i="2"/>
  <c r="F16" i="2"/>
  <c r="E16" i="2"/>
  <c r="D16" i="2"/>
  <c r="C16" i="2"/>
  <c r="B15" i="2"/>
  <c r="A17" i="2"/>
  <c r="C15" i="1"/>
  <c r="B15" i="1"/>
  <c r="A16" i="1"/>
  <c r="E9" i="4"/>
  <c r="K18" i="2" a="1"/>
  <c r="L17" i="2" a="1"/>
  <c r="J17" i="2" a="1"/>
  <c r="I17" i="2" a="1"/>
  <c r="H17" i="2" a="1"/>
  <c r="G17" i="2" a="1"/>
  <c r="F17" i="2" a="1"/>
  <c r="E17" i="2" a="1"/>
  <c r="D17" i="2" a="1"/>
  <c r="C17" i="2" a="1"/>
  <c r="B16" i="2" a="1"/>
  <c r="D16" i="1"/>
  <c r="C16" i="1" a="1"/>
  <c r="B16" i="1" a="1"/>
  <c r="D7" i="4" l="1"/>
  <c r="K18" i="2"/>
  <c r="L17" i="2"/>
  <c r="J17" i="2"/>
  <c r="I17" i="2"/>
  <c r="H17" i="2"/>
  <c r="G17" i="2"/>
  <c r="F17" i="2"/>
  <c r="E17" i="2"/>
  <c r="D17" i="2"/>
  <c r="C17" i="2"/>
  <c r="B16" i="2"/>
  <c r="A18" i="2"/>
  <c r="B16" i="1"/>
  <c r="C16" i="1"/>
  <c r="A17" i="1"/>
  <c r="E10" i="4"/>
  <c r="K19" i="2" a="1"/>
  <c r="L18" i="2" a="1"/>
  <c r="J18" i="2" a="1"/>
  <c r="I18" i="2" a="1"/>
  <c r="H18" i="2" a="1"/>
  <c r="G18" i="2" a="1"/>
  <c r="F18" i="2" a="1"/>
  <c r="E18" i="2" a="1"/>
  <c r="D18" i="2" a="1"/>
  <c r="C18" i="2" a="1"/>
  <c r="B17" i="2" a="1"/>
  <c r="D17" i="1"/>
  <c r="C17" i="1" a="1"/>
  <c r="B17" i="1" a="1"/>
  <c r="D8" i="4" l="1"/>
  <c r="K19" i="2"/>
  <c r="L18" i="2"/>
  <c r="J18" i="2"/>
  <c r="I18" i="2"/>
  <c r="H18" i="2"/>
  <c r="G18" i="2"/>
  <c r="F18" i="2"/>
  <c r="E18" i="2"/>
  <c r="D18" i="2"/>
  <c r="C18" i="2"/>
  <c r="B17" i="2"/>
  <c r="A19" i="2"/>
  <c r="B17" i="1"/>
  <c r="C17" i="1"/>
  <c r="A18" i="1"/>
  <c r="E11" i="4"/>
  <c r="K20" i="2" a="1"/>
  <c r="L19" i="2" a="1"/>
  <c r="J19" i="2" a="1"/>
  <c r="I19" i="2" a="1"/>
  <c r="H19" i="2" a="1"/>
  <c r="G19" i="2" a="1"/>
  <c r="F19" i="2" a="1"/>
  <c r="E19" i="2" a="1"/>
  <c r="D19" i="2" a="1"/>
  <c r="C19" i="2" a="1"/>
  <c r="B18" i="2" a="1"/>
  <c r="D18" i="1"/>
  <c r="C18" i="1" a="1"/>
  <c r="B18" i="1" a="1"/>
  <c r="D9" i="4" l="1"/>
  <c r="K20" i="2"/>
  <c r="L19" i="2"/>
  <c r="J19" i="2"/>
  <c r="I19" i="2"/>
  <c r="H19" i="2"/>
  <c r="G19" i="2"/>
  <c r="F19" i="2"/>
  <c r="E19" i="2"/>
  <c r="D19" i="2"/>
  <c r="C19" i="2"/>
  <c r="B18" i="2"/>
  <c r="A20" i="2"/>
  <c r="B18" i="1"/>
  <c r="C18" i="1"/>
  <c r="A19" i="1"/>
  <c r="E12" i="4"/>
  <c r="K21" i="2" a="1"/>
  <c r="L20" i="2" a="1"/>
  <c r="J20" i="2" a="1"/>
  <c r="I20" i="2" a="1"/>
  <c r="H20" i="2" a="1"/>
  <c r="G20" i="2" a="1"/>
  <c r="F20" i="2" a="1"/>
  <c r="E20" i="2" a="1"/>
  <c r="D20" i="2" a="1"/>
  <c r="C20" i="2" a="1"/>
  <c r="B19" i="2" a="1"/>
  <c r="D19" i="1"/>
  <c r="C19" i="1" a="1"/>
  <c r="B19" i="1" a="1"/>
  <c r="D10" i="4" l="1"/>
  <c r="K21" i="2"/>
  <c r="L20" i="2"/>
  <c r="J20" i="2"/>
  <c r="I20" i="2"/>
  <c r="H20" i="2"/>
  <c r="G20" i="2"/>
  <c r="F20" i="2"/>
  <c r="E20" i="2"/>
  <c r="D20" i="2"/>
  <c r="C20" i="2"/>
  <c r="B19" i="2"/>
  <c r="A21" i="2"/>
  <c r="B19" i="1"/>
  <c r="C19" i="1"/>
  <c r="A20" i="1"/>
  <c r="E13" i="4"/>
  <c r="K22" i="2" a="1"/>
  <c r="L21" i="2" a="1"/>
  <c r="J21" i="2" a="1"/>
  <c r="I21" i="2" a="1"/>
  <c r="H21" i="2" a="1"/>
  <c r="G21" i="2" a="1"/>
  <c r="F21" i="2" a="1"/>
  <c r="E21" i="2" a="1"/>
  <c r="D21" i="2" a="1"/>
  <c r="C21" i="2" a="1"/>
  <c r="B20" i="2" a="1"/>
  <c r="D20" i="1"/>
  <c r="B20" i="1" a="1"/>
  <c r="C20" i="1" a="1"/>
  <c r="D11" i="4" l="1"/>
  <c r="K22" i="2"/>
  <c r="L21" i="2"/>
  <c r="J21" i="2"/>
  <c r="I21" i="2"/>
  <c r="H21" i="2"/>
  <c r="G21" i="2"/>
  <c r="F21" i="2"/>
  <c r="E21" i="2"/>
  <c r="D21" i="2"/>
  <c r="C21" i="2"/>
  <c r="B20" i="2"/>
  <c r="A22" i="2"/>
  <c r="C20" i="1"/>
  <c r="B20" i="1"/>
  <c r="A21" i="1"/>
  <c r="E14" i="4"/>
  <c r="K23" i="2" a="1"/>
  <c r="L22" i="2" a="1"/>
  <c r="J22" i="2" a="1"/>
  <c r="I22" i="2" a="1"/>
  <c r="H22" i="2" a="1"/>
  <c r="G22" i="2" a="1"/>
  <c r="F22" i="2" a="1"/>
  <c r="E22" i="2" a="1"/>
  <c r="D22" i="2" a="1"/>
  <c r="C22" i="2" a="1"/>
  <c r="B21" i="2" a="1"/>
  <c r="D21" i="1"/>
  <c r="C21" i="1" a="1"/>
  <c r="B21" i="1" a="1"/>
  <c r="D12" i="4" l="1"/>
  <c r="K23" i="2"/>
  <c r="L22" i="2"/>
  <c r="J22" i="2"/>
  <c r="I22" i="2"/>
  <c r="H22" i="2"/>
  <c r="G22" i="2"/>
  <c r="F22" i="2"/>
  <c r="E22" i="2"/>
  <c r="D22" i="2"/>
  <c r="C22" i="2"/>
  <c r="B21" i="2"/>
  <c r="A23" i="2"/>
  <c r="B21" i="1"/>
  <c r="C21" i="1"/>
  <c r="A22" i="1"/>
  <c r="E15" i="4"/>
  <c r="K24" i="2" a="1"/>
  <c r="L23" i="2" a="1"/>
  <c r="J23" i="2" a="1"/>
  <c r="I23" i="2" a="1"/>
  <c r="H23" i="2" a="1"/>
  <c r="G23" i="2" a="1"/>
  <c r="F23" i="2" a="1"/>
  <c r="E23" i="2" a="1"/>
  <c r="D23" i="2" a="1"/>
  <c r="C23" i="2" a="1"/>
  <c r="B22" i="2" a="1"/>
  <c r="C22" i="1" a="1"/>
  <c r="D22" i="1"/>
  <c r="B22" i="1" a="1"/>
  <c r="D13" i="4" l="1"/>
  <c r="K24" i="2"/>
  <c r="L23" i="2"/>
  <c r="J23" i="2"/>
  <c r="I23" i="2"/>
  <c r="H23" i="2"/>
  <c r="G23" i="2"/>
  <c r="F23" i="2"/>
  <c r="E23" i="2"/>
  <c r="D23" i="2"/>
  <c r="C23" i="2"/>
  <c r="B22" i="2"/>
  <c r="A24" i="2"/>
  <c r="B22" i="1"/>
  <c r="C22" i="1"/>
  <c r="A23" i="1"/>
  <c r="E16" i="4"/>
  <c r="K25" i="2" a="1"/>
  <c r="L24" i="2" a="1"/>
  <c r="J24" i="2" a="1"/>
  <c r="I24" i="2" a="1"/>
  <c r="H24" i="2" a="1"/>
  <c r="G24" i="2" a="1"/>
  <c r="F24" i="2" a="1"/>
  <c r="E24" i="2" a="1"/>
  <c r="D24" i="2" a="1"/>
  <c r="C24" i="2" a="1"/>
  <c r="B23" i="2" a="1"/>
  <c r="D23" i="1"/>
  <c r="C23" i="1" a="1"/>
  <c r="B23" i="1" a="1"/>
  <c r="D14" i="4" l="1"/>
  <c r="K25" i="2"/>
  <c r="L24" i="2"/>
  <c r="J24" i="2"/>
  <c r="I24" i="2"/>
  <c r="H24" i="2"/>
  <c r="G24" i="2"/>
  <c r="F24" i="2"/>
  <c r="E24" i="2"/>
  <c r="D24" i="2"/>
  <c r="C24" i="2"/>
  <c r="B23" i="2"/>
  <c r="A25" i="2"/>
  <c r="B23" i="1"/>
  <c r="C23" i="1"/>
  <c r="A24" i="1"/>
  <c r="E17" i="4"/>
  <c r="K26" i="2" a="1"/>
  <c r="L25" i="2" a="1"/>
  <c r="J25" i="2" a="1"/>
  <c r="I25" i="2" a="1"/>
  <c r="H25" i="2" a="1"/>
  <c r="G25" i="2" a="1"/>
  <c r="F25" i="2" a="1"/>
  <c r="E25" i="2" a="1"/>
  <c r="D25" i="2" a="1"/>
  <c r="C25" i="2" a="1"/>
  <c r="B24" i="2" a="1"/>
  <c r="D24" i="1"/>
  <c r="B24" i="1" a="1"/>
  <c r="C24" i="1" a="1"/>
  <c r="D15" i="4" l="1"/>
  <c r="K26" i="2"/>
  <c r="L25" i="2"/>
  <c r="J25" i="2"/>
  <c r="I25" i="2"/>
  <c r="H25" i="2"/>
  <c r="G25" i="2"/>
  <c r="F25" i="2"/>
  <c r="E25" i="2"/>
  <c r="D25" i="2"/>
  <c r="C25" i="2"/>
  <c r="B24" i="2"/>
  <c r="A26" i="2"/>
  <c r="B24" i="1"/>
  <c r="C24" i="1"/>
  <c r="A25" i="1"/>
  <c r="E18" i="4"/>
  <c r="K27" i="2" a="1"/>
  <c r="L26" i="2" a="1"/>
  <c r="J26" i="2" a="1"/>
  <c r="I26" i="2" a="1"/>
  <c r="H26" i="2" a="1"/>
  <c r="G26" i="2" a="1"/>
  <c r="F26" i="2" a="1"/>
  <c r="E26" i="2" a="1"/>
  <c r="D26" i="2" a="1"/>
  <c r="C26" i="2" a="1"/>
  <c r="B25" i="2" a="1"/>
  <c r="D25" i="1"/>
  <c r="C25" i="1" a="1"/>
  <c r="B25" i="1" a="1"/>
  <c r="D16" i="4" l="1"/>
  <c r="K27" i="2"/>
  <c r="L26" i="2"/>
  <c r="J26" i="2"/>
  <c r="I26" i="2"/>
  <c r="H26" i="2"/>
  <c r="G26" i="2"/>
  <c r="F26" i="2"/>
  <c r="E26" i="2"/>
  <c r="D26" i="2"/>
  <c r="C26" i="2"/>
  <c r="B25" i="2"/>
  <c r="A27" i="2"/>
  <c r="B25" i="1"/>
  <c r="C25" i="1"/>
  <c r="A26" i="1"/>
  <c r="E19" i="4"/>
  <c r="K28" i="2" a="1"/>
  <c r="L27" i="2" a="1"/>
  <c r="J27" i="2" a="1"/>
  <c r="I27" i="2" a="1"/>
  <c r="H27" i="2" a="1"/>
  <c r="G27" i="2" a="1"/>
  <c r="F27" i="2" a="1"/>
  <c r="E27" i="2" a="1"/>
  <c r="D27" i="2" a="1"/>
  <c r="C27" i="2" a="1"/>
  <c r="B26" i="2" a="1"/>
  <c r="D26" i="1"/>
  <c r="C26" i="1" a="1"/>
  <c r="B26" i="1" a="1"/>
  <c r="D17" i="4" l="1"/>
  <c r="K28" i="2"/>
  <c r="L27" i="2"/>
  <c r="J27" i="2"/>
  <c r="I27" i="2"/>
  <c r="H27" i="2"/>
  <c r="G27" i="2"/>
  <c r="F27" i="2"/>
  <c r="E27" i="2"/>
  <c r="D27" i="2"/>
  <c r="C27" i="2"/>
  <c r="B26" i="2"/>
  <c r="A28" i="2"/>
  <c r="B26" i="1"/>
  <c r="C26" i="1"/>
  <c r="A27" i="1"/>
  <c r="E20" i="4"/>
  <c r="K29" i="2" a="1"/>
  <c r="L28" i="2" a="1"/>
  <c r="J28" i="2" a="1"/>
  <c r="I28" i="2" a="1"/>
  <c r="H28" i="2" a="1"/>
  <c r="G28" i="2" a="1"/>
  <c r="F28" i="2" a="1"/>
  <c r="E28" i="2" a="1"/>
  <c r="D28" i="2" a="1"/>
  <c r="C28" i="2" a="1"/>
  <c r="B27" i="2" a="1"/>
  <c r="D27" i="1"/>
  <c r="B27" i="1" a="1"/>
  <c r="C27" i="1" a="1"/>
  <c r="D18" i="4" l="1"/>
  <c r="K29" i="2"/>
  <c r="L28" i="2"/>
  <c r="J28" i="2"/>
  <c r="I28" i="2"/>
  <c r="H28" i="2"/>
  <c r="G28" i="2"/>
  <c r="F28" i="2"/>
  <c r="E28" i="2"/>
  <c r="D28" i="2"/>
  <c r="C28" i="2"/>
  <c r="B27" i="2"/>
  <c r="A29" i="2"/>
  <c r="C27" i="1"/>
  <c r="B27" i="1"/>
  <c r="A28" i="1"/>
  <c r="E21" i="4"/>
  <c r="K30" i="2" a="1"/>
  <c r="L29" i="2" a="1"/>
  <c r="J29" i="2" a="1"/>
  <c r="I29" i="2" a="1"/>
  <c r="H29" i="2" a="1"/>
  <c r="G29" i="2" a="1"/>
  <c r="F29" i="2" a="1"/>
  <c r="E29" i="2" a="1"/>
  <c r="D29" i="2" a="1"/>
  <c r="C29" i="2" a="1"/>
  <c r="B28" i="2" a="1"/>
  <c r="D28" i="1"/>
  <c r="C28" i="1" a="1"/>
  <c r="B28" i="1" a="1"/>
  <c r="D19" i="4" l="1"/>
  <c r="K30" i="2"/>
  <c r="L29" i="2"/>
  <c r="J29" i="2"/>
  <c r="I29" i="2"/>
  <c r="H29" i="2"/>
  <c r="G29" i="2"/>
  <c r="F29" i="2"/>
  <c r="E29" i="2"/>
  <c r="D29" i="2"/>
  <c r="C29" i="2"/>
  <c r="B28" i="2"/>
  <c r="A30" i="2"/>
  <c r="B28" i="1"/>
  <c r="C28" i="1"/>
  <c r="A29" i="1"/>
  <c r="E22" i="4"/>
  <c r="K31" i="2" a="1"/>
  <c r="L30" i="2" a="1"/>
  <c r="J30" i="2" a="1"/>
  <c r="I30" i="2" a="1"/>
  <c r="H30" i="2" a="1"/>
  <c r="G30" i="2" a="1"/>
  <c r="F30" i="2" a="1"/>
  <c r="E30" i="2" a="1"/>
  <c r="D30" i="2" a="1"/>
  <c r="C30" i="2" a="1"/>
  <c r="B29" i="2" a="1"/>
  <c r="D29" i="1"/>
  <c r="B29" i="1" a="1"/>
  <c r="C29" i="1" a="1"/>
  <c r="D20" i="4" l="1"/>
  <c r="K31" i="2"/>
  <c r="L30" i="2"/>
  <c r="J30" i="2"/>
  <c r="I30" i="2"/>
  <c r="H30" i="2"/>
  <c r="G30" i="2"/>
  <c r="F30" i="2"/>
  <c r="E30" i="2"/>
  <c r="D30" i="2"/>
  <c r="C30" i="2"/>
  <c r="B29" i="2"/>
  <c r="A31" i="2"/>
  <c r="B29" i="1"/>
  <c r="C29" i="1"/>
  <c r="A30" i="1"/>
  <c r="E23" i="4"/>
  <c r="K32" i="2" a="1"/>
  <c r="L31" i="2" a="1"/>
  <c r="J31" i="2" a="1"/>
  <c r="I31" i="2" a="1"/>
  <c r="H31" i="2" a="1"/>
  <c r="G31" i="2" a="1"/>
  <c r="F31" i="2" a="1"/>
  <c r="E31" i="2" a="1"/>
  <c r="D31" i="2" a="1"/>
  <c r="C31" i="2" a="1"/>
  <c r="B30" i="2" a="1"/>
  <c r="D30" i="1"/>
  <c r="B30" i="1" a="1"/>
  <c r="C30" i="1" a="1"/>
  <c r="D21" i="4" l="1"/>
  <c r="K32" i="2"/>
  <c r="L31" i="2"/>
  <c r="J31" i="2"/>
  <c r="I31" i="2"/>
  <c r="H31" i="2"/>
  <c r="G31" i="2"/>
  <c r="F31" i="2"/>
  <c r="E31" i="2"/>
  <c r="D31" i="2"/>
  <c r="C31" i="2"/>
  <c r="B30" i="2"/>
  <c r="A32" i="2"/>
  <c r="B30" i="1"/>
  <c r="C30" i="1"/>
  <c r="A31" i="1"/>
  <c r="E24" i="4"/>
  <c r="K33" i="2" a="1"/>
  <c r="L32" i="2" a="1"/>
  <c r="J32" i="2" a="1"/>
  <c r="I32" i="2" a="1"/>
  <c r="H32" i="2" a="1"/>
  <c r="G32" i="2" a="1"/>
  <c r="F32" i="2" a="1"/>
  <c r="E32" i="2" a="1"/>
  <c r="D32" i="2" a="1"/>
  <c r="C32" i="2" a="1"/>
  <c r="B31" i="2" a="1"/>
  <c r="D31" i="1"/>
  <c r="B31" i="1" a="1"/>
  <c r="C31" i="1" a="1"/>
  <c r="D22" i="4" l="1"/>
  <c r="K33" i="2"/>
  <c r="L32" i="2"/>
  <c r="J32" i="2"/>
  <c r="I32" i="2"/>
  <c r="H32" i="2"/>
  <c r="G32" i="2"/>
  <c r="F32" i="2"/>
  <c r="E32" i="2"/>
  <c r="D32" i="2"/>
  <c r="C32" i="2"/>
  <c r="B31" i="2"/>
  <c r="A33" i="2"/>
  <c r="B31" i="1"/>
  <c r="C31" i="1"/>
  <c r="A32" i="1"/>
  <c r="E25" i="4"/>
  <c r="K34" i="2" a="1"/>
  <c r="L33" i="2" a="1"/>
  <c r="J33" i="2" a="1"/>
  <c r="I33" i="2" a="1"/>
  <c r="H33" i="2" a="1"/>
  <c r="G33" i="2" a="1"/>
  <c r="F33" i="2" a="1"/>
  <c r="E33" i="2" a="1"/>
  <c r="D33" i="2" a="1"/>
  <c r="C33" i="2" a="1"/>
  <c r="B32" i="2" a="1"/>
  <c r="D32" i="1"/>
  <c r="C32" i="1" a="1"/>
  <c r="B32" i="1" a="1"/>
  <c r="D23" i="4" l="1"/>
  <c r="K34" i="2"/>
  <c r="L33" i="2"/>
  <c r="J33" i="2"/>
  <c r="I33" i="2"/>
  <c r="H33" i="2"/>
  <c r="G33" i="2"/>
  <c r="F33" i="2"/>
  <c r="E33" i="2"/>
  <c r="D33" i="2"/>
  <c r="C33" i="2"/>
  <c r="B32" i="2"/>
  <c r="A34" i="2"/>
  <c r="B32" i="1"/>
  <c r="C32" i="1"/>
  <c r="A33" i="1"/>
  <c r="E26" i="4"/>
  <c r="K35" i="2" a="1"/>
  <c r="L34" i="2" a="1"/>
  <c r="J34" i="2" a="1"/>
  <c r="I34" i="2" a="1"/>
  <c r="H34" i="2" a="1"/>
  <c r="G34" i="2" a="1"/>
  <c r="F34" i="2" a="1"/>
  <c r="E34" i="2" a="1"/>
  <c r="D34" i="2" a="1"/>
  <c r="C34" i="2" a="1"/>
  <c r="B33" i="2" a="1"/>
  <c r="D33" i="1"/>
  <c r="B33" i="1" a="1"/>
  <c r="C33" i="1" a="1"/>
  <c r="D24" i="4" l="1"/>
  <c r="K35" i="2"/>
  <c r="L34" i="2"/>
  <c r="J34" i="2"/>
  <c r="I34" i="2"/>
  <c r="H34" i="2"/>
  <c r="G34" i="2"/>
  <c r="F34" i="2"/>
  <c r="E34" i="2"/>
  <c r="D34" i="2"/>
  <c r="C34" i="2"/>
  <c r="B33" i="2"/>
  <c r="A35" i="2"/>
  <c r="C33" i="1"/>
  <c r="B33" i="1"/>
  <c r="A34" i="1"/>
  <c r="E27" i="4"/>
  <c r="K36" i="2" a="1"/>
  <c r="L35" i="2" a="1"/>
  <c r="J35" i="2" a="1"/>
  <c r="I35" i="2" a="1"/>
  <c r="H35" i="2" a="1"/>
  <c r="G35" i="2" a="1"/>
  <c r="F35" i="2" a="1"/>
  <c r="E35" i="2" a="1"/>
  <c r="D35" i="2" a="1"/>
  <c r="C35" i="2" a="1"/>
  <c r="B34" i="2" a="1"/>
  <c r="D34" i="1"/>
  <c r="C34" i="1" a="1"/>
  <c r="B34" i="1" a="1"/>
  <c r="D25" i="4" l="1"/>
  <c r="K36" i="2"/>
  <c r="L35" i="2"/>
  <c r="J35" i="2"/>
  <c r="I35" i="2"/>
  <c r="H35" i="2"/>
  <c r="G35" i="2"/>
  <c r="F35" i="2"/>
  <c r="E35" i="2"/>
  <c r="D35" i="2"/>
  <c r="C35" i="2"/>
  <c r="B34" i="2"/>
  <c r="A36" i="2"/>
  <c r="B34" i="1"/>
  <c r="C34" i="1"/>
  <c r="A35" i="1"/>
  <c r="E28" i="4"/>
  <c r="K37" i="2" a="1"/>
  <c r="L36" i="2" a="1"/>
  <c r="J36" i="2" a="1"/>
  <c r="I36" i="2" a="1"/>
  <c r="H36" i="2" a="1"/>
  <c r="G36" i="2" a="1"/>
  <c r="F36" i="2" a="1"/>
  <c r="E36" i="2" a="1"/>
  <c r="D36" i="2" a="1"/>
  <c r="C36" i="2" a="1"/>
  <c r="B35" i="2" a="1"/>
  <c r="D35" i="1"/>
  <c r="B35" i="1" a="1"/>
  <c r="C35" i="1" a="1"/>
  <c r="D26" i="4" l="1"/>
  <c r="K37" i="2"/>
  <c r="L36" i="2"/>
  <c r="J36" i="2"/>
  <c r="I36" i="2"/>
  <c r="H36" i="2"/>
  <c r="G36" i="2"/>
  <c r="F36" i="2"/>
  <c r="E36" i="2"/>
  <c r="D36" i="2"/>
  <c r="C36" i="2"/>
  <c r="B35" i="2"/>
  <c r="A37" i="2"/>
  <c r="B35" i="1"/>
  <c r="C35" i="1"/>
  <c r="A36" i="1"/>
  <c r="E29" i="4"/>
  <c r="K38" i="2" a="1"/>
  <c r="L37" i="2" a="1"/>
  <c r="J37" i="2" a="1"/>
  <c r="I37" i="2" a="1"/>
  <c r="H37" i="2" a="1"/>
  <c r="G37" i="2" a="1"/>
  <c r="F37" i="2" a="1"/>
  <c r="E37" i="2" a="1"/>
  <c r="D37" i="2" a="1"/>
  <c r="C37" i="2" a="1"/>
  <c r="B36" i="2" a="1"/>
  <c r="B36" i="1" a="1"/>
  <c r="D36" i="1"/>
  <c r="C36" i="1" a="1"/>
  <c r="D27" i="4" l="1"/>
  <c r="K38" i="2"/>
  <c r="L37" i="2"/>
  <c r="J37" i="2"/>
  <c r="I37" i="2"/>
  <c r="H37" i="2"/>
  <c r="G37" i="2"/>
  <c r="F37" i="2"/>
  <c r="E37" i="2"/>
  <c r="D37" i="2"/>
  <c r="C37" i="2"/>
  <c r="B36" i="2"/>
  <c r="A38" i="2"/>
  <c r="B36" i="1"/>
  <c r="C36" i="1"/>
  <c r="A37" i="1"/>
  <c r="E30" i="4"/>
  <c r="K39" i="2" a="1"/>
  <c r="L38" i="2" a="1"/>
  <c r="J38" i="2" a="1"/>
  <c r="I38" i="2" a="1"/>
  <c r="H38" i="2" a="1"/>
  <c r="G38" i="2" a="1"/>
  <c r="F38" i="2" a="1"/>
  <c r="E38" i="2" a="1"/>
  <c r="D38" i="2" a="1"/>
  <c r="C38" i="2" a="1"/>
  <c r="B37" i="2" a="1"/>
  <c r="D37" i="1"/>
  <c r="C37" i="1" a="1"/>
  <c r="B37" i="1" a="1"/>
  <c r="D28" i="4" l="1"/>
  <c r="K39" i="2"/>
  <c r="L38" i="2"/>
  <c r="J38" i="2"/>
  <c r="I38" i="2"/>
  <c r="H38" i="2"/>
  <c r="G38" i="2"/>
  <c r="F38" i="2"/>
  <c r="E38" i="2"/>
  <c r="D38" i="2"/>
  <c r="C38" i="2"/>
  <c r="B37" i="2"/>
  <c r="A39" i="2"/>
  <c r="B37" i="1"/>
  <c r="C37" i="1"/>
  <c r="A38" i="1"/>
  <c r="E31" i="4"/>
  <c r="K40" i="2" a="1"/>
  <c r="L39" i="2" a="1"/>
  <c r="J39" i="2" a="1"/>
  <c r="I39" i="2" a="1"/>
  <c r="H39" i="2" a="1"/>
  <c r="G39" i="2" a="1"/>
  <c r="F39" i="2" a="1"/>
  <c r="E39" i="2" a="1"/>
  <c r="D39" i="2" a="1"/>
  <c r="C39" i="2" a="1"/>
  <c r="B38" i="2" a="1"/>
  <c r="D38" i="1"/>
  <c r="C38" i="1" a="1"/>
  <c r="B38" i="1" a="1"/>
  <c r="D29" i="4" l="1"/>
  <c r="K40" i="2"/>
  <c r="L39" i="2"/>
  <c r="J39" i="2"/>
  <c r="I39" i="2"/>
  <c r="H39" i="2"/>
  <c r="G39" i="2"/>
  <c r="F39" i="2"/>
  <c r="E39" i="2"/>
  <c r="D39" i="2"/>
  <c r="C39" i="2"/>
  <c r="B38" i="2"/>
  <c r="A40" i="2"/>
  <c r="B38" i="1"/>
  <c r="C38" i="1"/>
  <c r="A39" i="1"/>
  <c r="E32" i="4"/>
  <c r="K41" i="2" a="1"/>
  <c r="L40" i="2" a="1"/>
  <c r="J40" i="2" a="1"/>
  <c r="I40" i="2" a="1"/>
  <c r="H40" i="2" a="1"/>
  <c r="G40" i="2" a="1"/>
  <c r="F40" i="2" a="1"/>
  <c r="E40" i="2" a="1"/>
  <c r="D40" i="2" a="1"/>
  <c r="C40" i="2" a="1"/>
  <c r="B39" i="2" a="1"/>
  <c r="D39" i="1"/>
  <c r="C39" i="1" a="1"/>
  <c r="B39" i="1" a="1"/>
  <c r="D30" i="4" l="1"/>
  <c r="K41" i="2"/>
  <c r="L40" i="2"/>
  <c r="J40" i="2"/>
  <c r="I40" i="2"/>
  <c r="H40" i="2"/>
  <c r="G40" i="2"/>
  <c r="F40" i="2"/>
  <c r="E40" i="2"/>
  <c r="D40" i="2"/>
  <c r="C40" i="2"/>
  <c r="B39" i="2"/>
  <c r="A41" i="2"/>
  <c r="B39" i="1"/>
  <c r="C39" i="1"/>
  <c r="A40" i="1"/>
  <c r="E33" i="4"/>
  <c r="K42" i="2" a="1"/>
  <c r="L41" i="2" a="1"/>
  <c r="J41" i="2" a="1"/>
  <c r="I41" i="2" a="1"/>
  <c r="H41" i="2" a="1"/>
  <c r="G41" i="2" a="1"/>
  <c r="F41" i="2" a="1"/>
  <c r="E41" i="2" a="1"/>
  <c r="D41" i="2" a="1"/>
  <c r="C41" i="2" a="1"/>
  <c r="B40" i="2" a="1"/>
  <c r="D40" i="1"/>
  <c r="B40" i="1" a="1"/>
  <c r="C40" i="1" a="1"/>
  <c r="D31" i="4" l="1"/>
  <c r="K42" i="2"/>
  <c r="L41" i="2"/>
  <c r="J41" i="2"/>
  <c r="I41" i="2"/>
  <c r="H41" i="2"/>
  <c r="G41" i="2"/>
  <c r="F41" i="2"/>
  <c r="E41" i="2"/>
  <c r="D41" i="2"/>
  <c r="C41" i="2"/>
  <c r="B40" i="2"/>
  <c r="A42" i="2"/>
  <c r="C40" i="1"/>
  <c r="B40" i="1"/>
  <c r="A41" i="1"/>
  <c r="E34" i="4"/>
  <c r="K43" i="2" a="1"/>
  <c r="L42" i="2" a="1"/>
  <c r="J42" i="2" a="1"/>
  <c r="I42" i="2" a="1"/>
  <c r="H42" i="2" a="1"/>
  <c r="G42" i="2" a="1"/>
  <c r="F42" i="2" a="1"/>
  <c r="E42" i="2" a="1"/>
  <c r="D42" i="2" a="1"/>
  <c r="C42" i="2" a="1"/>
  <c r="B41" i="2" a="1"/>
  <c r="C41" i="1" a="1"/>
  <c r="D41" i="1"/>
  <c r="B41" i="1" a="1"/>
  <c r="D32" i="4" l="1"/>
  <c r="D33" i="4" s="1"/>
  <c r="D34" i="4" s="1"/>
  <c r="K43" i="2"/>
  <c r="L42" i="2"/>
  <c r="J42" i="2"/>
  <c r="I42" i="2"/>
  <c r="H42" i="2"/>
  <c r="G42" i="2"/>
  <c r="F42" i="2"/>
  <c r="E42" i="2"/>
  <c r="D42" i="2"/>
  <c r="C42" i="2"/>
  <c r="B41" i="2"/>
  <c r="A43" i="2"/>
  <c r="B41" i="1"/>
  <c r="C41" i="1"/>
  <c r="A42" i="1"/>
  <c r="K44" i="2" a="1"/>
  <c r="L43" i="2" a="1"/>
  <c r="J43" i="2" a="1"/>
  <c r="I43" i="2" a="1"/>
  <c r="H43" i="2" a="1"/>
  <c r="G43" i="2" a="1"/>
  <c r="F43" i="2" a="1"/>
  <c r="E43" i="2" a="1"/>
  <c r="D43" i="2" a="1"/>
  <c r="C43" i="2" a="1"/>
  <c r="B42" i="2" a="1"/>
  <c r="D42" i="1"/>
  <c r="C42" i="1" a="1"/>
  <c r="B42" i="1" a="1"/>
  <c r="K44" i="2" l="1"/>
  <c r="L43" i="2"/>
  <c r="J43" i="2"/>
  <c r="I43" i="2"/>
  <c r="H43" i="2"/>
  <c r="G43" i="2"/>
  <c r="F43" i="2"/>
  <c r="E43" i="2"/>
  <c r="D43" i="2"/>
  <c r="C43" i="2"/>
  <c r="B42" i="2"/>
  <c r="A44" i="2"/>
  <c r="B42" i="1"/>
  <c r="C42" i="1"/>
  <c r="A43" i="1"/>
  <c r="K45" i="2" a="1"/>
  <c r="L44" i="2" a="1"/>
  <c r="J44" i="2" a="1"/>
  <c r="I44" i="2" a="1"/>
  <c r="H44" i="2" a="1"/>
  <c r="G44" i="2" a="1"/>
  <c r="F44" i="2" a="1"/>
  <c r="E44" i="2" a="1"/>
  <c r="D44" i="2" a="1"/>
  <c r="C44" i="2" a="1"/>
  <c r="B43" i="2" a="1"/>
  <c r="D43" i="1"/>
  <c r="C43" i="1" a="1"/>
  <c r="B43" i="1" a="1"/>
  <c r="K45" i="2" l="1"/>
  <c r="L44" i="2"/>
  <c r="J44" i="2"/>
  <c r="I44" i="2"/>
  <c r="H44" i="2"/>
  <c r="G44" i="2"/>
  <c r="F44" i="2"/>
  <c r="E44" i="2"/>
  <c r="D44" i="2"/>
  <c r="C44" i="2"/>
  <c r="B43" i="2"/>
  <c r="A45" i="2"/>
  <c r="B43" i="1"/>
  <c r="C43" i="1"/>
  <c r="A44" i="1"/>
  <c r="K46" i="2" a="1"/>
  <c r="L45" i="2" a="1"/>
  <c r="J45" i="2" a="1"/>
  <c r="I45" i="2" a="1"/>
  <c r="H45" i="2" a="1"/>
  <c r="G45" i="2" a="1"/>
  <c r="F45" i="2" a="1"/>
  <c r="E45" i="2" a="1"/>
  <c r="D45" i="2" a="1"/>
  <c r="C45" i="2" a="1"/>
  <c r="B44" i="2" a="1"/>
  <c r="D44" i="1"/>
  <c r="C44" i="1" a="1"/>
  <c r="B44" i="1" a="1"/>
  <c r="K46" i="2" l="1"/>
  <c r="L45" i="2"/>
  <c r="J45" i="2"/>
  <c r="I45" i="2"/>
  <c r="H45" i="2"/>
  <c r="G45" i="2"/>
  <c r="F45" i="2"/>
  <c r="E45" i="2"/>
  <c r="D45" i="2"/>
  <c r="C45" i="2"/>
  <c r="B44" i="2"/>
  <c r="A46" i="2"/>
  <c r="B44" i="1"/>
  <c r="C44" i="1"/>
  <c r="A45" i="1"/>
  <c r="K47" i="2" a="1"/>
  <c r="L46" i="2" a="1"/>
  <c r="J46" i="2" a="1"/>
  <c r="I46" i="2" a="1"/>
  <c r="H46" i="2" a="1"/>
  <c r="G46" i="2" a="1"/>
  <c r="F46" i="2" a="1"/>
  <c r="E46" i="2" a="1"/>
  <c r="D46" i="2" a="1"/>
  <c r="C46" i="2" a="1"/>
  <c r="B45" i="2" a="1"/>
  <c r="D45" i="1"/>
  <c r="B45" i="1" a="1"/>
  <c r="C45" i="1" a="1"/>
  <c r="K47" i="2" l="1"/>
  <c r="L46" i="2"/>
  <c r="J46" i="2"/>
  <c r="I46" i="2"/>
  <c r="H46" i="2"/>
  <c r="G46" i="2"/>
  <c r="F46" i="2"/>
  <c r="E46" i="2"/>
  <c r="D46" i="2"/>
  <c r="C46" i="2"/>
  <c r="B45" i="2"/>
  <c r="A47" i="2"/>
  <c r="C45" i="1"/>
  <c r="B45" i="1"/>
  <c r="A46" i="1"/>
  <c r="K48" i="2" a="1"/>
  <c r="L47" i="2" a="1"/>
  <c r="J47" i="2" a="1"/>
  <c r="I47" i="2" a="1"/>
  <c r="H47" i="2" a="1"/>
  <c r="G47" i="2" a="1"/>
  <c r="F47" i="2" a="1"/>
  <c r="E47" i="2" a="1"/>
  <c r="D47" i="2" a="1"/>
  <c r="C47" i="2" a="1"/>
  <c r="B46" i="2" a="1"/>
  <c r="D46" i="1"/>
  <c r="C46" i="1" a="1"/>
  <c r="B46" i="1" a="1"/>
  <c r="K48" i="2" l="1"/>
  <c r="L47" i="2"/>
  <c r="J47" i="2"/>
  <c r="I47" i="2"/>
  <c r="H47" i="2"/>
  <c r="G47" i="2"/>
  <c r="F47" i="2"/>
  <c r="E47" i="2"/>
  <c r="D47" i="2"/>
  <c r="C47" i="2"/>
  <c r="B46" i="2"/>
  <c r="A48" i="2"/>
  <c r="B46" i="1"/>
  <c r="C46" i="1"/>
  <c r="A47" i="1"/>
  <c r="K49" i="2" a="1"/>
  <c r="L48" i="2" a="1"/>
  <c r="J48" i="2" a="1"/>
  <c r="I48" i="2" a="1"/>
  <c r="H48" i="2" a="1"/>
  <c r="G48" i="2" a="1"/>
  <c r="F48" i="2" a="1"/>
  <c r="E48" i="2" a="1"/>
  <c r="D48" i="2" a="1"/>
  <c r="C48" i="2" a="1"/>
  <c r="B47" i="2" a="1"/>
  <c r="D47" i="1"/>
  <c r="B47" i="1" a="1"/>
  <c r="C47" i="1" a="1"/>
  <c r="K49" i="2" l="1"/>
  <c r="L48" i="2"/>
  <c r="J48" i="2"/>
  <c r="I48" i="2"/>
  <c r="H48" i="2"/>
  <c r="G48" i="2"/>
  <c r="F48" i="2"/>
  <c r="E48" i="2"/>
  <c r="D48" i="2"/>
  <c r="C48" i="2"/>
  <c r="B47" i="2"/>
  <c r="A49" i="2"/>
  <c r="C47" i="1"/>
  <c r="B47" i="1"/>
  <c r="A48" i="1"/>
  <c r="K50" i="2" a="1"/>
  <c r="L49" i="2" a="1"/>
  <c r="J49" i="2" a="1"/>
  <c r="I49" i="2" a="1"/>
  <c r="H49" i="2" a="1"/>
  <c r="G49" i="2" a="1"/>
  <c r="F49" i="2" a="1"/>
  <c r="E49" i="2" a="1"/>
  <c r="D49" i="2" a="1"/>
  <c r="C49" i="2" a="1"/>
  <c r="B48" i="2" a="1"/>
  <c r="D48" i="1"/>
  <c r="C48" i="1" a="1"/>
  <c r="B48" i="1" a="1"/>
  <c r="K50" i="2" l="1"/>
  <c r="L49" i="2"/>
  <c r="J49" i="2"/>
  <c r="I49" i="2"/>
  <c r="H49" i="2"/>
  <c r="G49" i="2"/>
  <c r="F49" i="2"/>
  <c r="E49" i="2"/>
  <c r="D49" i="2"/>
  <c r="C49" i="2"/>
  <c r="B48" i="2"/>
  <c r="A50" i="2"/>
  <c r="B48" i="1"/>
  <c r="C48" i="1"/>
  <c r="A49" i="1"/>
  <c r="K51" i="2" a="1"/>
  <c r="L50" i="2" a="1"/>
  <c r="J50" i="2" a="1"/>
  <c r="I50" i="2" a="1"/>
  <c r="H50" i="2" a="1"/>
  <c r="G50" i="2" a="1"/>
  <c r="F50" i="2" a="1"/>
  <c r="E50" i="2" a="1"/>
  <c r="D50" i="2" a="1"/>
  <c r="C50" i="2" a="1"/>
  <c r="B49" i="2" a="1"/>
  <c r="D49" i="1"/>
  <c r="C49" i="1" a="1"/>
  <c r="B49" i="1" a="1"/>
  <c r="K51" i="2" l="1"/>
  <c r="L50" i="2"/>
  <c r="J50" i="2"/>
  <c r="I50" i="2"/>
  <c r="H50" i="2"/>
  <c r="G50" i="2"/>
  <c r="F50" i="2"/>
  <c r="E50" i="2"/>
  <c r="D50" i="2"/>
  <c r="C50" i="2"/>
  <c r="B49" i="2"/>
  <c r="A51" i="2"/>
  <c r="B49" i="1"/>
  <c r="C49" i="1"/>
  <c r="A50" i="1"/>
  <c r="K52" i="2" a="1"/>
  <c r="L51" i="2" a="1"/>
  <c r="J51" i="2" a="1"/>
  <c r="I51" i="2" a="1"/>
  <c r="H51" i="2" a="1"/>
  <c r="G51" i="2" a="1"/>
  <c r="F51" i="2" a="1"/>
  <c r="E51" i="2" a="1"/>
  <c r="D51" i="2" a="1"/>
  <c r="C51" i="2" a="1"/>
  <c r="B50" i="2" a="1"/>
  <c r="D50" i="1"/>
  <c r="C50" i="1" a="1"/>
  <c r="B50" i="1" a="1"/>
  <c r="K52" i="2" l="1"/>
  <c r="L51" i="2"/>
  <c r="J51" i="2"/>
  <c r="I51" i="2"/>
  <c r="H51" i="2"/>
  <c r="G51" i="2"/>
  <c r="F51" i="2"/>
  <c r="E51" i="2"/>
  <c r="D51" i="2"/>
  <c r="C51" i="2"/>
  <c r="B50" i="2"/>
  <c r="A52" i="2"/>
  <c r="B50" i="1"/>
  <c r="C50" i="1"/>
  <c r="A51" i="1"/>
  <c r="K53" i="2" a="1"/>
  <c r="L52" i="2" a="1"/>
  <c r="J52" i="2" a="1"/>
  <c r="I52" i="2" a="1"/>
  <c r="H52" i="2" a="1"/>
  <c r="G52" i="2" a="1"/>
  <c r="F52" i="2" a="1"/>
  <c r="E52" i="2" a="1"/>
  <c r="D52" i="2" a="1"/>
  <c r="C52" i="2" a="1"/>
  <c r="B51" i="2" a="1"/>
  <c r="D51" i="1"/>
  <c r="C51" i="1" a="1"/>
  <c r="B51" i="1" a="1"/>
  <c r="K53" i="2" l="1"/>
  <c r="L52" i="2"/>
  <c r="J52" i="2"/>
  <c r="I52" i="2"/>
  <c r="H52" i="2"/>
  <c r="G52" i="2"/>
  <c r="F52" i="2"/>
  <c r="E52" i="2"/>
  <c r="D52" i="2"/>
  <c r="C52" i="2"/>
  <c r="B51" i="2"/>
  <c r="A53" i="2"/>
  <c r="B51" i="1"/>
  <c r="C51" i="1"/>
  <c r="A52" i="1"/>
  <c r="K54" i="2" a="1"/>
  <c r="L53" i="2" a="1"/>
  <c r="J53" i="2" a="1"/>
  <c r="I53" i="2" a="1"/>
  <c r="H53" i="2" a="1"/>
  <c r="G53" i="2" a="1"/>
  <c r="F53" i="2" a="1"/>
  <c r="E53" i="2" a="1"/>
  <c r="D53" i="2" a="1"/>
  <c r="C53" i="2" a="1"/>
  <c r="B52" i="2" a="1"/>
  <c r="D52" i="1"/>
  <c r="B52" i="1" a="1"/>
  <c r="C52" i="1" a="1"/>
  <c r="K54" i="2" l="1"/>
  <c r="L53" i="2"/>
  <c r="J53" i="2"/>
  <c r="I53" i="2"/>
  <c r="H53" i="2"/>
  <c r="G53" i="2"/>
  <c r="F53" i="2"/>
  <c r="E53" i="2"/>
  <c r="D53" i="2"/>
  <c r="C53" i="2"/>
  <c r="B52" i="2"/>
  <c r="A54" i="2"/>
  <c r="C52" i="1"/>
  <c r="B52" i="1"/>
  <c r="A53" i="1"/>
  <c r="K55" i="2" a="1"/>
  <c r="L54" i="2" a="1"/>
  <c r="J54" i="2" a="1"/>
  <c r="I54" i="2" a="1"/>
  <c r="H54" i="2" a="1"/>
  <c r="G54" i="2" a="1"/>
  <c r="F54" i="2" a="1"/>
  <c r="E54" i="2" a="1"/>
  <c r="D54" i="2" a="1"/>
  <c r="C54" i="2" a="1"/>
  <c r="B53" i="2" a="1"/>
  <c r="D53" i="1"/>
  <c r="C53" i="1" a="1"/>
  <c r="B53" i="1" a="1"/>
  <c r="K55" i="2" l="1"/>
  <c r="L54" i="2"/>
  <c r="J54" i="2"/>
  <c r="I54" i="2"/>
  <c r="H54" i="2"/>
  <c r="G54" i="2"/>
  <c r="F54" i="2"/>
  <c r="E54" i="2"/>
  <c r="D54" i="2"/>
  <c r="C54" i="2"/>
  <c r="B53" i="2"/>
  <c r="A55" i="2"/>
  <c r="B53" i="1"/>
  <c r="C53" i="1"/>
  <c r="A54" i="1"/>
  <c r="K56" i="2" a="1"/>
  <c r="L55" i="2" a="1"/>
  <c r="J55" i="2" a="1"/>
  <c r="I55" i="2" a="1"/>
  <c r="H55" i="2" a="1"/>
  <c r="G55" i="2" a="1"/>
  <c r="F55" i="2" a="1"/>
  <c r="E55" i="2" a="1"/>
  <c r="D55" i="2" a="1"/>
  <c r="C55" i="2" a="1"/>
  <c r="B54" i="2" a="1"/>
  <c r="D54" i="1"/>
  <c r="C54" i="1" a="1"/>
  <c r="B54" i="1" a="1"/>
  <c r="K56" i="2" l="1"/>
  <c r="L55" i="2"/>
  <c r="J55" i="2"/>
  <c r="I55" i="2"/>
  <c r="H55" i="2"/>
  <c r="G55" i="2"/>
  <c r="F55" i="2"/>
  <c r="E55" i="2"/>
  <c r="D55" i="2"/>
  <c r="C55" i="2"/>
  <c r="B54" i="2"/>
  <c r="A56" i="2"/>
  <c r="B54" i="1"/>
  <c r="C54" i="1"/>
  <c r="A55" i="1"/>
  <c r="K57" i="2" a="1"/>
  <c r="L56" i="2" a="1"/>
  <c r="J56" i="2" a="1"/>
  <c r="I56" i="2" a="1"/>
  <c r="H56" i="2" a="1"/>
  <c r="G56" i="2" a="1"/>
  <c r="F56" i="2" a="1"/>
  <c r="E56" i="2" a="1"/>
  <c r="D56" i="2" a="1"/>
  <c r="C56" i="2" a="1"/>
  <c r="B55" i="2" a="1"/>
  <c r="D55" i="1"/>
  <c r="C55" i="1" a="1"/>
  <c r="B55" i="1" a="1"/>
  <c r="K57" i="2" l="1"/>
  <c r="L56" i="2"/>
  <c r="J56" i="2"/>
  <c r="I56" i="2"/>
  <c r="H56" i="2"/>
  <c r="G56" i="2"/>
  <c r="F56" i="2"/>
  <c r="E56" i="2"/>
  <c r="D56" i="2"/>
  <c r="C56" i="2"/>
  <c r="B55" i="2"/>
  <c r="A57" i="2"/>
  <c r="B55" i="1"/>
  <c r="C55" i="1"/>
  <c r="A56" i="1"/>
  <c r="K58" i="2" a="1"/>
  <c r="L57" i="2" a="1"/>
  <c r="J57" i="2" a="1"/>
  <c r="I57" i="2" a="1"/>
  <c r="H57" i="2" a="1"/>
  <c r="G57" i="2" a="1"/>
  <c r="F57" i="2" a="1"/>
  <c r="E57" i="2" a="1"/>
  <c r="D57" i="2" a="1"/>
  <c r="C57" i="2" a="1"/>
  <c r="B56" i="2" a="1"/>
  <c r="D56" i="1"/>
  <c r="C56" i="1" a="1"/>
  <c r="B56" i="1" a="1"/>
  <c r="K58" i="2" l="1"/>
  <c r="L57" i="2"/>
  <c r="J57" i="2"/>
  <c r="I57" i="2"/>
  <c r="H57" i="2"/>
  <c r="G57" i="2"/>
  <c r="F57" i="2"/>
  <c r="E57" i="2"/>
  <c r="D57" i="2"/>
  <c r="C57" i="2"/>
  <c r="B56" i="2"/>
  <c r="A58" i="2"/>
  <c r="B56" i="1"/>
  <c r="C56" i="1"/>
  <c r="A57" i="1"/>
  <c r="K59" i="2" a="1"/>
  <c r="L58" i="2" a="1"/>
  <c r="J58" i="2" a="1"/>
  <c r="I58" i="2" a="1"/>
  <c r="H58" i="2" a="1"/>
  <c r="G58" i="2" a="1"/>
  <c r="F58" i="2" a="1"/>
  <c r="E58" i="2" a="1"/>
  <c r="D58" i="2" a="1"/>
  <c r="C58" i="2" a="1"/>
  <c r="B57" i="2" a="1"/>
  <c r="B57" i="1" a="1"/>
  <c r="D57" i="1"/>
  <c r="C57" i="1" a="1"/>
  <c r="K59" i="2" l="1"/>
  <c r="L58" i="2"/>
  <c r="J58" i="2"/>
  <c r="I58" i="2"/>
  <c r="H58" i="2"/>
  <c r="G58" i="2"/>
  <c r="F58" i="2"/>
  <c r="E58" i="2"/>
  <c r="D58" i="2"/>
  <c r="C58" i="2"/>
  <c r="B57" i="2"/>
  <c r="A59" i="2"/>
  <c r="B57" i="1"/>
  <c r="C57" i="1"/>
  <c r="A58" i="1"/>
  <c r="K60" i="2" a="1"/>
  <c r="L59" i="2" a="1"/>
  <c r="J59" i="2" a="1"/>
  <c r="I59" i="2" a="1"/>
  <c r="H59" i="2" a="1"/>
  <c r="G59" i="2" a="1"/>
  <c r="F59" i="2" a="1"/>
  <c r="E59" i="2" a="1"/>
  <c r="D59" i="2" a="1"/>
  <c r="C59" i="2" a="1"/>
  <c r="B58" i="2" a="1"/>
  <c r="D58" i="1"/>
  <c r="B58" i="1" a="1"/>
  <c r="C58" i="1" a="1"/>
  <c r="K60" i="2" l="1"/>
  <c r="L59" i="2"/>
  <c r="J59" i="2"/>
  <c r="I59" i="2"/>
  <c r="H59" i="2"/>
  <c r="G59" i="2"/>
  <c r="F59" i="2"/>
  <c r="E59" i="2"/>
  <c r="D59" i="2"/>
  <c r="C59" i="2"/>
  <c r="B58" i="2"/>
  <c r="A60" i="2"/>
  <c r="B58" i="1"/>
  <c r="C58" i="1"/>
  <c r="A59" i="1"/>
  <c r="K61" i="2" a="1"/>
  <c r="L60" i="2" a="1"/>
  <c r="J60" i="2" a="1"/>
  <c r="I60" i="2" a="1"/>
  <c r="H60" i="2" a="1"/>
  <c r="G60" i="2" a="1"/>
  <c r="F60" i="2" a="1"/>
  <c r="E60" i="2" a="1"/>
  <c r="D60" i="2" a="1"/>
  <c r="C60" i="2" a="1"/>
  <c r="B59" i="2" a="1"/>
  <c r="D59" i="1"/>
  <c r="B59" i="1" a="1"/>
  <c r="C59" i="1" a="1"/>
  <c r="K61" i="2" l="1"/>
  <c r="L60" i="2"/>
  <c r="J60" i="2"/>
  <c r="I60" i="2"/>
  <c r="H60" i="2"/>
  <c r="G60" i="2"/>
  <c r="F60" i="2"/>
  <c r="E60" i="2"/>
  <c r="D60" i="2"/>
  <c r="C60" i="2"/>
  <c r="B59" i="2"/>
  <c r="A61" i="2"/>
  <c r="B59" i="1"/>
  <c r="C59" i="1"/>
  <c r="A60" i="1"/>
  <c r="K62" i="2" a="1"/>
  <c r="L61" i="2" a="1"/>
  <c r="J61" i="2" a="1"/>
  <c r="I61" i="2" a="1"/>
  <c r="H61" i="2" a="1"/>
  <c r="G61" i="2" a="1"/>
  <c r="F61" i="2" a="1"/>
  <c r="E61" i="2" a="1"/>
  <c r="D61" i="2" a="1"/>
  <c r="C61" i="2" a="1"/>
  <c r="B60" i="2" a="1"/>
  <c r="D60" i="1"/>
  <c r="C60" i="1" a="1"/>
  <c r="B60" i="1" a="1"/>
  <c r="K62" i="2" l="1"/>
  <c r="L61" i="2"/>
  <c r="J61" i="2"/>
  <c r="I61" i="2"/>
  <c r="H61" i="2"/>
  <c r="G61" i="2"/>
  <c r="F61" i="2"/>
  <c r="E61" i="2"/>
  <c r="D61" i="2"/>
  <c r="C61" i="2"/>
  <c r="B60" i="2"/>
  <c r="A62" i="2"/>
  <c r="B60" i="1"/>
  <c r="C60" i="1"/>
  <c r="A61" i="1"/>
  <c r="K63" i="2" a="1"/>
  <c r="L62" i="2" a="1"/>
  <c r="J62" i="2" a="1"/>
  <c r="I62" i="2" a="1"/>
  <c r="H62" i="2" a="1"/>
  <c r="G62" i="2" a="1"/>
  <c r="F62" i="2" a="1"/>
  <c r="E62" i="2" a="1"/>
  <c r="D62" i="2" a="1"/>
  <c r="C62" i="2" a="1"/>
  <c r="B61" i="2" a="1"/>
  <c r="B61" i="1" a="1"/>
  <c r="D61" i="1"/>
  <c r="C61" i="1" a="1"/>
  <c r="K63" i="2" l="1"/>
  <c r="L62" i="2"/>
  <c r="J62" i="2"/>
  <c r="I62" i="2"/>
  <c r="H62" i="2"/>
  <c r="G62" i="2"/>
  <c r="F62" i="2"/>
  <c r="E62" i="2"/>
  <c r="D62" i="2"/>
  <c r="C62" i="2"/>
  <c r="B61" i="2"/>
  <c r="A63" i="2"/>
  <c r="B61" i="1"/>
  <c r="C61" i="1"/>
  <c r="A62" i="1"/>
  <c r="K64" i="2" a="1"/>
  <c r="L63" i="2" a="1"/>
  <c r="J63" i="2" a="1"/>
  <c r="I63" i="2" a="1"/>
  <c r="H63" i="2" a="1"/>
  <c r="G63" i="2" a="1"/>
  <c r="F63" i="2" a="1"/>
  <c r="E63" i="2" a="1"/>
  <c r="D63" i="2" a="1"/>
  <c r="C63" i="2" a="1"/>
  <c r="B62" i="2" a="1"/>
  <c r="D62" i="1"/>
  <c r="C62" i="1" a="1"/>
  <c r="B62" i="1" a="1"/>
  <c r="K64" i="2" l="1"/>
  <c r="L63" i="2"/>
  <c r="J63" i="2"/>
  <c r="I63" i="2"/>
  <c r="H63" i="2"/>
  <c r="G63" i="2"/>
  <c r="F63" i="2"/>
  <c r="E63" i="2"/>
  <c r="D63" i="2"/>
  <c r="C63" i="2"/>
  <c r="B62" i="2"/>
  <c r="A64" i="2"/>
  <c r="B62" i="1"/>
  <c r="C62" i="1"/>
  <c r="A63" i="1"/>
  <c r="K65" i="2" a="1"/>
  <c r="L64" i="2" a="1"/>
  <c r="J64" i="2" a="1"/>
  <c r="I64" i="2" a="1"/>
  <c r="H64" i="2" a="1"/>
  <c r="G64" i="2" a="1"/>
  <c r="F64" i="2" a="1"/>
  <c r="E64" i="2" a="1"/>
  <c r="D64" i="2" a="1"/>
  <c r="C64" i="2" a="1"/>
  <c r="B63" i="2" a="1"/>
  <c r="D63" i="1"/>
  <c r="B63" i="1" a="1"/>
  <c r="C63" i="1" a="1"/>
  <c r="K65" i="2" l="1"/>
  <c r="L64" i="2"/>
  <c r="J64" i="2"/>
  <c r="I64" i="2"/>
  <c r="H64" i="2"/>
  <c r="G64" i="2"/>
  <c r="F64" i="2"/>
  <c r="E64" i="2"/>
  <c r="D64" i="2"/>
  <c r="C64" i="2"/>
  <c r="B63" i="2"/>
  <c r="A65" i="2"/>
  <c r="C63" i="1"/>
  <c r="B63" i="1"/>
  <c r="A64" i="1"/>
  <c r="K66" i="2" a="1"/>
  <c r="L65" i="2" a="1"/>
  <c r="J65" i="2" a="1"/>
  <c r="I65" i="2" a="1"/>
  <c r="H65" i="2" a="1"/>
  <c r="G65" i="2" a="1"/>
  <c r="F65" i="2" a="1"/>
  <c r="E65" i="2" a="1"/>
  <c r="D65" i="2" a="1"/>
  <c r="C65" i="2" a="1"/>
  <c r="B64" i="2" a="1"/>
  <c r="C64" i="1" a="1"/>
  <c r="D64" i="1"/>
  <c r="B64" i="1" a="1"/>
  <c r="K66" i="2" l="1"/>
  <c r="L65" i="2"/>
  <c r="J65" i="2"/>
  <c r="I65" i="2"/>
  <c r="H65" i="2"/>
  <c r="G65" i="2"/>
  <c r="F65" i="2"/>
  <c r="E65" i="2"/>
  <c r="D65" i="2"/>
  <c r="C65" i="2"/>
  <c r="B64" i="2"/>
  <c r="A66" i="2"/>
  <c r="B64" i="1"/>
  <c r="C64" i="1"/>
  <c r="A65" i="1"/>
  <c r="K67" i="2" a="1"/>
  <c r="L66" i="2" a="1"/>
  <c r="J66" i="2" a="1"/>
  <c r="I66" i="2" a="1"/>
  <c r="H66" i="2" a="1"/>
  <c r="G66" i="2" a="1"/>
  <c r="F66" i="2" a="1"/>
  <c r="E66" i="2" a="1"/>
  <c r="D66" i="2" a="1"/>
  <c r="C66" i="2" a="1"/>
  <c r="B65" i="2" a="1"/>
  <c r="D65" i="1"/>
  <c r="B65" i="1" a="1"/>
  <c r="C65" i="1" a="1"/>
  <c r="K67" i="2" l="1"/>
  <c r="L66" i="2"/>
  <c r="J66" i="2"/>
  <c r="I66" i="2"/>
  <c r="H66" i="2"/>
  <c r="G66" i="2"/>
  <c r="F66" i="2"/>
  <c r="E66" i="2"/>
  <c r="D66" i="2"/>
  <c r="C66" i="2"/>
  <c r="B65" i="2"/>
  <c r="A67" i="2"/>
  <c r="C65" i="1"/>
  <c r="B65" i="1"/>
  <c r="A66" i="1"/>
  <c r="K68" i="2" a="1"/>
  <c r="L67" i="2" a="1"/>
  <c r="J67" i="2" a="1"/>
  <c r="I67" i="2" a="1"/>
  <c r="H67" i="2" a="1"/>
  <c r="G67" i="2" a="1"/>
  <c r="F67" i="2" a="1"/>
  <c r="E67" i="2" a="1"/>
  <c r="D67" i="2" a="1"/>
  <c r="C67" i="2" a="1"/>
  <c r="B66" i="2" a="1"/>
  <c r="D66" i="1"/>
  <c r="C66" i="1" a="1"/>
  <c r="B66" i="1" a="1"/>
  <c r="K68" i="2" l="1"/>
  <c r="L67" i="2"/>
  <c r="J67" i="2"/>
  <c r="I67" i="2"/>
  <c r="H67" i="2"/>
  <c r="G67" i="2"/>
  <c r="F67" i="2"/>
  <c r="E67" i="2"/>
  <c r="D67" i="2"/>
  <c r="C67" i="2"/>
  <c r="B66" i="2"/>
  <c r="A68" i="2"/>
  <c r="B66" i="1"/>
  <c r="C66" i="1"/>
  <c r="A67" i="1"/>
  <c r="K69" i="2" a="1"/>
  <c r="L68" i="2" a="1"/>
  <c r="J68" i="2" a="1"/>
  <c r="I68" i="2" a="1"/>
  <c r="H68" i="2" a="1"/>
  <c r="G68" i="2" a="1"/>
  <c r="F68" i="2" a="1"/>
  <c r="E68" i="2" a="1"/>
  <c r="D68" i="2" a="1"/>
  <c r="C68" i="2" a="1"/>
  <c r="B67" i="2" a="1"/>
  <c r="B67" i="1" a="1"/>
  <c r="D67" i="1"/>
  <c r="C67" i="1" a="1"/>
  <c r="K69" i="2" l="1"/>
  <c r="L68" i="2"/>
  <c r="J68" i="2"/>
  <c r="I68" i="2"/>
  <c r="H68" i="2"/>
  <c r="G68" i="2"/>
  <c r="F68" i="2"/>
  <c r="E68" i="2"/>
  <c r="D68" i="2"/>
  <c r="C68" i="2"/>
  <c r="B67" i="2"/>
  <c r="A69" i="2"/>
  <c r="C67" i="1"/>
  <c r="B67" i="1"/>
  <c r="A68" i="1"/>
  <c r="K70" i="2" a="1"/>
  <c r="L69" i="2" a="1"/>
  <c r="J69" i="2" a="1"/>
  <c r="I69" i="2" a="1"/>
  <c r="H69" i="2" a="1"/>
  <c r="G69" i="2" a="1"/>
  <c r="F69" i="2" a="1"/>
  <c r="E69" i="2" a="1"/>
  <c r="D69" i="2" a="1"/>
  <c r="C69" i="2" a="1"/>
  <c r="B68" i="2" a="1"/>
  <c r="D68" i="1"/>
  <c r="C68" i="1" a="1"/>
  <c r="B68" i="1" a="1"/>
  <c r="K70" i="2" l="1"/>
  <c r="L69" i="2"/>
  <c r="J69" i="2"/>
  <c r="I69" i="2"/>
  <c r="H69" i="2"/>
  <c r="G69" i="2"/>
  <c r="F69" i="2"/>
  <c r="E69" i="2"/>
  <c r="D69" i="2"/>
  <c r="C69" i="2"/>
  <c r="B68" i="2"/>
  <c r="A70" i="2"/>
  <c r="B68" i="1"/>
  <c r="C68" i="1"/>
  <c r="A69" i="1"/>
  <c r="K71" i="2" a="1"/>
  <c r="L70" i="2" a="1"/>
  <c r="J70" i="2" a="1"/>
  <c r="I70" i="2" a="1"/>
  <c r="H70" i="2" a="1"/>
  <c r="G70" i="2" a="1"/>
  <c r="F70" i="2" a="1"/>
  <c r="E70" i="2" a="1"/>
  <c r="D70" i="2" a="1"/>
  <c r="C70" i="2" a="1"/>
  <c r="B69" i="2" a="1"/>
  <c r="D69" i="1"/>
  <c r="B69" i="1" a="1"/>
  <c r="C69" i="1" a="1"/>
  <c r="K71" i="2" l="1"/>
  <c r="L70" i="2"/>
  <c r="J70" i="2"/>
  <c r="I70" i="2"/>
  <c r="H70" i="2"/>
  <c r="G70" i="2"/>
  <c r="F70" i="2"/>
  <c r="E70" i="2"/>
  <c r="D70" i="2"/>
  <c r="C70" i="2"/>
  <c r="B69" i="2"/>
  <c r="A71" i="2"/>
  <c r="B69" i="1"/>
  <c r="C69" i="1"/>
  <c r="A70" i="1"/>
  <c r="K72" i="2" a="1"/>
  <c r="L71" i="2" a="1"/>
  <c r="J71" i="2" a="1"/>
  <c r="I71" i="2" a="1"/>
  <c r="H71" i="2" a="1"/>
  <c r="G71" i="2" a="1"/>
  <c r="F71" i="2" a="1"/>
  <c r="E71" i="2" a="1"/>
  <c r="D71" i="2" a="1"/>
  <c r="C71" i="2" a="1"/>
  <c r="B70" i="2" a="1"/>
  <c r="D70" i="1"/>
  <c r="C70" i="1" a="1"/>
  <c r="B70" i="1" a="1"/>
  <c r="K72" i="2" l="1"/>
  <c r="L71" i="2"/>
  <c r="J71" i="2"/>
  <c r="I71" i="2"/>
  <c r="H71" i="2"/>
  <c r="G71" i="2"/>
  <c r="F71" i="2"/>
  <c r="E71" i="2"/>
  <c r="D71" i="2"/>
  <c r="C71" i="2"/>
  <c r="B70" i="2"/>
  <c r="A72" i="2"/>
  <c r="C70" i="1"/>
  <c r="B70" i="1"/>
  <c r="A71" i="1"/>
  <c r="K73" i="2" a="1"/>
  <c r="L72" i="2" a="1"/>
  <c r="J72" i="2" a="1"/>
  <c r="I72" i="2" a="1"/>
  <c r="H72" i="2" a="1"/>
  <c r="G72" i="2" a="1"/>
  <c r="F72" i="2" a="1"/>
  <c r="E72" i="2" a="1"/>
  <c r="D72" i="2" a="1"/>
  <c r="C72" i="2" a="1"/>
  <c r="B71" i="2" a="1"/>
  <c r="D71" i="1"/>
  <c r="B71" i="1" a="1"/>
  <c r="C71" i="1" a="1"/>
  <c r="K73" i="2" l="1"/>
  <c r="L72" i="2"/>
  <c r="J72" i="2"/>
  <c r="I72" i="2"/>
  <c r="H72" i="2"/>
  <c r="G72" i="2"/>
  <c r="F72" i="2"/>
  <c r="E72" i="2"/>
  <c r="D72" i="2"/>
  <c r="C72" i="2"/>
  <c r="B71" i="2"/>
  <c r="A73" i="2"/>
  <c r="B71" i="1"/>
  <c r="C71" i="1"/>
  <c r="A72" i="1"/>
  <c r="K74" i="2" a="1"/>
  <c r="L73" i="2" a="1"/>
  <c r="J73" i="2" a="1"/>
  <c r="I73" i="2" a="1"/>
  <c r="H73" i="2" a="1"/>
  <c r="G73" i="2" a="1"/>
  <c r="F73" i="2" a="1"/>
  <c r="E73" i="2" a="1"/>
  <c r="D73" i="2" a="1"/>
  <c r="C73" i="2" a="1"/>
  <c r="B72" i="2" a="1"/>
  <c r="D72" i="1"/>
  <c r="C72" i="1" a="1"/>
  <c r="B72" i="1" a="1"/>
  <c r="K74" i="2" l="1"/>
  <c r="L73" i="2"/>
  <c r="J73" i="2"/>
  <c r="I73" i="2"/>
  <c r="H73" i="2"/>
  <c r="G73" i="2"/>
  <c r="F73" i="2"/>
  <c r="E73" i="2"/>
  <c r="D73" i="2"/>
  <c r="C73" i="2"/>
  <c r="B72" i="2"/>
  <c r="A74" i="2"/>
  <c r="C72" i="1"/>
  <c r="B72" i="1"/>
  <c r="A73" i="1"/>
  <c r="K75" i="2" a="1"/>
  <c r="L74" i="2" a="1"/>
  <c r="J74" i="2" a="1"/>
  <c r="I74" i="2" a="1"/>
  <c r="H74" i="2" a="1"/>
  <c r="G74" i="2" a="1"/>
  <c r="F74" i="2" a="1"/>
  <c r="E74" i="2" a="1"/>
  <c r="D74" i="2" a="1"/>
  <c r="C74" i="2" a="1"/>
  <c r="B73" i="2" a="1"/>
  <c r="D73" i="1"/>
  <c r="C73" i="1" a="1"/>
  <c r="B73" i="1" a="1"/>
  <c r="K75" i="2" l="1"/>
  <c r="L74" i="2"/>
  <c r="J74" i="2"/>
  <c r="I74" i="2"/>
  <c r="H74" i="2"/>
  <c r="G74" i="2"/>
  <c r="F74" i="2"/>
  <c r="E74" i="2"/>
  <c r="D74" i="2"/>
  <c r="C74" i="2"/>
  <c r="B73" i="2"/>
  <c r="A75" i="2"/>
  <c r="B73" i="1"/>
  <c r="C73" i="1"/>
  <c r="A74" i="1"/>
  <c r="K76" i="2" a="1"/>
  <c r="L75" i="2" a="1"/>
  <c r="J75" i="2" a="1"/>
  <c r="I75" i="2" a="1"/>
  <c r="H75" i="2" a="1"/>
  <c r="G75" i="2" a="1"/>
  <c r="F75" i="2" a="1"/>
  <c r="E75" i="2" a="1"/>
  <c r="D75" i="2" a="1"/>
  <c r="C75" i="2" a="1"/>
  <c r="B74" i="2" a="1"/>
  <c r="D74" i="1"/>
  <c r="B74" i="1" a="1"/>
  <c r="C74" i="1" a="1"/>
  <c r="K76" i="2" l="1"/>
  <c r="L75" i="2"/>
  <c r="J75" i="2"/>
  <c r="I75" i="2"/>
  <c r="H75" i="2"/>
  <c r="G75" i="2"/>
  <c r="F75" i="2"/>
  <c r="E75" i="2"/>
  <c r="D75" i="2"/>
  <c r="C75" i="2"/>
  <c r="B74" i="2"/>
  <c r="A76" i="2"/>
  <c r="C74" i="1"/>
  <c r="B74" i="1"/>
  <c r="A75" i="1"/>
  <c r="K77" i="2" a="1"/>
  <c r="L76" i="2" a="1"/>
  <c r="J76" i="2" a="1"/>
  <c r="I76" i="2" a="1"/>
  <c r="H76" i="2" a="1"/>
  <c r="G76" i="2" a="1"/>
  <c r="F76" i="2" a="1"/>
  <c r="E76" i="2" a="1"/>
  <c r="D76" i="2" a="1"/>
  <c r="C76" i="2" a="1"/>
  <c r="B75" i="2" a="1"/>
  <c r="D75" i="1"/>
  <c r="B75" i="1" a="1"/>
  <c r="C75" i="1" a="1"/>
  <c r="K77" i="2" l="1"/>
  <c r="L76" i="2"/>
  <c r="J76" i="2"/>
  <c r="I76" i="2"/>
  <c r="H76" i="2"/>
  <c r="G76" i="2"/>
  <c r="F76" i="2"/>
  <c r="E76" i="2"/>
  <c r="D76" i="2"/>
  <c r="C76" i="2"/>
  <c r="B75" i="2"/>
  <c r="A77" i="2"/>
  <c r="B75" i="1"/>
  <c r="C75" i="1"/>
  <c r="A76" i="1"/>
  <c r="K78" i="2" a="1"/>
  <c r="L77" i="2" a="1"/>
  <c r="J77" i="2" a="1"/>
  <c r="I77" i="2" a="1"/>
  <c r="H77" i="2" a="1"/>
  <c r="G77" i="2" a="1"/>
  <c r="F77" i="2" a="1"/>
  <c r="E77" i="2" a="1"/>
  <c r="D77" i="2" a="1"/>
  <c r="C77" i="2" a="1"/>
  <c r="B76" i="2" a="1"/>
  <c r="D76" i="1"/>
  <c r="B76" i="1" a="1"/>
  <c r="C76" i="1" a="1"/>
  <c r="K78" i="2" l="1"/>
  <c r="L77" i="2"/>
  <c r="J77" i="2"/>
  <c r="I77" i="2"/>
  <c r="H77" i="2"/>
  <c r="G77" i="2"/>
  <c r="F77" i="2"/>
  <c r="E77" i="2"/>
  <c r="D77" i="2"/>
  <c r="C77" i="2"/>
  <c r="B76" i="2"/>
  <c r="A78" i="2"/>
  <c r="B76" i="1"/>
  <c r="C76" i="1"/>
  <c r="A77" i="1"/>
  <c r="K79" i="2" a="1"/>
  <c r="L78" i="2" a="1"/>
  <c r="J78" i="2" a="1"/>
  <c r="I78" i="2" a="1"/>
  <c r="H78" i="2" a="1"/>
  <c r="G78" i="2" a="1"/>
  <c r="F78" i="2" a="1"/>
  <c r="E78" i="2" a="1"/>
  <c r="D78" i="2" a="1"/>
  <c r="C78" i="2" a="1"/>
  <c r="B77" i="2" a="1"/>
  <c r="D77" i="1"/>
  <c r="B77" i="1" a="1"/>
  <c r="C77" i="1" a="1"/>
  <c r="K79" i="2" l="1"/>
  <c r="L78" i="2"/>
  <c r="J78" i="2"/>
  <c r="I78" i="2"/>
  <c r="H78" i="2"/>
  <c r="G78" i="2"/>
  <c r="F78" i="2"/>
  <c r="E78" i="2"/>
  <c r="D78" i="2"/>
  <c r="C78" i="2"/>
  <c r="B77" i="2"/>
  <c r="A79" i="2"/>
  <c r="B77" i="1"/>
  <c r="C77" i="1"/>
  <c r="A78" i="1"/>
  <c r="K80" i="2" a="1"/>
  <c r="L79" i="2" a="1"/>
  <c r="J79" i="2" a="1"/>
  <c r="I79" i="2" a="1"/>
  <c r="H79" i="2" a="1"/>
  <c r="G79" i="2" a="1"/>
  <c r="F79" i="2" a="1"/>
  <c r="E79" i="2" a="1"/>
  <c r="D79" i="2" a="1"/>
  <c r="C79" i="2" a="1"/>
  <c r="B78" i="2" a="1"/>
  <c r="D78" i="1"/>
  <c r="C78" i="1" a="1"/>
  <c r="B78" i="1" a="1"/>
  <c r="K80" i="2" l="1"/>
  <c r="L79" i="2"/>
  <c r="J79" i="2"/>
  <c r="I79" i="2"/>
  <c r="H79" i="2"/>
  <c r="G79" i="2"/>
  <c r="F79" i="2"/>
  <c r="E79" i="2"/>
  <c r="D79" i="2"/>
  <c r="C79" i="2"/>
  <c r="B78" i="2"/>
  <c r="A80" i="2"/>
  <c r="B78" i="1"/>
  <c r="C78" i="1"/>
  <c r="A79" i="1"/>
  <c r="K81" i="2" a="1"/>
  <c r="L80" i="2" a="1"/>
  <c r="J80" i="2" a="1"/>
  <c r="I80" i="2" a="1"/>
  <c r="H80" i="2" a="1"/>
  <c r="G80" i="2" a="1"/>
  <c r="F80" i="2" a="1"/>
  <c r="E80" i="2" a="1"/>
  <c r="D80" i="2" a="1"/>
  <c r="C80" i="2" a="1"/>
  <c r="B79" i="2" a="1"/>
  <c r="D79" i="1"/>
  <c r="C79" i="1" a="1"/>
  <c r="B79" i="1" a="1"/>
  <c r="K81" i="2" l="1"/>
  <c r="L80" i="2"/>
  <c r="J80" i="2"/>
  <c r="I80" i="2"/>
  <c r="H80" i="2"/>
  <c r="G80" i="2"/>
  <c r="F80" i="2"/>
  <c r="E80" i="2"/>
  <c r="D80" i="2"/>
  <c r="C80" i="2"/>
  <c r="B79" i="2"/>
  <c r="A81" i="2"/>
  <c r="B79" i="1"/>
  <c r="C79" i="1"/>
  <c r="A80" i="1"/>
  <c r="K82" i="2" a="1"/>
  <c r="L81" i="2" a="1"/>
  <c r="J81" i="2" a="1"/>
  <c r="I81" i="2" a="1"/>
  <c r="H81" i="2" a="1"/>
  <c r="G81" i="2" a="1"/>
  <c r="F81" i="2" a="1"/>
  <c r="E81" i="2" a="1"/>
  <c r="D81" i="2" a="1"/>
  <c r="C81" i="2" a="1"/>
  <c r="B80" i="2" a="1"/>
  <c r="D80" i="1"/>
  <c r="C80" i="1" a="1"/>
  <c r="B80" i="1" a="1"/>
  <c r="K82" i="2" l="1"/>
  <c r="L81" i="2"/>
  <c r="J81" i="2"/>
  <c r="I81" i="2"/>
  <c r="H81" i="2"/>
  <c r="G81" i="2"/>
  <c r="F81" i="2"/>
  <c r="E81" i="2"/>
  <c r="D81" i="2"/>
  <c r="C81" i="2"/>
  <c r="B80" i="2"/>
  <c r="A82" i="2"/>
  <c r="B80" i="1"/>
  <c r="C80" i="1"/>
  <c r="A81" i="1"/>
  <c r="K83" i="2" a="1"/>
  <c r="L82" i="2" a="1"/>
  <c r="J82" i="2" a="1"/>
  <c r="I82" i="2" a="1"/>
  <c r="H82" i="2" a="1"/>
  <c r="G82" i="2" a="1"/>
  <c r="F82" i="2" a="1"/>
  <c r="E82" i="2" a="1"/>
  <c r="D82" i="2" a="1"/>
  <c r="C82" i="2" a="1"/>
  <c r="B81" i="2" a="1"/>
  <c r="D81" i="1"/>
  <c r="B81" i="1" a="1"/>
  <c r="C81" i="1" a="1"/>
  <c r="K83" i="2" l="1"/>
  <c r="L82" i="2"/>
  <c r="J82" i="2"/>
  <c r="I82" i="2"/>
  <c r="H82" i="2"/>
  <c r="G82" i="2"/>
  <c r="F82" i="2"/>
  <c r="E82" i="2"/>
  <c r="D82" i="2"/>
  <c r="C82" i="2"/>
  <c r="B81" i="2"/>
  <c r="A83" i="2"/>
  <c r="C81" i="1"/>
  <c r="B81" i="1"/>
  <c r="A82" i="1"/>
  <c r="K84" i="2" a="1"/>
  <c r="L83" i="2" a="1"/>
  <c r="J83" i="2" a="1"/>
  <c r="I83" i="2" a="1"/>
  <c r="H83" i="2" a="1"/>
  <c r="G83" i="2" a="1"/>
  <c r="F83" i="2" a="1"/>
  <c r="E83" i="2" a="1"/>
  <c r="D83" i="2" a="1"/>
  <c r="C83" i="2" a="1"/>
  <c r="B82" i="2" a="1"/>
  <c r="D82" i="1"/>
  <c r="C82" i="1" a="1"/>
  <c r="B82" i="1" a="1"/>
  <c r="K84" i="2" l="1"/>
  <c r="L83" i="2"/>
  <c r="J83" i="2"/>
  <c r="I83" i="2"/>
  <c r="H83" i="2"/>
  <c r="G83" i="2"/>
  <c r="F83" i="2"/>
  <c r="E83" i="2"/>
  <c r="D83" i="2"/>
  <c r="C83" i="2"/>
  <c r="B82" i="2"/>
  <c r="A84" i="2"/>
  <c r="B82" i="1"/>
  <c r="C82" i="1"/>
  <c r="A83" i="1"/>
  <c r="K85" i="2" a="1"/>
  <c r="L84" i="2" a="1"/>
  <c r="J84" i="2" a="1"/>
  <c r="I84" i="2" a="1"/>
  <c r="H84" i="2" a="1"/>
  <c r="G84" i="2" a="1"/>
  <c r="F84" i="2" a="1"/>
  <c r="E84" i="2" a="1"/>
  <c r="D84" i="2" a="1"/>
  <c r="C84" i="2" a="1"/>
  <c r="B83" i="2" a="1"/>
  <c r="D83" i="1"/>
  <c r="C83" i="1" a="1"/>
  <c r="B83" i="1" a="1"/>
  <c r="K85" i="2" l="1"/>
  <c r="L84" i="2"/>
  <c r="J84" i="2"/>
  <c r="I84" i="2"/>
  <c r="H84" i="2"/>
  <c r="G84" i="2"/>
  <c r="F84" i="2"/>
  <c r="E84" i="2"/>
  <c r="D84" i="2"/>
  <c r="C84" i="2"/>
  <c r="B83" i="2"/>
  <c r="A85" i="2"/>
  <c r="B83" i="1"/>
  <c r="C83" i="1"/>
  <c r="A84" i="1"/>
  <c r="K86" i="2" a="1"/>
  <c r="L85" i="2" a="1"/>
  <c r="J85" i="2" a="1"/>
  <c r="I85" i="2" a="1"/>
  <c r="H85" i="2" a="1"/>
  <c r="G85" i="2" a="1"/>
  <c r="F85" i="2" a="1"/>
  <c r="E85" i="2" a="1"/>
  <c r="D85" i="2" a="1"/>
  <c r="C85" i="2" a="1"/>
  <c r="B84" i="2" a="1"/>
  <c r="D84" i="1"/>
  <c r="C84" i="1" a="1"/>
  <c r="B84" i="1" a="1"/>
  <c r="K86" i="2" l="1"/>
  <c r="L85" i="2"/>
  <c r="J85" i="2"/>
  <c r="I85" i="2"/>
  <c r="H85" i="2"/>
  <c r="G85" i="2"/>
  <c r="F85" i="2"/>
  <c r="E85" i="2"/>
  <c r="D85" i="2"/>
  <c r="C85" i="2"/>
  <c r="B84" i="2"/>
  <c r="A86" i="2"/>
  <c r="B84" i="1"/>
  <c r="C84" i="1"/>
  <c r="A85" i="1"/>
  <c r="K87" i="2" a="1"/>
  <c r="L86" i="2" a="1"/>
  <c r="J86" i="2" a="1"/>
  <c r="I86" i="2" a="1"/>
  <c r="H86" i="2" a="1"/>
  <c r="G86" i="2" a="1"/>
  <c r="F86" i="2" a="1"/>
  <c r="E86" i="2" a="1"/>
  <c r="D86" i="2" a="1"/>
  <c r="C86" i="2" a="1"/>
  <c r="B85" i="2" a="1"/>
  <c r="D85" i="1"/>
  <c r="B85" i="1" a="1"/>
  <c r="C85" i="1" a="1"/>
  <c r="K87" i="2" l="1"/>
  <c r="L86" i="2"/>
  <c r="J86" i="2"/>
  <c r="I86" i="2"/>
  <c r="H86" i="2"/>
  <c r="G86" i="2"/>
  <c r="F86" i="2"/>
  <c r="E86" i="2"/>
  <c r="D86" i="2"/>
  <c r="C86" i="2"/>
  <c r="B85" i="2"/>
  <c r="A87" i="2"/>
  <c r="C85" i="1"/>
  <c r="B85" i="1"/>
  <c r="A86" i="1"/>
  <c r="K88" i="2" a="1"/>
  <c r="L87" i="2" a="1"/>
  <c r="J87" i="2" a="1"/>
  <c r="I87" i="2" a="1"/>
  <c r="H87" i="2" a="1"/>
  <c r="G87" i="2" a="1"/>
  <c r="F87" i="2" a="1"/>
  <c r="E87" i="2" a="1"/>
  <c r="D87" i="2" a="1"/>
  <c r="C87" i="2" a="1"/>
  <c r="B86" i="2" a="1"/>
  <c r="D86" i="1"/>
  <c r="C86" i="1" a="1"/>
  <c r="B86" i="1" a="1"/>
  <c r="K88" i="2" l="1"/>
  <c r="L87" i="2"/>
  <c r="J87" i="2"/>
  <c r="I87" i="2"/>
  <c r="H87" i="2"/>
  <c r="G87" i="2"/>
  <c r="F87" i="2"/>
  <c r="E87" i="2"/>
  <c r="D87" i="2"/>
  <c r="C87" i="2"/>
  <c r="B86" i="2"/>
  <c r="A88" i="2"/>
  <c r="B86" i="1"/>
  <c r="C86" i="1"/>
  <c r="A87" i="1"/>
  <c r="K89" i="2" a="1"/>
  <c r="L88" i="2" a="1"/>
  <c r="J88" i="2" a="1"/>
  <c r="I88" i="2" a="1"/>
  <c r="H88" i="2" a="1"/>
  <c r="G88" i="2" a="1"/>
  <c r="F88" i="2" a="1"/>
  <c r="E88" i="2" a="1"/>
  <c r="D88" i="2" a="1"/>
  <c r="C88" i="2" a="1"/>
  <c r="B87" i="2" a="1"/>
  <c r="D87" i="1"/>
  <c r="C87" i="1" a="1"/>
  <c r="B87" i="1" a="1"/>
  <c r="K89" i="2" l="1"/>
  <c r="L88" i="2"/>
  <c r="J88" i="2"/>
  <c r="I88" i="2"/>
  <c r="H88" i="2"/>
  <c r="G88" i="2"/>
  <c r="F88" i="2"/>
  <c r="E88" i="2"/>
  <c r="D88" i="2"/>
  <c r="C88" i="2"/>
  <c r="B87" i="2"/>
  <c r="A89" i="2"/>
  <c r="B87" i="1"/>
  <c r="C87" i="1"/>
  <c r="A88" i="1"/>
  <c r="K90" i="2" a="1"/>
  <c r="L89" i="2" a="1"/>
  <c r="J89" i="2" a="1"/>
  <c r="I89" i="2" a="1"/>
  <c r="H89" i="2" a="1"/>
  <c r="G89" i="2" a="1"/>
  <c r="F89" i="2" a="1"/>
  <c r="E89" i="2" a="1"/>
  <c r="D89" i="2" a="1"/>
  <c r="C89" i="2" a="1"/>
  <c r="B88" i="2" a="1"/>
  <c r="D88" i="1"/>
  <c r="B88" i="1" a="1"/>
  <c r="C88" i="1" a="1"/>
  <c r="K90" i="2" l="1"/>
  <c r="L89" i="2"/>
  <c r="J89" i="2"/>
  <c r="I89" i="2"/>
  <c r="H89" i="2"/>
  <c r="G89" i="2"/>
  <c r="F89" i="2"/>
  <c r="E89" i="2"/>
  <c r="D89" i="2"/>
  <c r="C89" i="2"/>
  <c r="B88" i="2"/>
  <c r="A90" i="2"/>
  <c r="C88" i="1"/>
  <c r="B88" i="1"/>
  <c r="A89" i="1"/>
  <c r="K91" i="2" a="1"/>
  <c r="L90" i="2" a="1"/>
  <c r="J90" i="2" a="1"/>
  <c r="I90" i="2" a="1"/>
  <c r="H90" i="2" a="1"/>
  <c r="G90" i="2" a="1"/>
  <c r="F90" i="2" a="1"/>
  <c r="E90" i="2" a="1"/>
  <c r="D90" i="2" a="1"/>
  <c r="C90" i="2" a="1"/>
  <c r="B89" i="2" a="1"/>
  <c r="D89" i="1"/>
  <c r="C89" i="1" a="1"/>
  <c r="B89" i="1" a="1"/>
  <c r="K91" i="2" l="1"/>
  <c r="L90" i="2"/>
  <c r="J90" i="2"/>
  <c r="I90" i="2"/>
  <c r="H90" i="2"/>
  <c r="G90" i="2"/>
  <c r="F90" i="2"/>
  <c r="E90" i="2"/>
  <c r="D90" i="2"/>
  <c r="C90" i="2"/>
  <c r="B89" i="2"/>
  <c r="A91" i="2"/>
  <c r="B89" i="1"/>
  <c r="C89" i="1"/>
  <c r="A90" i="1"/>
  <c r="K92" i="2" a="1"/>
  <c r="L91" i="2" a="1"/>
  <c r="J91" i="2" a="1"/>
  <c r="I91" i="2" a="1"/>
  <c r="H91" i="2" a="1"/>
  <c r="G91" i="2" a="1"/>
  <c r="F91" i="2" a="1"/>
  <c r="E91" i="2" a="1"/>
  <c r="D91" i="2" a="1"/>
  <c r="C91" i="2" a="1"/>
  <c r="B90" i="2" a="1"/>
  <c r="D90" i="1"/>
  <c r="B90" i="1" a="1"/>
  <c r="C90" i="1" a="1"/>
  <c r="K92" i="2" l="1"/>
  <c r="L91" i="2"/>
  <c r="J91" i="2"/>
  <c r="I91" i="2"/>
  <c r="H91" i="2"/>
  <c r="G91" i="2"/>
  <c r="F91" i="2"/>
  <c r="E91" i="2"/>
  <c r="D91" i="2"/>
  <c r="C91" i="2"/>
  <c r="B90" i="2"/>
  <c r="A92" i="2"/>
  <c r="C90" i="1"/>
  <c r="B90" i="1"/>
  <c r="A91" i="1"/>
  <c r="K93" i="2" a="1"/>
  <c r="L92" i="2" a="1"/>
  <c r="J92" i="2" a="1"/>
  <c r="I92" i="2" a="1"/>
  <c r="H92" i="2" a="1"/>
  <c r="G92" i="2" a="1"/>
  <c r="F92" i="2" a="1"/>
  <c r="E92" i="2" a="1"/>
  <c r="D92" i="2" a="1"/>
  <c r="C92" i="2" a="1"/>
  <c r="B91" i="2" a="1"/>
  <c r="D91" i="1"/>
  <c r="C91" i="1" a="1"/>
  <c r="B91" i="1" a="1"/>
  <c r="K93" i="2" l="1"/>
  <c r="L92" i="2"/>
  <c r="J92" i="2"/>
  <c r="I92" i="2"/>
  <c r="H92" i="2"/>
  <c r="G92" i="2"/>
  <c r="F92" i="2"/>
  <c r="E92" i="2"/>
  <c r="D92" i="2"/>
  <c r="C92" i="2"/>
  <c r="B91" i="2"/>
  <c r="A93" i="2"/>
  <c r="B91" i="1"/>
  <c r="C91" i="1"/>
  <c r="A92" i="1"/>
  <c r="K94" i="2" a="1"/>
  <c r="L93" i="2" a="1"/>
  <c r="J93" i="2" a="1"/>
  <c r="I93" i="2" a="1"/>
  <c r="H93" i="2" a="1"/>
  <c r="G93" i="2" a="1"/>
  <c r="F93" i="2" a="1"/>
  <c r="E93" i="2" a="1"/>
  <c r="D93" i="2" a="1"/>
  <c r="C93" i="2" a="1"/>
  <c r="B92" i="2" a="1"/>
  <c r="D92" i="1"/>
  <c r="B92" i="1" a="1"/>
  <c r="C92" i="1" a="1"/>
  <c r="K94" i="2" l="1"/>
  <c r="L93" i="2"/>
  <c r="J93" i="2"/>
  <c r="I93" i="2"/>
  <c r="H93" i="2"/>
  <c r="G93" i="2"/>
  <c r="F93" i="2"/>
  <c r="E93" i="2"/>
  <c r="D93" i="2"/>
  <c r="C93" i="2"/>
  <c r="B92" i="2"/>
  <c r="A94" i="2"/>
  <c r="C92" i="1"/>
  <c r="B92" i="1"/>
  <c r="A93" i="1"/>
  <c r="K95" i="2" a="1"/>
  <c r="L94" i="2" a="1"/>
  <c r="J94" i="2" a="1"/>
  <c r="I94" i="2" a="1"/>
  <c r="H94" i="2" a="1"/>
  <c r="G94" i="2" a="1"/>
  <c r="F94" i="2" a="1"/>
  <c r="E94" i="2" a="1"/>
  <c r="D94" i="2" a="1"/>
  <c r="C94" i="2" a="1"/>
  <c r="B93" i="2" a="1"/>
  <c r="D93" i="1"/>
  <c r="C93" i="1" a="1"/>
  <c r="B93" i="1" a="1"/>
  <c r="K95" i="2" l="1"/>
  <c r="L94" i="2"/>
  <c r="J94" i="2"/>
  <c r="I94" i="2"/>
  <c r="H94" i="2"/>
  <c r="G94" i="2"/>
  <c r="F94" i="2"/>
  <c r="E94" i="2"/>
  <c r="D94" i="2"/>
  <c r="C94" i="2"/>
  <c r="B93" i="2"/>
  <c r="A95" i="2"/>
  <c r="B93" i="1"/>
  <c r="C93" i="1"/>
  <c r="A94" i="1"/>
  <c r="K96" i="2" a="1"/>
  <c r="L95" i="2" a="1"/>
  <c r="J95" i="2" a="1"/>
  <c r="I95" i="2" a="1"/>
  <c r="H95" i="2" a="1"/>
  <c r="G95" i="2" a="1"/>
  <c r="F95" i="2" a="1"/>
  <c r="E95" i="2" a="1"/>
  <c r="D95" i="2" a="1"/>
  <c r="C95" i="2" a="1"/>
  <c r="B94" i="2" a="1"/>
  <c r="D94" i="1"/>
  <c r="C94" i="1" a="1"/>
  <c r="B94" i="1" a="1"/>
  <c r="K96" i="2" l="1"/>
  <c r="L95" i="2"/>
  <c r="J95" i="2"/>
  <c r="I95" i="2"/>
  <c r="H95" i="2"/>
  <c r="G95" i="2"/>
  <c r="F95" i="2"/>
  <c r="E95" i="2"/>
  <c r="D95" i="2"/>
  <c r="C95" i="2"/>
  <c r="B94" i="2"/>
  <c r="A96" i="2"/>
  <c r="B94" i="1"/>
  <c r="C94" i="1"/>
  <c r="A95" i="1"/>
  <c r="K97" i="2" a="1"/>
  <c r="L96" i="2" a="1"/>
  <c r="J96" i="2" a="1"/>
  <c r="I96" i="2" a="1"/>
  <c r="H96" i="2" a="1"/>
  <c r="G96" i="2" a="1"/>
  <c r="F96" i="2" a="1"/>
  <c r="E96" i="2" a="1"/>
  <c r="D96" i="2" a="1"/>
  <c r="C96" i="2" a="1"/>
  <c r="B95" i="2" a="1"/>
  <c r="D95" i="1"/>
  <c r="C95" i="1" a="1"/>
  <c r="B95" i="1" a="1"/>
  <c r="K97" i="2" l="1"/>
  <c r="L96" i="2"/>
  <c r="J96" i="2"/>
  <c r="I96" i="2"/>
  <c r="H96" i="2"/>
  <c r="G96" i="2"/>
  <c r="F96" i="2"/>
  <c r="E96" i="2"/>
  <c r="D96" i="2"/>
  <c r="C96" i="2"/>
  <c r="B95" i="2"/>
  <c r="A97" i="2"/>
  <c r="C95" i="1"/>
  <c r="B95" i="1"/>
  <c r="A96" i="1"/>
  <c r="K98" i="2" a="1"/>
  <c r="L97" i="2" a="1"/>
  <c r="J97" i="2" a="1"/>
  <c r="I97" i="2" a="1"/>
  <c r="H97" i="2" a="1"/>
  <c r="G97" i="2" a="1"/>
  <c r="F97" i="2" a="1"/>
  <c r="E97" i="2" a="1"/>
  <c r="D97" i="2" a="1"/>
  <c r="C97" i="2" a="1"/>
  <c r="B96" i="2" a="1"/>
  <c r="D96" i="1"/>
  <c r="C96" i="1" a="1"/>
  <c r="B96" i="1" a="1"/>
  <c r="K98" i="2" l="1"/>
  <c r="L97" i="2"/>
  <c r="J97" i="2"/>
  <c r="I97" i="2"/>
  <c r="H97" i="2"/>
  <c r="G97" i="2"/>
  <c r="F97" i="2"/>
  <c r="E97" i="2"/>
  <c r="D97" i="2"/>
  <c r="C97" i="2"/>
  <c r="B96" i="2"/>
  <c r="A98" i="2"/>
  <c r="B96" i="1"/>
  <c r="C96" i="1"/>
  <c r="A97" i="1"/>
  <c r="K99" i="2" a="1"/>
  <c r="L98" i="2" a="1"/>
  <c r="J98" i="2" a="1"/>
  <c r="I98" i="2" a="1"/>
  <c r="H98" i="2" a="1"/>
  <c r="G98" i="2" a="1"/>
  <c r="F98" i="2" a="1"/>
  <c r="E98" i="2" a="1"/>
  <c r="D98" i="2" a="1"/>
  <c r="C98" i="2" a="1"/>
  <c r="B97" i="2" a="1"/>
  <c r="D97" i="1"/>
  <c r="B97" i="1" a="1"/>
  <c r="C97" i="1" a="1"/>
  <c r="K99" i="2" l="1"/>
  <c r="L98" i="2"/>
  <c r="J98" i="2"/>
  <c r="I98" i="2"/>
  <c r="H98" i="2"/>
  <c r="G98" i="2"/>
  <c r="F98" i="2"/>
  <c r="E98" i="2"/>
  <c r="D98" i="2"/>
  <c r="C98" i="2"/>
  <c r="B97" i="2"/>
  <c r="A99" i="2"/>
  <c r="C97" i="1"/>
  <c r="B97" i="1"/>
  <c r="A98" i="1"/>
  <c r="K100" i="2" a="1"/>
  <c r="L99" i="2" a="1"/>
  <c r="J99" i="2" a="1"/>
  <c r="I99" i="2" a="1"/>
  <c r="H99" i="2" a="1"/>
  <c r="G99" i="2" a="1"/>
  <c r="F99" i="2" a="1"/>
  <c r="E99" i="2" a="1"/>
  <c r="D99" i="2" a="1"/>
  <c r="C99" i="2" a="1"/>
  <c r="B98" i="2" a="1"/>
  <c r="D98" i="1"/>
  <c r="C98" i="1" a="1"/>
  <c r="B98" i="1" a="1"/>
  <c r="K100" i="2" l="1"/>
  <c r="L99" i="2"/>
  <c r="J99" i="2"/>
  <c r="I99" i="2"/>
  <c r="H99" i="2"/>
  <c r="G99" i="2"/>
  <c r="F99" i="2"/>
  <c r="E99" i="2"/>
  <c r="D99" i="2"/>
  <c r="C99" i="2"/>
  <c r="B98" i="2"/>
  <c r="A100" i="2"/>
  <c r="B98" i="1"/>
  <c r="C98" i="1"/>
  <c r="A99" i="1"/>
  <c r="K101" i="2" a="1"/>
  <c r="L100" i="2" a="1"/>
  <c r="J100" i="2" a="1"/>
  <c r="I100" i="2" a="1"/>
  <c r="H100" i="2" a="1"/>
  <c r="G100" i="2" a="1"/>
  <c r="F100" i="2" a="1"/>
  <c r="E100" i="2" a="1"/>
  <c r="D100" i="2" a="1"/>
  <c r="C100" i="2" a="1"/>
  <c r="B99" i="2" a="1"/>
  <c r="D99" i="1"/>
  <c r="C99" i="1" a="1"/>
  <c r="B99" i="1" a="1"/>
  <c r="K101" i="2" l="1"/>
  <c r="L100" i="2"/>
  <c r="J100" i="2"/>
  <c r="I100" i="2"/>
  <c r="H100" i="2"/>
  <c r="G100" i="2"/>
  <c r="F100" i="2"/>
  <c r="E100" i="2"/>
  <c r="D100" i="2"/>
  <c r="C100" i="2"/>
  <c r="B99" i="2"/>
  <c r="A101" i="2"/>
  <c r="B99" i="1"/>
  <c r="C99" i="1"/>
  <c r="A100" i="1"/>
  <c r="K102" i="2" a="1"/>
  <c r="L101" i="2" a="1"/>
  <c r="J101" i="2" a="1"/>
  <c r="I101" i="2" a="1"/>
  <c r="H101" i="2" a="1"/>
  <c r="G101" i="2" a="1"/>
  <c r="F101" i="2" a="1"/>
  <c r="E101" i="2" a="1"/>
  <c r="D101" i="2" a="1"/>
  <c r="C101" i="2" a="1"/>
  <c r="B100" i="2" a="1"/>
  <c r="D100" i="1"/>
  <c r="C100" i="1" a="1"/>
  <c r="B100" i="1" a="1"/>
  <c r="K102" i="2" l="1"/>
  <c r="L101" i="2"/>
  <c r="J101" i="2"/>
  <c r="I101" i="2"/>
  <c r="H101" i="2"/>
  <c r="G101" i="2"/>
  <c r="F101" i="2"/>
  <c r="E101" i="2"/>
  <c r="D101" i="2"/>
  <c r="C101" i="2"/>
  <c r="B100" i="2"/>
  <c r="A102" i="2"/>
  <c r="B100" i="1"/>
  <c r="C100" i="1"/>
  <c r="A101" i="1"/>
  <c r="K103" i="2" a="1"/>
  <c r="L102" i="2" a="1"/>
  <c r="J102" i="2" a="1"/>
  <c r="I102" i="2" a="1"/>
  <c r="H102" i="2" a="1"/>
  <c r="G102" i="2" a="1"/>
  <c r="F102" i="2" a="1"/>
  <c r="E102" i="2" a="1"/>
  <c r="D102" i="2" a="1"/>
  <c r="C102" i="2" a="1"/>
  <c r="B101" i="2" a="1"/>
  <c r="D101" i="1"/>
  <c r="B101" i="1" a="1"/>
  <c r="C101" i="1" a="1"/>
  <c r="K103" i="2" l="1"/>
  <c r="L102" i="2"/>
  <c r="J102" i="2"/>
  <c r="I102" i="2"/>
  <c r="H102" i="2"/>
  <c r="G102" i="2"/>
  <c r="F102" i="2"/>
  <c r="E102" i="2"/>
  <c r="D102" i="2"/>
  <c r="C102" i="2"/>
  <c r="B101" i="2"/>
  <c r="A103" i="2"/>
  <c r="C101" i="1"/>
  <c r="B101" i="1"/>
  <c r="A102" i="1"/>
  <c r="K104" i="2" a="1"/>
  <c r="L103" i="2" a="1"/>
  <c r="J103" i="2" a="1"/>
  <c r="I103" i="2" a="1"/>
  <c r="H103" i="2" a="1"/>
  <c r="G103" i="2" a="1"/>
  <c r="F103" i="2" a="1"/>
  <c r="E103" i="2" a="1"/>
  <c r="D103" i="2" a="1"/>
  <c r="C103" i="2" a="1"/>
  <c r="B102" i="2" a="1"/>
  <c r="D102" i="1"/>
  <c r="B102" i="1" a="1"/>
  <c r="C102" i="1" a="1"/>
  <c r="K104" i="2" l="1"/>
  <c r="L103" i="2"/>
  <c r="J103" i="2"/>
  <c r="I103" i="2"/>
  <c r="H103" i="2"/>
  <c r="G103" i="2"/>
  <c r="F103" i="2"/>
  <c r="E103" i="2"/>
  <c r="D103" i="2"/>
  <c r="C103" i="2"/>
  <c r="B102" i="2"/>
  <c r="A104" i="2"/>
  <c r="C102" i="1"/>
  <c r="B102" i="1"/>
  <c r="A103" i="1"/>
  <c r="K105" i="2" a="1"/>
  <c r="L104" i="2" a="1"/>
  <c r="J104" i="2" a="1"/>
  <c r="I104" i="2" a="1"/>
  <c r="H104" i="2" a="1"/>
  <c r="G104" i="2" a="1"/>
  <c r="F104" i="2" a="1"/>
  <c r="E104" i="2" a="1"/>
  <c r="D104" i="2" a="1"/>
  <c r="C104" i="2" a="1"/>
  <c r="B103" i="2" a="1"/>
  <c r="D103" i="1"/>
  <c r="C103" i="1" a="1"/>
  <c r="B103" i="1" a="1"/>
  <c r="K105" i="2" l="1"/>
  <c r="L104" i="2"/>
  <c r="J104" i="2"/>
  <c r="I104" i="2"/>
  <c r="H104" i="2"/>
  <c r="G104" i="2"/>
  <c r="F104" i="2"/>
  <c r="E104" i="2"/>
  <c r="D104" i="2"/>
  <c r="C104" i="2"/>
  <c r="B103" i="2"/>
  <c r="A105" i="2"/>
  <c r="B103" i="1"/>
  <c r="C103" i="1"/>
  <c r="A104" i="1"/>
  <c r="K106" i="2" a="1"/>
  <c r="L105" i="2" a="1"/>
  <c r="J105" i="2" a="1"/>
  <c r="I105" i="2" a="1"/>
  <c r="H105" i="2" a="1"/>
  <c r="G105" i="2" a="1"/>
  <c r="F105" i="2" a="1"/>
  <c r="E105" i="2" a="1"/>
  <c r="D105" i="2" a="1"/>
  <c r="C105" i="2" a="1"/>
  <c r="B104" i="2" a="1"/>
  <c r="D104" i="1"/>
  <c r="C104" i="1" a="1"/>
  <c r="B104" i="1" a="1"/>
  <c r="K106" i="2" l="1"/>
  <c r="L105" i="2"/>
  <c r="J105" i="2"/>
  <c r="I105" i="2"/>
  <c r="H105" i="2"/>
  <c r="G105" i="2"/>
  <c r="F105" i="2"/>
  <c r="E105" i="2"/>
  <c r="D105" i="2"/>
  <c r="C105" i="2"/>
  <c r="B104" i="2"/>
  <c r="A106" i="2"/>
  <c r="B104" i="1"/>
  <c r="C104" i="1"/>
  <c r="A105" i="1"/>
  <c r="K107" i="2" a="1"/>
  <c r="L106" i="2" a="1"/>
  <c r="J106" i="2" a="1"/>
  <c r="I106" i="2" a="1"/>
  <c r="H106" i="2" a="1"/>
  <c r="G106" i="2" a="1"/>
  <c r="F106" i="2" a="1"/>
  <c r="E106" i="2" a="1"/>
  <c r="D106" i="2" a="1"/>
  <c r="C106" i="2" a="1"/>
  <c r="B105" i="2" a="1"/>
  <c r="D105" i="1"/>
  <c r="C105" i="1" a="1"/>
  <c r="B105" i="1" a="1"/>
  <c r="K107" i="2" l="1"/>
  <c r="L106" i="2"/>
  <c r="J106" i="2"/>
  <c r="I106" i="2"/>
  <c r="H106" i="2"/>
  <c r="G106" i="2"/>
  <c r="F106" i="2"/>
  <c r="E106" i="2"/>
  <c r="D106" i="2"/>
  <c r="C106" i="2"/>
  <c r="B105" i="2"/>
  <c r="A107" i="2"/>
  <c r="B105" i="1"/>
  <c r="C105" i="1"/>
  <c r="A106" i="1"/>
  <c r="K108" i="2" a="1"/>
  <c r="L107" i="2" a="1"/>
  <c r="J107" i="2" a="1"/>
  <c r="I107" i="2" a="1"/>
  <c r="H107" i="2" a="1"/>
  <c r="G107" i="2" a="1"/>
  <c r="F107" i="2" a="1"/>
  <c r="E107" i="2" a="1"/>
  <c r="D107" i="2" a="1"/>
  <c r="C107" i="2" a="1"/>
  <c r="B106" i="2" a="1"/>
  <c r="D106" i="1"/>
  <c r="C106" i="1" a="1"/>
  <c r="B106" i="1" a="1"/>
  <c r="K108" i="2" l="1"/>
  <c r="L107" i="2"/>
  <c r="J107" i="2"/>
  <c r="I107" i="2"/>
  <c r="H107" i="2"/>
  <c r="G107" i="2"/>
  <c r="F107" i="2"/>
  <c r="E107" i="2"/>
  <c r="D107" i="2"/>
  <c r="C107" i="2"/>
  <c r="B106" i="2"/>
  <c r="A108" i="2"/>
  <c r="B106" i="1"/>
  <c r="C106" i="1"/>
  <c r="A107" i="1"/>
  <c r="K109" i="2" a="1"/>
  <c r="L108" i="2" a="1"/>
  <c r="J108" i="2" a="1"/>
  <c r="I108" i="2" a="1"/>
  <c r="H108" i="2" a="1"/>
  <c r="G108" i="2" a="1"/>
  <c r="F108" i="2" a="1"/>
  <c r="E108" i="2" a="1"/>
  <c r="D108" i="2" a="1"/>
  <c r="C108" i="2" a="1"/>
  <c r="B107" i="2" a="1"/>
  <c r="D107" i="1"/>
  <c r="B107" i="1" a="1"/>
  <c r="C107" i="1" a="1"/>
  <c r="K109" i="2" l="1"/>
  <c r="L108" i="2"/>
  <c r="J108" i="2"/>
  <c r="I108" i="2"/>
  <c r="H108" i="2"/>
  <c r="G108" i="2"/>
  <c r="F108" i="2"/>
  <c r="E108" i="2"/>
  <c r="D108" i="2"/>
  <c r="C108" i="2"/>
  <c r="B107" i="2"/>
  <c r="A109" i="2"/>
  <c r="C107" i="1"/>
  <c r="B107" i="1"/>
  <c r="A108" i="1"/>
  <c r="K110" i="2" a="1"/>
  <c r="L109" i="2" a="1"/>
  <c r="J109" i="2" a="1"/>
  <c r="I109" i="2" a="1"/>
  <c r="H109" i="2" a="1"/>
  <c r="G109" i="2" a="1"/>
  <c r="F109" i="2" a="1"/>
  <c r="E109" i="2" a="1"/>
  <c r="D109" i="2" a="1"/>
  <c r="C109" i="2" a="1"/>
  <c r="B108" i="2" a="1"/>
  <c r="D108" i="1"/>
  <c r="C108" i="1" a="1"/>
  <c r="B108" i="1" a="1"/>
  <c r="K110" i="2" l="1"/>
  <c r="L109" i="2"/>
  <c r="J109" i="2"/>
  <c r="I109" i="2"/>
  <c r="H109" i="2"/>
  <c r="G109" i="2"/>
  <c r="F109" i="2"/>
  <c r="E109" i="2"/>
  <c r="D109" i="2"/>
  <c r="C109" i="2"/>
  <c r="B108" i="2"/>
  <c r="A110" i="2"/>
  <c r="B108" i="1"/>
  <c r="C108" i="1"/>
  <c r="A109" i="1"/>
  <c r="K111" i="2" a="1"/>
  <c r="L110" i="2" a="1"/>
  <c r="J110" i="2" a="1"/>
  <c r="I110" i="2" a="1"/>
  <c r="H110" i="2" a="1"/>
  <c r="G110" i="2" a="1"/>
  <c r="F110" i="2" a="1"/>
  <c r="E110" i="2" a="1"/>
  <c r="D110" i="2" a="1"/>
  <c r="C110" i="2" a="1"/>
  <c r="B109" i="2" a="1"/>
  <c r="D109" i="1"/>
  <c r="B109" i="1" a="1"/>
  <c r="C109" i="1" a="1"/>
  <c r="K111" i="2" l="1"/>
  <c r="L110" i="2"/>
  <c r="J110" i="2"/>
  <c r="I110" i="2"/>
  <c r="H110" i="2"/>
  <c r="G110" i="2"/>
  <c r="F110" i="2"/>
  <c r="E110" i="2"/>
  <c r="D110" i="2"/>
  <c r="C110" i="2"/>
  <c r="B109" i="2"/>
  <c r="A111" i="2"/>
  <c r="C109" i="1"/>
  <c r="B109" i="1"/>
  <c r="A110" i="1"/>
  <c r="K112" i="2" a="1"/>
  <c r="L111" i="2" a="1"/>
  <c r="J111" i="2" a="1"/>
  <c r="I111" i="2" a="1"/>
  <c r="H111" i="2" a="1"/>
  <c r="G111" i="2" a="1"/>
  <c r="F111" i="2" a="1"/>
  <c r="E111" i="2" a="1"/>
  <c r="D111" i="2" a="1"/>
  <c r="C111" i="2" a="1"/>
  <c r="B110" i="2" a="1"/>
  <c r="D110" i="1"/>
  <c r="C110" i="1" a="1"/>
  <c r="B110" i="1" a="1"/>
  <c r="K112" i="2" l="1"/>
  <c r="L111" i="2"/>
  <c r="J111" i="2"/>
  <c r="I111" i="2"/>
  <c r="H111" i="2"/>
  <c r="G111" i="2"/>
  <c r="F111" i="2"/>
  <c r="E111" i="2"/>
  <c r="D111" i="2"/>
  <c r="C111" i="2"/>
  <c r="B110" i="2"/>
  <c r="A112" i="2"/>
  <c r="B110" i="1"/>
  <c r="C110" i="1"/>
  <c r="A111" i="1"/>
  <c r="K113" i="2" a="1"/>
  <c r="L112" i="2" a="1"/>
  <c r="J112" i="2" a="1"/>
  <c r="I112" i="2" a="1"/>
  <c r="H112" i="2" a="1"/>
  <c r="G112" i="2" a="1"/>
  <c r="F112" i="2" a="1"/>
  <c r="E112" i="2" a="1"/>
  <c r="D112" i="2" a="1"/>
  <c r="C112" i="2" a="1"/>
  <c r="B111" i="2" a="1"/>
  <c r="D111" i="1"/>
  <c r="B111" i="1" a="1"/>
  <c r="C111" i="1" a="1"/>
  <c r="K113" i="2" l="1"/>
  <c r="L112" i="2"/>
  <c r="J112" i="2"/>
  <c r="I112" i="2"/>
  <c r="H112" i="2"/>
  <c r="G112" i="2"/>
  <c r="F112" i="2"/>
  <c r="E112" i="2"/>
  <c r="D112" i="2"/>
  <c r="C112" i="2"/>
  <c r="B111" i="2"/>
  <c r="A113" i="2"/>
  <c r="C111" i="1"/>
  <c r="B111" i="1"/>
  <c r="A112" i="1"/>
  <c r="K114" i="2" a="1"/>
  <c r="L113" i="2" a="1"/>
  <c r="J113" i="2" a="1"/>
  <c r="I113" i="2" a="1"/>
  <c r="H113" i="2" a="1"/>
  <c r="G113" i="2" a="1"/>
  <c r="F113" i="2" a="1"/>
  <c r="E113" i="2" a="1"/>
  <c r="D113" i="2" a="1"/>
  <c r="C113" i="2" a="1"/>
  <c r="B112" i="2" a="1"/>
  <c r="D112" i="1"/>
  <c r="B112" i="1" a="1"/>
  <c r="C112" i="1" a="1"/>
  <c r="K114" i="2" l="1"/>
  <c r="L113" i="2"/>
  <c r="J113" i="2"/>
  <c r="I113" i="2"/>
  <c r="H113" i="2"/>
  <c r="G113" i="2"/>
  <c r="F113" i="2"/>
  <c r="E113" i="2"/>
  <c r="D113" i="2"/>
  <c r="C113" i="2"/>
  <c r="B112" i="2"/>
  <c r="A114" i="2"/>
  <c r="C112" i="1"/>
  <c r="B112" i="1"/>
  <c r="A113" i="1"/>
  <c r="K115" i="2" a="1"/>
  <c r="L114" i="2" a="1"/>
  <c r="J114" i="2" a="1"/>
  <c r="I114" i="2" a="1"/>
  <c r="H114" i="2" a="1"/>
  <c r="G114" i="2" a="1"/>
  <c r="F114" i="2" a="1"/>
  <c r="E114" i="2" a="1"/>
  <c r="D114" i="2" a="1"/>
  <c r="C114" i="2" a="1"/>
  <c r="B113" i="2" a="1"/>
  <c r="D113" i="1"/>
  <c r="C113" i="1" a="1"/>
  <c r="B113" i="1" a="1"/>
  <c r="K115" i="2" l="1"/>
  <c r="L114" i="2"/>
  <c r="J114" i="2"/>
  <c r="I114" i="2"/>
  <c r="H114" i="2"/>
  <c r="G114" i="2"/>
  <c r="F114" i="2"/>
  <c r="E114" i="2"/>
  <c r="D114" i="2"/>
  <c r="C114" i="2"/>
  <c r="B113" i="2"/>
  <c r="A115" i="2"/>
  <c r="B113" i="1"/>
  <c r="C113" i="1"/>
  <c r="A114" i="1"/>
  <c r="K116" i="2" a="1"/>
  <c r="L115" i="2" a="1"/>
  <c r="J115" i="2" a="1"/>
  <c r="I115" i="2" a="1"/>
  <c r="H115" i="2" a="1"/>
  <c r="G115" i="2" a="1"/>
  <c r="F115" i="2" a="1"/>
  <c r="E115" i="2" a="1"/>
  <c r="D115" i="2" a="1"/>
  <c r="C115" i="2" a="1"/>
  <c r="B114" i="2" a="1"/>
  <c r="D114" i="1"/>
  <c r="C114" i="1" a="1"/>
  <c r="B114" i="1" a="1"/>
  <c r="K116" i="2" l="1"/>
  <c r="L115" i="2"/>
  <c r="J115" i="2"/>
  <c r="I115" i="2"/>
  <c r="H115" i="2"/>
  <c r="G115" i="2"/>
  <c r="F115" i="2"/>
  <c r="E115" i="2"/>
  <c r="D115" i="2"/>
  <c r="C115" i="2"/>
  <c r="B114" i="2"/>
  <c r="A116" i="2"/>
  <c r="B114" i="1"/>
  <c r="C114" i="1"/>
  <c r="A115" i="1"/>
  <c r="K117" i="2" a="1"/>
  <c r="L116" i="2" a="1"/>
  <c r="J116" i="2" a="1"/>
  <c r="I116" i="2" a="1"/>
  <c r="H116" i="2" a="1"/>
  <c r="G116" i="2" a="1"/>
  <c r="F116" i="2" a="1"/>
  <c r="E116" i="2" a="1"/>
  <c r="D116" i="2" a="1"/>
  <c r="C116" i="2" a="1"/>
  <c r="B115" i="2" a="1"/>
  <c r="D115" i="1"/>
  <c r="B115" i="1" a="1"/>
  <c r="C115" i="1" a="1"/>
  <c r="K117" i="2" l="1"/>
  <c r="L116" i="2"/>
  <c r="J116" i="2"/>
  <c r="I116" i="2"/>
  <c r="H116" i="2"/>
  <c r="G116" i="2"/>
  <c r="F116" i="2"/>
  <c r="E116" i="2"/>
  <c r="D116" i="2"/>
  <c r="C116" i="2"/>
  <c r="B115" i="2"/>
  <c r="A117" i="2"/>
  <c r="C115" i="1"/>
  <c r="B115" i="1"/>
  <c r="A116" i="1"/>
  <c r="K118" i="2" a="1"/>
  <c r="L117" i="2" a="1"/>
  <c r="J117" i="2" a="1"/>
  <c r="I117" i="2" a="1"/>
  <c r="H117" i="2" a="1"/>
  <c r="G117" i="2" a="1"/>
  <c r="F117" i="2" a="1"/>
  <c r="E117" i="2" a="1"/>
  <c r="D117" i="2" a="1"/>
  <c r="C117" i="2" a="1"/>
  <c r="B116" i="2" a="1"/>
  <c r="D116" i="1"/>
  <c r="B116" i="1" a="1"/>
  <c r="C116" i="1" a="1"/>
  <c r="K118" i="2" l="1"/>
  <c r="L117" i="2"/>
  <c r="J117" i="2"/>
  <c r="I117" i="2"/>
  <c r="H117" i="2"/>
  <c r="G117" i="2"/>
  <c r="F117" i="2"/>
  <c r="E117" i="2"/>
  <c r="D117" i="2"/>
  <c r="C117" i="2"/>
  <c r="B116" i="2"/>
  <c r="A118" i="2"/>
  <c r="C116" i="1"/>
  <c r="B116" i="1"/>
  <c r="A117" i="1"/>
  <c r="K119" i="2" a="1"/>
  <c r="L118" i="2" a="1"/>
  <c r="J118" i="2" a="1"/>
  <c r="I118" i="2" a="1"/>
  <c r="H118" i="2" a="1"/>
  <c r="G118" i="2" a="1"/>
  <c r="F118" i="2" a="1"/>
  <c r="E118" i="2" a="1"/>
  <c r="D118" i="2" a="1"/>
  <c r="C118" i="2" a="1"/>
  <c r="B117" i="2" a="1"/>
  <c r="D117" i="1"/>
  <c r="C117" i="1" a="1"/>
  <c r="B117" i="1" a="1"/>
  <c r="K119" i="2" l="1"/>
  <c r="L118" i="2"/>
  <c r="J118" i="2"/>
  <c r="I118" i="2"/>
  <c r="H118" i="2"/>
  <c r="G118" i="2"/>
  <c r="F118" i="2"/>
  <c r="E118" i="2"/>
  <c r="D118" i="2"/>
  <c r="C118" i="2"/>
  <c r="B117" i="2"/>
  <c r="A119" i="2"/>
  <c r="B117" i="1"/>
  <c r="C117" i="1"/>
  <c r="A118" i="1"/>
  <c r="K120" i="2" a="1"/>
  <c r="L119" i="2" a="1"/>
  <c r="J119" i="2" a="1"/>
  <c r="I119" i="2" a="1"/>
  <c r="H119" i="2" a="1"/>
  <c r="G119" i="2" a="1"/>
  <c r="F119" i="2" a="1"/>
  <c r="E119" i="2" a="1"/>
  <c r="D119" i="2" a="1"/>
  <c r="C119" i="2" a="1"/>
  <c r="B118" i="2" a="1"/>
  <c r="D118" i="1"/>
  <c r="C118" i="1" a="1"/>
  <c r="B118" i="1" a="1"/>
  <c r="K120" i="2" l="1"/>
  <c r="L119" i="2"/>
  <c r="J119" i="2"/>
  <c r="I119" i="2"/>
  <c r="H119" i="2"/>
  <c r="G119" i="2"/>
  <c r="F119" i="2"/>
  <c r="E119" i="2"/>
  <c r="D119" i="2"/>
  <c r="C119" i="2"/>
  <c r="B118" i="2"/>
  <c r="A120" i="2"/>
  <c r="B118" i="1"/>
  <c r="C118" i="1"/>
  <c r="A119" i="1"/>
  <c r="K121" i="2" a="1"/>
  <c r="L120" i="2" a="1"/>
  <c r="J120" i="2" a="1"/>
  <c r="I120" i="2" a="1"/>
  <c r="H120" i="2" a="1"/>
  <c r="G120" i="2" a="1"/>
  <c r="F120" i="2" a="1"/>
  <c r="E120" i="2" a="1"/>
  <c r="D120" i="2" a="1"/>
  <c r="C120" i="2" a="1"/>
  <c r="B119" i="2" a="1"/>
  <c r="D119" i="1"/>
  <c r="C119" i="1" a="1"/>
  <c r="B119" i="1" a="1"/>
  <c r="K121" i="2" l="1"/>
  <c r="L120" i="2"/>
  <c r="J120" i="2"/>
  <c r="I120" i="2"/>
  <c r="H120" i="2"/>
  <c r="G120" i="2"/>
  <c r="F120" i="2"/>
  <c r="E120" i="2"/>
  <c r="D120" i="2"/>
  <c r="C120" i="2"/>
  <c r="B119" i="2"/>
  <c r="A121" i="2"/>
  <c r="B119" i="1"/>
  <c r="C119" i="1"/>
  <c r="A120" i="1"/>
  <c r="K122" i="2" a="1"/>
  <c r="L121" i="2" a="1"/>
  <c r="J121" i="2" a="1"/>
  <c r="I121" i="2" a="1"/>
  <c r="H121" i="2" a="1"/>
  <c r="G121" i="2" a="1"/>
  <c r="F121" i="2" a="1"/>
  <c r="E121" i="2" a="1"/>
  <c r="D121" i="2" a="1"/>
  <c r="C121" i="2" a="1"/>
  <c r="B120" i="2" a="1"/>
  <c r="D120" i="1"/>
  <c r="B120" i="1" a="1"/>
  <c r="C120" i="1" a="1"/>
  <c r="K122" i="2" l="1"/>
  <c r="L121" i="2"/>
  <c r="J121" i="2"/>
  <c r="I121" i="2"/>
  <c r="H121" i="2"/>
  <c r="G121" i="2"/>
  <c r="F121" i="2"/>
  <c r="E121" i="2"/>
  <c r="D121" i="2"/>
  <c r="C121" i="2"/>
  <c r="B120" i="2"/>
  <c r="A122" i="2"/>
  <c r="C120" i="1"/>
  <c r="B120" i="1"/>
  <c r="A121" i="1"/>
  <c r="K123" i="2" a="1"/>
  <c r="L122" i="2" a="1"/>
  <c r="J122" i="2" a="1"/>
  <c r="I122" i="2" a="1"/>
  <c r="H122" i="2" a="1"/>
  <c r="G122" i="2" a="1"/>
  <c r="F122" i="2" a="1"/>
  <c r="E122" i="2" a="1"/>
  <c r="D122" i="2" a="1"/>
  <c r="C122" i="2" a="1"/>
  <c r="B121" i="2" a="1"/>
  <c r="D121" i="1"/>
  <c r="C121" i="1" a="1"/>
  <c r="B121" i="1" a="1"/>
  <c r="K123" i="2" l="1"/>
  <c r="L122" i="2"/>
  <c r="J122" i="2"/>
  <c r="I122" i="2"/>
  <c r="H122" i="2"/>
  <c r="G122" i="2"/>
  <c r="F122" i="2"/>
  <c r="E122" i="2"/>
  <c r="D122" i="2"/>
  <c r="C122" i="2"/>
  <c r="B121" i="2"/>
  <c r="A123" i="2"/>
  <c r="B121" i="1"/>
  <c r="C121" i="1"/>
  <c r="A122" i="1"/>
  <c r="K124" i="2" a="1"/>
  <c r="L123" i="2" a="1"/>
  <c r="J123" i="2" a="1"/>
  <c r="I123" i="2" a="1"/>
  <c r="H123" i="2" a="1"/>
  <c r="G123" i="2" a="1"/>
  <c r="F123" i="2" a="1"/>
  <c r="E123" i="2" a="1"/>
  <c r="D123" i="2" a="1"/>
  <c r="C123" i="2" a="1"/>
  <c r="B122" i="2" a="1"/>
  <c r="D122" i="1"/>
  <c r="B122" i="1" a="1"/>
  <c r="C122" i="1" a="1"/>
  <c r="K124" i="2" l="1"/>
  <c r="L123" i="2"/>
  <c r="J123" i="2"/>
  <c r="I123" i="2"/>
  <c r="H123" i="2"/>
  <c r="G123" i="2"/>
  <c r="F123" i="2"/>
  <c r="E123" i="2"/>
  <c r="D123" i="2"/>
  <c r="C123" i="2"/>
  <c r="B122" i="2"/>
  <c r="A124" i="2"/>
  <c r="C122" i="1"/>
  <c r="B122" i="1"/>
  <c r="A123" i="1"/>
  <c r="K125" i="2" a="1"/>
  <c r="L124" i="2" a="1"/>
  <c r="J124" i="2" a="1"/>
  <c r="I124" i="2" a="1"/>
  <c r="H124" i="2" a="1"/>
  <c r="G124" i="2" a="1"/>
  <c r="F124" i="2" a="1"/>
  <c r="E124" i="2" a="1"/>
  <c r="D124" i="2" a="1"/>
  <c r="C124" i="2" a="1"/>
  <c r="B123" i="2" a="1"/>
  <c r="D123" i="1"/>
  <c r="C123" i="1" a="1"/>
  <c r="B123" i="1" a="1"/>
  <c r="K125" i="2" l="1"/>
  <c r="L124" i="2"/>
  <c r="J124" i="2"/>
  <c r="I124" i="2"/>
  <c r="H124" i="2"/>
  <c r="G124" i="2"/>
  <c r="F124" i="2"/>
  <c r="E124" i="2"/>
  <c r="D124" i="2"/>
  <c r="C124" i="2"/>
  <c r="B123" i="2"/>
  <c r="A125" i="2"/>
  <c r="B123" i="1"/>
  <c r="C123" i="1"/>
  <c r="A124" i="1"/>
  <c r="K126" i="2" a="1"/>
  <c r="L125" i="2" a="1"/>
  <c r="J125" i="2" a="1"/>
  <c r="I125" i="2" a="1"/>
  <c r="H125" i="2" a="1"/>
  <c r="G125" i="2" a="1"/>
  <c r="F125" i="2" a="1"/>
  <c r="E125" i="2" a="1"/>
  <c r="D125" i="2" a="1"/>
  <c r="C125" i="2" a="1"/>
  <c r="B124" i="2" a="1"/>
  <c r="D124" i="1"/>
  <c r="B124" i="1" a="1"/>
  <c r="C124" i="1" a="1"/>
  <c r="K126" i="2" l="1"/>
  <c r="L125" i="2"/>
  <c r="J125" i="2"/>
  <c r="I125" i="2"/>
  <c r="H125" i="2"/>
  <c r="G125" i="2"/>
  <c r="F125" i="2"/>
  <c r="E125" i="2"/>
  <c r="D125" i="2"/>
  <c r="C125" i="2"/>
  <c r="B124" i="2"/>
  <c r="A126" i="2"/>
  <c r="C124" i="1"/>
  <c r="B124" i="1"/>
  <c r="A125" i="1"/>
  <c r="K127" i="2" a="1"/>
  <c r="L126" i="2" a="1"/>
  <c r="J126" i="2" a="1"/>
  <c r="I126" i="2" a="1"/>
  <c r="H126" i="2" a="1"/>
  <c r="G126" i="2" a="1"/>
  <c r="F126" i="2" a="1"/>
  <c r="E126" i="2" a="1"/>
  <c r="D126" i="2" a="1"/>
  <c r="C126" i="2" a="1"/>
  <c r="B125" i="2" a="1"/>
  <c r="C125" i="1" a="1"/>
  <c r="D125" i="1"/>
  <c r="B125" i="1" a="1"/>
  <c r="K127" i="2" l="1"/>
  <c r="L126" i="2"/>
  <c r="J126" i="2"/>
  <c r="I126" i="2"/>
  <c r="H126" i="2"/>
  <c r="G126" i="2"/>
  <c r="F126" i="2"/>
  <c r="E126" i="2"/>
  <c r="D126" i="2"/>
  <c r="C126" i="2"/>
  <c r="B125" i="2"/>
  <c r="A127" i="2"/>
  <c r="B125" i="1"/>
  <c r="C125" i="1"/>
  <c r="A126" i="1"/>
  <c r="K128" i="2" a="1"/>
  <c r="L127" i="2" a="1"/>
  <c r="J127" i="2" a="1"/>
  <c r="I127" i="2" a="1"/>
  <c r="H127" i="2" a="1"/>
  <c r="G127" i="2" a="1"/>
  <c r="F127" i="2" a="1"/>
  <c r="E127" i="2" a="1"/>
  <c r="D127" i="2" a="1"/>
  <c r="C127" i="2" a="1"/>
  <c r="B126" i="2" a="1"/>
  <c r="D126" i="1"/>
  <c r="B126" i="1" a="1"/>
  <c r="C126" i="1" a="1"/>
  <c r="K128" i="2" l="1"/>
  <c r="L127" i="2"/>
  <c r="J127" i="2"/>
  <c r="I127" i="2"/>
  <c r="H127" i="2"/>
  <c r="G127" i="2"/>
  <c r="F127" i="2"/>
  <c r="E127" i="2"/>
  <c r="D127" i="2"/>
  <c r="C127" i="2"/>
  <c r="B126" i="2"/>
  <c r="A128" i="2"/>
  <c r="B126" i="1"/>
  <c r="C126" i="1"/>
  <c r="A127" i="1"/>
  <c r="K129" i="2" a="1"/>
  <c r="L128" i="2" a="1"/>
  <c r="J128" i="2" a="1"/>
  <c r="I128" i="2" a="1"/>
  <c r="H128" i="2" a="1"/>
  <c r="G128" i="2" a="1"/>
  <c r="F128" i="2" a="1"/>
  <c r="E128" i="2" a="1"/>
  <c r="D128" i="2" a="1"/>
  <c r="C128" i="2" a="1"/>
  <c r="B127" i="2" a="1"/>
  <c r="C127" i="1" a="1"/>
  <c r="D127" i="1"/>
  <c r="B127" i="1" a="1"/>
  <c r="K129" i="2" l="1"/>
  <c r="L128" i="2"/>
  <c r="J128" i="2"/>
  <c r="I128" i="2"/>
  <c r="H128" i="2"/>
  <c r="G128" i="2"/>
  <c r="F128" i="2"/>
  <c r="E128" i="2"/>
  <c r="D128" i="2"/>
  <c r="C128" i="2"/>
  <c r="B127" i="2"/>
  <c r="A129" i="2"/>
  <c r="B127" i="1"/>
  <c r="C127" i="1"/>
  <c r="A128" i="1"/>
  <c r="K130" i="2" a="1"/>
  <c r="L129" i="2" a="1"/>
  <c r="J129" i="2" a="1"/>
  <c r="I129" i="2" a="1"/>
  <c r="H129" i="2" a="1"/>
  <c r="G129" i="2" a="1"/>
  <c r="F129" i="2" a="1"/>
  <c r="E129" i="2" a="1"/>
  <c r="D129" i="2" a="1"/>
  <c r="C129" i="2" a="1"/>
  <c r="B128" i="2" a="1"/>
  <c r="D128" i="1"/>
  <c r="B128" i="1" a="1"/>
  <c r="C128" i="1" a="1"/>
  <c r="K130" i="2" l="1"/>
  <c r="L129" i="2"/>
  <c r="J129" i="2"/>
  <c r="I129" i="2"/>
  <c r="H129" i="2"/>
  <c r="G129" i="2"/>
  <c r="F129" i="2"/>
  <c r="E129" i="2"/>
  <c r="D129" i="2"/>
  <c r="C129" i="2"/>
  <c r="B128" i="2"/>
  <c r="A130" i="2"/>
  <c r="B128" i="1"/>
  <c r="C128" i="1"/>
  <c r="A129" i="1"/>
  <c r="K131" i="2" a="1"/>
  <c r="L130" i="2" a="1"/>
  <c r="J130" i="2" a="1"/>
  <c r="I130" i="2" a="1"/>
  <c r="H130" i="2" a="1"/>
  <c r="G130" i="2" a="1"/>
  <c r="F130" i="2" a="1"/>
  <c r="E130" i="2" a="1"/>
  <c r="D130" i="2" a="1"/>
  <c r="C130" i="2" a="1"/>
  <c r="B129" i="2" a="1"/>
  <c r="D129" i="1"/>
  <c r="B129" i="1" a="1"/>
  <c r="C129" i="1" a="1"/>
  <c r="K131" i="2" l="1"/>
  <c r="L130" i="2"/>
  <c r="J130" i="2"/>
  <c r="I130" i="2"/>
  <c r="H130" i="2"/>
  <c r="G130" i="2"/>
  <c r="F130" i="2"/>
  <c r="E130" i="2"/>
  <c r="D130" i="2"/>
  <c r="C130" i="2"/>
  <c r="B129" i="2"/>
  <c r="A131" i="2"/>
  <c r="B129" i="1"/>
  <c r="C129" i="1"/>
  <c r="A130" i="1"/>
  <c r="K132" i="2" a="1"/>
  <c r="L131" i="2" a="1"/>
  <c r="J131" i="2" a="1"/>
  <c r="I131" i="2" a="1"/>
  <c r="H131" i="2" a="1"/>
  <c r="G131" i="2" a="1"/>
  <c r="F131" i="2" a="1"/>
  <c r="E131" i="2" a="1"/>
  <c r="D131" i="2" a="1"/>
  <c r="C131" i="2" a="1"/>
  <c r="B130" i="2" a="1"/>
  <c r="D130" i="1"/>
  <c r="B130" i="1" a="1"/>
  <c r="C130" i="1" a="1"/>
  <c r="K132" i="2" l="1"/>
  <c r="L131" i="2"/>
  <c r="J131" i="2"/>
  <c r="I131" i="2"/>
  <c r="H131" i="2"/>
  <c r="G131" i="2"/>
  <c r="F131" i="2"/>
  <c r="E131" i="2"/>
  <c r="D131" i="2"/>
  <c r="C131" i="2"/>
  <c r="B130" i="2"/>
  <c r="A132" i="2"/>
  <c r="B130" i="1"/>
  <c r="C130" i="1"/>
  <c r="A131" i="1"/>
  <c r="K133" i="2" a="1"/>
  <c r="L132" i="2" a="1"/>
  <c r="J132" i="2" a="1"/>
  <c r="I132" i="2" a="1"/>
  <c r="H132" i="2" a="1"/>
  <c r="G132" i="2" a="1"/>
  <c r="F132" i="2" a="1"/>
  <c r="E132" i="2" a="1"/>
  <c r="D132" i="2" a="1"/>
  <c r="C132" i="2" a="1"/>
  <c r="B131" i="2" a="1"/>
  <c r="D131" i="1"/>
  <c r="B131" i="1" a="1"/>
  <c r="C131" i="1" a="1"/>
  <c r="K133" i="2" l="1"/>
  <c r="L132" i="2"/>
  <c r="J132" i="2"/>
  <c r="I132" i="2"/>
  <c r="H132" i="2"/>
  <c r="G132" i="2"/>
  <c r="F132" i="2"/>
  <c r="E132" i="2"/>
  <c r="D132" i="2"/>
  <c r="C132" i="2"/>
  <c r="B131" i="2"/>
  <c r="A133" i="2"/>
  <c r="B131" i="1"/>
  <c r="C131" i="1"/>
  <c r="A132" i="1"/>
  <c r="K134" i="2" a="1"/>
  <c r="L133" i="2" a="1"/>
  <c r="J133" i="2" a="1"/>
  <c r="I133" i="2" a="1"/>
  <c r="H133" i="2" a="1"/>
  <c r="G133" i="2" a="1"/>
  <c r="F133" i="2" a="1"/>
  <c r="E133" i="2" a="1"/>
  <c r="D133" i="2" a="1"/>
  <c r="C133" i="2" a="1"/>
  <c r="B132" i="2" a="1"/>
  <c r="D132" i="1"/>
  <c r="B132" i="1" a="1"/>
  <c r="C132" i="1" a="1"/>
  <c r="K134" i="2" l="1"/>
  <c r="L133" i="2"/>
  <c r="J133" i="2"/>
  <c r="I133" i="2"/>
  <c r="H133" i="2"/>
  <c r="G133" i="2"/>
  <c r="F133" i="2"/>
  <c r="E133" i="2"/>
  <c r="D133" i="2"/>
  <c r="C133" i="2"/>
  <c r="B132" i="2"/>
  <c r="A134" i="2"/>
  <c r="B132" i="1"/>
  <c r="C132" i="1"/>
  <c r="A133" i="1"/>
  <c r="K135" i="2" a="1"/>
  <c r="L134" i="2" a="1"/>
  <c r="J134" i="2" a="1"/>
  <c r="I134" i="2" a="1"/>
  <c r="H134" i="2" a="1"/>
  <c r="G134" i="2" a="1"/>
  <c r="F134" i="2" a="1"/>
  <c r="E134" i="2" a="1"/>
  <c r="D134" i="2" a="1"/>
  <c r="C134" i="2" a="1"/>
  <c r="B133" i="2" a="1"/>
  <c r="D133" i="1"/>
  <c r="C133" i="1" a="1"/>
  <c r="B133" i="1" a="1"/>
  <c r="K135" i="2" l="1"/>
  <c r="L134" i="2"/>
  <c r="J134" i="2"/>
  <c r="I134" i="2"/>
  <c r="H134" i="2"/>
  <c r="G134" i="2"/>
  <c r="F134" i="2"/>
  <c r="E134" i="2"/>
  <c r="D134" i="2"/>
  <c r="C134" i="2"/>
  <c r="B133" i="2"/>
  <c r="A135" i="2"/>
  <c r="B133" i="1"/>
  <c r="C133" i="1"/>
  <c r="A134" i="1"/>
  <c r="K136" i="2" a="1"/>
  <c r="L135" i="2" a="1"/>
  <c r="J135" i="2" a="1"/>
  <c r="I135" i="2" a="1"/>
  <c r="H135" i="2" a="1"/>
  <c r="G135" i="2" a="1"/>
  <c r="F135" i="2" a="1"/>
  <c r="E135" i="2" a="1"/>
  <c r="D135" i="2" a="1"/>
  <c r="C135" i="2" a="1"/>
  <c r="B134" i="2" a="1"/>
  <c r="D134" i="1"/>
  <c r="B134" i="1" a="1"/>
  <c r="C134" i="1" a="1"/>
  <c r="K136" i="2" l="1"/>
  <c r="L135" i="2"/>
  <c r="J135" i="2"/>
  <c r="I135" i="2"/>
  <c r="H135" i="2"/>
  <c r="G135" i="2"/>
  <c r="F135" i="2"/>
  <c r="E135" i="2"/>
  <c r="D135" i="2"/>
  <c r="C135" i="2"/>
  <c r="B134" i="2"/>
  <c r="A136" i="2"/>
  <c r="B134" i="1"/>
  <c r="C134" i="1"/>
  <c r="A135" i="1"/>
  <c r="K137" i="2" a="1"/>
  <c r="L136" i="2" a="1"/>
  <c r="J136" i="2" a="1"/>
  <c r="I136" i="2" a="1"/>
  <c r="H136" i="2" a="1"/>
  <c r="G136" i="2" a="1"/>
  <c r="F136" i="2" a="1"/>
  <c r="E136" i="2" a="1"/>
  <c r="D136" i="2" a="1"/>
  <c r="C136" i="2" a="1"/>
  <c r="B135" i="2" a="1"/>
  <c r="D135" i="1"/>
  <c r="B135" i="1" a="1"/>
  <c r="C135" i="1" a="1"/>
  <c r="K137" i="2" l="1"/>
  <c r="L136" i="2"/>
  <c r="J136" i="2"/>
  <c r="I136" i="2"/>
  <c r="H136" i="2"/>
  <c r="G136" i="2"/>
  <c r="F136" i="2"/>
  <c r="E136" i="2"/>
  <c r="D136" i="2"/>
  <c r="C136" i="2"/>
  <c r="B135" i="2"/>
  <c r="A137" i="2"/>
  <c r="B135" i="1"/>
  <c r="C135" i="1"/>
  <c r="A136" i="1"/>
  <c r="K138" i="2" a="1"/>
  <c r="L137" i="2" a="1"/>
  <c r="J137" i="2" a="1"/>
  <c r="I137" i="2" a="1"/>
  <c r="H137" i="2" a="1"/>
  <c r="G137" i="2" a="1"/>
  <c r="F137" i="2" a="1"/>
  <c r="E137" i="2" a="1"/>
  <c r="D137" i="2" a="1"/>
  <c r="C137" i="2" a="1"/>
  <c r="B136" i="2" a="1"/>
  <c r="C136" i="1" a="1"/>
  <c r="D136" i="1"/>
  <c r="B136" i="1" a="1"/>
  <c r="K138" i="2" l="1"/>
  <c r="L137" i="2"/>
  <c r="J137" i="2"/>
  <c r="I137" i="2"/>
  <c r="H137" i="2"/>
  <c r="G137" i="2"/>
  <c r="F137" i="2"/>
  <c r="E137" i="2"/>
  <c r="D137" i="2"/>
  <c r="C137" i="2"/>
  <c r="B136" i="2"/>
  <c r="A138" i="2"/>
  <c r="B136" i="1"/>
  <c r="C136" i="1"/>
  <c r="A137" i="1"/>
  <c r="K139" i="2" a="1"/>
  <c r="L138" i="2" a="1"/>
  <c r="J138" i="2" a="1"/>
  <c r="I138" i="2" a="1"/>
  <c r="H138" i="2" a="1"/>
  <c r="G138" i="2" a="1"/>
  <c r="F138" i="2" a="1"/>
  <c r="E138" i="2" a="1"/>
  <c r="D138" i="2" a="1"/>
  <c r="C138" i="2" a="1"/>
  <c r="B137" i="2" a="1"/>
  <c r="D137" i="1"/>
  <c r="B137" i="1" a="1"/>
  <c r="C137" i="1" a="1"/>
  <c r="K139" i="2" l="1"/>
  <c r="L138" i="2"/>
  <c r="J138" i="2"/>
  <c r="I138" i="2"/>
  <c r="H138" i="2"/>
  <c r="G138" i="2"/>
  <c r="F138" i="2"/>
  <c r="E138" i="2"/>
  <c r="D138" i="2"/>
  <c r="C138" i="2"/>
  <c r="B137" i="2"/>
  <c r="A139" i="2"/>
  <c r="B137" i="1"/>
  <c r="C137" i="1"/>
  <c r="A138" i="1"/>
  <c r="K140" i="2" a="1"/>
  <c r="L139" i="2" a="1"/>
  <c r="J139" i="2" a="1"/>
  <c r="I139" i="2" a="1"/>
  <c r="H139" i="2" a="1"/>
  <c r="G139" i="2" a="1"/>
  <c r="F139" i="2" a="1"/>
  <c r="E139" i="2" a="1"/>
  <c r="D139" i="2" a="1"/>
  <c r="C139" i="2" a="1"/>
  <c r="B138" i="2" a="1"/>
  <c r="D138" i="1"/>
  <c r="B138" i="1" a="1"/>
  <c r="C138" i="1" a="1"/>
  <c r="K140" i="2" l="1"/>
  <c r="L139" i="2"/>
  <c r="J139" i="2"/>
  <c r="I139" i="2"/>
  <c r="H139" i="2"/>
  <c r="G139" i="2"/>
  <c r="F139" i="2"/>
  <c r="E139" i="2"/>
  <c r="D139" i="2"/>
  <c r="C139" i="2"/>
  <c r="B138" i="2"/>
  <c r="A140" i="2"/>
  <c r="B138" i="1"/>
  <c r="C138" i="1"/>
  <c r="A139" i="1"/>
  <c r="K141" i="2" a="1"/>
  <c r="L140" i="2" a="1"/>
  <c r="J140" i="2" a="1"/>
  <c r="I140" i="2" a="1"/>
  <c r="H140" i="2" a="1"/>
  <c r="G140" i="2" a="1"/>
  <c r="F140" i="2" a="1"/>
  <c r="E140" i="2" a="1"/>
  <c r="D140" i="2" a="1"/>
  <c r="C140" i="2" a="1"/>
  <c r="B139" i="2" a="1"/>
  <c r="D139" i="1"/>
  <c r="C139" i="1" a="1"/>
  <c r="B139" i="1" a="1"/>
  <c r="K141" i="2" l="1"/>
  <c r="L140" i="2"/>
  <c r="J140" i="2"/>
  <c r="I140" i="2"/>
  <c r="H140" i="2"/>
  <c r="G140" i="2"/>
  <c r="F140" i="2"/>
  <c r="E140" i="2"/>
  <c r="D140" i="2"/>
  <c r="C140" i="2"/>
  <c r="B139" i="2"/>
  <c r="A141" i="2"/>
  <c r="B139" i="1"/>
  <c r="C139" i="1"/>
  <c r="A140" i="1"/>
  <c r="K142" i="2" a="1"/>
  <c r="L141" i="2" a="1"/>
  <c r="J141" i="2" a="1"/>
  <c r="I141" i="2" a="1"/>
  <c r="H141" i="2" a="1"/>
  <c r="G141" i="2" a="1"/>
  <c r="F141" i="2" a="1"/>
  <c r="E141" i="2" a="1"/>
  <c r="D141" i="2" a="1"/>
  <c r="C141" i="2" a="1"/>
  <c r="B140" i="2" a="1"/>
  <c r="D140" i="1"/>
  <c r="C140" i="1" a="1"/>
  <c r="B140" i="1" a="1"/>
  <c r="K142" i="2" l="1"/>
  <c r="L141" i="2"/>
  <c r="J141" i="2"/>
  <c r="I141" i="2"/>
  <c r="H141" i="2"/>
  <c r="G141" i="2"/>
  <c r="F141" i="2"/>
  <c r="E141" i="2"/>
  <c r="D141" i="2"/>
  <c r="C141" i="2"/>
  <c r="B140" i="2"/>
  <c r="A142" i="2"/>
  <c r="B140" i="1"/>
  <c r="C140" i="1"/>
  <c r="A141" i="1"/>
  <c r="K143" i="2" a="1"/>
  <c r="L142" i="2" a="1"/>
  <c r="J142" i="2" a="1"/>
  <c r="I142" i="2" a="1"/>
  <c r="H142" i="2" a="1"/>
  <c r="G142" i="2" a="1"/>
  <c r="F142" i="2" a="1"/>
  <c r="E142" i="2" a="1"/>
  <c r="D142" i="2" a="1"/>
  <c r="C142" i="2" a="1"/>
  <c r="B141" i="2" a="1"/>
  <c r="D141" i="1"/>
  <c r="C141" i="1" a="1"/>
  <c r="B141" i="1" a="1"/>
  <c r="K143" i="2" l="1"/>
  <c r="L142" i="2"/>
  <c r="J142" i="2"/>
  <c r="I142" i="2"/>
  <c r="H142" i="2"/>
  <c r="G142" i="2"/>
  <c r="F142" i="2"/>
  <c r="E142" i="2"/>
  <c r="D142" i="2"/>
  <c r="C142" i="2"/>
  <c r="B141" i="2"/>
  <c r="A143" i="2"/>
  <c r="B141" i="1"/>
  <c r="C141" i="1"/>
  <c r="A142" i="1"/>
  <c r="K144" i="2" a="1"/>
  <c r="L143" i="2" a="1"/>
  <c r="J143" i="2" a="1"/>
  <c r="I143" i="2" a="1"/>
  <c r="H143" i="2" a="1"/>
  <c r="G143" i="2" a="1"/>
  <c r="F143" i="2" a="1"/>
  <c r="E143" i="2" a="1"/>
  <c r="D143" i="2" a="1"/>
  <c r="C143" i="2" a="1"/>
  <c r="B142" i="2" a="1"/>
  <c r="D142" i="1"/>
  <c r="B142" i="1" a="1"/>
  <c r="C142" i="1" a="1"/>
  <c r="K144" i="2" l="1"/>
  <c r="L143" i="2"/>
  <c r="J143" i="2"/>
  <c r="I143" i="2"/>
  <c r="H143" i="2"/>
  <c r="G143" i="2"/>
  <c r="F143" i="2"/>
  <c r="E143" i="2"/>
  <c r="D143" i="2"/>
  <c r="C143" i="2"/>
  <c r="B142" i="2"/>
  <c r="A144" i="2"/>
  <c r="B142" i="1"/>
  <c r="C142" i="1"/>
  <c r="A143" i="1"/>
  <c r="K145" i="2" a="1"/>
  <c r="L144" i="2" a="1"/>
  <c r="J144" i="2" a="1"/>
  <c r="I144" i="2" a="1"/>
  <c r="H144" i="2" a="1"/>
  <c r="G144" i="2" a="1"/>
  <c r="F144" i="2" a="1"/>
  <c r="E144" i="2" a="1"/>
  <c r="D144" i="2" a="1"/>
  <c r="C144" i="2" a="1"/>
  <c r="B143" i="2" a="1"/>
  <c r="D143" i="1"/>
  <c r="B143" i="1" a="1"/>
  <c r="C143" i="1" a="1"/>
  <c r="K145" i="2" l="1"/>
  <c r="L144" i="2"/>
  <c r="J144" i="2"/>
  <c r="I144" i="2"/>
  <c r="H144" i="2"/>
  <c r="G144" i="2"/>
  <c r="F144" i="2"/>
  <c r="E144" i="2"/>
  <c r="D144" i="2"/>
  <c r="C144" i="2"/>
  <c r="B143" i="2"/>
  <c r="A145" i="2"/>
  <c r="B143" i="1"/>
  <c r="C143" i="1"/>
  <c r="A144" i="1"/>
  <c r="K146" i="2" a="1"/>
  <c r="L145" i="2" a="1"/>
  <c r="J145" i="2" a="1"/>
  <c r="I145" i="2" a="1"/>
  <c r="H145" i="2" a="1"/>
  <c r="G145" i="2" a="1"/>
  <c r="F145" i="2" a="1"/>
  <c r="E145" i="2" a="1"/>
  <c r="D145" i="2" a="1"/>
  <c r="C145" i="2" a="1"/>
  <c r="B144" i="2" a="1"/>
  <c r="D144" i="1"/>
  <c r="B144" i="1" a="1"/>
  <c r="C144" i="1" a="1"/>
  <c r="K146" i="2" l="1"/>
  <c r="L145" i="2"/>
  <c r="J145" i="2"/>
  <c r="I145" i="2"/>
  <c r="H145" i="2"/>
  <c r="G145" i="2"/>
  <c r="F145" i="2"/>
  <c r="E145" i="2"/>
  <c r="D145" i="2"/>
  <c r="C145" i="2"/>
  <c r="B144" i="2"/>
  <c r="A146" i="2"/>
  <c r="B144" i="1"/>
  <c r="C144" i="1"/>
  <c r="A145" i="1"/>
  <c r="K147" i="2" a="1"/>
  <c r="L146" i="2" a="1"/>
  <c r="J146" i="2" a="1"/>
  <c r="I146" i="2" a="1"/>
  <c r="H146" i="2" a="1"/>
  <c r="G146" i="2" a="1"/>
  <c r="F146" i="2" a="1"/>
  <c r="E146" i="2" a="1"/>
  <c r="D146" i="2" a="1"/>
  <c r="C146" i="2" a="1"/>
  <c r="B145" i="2" a="1"/>
  <c r="D145" i="1"/>
  <c r="B145" i="1" a="1"/>
  <c r="C145" i="1" a="1"/>
  <c r="K147" i="2" l="1"/>
  <c r="L146" i="2"/>
  <c r="J146" i="2"/>
  <c r="I146" i="2"/>
  <c r="H146" i="2"/>
  <c r="G146" i="2"/>
  <c r="F146" i="2"/>
  <c r="E146" i="2"/>
  <c r="D146" i="2"/>
  <c r="C146" i="2"/>
  <c r="B145" i="2"/>
  <c r="A147" i="2"/>
  <c r="B145" i="1"/>
  <c r="C145" i="1"/>
  <c r="A146" i="1"/>
  <c r="K148" i="2" a="1"/>
  <c r="L147" i="2" a="1"/>
  <c r="J147" i="2" a="1"/>
  <c r="I147" i="2" a="1"/>
  <c r="H147" i="2" a="1"/>
  <c r="G147" i="2" a="1"/>
  <c r="F147" i="2" a="1"/>
  <c r="E147" i="2" a="1"/>
  <c r="D147" i="2" a="1"/>
  <c r="C147" i="2" a="1"/>
  <c r="B146" i="2" a="1"/>
  <c r="D146" i="1"/>
  <c r="B146" i="1" a="1"/>
  <c r="C146" i="1" a="1"/>
  <c r="K148" i="2" l="1"/>
  <c r="L147" i="2"/>
  <c r="J147" i="2"/>
  <c r="I147" i="2"/>
  <c r="H147" i="2"/>
  <c r="G147" i="2"/>
  <c r="F147" i="2"/>
  <c r="E147" i="2"/>
  <c r="D147" i="2"/>
  <c r="C147" i="2"/>
  <c r="B146" i="2"/>
  <c r="A148" i="2"/>
  <c r="B146" i="1"/>
  <c r="C146" i="1"/>
  <c r="A147" i="1"/>
  <c r="K149" i="2" a="1"/>
  <c r="L148" i="2" a="1"/>
  <c r="J148" i="2" a="1"/>
  <c r="I148" i="2" a="1"/>
  <c r="H148" i="2" a="1"/>
  <c r="G148" i="2" a="1"/>
  <c r="F148" i="2" a="1"/>
  <c r="E148" i="2" a="1"/>
  <c r="D148" i="2" a="1"/>
  <c r="C148" i="2" a="1"/>
  <c r="B147" i="2" a="1"/>
  <c r="C147" i="1" a="1"/>
  <c r="B147" i="1" a="1"/>
  <c r="D147" i="1"/>
  <c r="K149" i="2" l="1"/>
  <c r="L148" i="2"/>
  <c r="J148" i="2"/>
  <c r="I148" i="2"/>
  <c r="H148" i="2"/>
  <c r="G148" i="2"/>
  <c r="F148" i="2"/>
  <c r="E148" i="2"/>
  <c r="D148" i="2"/>
  <c r="C148" i="2"/>
  <c r="B147" i="2"/>
  <c r="A149" i="2"/>
  <c r="B147" i="1"/>
  <c r="C147" i="1"/>
  <c r="A148" i="1"/>
  <c r="K150" i="2" a="1"/>
  <c r="L149" i="2" a="1"/>
  <c r="J149" i="2" a="1"/>
  <c r="I149" i="2" a="1"/>
  <c r="H149" i="2" a="1"/>
  <c r="G149" i="2" a="1"/>
  <c r="F149" i="2" a="1"/>
  <c r="E149" i="2" a="1"/>
  <c r="D149" i="2" a="1"/>
  <c r="C149" i="2" a="1"/>
  <c r="B148" i="2" a="1"/>
  <c r="D148" i="1"/>
  <c r="B148" i="1" a="1"/>
  <c r="C148" i="1" a="1"/>
  <c r="K150" i="2" l="1"/>
  <c r="L149" i="2"/>
  <c r="J149" i="2"/>
  <c r="I149" i="2"/>
  <c r="H149" i="2"/>
  <c r="G149" i="2"/>
  <c r="F149" i="2"/>
  <c r="E149" i="2"/>
  <c r="D149" i="2"/>
  <c r="C149" i="2"/>
  <c r="B148" i="2"/>
  <c r="A150" i="2"/>
  <c r="B148" i="1"/>
  <c r="C148" i="1"/>
  <c r="A149" i="1"/>
  <c r="K151" i="2" a="1"/>
  <c r="L150" i="2" a="1"/>
  <c r="J150" i="2" a="1"/>
  <c r="I150" i="2" a="1"/>
  <c r="H150" i="2" a="1"/>
  <c r="G150" i="2" a="1"/>
  <c r="F150" i="2" a="1"/>
  <c r="E150" i="2" a="1"/>
  <c r="D150" i="2" a="1"/>
  <c r="C150" i="2" a="1"/>
  <c r="B149" i="2" a="1"/>
  <c r="D149" i="1"/>
  <c r="B149" i="1" a="1"/>
  <c r="C149" i="1" a="1"/>
  <c r="K151" i="2" l="1"/>
  <c r="L150" i="2"/>
  <c r="J150" i="2"/>
  <c r="I150" i="2"/>
  <c r="H150" i="2"/>
  <c r="G150" i="2"/>
  <c r="F150" i="2"/>
  <c r="E150" i="2"/>
  <c r="D150" i="2"/>
  <c r="C150" i="2"/>
  <c r="B149" i="2"/>
  <c r="A151" i="2"/>
  <c r="B149" i="1"/>
  <c r="C149" i="1"/>
  <c r="A150" i="1"/>
  <c r="K152" i="2" a="1"/>
  <c r="L151" i="2" a="1"/>
  <c r="J151" i="2" a="1"/>
  <c r="I151" i="2" a="1"/>
  <c r="H151" i="2" a="1"/>
  <c r="G151" i="2" a="1"/>
  <c r="F151" i="2" a="1"/>
  <c r="E151" i="2" a="1"/>
  <c r="D151" i="2" a="1"/>
  <c r="C151" i="2" a="1"/>
  <c r="B150" i="2" a="1"/>
  <c r="D150" i="1"/>
  <c r="B150" i="1" a="1"/>
  <c r="C150" i="1" a="1"/>
  <c r="K152" i="2" l="1"/>
  <c r="L151" i="2"/>
  <c r="J151" i="2"/>
  <c r="I151" i="2"/>
  <c r="H151" i="2"/>
  <c r="G151" i="2"/>
  <c r="F151" i="2"/>
  <c r="E151" i="2"/>
  <c r="D151" i="2"/>
  <c r="C151" i="2"/>
  <c r="B150" i="2"/>
  <c r="A152" i="2"/>
  <c r="B150" i="1"/>
  <c r="C150" i="1"/>
  <c r="A151" i="1"/>
  <c r="K153" i="2" a="1"/>
  <c r="L152" i="2" a="1"/>
  <c r="J152" i="2" a="1"/>
  <c r="I152" i="2" a="1"/>
  <c r="H152" i="2" a="1"/>
  <c r="G152" i="2" a="1"/>
  <c r="F152" i="2" a="1"/>
  <c r="E152" i="2" a="1"/>
  <c r="D152" i="2" a="1"/>
  <c r="C152" i="2" a="1"/>
  <c r="B151" i="2" a="1"/>
  <c r="D151" i="1"/>
  <c r="C151" i="1" a="1"/>
  <c r="B151" i="1" a="1"/>
  <c r="K153" i="2" l="1"/>
  <c r="L152" i="2"/>
  <c r="J152" i="2"/>
  <c r="I152" i="2"/>
  <c r="H152" i="2"/>
  <c r="G152" i="2"/>
  <c r="F152" i="2"/>
  <c r="E152" i="2"/>
  <c r="D152" i="2"/>
  <c r="C152" i="2"/>
  <c r="B151" i="2"/>
  <c r="A153" i="2"/>
  <c r="B151" i="1"/>
  <c r="C151" i="1"/>
  <c r="A152" i="1"/>
  <c r="K154" i="2" a="1"/>
  <c r="L153" i="2" a="1"/>
  <c r="J153" i="2" a="1"/>
  <c r="I153" i="2" a="1"/>
  <c r="H153" i="2" a="1"/>
  <c r="G153" i="2" a="1"/>
  <c r="F153" i="2" a="1"/>
  <c r="E153" i="2" a="1"/>
  <c r="D153" i="2" a="1"/>
  <c r="C153" i="2" a="1"/>
  <c r="B152" i="2" a="1"/>
  <c r="D152" i="1"/>
  <c r="B152" i="1" a="1"/>
  <c r="C152" i="1" a="1"/>
  <c r="K154" i="2" l="1"/>
  <c r="L153" i="2"/>
  <c r="J153" i="2"/>
  <c r="I153" i="2"/>
  <c r="H153" i="2"/>
  <c r="G153" i="2"/>
  <c r="F153" i="2"/>
  <c r="E153" i="2"/>
  <c r="D153" i="2"/>
  <c r="C153" i="2"/>
  <c r="B152" i="2"/>
  <c r="A154" i="2"/>
  <c r="B152" i="1"/>
  <c r="C152" i="1"/>
  <c r="A153" i="1"/>
  <c r="K155" i="2" a="1"/>
  <c r="L154" i="2" a="1"/>
  <c r="J154" i="2" a="1"/>
  <c r="I154" i="2" a="1"/>
  <c r="H154" i="2" a="1"/>
  <c r="G154" i="2" a="1"/>
  <c r="F154" i="2" a="1"/>
  <c r="E154" i="2" a="1"/>
  <c r="D154" i="2" a="1"/>
  <c r="C154" i="2" a="1"/>
  <c r="B153" i="2" a="1"/>
  <c r="D153" i="1"/>
  <c r="B153" i="1" a="1"/>
  <c r="C153" i="1" a="1"/>
  <c r="K155" i="2" l="1"/>
  <c r="L154" i="2"/>
  <c r="J154" i="2"/>
  <c r="I154" i="2"/>
  <c r="H154" i="2"/>
  <c r="G154" i="2"/>
  <c r="F154" i="2"/>
  <c r="E154" i="2"/>
  <c r="D154" i="2"/>
  <c r="C154" i="2"/>
  <c r="B153" i="2"/>
  <c r="A155" i="2"/>
  <c r="B153" i="1"/>
  <c r="C153" i="1"/>
  <c r="A154" i="1"/>
  <c r="K156" i="2" a="1"/>
  <c r="L155" i="2" a="1"/>
  <c r="J155" i="2" a="1"/>
  <c r="I155" i="2" a="1"/>
  <c r="H155" i="2" a="1"/>
  <c r="G155" i="2" a="1"/>
  <c r="F155" i="2" a="1"/>
  <c r="E155" i="2" a="1"/>
  <c r="D155" i="2" a="1"/>
  <c r="C155" i="2" a="1"/>
  <c r="B154" i="2" a="1"/>
  <c r="D154" i="1"/>
  <c r="B154" i="1" a="1"/>
  <c r="C154" i="1" a="1"/>
  <c r="K156" i="2" l="1"/>
  <c r="L155" i="2"/>
  <c r="J155" i="2"/>
  <c r="I155" i="2"/>
  <c r="H155" i="2"/>
  <c r="G155" i="2"/>
  <c r="F155" i="2"/>
  <c r="E155" i="2"/>
  <c r="D155" i="2"/>
  <c r="C155" i="2"/>
  <c r="B154" i="2"/>
  <c r="A156" i="2"/>
  <c r="B154" i="1"/>
  <c r="C154" i="1"/>
  <c r="A155" i="1"/>
  <c r="K157" i="2" a="1"/>
  <c r="L156" i="2" a="1"/>
  <c r="J156" i="2" a="1"/>
  <c r="I156" i="2" a="1"/>
  <c r="H156" i="2" a="1"/>
  <c r="G156" i="2" a="1"/>
  <c r="F156" i="2" a="1"/>
  <c r="E156" i="2" a="1"/>
  <c r="D156" i="2" a="1"/>
  <c r="C156" i="2" a="1"/>
  <c r="B155" i="2" a="1"/>
  <c r="D155" i="1"/>
  <c r="C155" i="1" a="1"/>
  <c r="B155" i="1" a="1"/>
  <c r="K157" i="2" l="1"/>
  <c r="L156" i="2"/>
  <c r="J156" i="2"/>
  <c r="I156" i="2"/>
  <c r="H156" i="2"/>
  <c r="G156" i="2"/>
  <c r="F156" i="2"/>
  <c r="E156" i="2"/>
  <c r="D156" i="2"/>
  <c r="C156" i="2"/>
  <c r="B155" i="2"/>
  <c r="A157" i="2"/>
  <c r="B155" i="1"/>
  <c r="C155" i="1"/>
  <c r="A156" i="1"/>
  <c r="K158" i="2" a="1"/>
  <c r="L157" i="2" a="1"/>
  <c r="J157" i="2" a="1"/>
  <c r="I157" i="2" a="1"/>
  <c r="H157" i="2" a="1"/>
  <c r="G157" i="2" a="1"/>
  <c r="F157" i="2" a="1"/>
  <c r="E157" i="2" a="1"/>
  <c r="D157" i="2" a="1"/>
  <c r="C157" i="2" a="1"/>
  <c r="B156" i="2" a="1"/>
  <c r="D156" i="1"/>
  <c r="B156" i="1" a="1"/>
  <c r="C156" i="1" a="1"/>
  <c r="K158" i="2" l="1"/>
  <c r="L157" i="2"/>
  <c r="J157" i="2"/>
  <c r="I157" i="2"/>
  <c r="H157" i="2"/>
  <c r="G157" i="2"/>
  <c r="F157" i="2"/>
  <c r="E157" i="2"/>
  <c r="D157" i="2"/>
  <c r="C157" i="2"/>
  <c r="B156" i="2"/>
  <c r="A158" i="2"/>
  <c r="B156" i="1"/>
  <c r="C156" i="1"/>
  <c r="A157" i="1"/>
  <c r="K159" i="2" a="1"/>
  <c r="L158" i="2" a="1"/>
  <c r="J158" i="2" a="1"/>
  <c r="I158" i="2" a="1"/>
  <c r="H158" i="2" a="1"/>
  <c r="G158" i="2" a="1"/>
  <c r="F158" i="2" a="1"/>
  <c r="E158" i="2" a="1"/>
  <c r="D158" i="2" a="1"/>
  <c r="C158" i="2" a="1"/>
  <c r="B157" i="2" a="1"/>
  <c r="D157" i="1"/>
  <c r="B157" i="1" a="1"/>
  <c r="C157" i="1" a="1"/>
  <c r="K159" i="2" l="1"/>
  <c r="L158" i="2"/>
  <c r="J158" i="2"/>
  <c r="I158" i="2"/>
  <c r="H158" i="2"/>
  <c r="G158" i="2"/>
  <c r="F158" i="2"/>
  <c r="E158" i="2"/>
  <c r="D158" i="2"/>
  <c r="C158" i="2"/>
  <c r="B157" i="2"/>
  <c r="A159" i="2"/>
  <c r="B157" i="1"/>
  <c r="C157" i="1"/>
  <c r="A158" i="1"/>
  <c r="K160" i="2" a="1"/>
  <c r="L159" i="2" a="1"/>
  <c r="J159" i="2" a="1"/>
  <c r="I159" i="2" a="1"/>
  <c r="H159" i="2" a="1"/>
  <c r="G159" i="2" a="1"/>
  <c r="F159" i="2" a="1"/>
  <c r="E159" i="2" a="1"/>
  <c r="D159" i="2" a="1"/>
  <c r="C159" i="2" a="1"/>
  <c r="B158" i="2" a="1"/>
  <c r="C158" i="1" a="1"/>
  <c r="B158" i="1" a="1"/>
  <c r="D158" i="1"/>
  <c r="K160" i="2" l="1"/>
  <c r="L159" i="2"/>
  <c r="J159" i="2"/>
  <c r="I159" i="2"/>
  <c r="H159" i="2"/>
  <c r="G159" i="2"/>
  <c r="F159" i="2"/>
  <c r="E159" i="2"/>
  <c r="D159" i="2"/>
  <c r="C159" i="2"/>
  <c r="B158" i="2"/>
  <c r="A160" i="2"/>
  <c r="B158" i="1"/>
  <c r="C158" i="1"/>
  <c r="A159" i="1"/>
  <c r="K161" i="2" a="1"/>
  <c r="L160" i="2" a="1"/>
  <c r="J160" i="2" a="1"/>
  <c r="I160" i="2" a="1"/>
  <c r="H160" i="2" a="1"/>
  <c r="G160" i="2" a="1"/>
  <c r="F160" i="2" a="1"/>
  <c r="E160" i="2" a="1"/>
  <c r="D160" i="2" a="1"/>
  <c r="C160" i="2" a="1"/>
  <c r="B159" i="2" a="1"/>
  <c r="D159" i="1"/>
  <c r="B159" i="1" a="1"/>
  <c r="C159" i="1" a="1"/>
  <c r="K161" i="2" l="1"/>
  <c r="L160" i="2"/>
  <c r="J160" i="2"/>
  <c r="I160" i="2"/>
  <c r="H160" i="2"/>
  <c r="G160" i="2"/>
  <c r="F160" i="2"/>
  <c r="E160" i="2"/>
  <c r="D160" i="2"/>
  <c r="C160" i="2"/>
  <c r="B159" i="2"/>
  <c r="A161" i="2"/>
  <c r="B159" i="1"/>
  <c r="C159" i="1"/>
  <c r="A160" i="1"/>
  <c r="K162" i="2" a="1"/>
  <c r="L161" i="2" a="1"/>
  <c r="J161" i="2" a="1"/>
  <c r="I161" i="2" a="1"/>
  <c r="H161" i="2" a="1"/>
  <c r="G161" i="2" a="1"/>
  <c r="F161" i="2" a="1"/>
  <c r="E161" i="2" a="1"/>
  <c r="D161" i="2" a="1"/>
  <c r="C161" i="2" a="1"/>
  <c r="B160" i="2" a="1"/>
  <c r="D160" i="1"/>
  <c r="B160" i="1" a="1"/>
  <c r="C160" i="1" a="1"/>
  <c r="K162" i="2" l="1"/>
  <c r="L161" i="2"/>
  <c r="J161" i="2"/>
  <c r="I161" i="2"/>
  <c r="H161" i="2"/>
  <c r="G161" i="2"/>
  <c r="F161" i="2"/>
  <c r="E161" i="2"/>
  <c r="D161" i="2"/>
  <c r="C161" i="2"/>
  <c r="B160" i="2"/>
  <c r="A162" i="2"/>
  <c r="B160" i="1"/>
  <c r="C160" i="1"/>
  <c r="A161" i="1"/>
  <c r="K163" i="2" a="1"/>
  <c r="L162" i="2" a="1"/>
  <c r="J162" i="2" a="1"/>
  <c r="I162" i="2" a="1"/>
  <c r="H162" i="2" a="1"/>
  <c r="G162" i="2" a="1"/>
  <c r="F162" i="2" a="1"/>
  <c r="E162" i="2" a="1"/>
  <c r="D162" i="2" a="1"/>
  <c r="C162" i="2" a="1"/>
  <c r="B161" i="2" a="1"/>
  <c r="D161" i="1"/>
  <c r="C161" i="1" a="1"/>
  <c r="B161" i="1" a="1"/>
  <c r="K163" i="2" l="1"/>
  <c r="L162" i="2"/>
  <c r="J162" i="2"/>
  <c r="I162" i="2"/>
  <c r="H162" i="2"/>
  <c r="G162" i="2"/>
  <c r="F162" i="2"/>
  <c r="E162" i="2"/>
  <c r="D162" i="2"/>
  <c r="C162" i="2"/>
  <c r="B161" i="2"/>
  <c r="A163" i="2"/>
  <c r="B161" i="1"/>
  <c r="C161" i="1"/>
  <c r="A162" i="1"/>
  <c r="K164" i="2" a="1"/>
  <c r="L163" i="2" a="1"/>
  <c r="J163" i="2" a="1"/>
  <c r="I163" i="2" a="1"/>
  <c r="H163" i="2" a="1"/>
  <c r="G163" i="2" a="1"/>
  <c r="F163" i="2" a="1"/>
  <c r="E163" i="2" a="1"/>
  <c r="D163" i="2" a="1"/>
  <c r="C163" i="2" a="1"/>
  <c r="B162" i="2" a="1"/>
  <c r="D162" i="1"/>
  <c r="C162" i="1" a="1"/>
  <c r="B162" i="1" a="1"/>
  <c r="K164" i="2" l="1"/>
  <c r="L163" i="2"/>
  <c r="J163" i="2"/>
  <c r="I163" i="2"/>
  <c r="H163" i="2"/>
  <c r="G163" i="2"/>
  <c r="F163" i="2"/>
  <c r="E163" i="2"/>
  <c r="D163" i="2"/>
  <c r="C163" i="2"/>
  <c r="B162" i="2"/>
  <c r="A164" i="2"/>
  <c r="B162" i="1"/>
  <c r="C162" i="1"/>
  <c r="A163" i="1"/>
  <c r="K165" i="2" a="1"/>
  <c r="L164" i="2" a="1"/>
  <c r="J164" i="2" a="1"/>
  <c r="I164" i="2" a="1"/>
  <c r="H164" i="2" a="1"/>
  <c r="G164" i="2" a="1"/>
  <c r="F164" i="2" a="1"/>
  <c r="E164" i="2" a="1"/>
  <c r="D164" i="2" a="1"/>
  <c r="C164" i="2" a="1"/>
  <c r="B163" i="2" a="1"/>
  <c r="D163" i="1"/>
  <c r="C163" i="1" a="1"/>
  <c r="B163" i="1" a="1"/>
  <c r="K165" i="2" l="1"/>
  <c r="L164" i="2"/>
  <c r="J164" i="2"/>
  <c r="I164" i="2"/>
  <c r="H164" i="2"/>
  <c r="G164" i="2"/>
  <c r="F164" i="2"/>
  <c r="E164" i="2"/>
  <c r="D164" i="2"/>
  <c r="C164" i="2"/>
  <c r="B163" i="2"/>
  <c r="A165" i="2"/>
  <c r="B163" i="1"/>
  <c r="C163" i="1"/>
  <c r="A164" i="1"/>
  <c r="K166" i="2" a="1"/>
  <c r="L165" i="2" a="1"/>
  <c r="J165" i="2" a="1"/>
  <c r="I165" i="2" a="1"/>
  <c r="H165" i="2" a="1"/>
  <c r="G165" i="2" a="1"/>
  <c r="F165" i="2" a="1"/>
  <c r="E165" i="2" a="1"/>
  <c r="D165" i="2" a="1"/>
  <c r="C165" i="2" a="1"/>
  <c r="B164" i="2" a="1"/>
  <c r="D164" i="1"/>
  <c r="B164" i="1" a="1"/>
  <c r="C164" i="1" a="1"/>
  <c r="K166" i="2" l="1"/>
  <c r="L165" i="2"/>
  <c r="J165" i="2"/>
  <c r="I165" i="2"/>
  <c r="H165" i="2"/>
  <c r="G165" i="2"/>
  <c r="F165" i="2"/>
  <c r="E165" i="2"/>
  <c r="D165" i="2"/>
  <c r="C165" i="2"/>
  <c r="B164" i="2"/>
  <c r="A166" i="2"/>
  <c r="B164" i="1"/>
  <c r="C164" i="1"/>
  <c r="A165" i="1"/>
  <c r="K167" i="2" a="1"/>
  <c r="L166" i="2" a="1"/>
  <c r="J166" i="2" a="1"/>
  <c r="I166" i="2" a="1"/>
  <c r="H166" i="2" a="1"/>
  <c r="G166" i="2" a="1"/>
  <c r="F166" i="2" a="1"/>
  <c r="E166" i="2" a="1"/>
  <c r="D166" i="2" a="1"/>
  <c r="C166" i="2" a="1"/>
  <c r="B165" i="2" a="1"/>
  <c r="D165" i="1"/>
  <c r="C165" i="1" a="1"/>
  <c r="B165" i="1" a="1"/>
  <c r="K167" i="2" l="1"/>
  <c r="L166" i="2"/>
  <c r="J166" i="2"/>
  <c r="I166" i="2"/>
  <c r="H166" i="2"/>
  <c r="G166" i="2"/>
  <c r="F166" i="2"/>
  <c r="E166" i="2"/>
  <c r="D166" i="2"/>
  <c r="C166" i="2"/>
  <c r="B165" i="2"/>
  <c r="A167" i="2"/>
  <c r="B165" i="1"/>
  <c r="C165" i="1"/>
  <c r="A166" i="1"/>
  <c r="K168" i="2" a="1"/>
  <c r="L167" i="2" a="1"/>
  <c r="J167" i="2" a="1"/>
  <c r="I167" i="2" a="1"/>
  <c r="H167" i="2" a="1"/>
  <c r="G167" i="2" a="1"/>
  <c r="F167" i="2" a="1"/>
  <c r="E167" i="2" a="1"/>
  <c r="D167" i="2" a="1"/>
  <c r="C167" i="2" a="1"/>
  <c r="B166" i="2" a="1"/>
  <c r="C166" i="1" a="1"/>
  <c r="D166" i="1"/>
  <c r="B166" i="1" a="1"/>
  <c r="K168" i="2" l="1"/>
  <c r="L167" i="2"/>
  <c r="J167" i="2"/>
  <c r="I167" i="2"/>
  <c r="H167" i="2"/>
  <c r="G167" i="2"/>
  <c r="F167" i="2"/>
  <c r="E167" i="2"/>
  <c r="D167" i="2"/>
  <c r="C167" i="2"/>
  <c r="B166" i="2"/>
  <c r="A168" i="2"/>
  <c r="B166" i="1"/>
  <c r="C166" i="1"/>
  <c r="A167" i="1"/>
  <c r="K169" i="2" a="1"/>
  <c r="L168" i="2" a="1"/>
  <c r="J168" i="2" a="1"/>
  <c r="I168" i="2" a="1"/>
  <c r="H168" i="2" a="1"/>
  <c r="G168" i="2" a="1"/>
  <c r="F168" i="2" a="1"/>
  <c r="E168" i="2" a="1"/>
  <c r="D168" i="2" a="1"/>
  <c r="C168" i="2" a="1"/>
  <c r="B167" i="2" a="1"/>
  <c r="D167" i="1"/>
  <c r="B167" i="1" a="1"/>
  <c r="C167" i="1" a="1"/>
  <c r="K169" i="2" l="1"/>
  <c r="L168" i="2"/>
  <c r="J168" i="2"/>
  <c r="I168" i="2"/>
  <c r="H168" i="2"/>
  <c r="G168" i="2"/>
  <c r="F168" i="2"/>
  <c r="E168" i="2"/>
  <c r="D168" i="2"/>
  <c r="C168" i="2"/>
  <c r="B167" i="2"/>
  <c r="A169" i="2"/>
  <c r="B167" i="1"/>
  <c r="C167" i="1"/>
  <c r="A168" i="1"/>
  <c r="K170" i="2" a="1"/>
  <c r="L169" i="2" a="1"/>
  <c r="J169" i="2" a="1"/>
  <c r="I169" i="2" a="1"/>
  <c r="H169" i="2" a="1"/>
  <c r="G169" i="2" a="1"/>
  <c r="F169" i="2" a="1"/>
  <c r="E169" i="2" a="1"/>
  <c r="D169" i="2" a="1"/>
  <c r="C169" i="2" a="1"/>
  <c r="B168" i="2" a="1"/>
  <c r="D168" i="1"/>
  <c r="B168" i="1" a="1"/>
  <c r="C168" i="1" a="1"/>
  <c r="K170" i="2" l="1"/>
  <c r="L169" i="2"/>
  <c r="J169" i="2"/>
  <c r="I169" i="2"/>
  <c r="H169" i="2"/>
  <c r="G169" i="2"/>
  <c r="F169" i="2"/>
  <c r="E169" i="2"/>
  <c r="D169" i="2"/>
  <c r="C169" i="2"/>
  <c r="B168" i="2"/>
  <c r="A170" i="2"/>
  <c r="B168" i="1"/>
  <c r="C168" i="1"/>
  <c r="A169" i="1"/>
  <c r="K171" i="2" a="1"/>
  <c r="L170" i="2" a="1"/>
  <c r="J170" i="2" a="1"/>
  <c r="I170" i="2" a="1"/>
  <c r="H170" i="2" a="1"/>
  <c r="G170" i="2" a="1"/>
  <c r="F170" i="2" a="1"/>
  <c r="E170" i="2" a="1"/>
  <c r="D170" i="2" a="1"/>
  <c r="C170" i="2" a="1"/>
  <c r="B169" i="2" a="1"/>
  <c r="D169" i="1"/>
  <c r="B169" i="1" a="1"/>
  <c r="C169" i="1" a="1"/>
  <c r="K171" i="2" l="1"/>
  <c r="L170" i="2"/>
  <c r="J170" i="2"/>
  <c r="I170" i="2"/>
  <c r="H170" i="2"/>
  <c r="G170" i="2"/>
  <c r="F170" i="2"/>
  <c r="E170" i="2"/>
  <c r="D170" i="2"/>
  <c r="C170" i="2"/>
  <c r="B169" i="2"/>
  <c r="A171" i="2"/>
  <c r="B169" i="1"/>
  <c r="C169" i="1"/>
  <c r="A170" i="1"/>
  <c r="K172" i="2" a="1"/>
  <c r="L171" i="2" a="1"/>
  <c r="J171" i="2" a="1"/>
  <c r="I171" i="2" a="1"/>
  <c r="H171" i="2" a="1"/>
  <c r="G171" i="2" a="1"/>
  <c r="F171" i="2" a="1"/>
  <c r="E171" i="2" a="1"/>
  <c r="D171" i="2" a="1"/>
  <c r="C171" i="2" a="1"/>
  <c r="B170" i="2" a="1"/>
  <c r="D170" i="1"/>
  <c r="C170" i="1" a="1"/>
  <c r="B170" i="1" a="1"/>
  <c r="K172" i="2" l="1"/>
  <c r="L171" i="2"/>
  <c r="J171" i="2"/>
  <c r="I171" i="2"/>
  <c r="H171" i="2"/>
  <c r="G171" i="2"/>
  <c r="F171" i="2"/>
  <c r="E171" i="2"/>
  <c r="D171" i="2"/>
  <c r="C171" i="2"/>
  <c r="B170" i="2"/>
  <c r="A172" i="2"/>
  <c r="B170" i="1"/>
  <c r="C170" i="1"/>
  <c r="A171" i="1"/>
  <c r="K173" i="2" a="1"/>
  <c r="L172" i="2" a="1"/>
  <c r="J172" i="2" a="1"/>
  <c r="I172" i="2" a="1"/>
  <c r="H172" i="2" a="1"/>
  <c r="G172" i="2" a="1"/>
  <c r="F172" i="2" a="1"/>
  <c r="E172" i="2" a="1"/>
  <c r="D172" i="2" a="1"/>
  <c r="C172" i="2" a="1"/>
  <c r="B171" i="2" a="1"/>
  <c r="D171" i="1"/>
  <c r="B171" i="1" a="1"/>
  <c r="C171" i="1" a="1"/>
  <c r="K173" i="2" l="1"/>
  <c r="L172" i="2"/>
  <c r="J172" i="2"/>
  <c r="I172" i="2"/>
  <c r="H172" i="2"/>
  <c r="G172" i="2"/>
  <c r="F172" i="2"/>
  <c r="E172" i="2"/>
  <c r="D172" i="2"/>
  <c r="C172" i="2"/>
  <c r="B171" i="2"/>
  <c r="A173" i="2"/>
  <c r="B171" i="1"/>
  <c r="C171" i="1"/>
  <c r="A172" i="1"/>
  <c r="K174" i="2" a="1"/>
  <c r="L173" i="2" a="1"/>
  <c r="J173" i="2" a="1"/>
  <c r="I173" i="2" a="1"/>
  <c r="H173" i="2" a="1"/>
  <c r="G173" i="2" a="1"/>
  <c r="F173" i="2" a="1"/>
  <c r="E173" i="2" a="1"/>
  <c r="D173" i="2" a="1"/>
  <c r="C173" i="2" a="1"/>
  <c r="B172" i="2" a="1"/>
  <c r="C172" i="1" a="1"/>
  <c r="D172" i="1"/>
  <c r="B172" i="1" a="1"/>
  <c r="K174" i="2" l="1"/>
  <c r="L173" i="2"/>
  <c r="J173" i="2"/>
  <c r="I173" i="2"/>
  <c r="H173" i="2"/>
  <c r="G173" i="2"/>
  <c r="F173" i="2"/>
  <c r="E173" i="2"/>
  <c r="D173" i="2"/>
  <c r="C173" i="2"/>
  <c r="B172" i="2"/>
  <c r="A174" i="2"/>
  <c r="B172" i="1"/>
  <c r="C172" i="1"/>
  <c r="A173" i="1"/>
  <c r="K175" i="2" a="1"/>
  <c r="L174" i="2" a="1"/>
  <c r="J174" i="2" a="1"/>
  <c r="I174" i="2" a="1"/>
  <c r="H174" i="2" a="1"/>
  <c r="G174" i="2" a="1"/>
  <c r="F174" i="2" a="1"/>
  <c r="E174" i="2" a="1"/>
  <c r="D174" i="2" a="1"/>
  <c r="C174" i="2" a="1"/>
  <c r="B173" i="2" a="1"/>
  <c r="D173" i="1"/>
  <c r="B173" i="1" a="1"/>
  <c r="C173" i="1" a="1"/>
  <c r="K175" i="2" l="1"/>
  <c r="L174" i="2"/>
  <c r="J174" i="2"/>
  <c r="I174" i="2"/>
  <c r="H174" i="2"/>
  <c r="G174" i="2"/>
  <c r="F174" i="2"/>
  <c r="E174" i="2"/>
  <c r="D174" i="2"/>
  <c r="C174" i="2"/>
  <c r="B173" i="2"/>
  <c r="A175" i="2"/>
  <c r="B173" i="1"/>
  <c r="C173" i="1"/>
  <c r="A174" i="1"/>
  <c r="K176" i="2" a="1"/>
  <c r="L175" i="2" a="1"/>
  <c r="J175" i="2" a="1"/>
  <c r="I175" i="2" a="1"/>
  <c r="H175" i="2" a="1"/>
  <c r="G175" i="2" a="1"/>
  <c r="F175" i="2" a="1"/>
  <c r="E175" i="2" a="1"/>
  <c r="D175" i="2" a="1"/>
  <c r="C175" i="2" a="1"/>
  <c r="B174" i="2" a="1"/>
  <c r="D174" i="1"/>
  <c r="B174" i="1" a="1"/>
  <c r="C174" i="1" a="1"/>
  <c r="K176" i="2" l="1"/>
  <c r="L175" i="2"/>
  <c r="J175" i="2"/>
  <c r="I175" i="2"/>
  <c r="H175" i="2"/>
  <c r="G175" i="2"/>
  <c r="F175" i="2"/>
  <c r="E175" i="2"/>
  <c r="D175" i="2"/>
  <c r="C175" i="2"/>
  <c r="B174" i="2"/>
  <c r="A176" i="2"/>
  <c r="B174" i="1"/>
  <c r="C174" i="1"/>
  <c r="A175" i="1"/>
  <c r="K177" i="2" a="1"/>
  <c r="L176" i="2" a="1"/>
  <c r="J176" i="2" a="1"/>
  <c r="I176" i="2" a="1"/>
  <c r="H176" i="2" a="1"/>
  <c r="G176" i="2" a="1"/>
  <c r="F176" i="2" a="1"/>
  <c r="E176" i="2" a="1"/>
  <c r="D176" i="2" a="1"/>
  <c r="C176" i="2" a="1"/>
  <c r="B175" i="2" a="1"/>
  <c r="D175" i="1"/>
  <c r="B175" i="1" a="1"/>
  <c r="C175" i="1" a="1"/>
  <c r="K177" i="2" l="1"/>
  <c r="L176" i="2"/>
  <c r="J176" i="2"/>
  <c r="I176" i="2"/>
  <c r="H176" i="2"/>
  <c r="G176" i="2"/>
  <c r="F176" i="2"/>
  <c r="E176" i="2"/>
  <c r="D176" i="2"/>
  <c r="C176" i="2"/>
  <c r="B175" i="2"/>
  <c r="A177" i="2"/>
  <c r="B175" i="1"/>
  <c r="C175" i="1"/>
  <c r="A176" i="1"/>
  <c r="K178" i="2" a="1"/>
  <c r="L177" i="2" a="1"/>
  <c r="J177" i="2" a="1"/>
  <c r="I177" i="2" a="1"/>
  <c r="H177" i="2" a="1"/>
  <c r="G177" i="2" a="1"/>
  <c r="F177" i="2" a="1"/>
  <c r="E177" i="2" a="1"/>
  <c r="D177" i="2" a="1"/>
  <c r="C177" i="2" a="1"/>
  <c r="B176" i="2" a="1"/>
  <c r="D176" i="1"/>
  <c r="B176" i="1" a="1"/>
  <c r="C176" i="1" a="1"/>
  <c r="K178" i="2" l="1"/>
  <c r="L177" i="2"/>
  <c r="J177" i="2"/>
  <c r="I177" i="2"/>
  <c r="H177" i="2"/>
  <c r="G177" i="2"/>
  <c r="F177" i="2"/>
  <c r="E177" i="2"/>
  <c r="D177" i="2"/>
  <c r="C177" i="2"/>
  <c r="B176" i="2"/>
  <c r="A178" i="2"/>
  <c r="B176" i="1"/>
  <c r="C176" i="1"/>
  <c r="A177" i="1"/>
  <c r="K179" i="2" a="1"/>
  <c r="L178" i="2" a="1"/>
  <c r="J178" i="2" a="1"/>
  <c r="I178" i="2" a="1"/>
  <c r="H178" i="2" a="1"/>
  <c r="G178" i="2" a="1"/>
  <c r="F178" i="2" a="1"/>
  <c r="E178" i="2" a="1"/>
  <c r="D178" i="2" a="1"/>
  <c r="C178" i="2" a="1"/>
  <c r="B177" i="2" a="1"/>
  <c r="D177" i="1"/>
  <c r="C177" i="1" a="1"/>
  <c r="B177" i="1" a="1"/>
  <c r="K179" i="2" l="1"/>
  <c r="L178" i="2"/>
  <c r="J178" i="2"/>
  <c r="I178" i="2"/>
  <c r="H178" i="2"/>
  <c r="G178" i="2"/>
  <c r="F178" i="2"/>
  <c r="E178" i="2"/>
  <c r="D178" i="2"/>
  <c r="C178" i="2"/>
  <c r="B177" i="2"/>
  <c r="A179" i="2"/>
  <c r="B177" i="1"/>
  <c r="C177" i="1"/>
  <c r="A178" i="1"/>
  <c r="K180" i="2" a="1"/>
  <c r="L179" i="2" a="1"/>
  <c r="J179" i="2" a="1"/>
  <c r="I179" i="2" a="1"/>
  <c r="H179" i="2" a="1"/>
  <c r="G179" i="2" a="1"/>
  <c r="F179" i="2" a="1"/>
  <c r="E179" i="2" a="1"/>
  <c r="D179" i="2" a="1"/>
  <c r="C179" i="2" a="1"/>
  <c r="B178" i="2" a="1"/>
  <c r="D178" i="1"/>
  <c r="B178" i="1" a="1"/>
  <c r="C178" i="1" a="1"/>
  <c r="K180" i="2" l="1"/>
  <c r="L179" i="2"/>
  <c r="J179" i="2"/>
  <c r="I179" i="2"/>
  <c r="H179" i="2"/>
  <c r="G179" i="2"/>
  <c r="F179" i="2"/>
  <c r="E179" i="2"/>
  <c r="D179" i="2"/>
  <c r="C179" i="2"/>
  <c r="B178" i="2"/>
  <c r="A180" i="2"/>
  <c r="B178" i="1"/>
  <c r="C178" i="1"/>
  <c r="A179" i="1"/>
  <c r="K181" i="2" a="1"/>
  <c r="L180" i="2" a="1"/>
  <c r="J180" i="2" a="1"/>
  <c r="I180" i="2" a="1"/>
  <c r="H180" i="2" a="1"/>
  <c r="G180" i="2" a="1"/>
  <c r="F180" i="2" a="1"/>
  <c r="E180" i="2" a="1"/>
  <c r="D180" i="2" a="1"/>
  <c r="C180" i="2" a="1"/>
  <c r="B179" i="2" a="1"/>
  <c r="C179" i="1" a="1"/>
  <c r="D179" i="1"/>
  <c r="B179" i="1" a="1"/>
  <c r="K181" i="2" l="1"/>
  <c r="L180" i="2"/>
  <c r="J180" i="2"/>
  <c r="I180" i="2"/>
  <c r="H180" i="2"/>
  <c r="G180" i="2"/>
  <c r="F180" i="2"/>
  <c r="E180" i="2"/>
  <c r="D180" i="2"/>
  <c r="C180" i="2"/>
  <c r="B179" i="2"/>
  <c r="A181" i="2"/>
  <c r="B179" i="1"/>
  <c r="C179" i="1"/>
  <c r="A180" i="1"/>
  <c r="K182" i="2" a="1"/>
  <c r="L181" i="2" a="1"/>
  <c r="J181" i="2" a="1"/>
  <c r="I181" i="2" a="1"/>
  <c r="H181" i="2" a="1"/>
  <c r="G181" i="2" a="1"/>
  <c r="F181" i="2" a="1"/>
  <c r="E181" i="2" a="1"/>
  <c r="D181" i="2" a="1"/>
  <c r="C181" i="2" a="1"/>
  <c r="B180" i="2" a="1"/>
  <c r="D180" i="1"/>
  <c r="B180" i="1" a="1"/>
  <c r="C180" i="1" a="1"/>
  <c r="K182" i="2" l="1"/>
  <c r="L181" i="2"/>
  <c r="J181" i="2"/>
  <c r="I181" i="2"/>
  <c r="H181" i="2"/>
  <c r="G181" i="2"/>
  <c r="F181" i="2"/>
  <c r="E181" i="2"/>
  <c r="D181" i="2"/>
  <c r="C181" i="2"/>
  <c r="B180" i="2"/>
  <c r="A182" i="2"/>
  <c r="B180" i="1"/>
  <c r="C180" i="1"/>
  <c r="A181" i="1"/>
  <c r="K183" i="2" a="1"/>
  <c r="L182" i="2" a="1"/>
  <c r="J182" i="2" a="1"/>
  <c r="I182" i="2" a="1"/>
  <c r="H182" i="2" a="1"/>
  <c r="G182" i="2" a="1"/>
  <c r="F182" i="2" a="1"/>
  <c r="E182" i="2" a="1"/>
  <c r="D182" i="2" a="1"/>
  <c r="C182" i="2" a="1"/>
  <c r="B181" i="2" a="1"/>
  <c r="D181" i="1"/>
  <c r="B181" i="1" a="1"/>
  <c r="C181" i="1" a="1"/>
  <c r="K183" i="2" l="1"/>
  <c r="L182" i="2"/>
  <c r="J182" i="2"/>
  <c r="I182" i="2"/>
  <c r="H182" i="2"/>
  <c r="G182" i="2"/>
  <c r="F182" i="2"/>
  <c r="E182" i="2"/>
  <c r="D182" i="2"/>
  <c r="C182" i="2"/>
  <c r="B181" i="2"/>
  <c r="A183" i="2"/>
  <c r="B181" i="1"/>
  <c r="C181" i="1"/>
  <c r="A182" i="1"/>
  <c r="K184" i="2" a="1"/>
  <c r="L183" i="2" a="1"/>
  <c r="J183" i="2" a="1"/>
  <c r="I183" i="2" a="1"/>
  <c r="H183" i="2" a="1"/>
  <c r="G183" i="2" a="1"/>
  <c r="F183" i="2" a="1"/>
  <c r="E183" i="2" a="1"/>
  <c r="D183" i="2" a="1"/>
  <c r="C183" i="2" a="1"/>
  <c r="B182" i="2" a="1"/>
  <c r="D182" i="1"/>
  <c r="B182" i="1" a="1"/>
  <c r="C182" i="1" a="1"/>
  <c r="K184" i="2" l="1"/>
  <c r="L183" i="2"/>
  <c r="J183" i="2"/>
  <c r="I183" i="2"/>
  <c r="H183" i="2"/>
  <c r="G183" i="2"/>
  <c r="F183" i="2"/>
  <c r="E183" i="2"/>
  <c r="D183" i="2"/>
  <c r="C183" i="2"/>
  <c r="B182" i="2"/>
  <c r="A184" i="2"/>
  <c r="B182" i="1"/>
  <c r="C182" i="1"/>
  <c r="A183" i="1"/>
  <c r="K185" i="2" a="1"/>
  <c r="L184" i="2" a="1"/>
  <c r="J184" i="2" a="1"/>
  <c r="I184" i="2" a="1"/>
  <c r="H184" i="2" a="1"/>
  <c r="G184" i="2" a="1"/>
  <c r="F184" i="2" a="1"/>
  <c r="E184" i="2" a="1"/>
  <c r="D184" i="2" a="1"/>
  <c r="C184" i="2" a="1"/>
  <c r="B183" i="2" a="1"/>
  <c r="D183" i="1"/>
  <c r="B183" i="1" a="1"/>
  <c r="C183" i="1" a="1"/>
  <c r="K185" i="2" l="1"/>
  <c r="L184" i="2"/>
  <c r="J184" i="2"/>
  <c r="I184" i="2"/>
  <c r="H184" i="2"/>
  <c r="G184" i="2"/>
  <c r="F184" i="2"/>
  <c r="E184" i="2"/>
  <c r="D184" i="2"/>
  <c r="C184" i="2"/>
  <c r="B183" i="2"/>
  <c r="A185" i="2"/>
  <c r="B183" i="1"/>
  <c r="C183" i="1"/>
  <c r="A184" i="1"/>
  <c r="K186" i="2" a="1"/>
  <c r="L185" i="2" a="1"/>
  <c r="J185" i="2" a="1"/>
  <c r="I185" i="2" a="1"/>
  <c r="H185" i="2" a="1"/>
  <c r="G185" i="2" a="1"/>
  <c r="F185" i="2" a="1"/>
  <c r="E185" i="2" a="1"/>
  <c r="D185" i="2" a="1"/>
  <c r="C185" i="2" a="1"/>
  <c r="B184" i="2" a="1"/>
  <c r="D184" i="1"/>
  <c r="C184" i="1" a="1"/>
  <c r="B184" i="1" a="1"/>
  <c r="K186" i="2" l="1"/>
  <c r="L185" i="2"/>
  <c r="J185" i="2"/>
  <c r="I185" i="2"/>
  <c r="H185" i="2"/>
  <c r="G185" i="2"/>
  <c r="F185" i="2"/>
  <c r="E185" i="2"/>
  <c r="D185" i="2"/>
  <c r="C185" i="2"/>
  <c r="B184" i="2"/>
  <c r="A186" i="2"/>
  <c r="B184" i="1"/>
  <c r="C184" i="1"/>
  <c r="A185" i="1"/>
  <c r="K187" i="2" a="1"/>
  <c r="L186" i="2" a="1"/>
  <c r="J186" i="2" a="1"/>
  <c r="I186" i="2" a="1"/>
  <c r="H186" i="2" a="1"/>
  <c r="G186" i="2" a="1"/>
  <c r="F186" i="2" a="1"/>
  <c r="E186" i="2" a="1"/>
  <c r="D186" i="2" a="1"/>
  <c r="C186" i="2" a="1"/>
  <c r="B185" i="2" a="1"/>
  <c r="D185" i="1"/>
  <c r="B185" i="1" a="1"/>
  <c r="C185" i="1" a="1"/>
  <c r="K187" i="2" l="1"/>
  <c r="L186" i="2"/>
  <c r="J186" i="2"/>
  <c r="I186" i="2"/>
  <c r="H186" i="2"/>
  <c r="G186" i="2"/>
  <c r="F186" i="2"/>
  <c r="E186" i="2"/>
  <c r="D186" i="2"/>
  <c r="C186" i="2"/>
  <c r="B185" i="2"/>
  <c r="A187" i="2"/>
  <c r="B185" i="1"/>
  <c r="C185" i="1"/>
  <c r="A186" i="1"/>
  <c r="K188" i="2" a="1"/>
  <c r="L187" i="2" a="1"/>
  <c r="J187" i="2" a="1"/>
  <c r="I187" i="2" a="1"/>
  <c r="H187" i="2" a="1"/>
  <c r="G187" i="2" a="1"/>
  <c r="F187" i="2" a="1"/>
  <c r="E187" i="2" a="1"/>
  <c r="D187" i="2" a="1"/>
  <c r="C187" i="2" a="1"/>
  <c r="B186" i="2" a="1"/>
  <c r="D186" i="1"/>
  <c r="C186" i="1" a="1"/>
  <c r="B186" i="1" a="1"/>
  <c r="K188" i="2" l="1"/>
  <c r="L187" i="2"/>
  <c r="J187" i="2"/>
  <c r="I187" i="2"/>
  <c r="H187" i="2"/>
  <c r="G187" i="2"/>
  <c r="F187" i="2"/>
  <c r="E187" i="2"/>
  <c r="D187" i="2"/>
  <c r="C187" i="2"/>
  <c r="B186" i="2"/>
  <c r="A188" i="2"/>
  <c r="B186" i="1"/>
  <c r="C186" i="1"/>
  <c r="A187" i="1"/>
  <c r="K189" i="2" a="1"/>
  <c r="L188" i="2" a="1"/>
  <c r="J188" i="2" a="1"/>
  <c r="I188" i="2" a="1"/>
  <c r="H188" i="2" a="1"/>
  <c r="G188" i="2" a="1"/>
  <c r="F188" i="2" a="1"/>
  <c r="E188" i="2" a="1"/>
  <c r="D188" i="2" a="1"/>
  <c r="C188" i="2" a="1"/>
  <c r="B187" i="2" a="1"/>
  <c r="D187" i="1"/>
  <c r="C187" i="1" a="1"/>
  <c r="B187" i="1" a="1"/>
  <c r="K189" i="2" l="1"/>
  <c r="L188" i="2"/>
  <c r="J188" i="2"/>
  <c r="I188" i="2"/>
  <c r="H188" i="2"/>
  <c r="G188" i="2"/>
  <c r="F188" i="2"/>
  <c r="E188" i="2"/>
  <c r="D188" i="2"/>
  <c r="C188" i="2"/>
  <c r="B187" i="2"/>
  <c r="A189" i="2"/>
  <c r="B187" i="1"/>
  <c r="C187" i="1"/>
  <c r="A188" i="1"/>
  <c r="K190" i="2" a="1"/>
  <c r="L189" i="2" a="1"/>
  <c r="J189" i="2" a="1"/>
  <c r="I189" i="2" a="1"/>
  <c r="H189" i="2" a="1"/>
  <c r="G189" i="2" a="1"/>
  <c r="F189" i="2" a="1"/>
  <c r="E189" i="2" a="1"/>
  <c r="D189" i="2" a="1"/>
  <c r="C189" i="2" a="1"/>
  <c r="B188" i="2" a="1"/>
  <c r="D188" i="1"/>
  <c r="C188" i="1" a="1"/>
  <c r="B188" i="1" a="1"/>
  <c r="K190" i="2" l="1"/>
  <c r="L189" i="2"/>
  <c r="J189" i="2"/>
  <c r="I189" i="2"/>
  <c r="H189" i="2"/>
  <c r="G189" i="2"/>
  <c r="F189" i="2"/>
  <c r="E189" i="2"/>
  <c r="D189" i="2"/>
  <c r="C189" i="2"/>
  <c r="B188" i="2"/>
  <c r="A190" i="2"/>
  <c r="B188" i="1"/>
  <c r="C188" i="1"/>
  <c r="A189" i="1"/>
  <c r="K191" i="2" a="1"/>
  <c r="L190" i="2" a="1"/>
  <c r="J190" i="2" a="1"/>
  <c r="I190" i="2" a="1"/>
  <c r="H190" i="2" a="1"/>
  <c r="G190" i="2" a="1"/>
  <c r="F190" i="2" a="1"/>
  <c r="E190" i="2" a="1"/>
  <c r="D190" i="2" a="1"/>
  <c r="C190" i="2" a="1"/>
  <c r="B189" i="2" a="1"/>
  <c r="D189" i="1"/>
  <c r="C189" i="1" a="1"/>
  <c r="B189" i="1" a="1"/>
  <c r="K191" i="2" l="1"/>
  <c r="L190" i="2"/>
  <c r="J190" i="2"/>
  <c r="I190" i="2"/>
  <c r="H190" i="2"/>
  <c r="G190" i="2"/>
  <c r="F190" i="2"/>
  <c r="E190" i="2"/>
  <c r="D190" i="2"/>
  <c r="C190" i="2"/>
  <c r="B189" i="2"/>
  <c r="A191" i="2"/>
  <c r="B189" i="1"/>
  <c r="C189" i="1"/>
  <c r="A190" i="1"/>
  <c r="K192" i="2" a="1"/>
  <c r="L191" i="2" a="1"/>
  <c r="J191" i="2" a="1"/>
  <c r="I191" i="2" a="1"/>
  <c r="H191" i="2" a="1"/>
  <c r="G191" i="2" a="1"/>
  <c r="F191" i="2" a="1"/>
  <c r="E191" i="2" a="1"/>
  <c r="D191" i="2" a="1"/>
  <c r="C191" i="2" a="1"/>
  <c r="B190" i="2" a="1"/>
  <c r="D190" i="1"/>
  <c r="C190" i="1" a="1"/>
  <c r="B190" i="1" a="1"/>
  <c r="K192" i="2" l="1"/>
  <c r="L191" i="2"/>
  <c r="J191" i="2"/>
  <c r="I191" i="2"/>
  <c r="H191" i="2"/>
  <c r="G191" i="2"/>
  <c r="F191" i="2"/>
  <c r="E191" i="2"/>
  <c r="D191" i="2"/>
  <c r="C191" i="2"/>
  <c r="B190" i="2"/>
  <c r="A192" i="2"/>
  <c r="B190" i="1"/>
  <c r="C190" i="1"/>
  <c r="A191" i="1"/>
  <c r="K193" i="2" a="1"/>
  <c r="L192" i="2" a="1"/>
  <c r="J192" i="2" a="1"/>
  <c r="I192" i="2" a="1"/>
  <c r="H192" i="2" a="1"/>
  <c r="G192" i="2" a="1"/>
  <c r="F192" i="2" a="1"/>
  <c r="E192" i="2" a="1"/>
  <c r="D192" i="2" a="1"/>
  <c r="C192" i="2" a="1"/>
  <c r="B191" i="2" a="1"/>
  <c r="D191" i="1"/>
  <c r="C191" i="1" a="1"/>
  <c r="B191" i="1" a="1"/>
  <c r="K193" i="2" l="1"/>
  <c r="L192" i="2"/>
  <c r="J192" i="2"/>
  <c r="I192" i="2"/>
  <c r="H192" i="2"/>
  <c r="G192" i="2"/>
  <c r="F192" i="2"/>
  <c r="E192" i="2"/>
  <c r="D192" i="2"/>
  <c r="C192" i="2"/>
  <c r="B191" i="2"/>
  <c r="A193" i="2"/>
  <c r="B191" i="1"/>
  <c r="C191" i="1"/>
  <c r="A192" i="1"/>
  <c r="K194" i="2" a="1"/>
  <c r="L193" i="2" a="1"/>
  <c r="J193" i="2" a="1"/>
  <c r="I193" i="2" a="1"/>
  <c r="H193" i="2" a="1"/>
  <c r="G193" i="2" a="1"/>
  <c r="F193" i="2" a="1"/>
  <c r="E193" i="2" a="1"/>
  <c r="D193" i="2" a="1"/>
  <c r="C193" i="2" a="1"/>
  <c r="B192" i="2" a="1"/>
  <c r="D192" i="1"/>
  <c r="C192" i="1" a="1"/>
  <c r="B192" i="1" a="1"/>
  <c r="K194" i="2" l="1"/>
  <c r="L193" i="2"/>
  <c r="J193" i="2"/>
  <c r="I193" i="2"/>
  <c r="H193" i="2"/>
  <c r="G193" i="2"/>
  <c r="F193" i="2"/>
  <c r="E193" i="2"/>
  <c r="D193" i="2"/>
  <c r="C193" i="2"/>
  <c r="B192" i="2"/>
  <c r="A194" i="2"/>
  <c r="B192" i="1"/>
  <c r="C192" i="1"/>
  <c r="A193" i="1"/>
  <c r="K195" i="2" a="1"/>
  <c r="L194" i="2" a="1"/>
  <c r="J194" i="2" a="1"/>
  <c r="I194" i="2" a="1"/>
  <c r="H194" i="2" a="1"/>
  <c r="G194" i="2" a="1"/>
  <c r="F194" i="2" a="1"/>
  <c r="E194" i="2" a="1"/>
  <c r="D194" i="2" a="1"/>
  <c r="C194" i="2" a="1"/>
  <c r="B193" i="2" a="1"/>
  <c r="D193" i="1"/>
  <c r="C193" i="1" a="1"/>
  <c r="B193" i="1" a="1"/>
  <c r="K195" i="2" l="1"/>
  <c r="L194" i="2"/>
  <c r="J194" i="2"/>
  <c r="I194" i="2"/>
  <c r="H194" i="2"/>
  <c r="G194" i="2"/>
  <c r="F194" i="2"/>
  <c r="E194" i="2"/>
  <c r="D194" i="2"/>
  <c r="C194" i="2"/>
  <c r="B193" i="2"/>
  <c r="A195" i="2"/>
  <c r="B193" i="1"/>
  <c r="C193" i="1"/>
  <c r="A194" i="1"/>
  <c r="K196" i="2" a="1"/>
  <c r="L195" i="2" a="1"/>
  <c r="J195" i="2" a="1"/>
  <c r="I195" i="2" a="1"/>
  <c r="H195" i="2" a="1"/>
  <c r="G195" i="2" a="1"/>
  <c r="F195" i="2" a="1"/>
  <c r="E195" i="2" a="1"/>
  <c r="D195" i="2" a="1"/>
  <c r="C195" i="2" a="1"/>
  <c r="B194" i="2" a="1"/>
  <c r="C194" i="1" a="1"/>
  <c r="B194" i="1" a="1"/>
  <c r="D194" i="1"/>
  <c r="K196" i="2" l="1"/>
  <c r="L195" i="2"/>
  <c r="J195" i="2"/>
  <c r="I195" i="2"/>
  <c r="H195" i="2"/>
  <c r="G195" i="2"/>
  <c r="F195" i="2"/>
  <c r="E195" i="2"/>
  <c r="D195" i="2"/>
  <c r="C195" i="2"/>
  <c r="B194" i="2"/>
  <c r="A196" i="2"/>
  <c r="B194" i="1"/>
  <c r="C194" i="1"/>
  <c r="A195" i="1"/>
  <c r="K197" i="2" a="1"/>
  <c r="L196" i="2" a="1"/>
  <c r="J196" i="2" a="1"/>
  <c r="I196" i="2" a="1"/>
  <c r="H196" i="2" a="1"/>
  <c r="G196" i="2" a="1"/>
  <c r="F196" i="2" a="1"/>
  <c r="E196" i="2" a="1"/>
  <c r="D196" i="2" a="1"/>
  <c r="C196" i="2" a="1"/>
  <c r="B195" i="2" a="1"/>
  <c r="D195" i="1"/>
  <c r="C195" i="1" a="1"/>
  <c r="B195" i="1" a="1"/>
  <c r="K197" i="2" l="1"/>
  <c r="L196" i="2"/>
  <c r="J196" i="2"/>
  <c r="I196" i="2"/>
  <c r="H196" i="2"/>
  <c r="G196" i="2"/>
  <c r="F196" i="2"/>
  <c r="E196" i="2"/>
  <c r="D196" i="2"/>
  <c r="C196" i="2"/>
  <c r="B195" i="2"/>
  <c r="A197" i="2"/>
  <c r="B195" i="1"/>
  <c r="C195" i="1"/>
  <c r="A196" i="1"/>
  <c r="K198" i="2" a="1"/>
  <c r="L197" i="2" a="1"/>
  <c r="J197" i="2" a="1"/>
  <c r="I197" i="2" a="1"/>
  <c r="H197" i="2" a="1"/>
  <c r="G197" i="2" a="1"/>
  <c r="F197" i="2" a="1"/>
  <c r="E197" i="2" a="1"/>
  <c r="D197" i="2" a="1"/>
  <c r="C197" i="2" a="1"/>
  <c r="B196" i="2" a="1"/>
  <c r="D196" i="1"/>
  <c r="C196" i="1" a="1"/>
  <c r="B196" i="1" a="1"/>
  <c r="K198" i="2" l="1"/>
  <c r="L197" i="2"/>
  <c r="J197" i="2"/>
  <c r="I197" i="2"/>
  <c r="H197" i="2"/>
  <c r="G197" i="2"/>
  <c r="F197" i="2"/>
  <c r="E197" i="2"/>
  <c r="D197" i="2"/>
  <c r="C197" i="2"/>
  <c r="B196" i="2"/>
  <c r="A198" i="2"/>
  <c r="B196" i="1"/>
  <c r="C196" i="1"/>
  <c r="A197" i="1"/>
  <c r="K199" i="2" a="1"/>
  <c r="L198" i="2" a="1"/>
  <c r="J198" i="2" a="1"/>
  <c r="I198" i="2" a="1"/>
  <c r="H198" i="2" a="1"/>
  <c r="G198" i="2" a="1"/>
  <c r="F198" i="2" a="1"/>
  <c r="E198" i="2" a="1"/>
  <c r="D198" i="2" a="1"/>
  <c r="C198" i="2" a="1"/>
  <c r="B197" i="2" a="1"/>
  <c r="D197" i="1"/>
  <c r="B197" i="1" a="1"/>
  <c r="C197" i="1" a="1"/>
  <c r="K199" i="2" l="1"/>
  <c r="L198" i="2"/>
  <c r="J198" i="2"/>
  <c r="I198" i="2"/>
  <c r="H198" i="2"/>
  <c r="G198" i="2"/>
  <c r="F198" i="2"/>
  <c r="E198" i="2"/>
  <c r="D198" i="2"/>
  <c r="C198" i="2"/>
  <c r="B197" i="2"/>
  <c r="A199" i="2"/>
  <c r="B197" i="1"/>
  <c r="C197" i="1"/>
  <c r="A198" i="1"/>
  <c r="K200" i="2" a="1"/>
  <c r="L199" i="2" a="1"/>
  <c r="J199" i="2" a="1"/>
  <c r="I199" i="2" a="1"/>
  <c r="H199" i="2" a="1"/>
  <c r="G199" i="2" a="1"/>
  <c r="F199" i="2" a="1"/>
  <c r="E199" i="2" a="1"/>
  <c r="D199" i="2" a="1"/>
  <c r="C199" i="2" a="1"/>
  <c r="B198" i="2" a="1"/>
  <c r="D198" i="1"/>
  <c r="C198" i="1" a="1"/>
  <c r="B198" i="1" a="1"/>
  <c r="K200" i="2" l="1"/>
  <c r="L199" i="2"/>
  <c r="J199" i="2"/>
  <c r="I199" i="2"/>
  <c r="H199" i="2"/>
  <c r="G199" i="2"/>
  <c r="F199" i="2"/>
  <c r="E199" i="2"/>
  <c r="D199" i="2"/>
  <c r="C199" i="2"/>
  <c r="B198" i="2"/>
  <c r="A200" i="2"/>
  <c r="B198" i="1"/>
  <c r="C198" i="1"/>
  <c r="A199" i="1"/>
  <c r="K201" i="2" a="1"/>
  <c r="L200" i="2" a="1"/>
  <c r="J200" i="2" a="1"/>
  <c r="I200" i="2" a="1"/>
  <c r="H200" i="2" a="1"/>
  <c r="G200" i="2" a="1"/>
  <c r="F200" i="2" a="1"/>
  <c r="E200" i="2" a="1"/>
  <c r="D200" i="2" a="1"/>
  <c r="C200" i="2" a="1"/>
  <c r="B199" i="2" a="1"/>
  <c r="D199" i="1"/>
  <c r="C199" i="1" a="1"/>
  <c r="B199" i="1" a="1"/>
  <c r="K201" i="2" l="1"/>
  <c r="L200" i="2"/>
  <c r="J200" i="2"/>
  <c r="I200" i="2"/>
  <c r="H200" i="2"/>
  <c r="G200" i="2"/>
  <c r="F200" i="2"/>
  <c r="E200" i="2"/>
  <c r="D200" i="2"/>
  <c r="C200" i="2"/>
  <c r="B199" i="2"/>
  <c r="A201" i="2"/>
  <c r="B199" i="1"/>
  <c r="C199" i="1"/>
  <c r="A200" i="1"/>
  <c r="K202" i="2" a="1"/>
  <c r="L201" i="2" a="1"/>
  <c r="J201" i="2" a="1"/>
  <c r="I201" i="2" a="1"/>
  <c r="H201" i="2" a="1"/>
  <c r="G201" i="2" a="1"/>
  <c r="F201" i="2" a="1"/>
  <c r="E201" i="2" a="1"/>
  <c r="D201" i="2" a="1"/>
  <c r="C201" i="2" a="1"/>
  <c r="B200" i="2" a="1"/>
  <c r="D200" i="1"/>
  <c r="C200" i="1" a="1"/>
  <c r="B200" i="1" a="1"/>
  <c r="K202" i="2" l="1"/>
  <c r="L201" i="2"/>
  <c r="J201" i="2"/>
  <c r="I201" i="2"/>
  <c r="H201" i="2"/>
  <c r="G201" i="2"/>
  <c r="F201" i="2"/>
  <c r="E201" i="2"/>
  <c r="D201" i="2"/>
  <c r="C201" i="2"/>
  <c r="B200" i="2"/>
  <c r="A202" i="2"/>
  <c r="B200" i="1"/>
  <c r="C200" i="1"/>
  <c r="A201" i="1"/>
  <c r="K203" i="2" a="1"/>
  <c r="L202" i="2" a="1"/>
  <c r="J202" i="2" a="1"/>
  <c r="I202" i="2" a="1"/>
  <c r="H202" i="2" a="1"/>
  <c r="G202" i="2" a="1"/>
  <c r="F202" i="2" a="1"/>
  <c r="E202" i="2" a="1"/>
  <c r="D202" i="2" a="1"/>
  <c r="C202" i="2" a="1"/>
  <c r="B201" i="2" a="1"/>
  <c r="D201" i="1"/>
  <c r="C201" i="1" a="1"/>
  <c r="B201" i="1" a="1"/>
  <c r="K203" i="2" l="1"/>
  <c r="L202" i="2"/>
  <c r="J202" i="2"/>
  <c r="I202" i="2"/>
  <c r="H202" i="2"/>
  <c r="G202" i="2"/>
  <c r="F202" i="2"/>
  <c r="E202" i="2"/>
  <c r="D202" i="2"/>
  <c r="C202" i="2"/>
  <c r="B201" i="2"/>
  <c r="A203" i="2"/>
  <c r="B201" i="1"/>
  <c r="C201" i="1"/>
  <c r="A202" i="1"/>
  <c r="K204" i="2" a="1"/>
  <c r="L203" i="2" a="1"/>
  <c r="J203" i="2" a="1"/>
  <c r="I203" i="2" a="1"/>
  <c r="H203" i="2" a="1"/>
  <c r="G203" i="2" a="1"/>
  <c r="F203" i="2" a="1"/>
  <c r="E203" i="2" a="1"/>
  <c r="D203" i="2" a="1"/>
  <c r="C203" i="2" a="1"/>
  <c r="B202" i="2" a="1"/>
  <c r="D202" i="1"/>
  <c r="C202" i="1" a="1"/>
  <c r="B202" i="1" a="1"/>
  <c r="K204" i="2" l="1"/>
  <c r="L203" i="2"/>
  <c r="J203" i="2"/>
  <c r="I203" i="2"/>
  <c r="H203" i="2"/>
  <c r="G203" i="2"/>
  <c r="F203" i="2"/>
  <c r="E203" i="2"/>
  <c r="D203" i="2"/>
  <c r="C203" i="2"/>
  <c r="B202" i="2"/>
  <c r="A204" i="2"/>
  <c r="B202" i="1"/>
  <c r="C202" i="1"/>
  <c r="A203" i="1"/>
  <c r="K205" i="2" a="1"/>
  <c r="L204" i="2" a="1"/>
  <c r="J204" i="2" a="1"/>
  <c r="I204" i="2" a="1"/>
  <c r="H204" i="2" a="1"/>
  <c r="G204" i="2" a="1"/>
  <c r="F204" i="2" a="1"/>
  <c r="E204" i="2" a="1"/>
  <c r="D204" i="2" a="1"/>
  <c r="C204" i="2" a="1"/>
  <c r="B203" i="2" a="1"/>
  <c r="D203" i="1"/>
  <c r="C203" i="1" a="1"/>
  <c r="B203" i="1" a="1"/>
  <c r="K205" i="2" l="1"/>
  <c r="L204" i="2"/>
  <c r="J204" i="2"/>
  <c r="I204" i="2"/>
  <c r="H204" i="2"/>
  <c r="G204" i="2"/>
  <c r="F204" i="2"/>
  <c r="E204" i="2"/>
  <c r="D204" i="2"/>
  <c r="C204" i="2"/>
  <c r="B203" i="2"/>
  <c r="A205" i="2"/>
  <c r="B203" i="1"/>
  <c r="C203" i="1"/>
  <c r="A204" i="1"/>
  <c r="K206" i="2" a="1"/>
  <c r="L205" i="2" a="1"/>
  <c r="J205" i="2" a="1"/>
  <c r="I205" i="2" a="1"/>
  <c r="H205" i="2" a="1"/>
  <c r="G205" i="2" a="1"/>
  <c r="F205" i="2" a="1"/>
  <c r="E205" i="2" a="1"/>
  <c r="D205" i="2" a="1"/>
  <c r="C205" i="2" a="1"/>
  <c r="B204" i="2" a="1"/>
  <c r="D204" i="1"/>
  <c r="C204" i="1" a="1"/>
  <c r="B204" i="1" a="1"/>
  <c r="K206" i="2" l="1"/>
  <c r="L205" i="2"/>
  <c r="J205" i="2"/>
  <c r="I205" i="2"/>
  <c r="H205" i="2"/>
  <c r="G205" i="2"/>
  <c r="F205" i="2"/>
  <c r="E205" i="2"/>
  <c r="D205" i="2"/>
  <c r="C205" i="2"/>
  <c r="B204" i="2"/>
  <c r="A206" i="2"/>
  <c r="B204" i="1"/>
  <c r="C204" i="1"/>
  <c r="A205" i="1"/>
  <c r="K207" i="2" a="1"/>
  <c r="L206" i="2" a="1"/>
  <c r="J206" i="2" a="1"/>
  <c r="I206" i="2" a="1"/>
  <c r="H206" i="2" a="1"/>
  <c r="G206" i="2" a="1"/>
  <c r="F206" i="2" a="1"/>
  <c r="E206" i="2" a="1"/>
  <c r="D206" i="2" a="1"/>
  <c r="C206" i="2" a="1"/>
  <c r="B205" i="2" a="1"/>
  <c r="D205" i="1"/>
  <c r="C205" i="1" a="1"/>
  <c r="B205" i="1" a="1"/>
  <c r="K207" i="2" l="1"/>
  <c r="L206" i="2"/>
  <c r="J206" i="2"/>
  <c r="I206" i="2"/>
  <c r="H206" i="2"/>
  <c r="G206" i="2"/>
  <c r="F206" i="2"/>
  <c r="E206" i="2"/>
  <c r="D206" i="2"/>
  <c r="C206" i="2"/>
  <c r="B205" i="2"/>
  <c r="A207" i="2"/>
  <c r="B205" i="1"/>
  <c r="C205" i="1"/>
  <c r="A206" i="1"/>
  <c r="K208" i="2" a="1"/>
  <c r="L207" i="2" a="1"/>
  <c r="J207" i="2" a="1"/>
  <c r="I207" i="2" a="1"/>
  <c r="H207" i="2" a="1"/>
  <c r="G207" i="2" a="1"/>
  <c r="F207" i="2" a="1"/>
  <c r="E207" i="2" a="1"/>
  <c r="D207" i="2" a="1"/>
  <c r="C207" i="2" a="1"/>
  <c r="B206" i="2" a="1"/>
  <c r="D206" i="1"/>
  <c r="C206" i="1" a="1"/>
  <c r="B206" i="1" a="1"/>
  <c r="K208" i="2" l="1"/>
  <c r="L207" i="2"/>
  <c r="J207" i="2"/>
  <c r="I207" i="2"/>
  <c r="H207" i="2"/>
  <c r="G207" i="2"/>
  <c r="F207" i="2"/>
  <c r="E207" i="2"/>
  <c r="D207" i="2"/>
  <c r="C207" i="2"/>
  <c r="B206" i="2"/>
  <c r="A208" i="2"/>
  <c r="B206" i="1"/>
  <c r="C206" i="1"/>
  <c r="A207" i="1"/>
  <c r="K209" i="2" a="1"/>
  <c r="L208" i="2" a="1"/>
  <c r="J208" i="2" a="1"/>
  <c r="I208" i="2" a="1"/>
  <c r="H208" i="2" a="1"/>
  <c r="G208" i="2" a="1"/>
  <c r="F208" i="2" a="1"/>
  <c r="E208" i="2" a="1"/>
  <c r="D208" i="2" a="1"/>
  <c r="C208" i="2" a="1"/>
  <c r="B207" i="2" a="1"/>
  <c r="D207" i="1"/>
  <c r="B207" i="1" a="1"/>
  <c r="C207" i="1" a="1"/>
  <c r="K209" i="2" l="1"/>
  <c r="L208" i="2"/>
  <c r="J208" i="2"/>
  <c r="I208" i="2"/>
  <c r="H208" i="2"/>
  <c r="G208" i="2"/>
  <c r="F208" i="2"/>
  <c r="E208" i="2"/>
  <c r="D208" i="2"/>
  <c r="C208" i="2"/>
  <c r="B207" i="2"/>
  <c r="A209" i="2"/>
  <c r="B207" i="1"/>
  <c r="C207" i="1"/>
  <c r="A208" i="1"/>
  <c r="K210" i="2" a="1"/>
  <c r="L209" i="2" a="1"/>
  <c r="J209" i="2" a="1"/>
  <c r="I209" i="2" a="1"/>
  <c r="H209" i="2" a="1"/>
  <c r="G209" i="2" a="1"/>
  <c r="F209" i="2" a="1"/>
  <c r="E209" i="2" a="1"/>
  <c r="D209" i="2" a="1"/>
  <c r="C209" i="2" a="1"/>
  <c r="B208" i="2" a="1"/>
  <c r="D208" i="1"/>
  <c r="C208" i="1" a="1"/>
  <c r="B208" i="1" a="1"/>
  <c r="K210" i="2" l="1"/>
  <c r="L209" i="2"/>
  <c r="J209" i="2"/>
  <c r="I209" i="2"/>
  <c r="H209" i="2"/>
  <c r="G209" i="2"/>
  <c r="F209" i="2"/>
  <c r="E209" i="2"/>
  <c r="D209" i="2"/>
  <c r="C209" i="2"/>
  <c r="B208" i="2"/>
  <c r="A210" i="2"/>
  <c r="B208" i="1"/>
  <c r="C208" i="1"/>
  <c r="A209" i="1"/>
  <c r="K211" i="2" a="1"/>
  <c r="L210" i="2" a="1"/>
  <c r="J210" i="2" a="1"/>
  <c r="I210" i="2" a="1"/>
  <c r="H210" i="2" a="1"/>
  <c r="G210" i="2" a="1"/>
  <c r="F210" i="2" a="1"/>
  <c r="E210" i="2" a="1"/>
  <c r="D210" i="2" a="1"/>
  <c r="C210" i="2" a="1"/>
  <c r="B209" i="2" a="1"/>
  <c r="D209" i="1"/>
  <c r="C209" i="1" a="1"/>
  <c r="B209" i="1" a="1"/>
  <c r="K211" i="2" l="1"/>
  <c r="L210" i="2"/>
  <c r="J210" i="2"/>
  <c r="I210" i="2"/>
  <c r="H210" i="2"/>
  <c r="G210" i="2"/>
  <c r="F210" i="2"/>
  <c r="E210" i="2"/>
  <c r="D210" i="2"/>
  <c r="C210" i="2"/>
  <c r="B209" i="2"/>
  <c r="A211" i="2"/>
  <c r="B209" i="1"/>
  <c r="C209" i="1"/>
  <c r="A210" i="1"/>
  <c r="K212" i="2" a="1"/>
  <c r="L211" i="2" a="1"/>
  <c r="J211" i="2" a="1"/>
  <c r="I211" i="2" a="1"/>
  <c r="H211" i="2" a="1"/>
  <c r="G211" i="2" a="1"/>
  <c r="F211" i="2" a="1"/>
  <c r="E211" i="2" a="1"/>
  <c r="D211" i="2" a="1"/>
  <c r="C211" i="2" a="1"/>
  <c r="B210" i="2" a="1"/>
  <c r="B210" i="1" a="1"/>
  <c r="C210" i="1" a="1"/>
  <c r="D210" i="1"/>
  <c r="K212" i="2" l="1"/>
  <c r="L211" i="2"/>
  <c r="J211" i="2"/>
  <c r="I211" i="2"/>
  <c r="H211" i="2"/>
  <c r="G211" i="2"/>
  <c r="F211" i="2"/>
  <c r="E211" i="2"/>
  <c r="D211" i="2"/>
  <c r="C211" i="2"/>
  <c r="B210" i="2"/>
  <c r="A212" i="2"/>
  <c r="B210" i="1"/>
  <c r="C210" i="1"/>
  <c r="A211" i="1"/>
  <c r="K213" i="2" a="1"/>
  <c r="L212" i="2" a="1"/>
  <c r="J212" i="2" a="1"/>
  <c r="I212" i="2" a="1"/>
  <c r="H212" i="2" a="1"/>
  <c r="G212" i="2" a="1"/>
  <c r="F212" i="2" a="1"/>
  <c r="E212" i="2" a="1"/>
  <c r="D212" i="2" a="1"/>
  <c r="C212" i="2" a="1"/>
  <c r="B211" i="2" a="1"/>
  <c r="D211" i="1"/>
  <c r="C211" i="1" a="1"/>
  <c r="B211" i="1" a="1"/>
  <c r="K213" i="2" l="1"/>
  <c r="L212" i="2"/>
  <c r="J212" i="2"/>
  <c r="I212" i="2"/>
  <c r="H212" i="2"/>
  <c r="G212" i="2"/>
  <c r="F212" i="2"/>
  <c r="E212" i="2"/>
  <c r="D212" i="2"/>
  <c r="C212" i="2"/>
  <c r="B211" i="2"/>
  <c r="A213" i="2"/>
  <c r="B211" i="1"/>
  <c r="C211" i="1"/>
  <c r="A212" i="1"/>
  <c r="K214" i="2" a="1"/>
  <c r="L213" i="2" a="1"/>
  <c r="J213" i="2" a="1"/>
  <c r="I213" i="2" a="1"/>
  <c r="H213" i="2" a="1"/>
  <c r="G213" i="2" a="1"/>
  <c r="F213" i="2" a="1"/>
  <c r="E213" i="2" a="1"/>
  <c r="D213" i="2" a="1"/>
  <c r="C213" i="2" a="1"/>
  <c r="B212" i="2" a="1"/>
  <c r="D212" i="1"/>
  <c r="C212" i="1" a="1"/>
  <c r="B212" i="1" a="1"/>
  <c r="K214" i="2" l="1"/>
  <c r="L213" i="2"/>
  <c r="J213" i="2"/>
  <c r="I213" i="2"/>
  <c r="H213" i="2"/>
  <c r="G213" i="2"/>
  <c r="F213" i="2"/>
  <c r="E213" i="2"/>
  <c r="D213" i="2"/>
  <c r="C213" i="2"/>
  <c r="B212" i="2"/>
  <c r="A214" i="2"/>
  <c r="B212" i="1"/>
  <c r="C212" i="1"/>
  <c r="A213" i="1"/>
  <c r="K215" i="2" a="1"/>
  <c r="L214" i="2" a="1"/>
  <c r="J214" i="2" a="1"/>
  <c r="I214" i="2" a="1"/>
  <c r="H214" i="2" a="1"/>
  <c r="G214" i="2" a="1"/>
  <c r="F214" i="2" a="1"/>
  <c r="E214" i="2" a="1"/>
  <c r="D214" i="2" a="1"/>
  <c r="C214" i="2" a="1"/>
  <c r="B213" i="2" a="1"/>
  <c r="D213" i="1"/>
  <c r="C213" i="1" a="1"/>
  <c r="B213" i="1" a="1"/>
  <c r="K215" i="2" l="1"/>
  <c r="L214" i="2"/>
  <c r="J214" i="2"/>
  <c r="I214" i="2"/>
  <c r="H214" i="2"/>
  <c r="G214" i="2"/>
  <c r="F214" i="2"/>
  <c r="E214" i="2"/>
  <c r="D214" i="2"/>
  <c r="C214" i="2"/>
  <c r="B213" i="2"/>
  <c r="A215" i="2"/>
  <c r="B213" i="1"/>
  <c r="C213" i="1"/>
  <c r="A214" i="1"/>
  <c r="K216" i="2" a="1"/>
  <c r="L215" i="2" a="1"/>
  <c r="J215" i="2" a="1"/>
  <c r="I215" i="2" a="1"/>
  <c r="H215" i="2" a="1"/>
  <c r="G215" i="2" a="1"/>
  <c r="F215" i="2" a="1"/>
  <c r="E215" i="2" a="1"/>
  <c r="D215" i="2" a="1"/>
  <c r="C215" i="2" a="1"/>
  <c r="B214" i="2" a="1"/>
  <c r="D214" i="1"/>
  <c r="C214" i="1" a="1"/>
  <c r="B214" i="1" a="1"/>
  <c r="K216" i="2" l="1"/>
  <c r="L215" i="2"/>
  <c r="J215" i="2"/>
  <c r="I215" i="2"/>
  <c r="H215" i="2"/>
  <c r="G215" i="2"/>
  <c r="F215" i="2"/>
  <c r="E215" i="2"/>
  <c r="D215" i="2"/>
  <c r="C215" i="2"/>
  <c r="B214" i="2"/>
  <c r="A216" i="2"/>
  <c r="B214" i="1"/>
  <c r="C214" i="1"/>
  <c r="A215" i="1"/>
  <c r="K217" i="2" a="1"/>
  <c r="L216" i="2" a="1"/>
  <c r="J216" i="2" a="1"/>
  <c r="I216" i="2" a="1"/>
  <c r="H216" i="2" a="1"/>
  <c r="G216" i="2" a="1"/>
  <c r="F216" i="2" a="1"/>
  <c r="E216" i="2" a="1"/>
  <c r="D216" i="2" a="1"/>
  <c r="C216" i="2" a="1"/>
  <c r="B215" i="2" a="1"/>
  <c r="D215" i="1"/>
  <c r="C215" i="1" a="1"/>
  <c r="B215" i="1" a="1"/>
  <c r="K217" i="2" l="1"/>
  <c r="L216" i="2"/>
  <c r="J216" i="2"/>
  <c r="I216" i="2"/>
  <c r="H216" i="2"/>
  <c r="G216" i="2"/>
  <c r="F216" i="2"/>
  <c r="E216" i="2"/>
  <c r="D216" i="2"/>
  <c r="C216" i="2"/>
  <c r="B215" i="2"/>
  <c r="A217" i="2"/>
  <c r="B215" i="1"/>
  <c r="C215" i="1"/>
  <c r="A216" i="1"/>
  <c r="K218" i="2" a="1"/>
  <c r="L217" i="2" a="1"/>
  <c r="J217" i="2" a="1"/>
  <c r="I217" i="2" a="1"/>
  <c r="H217" i="2" a="1"/>
  <c r="G217" i="2" a="1"/>
  <c r="F217" i="2" a="1"/>
  <c r="E217" i="2" a="1"/>
  <c r="D217" i="2" a="1"/>
  <c r="C217" i="2" a="1"/>
  <c r="B216" i="2" a="1"/>
  <c r="D216" i="1"/>
  <c r="C216" i="1" a="1"/>
  <c r="B216" i="1" a="1"/>
  <c r="K218" i="2" l="1"/>
  <c r="L217" i="2"/>
  <c r="J217" i="2"/>
  <c r="I217" i="2"/>
  <c r="H217" i="2"/>
  <c r="G217" i="2"/>
  <c r="F217" i="2"/>
  <c r="E217" i="2"/>
  <c r="D217" i="2"/>
  <c r="C217" i="2"/>
  <c r="B216" i="2"/>
  <c r="A218" i="2"/>
  <c r="B216" i="1"/>
  <c r="C216" i="1"/>
  <c r="A217" i="1"/>
  <c r="K219" i="2" a="1"/>
  <c r="L218" i="2" a="1"/>
  <c r="J218" i="2" a="1"/>
  <c r="I218" i="2" a="1"/>
  <c r="H218" i="2" a="1"/>
  <c r="G218" i="2" a="1"/>
  <c r="F218" i="2" a="1"/>
  <c r="E218" i="2" a="1"/>
  <c r="D218" i="2" a="1"/>
  <c r="C218" i="2" a="1"/>
  <c r="B217" i="2" a="1"/>
  <c r="D217" i="1"/>
  <c r="C217" i="1" a="1"/>
  <c r="B217" i="1" a="1"/>
  <c r="K219" i="2" l="1"/>
  <c r="L218" i="2"/>
  <c r="J218" i="2"/>
  <c r="I218" i="2"/>
  <c r="H218" i="2"/>
  <c r="G218" i="2"/>
  <c r="F218" i="2"/>
  <c r="E218" i="2"/>
  <c r="D218" i="2"/>
  <c r="C218" i="2"/>
  <c r="B217" i="2"/>
  <c r="A219" i="2"/>
  <c r="B217" i="1"/>
  <c r="C217" i="1"/>
  <c r="A218" i="1"/>
  <c r="K220" i="2" a="1"/>
  <c r="L219" i="2" a="1"/>
  <c r="J219" i="2" a="1"/>
  <c r="I219" i="2" a="1"/>
  <c r="H219" i="2" a="1"/>
  <c r="G219" i="2" a="1"/>
  <c r="F219" i="2" a="1"/>
  <c r="E219" i="2" a="1"/>
  <c r="D219" i="2" a="1"/>
  <c r="C219" i="2" a="1"/>
  <c r="B218" i="2" a="1"/>
  <c r="D218" i="1"/>
  <c r="C218" i="1" a="1"/>
  <c r="B218" i="1" a="1"/>
  <c r="K220" i="2" l="1"/>
  <c r="L219" i="2"/>
  <c r="J219" i="2"/>
  <c r="I219" i="2"/>
  <c r="H219" i="2"/>
  <c r="G219" i="2"/>
  <c r="F219" i="2"/>
  <c r="E219" i="2"/>
  <c r="D219" i="2"/>
  <c r="C219" i="2"/>
  <c r="B218" i="2"/>
  <c r="A220" i="2"/>
  <c r="B218" i="1"/>
  <c r="C218" i="1"/>
  <c r="A219" i="1"/>
  <c r="K221" i="2" a="1"/>
  <c r="L220" i="2" a="1"/>
  <c r="J220" i="2" a="1"/>
  <c r="I220" i="2" a="1"/>
  <c r="H220" i="2" a="1"/>
  <c r="G220" i="2" a="1"/>
  <c r="F220" i="2" a="1"/>
  <c r="E220" i="2" a="1"/>
  <c r="D220" i="2" a="1"/>
  <c r="C220" i="2" a="1"/>
  <c r="B219" i="2" a="1"/>
  <c r="D219" i="1"/>
  <c r="C219" i="1" a="1"/>
  <c r="B219" i="1" a="1"/>
  <c r="K221" i="2" l="1"/>
  <c r="L220" i="2"/>
  <c r="J220" i="2"/>
  <c r="I220" i="2"/>
  <c r="H220" i="2"/>
  <c r="G220" i="2"/>
  <c r="F220" i="2"/>
  <c r="E220" i="2"/>
  <c r="D220" i="2"/>
  <c r="C220" i="2"/>
  <c r="B219" i="2"/>
  <c r="A221" i="2"/>
  <c r="B219" i="1"/>
  <c r="C219" i="1"/>
  <c r="A220" i="1"/>
  <c r="K222" i="2" a="1"/>
  <c r="L221" i="2" a="1"/>
  <c r="J221" i="2" a="1"/>
  <c r="I221" i="2" a="1"/>
  <c r="H221" i="2" a="1"/>
  <c r="G221" i="2" a="1"/>
  <c r="F221" i="2" a="1"/>
  <c r="E221" i="2" a="1"/>
  <c r="D221" i="2" a="1"/>
  <c r="C221" i="2" a="1"/>
  <c r="B220" i="2" a="1"/>
  <c r="D220" i="1"/>
  <c r="C220" i="1" a="1"/>
  <c r="B220" i="1" a="1"/>
  <c r="K222" i="2" l="1"/>
  <c r="L221" i="2"/>
  <c r="J221" i="2"/>
  <c r="I221" i="2"/>
  <c r="H221" i="2"/>
  <c r="G221" i="2"/>
  <c r="F221" i="2"/>
  <c r="E221" i="2"/>
  <c r="D221" i="2"/>
  <c r="C221" i="2"/>
  <c r="B220" i="2"/>
  <c r="A222" i="2"/>
  <c r="B220" i="1"/>
  <c r="C220" i="1"/>
  <c r="A221" i="1"/>
  <c r="K223" i="2" a="1"/>
  <c r="L222" i="2" a="1"/>
  <c r="J222" i="2" a="1"/>
  <c r="I222" i="2" a="1"/>
  <c r="H222" i="2" a="1"/>
  <c r="G222" i="2" a="1"/>
  <c r="F222" i="2" a="1"/>
  <c r="E222" i="2" a="1"/>
  <c r="D222" i="2" a="1"/>
  <c r="C222" i="2" a="1"/>
  <c r="B221" i="2" a="1"/>
  <c r="D221" i="1"/>
  <c r="C221" i="1" a="1"/>
  <c r="B221" i="1" a="1"/>
  <c r="K223" i="2" l="1"/>
  <c r="L222" i="2"/>
  <c r="J222" i="2"/>
  <c r="I222" i="2"/>
  <c r="H222" i="2"/>
  <c r="G222" i="2"/>
  <c r="F222" i="2"/>
  <c r="E222" i="2"/>
  <c r="D222" i="2"/>
  <c r="C222" i="2"/>
  <c r="B221" i="2"/>
  <c r="A223" i="2"/>
  <c r="B221" i="1"/>
  <c r="C221" i="1"/>
  <c r="A222" i="1"/>
  <c r="K224" i="2" a="1"/>
  <c r="L223" i="2" a="1"/>
  <c r="J223" i="2" a="1"/>
  <c r="I223" i="2" a="1"/>
  <c r="H223" i="2" a="1"/>
  <c r="G223" i="2" a="1"/>
  <c r="F223" i="2" a="1"/>
  <c r="E223" i="2" a="1"/>
  <c r="D223" i="2" a="1"/>
  <c r="C223" i="2" a="1"/>
  <c r="B222" i="2" a="1"/>
  <c r="D222" i="1"/>
  <c r="C222" i="1" a="1"/>
  <c r="B222" i="1" a="1"/>
  <c r="K224" i="2" l="1"/>
  <c r="L223" i="2"/>
  <c r="J223" i="2"/>
  <c r="I223" i="2"/>
  <c r="H223" i="2"/>
  <c r="G223" i="2"/>
  <c r="F223" i="2"/>
  <c r="E223" i="2"/>
  <c r="D223" i="2"/>
  <c r="C223" i="2"/>
  <c r="B222" i="2"/>
  <c r="A224" i="2"/>
  <c r="B222" i="1"/>
  <c r="C222" i="1"/>
  <c r="A223" i="1"/>
  <c r="K225" i="2" a="1"/>
  <c r="L224" i="2" a="1"/>
  <c r="J224" i="2" a="1"/>
  <c r="I224" i="2" a="1"/>
  <c r="H224" i="2" a="1"/>
  <c r="G224" i="2" a="1"/>
  <c r="F224" i="2" a="1"/>
  <c r="E224" i="2" a="1"/>
  <c r="D224" i="2" a="1"/>
  <c r="C224" i="2" a="1"/>
  <c r="B223" i="2" a="1"/>
  <c r="D223" i="1"/>
  <c r="C223" i="1" a="1"/>
  <c r="B223" i="1" a="1"/>
  <c r="K225" i="2" l="1"/>
  <c r="L224" i="2"/>
  <c r="J224" i="2"/>
  <c r="I224" i="2"/>
  <c r="H224" i="2"/>
  <c r="G224" i="2"/>
  <c r="F224" i="2"/>
  <c r="E224" i="2"/>
  <c r="D224" i="2"/>
  <c r="C224" i="2"/>
  <c r="B223" i="2"/>
  <c r="A225" i="2"/>
  <c r="B223" i="1"/>
  <c r="C223" i="1"/>
  <c r="A224" i="1"/>
  <c r="K226" i="2" a="1"/>
  <c r="L225" i="2" a="1"/>
  <c r="J225" i="2" a="1"/>
  <c r="I225" i="2" a="1"/>
  <c r="H225" i="2" a="1"/>
  <c r="G225" i="2" a="1"/>
  <c r="F225" i="2" a="1"/>
  <c r="E225" i="2" a="1"/>
  <c r="D225" i="2" a="1"/>
  <c r="C225" i="2" a="1"/>
  <c r="B224" i="2" a="1"/>
  <c r="D224" i="1"/>
  <c r="C224" i="1" a="1"/>
  <c r="B224" i="1" a="1"/>
  <c r="K226" i="2" l="1"/>
  <c r="L225" i="2"/>
  <c r="J225" i="2"/>
  <c r="I225" i="2"/>
  <c r="H225" i="2"/>
  <c r="G225" i="2"/>
  <c r="F225" i="2"/>
  <c r="E225" i="2"/>
  <c r="D225" i="2"/>
  <c r="C225" i="2"/>
  <c r="B224" i="2"/>
  <c r="A226" i="2"/>
  <c r="B224" i="1"/>
  <c r="C224" i="1"/>
  <c r="A225" i="1"/>
  <c r="K227" i="2" a="1"/>
  <c r="L226" i="2" a="1"/>
  <c r="J226" i="2" a="1"/>
  <c r="I226" i="2" a="1"/>
  <c r="H226" i="2" a="1"/>
  <c r="G226" i="2" a="1"/>
  <c r="F226" i="2" a="1"/>
  <c r="E226" i="2" a="1"/>
  <c r="D226" i="2" a="1"/>
  <c r="C226" i="2" a="1"/>
  <c r="B225" i="2" a="1"/>
  <c r="D225" i="1"/>
  <c r="C225" i="1" a="1"/>
  <c r="B225" i="1" a="1"/>
  <c r="K227" i="2" l="1"/>
  <c r="L226" i="2"/>
  <c r="J226" i="2"/>
  <c r="I226" i="2"/>
  <c r="H226" i="2"/>
  <c r="G226" i="2"/>
  <c r="F226" i="2"/>
  <c r="E226" i="2"/>
  <c r="D226" i="2"/>
  <c r="C226" i="2"/>
  <c r="B225" i="2"/>
  <c r="A227" i="2"/>
  <c r="B225" i="1"/>
  <c r="C225" i="1"/>
  <c r="A226" i="1"/>
  <c r="K228" i="2" a="1"/>
  <c r="L227" i="2" a="1"/>
  <c r="J227" i="2" a="1"/>
  <c r="I227" i="2" a="1"/>
  <c r="H227" i="2" a="1"/>
  <c r="G227" i="2" a="1"/>
  <c r="F227" i="2" a="1"/>
  <c r="E227" i="2" a="1"/>
  <c r="D227" i="2" a="1"/>
  <c r="C227" i="2" a="1"/>
  <c r="B226" i="2" a="1"/>
  <c r="D226" i="1"/>
  <c r="C226" i="1" a="1"/>
  <c r="B226" i="1" a="1"/>
  <c r="K228" i="2" l="1"/>
  <c r="L227" i="2"/>
  <c r="J227" i="2"/>
  <c r="I227" i="2"/>
  <c r="H227" i="2"/>
  <c r="G227" i="2"/>
  <c r="F227" i="2"/>
  <c r="E227" i="2"/>
  <c r="D227" i="2"/>
  <c r="C227" i="2"/>
  <c r="B226" i="2"/>
  <c r="A228" i="2"/>
  <c r="B226" i="1"/>
  <c r="C226" i="1"/>
  <c r="A227" i="1"/>
  <c r="K229" i="2" a="1"/>
  <c r="L228" i="2" a="1"/>
  <c r="J228" i="2" a="1"/>
  <c r="I228" i="2" a="1"/>
  <c r="H228" i="2" a="1"/>
  <c r="G228" i="2" a="1"/>
  <c r="F228" i="2" a="1"/>
  <c r="E228" i="2" a="1"/>
  <c r="D228" i="2" a="1"/>
  <c r="C228" i="2" a="1"/>
  <c r="B227" i="2" a="1"/>
  <c r="D227" i="1"/>
  <c r="C227" i="1" a="1"/>
  <c r="B227" i="1" a="1"/>
  <c r="K229" i="2" l="1"/>
  <c r="L228" i="2"/>
  <c r="J228" i="2"/>
  <c r="I228" i="2"/>
  <c r="H228" i="2"/>
  <c r="G228" i="2"/>
  <c r="F228" i="2"/>
  <c r="E228" i="2"/>
  <c r="D228" i="2"/>
  <c r="C228" i="2"/>
  <c r="B227" i="2"/>
  <c r="A229" i="2"/>
  <c r="B227" i="1"/>
  <c r="C227" i="1"/>
  <c r="A228" i="1"/>
  <c r="K230" i="2" a="1"/>
  <c r="L229" i="2" a="1"/>
  <c r="J229" i="2" a="1"/>
  <c r="I229" i="2" a="1"/>
  <c r="H229" i="2" a="1"/>
  <c r="G229" i="2" a="1"/>
  <c r="F229" i="2" a="1"/>
  <c r="E229" i="2" a="1"/>
  <c r="D229" i="2" a="1"/>
  <c r="C229" i="2" a="1"/>
  <c r="B228" i="2" a="1"/>
  <c r="D228" i="1"/>
  <c r="C228" i="1" a="1"/>
  <c r="B228" i="1" a="1"/>
  <c r="K230" i="2" l="1"/>
  <c r="L229" i="2"/>
  <c r="J229" i="2"/>
  <c r="I229" i="2"/>
  <c r="H229" i="2"/>
  <c r="G229" i="2"/>
  <c r="F229" i="2"/>
  <c r="E229" i="2"/>
  <c r="D229" i="2"/>
  <c r="C229" i="2"/>
  <c r="B228" i="2"/>
  <c r="A230" i="2"/>
  <c r="B228" i="1"/>
  <c r="C228" i="1"/>
  <c r="A229" i="1"/>
  <c r="K231" i="2" a="1"/>
  <c r="L230" i="2" a="1"/>
  <c r="J230" i="2" a="1"/>
  <c r="I230" i="2" a="1"/>
  <c r="H230" i="2" a="1"/>
  <c r="G230" i="2" a="1"/>
  <c r="F230" i="2" a="1"/>
  <c r="E230" i="2" a="1"/>
  <c r="D230" i="2" a="1"/>
  <c r="C230" i="2" a="1"/>
  <c r="B229" i="2" a="1"/>
  <c r="D229" i="1"/>
  <c r="C229" i="1" a="1"/>
  <c r="B229" i="1" a="1"/>
  <c r="K231" i="2" l="1"/>
  <c r="L230" i="2"/>
  <c r="J230" i="2"/>
  <c r="I230" i="2"/>
  <c r="H230" i="2"/>
  <c r="G230" i="2"/>
  <c r="F230" i="2"/>
  <c r="E230" i="2"/>
  <c r="D230" i="2"/>
  <c r="C230" i="2"/>
  <c r="B229" i="2"/>
  <c r="A231" i="2"/>
  <c r="B229" i="1"/>
  <c r="C229" i="1"/>
  <c r="A230" i="1"/>
  <c r="K232" i="2" a="1"/>
  <c r="L231" i="2" a="1"/>
  <c r="J231" i="2" a="1"/>
  <c r="I231" i="2" a="1"/>
  <c r="H231" i="2" a="1"/>
  <c r="G231" i="2" a="1"/>
  <c r="F231" i="2" a="1"/>
  <c r="E231" i="2" a="1"/>
  <c r="D231" i="2" a="1"/>
  <c r="C231" i="2" a="1"/>
  <c r="B230" i="2" a="1"/>
  <c r="D230" i="1"/>
  <c r="C230" i="1" a="1"/>
  <c r="B230" i="1" a="1"/>
  <c r="K232" i="2" l="1"/>
  <c r="L231" i="2"/>
  <c r="J231" i="2"/>
  <c r="I231" i="2"/>
  <c r="H231" i="2"/>
  <c r="G231" i="2"/>
  <c r="F231" i="2"/>
  <c r="E231" i="2"/>
  <c r="D231" i="2"/>
  <c r="C231" i="2"/>
  <c r="B230" i="2"/>
  <c r="A232" i="2"/>
  <c r="B230" i="1"/>
  <c r="C230" i="1"/>
  <c r="A231" i="1"/>
  <c r="K233" i="2" a="1"/>
  <c r="L232" i="2" a="1"/>
  <c r="J232" i="2" a="1"/>
  <c r="I232" i="2" a="1"/>
  <c r="H232" i="2" a="1"/>
  <c r="G232" i="2" a="1"/>
  <c r="F232" i="2" a="1"/>
  <c r="E232" i="2" a="1"/>
  <c r="D232" i="2" a="1"/>
  <c r="C232" i="2" a="1"/>
  <c r="B231" i="2" a="1"/>
  <c r="D231" i="1"/>
  <c r="C231" i="1" a="1"/>
  <c r="B231" i="1" a="1"/>
  <c r="K233" i="2" l="1"/>
  <c r="L232" i="2"/>
  <c r="J232" i="2"/>
  <c r="I232" i="2"/>
  <c r="H232" i="2"/>
  <c r="G232" i="2"/>
  <c r="F232" i="2"/>
  <c r="E232" i="2"/>
  <c r="D232" i="2"/>
  <c r="C232" i="2"/>
  <c r="B231" i="2"/>
  <c r="A233" i="2"/>
  <c r="B231" i="1"/>
  <c r="C231" i="1"/>
  <c r="A232" i="1"/>
  <c r="K234" i="2" a="1"/>
  <c r="L233" i="2" a="1"/>
  <c r="J233" i="2" a="1"/>
  <c r="I233" i="2" a="1"/>
  <c r="H233" i="2" a="1"/>
  <c r="G233" i="2" a="1"/>
  <c r="F233" i="2" a="1"/>
  <c r="E233" i="2" a="1"/>
  <c r="D233" i="2" a="1"/>
  <c r="C233" i="2" a="1"/>
  <c r="B232" i="2" a="1"/>
  <c r="D232" i="1"/>
  <c r="C232" i="1" a="1"/>
  <c r="B232" i="1" a="1"/>
  <c r="K234" i="2" l="1"/>
  <c r="L233" i="2"/>
  <c r="J233" i="2"/>
  <c r="I233" i="2"/>
  <c r="H233" i="2"/>
  <c r="G233" i="2"/>
  <c r="F233" i="2"/>
  <c r="E233" i="2"/>
  <c r="D233" i="2"/>
  <c r="C233" i="2"/>
  <c r="B232" i="2"/>
  <c r="A234" i="2"/>
  <c r="B232" i="1"/>
  <c r="C232" i="1"/>
  <c r="A233" i="1"/>
  <c r="K235" i="2" a="1"/>
  <c r="L234" i="2" a="1"/>
  <c r="J234" i="2" a="1"/>
  <c r="I234" i="2" a="1"/>
  <c r="H234" i="2" a="1"/>
  <c r="G234" i="2" a="1"/>
  <c r="F234" i="2" a="1"/>
  <c r="E234" i="2" a="1"/>
  <c r="D234" i="2" a="1"/>
  <c r="C234" i="2" a="1"/>
  <c r="B234" i="2" a="1"/>
  <c r="B233" i="2" a="1"/>
  <c r="D233" i="1"/>
  <c r="C233" i="1" a="1"/>
  <c r="B233" i="1" a="1"/>
  <c r="K235" i="2" l="1"/>
  <c r="L234" i="2"/>
  <c r="J234" i="2"/>
  <c r="I234" i="2"/>
  <c r="H234" i="2"/>
  <c r="G234" i="2"/>
  <c r="F234" i="2"/>
  <c r="E234" i="2"/>
  <c r="D234" i="2"/>
  <c r="C234" i="2"/>
  <c r="B234" i="2"/>
  <c r="B233" i="2"/>
  <c r="A235" i="2"/>
  <c r="B233" i="1"/>
  <c r="C233" i="1"/>
  <c r="A234" i="1"/>
  <c r="K236" i="2" a="1"/>
  <c r="L235" i="2" a="1"/>
  <c r="J235" i="2" a="1"/>
  <c r="I235" i="2" a="1"/>
  <c r="H235" i="2" a="1"/>
  <c r="G235" i="2" a="1"/>
  <c r="F235" i="2" a="1"/>
  <c r="E235" i="2" a="1"/>
  <c r="D235" i="2" a="1"/>
  <c r="C235" i="2" a="1"/>
  <c r="D234" i="1"/>
  <c r="C234" i="1" a="1"/>
  <c r="B234" i="1" a="1"/>
  <c r="K236" i="2" l="1"/>
  <c r="L235" i="2"/>
  <c r="J235" i="2"/>
  <c r="I235" i="2"/>
  <c r="H235" i="2"/>
  <c r="G235" i="2"/>
  <c r="F235" i="2"/>
  <c r="E235" i="2"/>
  <c r="D235" i="2"/>
  <c r="C235" i="2"/>
  <c r="A236" i="2"/>
  <c r="B234" i="1"/>
  <c r="C234" i="1"/>
  <c r="A235" i="1"/>
  <c r="K237" i="2" a="1"/>
  <c r="L236" i="2" a="1"/>
  <c r="J236" i="2" a="1"/>
  <c r="I236" i="2" a="1"/>
  <c r="H236" i="2" a="1"/>
  <c r="G236" i="2" a="1"/>
  <c r="F236" i="2" a="1"/>
  <c r="E236" i="2" a="1"/>
  <c r="D236" i="2" a="1"/>
  <c r="C236" i="2" a="1"/>
  <c r="B235" i="2" a="1"/>
  <c r="D235" i="1"/>
  <c r="C235" i="1" a="1"/>
  <c r="B235" i="1" a="1"/>
  <c r="K237" i="2" l="1"/>
  <c r="L236" i="2"/>
  <c r="J236" i="2"/>
  <c r="I236" i="2"/>
  <c r="H236" i="2"/>
  <c r="G236" i="2"/>
  <c r="F236" i="2"/>
  <c r="E236" i="2"/>
  <c r="D236" i="2"/>
  <c r="C236" i="2"/>
  <c r="B235" i="2"/>
  <c r="A237" i="2"/>
  <c r="B235" i="1"/>
  <c r="C235" i="1"/>
  <c r="A236" i="1"/>
  <c r="K238" i="2" a="1"/>
  <c r="L237" i="2" a="1"/>
  <c r="J237" i="2" a="1"/>
  <c r="I237" i="2" a="1"/>
  <c r="H237" i="2" a="1"/>
  <c r="G237" i="2" a="1"/>
  <c r="F237" i="2" a="1"/>
  <c r="E237" i="2" a="1"/>
  <c r="D237" i="2" a="1"/>
  <c r="C237" i="2" a="1"/>
  <c r="B236" i="2" a="1"/>
  <c r="B236" i="1" a="1"/>
  <c r="D236" i="1"/>
  <c r="C236" i="1" a="1"/>
  <c r="K238" i="2" l="1"/>
  <c r="L237" i="2"/>
  <c r="J237" i="2"/>
  <c r="I237" i="2"/>
  <c r="H237" i="2"/>
  <c r="G237" i="2"/>
  <c r="F237" i="2"/>
  <c r="E237" i="2"/>
  <c r="D237" i="2"/>
  <c r="C237" i="2"/>
  <c r="B236" i="2"/>
  <c r="A238" i="2"/>
  <c r="B236" i="1"/>
  <c r="C236" i="1"/>
  <c r="A237" i="1"/>
  <c r="K239" i="2" a="1"/>
  <c r="L238" i="2" a="1"/>
  <c r="J238" i="2" a="1"/>
  <c r="I238" i="2" a="1"/>
  <c r="H238" i="2" a="1"/>
  <c r="G238" i="2" a="1"/>
  <c r="F238" i="2" a="1"/>
  <c r="E238" i="2" a="1"/>
  <c r="D238" i="2" a="1"/>
  <c r="C238" i="2" a="1"/>
  <c r="B237" i="2" a="1"/>
  <c r="D237" i="1"/>
  <c r="C237" i="1" a="1"/>
  <c r="B237" i="1" a="1"/>
  <c r="K239" i="2" l="1"/>
  <c r="L238" i="2"/>
  <c r="J238" i="2"/>
  <c r="I238" i="2"/>
  <c r="H238" i="2"/>
  <c r="G238" i="2"/>
  <c r="F238" i="2"/>
  <c r="E238" i="2"/>
  <c r="D238" i="2"/>
  <c r="C238" i="2"/>
  <c r="B237" i="2"/>
  <c r="A239" i="2"/>
  <c r="B237" i="1"/>
  <c r="C237" i="1"/>
  <c r="A238" i="1"/>
  <c r="K240" i="2" a="1"/>
  <c r="L239" i="2" a="1"/>
  <c r="J239" i="2" a="1"/>
  <c r="I239" i="2" a="1"/>
  <c r="H239" i="2" a="1"/>
  <c r="G239" i="2" a="1"/>
  <c r="F239" i="2" a="1"/>
  <c r="E239" i="2" a="1"/>
  <c r="D239" i="2" a="1"/>
  <c r="C239" i="2" a="1"/>
  <c r="B238" i="2" a="1"/>
  <c r="D238" i="1"/>
  <c r="C238" i="1" a="1"/>
  <c r="B238" i="1" a="1"/>
  <c r="K240" i="2" l="1"/>
  <c r="L239" i="2"/>
  <c r="J239" i="2"/>
  <c r="I239" i="2"/>
  <c r="H239" i="2"/>
  <c r="G239" i="2"/>
  <c r="F239" i="2"/>
  <c r="E239" i="2"/>
  <c r="D239" i="2"/>
  <c r="C239" i="2"/>
  <c r="B238" i="2"/>
  <c r="A240" i="2"/>
  <c r="B238" i="1"/>
  <c r="C238" i="1"/>
  <c r="A239" i="1"/>
  <c r="K241" i="2" a="1"/>
  <c r="L240" i="2" a="1"/>
  <c r="J240" i="2" a="1"/>
  <c r="I240" i="2" a="1"/>
  <c r="H240" i="2" a="1"/>
  <c r="G240" i="2" a="1"/>
  <c r="F240" i="2" a="1"/>
  <c r="E240" i="2" a="1"/>
  <c r="D240" i="2" a="1"/>
  <c r="C240" i="2" a="1"/>
  <c r="B239" i="2" a="1"/>
  <c r="D239" i="1"/>
  <c r="C239" i="1" a="1"/>
  <c r="B239" i="1" a="1"/>
  <c r="K241" i="2" l="1"/>
  <c r="L240" i="2"/>
  <c r="J240" i="2"/>
  <c r="I240" i="2"/>
  <c r="H240" i="2"/>
  <c r="G240" i="2"/>
  <c r="F240" i="2"/>
  <c r="E240" i="2"/>
  <c r="D240" i="2"/>
  <c r="C240" i="2"/>
  <c r="B239" i="2"/>
  <c r="A241" i="2"/>
  <c r="B239" i="1"/>
  <c r="C239" i="1"/>
  <c r="A240" i="1"/>
  <c r="K242" i="2" a="1"/>
  <c r="L241" i="2" a="1"/>
  <c r="J241" i="2" a="1"/>
  <c r="I241" i="2" a="1"/>
  <c r="H241" i="2" a="1"/>
  <c r="G241" i="2" a="1"/>
  <c r="F241" i="2" a="1"/>
  <c r="E241" i="2" a="1"/>
  <c r="D241" i="2" a="1"/>
  <c r="C241" i="2" a="1"/>
  <c r="B240" i="2" a="1"/>
  <c r="D240" i="1"/>
  <c r="C240" i="1" a="1"/>
  <c r="B240" i="1" a="1"/>
  <c r="K242" i="2" l="1"/>
  <c r="L241" i="2"/>
  <c r="J241" i="2"/>
  <c r="I241" i="2"/>
  <c r="H241" i="2"/>
  <c r="G241" i="2"/>
  <c r="F241" i="2"/>
  <c r="E241" i="2"/>
  <c r="D241" i="2"/>
  <c r="C241" i="2"/>
  <c r="B240" i="2"/>
  <c r="A242" i="2"/>
  <c r="B240" i="1"/>
  <c r="C240" i="1"/>
  <c r="A241" i="1"/>
  <c r="K243" i="2" a="1"/>
  <c r="L242" i="2" a="1"/>
  <c r="J242" i="2" a="1"/>
  <c r="I242" i="2" a="1"/>
  <c r="H242" i="2" a="1"/>
  <c r="G242" i="2" a="1"/>
  <c r="F242" i="2" a="1"/>
  <c r="E242" i="2" a="1"/>
  <c r="D242" i="2" a="1"/>
  <c r="C242" i="2" a="1"/>
  <c r="B241" i="2" a="1"/>
  <c r="D241" i="1"/>
  <c r="C241" i="1" a="1"/>
  <c r="B241" i="1" a="1"/>
  <c r="K243" i="2" l="1"/>
  <c r="L242" i="2"/>
  <c r="J242" i="2"/>
  <c r="I242" i="2"/>
  <c r="H242" i="2"/>
  <c r="G242" i="2"/>
  <c r="F242" i="2"/>
  <c r="E242" i="2"/>
  <c r="D242" i="2"/>
  <c r="C242" i="2"/>
  <c r="B241" i="2"/>
  <c r="A243" i="2"/>
  <c r="B241" i="1"/>
  <c r="C241" i="1"/>
  <c r="A242" i="1"/>
  <c r="K244" i="2" a="1"/>
  <c r="L243" i="2" a="1"/>
  <c r="J243" i="2" a="1"/>
  <c r="I243" i="2" a="1"/>
  <c r="H243" i="2" a="1"/>
  <c r="G243" i="2" a="1"/>
  <c r="F243" i="2" a="1"/>
  <c r="E243" i="2" a="1"/>
  <c r="D243" i="2" a="1"/>
  <c r="C243" i="2" a="1"/>
  <c r="B242" i="2" a="1"/>
  <c r="D242" i="1"/>
  <c r="C242" i="1" a="1"/>
  <c r="B242" i="1" a="1"/>
  <c r="K244" i="2" l="1"/>
  <c r="L243" i="2"/>
  <c r="J243" i="2"/>
  <c r="I243" i="2"/>
  <c r="H243" i="2"/>
  <c r="G243" i="2"/>
  <c r="F243" i="2"/>
  <c r="E243" i="2"/>
  <c r="D243" i="2"/>
  <c r="C243" i="2"/>
  <c r="B242" i="2"/>
  <c r="A244" i="2"/>
  <c r="B242" i="1"/>
  <c r="C242" i="1"/>
  <c r="A243" i="1"/>
  <c r="K245" i="2" a="1"/>
  <c r="L244" i="2" a="1"/>
  <c r="J244" i="2" a="1"/>
  <c r="I244" i="2" a="1"/>
  <c r="H244" i="2" a="1"/>
  <c r="G244" i="2" a="1"/>
  <c r="F244" i="2" a="1"/>
  <c r="E244" i="2" a="1"/>
  <c r="D244" i="2" a="1"/>
  <c r="C244" i="2" a="1"/>
  <c r="B243" i="2" a="1"/>
  <c r="D243" i="1"/>
  <c r="C243" i="1" a="1"/>
  <c r="B243" i="1" a="1"/>
  <c r="K245" i="2" l="1"/>
  <c r="L244" i="2"/>
  <c r="J244" i="2"/>
  <c r="I244" i="2"/>
  <c r="H244" i="2"/>
  <c r="G244" i="2"/>
  <c r="F244" i="2"/>
  <c r="E244" i="2"/>
  <c r="D244" i="2"/>
  <c r="C244" i="2"/>
  <c r="B243" i="2"/>
  <c r="A245" i="2"/>
  <c r="B243" i="1"/>
  <c r="C243" i="1"/>
  <c r="A244" i="1"/>
  <c r="K246" i="2" a="1"/>
  <c r="L245" i="2" a="1"/>
  <c r="J245" i="2" a="1"/>
  <c r="I245" i="2" a="1"/>
  <c r="H245" i="2" a="1"/>
  <c r="G245" i="2" a="1"/>
  <c r="F245" i="2" a="1"/>
  <c r="E245" i="2" a="1"/>
  <c r="D245" i="2" a="1"/>
  <c r="C245" i="2" a="1"/>
  <c r="B244" i="2" a="1"/>
  <c r="D244" i="1"/>
  <c r="C244" i="1" a="1"/>
  <c r="B244" i="1" a="1"/>
  <c r="K246" i="2" l="1"/>
  <c r="L245" i="2"/>
  <c r="J245" i="2"/>
  <c r="I245" i="2"/>
  <c r="H245" i="2"/>
  <c r="G245" i="2"/>
  <c r="F245" i="2"/>
  <c r="E245" i="2"/>
  <c r="D245" i="2"/>
  <c r="C245" i="2"/>
  <c r="B244" i="2"/>
  <c r="A246" i="2"/>
  <c r="B244" i="1"/>
  <c r="C244" i="1"/>
  <c r="A245" i="1"/>
  <c r="K247" i="2" a="1"/>
  <c r="L246" i="2" a="1"/>
  <c r="J246" i="2" a="1"/>
  <c r="I246" i="2" a="1"/>
  <c r="H246" i="2" a="1"/>
  <c r="G246" i="2" a="1"/>
  <c r="F246" i="2" a="1"/>
  <c r="E246" i="2" a="1"/>
  <c r="D246" i="2" a="1"/>
  <c r="C246" i="2" a="1"/>
  <c r="B245" i="2" a="1"/>
  <c r="C245" i="1" a="1"/>
  <c r="B245" i="1" a="1"/>
  <c r="D245" i="1"/>
  <c r="K247" i="2" l="1"/>
  <c r="L246" i="2"/>
  <c r="J246" i="2"/>
  <c r="I246" i="2"/>
  <c r="H246" i="2"/>
  <c r="G246" i="2"/>
  <c r="F246" i="2"/>
  <c r="E246" i="2"/>
  <c r="D246" i="2"/>
  <c r="C246" i="2"/>
  <c r="B245" i="2"/>
  <c r="A247" i="2"/>
  <c r="B245" i="1"/>
  <c r="C245" i="1"/>
  <c r="A246" i="1"/>
  <c r="K248" i="2" a="1"/>
  <c r="L247" i="2" a="1"/>
  <c r="J247" i="2" a="1"/>
  <c r="I247" i="2" a="1"/>
  <c r="H247" i="2" a="1"/>
  <c r="G247" i="2" a="1"/>
  <c r="F247" i="2" a="1"/>
  <c r="E247" i="2" a="1"/>
  <c r="D247" i="2" a="1"/>
  <c r="C247" i="2" a="1"/>
  <c r="B246" i="2" a="1"/>
  <c r="D246" i="1"/>
  <c r="C246" i="1" a="1"/>
  <c r="B246" i="1" a="1"/>
  <c r="K248" i="2" l="1"/>
  <c r="L247" i="2"/>
  <c r="J247" i="2"/>
  <c r="I247" i="2"/>
  <c r="H247" i="2"/>
  <c r="G247" i="2"/>
  <c r="F247" i="2"/>
  <c r="E247" i="2"/>
  <c r="D247" i="2"/>
  <c r="C247" i="2"/>
  <c r="B246" i="2"/>
  <c r="A248" i="2"/>
  <c r="B246" i="1"/>
  <c r="C246" i="1"/>
  <c r="A247" i="1"/>
  <c r="K249" i="2" a="1"/>
  <c r="L248" i="2" a="1"/>
  <c r="J248" i="2" a="1"/>
  <c r="I248" i="2" a="1"/>
  <c r="H248" i="2" a="1"/>
  <c r="G248" i="2" a="1"/>
  <c r="F248" i="2" a="1"/>
  <c r="E248" i="2" a="1"/>
  <c r="D248" i="2" a="1"/>
  <c r="C248" i="2" a="1"/>
  <c r="B247" i="2" a="1"/>
  <c r="D247" i="1"/>
  <c r="C247" i="1" a="1"/>
  <c r="B247" i="1" a="1"/>
  <c r="K249" i="2" l="1"/>
  <c r="L248" i="2"/>
  <c r="J248" i="2"/>
  <c r="I248" i="2"/>
  <c r="H248" i="2"/>
  <c r="G248" i="2"/>
  <c r="F248" i="2"/>
  <c r="E248" i="2"/>
  <c r="D248" i="2"/>
  <c r="C248" i="2"/>
  <c r="B247" i="2"/>
  <c r="A249" i="2"/>
  <c r="B247" i="1"/>
  <c r="C247" i="1"/>
  <c r="A248" i="1"/>
  <c r="K250" i="2" a="1"/>
  <c r="L249" i="2" a="1"/>
  <c r="J249" i="2" a="1"/>
  <c r="I249" i="2" a="1"/>
  <c r="H249" i="2" a="1"/>
  <c r="G249" i="2" a="1"/>
  <c r="F249" i="2" a="1"/>
  <c r="E249" i="2" a="1"/>
  <c r="D249" i="2" a="1"/>
  <c r="C249" i="2" a="1"/>
  <c r="B248" i="2" a="1"/>
  <c r="D248" i="1"/>
  <c r="C248" i="1" a="1"/>
  <c r="B248" i="1" a="1"/>
  <c r="K250" i="2" l="1"/>
  <c r="L249" i="2"/>
  <c r="J249" i="2"/>
  <c r="I249" i="2"/>
  <c r="H249" i="2"/>
  <c r="G249" i="2"/>
  <c r="F249" i="2"/>
  <c r="E249" i="2"/>
  <c r="D249" i="2"/>
  <c r="C249" i="2"/>
  <c r="B248" i="2"/>
  <c r="A250" i="2"/>
  <c r="B248" i="1"/>
  <c r="C248" i="1"/>
  <c r="A249" i="1"/>
  <c r="K251" i="2" a="1"/>
  <c r="L250" i="2" a="1"/>
  <c r="J250" i="2" a="1"/>
  <c r="I250" i="2" a="1"/>
  <c r="H250" i="2" a="1"/>
  <c r="G250" i="2" a="1"/>
  <c r="F250" i="2" a="1"/>
  <c r="E250" i="2" a="1"/>
  <c r="D250" i="2" a="1"/>
  <c r="C250" i="2" a="1"/>
  <c r="B249" i="2" a="1"/>
  <c r="D249" i="1"/>
  <c r="C249" i="1" a="1"/>
  <c r="B249" i="1" a="1"/>
  <c r="K251" i="2" l="1"/>
  <c r="L250" i="2"/>
  <c r="J250" i="2"/>
  <c r="I250" i="2"/>
  <c r="H250" i="2"/>
  <c r="G250" i="2"/>
  <c r="F250" i="2"/>
  <c r="E250" i="2"/>
  <c r="D250" i="2"/>
  <c r="C250" i="2"/>
  <c r="B249" i="2"/>
  <c r="A251" i="2"/>
  <c r="B249" i="1"/>
  <c r="C249" i="1"/>
  <c r="A250" i="1"/>
  <c r="K252" i="2" a="1"/>
  <c r="L251" i="2" a="1"/>
  <c r="J251" i="2" a="1"/>
  <c r="I251" i="2" a="1"/>
  <c r="H251" i="2" a="1"/>
  <c r="G251" i="2" a="1"/>
  <c r="F251" i="2" a="1"/>
  <c r="E251" i="2" a="1"/>
  <c r="D251" i="2" a="1"/>
  <c r="C251" i="2" a="1"/>
  <c r="B250" i="2" a="1"/>
  <c r="D250" i="1"/>
  <c r="C250" i="1" a="1"/>
  <c r="B250" i="1" a="1"/>
  <c r="K252" i="2" l="1"/>
  <c r="L251" i="2"/>
  <c r="J251" i="2"/>
  <c r="I251" i="2"/>
  <c r="H251" i="2"/>
  <c r="G251" i="2"/>
  <c r="F251" i="2"/>
  <c r="E251" i="2"/>
  <c r="D251" i="2"/>
  <c r="C251" i="2"/>
  <c r="B250" i="2"/>
  <c r="A252" i="2"/>
  <c r="B250" i="1"/>
  <c r="C250" i="1"/>
  <c r="A251" i="1"/>
  <c r="K253" i="2" a="1"/>
  <c r="L252" i="2" a="1"/>
  <c r="J252" i="2" a="1"/>
  <c r="I252" i="2" a="1"/>
  <c r="H252" i="2" a="1"/>
  <c r="G252" i="2" a="1"/>
  <c r="F252" i="2" a="1"/>
  <c r="E252" i="2" a="1"/>
  <c r="D252" i="2" a="1"/>
  <c r="C252" i="2" a="1"/>
  <c r="B251" i="2" a="1"/>
  <c r="D251" i="1"/>
  <c r="C251" i="1" a="1"/>
  <c r="B251" i="1" a="1"/>
  <c r="K253" i="2" l="1"/>
  <c r="L252" i="2"/>
  <c r="J252" i="2"/>
  <c r="I252" i="2"/>
  <c r="H252" i="2"/>
  <c r="G252" i="2"/>
  <c r="F252" i="2"/>
  <c r="E252" i="2"/>
  <c r="D252" i="2"/>
  <c r="C252" i="2"/>
  <c r="B251" i="2"/>
  <c r="A253" i="2"/>
  <c r="B251" i="1"/>
  <c r="C251" i="1"/>
  <c r="A252" i="1"/>
  <c r="K254" i="2" a="1"/>
  <c r="L253" i="2" a="1"/>
  <c r="J253" i="2" a="1"/>
  <c r="I253" i="2" a="1"/>
  <c r="H253" i="2" a="1"/>
  <c r="G253" i="2" a="1"/>
  <c r="F253" i="2" a="1"/>
  <c r="E253" i="2" a="1"/>
  <c r="D253" i="2" a="1"/>
  <c r="C253" i="2" a="1"/>
  <c r="B252" i="2" a="1"/>
  <c r="D252" i="1"/>
  <c r="C252" i="1" a="1"/>
  <c r="B252" i="1" a="1"/>
  <c r="K254" i="2" l="1"/>
  <c r="L253" i="2"/>
  <c r="J253" i="2"/>
  <c r="I253" i="2"/>
  <c r="H253" i="2"/>
  <c r="G253" i="2"/>
  <c r="F253" i="2"/>
  <c r="E253" i="2"/>
  <c r="D253" i="2"/>
  <c r="C253" i="2"/>
  <c r="B252" i="2"/>
  <c r="A254" i="2"/>
  <c r="B252" i="1"/>
  <c r="C252" i="1"/>
  <c r="A253" i="1"/>
  <c r="K255" i="2" a="1"/>
  <c r="L254" i="2" a="1"/>
  <c r="J254" i="2" a="1"/>
  <c r="I254" i="2" a="1"/>
  <c r="H254" i="2" a="1"/>
  <c r="G254" i="2" a="1"/>
  <c r="F254" i="2" a="1"/>
  <c r="E254" i="2" a="1"/>
  <c r="D254" i="2" a="1"/>
  <c r="C254" i="2" a="1"/>
  <c r="B253" i="2" a="1"/>
  <c r="D253" i="1"/>
  <c r="C253" i="1" a="1"/>
  <c r="B253" i="1" a="1"/>
  <c r="K255" i="2" l="1"/>
  <c r="L254" i="2"/>
  <c r="J254" i="2"/>
  <c r="I254" i="2"/>
  <c r="H254" i="2"/>
  <c r="G254" i="2"/>
  <c r="F254" i="2"/>
  <c r="E254" i="2"/>
  <c r="D254" i="2"/>
  <c r="C254" i="2"/>
  <c r="B253" i="2"/>
  <c r="A255" i="2"/>
  <c r="B253" i="1"/>
  <c r="C253" i="1"/>
  <c r="A254" i="1"/>
  <c r="K256" i="2" a="1"/>
  <c r="L255" i="2" a="1"/>
  <c r="J255" i="2" a="1"/>
  <c r="I255" i="2" a="1"/>
  <c r="H255" i="2" a="1"/>
  <c r="G255" i="2" a="1"/>
  <c r="F255" i="2" a="1"/>
  <c r="E255" i="2" a="1"/>
  <c r="D255" i="2" a="1"/>
  <c r="C255" i="2" a="1"/>
  <c r="B254" i="2" a="1"/>
  <c r="C254" i="1" a="1"/>
  <c r="B254" i="1" a="1"/>
  <c r="D254" i="1"/>
  <c r="K256" i="2" l="1"/>
  <c r="L255" i="2"/>
  <c r="J255" i="2"/>
  <c r="I255" i="2"/>
  <c r="H255" i="2"/>
  <c r="G255" i="2"/>
  <c r="F255" i="2"/>
  <c r="E255" i="2"/>
  <c r="D255" i="2"/>
  <c r="C255" i="2"/>
  <c r="B254" i="2"/>
  <c r="A256" i="2"/>
  <c r="B254" i="1"/>
  <c r="C254" i="1"/>
  <c r="A255" i="1"/>
  <c r="K257" i="2" a="1"/>
  <c r="L256" i="2" a="1"/>
  <c r="J256" i="2" a="1"/>
  <c r="I256" i="2" a="1"/>
  <c r="H256" i="2" a="1"/>
  <c r="G256" i="2" a="1"/>
  <c r="F256" i="2" a="1"/>
  <c r="E256" i="2" a="1"/>
  <c r="D256" i="2" a="1"/>
  <c r="C256" i="2" a="1"/>
  <c r="B255" i="2" a="1"/>
  <c r="D255" i="1"/>
  <c r="C255" i="1" a="1"/>
  <c r="B255" i="1" a="1"/>
  <c r="K257" i="2" l="1"/>
  <c r="L256" i="2"/>
  <c r="J256" i="2"/>
  <c r="I256" i="2"/>
  <c r="H256" i="2"/>
  <c r="G256" i="2"/>
  <c r="F256" i="2"/>
  <c r="E256" i="2"/>
  <c r="D256" i="2"/>
  <c r="C256" i="2"/>
  <c r="B255" i="2"/>
  <c r="A257" i="2"/>
  <c r="B255" i="1"/>
  <c r="C255" i="1"/>
  <c r="A256" i="1"/>
  <c r="K258" i="2" a="1"/>
  <c r="L257" i="2" a="1"/>
  <c r="J257" i="2" a="1"/>
  <c r="I257" i="2" a="1"/>
  <c r="H257" i="2" a="1"/>
  <c r="G257" i="2" a="1"/>
  <c r="F257" i="2" a="1"/>
  <c r="E257" i="2" a="1"/>
  <c r="D257" i="2" a="1"/>
  <c r="C257" i="2" a="1"/>
  <c r="B256" i="2" a="1"/>
  <c r="D256" i="1"/>
  <c r="C256" i="1" a="1"/>
  <c r="B256" i="1" a="1"/>
  <c r="K258" i="2" l="1"/>
  <c r="L257" i="2"/>
  <c r="J257" i="2"/>
  <c r="I257" i="2"/>
  <c r="H257" i="2"/>
  <c r="G257" i="2"/>
  <c r="F257" i="2"/>
  <c r="E257" i="2"/>
  <c r="D257" i="2"/>
  <c r="C257" i="2"/>
  <c r="B256" i="2"/>
  <c r="A258" i="2"/>
  <c r="B256" i="1"/>
  <c r="C256" i="1"/>
  <c r="A257" i="1"/>
  <c r="K259" i="2" a="1"/>
  <c r="L258" i="2" a="1"/>
  <c r="J258" i="2" a="1"/>
  <c r="I258" i="2" a="1"/>
  <c r="H258" i="2" a="1"/>
  <c r="G258" i="2" a="1"/>
  <c r="F258" i="2" a="1"/>
  <c r="E258" i="2" a="1"/>
  <c r="D258" i="2" a="1"/>
  <c r="C258" i="2" a="1"/>
  <c r="B257" i="2" a="1"/>
  <c r="D257" i="1"/>
  <c r="C257" i="1" a="1"/>
  <c r="B257" i="1" a="1"/>
  <c r="K259" i="2" l="1"/>
  <c r="L258" i="2"/>
  <c r="J258" i="2"/>
  <c r="I258" i="2"/>
  <c r="H258" i="2"/>
  <c r="G258" i="2"/>
  <c r="F258" i="2"/>
  <c r="E258" i="2"/>
  <c r="D258" i="2"/>
  <c r="C258" i="2"/>
  <c r="B257" i="2"/>
  <c r="A259" i="2"/>
  <c r="B257" i="1"/>
  <c r="C257" i="1"/>
  <c r="A258" i="1"/>
  <c r="K260" i="2" a="1"/>
  <c r="L259" i="2" a="1"/>
  <c r="J259" i="2" a="1"/>
  <c r="I259" i="2" a="1"/>
  <c r="H259" i="2" a="1"/>
  <c r="G259" i="2" a="1"/>
  <c r="F259" i="2" a="1"/>
  <c r="E259" i="2" a="1"/>
  <c r="D259" i="2" a="1"/>
  <c r="C259" i="2" a="1"/>
  <c r="B258" i="2" a="1"/>
  <c r="D258" i="1"/>
  <c r="C258" i="1" a="1"/>
  <c r="B258" i="1" a="1"/>
  <c r="K260" i="2" l="1"/>
  <c r="L259" i="2"/>
  <c r="J259" i="2"/>
  <c r="I259" i="2"/>
  <c r="H259" i="2"/>
  <c r="G259" i="2"/>
  <c r="F259" i="2"/>
  <c r="E259" i="2"/>
  <c r="D259" i="2"/>
  <c r="C259" i="2"/>
  <c r="B258" i="2"/>
  <c r="A260" i="2"/>
  <c r="B258" i="1"/>
  <c r="C258" i="1"/>
  <c r="A259" i="1"/>
  <c r="K261" i="2" a="1"/>
  <c r="L260" i="2" a="1"/>
  <c r="J260" i="2" a="1"/>
  <c r="I260" i="2" a="1"/>
  <c r="H260" i="2" a="1"/>
  <c r="G260" i="2" a="1"/>
  <c r="F260" i="2" a="1"/>
  <c r="E260" i="2" a="1"/>
  <c r="D260" i="2" a="1"/>
  <c r="C260" i="2" a="1"/>
  <c r="B259" i="2" a="1"/>
  <c r="D259" i="1"/>
  <c r="C259" i="1" a="1"/>
  <c r="B259" i="1" a="1"/>
  <c r="K261" i="2" l="1"/>
  <c r="L260" i="2"/>
  <c r="J260" i="2"/>
  <c r="I260" i="2"/>
  <c r="H260" i="2"/>
  <c r="G260" i="2"/>
  <c r="F260" i="2"/>
  <c r="E260" i="2"/>
  <c r="D260" i="2"/>
  <c r="C260" i="2"/>
  <c r="B259" i="2"/>
  <c r="A261" i="2"/>
  <c r="B259" i="1"/>
  <c r="C259" i="1"/>
  <c r="A260" i="1"/>
  <c r="K262" i="2" a="1"/>
  <c r="L261" i="2" a="1"/>
  <c r="J261" i="2" a="1"/>
  <c r="I261" i="2" a="1"/>
  <c r="H261" i="2" a="1"/>
  <c r="G261" i="2" a="1"/>
  <c r="F261" i="2" a="1"/>
  <c r="E261" i="2" a="1"/>
  <c r="D261" i="2" a="1"/>
  <c r="C261" i="2" a="1"/>
  <c r="B260" i="2" a="1"/>
  <c r="D260" i="1"/>
  <c r="C260" i="1" a="1"/>
  <c r="B260" i="1" a="1"/>
  <c r="K262" i="2" l="1"/>
  <c r="L261" i="2"/>
  <c r="J261" i="2"/>
  <c r="I261" i="2"/>
  <c r="H261" i="2"/>
  <c r="G261" i="2"/>
  <c r="F261" i="2"/>
  <c r="E261" i="2"/>
  <c r="D261" i="2"/>
  <c r="C261" i="2"/>
  <c r="B260" i="2"/>
  <c r="A262" i="2"/>
  <c r="B260" i="1"/>
  <c r="C260" i="1"/>
  <c r="K263" i="2" a="1"/>
  <c r="L262" i="2" a="1"/>
  <c r="J262" i="2" a="1"/>
  <c r="I262" i="2" a="1"/>
  <c r="H262" i="2" a="1"/>
  <c r="G262" i="2" a="1"/>
  <c r="F262" i="2" a="1"/>
  <c r="E262" i="2" a="1"/>
  <c r="D262" i="2" a="1"/>
  <c r="C262" i="2" a="1"/>
  <c r="B261" i="2" a="1"/>
  <c r="K263" i="2" l="1"/>
  <c r="L262" i="2"/>
  <c r="J262" i="2"/>
  <c r="I262" i="2"/>
  <c r="H262" i="2"/>
  <c r="G262" i="2"/>
  <c r="F262" i="2"/>
  <c r="E262" i="2"/>
  <c r="D262" i="2"/>
  <c r="C262" i="2"/>
  <c r="B261" i="2"/>
  <c r="A263" i="2"/>
  <c r="K264" i="2" a="1"/>
  <c r="L263" i="2" a="1"/>
  <c r="J263" i="2" a="1"/>
  <c r="I263" i="2" a="1"/>
  <c r="H263" i="2" a="1"/>
  <c r="G263" i="2" a="1"/>
  <c r="F263" i="2" a="1"/>
  <c r="E263" i="2" a="1"/>
  <c r="D263" i="2" a="1"/>
  <c r="C263" i="2" a="1"/>
  <c r="B262" i="2" a="1"/>
  <c r="K264" i="2" l="1"/>
  <c r="L263" i="2"/>
  <c r="J263" i="2"/>
  <c r="I263" i="2"/>
  <c r="H263" i="2"/>
  <c r="G263" i="2"/>
  <c r="F263" i="2"/>
  <c r="E263" i="2"/>
  <c r="D263" i="2"/>
  <c r="C263" i="2"/>
  <c r="B262" i="2"/>
  <c r="A264" i="2"/>
  <c r="K265" i="2" a="1"/>
  <c r="L264" i="2" a="1"/>
  <c r="J264" i="2" a="1"/>
  <c r="I264" i="2" a="1"/>
  <c r="H264" i="2" a="1"/>
  <c r="G264" i="2" a="1"/>
  <c r="F264" i="2" a="1"/>
  <c r="E264" i="2" a="1"/>
  <c r="D264" i="2" a="1"/>
  <c r="C264" i="2" a="1"/>
  <c r="B263" i="2" a="1"/>
  <c r="K265" i="2" l="1"/>
  <c r="L264" i="2"/>
  <c r="J264" i="2"/>
  <c r="I264" i="2"/>
  <c r="H264" i="2"/>
  <c r="G264" i="2"/>
  <c r="F264" i="2"/>
  <c r="E264" i="2"/>
  <c r="D264" i="2"/>
  <c r="C264" i="2"/>
  <c r="B263" i="2"/>
  <c r="A265" i="2"/>
  <c r="K266" i="2" a="1"/>
  <c r="L265" i="2" a="1"/>
  <c r="J265" i="2" a="1"/>
  <c r="I265" i="2" a="1"/>
  <c r="H265" i="2" a="1"/>
  <c r="G265" i="2" a="1"/>
  <c r="F265" i="2" a="1"/>
  <c r="E265" i="2" a="1"/>
  <c r="D265" i="2" a="1"/>
  <c r="C265" i="2" a="1"/>
  <c r="B264" i="2" a="1"/>
  <c r="K266" i="2" l="1"/>
  <c r="L265" i="2"/>
  <c r="J265" i="2"/>
  <c r="I265" i="2"/>
  <c r="H265" i="2"/>
  <c r="G265" i="2"/>
  <c r="F265" i="2"/>
  <c r="E265" i="2"/>
  <c r="D265" i="2"/>
  <c r="C265" i="2"/>
  <c r="B264" i="2"/>
  <c r="A266" i="2"/>
  <c r="K267" i="2" a="1"/>
  <c r="L266" i="2" a="1"/>
  <c r="J266" i="2" a="1"/>
  <c r="I266" i="2" a="1"/>
  <c r="H266" i="2" a="1"/>
  <c r="G266" i="2" a="1"/>
  <c r="F266" i="2" a="1"/>
  <c r="E266" i="2" a="1"/>
  <c r="D266" i="2" a="1"/>
  <c r="C266" i="2" a="1"/>
  <c r="B265" i="2" a="1"/>
  <c r="K267" i="2" l="1"/>
  <c r="L266" i="2"/>
  <c r="J266" i="2"/>
  <c r="I266" i="2"/>
  <c r="H266" i="2"/>
  <c r="G266" i="2"/>
  <c r="F266" i="2"/>
  <c r="E266" i="2"/>
  <c r="D266" i="2"/>
  <c r="C266" i="2"/>
  <c r="B265" i="2"/>
  <c r="A267" i="2"/>
  <c r="K268" i="2" a="1"/>
  <c r="L267" i="2" a="1"/>
  <c r="J267" i="2" a="1"/>
  <c r="I267" i="2" a="1"/>
  <c r="H267" i="2" a="1"/>
  <c r="G267" i="2" a="1"/>
  <c r="F267" i="2" a="1"/>
  <c r="E267" i="2" a="1"/>
  <c r="D267" i="2" a="1"/>
  <c r="C267" i="2" a="1"/>
  <c r="B266" i="2" a="1"/>
  <c r="K268" i="2" l="1"/>
  <c r="L267" i="2"/>
  <c r="J267" i="2"/>
  <c r="I267" i="2"/>
  <c r="H267" i="2"/>
  <c r="G267" i="2"/>
  <c r="F267" i="2"/>
  <c r="E267" i="2"/>
  <c r="D267" i="2"/>
  <c r="C267" i="2"/>
  <c r="B266" i="2"/>
  <c r="A268" i="2"/>
  <c r="K269" i="2" a="1"/>
  <c r="L268" i="2" a="1"/>
  <c r="J268" i="2" a="1"/>
  <c r="I268" i="2" a="1"/>
  <c r="H268" i="2" a="1"/>
  <c r="G268" i="2" a="1"/>
  <c r="F268" i="2" a="1"/>
  <c r="E268" i="2" a="1"/>
  <c r="D268" i="2" a="1"/>
  <c r="C268" i="2" a="1"/>
  <c r="B267" i="2" a="1"/>
  <c r="K269" i="2" l="1"/>
  <c r="L268" i="2"/>
  <c r="J268" i="2"/>
  <c r="I268" i="2"/>
  <c r="H268" i="2"/>
  <c r="G268" i="2"/>
  <c r="F268" i="2"/>
  <c r="E268" i="2"/>
  <c r="D268" i="2"/>
  <c r="C268" i="2"/>
  <c r="B267" i="2"/>
  <c r="A269" i="2"/>
  <c r="K270" i="2" a="1"/>
  <c r="L269" i="2" a="1"/>
  <c r="J269" i="2" a="1"/>
  <c r="I269" i="2" a="1"/>
  <c r="H269" i="2" a="1"/>
  <c r="G269" i="2" a="1"/>
  <c r="F269" i="2" a="1"/>
  <c r="E269" i="2" a="1"/>
  <c r="D269" i="2" a="1"/>
  <c r="C269" i="2" a="1"/>
  <c r="B268" i="2" a="1"/>
  <c r="K270" i="2" l="1"/>
  <c r="L269" i="2"/>
  <c r="J269" i="2"/>
  <c r="I269" i="2"/>
  <c r="H269" i="2"/>
  <c r="G269" i="2"/>
  <c r="F269" i="2"/>
  <c r="E269" i="2"/>
  <c r="D269" i="2"/>
  <c r="C269" i="2"/>
  <c r="B268" i="2"/>
  <c r="A270" i="2"/>
  <c r="K271" i="2" a="1"/>
  <c r="L270" i="2" a="1"/>
  <c r="J270" i="2" a="1"/>
  <c r="I270" i="2" a="1"/>
  <c r="H270" i="2" a="1"/>
  <c r="G270" i="2" a="1"/>
  <c r="F270" i="2" a="1"/>
  <c r="E270" i="2" a="1"/>
  <c r="D270" i="2" a="1"/>
  <c r="C270" i="2" a="1"/>
  <c r="B269" i="2" a="1"/>
  <c r="K271" i="2" l="1"/>
  <c r="L270" i="2"/>
  <c r="J270" i="2"/>
  <c r="I270" i="2"/>
  <c r="H270" i="2"/>
  <c r="G270" i="2"/>
  <c r="F270" i="2"/>
  <c r="E270" i="2"/>
  <c r="D270" i="2"/>
  <c r="C270" i="2"/>
  <c r="B269" i="2"/>
  <c r="A271" i="2"/>
  <c r="K272" i="2" a="1"/>
  <c r="L271" i="2" a="1"/>
  <c r="J271" i="2" a="1"/>
  <c r="I271" i="2" a="1"/>
  <c r="H271" i="2" a="1"/>
  <c r="G271" i="2" a="1"/>
  <c r="F271" i="2" a="1"/>
  <c r="E271" i="2" a="1"/>
  <c r="D271" i="2" a="1"/>
  <c r="C271" i="2" a="1"/>
  <c r="B270" i="2" a="1"/>
  <c r="K272" i="2" l="1"/>
  <c r="L271" i="2"/>
  <c r="J271" i="2"/>
  <c r="I271" i="2"/>
  <c r="H271" i="2"/>
  <c r="G271" i="2"/>
  <c r="F271" i="2"/>
  <c r="E271" i="2"/>
  <c r="D271" i="2"/>
  <c r="C271" i="2"/>
  <c r="B270" i="2"/>
  <c r="A272" i="2"/>
  <c r="K273" i="2" a="1"/>
  <c r="L272" i="2" a="1"/>
  <c r="J272" i="2" a="1"/>
  <c r="I272" i="2" a="1"/>
  <c r="H272" i="2" a="1"/>
  <c r="G272" i="2" a="1"/>
  <c r="F272" i="2" a="1"/>
  <c r="E272" i="2" a="1"/>
  <c r="D272" i="2" a="1"/>
  <c r="C272" i="2" a="1"/>
  <c r="B271" i="2" a="1"/>
  <c r="K273" i="2" l="1"/>
  <c r="L272" i="2"/>
  <c r="J272" i="2"/>
  <c r="I272" i="2"/>
  <c r="H272" i="2"/>
  <c r="G272" i="2"/>
  <c r="F272" i="2"/>
  <c r="E272" i="2"/>
  <c r="D272" i="2"/>
  <c r="C272" i="2"/>
  <c r="B271" i="2"/>
  <c r="A273" i="2"/>
  <c r="K274" i="2" a="1"/>
  <c r="L273" i="2" a="1"/>
  <c r="J273" i="2" a="1"/>
  <c r="I273" i="2" a="1"/>
  <c r="H273" i="2" a="1"/>
  <c r="G273" i="2" a="1"/>
  <c r="F273" i="2" a="1"/>
  <c r="E273" i="2" a="1"/>
  <c r="D273" i="2" a="1"/>
  <c r="C273" i="2" a="1"/>
  <c r="B272" i="2" a="1"/>
  <c r="K274" i="2" l="1"/>
  <c r="L273" i="2"/>
  <c r="J273" i="2"/>
  <c r="I273" i="2"/>
  <c r="H273" i="2"/>
  <c r="G273" i="2"/>
  <c r="F273" i="2"/>
  <c r="E273" i="2"/>
  <c r="D273" i="2"/>
  <c r="C273" i="2"/>
  <c r="B272" i="2"/>
  <c r="A274" i="2"/>
  <c r="K275" i="2" a="1"/>
  <c r="L274" i="2" a="1"/>
  <c r="J274" i="2" a="1"/>
  <c r="I274" i="2" a="1"/>
  <c r="H274" i="2" a="1"/>
  <c r="G274" i="2" a="1"/>
  <c r="F274" i="2" a="1"/>
  <c r="E274" i="2" a="1"/>
  <c r="D274" i="2" a="1"/>
  <c r="C274" i="2" a="1"/>
  <c r="B273" i="2" a="1"/>
  <c r="K275" i="2" l="1"/>
  <c r="L274" i="2"/>
  <c r="J274" i="2"/>
  <c r="I274" i="2"/>
  <c r="H274" i="2"/>
  <c r="G274" i="2"/>
  <c r="F274" i="2"/>
  <c r="E274" i="2"/>
  <c r="D274" i="2"/>
  <c r="C274" i="2"/>
  <c r="B273" i="2"/>
  <c r="A275" i="2"/>
  <c r="K276" i="2" a="1"/>
  <c r="L275" i="2" a="1"/>
  <c r="J275" i="2" a="1"/>
  <c r="I275" i="2" a="1"/>
  <c r="H275" i="2" a="1"/>
  <c r="G275" i="2" a="1"/>
  <c r="F275" i="2" a="1"/>
  <c r="E275" i="2" a="1"/>
  <c r="D275" i="2" a="1"/>
  <c r="C275" i="2" a="1"/>
  <c r="B274" i="2" a="1"/>
  <c r="K276" i="2" l="1"/>
  <c r="L275" i="2"/>
  <c r="J275" i="2"/>
  <c r="I275" i="2"/>
  <c r="H275" i="2"/>
  <c r="G275" i="2"/>
  <c r="F275" i="2"/>
  <c r="E275" i="2"/>
  <c r="D275" i="2"/>
  <c r="C275" i="2"/>
  <c r="B274" i="2"/>
  <c r="A276" i="2"/>
  <c r="K277" i="2" a="1"/>
  <c r="L276" i="2" a="1"/>
  <c r="J276" i="2" a="1"/>
  <c r="I276" i="2" a="1"/>
  <c r="H276" i="2" a="1"/>
  <c r="G276" i="2" a="1"/>
  <c r="F276" i="2" a="1"/>
  <c r="E276" i="2" a="1"/>
  <c r="D276" i="2" a="1"/>
  <c r="C276" i="2" a="1"/>
  <c r="B275" i="2" a="1"/>
  <c r="K277" i="2" l="1"/>
  <c r="L276" i="2"/>
  <c r="J276" i="2"/>
  <c r="I276" i="2"/>
  <c r="H276" i="2"/>
  <c r="G276" i="2"/>
  <c r="F276" i="2"/>
  <c r="E276" i="2"/>
  <c r="D276" i="2"/>
  <c r="C276" i="2"/>
  <c r="B275" i="2"/>
  <c r="A277" i="2"/>
  <c r="K278" i="2" a="1"/>
  <c r="L277" i="2" a="1"/>
  <c r="J277" i="2" a="1"/>
  <c r="I277" i="2" a="1"/>
  <c r="H277" i="2" a="1"/>
  <c r="G277" i="2" a="1"/>
  <c r="F277" i="2" a="1"/>
  <c r="E277" i="2" a="1"/>
  <c r="D277" i="2" a="1"/>
  <c r="C277" i="2" a="1"/>
  <c r="B276" i="2" a="1"/>
  <c r="K278" i="2" l="1"/>
  <c r="L277" i="2"/>
  <c r="J277" i="2"/>
  <c r="I277" i="2"/>
  <c r="H277" i="2"/>
  <c r="G277" i="2"/>
  <c r="F277" i="2"/>
  <c r="E277" i="2"/>
  <c r="D277" i="2"/>
  <c r="C277" i="2"/>
  <c r="B276" i="2"/>
  <c r="A278" i="2"/>
  <c r="K279" i="2" a="1"/>
  <c r="L278" i="2" a="1"/>
  <c r="J278" i="2" a="1"/>
  <c r="I278" i="2" a="1"/>
  <c r="H278" i="2" a="1"/>
  <c r="G278" i="2" a="1"/>
  <c r="F278" i="2" a="1"/>
  <c r="E278" i="2" a="1"/>
  <c r="D278" i="2" a="1"/>
  <c r="C278" i="2" a="1"/>
  <c r="B277" i="2" a="1"/>
  <c r="K279" i="2" l="1"/>
  <c r="L278" i="2"/>
  <c r="J278" i="2"/>
  <c r="I278" i="2"/>
  <c r="H278" i="2"/>
  <c r="G278" i="2"/>
  <c r="F278" i="2"/>
  <c r="E278" i="2"/>
  <c r="D278" i="2"/>
  <c r="C278" i="2"/>
  <c r="B277" i="2"/>
  <c r="A279" i="2"/>
  <c r="K280" i="2" a="1"/>
  <c r="L279" i="2" a="1"/>
  <c r="J279" i="2" a="1"/>
  <c r="I279" i="2" a="1"/>
  <c r="H279" i="2" a="1"/>
  <c r="G279" i="2" a="1"/>
  <c r="F279" i="2" a="1"/>
  <c r="E279" i="2" a="1"/>
  <c r="D279" i="2" a="1"/>
  <c r="C279" i="2" a="1"/>
  <c r="B278" i="2" a="1"/>
  <c r="K280" i="2" l="1"/>
  <c r="L279" i="2"/>
  <c r="J279" i="2"/>
  <c r="I279" i="2"/>
  <c r="H279" i="2"/>
  <c r="G279" i="2"/>
  <c r="F279" i="2"/>
  <c r="E279" i="2"/>
  <c r="D279" i="2"/>
  <c r="C279" i="2"/>
  <c r="B278" i="2"/>
  <c r="A280" i="2"/>
  <c r="K281" i="2" a="1"/>
  <c r="L280" i="2" a="1"/>
  <c r="J280" i="2" a="1"/>
  <c r="I280" i="2" a="1"/>
  <c r="H280" i="2" a="1"/>
  <c r="G280" i="2" a="1"/>
  <c r="F280" i="2" a="1"/>
  <c r="E280" i="2" a="1"/>
  <c r="D280" i="2" a="1"/>
  <c r="C280" i="2" a="1"/>
  <c r="B279" i="2" a="1"/>
  <c r="K281" i="2" l="1"/>
  <c r="L280" i="2"/>
  <c r="J280" i="2"/>
  <c r="I280" i="2"/>
  <c r="H280" i="2"/>
  <c r="G280" i="2"/>
  <c r="F280" i="2"/>
  <c r="E280" i="2"/>
  <c r="D280" i="2"/>
  <c r="C280" i="2"/>
  <c r="B279" i="2"/>
  <c r="A281" i="2"/>
  <c r="K282" i="2" a="1"/>
  <c r="L281" i="2" a="1"/>
  <c r="J281" i="2" a="1"/>
  <c r="I281" i="2" a="1"/>
  <c r="H281" i="2" a="1"/>
  <c r="G281" i="2" a="1"/>
  <c r="F281" i="2" a="1"/>
  <c r="E281" i="2" a="1"/>
  <c r="D281" i="2" a="1"/>
  <c r="C281" i="2" a="1"/>
  <c r="B280" i="2" a="1"/>
  <c r="K282" i="2" l="1"/>
  <c r="L281" i="2"/>
  <c r="J281" i="2"/>
  <c r="I281" i="2"/>
  <c r="H281" i="2"/>
  <c r="G281" i="2"/>
  <c r="F281" i="2"/>
  <c r="E281" i="2"/>
  <c r="D281" i="2"/>
  <c r="C281" i="2"/>
  <c r="B280" i="2"/>
  <c r="A282" i="2"/>
  <c r="K283" i="2" a="1"/>
  <c r="L282" i="2" a="1"/>
  <c r="J282" i="2" a="1"/>
  <c r="I282" i="2" a="1"/>
  <c r="H282" i="2" a="1"/>
  <c r="G282" i="2" a="1"/>
  <c r="F282" i="2" a="1"/>
  <c r="E282" i="2" a="1"/>
  <c r="D282" i="2" a="1"/>
  <c r="C282" i="2" a="1"/>
  <c r="B281" i="2" a="1"/>
  <c r="K283" i="2" l="1"/>
  <c r="L282" i="2"/>
  <c r="J282" i="2"/>
  <c r="I282" i="2"/>
  <c r="H282" i="2"/>
  <c r="G282" i="2"/>
  <c r="F282" i="2"/>
  <c r="E282" i="2"/>
  <c r="D282" i="2"/>
  <c r="C282" i="2"/>
  <c r="B281" i="2"/>
  <c r="A283" i="2"/>
  <c r="K284" i="2" a="1"/>
  <c r="L283" i="2" a="1"/>
  <c r="J283" i="2" a="1"/>
  <c r="I283" i="2" a="1"/>
  <c r="H283" i="2" a="1"/>
  <c r="G283" i="2" a="1"/>
  <c r="F283" i="2" a="1"/>
  <c r="E283" i="2" a="1"/>
  <c r="D283" i="2" a="1"/>
  <c r="C283" i="2" a="1"/>
  <c r="B282" i="2" a="1"/>
  <c r="K284" i="2" l="1"/>
  <c r="L283" i="2"/>
  <c r="J283" i="2"/>
  <c r="I283" i="2"/>
  <c r="H283" i="2"/>
  <c r="G283" i="2"/>
  <c r="F283" i="2"/>
  <c r="E283" i="2"/>
  <c r="D283" i="2"/>
  <c r="C283" i="2"/>
  <c r="B282" i="2"/>
  <c r="A284" i="2"/>
  <c r="K285" i="2" a="1"/>
  <c r="L284" i="2" a="1"/>
  <c r="J284" i="2" a="1"/>
  <c r="I284" i="2" a="1"/>
  <c r="H284" i="2" a="1"/>
  <c r="G284" i="2" a="1"/>
  <c r="F284" i="2" a="1"/>
  <c r="E284" i="2" a="1"/>
  <c r="D284" i="2" a="1"/>
  <c r="C284" i="2" a="1"/>
  <c r="B283" i="2" a="1"/>
  <c r="K285" i="2" l="1"/>
  <c r="L284" i="2"/>
  <c r="J284" i="2"/>
  <c r="I284" i="2"/>
  <c r="H284" i="2"/>
  <c r="G284" i="2"/>
  <c r="F284" i="2"/>
  <c r="E284" i="2"/>
  <c r="D284" i="2"/>
  <c r="C284" i="2"/>
  <c r="B283" i="2"/>
  <c r="A285" i="2"/>
  <c r="K286" i="2" a="1"/>
  <c r="L285" i="2" a="1"/>
  <c r="J285" i="2" a="1"/>
  <c r="I285" i="2" a="1"/>
  <c r="H285" i="2" a="1"/>
  <c r="G285" i="2" a="1"/>
  <c r="F285" i="2" a="1"/>
  <c r="E285" i="2" a="1"/>
  <c r="D285" i="2" a="1"/>
  <c r="C285" i="2" a="1"/>
  <c r="B284" i="2" a="1"/>
  <c r="K286" i="2" l="1"/>
  <c r="L285" i="2"/>
  <c r="J285" i="2"/>
  <c r="I285" i="2"/>
  <c r="H285" i="2"/>
  <c r="G285" i="2"/>
  <c r="F285" i="2"/>
  <c r="E285" i="2"/>
  <c r="D285" i="2"/>
  <c r="C285" i="2"/>
  <c r="B284" i="2"/>
  <c r="A286" i="2"/>
  <c r="K287" i="2" a="1"/>
  <c r="L286" i="2" a="1"/>
  <c r="J286" i="2" a="1"/>
  <c r="I286" i="2" a="1"/>
  <c r="H286" i="2" a="1"/>
  <c r="G286" i="2" a="1"/>
  <c r="F286" i="2" a="1"/>
  <c r="E286" i="2" a="1"/>
  <c r="D286" i="2" a="1"/>
  <c r="C286" i="2" a="1"/>
  <c r="B285" i="2" a="1"/>
  <c r="K287" i="2" l="1"/>
  <c r="L286" i="2"/>
  <c r="J286" i="2"/>
  <c r="I286" i="2"/>
  <c r="H286" i="2"/>
  <c r="G286" i="2"/>
  <c r="F286" i="2"/>
  <c r="E286" i="2"/>
  <c r="D286" i="2"/>
  <c r="C286" i="2"/>
  <c r="B285" i="2"/>
  <c r="A287" i="2"/>
  <c r="K288" i="2" a="1"/>
  <c r="L287" i="2" a="1"/>
  <c r="J287" i="2" a="1"/>
  <c r="I287" i="2" a="1"/>
  <c r="H287" i="2" a="1"/>
  <c r="G287" i="2" a="1"/>
  <c r="F287" i="2" a="1"/>
  <c r="E287" i="2" a="1"/>
  <c r="D287" i="2" a="1"/>
  <c r="C287" i="2" a="1"/>
  <c r="B286" i="2" a="1"/>
  <c r="K288" i="2" l="1"/>
  <c r="L287" i="2"/>
  <c r="J287" i="2"/>
  <c r="I287" i="2"/>
  <c r="H287" i="2"/>
  <c r="G287" i="2"/>
  <c r="F287" i="2"/>
  <c r="E287" i="2"/>
  <c r="D287" i="2"/>
  <c r="C287" i="2"/>
  <c r="B286" i="2"/>
  <c r="A288" i="2"/>
  <c r="K289" i="2" a="1"/>
  <c r="L288" i="2" a="1"/>
  <c r="J288" i="2" a="1"/>
  <c r="I288" i="2" a="1"/>
  <c r="H288" i="2" a="1"/>
  <c r="G288" i="2" a="1"/>
  <c r="F288" i="2" a="1"/>
  <c r="E288" i="2" a="1"/>
  <c r="D288" i="2" a="1"/>
  <c r="C288" i="2" a="1"/>
  <c r="B287" i="2" a="1"/>
  <c r="K289" i="2" l="1"/>
  <c r="L288" i="2"/>
  <c r="J288" i="2"/>
  <c r="I288" i="2"/>
  <c r="H288" i="2"/>
  <c r="G288" i="2"/>
  <c r="F288" i="2"/>
  <c r="E288" i="2"/>
  <c r="D288" i="2"/>
  <c r="C288" i="2"/>
  <c r="B287" i="2"/>
  <c r="A289" i="2"/>
  <c r="K290" i="2" a="1"/>
  <c r="L289" i="2" a="1"/>
  <c r="J289" i="2" a="1"/>
  <c r="I289" i="2" a="1"/>
  <c r="H289" i="2" a="1"/>
  <c r="G289" i="2" a="1"/>
  <c r="F289" i="2" a="1"/>
  <c r="E289" i="2" a="1"/>
  <c r="D289" i="2" a="1"/>
  <c r="C289" i="2" a="1"/>
  <c r="B288" i="2" a="1"/>
  <c r="K290" i="2" l="1"/>
  <c r="L289" i="2"/>
  <c r="J289" i="2"/>
  <c r="I289" i="2"/>
  <c r="H289" i="2"/>
  <c r="G289" i="2"/>
  <c r="F289" i="2"/>
  <c r="E289" i="2"/>
  <c r="D289" i="2"/>
  <c r="C289" i="2"/>
  <c r="B288" i="2"/>
  <c r="A290" i="2"/>
  <c r="K291" i="2" a="1"/>
  <c r="L290" i="2" a="1"/>
  <c r="J290" i="2" a="1"/>
  <c r="I290" i="2" a="1"/>
  <c r="H290" i="2" a="1"/>
  <c r="G290" i="2" a="1"/>
  <c r="F290" i="2" a="1"/>
  <c r="E290" i="2" a="1"/>
  <c r="D290" i="2" a="1"/>
  <c r="C290" i="2" a="1"/>
  <c r="B289" i="2" a="1"/>
  <c r="K291" i="2" l="1"/>
  <c r="L290" i="2"/>
  <c r="J290" i="2"/>
  <c r="I290" i="2"/>
  <c r="H290" i="2"/>
  <c r="G290" i="2"/>
  <c r="F290" i="2"/>
  <c r="E290" i="2"/>
  <c r="D290" i="2"/>
  <c r="C290" i="2"/>
  <c r="B289" i="2"/>
  <c r="A291" i="2"/>
  <c r="K292" i="2" a="1"/>
  <c r="L291" i="2" a="1"/>
  <c r="J291" i="2" a="1"/>
  <c r="I291" i="2" a="1"/>
  <c r="H291" i="2" a="1"/>
  <c r="G291" i="2" a="1"/>
  <c r="F291" i="2" a="1"/>
  <c r="E291" i="2" a="1"/>
  <c r="D291" i="2" a="1"/>
  <c r="C291" i="2" a="1"/>
  <c r="B290" i="2" a="1"/>
  <c r="K292" i="2" l="1"/>
  <c r="L291" i="2"/>
  <c r="J291" i="2"/>
  <c r="I291" i="2"/>
  <c r="H291" i="2"/>
  <c r="G291" i="2"/>
  <c r="F291" i="2"/>
  <c r="E291" i="2"/>
  <c r="D291" i="2"/>
  <c r="C291" i="2"/>
  <c r="B290" i="2"/>
  <c r="A292" i="2"/>
  <c r="K293" i="2" a="1"/>
  <c r="L292" i="2" a="1"/>
  <c r="J292" i="2" a="1"/>
  <c r="I292" i="2" a="1"/>
  <c r="H292" i="2" a="1"/>
  <c r="G292" i="2" a="1"/>
  <c r="F292" i="2" a="1"/>
  <c r="E292" i="2" a="1"/>
  <c r="D292" i="2" a="1"/>
  <c r="C292" i="2" a="1"/>
  <c r="B291" i="2" a="1"/>
  <c r="K293" i="2" l="1"/>
  <c r="L292" i="2"/>
  <c r="J292" i="2"/>
  <c r="I292" i="2"/>
  <c r="H292" i="2"/>
  <c r="G292" i="2"/>
  <c r="F292" i="2"/>
  <c r="E292" i="2"/>
  <c r="D292" i="2"/>
  <c r="C292" i="2"/>
  <c r="B291" i="2"/>
  <c r="A293" i="2"/>
  <c r="K294" i="2" a="1"/>
  <c r="L293" i="2" a="1"/>
  <c r="J293" i="2" a="1"/>
  <c r="I293" i="2" a="1"/>
  <c r="H293" i="2" a="1"/>
  <c r="G293" i="2" a="1"/>
  <c r="F293" i="2" a="1"/>
  <c r="E293" i="2" a="1"/>
  <c r="D293" i="2" a="1"/>
  <c r="C293" i="2" a="1"/>
  <c r="B292" i="2" a="1"/>
  <c r="K294" i="2" l="1"/>
  <c r="L293" i="2"/>
  <c r="J293" i="2"/>
  <c r="I293" i="2"/>
  <c r="H293" i="2"/>
  <c r="G293" i="2"/>
  <c r="F293" i="2"/>
  <c r="E293" i="2"/>
  <c r="D293" i="2"/>
  <c r="C293" i="2"/>
  <c r="B292" i="2"/>
  <c r="A294" i="2"/>
  <c r="K295" i="2" a="1"/>
  <c r="L294" i="2" a="1"/>
  <c r="J294" i="2" a="1"/>
  <c r="I294" i="2" a="1"/>
  <c r="H294" i="2" a="1"/>
  <c r="G294" i="2" a="1"/>
  <c r="F294" i="2" a="1"/>
  <c r="E294" i="2" a="1"/>
  <c r="D294" i="2" a="1"/>
  <c r="C294" i="2" a="1"/>
  <c r="B293" i="2" a="1"/>
  <c r="K295" i="2" l="1"/>
  <c r="L294" i="2"/>
  <c r="J294" i="2"/>
  <c r="I294" i="2"/>
  <c r="H294" i="2"/>
  <c r="G294" i="2"/>
  <c r="F294" i="2"/>
  <c r="E294" i="2"/>
  <c r="D294" i="2"/>
  <c r="C294" i="2"/>
  <c r="B293" i="2"/>
  <c r="A295" i="2"/>
  <c r="K296" i="2" a="1"/>
  <c r="L295" i="2" a="1"/>
  <c r="J295" i="2" a="1"/>
  <c r="I295" i="2" a="1"/>
  <c r="H295" i="2" a="1"/>
  <c r="G295" i="2" a="1"/>
  <c r="F295" i="2" a="1"/>
  <c r="E295" i="2" a="1"/>
  <c r="D295" i="2" a="1"/>
  <c r="C295" i="2" a="1"/>
  <c r="B294" i="2" a="1"/>
  <c r="K296" i="2" l="1"/>
  <c r="L295" i="2"/>
  <c r="J295" i="2"/>
  <c r="I295" i="2"/>
  <c r="H295" i="2"/>
  <c r="G295" i="2"/>
  <c r="F295" i="2"/>
  <c r="E295" i="2"/>
  <c r="D295" i="2"/>
  <c r="C295" i="2"/>
  <c r="B294" i="2"/>
  <c r="A296" i="2"/>
  <c r="K297" i="2" a="1"/>
  <c r="L296" i="2" a="1"/>
  <c r="J296" i="2" a="1"/>
  <c r="I296" i="2" a="1"/>
  <c r="H296" i="2" a="1"/>
  <c r="G296" i="2" a="1"/>
  <c r="F296" i="2" a="1"/>
  <c r="E296" i="2" a="1"/>
  <c r="D296" i="2" a="1"/>
  <c r="C296" i="2" a="1"/>
  <c r="B295" i="2" a="1"/>
  <c r="K297" i="2" l="1"/>
  <c r="L296" i="2"/>
  <c r="J296" i="2"/>
  <c r="I296" i="2"/>
  <c r="H296" i="2"/>
  <c r="G296" i="2"/>
  <c r="F296" i="2"/>
  <c r="E296" i="2"/>
  <c r="D296" i="2"/>
  <c r="C296" i="2"/>
  <c r="B295" i="2"/>
  <c r="A297" i="2"/>
  <c r="K298" i="2" a="1"/>
  <c r="L297" i="2" a="1"/>
  <c r="J297" i="2" a="1"/>
  <c r="I297" i="2" a="1"/>
  <c r="H297" i="2" a="1"/>
  <c r="G297" i="2" a="1"/>
  <c r="F297" i="2" a="1"/>
  <c r="E297" i="2" a="1"/>
  <c r="D297" i="2" a="1"/>
  <c r="C297" i="2" a="1"/>
  <c r="B296" i="2" a="1"/>
  <c r="K298" i="2" l="1"/>
  <c r="L297" i="2"/>
  <c r="J297" i="2"/>
  <c r="I297" i="2"/>
  <c r="H297" i="2"/>
  <c r="G297" i="2"/>
  <c r="F297" i="2"/>
  <c r="E297" i="2"/>
  <c r="D297" i="2"/>
  <c r="C297" i="2"/>
  <c r="B296" i="2"/>
  <c r="A298" i="2"/>
  <c r="K299" i="2" a="1"/>
  <c r="L298" i="2" a="1"/>
  <c r="J298" i="2" a="1"/>
  <c r="I298" i="2" a="1"/>
  <c r="H298" i="2" a="1"/>
  <c r="G298" i="2" a="1"/>
  <c r="F298" i="2" a="1"/>
  <c r="E298" i="2" a="1"/>
  <c r="D298" i="2" a="1"/>
  <c r="C298" i="2" a="1"/>
  <c r="B297" i="2" a="1"/>
  <c r="K299" i="2" l="1"/>
  <c r="L298" i="2"/>
  <c r="J298" i="2"/>
  <c r="I298" i="2"/>
  <c r="H298" i="2"/>
  <c r="G298" i="2"/>
  <c r="F298" i="2"/>
  <c r="E298" i="2"/>
  <c r="D298" i="2"/>
  <c r="C298" i="2"/>
  <c r="B297" i="2"/>
  <c r="A299" i="2"/>
  <c r="K300" i="2" a="1"/>
  <c r="L299" i="2" a="1"/>
  <c r="J299" i="2" a="1"/>
  <c r="I299" i="2" a="1"/>
  <c r="H299" i="2" a="1"/>
  <c r="G299" i="2" a="1"/>
  <c r="F299" i="2" a="1"/>
  <c r="E299" i="2" a="1"/>
  <c r="D299" i="2" a="1"/>
  <c r="C299" i="2" a="1"/>
  <c r="B298" i="2" a="1"/>
  <c r="K300" i="2" l="1"/>
  <c r="L299" i="2"/>
  <c r="J299" i="2"/>
  <c r="I299" i="2"/>
  <c r="H299" i="2"/>
  <c r="G299" i="2"/>
  <c r="F299" i="2"/>
  <c r="E299" i="2"/>
  <c r="D299" i="2"/>
  <c r="C299" i="2"/>
  <c r="B298" i="2"/>
  <c r="A300" i="2"/>
  <c r="K301" i="2" a="1"/>
  <c r="L300" i="2" a="1"/>
  <c r="J300" i="2" a="1"/>
  <c r="I300" i="2" a="1"/>
  <c r="H300" i="2" a="1"/>
  <c r="G300" i="2" a="1"/>
  <c r="F300" i="2" a="1"/>
  <c r="E300" i="2" a="1"/>
  <c r="D300" i="2" a="1"/>
  <c r="C300" i="2" a="1"/>
  <c r="B299" i="2" a="1"/>
  <c r="K301" i="2" l="1"/>
  <c r="L300" i="2"/>
  <c r="J300" i="2"/>
  <c r="I300" i="2"/>
  <c r="H300" i="2"/>
  <c r="G300" i="2"/>
  <c r="F300" i="2"/>
  <c r="E300" i="2"/>
  <c r="D300" i="2"/>
  <c r="C300" i="2"/>
  <c r="B299" i="2"/>
  <c r="A301" i="2"/>
  <c r="K302" i="2" a="1"/>
  <c r="L301" i="2" a="1"/>
  <c r="J301" i="2" a="1"/>
  <c r="I301" i="2" a="1"/>
  <c r="H301" i="2" a="1"/>
  <c r="G301" i="2" a="1"/>
  <c r="F301" i="2" a="1"/>
  <c r="E301" i="2" a="1"/>
  <c r="D301" i="2" a="1"/>
  <c r="C301" i="2" a="1"/>
  <c r="B300" i="2" a="1"/>
  <c r="K302" i="2" l="1"/>
  <c r="L301" i="2"/>
  <c r="J301" i="2"/>
  <c r="I301" i="2"/>
  <c r="H301" i="2"/>
  <c r="G301" i="2"/>
  <c r="F301" i="2"/>
  <c r="E301" i="2"/>
  <c r="D301" i="2"/>
  <c r="C301" i="2"/>
  <c r="B300" i="2"/>
  <c r="A302" i="2"/>
  <c r="K303" i="2" a="1"/>
  <c r="L302" i="2" a="1"/>
  <c r="J302" i="2" a="1"/>
  <c r="I302" i="2" a="1"/>
  <c r="H302" i="2" a="1"/>
  <c r="G302" i="2" a="1"/>
  <c r="F302" i="2" a="1"/>
  <c r="E302" i="2" a="1"/>
  <c r="D302" i="2" a="1"/>
  <c r="C302" i="2" a="1"/>
  <c r="B301" i="2" a="1"/>
  <c r="K303" i="2" l="1"/>
  <c r="L302" i="2"/>
  <c r="J302" i="2"/>
  <c r="I302" i="2"/>
  <c r="H302" i="2"/>
  <c r="G302" i="2"/>
  <c r="F302" i="2"/>
  <c r="E302" i="2"/>
  <c r="D302" i="2"/>
  <c r="C302" i="2"/>
  <c r="B301" i="2"/>
  <c r="A303" i="2"/>
  <c r="K304" i="2" a="1"/>
  <c r="L303" i="2" a="1"/>
  <c r="J303" i="2" a="1"/>
  <c r="I303" i="2" a="1"/>
  <c r="H303" i="2" a="1"/>
  <c r="G303" i="2" a="1"/>
  <c r="F303" i="2" a="1"/>
  <c r="E303" i="2" a="1"/>
  <c r="D303" i="2" a="1"/>
  <c r="C303" i="2" a="1"/>
  <c r="B302" i="2" a="1"/>
  <c r="K304" i="2" l="1"/>
  <c r="L303" i="2"/>
  <c r="J303" i="2"/>
  <c r="I303" i="2"/>
  <c r="H303" i="2"/>
  <c r="G303" i="2"/>
  <c r="F303" i="2"/>
  <c r="E303" i="2"/>
  <c r="D303" i="2"/>
  <c r="C303" i="2"/>
  <c r="B302" i="2"/>
  <c r="A304" i="2"/>
  <c r="K305" i="2" a="1"/>
  <c r="L304" i="2" a="1"/>
  <c r="J304" i="2" a="1"/>
  <c r="I304" i="2" a="1"/>
  <c r="H304" i="2" a="1"/>
  <c r="G304" i="2" a="1"/>
  <c r="F304" i="2" a="1"/>
  <c r="E304" i="2" a="1"/>
  <c r="D304" i="2" a="1"/>
  <c r="C304" i="2" a="1"/>
  <c r="B303" i="2" a="1"/>
  <c r="K305" i="2" l="1"/>
  <c r="L304" i="2"/>
  <c r="J304" i="2"/>
  <c r="I304" i="2"/>
  <c r="H304" i="2"/>
  <c r="G304" i="2"/>
  <c r="F304" i="2"/>
  <c r="E304" i="2"/>
  <c r="D304" i="2"/>
  <c r="C304" i="2"/>
  <c r="B303" i="2"/>
  <c r="A305" i="2"/>
  <c r="K306" i="2" a="1"/>
  <c r="L305" i="2" a="1"/>
  <c r="J305" i="2" a="1"/>
  <c r="I305" i="2" a="1"/>
  <c r="H305" i="2" a="1"/>
  <c r="G305" i="2" a="1"/>
  <c r="F305" i="2" a="1"/>
  <c r="E305" i="2" a="1"/>
  <c r="D305" i="2" a="1"/>
  <c r="C305" i="2" a="1"/>
  <c r="B304" i="2" a="1"/>
  <c r="K306" i="2" l="1"/>
  <c r="L305" i="2"/>
  <c r="J305" i="2"/>
  <c r="I305" i="2"/>
  <c r="H305" i="2"/>
  <c r="G305" i="2"/>
  <c r="F305" i="2"/>
  <c r="E305" i="2"/>
  <c r="D305" i="2"/>
  <c r="C305" i="2"/>
  <c r="B304" i="2"/>
  <c r="A306" i="2"/>
  <c r="K307" i="2" a="1"/>
  <c r="L306" i="2" a="1"/>
  <c r="J306" i="2" a="1"/>
  <c r="I306" i="2" a="1"/>
  <c r="H306" i="2" a="1"/>
  <c r="G306" i="2" a="1"/>
  <c r="F306" i="2" a="1"/>
  <c r="E306" i="2" a="1"/>
  <c r="D306" i="2" a="1"/>
  <c r="C306" i="2" a="1"/>
  <c r="B305" i="2" a="1"/>
  <c r="K307" i="2" l="1"/>
  <c r="L306" i="2"/>
  <c r="J306" i="2"/>
  <c r="I306" i="2"/>
  <c r="H306" i="2"/>
  <c r="G306" i="2"/>
  <c r="F306" i="2"/>
  <c r="E306" i="2"/>
  <c r="D306" i="2"/>
  <c r="C306" i="2"/>
  <c r="B305" i="2"/>
  <c r="A307" i="2"/>
  <c r="K308" i="2" a="1"/>
  <c r="L307" i="2" a="1"/>
  <c r="J307" i="2" a="1"/>
  <c r="I307" i="2" a="1"/>
  <c r="H307" i="2" a="1"/>
  <c r="G307" i="2" a="1"/>
  <c r="F307" i="2" a="1"/>
  <c r="E307" i="2" a="1"/>
  <c r="D307" i="2" a="1"/>
  <c r="C307" i="2" a="1"/>
  <c r="B306" i="2" a="1"/>
  <c r="K308" i="2" l="1"/>
  <c r="L307" i="2"/>
  <c r="J307" i="2"/>
  <c r="I307" i="2"/>
  <c r="H307" i="2"/>
  <c r="G307" i="2"/>
  <c r="F307" i="2"/>
  <c r="E307" i="2"/>
  <c r="D307" i="2"/>
  <c r="C307" i="2"/>
  <c r="B306" i="2"/>
  <c r="A308" i="2"/>
  <c r="K309" i="2" a="1"/>
  <c r="L308" i="2" a="1"/>
  <c r="J308" i="2" a="1"/>
  <c r="I308" i="2" a="1"/>
  <c r="H308" i="2" a="1"/>
  <c r="G308" i="2" a="1"/>
  <c r="F308" i="2" a="1"/>
  <c r="E308" i="2" a="1"/>
  <c r="D308" i="2" a="1"/>
  <c r="C308" i="2" a="1"/>
  <c r="B307" i="2" a="1"/>
  <c r="K309" i="2" l="1"/>
  <c r="L308" i="2"/>
  <c r="J308" i="2"/>
  <c r="I308" i="2"/>
  <c r="H308" i="2"/>
  <c r="G308" i="2"/>
  <c r="F308" i="2"/>
  <c r="E308" i="2"/>
  <c r="D308" i="2"/>
  <c r="C308" i="2"/>
  <c r="B307" i="2"/>
  <c r="A309" i="2"/>
  <c r="K310" i="2" a="1"/>
  <c r="L309" i="2" a="1"/>
  <c r="J309" i="2" a="1"/>
  <c r="I309" i="2" a="1"/>
  <c r="H309" i="2" a="1"/>
  <c r="G309" i="2" a="1"/>
  <c r="F309" i="2" a="1"/>
  <c r="E309" i="2" a="1"/>
  <c r="D309" i="2" a="1"/>
  <c r="C309" i="2" a="1"/>
  <c r="B308" i="2" a="1"/>
  <c r="K310" i="2" l="1"/>
  <c r="L309" i="2"/>
  <c r="J309" i="2"/>
  <c r="I309" i="2"/>
  <c r="H309" i="2"/>
  <c r="G309" i="2"/>
  <c r="F309" i="2"/>
  <c r="E309" i="2"/>
  <c r="D309" i="2"/>
  <c r="C309" i="2"/>
  <c r="B308" i="2"/>
  <c r="A310" i="2"/>
  <c r="K311" i="2" a="1"/>
  <c r="L310" i="2" a="1"/>
  <c r="J310" i="2" a="1"/>
  <c r="I310" i="2" a="1"/>
  <c r="H310" i="2" a="1"/>
  <c r="G310" i="2" a="1"/>
  <c r="F310" i="2" a="1"/>
  <c r="E310" i="2" a="1"/>
  <c r="D310" i="2" a="1"/>
  <c r="C310" i="2" a="1"/>
  <c r="B309" i="2" a="1"/>
  <c r="K311" i="2" l="1"/>
  <c r="L310" i="2"/>
  <c r="J310" i="2"/>
  <c r="I310" i="2"/>
  <c r="H310" i="2"/>
  <c r="G310" i="2"/>
  <c r="F310" i="2"/>
  <c r="E310" i="2"/>
  <c r="D310" i="2"/>
  <c r="C310" i="2"/>
  <c r="B309" i="2"/>
  <c r="A311" i="2"/>
  <c r="K312" i="2" a="1"/>
  <c r="L311" i="2" a="1"/>
  <c r="J311" i="2" a="1"/>
  <c r="I311" i="2" a="1"/>
  <c r="H311" i="2" a="1"/>
  <c r="G311" i="2" a="1"/>
  <c r="F311" i="2" a="1"/>
  <c r="E311" i="2" a="1"/>
  <c r="D311" i="2" a="1"/>
  <c r="C311" i="2" a="1"/>
  <c r="B310" i="2" a="1"/>
  <c r="K312" i="2" l="1"/>
  <c r="L311" i="2"/>
  <c r="J311" i="2"/>
  <c r="I311" i="2"/>
  <c r="H311" i="2"/>
  <c r="G311" i="2"/>
  <c r="F311" i="2"/>
  <c r="E311" i="2"/>
  <c r="D311" i="2"/>
  <c r="C311" i="2"/>
  <c r="B310" i="2"/>
  <c r="A312" i="2"/>
  <c r="K313" i="2" a="1"/>
  <c r="L312" i="2" a="1"/>
  <c r="J312" i="2" a="1"/>
  <c r="I312" i="2" a="1"/>
  <c r="H312" i="2" a="1"/>
  <c r="G312" i="2" a="1"/>
  <c r="F312" i="2" a="1"/>
  <c r="E312" i="2" a="1"/>
  <c r="D312" i="2" a="1"/>
  <c r="C312" i="2" a="1"/>
  <c r="B311" i="2" a="1"/>
  <c r="K313" i="2" l="1"/>
  <c r="L312" i="2"/>
  <c r="J312" i="2"/>
  <c r="I312" i="2"/>
  <c r="H312" i="2"/>
  <c r="G312" i="2"/>
  <c r="F312" i="2"/>
  <c r="E312" i="2"/>
  <c r="D312" i="2"/>
  <c r="C312" i="2"/>
  <c r="B311" i="2"/>
  <c r="A313" i="2"/>
  <c r="K314" i="2" a="1"/>
  <c r="L313" i="2" a="1"/>
  <c r="J313" i="2" a="1"/>
  <c r="I313" i="2" a="1"/>
  <c r="H313" i="2" a="1"/>
  <c r="G313" i="2" a="1"/>
  <c r="F313" i="2" a="1"/>
  <c r="E313" i="2" a="1"/>
  <c r="D313" i="2" a="1"/>
  <c r="C313" i="2" a="1"/>
  <c r="B312" i="2" a="1"/>
  <c r="K314" i="2" l="1"/>
  <c r="L313" i="2"/>
  <c r="J313" i="2"/>
  <c r="I313" i="2"/>
  <c r="H313" i="2"/>
  <c r="G313" i="2"/>
  <c r="F313" i="2"/>
  <c r="E313" i="2"/>
  <c r="D313" i="2"/>
  <c r="C313" i="2"/>
  <c r="B312" i="2"/>
  <c r="A314" i="2"/>
  <c r="K315" i="2" a="1"/>
  <c r="L314" i="2" a="1"/>
  <c r="J314" i="2" a="1"/>
  <c r="I314" i="2" a="1"/>
  <c r="H314" i="2" a="1"/>
  <c r="G314" i="2" a="1"/>
  <c r="F314" i="2" a="1"/>
  <c r="E314" i="2" a="1"/>
  <c r="D314" i="2" a="1"/>
  <c r="C314" i="2" a="1"/>
  <c r="B313" i="2" a="1"/>
  <c r="K315" i="2" l="1"/>
  <c r="L314" i="2"/>
  <c r="J314" i="2"/>
  <c r="I314" i="2"/>
  <c r="H314" i="2"/>
  <c r="G314" i="2"/>
  <c r="F314" i="2"/>
  <c r="E314" i="2"/>
  <c r="D314" i="2"/>
  <c r="C314" i="2"/>
  <c r="B313" i="2"/>
  <c r="A315" i="2"/>
  <c r="K316" i="2" a="1"/>
  <c r="L315" i="2" a="1"/>
  <c r="J315" i="2" a="1"/>
  <c r="I315" i="2" a="1"/>
  <c r="H315" i="2" a="1"/>
  <c r="G315" i="2" a="1"/>
  <c r="F315" i="2" a="1"/>
  <c r="E315" i="2" a="1"/>
  <c r="D315" i="2" a="1"/>
  <c r="C315" i="2" a="1"/>
  <c r="B314" i="2" a="1"/>
  <c r="K316" i="2" l="1"/>
  <c r="L315" i="2"/>
  <c r="J315" i="2"/>
  <c r="I315" i="2"/>
  <c r="H315" i="2"/>
  <c r="G315" i="2"/>
  <c r="F315" i="2"/>
  <c r="E315" i="2"/>
  <c r="D315" i="2"/>
  <c r="C315" i="2"/>
  <c r="B314" i="2"/>
  <c r="A316" i="2"/>
  <c r="K317" i="2" a="1"/>
  <c r="L316" i="2" a="1"/>
  <c r="J316" i="2" a="1"/>
  <c r="I316" i="2" a="1"/>
  <c r="H316" i="2" a="1"/>
  <c r="G316" i="2" a="1"/>
  <c r="F316" i="2" a="1"/>
  <c r="E316" i="2" a="1"/>
  <c r="D316" i="2" a="1"/>
  <c r="C316" i="2" a="1"/>
  <c r="B315" i="2" a="1"/>
  <c r="K317" i="2" l="1"/>
  <c r="L316" i="2"/>
  <c r="J316" i="2"/>
  <c r="I316" i="2"/>
  <c r="H316" i="2"/>
  <c r="G316" i="2"/>
  <c r="F316" i="2"/>
  <c r="E316" i="2"/>
  <c r="D316" i="2"/>
  <c r="C316" i="2"/>
  <c r="B315" i="2"/>
  <c r="A317" i="2"/>
  <c r="K318" i="2" a="1"/>
  <c r="L317" i="2" a="1"/>
  <c r="J317" i="2" a="1"/>
  <c r="I317" i="2" a="1"/>
  <c r="H317" i="2" a="1"/>
  <c r="G317" i="2" a="1"/>
  <c r="F317" i="2" a="1"/>
  <c r="E317" i="2" a="1"/>
  <c r="D317" i="2" a="1"/>
  <c r="C317" i="2" a="1"/>
  <c r="B316" i="2" a="1"/>
  <c r="K318" i="2" l="1"/>
  <c r="L317" i="2"/>
  <c r="J317" i="2"/>
  <c r="I317" i="2"/>
  <c r="H317" i="2"/>
  <c r="G317" i="2"/>
  <c r="F317" i="2"/>
  <c r="E317" i="2"/>
  <c r="D317" i="2"/>
  <c r="C317" i="2"/>
  <c r="B316" i="2"/>
  <c r="A318" i="2"/>
  <c r="K319" i="2" a="1"/>
  <c r="L318" i="2" a="1"/>
  <c r="J318" i="2" a="1"/>
  <c r="I318" i="2" a="1"/>
  <c r="H318" i="2" a="1"/>
  <c r="G318" i="2" a="1"/>
  <c r="F318" i="2" a="1"/>
  <c r="E318" i="2" a="1"/>
  <c r="D318" i="2" a="1"/>
  <c r="C318" i="2" a="1"/>
  <c r="B317" i="2" a="1"/>
  <c r="K319" i="2" l="1"/>
  <c r="L318" i="2"/>
  <c r="J318" i="2"/>
  <c r="I318" i="2"/>
  <c r="H318" i="2"/>
  <c r="G318" i="2"/>
  <c r="F318" i="2"/>
  <c r="E318" i="2"/>
  <c r="D318" i="2"/>
  <c r="C318" i="2"/>
  <c r="B317" i="2"/>
  <c r="A319" i="2"/>
  <c r="K320" i="2" a="1"/>
  <c r="L319" i="2" a="1"/>
  <c r="J319" i="2" a="1"/>
  <c r="I319" i="2" a="1"/>
  <c r="H319" i="2" a="1"/>
  <c r="G319" i="2" a="1"/>
  <c r="F319" i="2" a="1"/>
  <c r="E319" i="2" a="1"/>
  <c r="D319" i="2" a="1"/>
  <c r="C319" i="2" a="1"/>
  <c r="B318" i="2" a="1"/>
  <c r="K320" i="2" l="1"/>
  <c r="L319" i="2"/>
  <c r="J319" i="2"/>
  <c r="I319" i="2"/>
  <c r="H319" i="2"/>
  <c r="G319" i="2"/>
  <c r="F319" i="2"/>
  <c r="E319" i="2"/>
  <c r="D319" i="2"/>
  <c r="C319" i="2"/>
  <c r="B318" i="2"/>
  <c r="A320" i="2"/>
  <c r="K321" i="2" a="1"/>
  <c r="L320" i="2" a="1"/>
  <c r="J320" i="2" a="1"/>
  <c r="I320" i="2" a="1"/>
  <c r="H320" i="2" a="1"/>
  <c r="G320" i="2" a="1"/>
  <c r="F320" i="2" a="1"/>
  <c r="E320" i="2" a="1"/>
  <c r="D320" i="2" a="1"/>
  <c r="C320" i="2" a="1"/>
  <c r="B319" i="2" a="1"/>
  <c r="K321" i="2" l="1"/>
  <c r="L320" i="2"/>
  <c r="J320" i="2"/>
  <c r="I320" i="2"/>
  <c r="H320" i="2"/>
  <c r="G320" i="2"/>
  <c r="F320" i="2"/>
  <c r="E320" i="2"/>
  <c r="D320" i="2"/>
  <c r="C320" i="2"/>
  <c r="B319" i="2"/>
  <c r="A321" i="2"/>
  <c r="K322" i="2" a="1"/>
  <c r="L321" i="2" a="1"/>
  <c r="J321" i="2" a="1"/>
  <c r="I321" i="2" a="1"/>
  <c r="H321" i="2" a="1"/>
  <c r="G321" i="2" a="1"/>
  <c r="F321" i="2" a="1"/>
  <c r="E321" i="2" a="1"/>
  <c r="D321" i="2" a="1"/>
  <c r="C321" i="2" a="1"/>
  <c r="B320" i="2" a="1"/>
  <c r="K322" i="2" l="1"/>
  <c r="L321" i="2"/>
  <c r="J321" i="2"/>
  <c r="I321" i="2"/>
  <c r="H321" i="2"/>
  <c r="G321" i="2"/>
  <c r="F321" i="2"/>
  <c r="E321" i="2"/>
  <c r="D321" i="2"/>
  <c r="C321" i="2"/>
  <c r="B320" i="2"/>
  <c r="A322" i="2"/>
  <c r="K323" i="2" a="1"/>
  <c r="L322" i="2" a="1"/>
  <c r="J322" i="2" a="1"/>
  <c r="I322" i="2" a="1"/>
  <c r="H322" i="2" a="1"/>
  <c r="G322" i="2" a="1"/>
  <c r="F322" i="2" a="1"/>
  <c r="E322" i="2" a="1"/>
  <c r="D322" i="2" a="1"/>
  <c r="C322" i="2" a="1"/>
  <c r="B321" i="2" a="1"/>
  <c r="K323" i="2" l="1"/>
  <c r="L322" i="2"/>
  <c r="J322" i="2"/>
  <c r="I322" i="2"/>
  <c r="H322" i="2"/>
  <c r="G322" i="2"/>
  <c r="F322" i="2"/>
  <c r="E322" i="2"/>
  <c r="D322" i="2"/>
  <c r="C322" i="2"/>
  <c r="B321" i="2"/>
  <c r="A323" i="2"/>
  <c r="K324" i="2" a="1"/>
  <c r="L323" i="2" a="1"/>
  <c r="J323" i="2" a="1"/>
  <c r="I323" i="2" a="1"/>
  <c r="H323" i="2" a="1"/>
  <c r="G323" i="2" a="1"/>
  <c r="F323" i="2" a="1"/>
  <c r="E323" i="2" a="1"/>
  <c r="D323" i="2" a="1"/>
  <c r="C323" i="2" a="1"/>
  <c r="B322" i="2" a="1"/>
  <c r="K324" i="2" l="1"/>
  <c r="L323" i="2"/>
  <c r="J323" i="2"/>
  <c r="I323" i="2"/>
  <c r="H323" i="2"/>
  <c r="G323" i="2"/>
  <c r="F323" i="2"/>
  <c r="E323" i="2"/>
  <c r="D323" i="2"/>
  <c r="C323" i="2"/>
  <c r="B322" i="2"/>
  <c r="A324" i="2"/>
  <c r="K325" i="2" a="1"/>
  <c r="L324" i="2" a="1"/>
  <c r="J324" i="2" a="1"/>
  <c r="I324" i="2" a="1"/>
  <c r="H324" i="2" a="1"/>
  <c r="G324" i="2" a="1"/>
  <c r="F324" i="2" a="1"/>
  <c r="E324" i="2" a="1"/>
  <c r="D324" i="2" a="1"/>
  <c r="C324" i="2" a="1"/>
  <c r="B323" i="2" a="1"/>
  <c r="K325" i="2" l="1"/>
  <c r="L324" i="2"/>
  <c r="J324" i="2"/>
  <c r="I324" i="2"/>
  <c r="H324" i="2"/>
  <c r="G324" i="2"/>
  <c r="F324" i="2"/>
  <c r="E324" i="2"/>
  <c r="D324" i="2"/>
  <c r="C324" i="2"/>
  <c r="B323" i="2"/>
  <c r="A325" i="2"/>
  <c r="K326" i="2" a="1"/>
  <c r="L325" i="2" a="1"/>
  <c r="J325" i="2" a="1"/>
  <c r="I325" i="2" a="1"/>
  <c r="H325" i="2" a="1"/>
  <c r="G325" i="2" a="1"/>
  <c r="F325" i="2" a="1"/>
  <c r="E325" i="2" a="1"/>
  <c r="D325" i="2" a="1"/>
  <c r="C325" i="2" a="1"/>
  <c r="B324" i="2" a="1"/>
  <c r="K326" i="2" l="1"/>
  <c r="L325" i="2"/>
  <c r="J325" i="2"/>
  <c r="I325" i="2"/>
  <c r="H325" i="2"/>
  <c r="G325" i="2"/>
  <c r="F325" i="2"/>
  <c r="E325" i="2"/>
  <c r="D325" i="2"/>
  <c r="C325" i="2"/>
  <c r="B324" i="2"/>
  <c r="A326" i="2"/>
  <c r="K327" i="2" a="1"/>
  <c r="L326" i="2" a="1"/>
  <c r="J326" i="2" a="1"/>
  <c r="I326" i="2" a="1"/>
  <c r="H326" i="2" a="1"/>
  <c r="G326" i="2" a="1"/>
  <c r="F326" i="2" a="1"/>
  <c r="E326" i="2" a="1"/>
  <c r="D326" i="2" a="1"/>
  <c r="C326" i="2" a="1"/>
  <c r="B325" i="2" a="1"/>
  <c r="K327" i="2" l="1"/>
  <c r="L326" i="2"/>
  <c r="J326" i="2"/>
  <c r="I326" i="2"/>
  <c r="H326" i="2"/>
  <c r="G326" i="2"/>
  <c r="F326" i="2"/>
  <c r="E326" i="2"/>
  <c r="D326" i="2"/>
  <c r="C326" i="2"/>
  <c r="B325" i="2"/>
  <c r="A327" i="2"/>
  <c r="K328" i="2" a="1"/>
  <c r="L327" i="2" a="1"/>
  <c r="J327" i="2" a="1"/>
  <c r="I327" i="2" a="1"/>
  <c r="H327" i="2" a="1"/>
  <c r="G327" i="2" a="1"/>
  <c r="F327" i="2" a="1"/>
  <c r="E327" i="2" a="1"/>
  <c r="D327" i="2" a="1"/>
  <c r="C327" i="2" a="1"/>
  <c r="B326" i="2" a="1"/>
  <c r="K328" i="2" l="1"/>
  <c r="L327" i="2"/>
  <c r="J327" i="2"/>
  <c r="I327" i="2"/>
  <c r="H327" i="2"/>
  <c r="G327" i="2"/>
  <c r="F327" i="2"/>
  <c r="E327" i="2"/>
  <c r="D327" i="2"/>
  <c r="C327" i="2"/>
  <c r="B326" i="2"/>
  <c r="A328" i="2"/>
  <c r="K329" i="2" a="1"/>
  <c r="L328" i="2" a="1"/>
  <c r="J328" i="2" a="1"/>
  <c r="I328" i="2" a="1"/>
  <c r="H328" i="2" a="1"/>
  <c r="G328" i="2" a="1"/>
  <c r="F328" i="2" a="1"/>
  <c r="E328" i="2" a="1"/>
  <c r="D328" i="2" a="1"/>
  <c r="C328" i="2" a="1"/>
  <c r="B327" i="2" a="1"/>
  <c r="K329" i="2" l="1"/>
  <c r="L328" i="2"/>
  <c r="J328" i="2"/>
  <c r="I328" i="2"/>
  <c r="H328" i="2"/>
  <c r="G328" i="2"/>
  <c r="F328" i="2"/>
  <c r="E328" i="2"/>
  <c r="D328" i="2"/>
  <c r="C328" i="2"/>
  <c r="B327" i="2"/>
  <c r="A329" i="2"/>
  <c r="K330" i="2" a="1"/>
  <c r="L329" i="2" a="1"/>
  <c r="J329" i="2" a="1"/>
  <c r="I329" i="2" a="1"/>
  <c r="H329" i="2" a="1"/>
  <c r="G329" i="2" a="1"/>
  <c r="F329" i="2" a="1"/>
  <c r="E329" i="2" a="1"/>
  <c r="D329" i="2" a="1"/>
  <c r="C329" i="2" a="1"/>
  <c r="B328" i="2" a="1"/>
  <c r="K330" i="2" l="1"/>
  <c r="L329" i="2"/>
  <c r="J329" i="2"/>
  <c r="I329" i="2"/>
  <c r="H329" i="2"/>
  <c r="G329" i="2"/>
  <c r="F329" i="2"/>
  <c r="E329" i="2"/>
  <c r="D329" i="2"/>
  <c r="C329" i="2"/>
  <c r="B328" i="2"/>
  <c r="A330" i="2"/>
  <c r="K331" i="2" a="1"/>
  <c r="L330" i="2" a="1"/>
  <c r="J330" i="2" a="1"/>
  <c r="I330" i="2" a="1"/>
  <c r="H330" i="2" a="1"/>
  <c r="G330" i="2" a="1"/>
  <c r="F330" i="2" a="1"/>
  <c r="E330" i="2" a="1"/>
  <c r="D330" i="2" a="1"/>
  <c r="C330" i="2" a="1"/>
  <c r="B329" i="2" a="1"/>
  <c r="K331" i="2" l="1"/>
  <c r="L330" i="2"/>
  <c r="J330" i="2"/>
  <c r="I330" i="2"/>
  <c r="H330" i="2"/>
  <c r="G330" i="2"/>
  <c r="F330" i="2"/>
  <c r="E330" i="2"/>
  <c r="D330" i="2"/>
  <c r="C330" i="2"/>
  <c r="B329" i="2"/>
  <c r="A331" i="2"/>
  <c r="K332" i="2" a="1"/>
  <c r="L331" i="2" a="1"/>
  <c r="J331" i="2" a="1"/>
  <c r="I331" i="2" a="1"/>
  <c r="H331" i="2" a="1"/>
  <c r="G331" i="2" a="1"/>
  <c r="F331" i="2" a="1"/>
  <c r="E331" i="2" a="1"/>
  <c r="D331" i="2" a="1"/>
  <c r="C331" i="2" a="1"/>
  <c r="B330" i="2" a="1"/>
  <c r="K332" i="2" l="1"/>
  <c r="L331" i="2"/>
  <c r="J331" i="2"/>
  <c r="I331" i="2"/>
  <c r="H331" i="2"/>
  <c r="G331" i="2"/>
  <c r="F331" i="2"/>
  <c r="E331" i="2"/>
  <c r="D331" i="2"/>
  <c r="C331" i="2"/>
  <c r="B330" i="2"/>
  <c r="A332" i="2"/>
  <c r="K333" i="2" a="1"/>
  <c r="L332" i="2" a="1"/>
  <c r="J332" i="2" a="1"/>
  <c r="I332" i="2" a="1"/>
  <c r="H332" i="2" a="1"/>
  <c r="G332" i="2" a="1"/>
  <c r="F332" i="2" a="1"/>
  <c r="E332" i="2" a="1"/>
  <c r="D332" i="2" a="1"/>
  <c r="C332" i="2" a="1"/>
  <c r="B331" i="2" a="1"/>
  <c r="K333" i="2" l="1"/>
  <c r="L332" i="2"/>
  <c r="J332" i="2"/>
  <c r="I332" i="2"/>
  <c r="H332" i="2"/>
  <c r="G332" i="2"/>
  <c r="F332" i="2"/>
  <c r="E332" i="2"/>
  <c r="D332" i="2"/>
  <c r="C332" i="2"/>
  <c r="B331" i="2"/>
  <c r="A333" i="2"/>
  <c r="K334" i="2" a="1"/>
  <c r="L333" i="2" a="1"/>
  <c r="J333" i="2" a="1"/>
  <c r="I333" i="2" a="1"/>
  <c r="H333" i="2" a="1"/>
  <c r="G333" i="2" a="1"/>
  <c r="F333" i="2" a="1"/>
  <c r="E333" i="2" a="1"/>
  <c r="D333" i="2" a="1"/>
  <c r="C333" i="2" a="1"/>
  <c r="B332" i="2" a="1"/>
  <c r="K334" i="2" l="1"/>
  <c r="L333" i="2"/>
  <c r="J333" i="2"/>
  <c r="I333" i="2"/>
  <c r="H333" i="2"/>
  <c r="G333" i="2"/>
  <c r="F333" i="2"/>
  <c r="E333" i="2"/>
  <c r="D333" i="2"/>
  <c r="C333" i="2"/>
  <c r="B332" i="2"/>
  <c r="A334" i="2"/>
  <c r="K335" i="2" a="1"/>
  <c r="L334" i="2" a="1"/>
  <c r="J334" i="2" a="1"/>
  <c r="I334" i="2" a="1"/>
  <c r="H334" i="2" a="1"/>
  <c r="G334" i="2" a="1"/>
  <c r="F334" i="2" a="1"/>
  <c r="E334" i="2" a="1"/>
  <c r="D334" i="2" a="1"/>
  <c r="C334" i="2" a="1"/>
  <c r="B333" i="2" a="1"/>
  <c r="K335" i="2" l="1"/>
  <c r="L334" i="2"/>
  <c r="J334" i="2"/>
  <c r="I334" i="2"/>
  <c r="H334" i="2"/>
  <c r="G334" i="2"/>
  <c r="F334" i="2"/>
  <c r="E334" i="2"/>
  <c r="D334" i="2"/>
  <c r="C334" i="2"/>
  <c r="B333" i="2"/>
  <c r="A335" i="2"/>
  <c r="K336" i="2" a="1"/>
  <c r="L335" i="2" a="1"/>
  <c r="J335" i="2" a="1"/>
  <c r="I335" i="2" a="1"/>
  <c r="H335" i="2" a="1"/>
  <c r="G335" i="2" a="1"/>
  <c r="F335" i="2" a="1"/>
  <c r="E335" i="2" a="1"/>
  <c r="D335" i="2" a="1"/>
  <c r="C335" i="2" a="1"/>
  <c r="B334" i="2" a="1"/>
  <c r="K336" i="2" l="1"/>
  <c r="L335" i="2"/>
  <c r="J335" i="2"/>
  <c r="I335" i="2"/>
  <c r="H335" i="2"/>
  <c r="G335" i="2"/>
  <c r="F335" i="2"/>
  <c r="E335" i="2"/>
  <c r="D335" i="2"/>
  <c r="C335" i="2"/>
  <c r="B334" i="2"/>
  <c r="A336" i="2"/>
  <c r="K337" i="2" a="1"/>
  <c r="L336" i="2" a="1"/>
  <c r="J336" i="2" a="1"/>
  <c r="I336" i="2" a="1"/>
  <c r="H336" i="2" a="1"/>
  <c r="G336" i="2" a="1"/>
  <c r="F336" i="2" a="1"/>
  <c r="E336" i="2" a="1"/>
  <c r="D336" i="2" a="1"/>
  <c r="C336" i="2" a="1"/>
  <c r="B335" i="2" a="1"/>
  <c r="K337" i="2" l="1"/>
  <c r="L336" i="2"/>
  <c r="J336" i="2"/>
  <c r="I336" i="2"/>
  <c r="H336" i="2"/>
  <c r="G336" i="2"/>
  <c r="F336" i="2"/>
  <c r="E336" i="2"/>
  <c r="D336" i="2"/>
  <c r="C336" i="2"/>
  <c r="B335" i="2"/>
  <c r="A337" i="2"/>
  <c r="K338" i="2" a="1"/>
  <c r="L337" i="2" a="1"/>
  <c r="J337" i="2" a="1"/>
  <c r="I337" i="2" a="1"/>
  <c r="H337" i="2" a="1"/>
  <c r="G337" i="2" a="1"/>
  <c r="F337" i="2" a="1"/>
  <c r="E337" i="2" a="1"/>
  <c r="D337" i="2" a="1"/>
  <c r="C337" i="2" a="1"/>
  <c r="B336" i="2" a="1"/>
  <c r="K338" i="2" l="1"/>
  <c r="L337" i="2"/>
  <c r="J337" i="2"/>
  <c r="I337" i="2"/>
  <c r="H337" i="2"/>
  <c r="G337" i="2"/>
  <c r="F337" i="2"/>
  <c r="E337" i="2"/>
  <c r="D337" i="2"/>
  <c r="C337" i="2"/>
  <c r="B336" i="2"/>
  <c r="A338" i="2"/>
  <c r="K339" i="2" a="1"/>
  <c r="L338" i="2" a="1"/>
  <c r="J338" i="2" a="1"/>
  <c r="I338" i="2" a="1"/>
  <c r="H338" i="2" a="1"/>
  <c r="G338" i="2" a="1"/>
  <c r="F338" i="2" a="1"/>
  <c r="E338" i="2" a="1"/>
  <c r="D338" i="2" a="1"/>
  <c r="C338" i="2" a="1"/>
  <c r="B337" i="2" a="1"/>
  <c r="K339" i="2" l="1"/>
  <c r="L338" i="2"/>
  <c r="J338" i="2"/>
  <c r="I338" i="2"/>
  <c r="H338" i="2"/>
  <c r="G338" i="2"/>
  <c r="F338" i="2"/>
  <c r="E338" i="2"/>
  <c r="D338" i="2"/>
  <c r="C338" i="2"/>
  <c r="B337" i="2"/>
  <c r="A339" i="2"/>
  <c r="K340" i="2" a="1"/>
  <c r="L339" i="2" a="1"/>
  <c r="J339" i="2" a="1"/>
  <c r="I339" i="2" a="1"/>
  <c r="H339" i="2" a="1"/>
  <c r="G339" i="2" a="1"/>
  <c r="F339" i="2" a="1"/>
  <c r="E339" i="2" a="1"/>
  <c r="D339" i="2" a="1"/>
  <c r="C339" i="2" a="1"/>
  <c r="B338" i="2" a="1"/>
  <c r="K340" i="2" l="1"/>
  <c r="L339" i="2"/>
  <c r="J339" i="2"/>
  <c r="I339" i="2"/>
  <c r="H339" i="2"/>
  <c r="G339" i="2"/>
  <c r="F339" i="2"/>
  <c r="E339" i="2"/>
  <c r="D339" i="2"/>
  <c r="C339" i="2"/>
  <c r="B338" i="2"/>
  <c r="A340" i="2"/>
  <c r="K341" i="2" a="1"/>
  <c r="L340" i="2" a="1"/>
  <c r="J340" i="2" a="1"/>
  <c r="I340" i="2" a="1"/>
  <c r="H340" i="2" a="1"/>
  <c r="G340" i="2" a="1"/>
  <c r="F340" i="2" a="1"/>
  <c r="E340" i="2" a="1"/>
  <c r="D340" i="2" a="1"/>
  <c r="C340" i="2" a="1"/>
  <c r="B339" i="2" a="1"/>
  <c r="K341" i="2" l="1"/>
  <c r="L340" i="2"/>
  <c r="J340" i="2"/>
  <c r="I340" i="2"/>
  <c r="H340" i="2"/>
  <c r="G340" i="2"/>
  <c r="F340" i="2"/>
  <c r="E340" i="2"/>
  <c r="D340" i="2"/>
  <c r="C340" i="2"/>
  <c r="B339" i="2"/>
  <c r="A341" i="2"/>
  <c r="K342" i="2" a="1"/>
  <c r="L341" i="2" a="1"/>
  <c r="J341" i="2" a="1"/>
  <c r="I341" i="2" a="1"/>
  <c r="H341" i="2" a="1"/>
  <c r="G341" i="2" a="1"/>
  <c r="F341" i="2" a="1"/>
  <c r="E341" i="2" a="1"/>
  <c r="D341" i="2" a="1"/>
  <c r="C341" i="2" a="1"/>
  <c r="B340" i="2" a="1"/>
  <c r="K342" i="2" l="1"/>
  <c r="L341" i="2"/>
  <c r="J341" i="2"/>
  <c r="I341" i="2"/>
  <c r="H341" i="2"/>
  <c r="G341" i="2"/>
  <c r="F341" i="2"/>
  <c r="E341" i="2"/>
  <c r="D341" i="2"/>
  <c r="C341" i="2"/>
  <c r="B340" i="2"/>
  <c r="A342" i="2"/>
  <c r="K343" i="2" a="1"/>
  <c r="L342" i="2" a="1"/>
  <c r="J342" i="2" a="1"/>
  <c r="I342" i="2" a="1"/>
  <c r="H342" i="2" a="1"/>
  <c r="G342" i="2" a="1"/>
  <c r="F342" i="2" a="1"/>
  <c r="E342" i="2" a="1"/>
  <c r="D342" i="2" a="1"/>
  <c r="C342" i="2" a="1"/>
  <c r="B341" i="2" a="1"/>
  <c r="K343" i="2" l="1"/>
  <c r="L342" i="2"/>
  <c r="J342" i="2"/>
  <c r="I342" i="2"/>
  <c r="H342" i="2"/>
  <c r="G342" i="2"/>
  <c r="F342" i="2"/>
  <c r="E342" i="2"/>
  <c r="D342" i="2"/>
  <c r="C342" i="2"/>
  <c r="B341" i="2"/>
  <c r="A343" i="2"/>
  <c r="K344" i="2" a="1"/>
  <c r="L343" i="2" a="1"/>
  <c r="J343" i="2" a="1"/>
  <c r="I343" i="2" a="1"/>
  <c r="H343" i="2" a="1"/>
  <c r="G343" i="2" a="1"/>
  <c r="F343" i="2" a="1"/>
  <c r="E343" i="2" a="1"/>
  <c r="D343" i="2" a="1"/>
  <c r="C343" i="2" a="1"/>
  <c r="B342" i="2" a="1"/>
  <c r="K344" i="2" l="1"/>
  <c r="L343" i="2"/>
  <c r="J343" i="2"/>
  <c r="I343" i="2"/>
  <c r="H343" i="2"/>
  <c r="G343" i="2"/>
  <c r="F343" i="2"/>
  <c r="E343" i="2"/>
  <c r="D343" i="2"/>
  <c r="C343" i="2"/>
  <c r="B342" i="2"/>
  <c r="A344" i="2"/>
  <c r="K345" i="2" a="1"/>
  <c r="L344" i="2" a="1"/>
  <c r="J344" i="2" a="1"/>
  <c r="I344" i="2" a="1"/>
  <c r="H344" i="2" a="1"/>
  <c r="G344" i="2" a="1"/>
  <c r="F344" i="2" a="1"/>
  <c r="E344" i="2" a="1"/>
  <c r="D344" i="2" a="1"/>
  <c r="C344" i="2" a="1"/>
  <c r="B343" i="2" a="1"/>
  <c r="K345" i="2" l="1"/>
  <c r="L344" i="2"/>
  <c r="J344" i="2"/>
  <c r="I344" i="2"/>
  <c r="H344" i="2"/>
  <c r="G344" i="2"/>
  <c r="F344" i="2"/>
  <c r="E344" i="2"/>
  <c r="D344" i="2"/>
  <c r="C344" i="2"/>
  <c r="B343" i="2"/>
  <c r="A345" i="2"/>
  <c r="K346" i="2" a="1"/>
  <c r="L345" i="2" a="1"/>
  <c r="J345" i="2" a="1"/>
  <c r="I345" i="2" a="1"/>
  <c r="H345" i="2" a="1"/>
  <c r="G345" i="2" a="1"/>
  <c r="F345" i="2" a="1"/>
  <c r="E345" i="2" a="1"/>
  <c r="D345" i="2" a="1"/>
  <c r="C345" i="2" a="1"/>
  <c r="B344" i="2" a="1"/>
  <c r="K346" i="2" l="1"/>
  <c r="L345" i="2"/>
  <c r="J345" i="2"/>
  <c r="I345" i="2"/>
  <c r="H345" i="2"/>
  <c r="G345" i="2"/>
  <c r="F345" i="2"/>
  <c r="E345" i="2"/>
  <c r="D345" i="2"/>
  <c r="C345" i="2"/>
  <c r="B344" i="2"/>
  <c r="A346" i="2"/>
  <c r="K347" i="2" a="1"/>
  <c r="L346" i="2" a="1"/>
  <c r="J346" i="2" a="1"/>
  <c r="I346" i="2" a="1"/>
  <c r="H346" i="2" a="1"/>
  <c r="G346" i="2" a="1"/>
  <c r="F346" i="2" a="1"/>
  <c r="E346" i="2" a="1"/>
  <c r="D346" i="2" a="1"/>
  <c r="C346" i="2" a="1"/>
  <c r="B345" i="2" a="1"/>
  <c r="K347" i="2" l="1"/>
  <c r="L346" i="2"/>
  <c r="J346" i="2"/>
  <c r="I346" i="2"/>
  <c r="H346" i="2"/>
  <c r="G346" i="2"/>
  <c r="F346" i="2"/>
  <c r="E346" i="2"/>
  <c r="D346" i="2"/>
  <c r="C346" i="2"/>
  <c r="B345" i="2"/>
  <c r="A347" i="2"/>
  <c r="K348" i="2" a="1"/>
  <c r="L347" i="2" a="1"/>
  <c r="J347" i="2" a="1"/>
  <c r="I347" i="2" a="1"/>
  <c r="H347" i="2" a="1"/>
  <c r="G347" i="2" a="1"/>
  <c r="F347" i="2" a="1"/>
  <c r="E347" i="2" a="1"/>
  <c r="D347" i="2" a="1"/>
  <c r="C347" i="2" a="1"/>
  <c r="B346" i="2" a="1"/>
  <c r="K348" i="2" l="1"/>
  <c r="L347" i="2"/>
  <c r="J347" i="2"/>
  <c r="I347" i="2"/>
  <c r="H347" i="2"/>
  <c r="G347" i="2"/>
  <c r="F347" i="2"/>
  <c r="E347" i="2"/>
  <c r="D347" i="2"/>
  <c r="C347" i="2"/>
  <c r="B346" i="2"/>
  <c r="A348" i="2"/>
  <c r="K349" i="2" a="1"/>
  <c r="L348" i="2" a="1"/>
  <c r="J348" i="2" a="1"/>
  <c r="I348" i="2" a="1"/>
  <c r="H348" i="2" a="1"/>
  <c r="G348" i="2" a="1"/>
  <c r="F348" i="2" a="1"/>
  <c r="E348" i="2" a="1"/>
  <c r="D348" i="2" a="1"/>
  <c r="C348" i="2" a="1"/>
  <c r="B347" i="2" a="1"/>
  <c r="K349" i="2" l="1"/>
  <c r="L348" i="2"/>
  <c r="J348" i="2"/>
  <c r="I348" i="2"/>
  <c r="H348" i="2"/>
  <c r="G348" i="2"/>
  <c r="F348" i="2"/>
  <c r="E348" i="2"/>
  <c r="D348" i="2"/>
  <c r="C348" i="2"/>
  <c r="B347" i="2"/>
  <c r="A349" i="2"/>
  <c r="K350" i="2" a="1"/>
  <c r="L349" i="2" a="1"/>
  <c r="J349" i="2" a="1"/>
  <c r="I349" i="2" a="1"/>
  <c r="H349" i="2" a="1"/>
  <c r="G349" i="2" a="1"/>
  <c r="F349" i="2" a="1"/>
  <c r="E349" i="2" a="1"/>
  <c r="D349" i="2" a="1"/>
  <c r="C349" i="2" a="1"/>
  <c r="B348" i="2" a="1"/>
  <c r="K350" i="2" l="1"/>
  <c r="L349" i="2"/>
  <c r="J349" i="2"/>
  <c r="I349" i="2"/>
  <c r="H349" i="2"/>
  <c r="G349" i="2"/>
  <c r="F349" i="2"/>
  <c r="E349" i="2"/>
  <c r="D349" i="2"/>
  <c r="C349" i="2"/>
  <c r="B348" i="2"/>
  <c r="A350" i="2"/>
  <c r="K351" i="2" a="1"/>
  <c r="L350" i="2" a="1"/>
  <c r="J350" i="2" a="1"/>
  <c r="I350" i="2" a="1"/>
  <c r="H350" i="2" a="1"/>
  <c r="G350" i="2" a="1"/>
  <c r="F350" i="2" a="1"/>
  <c r="E350" i="2" a="1"/>
  <c r="D350" i="2" a="1"/>
  <c r="C350" i="2" a="1"/>
  <c r="B349" i="2" a="1"/>
  <c r="K351" i="2" l="1"/>
  <c r="L350" i="2"/>
  <c r="J350" i="2"/>
  <c r="I350" i="2"/>
  <c r="H350" i="2"/>
  <c r="G350" i="2"/>
  <c r="F350" i="2"/>
  <c r="E350" i="2"/>
  <c r="D350" i="2"/>
  <c r="C350" i="2"/>
  <c r="B349" i="2"/>
  <c r="A351" i="2"/>
  <c r="K352" i="2" a="1"/>
  <c r="L351" i="2" a="1"/>
  <c r="J351" i="2" a="1"/>
  <c r="I351" i="2" a="1"/>
  <c r="H351" i="2" a="1"/>
  <c r="G351" i="2" a="1"/>
  <c r="F351" i="2" a="1"/>
  <c r="E351" i="2" a="1"/>
  <c r="D351" i="2" a="1"/>
  <c r="C351" i="2" a="1"/>
  <c r="B350" i="2" a="1"/>
  <c r="K352" i="2" l="1"/>
  <c r="L351" i="2"/>
  <c r="J351" i="2"/>
  <c r="I351" i="2"/>
  <c r="H351" i="2"/>
  <c r="G351" i="2"/>
  <c r="F351" i="2"/>
  <c r="E351" i="2"/>
  <c r="D351" i="2"/>
  <c r="C351" i="2"/>
  <c r="B350" i="2"/>
  <c r="A352" i="2"/>
  <c r="K353" i="2" a="1"/>
  <c r="L352" i="2" a="1"/>
  <c r="J352" i="2" a="1"/>
  <c r="I352" i="2" a="1"/>
  <c r="H352" i="2" a="1"/>
  <c r="G352" i="2" a="1"/>
  <c r="F352" i="2" a="1"/>
  <c r="E352" i="2" a="1"/>
  <c r="D352" i="2" a="1"/>
  <c r="C352" i="2" a="1"/>
  <c r="B351" i="2" a="1"/>
  <c r="K353" i="2" l="1"/>
  <c r="L352" i="2"/>
  <c r="J352" i="2"/>
  <c r="I352" i="2"/>
  <c r="H352" i="2"/>
  <c r="G352" i="2"/>
  <c r="F352" i="2"/>
  <c r="E352" i="2"/>
  <c r="D352" i="2"/>
  <c r="C352" i="2"/>
  <c r="B351" i="2"/>
  <c r="A353" i="2"/>
  <c r="K354" i="2" a="1"/>
  <c r="L353" i="2" a="1"/>
  <c r="J353" i="2" a="1"/>
  <c r="I353" i="2" a="1"/>
  <c r="H353" i="2" a="1"/>
  <c r="G353" i="2" a="1"/>
  <c r="F353" i="2" a="1"/>
  <c r="E353" i="2" a="1"/>
  <c r="D353" i="2" a="1"/>
  <c r="C353" i="2" a="1"/>
  <c r="B352" i="2" a="1"/>
  <c r="K354" i="2" l="1"/>
  <c r="L353" i="2"/>
  <c r="J353" i="2"/>
  <c r="I353" i="2"/>
  <c r="H353" i="2"/>
  <c r="G353" i="2"/>
  <c r="F353" i="2"/>
  <c r="E353" i="2"/>
  <c r="D353" i="2"/>
  <c r="C353" i="2"/>
  <c r="B352" i="2"/>
  <c r="A354" i="2"/>
  <c r="K355" i="2" a="1"/>
  <c r="L354" i="2" a="1"/>
  <c r="J354" i="2" a="1"/>
  <c r="I354" i="2" a="1"/>
  <c r="H354" i="2" a="1"/>
  <c r="G354" i="2" a="1"/>
  <c r="F354" i="2" a="1"/>
  <c r="E354" i="2" a="1"/>
  <c r="D354" i="2" a="1"/>
  <c r="C354" i="2" a="1"/>
  <c r="B353" i="2" a="1"/>
  <c r="K355" i="2" l="1"/>
  <c r="L354" i="2"/>
  <c r="J354" i="2"/>
  <c r="I354" i="2"/>
  <c r="H354" i="2"/>
  <c r="G354" i="2"/>
  <c r="F354" i="2"/>
  <c r="E354" i="2"/>
  <c r="D354" i="2"/>
  <c r="C354" i="2"/>
  <c r="B353" i="2"/>
  <c r="A355" i="2"/>
  <c r="K356" i="2" a="1"/>
  <c r="L355" i="2" a="1"/>
  <c r="J355" i="2" a="1"/>
  <c r="I355" i="2" a="1"/>
  <c r="H355" i="2" a="1"/>
  <c r="G355" i="2" a="1"/>
  <c r="F355" i="2" a="1"/>
  <c r="E355" i="2" a="1"/>
  <c r="D355" i="2" a="1"/>
  <c r="C355" i="2" a="1"/>
  <c r="B354" i="2" a="1"/>
  <c r="K356" i="2" l="1"/>
  <c r="L355" i="2"/>
  <c r="J355" i="2"/>
  <c r="I355" i="2"/>
  <c r="H355" i="2"/>
  <c r="G355" i="2"/>
  <c r="F355" i="2"/>
  <c r="E355" i="2"/>
  <c r="D355" i="2"/>
  <c r="C355" i="2"/>
  <c r="B354" i="2"/>
  <c r="A356" i="2"/>
  <c r="K357" i="2" a="1"/>
  <c r="L356" i="2" a="1"/>
  <c r="J356" i="2" a="1"/>
  <c r="I356" i="2" a="1"/>
  <c r="H356" i="2" a="1"/>
  <c r="G356" i="2" a="1"/>
  <c r="F356" i="2" a="1"/>
  <c r="E356" i="2" a="1"/>
  <c r="D356" i="2" a="1"/>
  <c r="C356" i="2" a="1"/>
  <c r="B355" i="2" a="1"/>
  <c r="K357" i="2" l="1"/>
  <c r="L356" i="2"/>
  <c r="J356" i="2"/>
  <c r="I356" i="2"/>
  <c r="H356" i="2"/>
  <c r="G356" i="2"/>
  <c r="F356" i="2"/>
  <c r="E356" i="2"/>
  <c r="D356" i="2"/>
  <c r="C356" i="2"/>
  <c r="B355" i="2"/>
  <c r="A357" i="2"/>
  <c r="K358" i="2" a="1"/>
  <c r="L357" i="2" a="1"/>
  <c r="J357" i="2" a="1"/>
  <c r="I357" i="2" a="1"/>
  <c r="H357" i="2" a="1"/>
  <c r="G357" i="2" a="1"/>
  <c r="F357" i="2" a="1"/>
  <c r="E357" i="2" a="1"/>
  <c r="D357" i="2" a="1"/>
  <c r="C357" i="2" a="1"/>
  <c r="B356" i="2" a="1"/>
  <c r="K358" i="2" l="1"/>
  <c r="L357" i="2"/>
  <c r="J357" i="2"/>
  <c r="I357" i="2"/>
  <c r="H357" i="2"/>
  <c r="G357" i="2"/>
  <c r="F357" i="2"/>
  <c r="E357" i="2"/>
  <c r="D357" i="2"/>
  <c r="C357" i="2"/>
  <c r="B356" i="2"/>
  <c r="A358" i="2"/>
  <c r="K359" i="2" a="1"/>
  <c r="L358" i="2" a="1"/>
  <c r="J358" i="2" a="1"/>
  <c r="I358" i="2" a="1"/>
  <c r="H358" i="2" a="1"/>
  <c r="G358" i="2" a="1"/>
  <c r="F358" i="2" a="1"/>
  <c r="E358" i="2" a="1"/>
  <c r="D358" i="2" a="1"/>
  <c r="C358" i="2" a="1"/>
  <c r="B357" i="2" a="1"/>
  <c r="K359" i="2" l="1"/>
  <c r="L358" i="2"/>
  <c r="J358" i="2"/>
  <c r="I358" i="2"/>
  <c r="H358" i="2"/>
  <c r="G358" i="2"/>
  <c r="F358" i="2"/>
  <c r="E358" i="2"/>
  <c r="D358" i="2"/>
  <c r="C358" i="2"/>
  <c r="B357" i="2"/>
  <c r="A359" i="2"/>
  <c r="K360" i="2" a="1"/>
  <c r="L359" i="2" a="1"/>
  <c r="J359" i="2" a="1"/>
  <c r="I359" i="2" a="1"/>
  <c r="H359" i="2" a="1"/>
  <c r="G359" i="2" a="1"/>
  <c r="F359" i="2" a="1"/>
  <c r="E359" i="2" a="1"/>
  <c r="D359" i="2" a="1"/>
  <c r="C359" i="2" a="1"/>
  <c r="B358" i="2" a="1"/>
  <c r="K360" i="2" l="1"/>
  <c r="L359" i="2"/>
  <c r="J359" i="2"/>
  <c r="I359" i="2"/>
  <c r="H359" i="2"/>
  <c r="G359" i="2"/>
  <c r="F359" i="2"/>
  <c r="E359" i="2"/>
  <c r="D359" i="2"/>
  <c r="C359" i="2"/>
  <c r="B358" i="2"/>
  <c r="A360" i="2"/>
  <c r="K361" i="2" a="1"/>
  <c r="L360" i="2" a="1"/>
  <c r="J360" i="2" a="1"/>
  <c r="I360" i="2" a="1"/>
  <c r="H360" i="2" a="1"/>
  <c r="G360" i="2" a="1"/>
  <c r="F360" i="2" a="1"/>
  <c r="E360" i="2" a="1"/>
  <c r="D360" i="2" a="1"/>
  <c r="C360" i="2" a="1"/>
  <c r="B359" i="2" a="1"/>
  <c r="K361" i="2" l="1"/>
  <c r="L360" i="2"/>
  <c r="J360" i="2"/>
  <c r="I360" i="2"/>
  <c r="H360" i="2"/>
  <c r="G360" i="2"/>
  <c r="F360" i="2"/>
  <c r="E360" i="2"/>
  <c r="D360" i="2"/>
  <c r="C360" i="2"/>
  <c r="B359" i="2"/>
  <c r="A361" i="2"/>
  <c r="K362" i="2" a="1"/>
  <c r="L361" i="2" a="1"/>
  <c r="J361" i="2" a="1"/>
  <c r="I361" i="2" a="1"/>
  <c r="H361" i="2" a="1"/>
  <c r="G361" i="2" a="1"/>
  <c r="F361" i="2" a="1"/>
  <c r="E361" i="2" a="1"/>
  <c r="D361" i="2" a="1"/>
  <c r="C361" i="2" a="1"/>
  <c r="B360" i="2" a="1"/>
  <c r="K362" i="2" l="1"/>
  <c r="L361" i="2"/>
  <c r="J361" i="2"/>
  <c r="I361" i="2"/>
  <c r="H361" i="2"/>
  <c r="G361" i="2"/>
  <c r="F361" i="2"/>
  <c r="E361" i="2"/>
  <c r="D361" i="2"/>
  <c r="C361" i="2"/>
  <c r="B360" i="2"/>
  <c r="A362" i="2"/>
  <c r="K363" i="2" a="1"/>
  <c r="L362" i="2" a="1"/>
  <c r="J362" i="2" a="1"/>
  <c r="I362" i="2" a="1"/>
  <c r="H362" i="2" a="1"/>
  <c r="G362" i="2" a="1"/>
  <c r="F362" i="2" a="1"/>
  <c r="E362" i="2" a="1"/>
  <c r="D362" i="2" a="1"/>
  <c r="C362" i="2" a="1"/>
  <c r="B361" i="2" a="1"/>
  <c r="K363" i="2" l="1"/>
  <c r="L362" i="2"/>
  <c r="J362" i="2"/>
  <c r="I362" i="2"/>
  <c r="H362" i="2"/>
  <c r="G362" i="2"/>
  <c r="F362" i="2"/>
  <c r="E362" i="2"/>
  <c r="D362" i="2"/>
  <c r="C362" i="2"/>
  <c r="B361" i="2"/>
  <c r="A363" i="2"/>
  <c r="K364" i="2" a="1"/>
  <c r="L363" i="2" a="1"/>
  <c r="J363" i="2" a="1"/>
  <c r="I363" i="2" a="1"/>
  <c r="H363" i="2" a="1"/>
  <c r="G363" i="2" a="1"/>
  <c r="F363" i="2" a="1"/>
  <c r="E363" i="2" a="1"/>
  <c r="D363" i="2" a="1"/>
  <c r="C363" i="2" a="1"/>
  <c r="B362" i="2" a="1"/>
  <c r="K364" i="2" l="1"/>
  <c r="L363" i="2"/>
  <c r="J363" i="2"/>
  <c r="I363" i="2"/>
  <c r="H363" i="2"/>
  <c r="G363" i="2"/>
  <c r="F363" i="2"/>
  <c r="E363" i="2"/>
  <c r="D363" i="2"/>
  <c r="C363" i="2"/>
  <c r="B362" i="2"/>
  <c r="A364" i="2"/>
  <c r="K365" i="2" a="1"/>
  <c r="L364" i="2" a="1"/>
  <c r="J364" i="2" a="1"/>
  <c r="I364" i="2" a="1"/>
  <c r="H364" i="2" a="1"/>
  <c r="G364" i="2" a="1"/>
  <c r="F364" i="2" a="1"/>
  <c r="E364" i="2" a="1"/>
  <c r="D364" i="2" a="1"/>
  <c r="C364" i="2" a="1"/>
  <c r="B363" i="2" a="1"/>
  <c r="K365" i="2" l="1"/>
  <c r="L364" i="2"/>
  <c r="J364" i="2"/>
  <c r="I364" i="2"/>
  <c r="H364" i="2"/>
  <c r="G364" i="2"/>
  <c r="F364" i="2"/>
  <c r="E364" i="2"/>
  <c r="D364" i="2"/>
  <c r="C364" i="2"/>
  <c r="B363" i="2"/>
  <c r="A365" i="2"/>
  <c r="K366" i="2" a="1"/>
  <c r="L365" i="2" a="1"/>
  <c r="J365" i="2" a="1"/>
  <c r="I365" i="2" a="1"/>
  <c r="H365" i="2" a="1"/>
  <c r="G365" i="2" a="1"/>
  <c r="F365" i="2" a="1"/>
  <c r="E365" i="2" a="1"/>
  <c r="D365" i="2" a="1"/>
  <c r="C365" i="2" a="1"/>
  <c r="B364" i="2" a="1"/>
  <c r="K366" i="2" l="1"/>
  <c r="L365" i="2"/>
  <c r="J365" i="2"/>
  <c r="I365" i="2"/>
  <c r="H365" i="2"/>
  <c r="G365" i="2"/>
  <c r="F365" i="2"/>
  <c r="E365" i="2"/>
  <c r="D365" i="2"/>
  <c r="C365" i="2"/>
  <c r="B364" i="2"/>
  <c r="A366" i="2"/>
  <c r="K367" i="2" a="1"/>
  <c r="L366" i="2" a="1"/>
  <c r="J366" i="2" a="1"/>
  <c r="I366" i="2" a="1"/>
  <c r="H366" i="2" a="1"/>
  <c r="G366" i="2" a="1"/>
  <c r="F366" i="2" a="1"/>
  <c r="E366" i="2" a="1"/>
  <c r="D366" i="2" a="1"/>
  <c r="C366" i="2" a="1"/>
  <c r="B365" i="2" a="1"/>
  <c r="K367" i="2" l="1"/>
  <c r="L366" i="2"/>
  <c r="J366" i="2"/>
  <c r="I366" i="2"/>
  <c r="H366" i="2"/>
  <c r="G366" i="2"/>
  <c r="F366" i="2"/>
  <c r="E366" i="2"/>
  <c r="D366" i="2"/>
  <c r="C366" i="2"/>
  <c r="B365" i="2"/>
  <c r="A367" i="2"/>
  <c r="K368" i="2" a="1"/>
  <c r="L367" i="2" a="1"/>
  <c r="J367" i="2" a="1"/>
  <c r="I367" i="2" a="1"/>
  <c r="H367" i="2" a="1"/>
  <c r="G367" i="2" a="1"/>
  <c r="F367" i="2" a="1"/>
  <c r="E367" i="2" a="1"/>
  <c r="D367" i="2" a="1"/>
  <c r="C367" i="2" a="1"/>
  <c r="B366" i="2" a="1"/>
  <c r="K368" i="2" l="1"/>
  <c r="L367" i="2"/>
  <c r="J367" i="2"/>
  <c r="I367" i="2"/>
  <c r="H367" i="2"/>
  <c r="G367" i="2"/>
  <c r="F367" i="2"/>
  <c r="E367" i="2"/>
  <c r="D367" i="2"/>
  <c r="C367" i="2"/>
  <c r="B366" i="2"/>
  <c r="A368" i="2"/>
  <c r="K369" i="2" a="1"/>
  <c r="L368" i="2" a="1"/>
  <c r="J368" i="2" a="1"/>
  <c r="I368" i="2" a="1"/>
  <c r="H368" i="2" a="1"/>
  <c r="G368" i="2" a="1"/>
  <c r="F368" i="2" a="1"/>
  <c r="E368" i="2" a="1"/>
  <c r="D368" i="2" a="1"/>
  <c r="C368" i="2" a="1"/>
  <c r="B367" i="2" a="1"/>
  <c r="K369" i="2" l="1"/>
  <c r="L368" i="2"/>
  <c r="J368" i="2"/>
  <c r="I368" i="2"/>
  <c r="H368" i="2"/>
  <c r="G368" i="2"/>
  <c r="F368" i="2"/>
  <c r="E368" i="2"/>
  <c r="D368" i="2"/>
  <c r="C368" i="2"/>
  <c r="B367" i="2"/>
  <c r="A369" i="2"/>
  <c r="K370" i="2" a="1"/>
  <c r="L369" i="2" a="1"/>
  <c r="J369" i="2" a="1"/>
  <c r="I369" i="2" a="1"/>
  <c r="H369" i="2" a="1"/>
  <c r="G369" i="2" a="1"/>
  <c r="F369" i="2" a="1"/>
  <c r="E369" i="2" a="1"/>
  <c r="D369" i="2" a="1"/>
  <c r="C369" i="2" a="1"/>
  <c r="B368" i="2" a="1"/>
  <c r="K370" i="2" l="1"/>
  <c r="L369" i="2"/>
  <c r="J369" i="2"/>
  <c r="I369" i="2"/>
  <c r="H369" i="2"/>
  <c r="G369" i="2"/>
  <c r="F369" i="2"/>
  <c r="E369" i="2"/>
  <c r="D369" i="2"/>
  <c r="C369" i="2"/>
  <c r="B368" i="2"/>
  <c r="A370" i="2"/>
  <c r="K371" i="2" a="1"/>
  <c r="L370" i="2" a="1"/>
  <c r="J370" i="2" a="1"/>
  <c r="I370" i="2" a="1"/>
  <c r="H370" i="2" a="1"/>
  <c r="G370" i="2" a="1"/>
  <c r="F370" i="2" a="1"/>
  <c r="E370" i="2" a="1"/>
  <c r="D370" i="2" a="1"/>
  <c r="C370" i="2" a="1"/>
  <c r="B369" i="2" a="1"/>
  <c r="K371" i="2" l="1"/>
  <c r="L370" i="2"/>
  <c r="J370" i="2"/>
  <c r="I370" i="2"/>
  <c r="H370" i="2"/>
  <c r="G370" i="2"/>
  <c r="F370" i="2"/>
  <c r="E370" i="2"/>
  <c r="D370" i="2"/>
  <c r="C370" i="2"/>
  <c r="B369" i="2"/>
  <c r="A371" i="2"/>
  <c r="K372" i="2" a="1"/>
  <c r="L371" i="2" a="1"/>
  <c r="J371" i="2" a="1"/>
  <c r="I371" i="2" a="1"/>
  <c r="H371" i="2" a="1"/>
  <c r="G371" i="2" a="1"/>
  <c r="F371" i="2" a="1"/>
  <c r="E371" i="2" a="1"/>
  <c r="D371" i="2" a="1"/>
  <c r="C371" i="2" a="1"/>
  <c r="B370" i="2" a="1"/>
  <c r="K372" i="2" l="1"/>
  <c r="L371" i="2"/>
  <c r="J371" i="2"/>
  <c r="I371" i="2"/>
  <c r="H371" i="2"/>
  <c r="G371" i="2"/>
  <c r="F371" i="2"/>
  <c r="E371" i="2"/>
  <c r="D371" i="2"/>
  <c r="C371" i="2"/>
  <c r="B370" i="2"/>
  <c r="A372" i="2"/>
  <c r="K373" i="2" a="1"/>
  <c r="L372" i="2" a="1"/>
  <c r="J372" i="2" a="1"/>
  <c r="I372" i="2" a="1"/>
  <c r="H372" i="2" a="1"/>
  <c r="G372" i="2" a="1"/>
  <c r="F372" i="2" a="1"/>
  <c r="E372" i="2" a="1"/>
  <c r="D372" i="2" a="1"/>
  <c r="C372" i="2" a="1"/>
  <c r="B371" i="2" a="1"/>
  <c r="K373" i="2" l="1"/>
  <c r="L372" i="2"/>
  <c r="J372" i="2"/>
  <c r="I372" i="2"/>
  <c r="H372" i="2"/>
  <c r="G372" i="2"/>
  <c r="F372" i="2"/>
  <c r="E372" i="2"/>
  <c r="D372" i="2"/>
  <c r="C372" i="2"/>
  <c r="B371" i="2"/>
  <c r="A373" i="2"/>
  <c r="K374" i="2" a="1"/>
  <c r="L373" i="2" a="1"/>
  <c r="J373" i="2" a="1"/>
  <c r="I373" i="2" a="1"/>
  <c r="H373" i="2" a="1"/>
  <c r="G373" i="2" a="1"/>
  <c r="F373" i="2" a="1"/>
  <c r="E373" i="2" a="1"/>
  <c r="D373" i="2" a="1"/>
  <c r="C373" i="2" a="1"/>
  <c r="B372" i="2" a="1"/>
  <c r="K374" i="2" l="1"/>
  <c r="L373" i="2"/>
  <c r="J373" i="2"/>
  <c r="I373" i="2"/>
  <c r="H373" i="2"/>
  <c r="G373" i="2"/>
  <c r="F373" i="2"/>
  <c r="E373" i="2"/>
  <c r="D373" i="2"/>
  <c r="C373" i="2"/>
  <c r="B372" i="2"/>
  <c r="A374" i="2"/>
  <c r="K375" i="2" a="1"/>
  <c r="L374" i="2" a="1"/>
  <c r="J374" i="2" a="1"/>
  <c r="I374" i="2" a="1"/>
  <c r="H374" i="2" a="1"/>
  <c r="G374" i="2" a="1"/>
  <c r="F374" i="2" a="1"/>
  <c r="E374" i="2" a="1"/>
  <c r="D374" i="2" a="1"/>
  <c r="C374" i="2" a="1"/>
  <c r="B373" i="2" a="1"/>
  <c r="K375" i="2" l="1"/>
  <c r="L374" i="2"/>
  <c r="J374" i="2"/>
  <c r="I374" i="2"/>
  <c r="H374" i="2"/>
  <c r="G374" i="2"/>
  <c r="F374" i="2"/>
  <c r="E374" i="2"/>
  <c r="D374" i="2"/>
  <c r="C374" i="2"/>
  <c r="B373" i="2"/>
  <c r="A375" i="2"/>
  <c r="K376" i="2" a="1"/>
  <c r="L375" i="2" a="1"/>
  <c r="J375" i="2" a="1"/>
  <c r="I375" i="2" a="1"/>
  <c r="H375" i="2" a="1"/>
  <c r="G375" i="2" a="1"/>
  <c r="F375" i="2" a="1"/>
  <c r="E375" i="2" a="1"/>
  <c r="D375" i="2" a="1"/>
  <c r="C375" i="2" a="1"/>
  <c r="B374" i="2" a="1"/>
  <c r="K376" i="2" l="1"/>
  <c r="L375" i="2"/>
  <c r="J375" i="2"/>
  <c r="I375" i="2"/>
  <c r="H375" i="2"/>
  <c r="G375" i="2"/>
  <c r="F375" i="2"/>
  <c r="E375" i="2"/>
  <c r="D375" i="2"/>
  <c r="C375" i="2"/>
  <c r="B374" i="2"/>
  <c r="A376" i="2"/>
  <c r="K377" i="2" a="1"/>
  <c r="L376" i="2" a="1"/>
  <c r="J376" i="2" a="1"/>
  <c r="I376" i="2" a="1"/>
  <c r="H376" i="2" a="1"/>
  <c r="G376" i="2" a="1"/>
  <c r="F376" i="2" a="1"/>
  <c r="E376" i="2" a="1"/>
  <c r="D376" i="2" a="1"/>
  <c r="C376" i="2" a="1"/>
  <c r="B375" i="2" a="1"/>
  <c r="K377" i="2" l="1"/>
  <c r="L376" i="2"/>
  <c r="J376" i="2"/>
  <c r="I376" i="2"/>
  <c r="H376" i="2"/>
  <c r="G376" i="2"/>
  <c r="F376" i="2"/>
  <c r="E376" i="2"/>
  <c r="D376" i="2"/>
  <c r="C376" i="2"/>
  <c r="B375" i="2"/>
  <c r="A377" i="2"/>
  <c r="K378" i="2" a="1"/>
  <c r="L377" i="2" a="1"/>
  <c r="J377" i="2" a="1"/>
  <c r="I377" i="2" a="1"/>
  <c r="H377" i="2" a="1"/>
  <c r="G377" i="2" a="1"/>
  <c r="F377" i="2" a="1"/>
  <c r="E377" i="2" a="1"/>
  <c r="D377" i="2" a="1"/>
  <c r="C377" i="2" a="1"/>
  <c r="B376" i="2" a="1"/>
  <c r="K378" i="2" l="1"/>
  <c r="L377" i="2"/>
  <c r="J377" i="2"/>
  <c r="I377" i="2"/>
  <c r="H377" i="2"/>
  <c r="G377" i="2"/>
  <c r="F377" i="2"/>
  <c r="E377" i="2"/>
  <c r="D377" i="2"/>
  <c r="C377" i="2"/>
  <c r="B376" i="2"/>
  <c r="A378" i="2"/>
  <c r="K379" i="2" a="1"/>
  <c r="L378" i="2" a="1"/>
  <c r="J378" i="2" a="1"/>
  <c r="I378" i="2" a="1"/>
  <c r="H378" i="2" a="1"/>
  <c r="G378" i="2" a="1"/>
  <c r="F378" i="2" a="1"/>
  <c r="E378" i="2" a="1"/>
  <c r="D378" i="2" a="1"/>
  <c r="C378" i="2" a="1"/>
  <c r="B377" i="2" a="1"/>
  <c r="K379" i="2" l="1"/>
  <c r="L378" i="2"/>
  <c r="J378" i="2"/>
  <c r="I378" i="2"/>
  <c r="H378" i="2"/>
  <c r="G378" i="2"/>
  <c r="F378" i="2"/>
  <c r="E378" i="2"/>
  <c r="D378" i="2"/>
  <c r="C378" i="2"/>
  <c r="B377" i="2"/>
  <c r="A379" i="2"/>
  <c r="K380" i="2" a="1"/>
  <c r="L379" i="2" a="1"/>
  <c r="J379" i="2" a="1"/>
  <c r="I379" i="2" a="1"/>
  <c r="H379" i="2" a="1"/>
  <c r="G379" i="2" a="1"/>
  <c r="F379" i="2" a="1"/>
  <c r="E379" i="2" a="1"/>
  <c r="D379" i="2" a="1"/>
  <c r="C379" i="2" a="1"/>
  <c r="B378" i="2" a="1"/>
  <c r="K380" i="2" l="1"/>
  <c r="L379" i="2"/>
  <c r="J379" i="2"/>
  <c r="I379" i="2"/>
  <c r="H379" i="2"/>
  <c r="G379" i="2"/>
  <c r="F379" i="2"/>
  <c r="E379" i="2"/>
  <c r="D379" i="2"/>
  <c r="C379" i="2"/>
  <c r="B378" i="2"/>
  <c r="A380" i="2"/>
  <c r="K381" i="2" a="1"/>
  <c r="L380" i="2" a="1"/>
  <c r="J380" i="2" a="1"/>
  <c r="I380" i="2" a="1"/>
  <c r="H380" i="2" a="1"/>
  <c r="G380" i="2" a="1"/>
  <c r="F380" i="2" a="1"/>
  <c r="E380" i="2" a="1"/>
  <c r="D380" i="2" a="1"/>
  <c r="C380" i="2" a="1"/>
  <c r="B379" i="2" a="1"/>
  <c r="K381" i="2" l="1"/>
  <c r="L380" i="2"/>
  <c r="J380" i="2"/>
  <c r="I380" i="2"/>
  <c r="H380" i="2"/>
  <c r="G380" i="2"/>
  <c r="F380" i="2"/>
  <c r="E380" i="2"/>
  <c r="D380" i="2"/>
  <c r="C380" i="2"/>
  <c r="B379" i="2"/>
  <c r="A381" i="2"/>
  <c r="K382" i="2" a="1"/>
  <c r="L381" i="2" a="1"/>
  <c r="J381" i="2" a="1"/>
  <c r="I381" i="2" a="1"/>
  <c r="H381" i="2" a="1"/>
  <c r="G381" i="2" a="1"/>
  <c r="F381" i="2" a="1"/>
  <c r="E381" i="2" a="1"/>
  <c r="D381" i="2" a="1"/>
  <c r="C381" i="2" a="1"/>
  <c r="B380" i="2" a="1"/>
  <c r="K382" i="2" l="1"/>
  <c r="L381" i="2"/>
  <c r="J381" i="2"/>
  <c r="I381" i="2"/>
  <c r="H381" i="2"/>
  <c r="G381" i="2"/>
  <c r="F381" i="2"/>
  <c r="E381" i="2"/>
  <c r="D381" i="2"/>
  <c r="C381" i="2"/>
  <c r="B380" i="2"/>
  <c r="A382" i="2"/>
  <c r="K383" i="2" a="1"/>
  <c r="L382" i="2" a="1"/>
  <c r="J382" i="2" a="1"/>
  <c r="I382" i="2" a="1"/>
  <c r="H382" i="2" a="1"/>
  <c r="G382" i="2" a="1"/>
  <c r="F382" i="2" a="1"/>
  <c r="E382" i="2" a="1"/>
  <c r="D382" i="2" a="1"/>
  <c r="C382" i="2" a="1"/>
  <c r="B381" i="2" a="1"/>
  <c r="K383" i="2" l="1"/>
  <c r="L382" i="2"/>
  <c r="J382" i="2"/>
  <c r="I382" i="2"/>
  <c r="H382" i="2"/>
  <c r="G382" i="2"/>
  <c r="F382" i="2"/>
  <c r="E382" i="2"/>
  <c r="D382" i="2"/>
  <c r="C382" i="2"/>
  <c r="B381" i="2"/>
  <c r="A383" i="2"/>
  <c r="K384" i="2" a="1"/>
  <c r="L383" i="2" a="1"/>
  <c r="J383" i="2" a="1"/>
  <c r="I383" i="2" a="1"/>
  <c r="H383" i="2" a="1"/>
  <c r="G383" i="2" a="1"/>
  <c r="F383" i="2" a="1"/>
  <c r="E383" i="2" a="1"/>
  <c r="D383" i="2" a="1"/>
  <c r="C383" i="2" a="1"/>
  <c r="B382" i="2" a="1"/>
  <c r="K384" i="2" l="1"/>
  <c r="L383" i="2"/>
  <c r="J383" i="2"/>
  <c r="I383" i="2"/>
  <c r="H383" i="2"/>
  <c r="G383" i="2"/>
  <c r="F383" i="2"/>
  <c r="E383" i="2"/>
  <c r="D383" i="2"/>
  <c r="C383" i="2"/>
  <c r="B382" i="2"/>
  <c r="A384" i="2"/>
  <c r="K385" i="2" a="1"/>
  <c r="L384" i="2" a="1"/>
  <c r="J384" i="2" a="1"/>
  <c r="I384" i="2" a="1"/>
  <c r="H384" i="2" a="1"/>
  <c r="G384" i="2" a="1"/>
  <c r="F384" i="2" a="1"/>
  <c r="E384" i="2" a="1"/>
  <c r="D384" i="2" a="1"/>
  <c r="C384" i="2" a="1"/>
  <c r="B383" i="2" a="1"/>
  <c r="K385" i="2" l="1"/>
  <c r="L384" i="2"/>
  <c r="J384" i="2"/>
  <c r="I384" i="2"/>
  <c r="H384" i="2"/>
  <c r="G384" i="2"/>
  <c r="F384" i="2"/>
  <c r="E384" i="2"/>
  <c r="D384" i="2"/>
  <c r="C384" i="2"/>
  <c r="B383" i="2"/>
  <c r="A385" i="2"/>
  <c r="K386" i="2" a="1"/>
  <c r="L385" i="2" a="1"/>
  <c r="J385" i="2" a="1"/>
  <c r="I385" i="2" a="1"/>
  <c r="H385" i="2" a="1"/>
  <c r="G385" i="2" a="1"/>
  <c r="F385" i="2" a="1"/>
  <c r="E385" i="2" a="1"/>
  <c r="D385" i="2" a="1"/>
  <c r="C385" i="2" a="1"/>
  <c r="B384" i="2" a="1"/>
  <c r="K386" i="2" l="1"/>
  <c r="L385" i="2"/>
  <c r="J385" i="2"/>
  <c r="I385" i="2"/>
  <c r="H385" i="2"/>
  <c r="G385" i="2"/>
  <c r="F385" i="2"/>
  <c r="E385" i="2"/>
  <c r="D385" i="2"/>
  <c r="C385" i="2"/>
  <c r="B384" i="2"/>
  <c r="A386" i="2"/>
  <c r="K387" i="2" a="1"/>
  <c r="L386" i="2" a="1"/>
  <c r="J386" i="2" a="1"/>
  <c r="I386" i="2" a="1"/>
  <c r="H386" i="2" a="1"/>
  <c r="G386" i="2" a="1"/>
  <c r="F386" i="2" a="1"/>
  <c r="E386" i="2" a="1"/>
  <c r="D386" i="2" a="1"/>
  <c r="C386" i="2" a="1"/>
  <c r="B385" i="2" a="1"/>
  <c r="K387" i="2" l="1"/>
  <c r="L386" i="2"/>
  <c r="J386" i="2"/>
  <c r="I386" i="2"/>
  <c r="H386" i="2"/>
  <c r="G386" i="2"/>
  <c r="F386" i="2"/>
  <c r="E386" i="2"/>
  <c r="D386" i="2"/>
  <c r="C386" i="2"/>
  <c r="B385" i="2"/>
  <c r="A387" i="2"/>
  <c r="K388" i="2" a="1"/>
  <c r="L387" i="2" a="1"/>
  <c r="J387" i="2" a="1"/>
  <c r="I387" i="2" a="1"/>
  <c r="H387" i="2" a="1"/>
  <c r="G387" i="2" a="1"/>
  <c r="F387" i="2" a="1"/>
  <c r="E387" i="2" a="1"/>
  <c r="D387" i="2" a="1"/>
  <c r="C387" i="2" a="1"/>
  <c r="B386" i="2" a="1"/>
  <c r="K388" i="2" l="1"/>
  <c r="L387" i="2"/>
  <c r="J387" i="2"/>
  <c r="I387" i="2"/>
  <c r="H387" i="2"/>
  <c r="G387" i="2"/>
  <c r="F387" i="2"/>
  <c r="E387" i="2"/>
  <c r="D387" i="2"/>
  <c r="C387" i="2"/>
  <c r="B386" i="2"/>
  <c r="A388" i="2"/>
  <c r="K389" i="2" a="1"/>
  <c r="L388" i="2" a="1"/>
  <c r="J388" i="2" a="1"/>
  <c r="I388" i="2" a="1"/>
  <c r="H388" i="2" a="1"/>
  <c r="G388" i="2" a="1"/>
  <c r="F388" i="2" a="1"/>
  <c r="E388" i="2" a="1"/>
  <c r="D388" i="2" a="1"/>
  <c r="C388" i="2" a="1"/>
  <c r="B387" i="2" a="1"/>
  <c r="K389" i="2" l="1"/>
  <c r="L388" i="2"/>
  <c r="J388" i="2"/>
  <c r="I388" i="2"/>
  <c r="H388" i="2"/>
  <c r="G388" i="2"/>
  <c r="F388" i="2"/>
  <c r="E388" i="2"/>
  <c r="D388" i="2"/>
  <c r="C388" i="2"/>
  <c r="B387" i="2"/>
  <c r="A389" i="2"/>
  <c r="K390" i="2" a="1"/>
  <c r="L389" i="2" a="1"/>
  <c r="J389" i="2" a="1"/>
  <c r="I389" i="2" a="1"/>
  <c r="H389" i="2" a="1"/>
  <c r="G389" i="2" a="1"/>
  <c r="F389" i="2" a="1"/>
  <c r="E389" i="2" a="1"/>
  <c r="D389" i="2" a="1"/>
  <c r="C389" i="2" a="1"/>
  <c r="B388" i="2" a="1"/>
  <c r="K390" i="2" l="1"/>
  <c r="L389" i="2"/>
  <c r="J389" i="2"/>
  <c r="I389" i="2"/>
  <c r="H389" i="2"/>
  <c r="G389" i="2"/>
  <c r="F389" i="2"/>
  <c r="E389" i="2"/>
  <c r="D389" i="2"/>
  <c r="C389" i="2"/>
  <c r="B388" i="2"/>
  <c r="A390" i="2"/>
  <c r="K391" i="2" a="1"/>
  <c r="L390" i="2" a="1"/>
  <c r="J390" i="2" a="1"/>
  <c r="I390" i="2" a="1"/>
  <c r="H390" i="2" a="1"/>
  <c r="G390" i="2" a="1"/>
  <c r="F390" i="2" a="1"/>
  <c r="E390" i="2" a="1"/>
  <c r="D390" i="2" a="1"/>
  <c r="C390" i="2" a="1"/>
  <c r="B389" i="2" a="1"/>
  <c r="K391" i="2" l="1"/>
  <c r="L390" i="2"/>
  <c r="J390" i="2"/>
  <c r="I390" i="2"/>
  <c r="H390" i="2"/>
  <c r="G390" i="2"/>
  <c r="F390" i="2"/>
  <c r="E390" i="2"/>
  <c r="D390" i="2"/>
  <c r="C390" i="2"/>
  <c r="B389" i="2"/>
  <c r="A391" i="2"/>
  <c r="K392" i="2" a="1"/>
  <c r="L391" i="2" a="1"/>
  <c r="J391" i="2" a="1"/>
  <c r="I391" i="2" a="1"/>
  <c r="H391" i="2" a="1"/>
  <c r="G391" i="2" a="1"/>
  <c r="F391" i="2" a="1"/>
  <c r="E391" i="2" a="1"/>
  <c r="D391" i="2" a="1"/>
  <c r="C391" i="2" a="1"/>
  <c r="B390" i="2" a="1"/>
  <c r="K392" i="2" l="1"/>
  <c r="L391" i="2"/>
  <c r="J391" i="2"/>
  <c r="I391" i="2"/>
  <c r="H391" i="2"/>
  <c r="G391" i="2"/>
  <c r="F391" i="2"/>
  <c r="E391" i="2"/>
  <c r="D391" i="2"/>
  <c r="C391" i="2"/>
  <c r="B390" i="2"/>
  <c r="A392" i="2"/>
  <c r="K393" i="2" a="1"/>
  <c r="L392" i="2" a="1"/>
  <c r="J392" i="2" a="1"/>
  <c r="I392" i="2" a="1"/>
  <c r="H392" i="2" a="1"/>
  <c r="G392" i="2" a="1"/>
  <c r="F392" i="2" a="1"/>
  <c r="E392" i="2" a="1"/>
  <c r="D392" i="2" a="1"/>
  <c r="C392" i="2" a="1"/>
  <c r="B391" i="2" a="1"/>
  <c r="K393" i="2" l="1"/>
  <c r="L392" i="2"/>
  <c r="J392" i="2"/>
  <c r="I392" i="2"/>
  <c r="H392" i="2"/>
  <c r="G392" i="2"/>
  <c r="F392" i="2"/>
  <c r="E392" i="2"/>
  <c r="D392" i="2"/>
  <c r="C392" i="2"/>
  <c r="B391" i="2"/>
  <c r="A393" i="2"/>
  <c r="K394" i="2" a="1"/>
  <c r="L393" i="2" a="1"/>
  <c r="J393" i="2" a="1"/>
  <c r="I393" i="2" a="1"/>
  <c r="H393" i="2" a="1"/>
  <c r="G393" i="2" a="1"/>
  <c r="F393" i="2" a="1"/>
  <c r="E393" i="2" a="1"/>
  <c r="D393" i="2" a="1"/>
  <c r="C393" i="2" a="1"/>
  <c r="B392" i="2" a="1"/>
  <c r="K394" i="2" l="1"/>
  <c r="L393" i="2"/>
  <c r="J393" i="2"/>
  <c r="I393" i="2"/>
  <c r="H393" i="2"/>
  <c r="G393" i="2"/>
  <c r="F393" i="2"/>
  <c r="E393" i="2"/>
  <c r="D393" i="2"/>
  <c r="C393" i="2"/>
  <c r="B392" i="2"/>
  <c r="A394" i="2"/>
  <c r="K395" i="2" a="1"/>
  <c r="L394" i="2" a="1"/>
  <c r="J394" i="2" a="1"/>
  <c r="I394" i="2" a="1"/>
  <c r="H394" i="2" a="1"/>
  <c r="G394" i="2" a="1"/>
  <c r="F394" i="2" a="1"/>
  <c r="E394" i="2" a="1"/>
  <c r="D394" i="2" a="1"/>
  <c r="C394" i="2" a="1"/>
  <c r="B393" i="2" a="1"/>
  <c r="K395" i="2" l="1"/>
  <c r="L394" i="2"/>
  <c r="J394" i="2"/>
  <c r="I394" i="2"/>
  <c r="H394" i="2"/>
  <c r="G394" i="2"/>
  <c r="F394" i="2"/>
  <c r="E394" i="2"/>
  <c r="D394" i="2"/>
  <c r="C394" i="2"/>
  <c r="B393" i="2"/>
  <c r="A395" i="2"/>
  <c r="K396" i="2" a="1"/>
  <c r="L395" i="2" a="1"/>
  <c r="J395" i="2" a="1"/>
  <c r="I395" i="2" a="1"/>
  <c r="H395" i="2" a="1"/>
  <c r="G395" i="2" a="1"/>
  <c r="F395" i="2" a="1"/>
  <c r="E395" i="2" a="1"/>
  <c r="D395" i="2" a="1"/>
  <c r="C395" i="2" a="1"/>
  <c r="B394" i="2" a="1"/>
  <c r="K396" i="2" l="1"/>
  <c r="L395" i="2"/>
  <c r="J395" i="2"/>
  <c r="I395" i="2"/>
  <c r="H395" i="2"/>
  <c r="G395" i="2"/>
  <c r="F395" i="2"/>
  <c r="E395" i="2"/>
  <c r="D395" i="2"/>
  <c r="C395" i="2"/>
  <c r="B394" i="2"/>
  <c r="A396" i="2"/>
  <c r="K397" i="2" a="1"/>
  <c r="L396" i="2" a="1"/>
  <c r="J396" i="2" a="1"/>
  <c r="I396" i="2" a="1"/>
  <c r="H396" i="2" a="1"/>
  <c r="G396" i="2" a="1"/>
  <c r="F396" i="2" a="1"/>
  <c r="E396" i="2" a="1"/>
  <c r="D396" i="2" a="1"/>
  <c r="C396" i="2" a="1"/>
  <c r="B395" i="2" a="1"/>
  <c r="K397" i="2" l="1"/>
  <c r="L396" i="2"/>
  <c r="J396" i="2"/>
  <c r="I396" i="2"/>
  <c r="H396" i="2"/>
  <c r="G396" i="2"/>
  <c r="F396" i="2"/>
  <c r="E396" i="2"/>
  <c r="D396" i="2"/>
  <c r="C396" i="2"/>
  <c r="B395" i="2"/>
  <c r="A397" i="2"/>
  <c r="K398" i="2" a="1"/>
  <c r="L397" i="2" a="1"/>
  <c r="J397" i="2" a="1"/>
  <c r="I397" i="2" a="1"/>
  <c r="H397" i="2" a="1"/>
  <c r="G397" i="2" a="1"/>
  <c r="F397" i="2" a="1"/>
  <c r="E397" i="2" a="1"/>
  <c r="D397" i="2" a="1"/>
  <c r="C397" i="2" a="1"/>
  <c r="B396" i="2" a="1"/>
  <c r="K398" i="2" l="1"/>
  <c r="L397" i="2"/>
  <c r="J397" i="2"/>
  <c r="I397" i="2"/>
  <c r="H397" i="2"/>
  <c r="G397" i="2"/>
  <c r="F397" i="2"/>
  <c r="E397" i="2"/>
  <c r="D397" i="2"/>
  <c r="C397" i="2"/>
  <c r="B396" i="2"/>
  <c r="A398" i="2"/>
  <c r="K399" i="2" a="1"/>
  <c r="L398" i="2" a="1"/>
  <c r="J398" i="2" a="1"/>
  <c r="I398" i="2" a="1"/>
  <c r="H398" i="2" a="1"/>
  <c r="G398" i="2" a="1"/>
  <c r="F398" i="2" a="1"/>
  <c r="E398" i="2" a="1"/>
  <c r="D398" i="2" a="1"/>
  <c r="C398" i="2" a="1"/>
  <c r="B397" i="2" a="1"/>
  <c r="K399" i="2" l="1"/>
  <c r="L398" i="2"/>
  <c r="J398" i="2"/>
  <c r="I398" i="2"/>
  <c r="H398" i="2"/>
  <c r="G398" i="2"/>
  <c r="F398" i="2"/>
  <c r="E398" i="2"/>
  <c r="D398" i="2"/>
  <c r="C398" i="2"/>
  <c r="B397" i="2"/>
  <c r="A399" i="2"/>
  <c r="K400" i="2" a="1"/>
  <c r="L399" i="2" a="1"/>
  <c r="J399" i="2" a="1"/>
  <c r="I399" i="2" a="1"/>
  <c r="H399" i="2" a="1"/>
  <c r="G399" i="2" a="1"/>
  <c r="F399" i="2" a="1"/>
  <c r="E399" i="2" a="1"/>
  <c r="D399" i="2" a="1"/>
  <c r="C399" i="2" a="1"/>
  <c r="B398" i="2" a="1"/>
  <c r="K400" i="2" l="1"/>
  <c r="L399" i="2"/>
  <c r="J399" i="2"/>
  <c r="I399" i="2"/>
  <c r="H399" i="2"/>
  <c r="G399" i="2"/>
  <c r="F399" i="2"/>
  <c r="E399" i="2"/>
  <c r="D399" i="2"/>
  <c r="C399" i="2"/>
  <c r="B398" i="2"/>
  <c r="A400" i="2"/>
  <c r="K401" i="2" a="1"/>
  <c r="L400" i="2" a="1"/>
  <c r="J400" i="2" a="1"/>
  <c r="I400" i="2" a="1"/>
  <c r="H400" i="2" a="1"/>
  <c r="G400" i="2" a="1"/>
  <c r="F400" i="2" a="1"/>
  <c r="E400" i="2" a="1"/>
  <c r="D400" i="2" a="1"/>
  <c r="C400" i="2" a="1"/>
  <c r="B399" i="2" a="1"/>
  <c r="K401" i="2" l="1"/>
  <c r="L400" i="2"/>
  <c r="J400" i="2"/>
  <c r="I400" i="2"/>
  <c r="H400" i="2"/>
  <c r="G400" i="2"/>
  <c r="F400" i="2"/>
  <c r="E400" i="2"/>
  <c r="D400" i="2"/>
  <c r="C400" i="2"/>
  <c r="B399" i="2"/>
  <c r="A401" i="2"/>
  <c r="K402" i="2" a="1"/>
  <c r="L401" i="2" a="1"/>
  <c r="J401" i="2" a="1"/>
  <c r="I401" i="2" a="1"/>
  <c r="H401" i="2" a="1"/>
  <c r="G401" i="2" a="1"/>
  <c r="F401" i="2" a="1"/>
  <c r="E401" i="2" a="1"/>
  <c r="D401" i="2" a="1"/>
  <c r="C401" i="2" a="1"/>
  <c r="B400" i="2" a="1"/>
  <c r="K402" i="2" l="1"/>
  <c r="L401" i="2"/>
  <c r="J401" i="2"/>
  <c r="I401" i="2"/>
  <c r="H401" i="2"/>
  <c r="G401" i="2"/>
  <c r="F401" i="2"/>
  <c r="E401" i="2"/>
  <c r="D401" i="2"/>
  <c r="C401" i="2"/>
  <c r="B400" i="2"/>
  <c r="A402" i="2"/>
  <c r="K403" i="2" a="1"/>
  <c r="L402" i="2" a="1"/>
  <c r="J402" i="2" a="1"/>
  <c r="I402" i="2" a="1"/>
  <c r="H402" i="2" a="1"/>
  <c r="G402" i="2" a="1"/>
  <c r="F402" i="2" a="1"/>
  <c r="E402" i="2" a="1"/>
  <c r="D402" i="2" a="1"/>
  <c r="C402" i="2" a="1"/>
  <c r="B401" i="2" a="1"/>
  <c r="K403" i="2" l="1"/>
  <c r="L402" i="2"/>
  <c r="J402" i="2"/>
  <c r="I402" i="2"/>
  <c r="H402" i="2"/>
  <c r="G402" i="2"/>
  <c r="F402" i="2"/>
  <c r="E402" i="2"/>
  <c r="D402" i="2"/>
  <c r="C402" i="2"/>
  <c r="B401" i="2"/>
  <c r="A403" i="2"/>
  <c r="K404" i="2" a="1"/>
  <c r="L403" i="2" a="1"/>
  <c r="J403" i="2" a="1"/>
  <c r="I403" i="2" a="1"/>
  <c r="H403" i="2" a="1"/>
  <c r="G403" i="2" a="1"/>
  <c r="F403" i="2" a="1"/>
  <c r="E403" i="2" a="1"/>
  <c r="D403" i="2" a="1"/>
  <c r="C403" i="2" a="1"/>
  <c r="B402" i="2" a="1"/>
  <c r="K404" i="2" l="1"/>
  <c r="L403" i="2"/>
  <c r="J403" i="2"/>
  <c r="I403" i="2"/>
  <c r="H403" i="2"/>
  <c r="G403" i="2"/>
  <c r="F403" i="2"/>
  <c r="E403" i="2"/>
  <c r="D403" i="2"/>
  <c r="C403" i="2"/>
  <c r="B402" i="2"/>
  <c r="A404" i="2"/>
  <c r="K405" i="2" a="1"/>
  <c r="L404" i="2" a="1"/>
  <c r="J404" i="2" a="1"/>
  <c r="I404" i="2" a="1"/>
  <c r="H404" i="2" a="1"/>
  <c r="G404" i="2" a="1"/>
  <c r="F404" i="2" a="1"/>
  <c r="E404" i="2" a="1"/>
  <c r="D404" i="2" a="1"/>
  <c r="C404" i="2" a="1"/>
  <c r="B403" i="2" a="1"/>
  <c r="K405" i="2" l="1"/>
  <c r="L404" i="2"/>
  <c r="J404" i="2"/>
  <c r="I404" i="2"/>
  <c r="H404" i="2"/>
  <c r="G404" i="2"/>
  <c r="F404" i="2"/>
  <c r="E404" i="2"/>
  <c r="D404" i="2"/>
  <c r="C404" i="2"/>
  <c r="B403" i="2"/>
  <c r="A405" i="2"/>
  <c r="K406" i="2" a="1"/>
  <c r="L405" i="2" a="1"/>
  <c r="J405" i="2" a="1"/>
  <c r="I405" i="2" a="1"/>
  <c r="H405" i="2" a="1"/>
  <c r="G405" i="2" a="1"/>
  <c r="F405" i="2" a="1"/>
  <c r="E405" i="2" a="1"/>
  <c r="D405" i="2" a="1"/>
  <c r="C405" i="2" a="1"/>
  <c r="B404" i="2" a="1"/>
  <c r="K406" i="2" l="1"/>
  <c r="L405" i="2"/>
  <c r="J405" i="2"/>
  <c r="I405" i="2"/>
  <c r="H405" i="2"/>
  <c r="G405" i="2"/>
  <c r="F405" i="2"/>
  <c r="E405" i="2"/>
  <c r="D405" i="2"/>
  <c r="C405" i="2"/>
  <c r="B404" i="2"/>
  <c r="A406" i="2"/>
  <c r="K407" i="2" a="1"/>
  <c r="L406" i="2" a="1"/>
  <c r="J406" i="2" a="1"/>
  <c r="I406" i="2" a="1"/>
  <c r="H406" i="2" a="1"/>
  <c r="G406" i="2" a="1"/>
  <c r="F406" i="2" a="1"/>
  <c r="E406" i="2" a="1"/>
  <c r="D406" i="2" a="1"/>
  <c r="C406" i="2" a="1"/>
  <c r="B405" i="2" a="1"/>
  <c r="K407" i="2" l="1"/>
  <c r="L406" i="2"/>
  <c r="J406" i="2"/>
  <c r="I406" i="2"/>
  <c r="H406" i="2"/>
  <c r="G406" i="2"/>
  <c r="F406" i="2"/>
  <c r="E406" i="2"/>
  <c r="D406" i="2"/>
  <c r="C406" i="2"/>
  <c r="B405" i="2"/>
  <c r="A407" i="2"/>
  <c r="K408" i="2" a="1"/>
  <c r="L407" i="2" a="1"/>
  <c r="J407" i="2" a="1"/>
  <c r="I407" i="2" a="1"/>
  <c r="H407" i="2" a="1"/>
  <c r="G407" i="2" a="1"/>
  <c r="F407" i="2" a="1"/>
  <c r="E407" i="2" a="1"/>
  <c r="D407" i="2" a="1"/>
  <c r="C407" i="2" a="1"/>
  <c r="B406" i="2" a="1"/>
  <c r="K408" i="2" l="1"/>
  <c r="L407" i="2"/>
  <c r="J407" i="2"/>
  <c r="I407" i="2"/>
  <c r="H407" i="2"/>
  <c r="G407" i="2"/>
  <c r="F407" i="2"/>
  <c r="E407" i="2"/>
  <c r="D407" i="2"/>
  <c r="C407" i="2"/>
  <c r="B406" i="2"/>
  <c r="A408" i="2"/>
  <c r="K409" i="2" a="1"/>
  <c r="L408" i="2" a="1"/>
  <c r="J408" i="2" a="1"/>
  <c r="I408" i="2" a="1"/>
  <c r="H408" i="2" a="1"/>
  <c r="G408" i="2" a="1"/>
  <c r="F408" i="2" a="1"/>
  <c r="E408" i="2" a="1"/>
  <c r="D408" i="2" a="1"/>
  <c r="C408" i="2" a="1"/>
  <c r="B407" i="2" a="1"/>
  <c r="K409" i="2" l="1"/>
  <c r="L408" i="2"/>
  <c r="J408" i="2"/>
  <c r="I408" i="2"/>
  <c r="H408" i="2"/>
  <c r="G408" i="2"/>
  <c r="F408" i="2"/>
  <c r="E408" i="2"/>
  <c r="D408" i="2"/>
  <c r="C408" i="2"/>
  <c r="B407" i="2"/>
  <c r="A409" i="2"/>
  <c r="K410" i="2" a="1"/>
  <c r="L409" i="2" a="1"/>
  <c r="J409" i="2" a="1"/>
  <c r="I409" i="2" a="1"/>
  <c r="H409" i="2" a="1"/>
  <c r="G409" i="2" a="1"/>
  <c r="F409" i="2" a="1"/>
  <c r="E409" i="2" a="1"/>
  <c r="D409" i="2" a="1"/>
  <c r="C409" i="2" a="1"/>
  <c r="B408" i="2" a="1"/>
  <c r="K410" i="2" l="1"/>
  <c r="L409" i="2"/>
  <c r="J409" i="2"/>
  <c r="I409" i="2"/>
  <c r="H409" i="2"/>
  <c r="G409" i="2"/>
  <c r="F409" i="2"/>
  <c r="E409" i="2"/>
  <c r="D409" i="2"/>
  <c r="C409" i="2"/>
  <c r="B408" i="2"/>
  <c r="A410" i="2"/>
  <c r="K411" i="2" a="1"/>
  <c r="L410" i="2" a="1"/>
  <c r="J410" i="2" a="1"/>
  <c r="I410" i="2" a="1"/>
  <c r="H410" i="2" a="1"/>
  <c r="G410" i="2" a="1"/>
  <c r="F410" i="2" a="1"/>
  <c r="E410" i="2" a="1"/>
  <c r="D410" i="2" a="1"/>
  <c r="C410" i="2" a="1"/>
  <c r="B409" i="2" a="1"/>
  <c r="K411" i="2" l="1"/>
  <c r="L410" i="2"/>
  <c r="J410" i="2"/>
  <c r="I410" i="2"/>
  <c r="H410" i="2"/>
  <c r="G410" i="2"/>
  <c r="F410" i="2"/>
  <c r="E410" i="2"/>
  <c r="D410" i="2"/>
  <c r="C410" i="2"/>
  <c r="B409" i="2"/>
  <c r="A411" i="2"/>
  <c r="K412" i="2" a="1"/>
  <c r="L411" i="2" a="1"/>
  <c r="J411" i="2" a="1"/>
  <c r="I411" i="2" a="1"/>
  <c r="H411" i="2" a="1"/>
  <c r="G411" i="2" a="1"/>
  <c r="F411" i="2" a="1"/>
  <c r="E411" i="2" a="1"/>
  <c r="D411" i="2" a="1"/>
  <c r="C411" i="2" a="1"/>
  <c r="B410" i="2" a="1"/>
  <c r="K412" i="2" l="1"/>
  <c r="L411" i="2"/>
  <c r="J411" i="2"/>
  <c r="I411" i="2"/>
  <c r="H411" i="2"/>
  <c r="G411" i="2"/>
  <c r="F411" i="2"/>
  <c r="E411" i="2"/>
  <c r="D411" i="2"/>
  <c r="C411" i="2"/>
  <c r="B410" i="2"/>
  <c r="A412" i="2"/>
  <c r="K413" i="2" a="1"/>
  <c r="L412" i="2" a="1"/>
  <c r="J412" i="2" a="1"/>
  <c r="I412" i="2" a="1"/>
  <c r="H412" i="2" a="1"/>
  <c r="G412" i="2" a="1"/>
  <c r="F412" i="2" a="1"/>
  <c r="E412" i="2" a="1"/>
  <c r="D412" i="2" a="1"/>
  <c r="C412" i="2" a="1"/>
  <c r="B411" i="2" a="1"/>
  <c r="K413" i="2" l="1"/>
  <c r="L412" i="2"/>
  <c r="J412" i="2"/>
  <c r="I412" i="2"/>
  <c r="H412" i="2"/>
  <c r="G412" i="2"/>
  <c r="F412" i="2"/>
  <c r="E412" i="2"/>
  <c r="D412" i="2"/>
  <c r="C412" i="2"/>
  <c r="B411" i="2"/>
  <c r="A413" i="2"/>
  <c r="K414" i="2" a="1"/>
  <c r="L413" i="2" a="1"/>
  <c r="J413" i="2" a="1"/>
  <c r="I413" i="2" a="1"/>
  <c r="H413" i="2" a="1"/>
  <c r="G413" i="2" a="1"/>
  <c r="F413" i="2" a="1"/>
  <c r="E413" i="2" a="1"/>
  <c r="D413" i="2" a="1"/>
  <c r="C413" i="2" a="1"/>
  <c r="B412" i="2" a="1"/>
  <c r="K414" i="2" l="1"/>
  <c r="L413" i="2"/>
  <c r="J413" i="2"/>
  <c r="I413" i="2"/>
  <c r="H413" i="2"/>
  <c r="G413" i="2"/>
  <c r="F413" i="2"/>
  <c r="E413" i="2"/>
  <c r="D413" i="2"/>
  <c r="C413" i="2"/>
  <c r="B412" i="2"/>
  <c r="A414" i="2"/>
  <c r="K415" i="2" a="1"/>
  <c r="L414" i="2" a="1"/>
  <c r="J414" i="2" a="1"/>
  <c r="I414" i="2" a="1"/>
  <c r="H414" i="2" a="1"/>
  <c r="G414" i="2" a="1"/>
  <c r="F414" i="2" a="1"/>
  <c r="E414" i="2" a="1"/>
  <c r="D414" i="2" a="1"/>
  <c r="C414" i="2" a="1"/>
  <c r="B413" i="2" a="1"/>
  <c r="K415" i="2" l="1"/>
  <c r="L414" i="2"/>
  <c r="J414" i="2"/>
  <c r="I414" i="2"/>
  <c r="H414" i="2"/>
  <c r="G414" i="2"/>
  <c r="F414" i="2"/>
  <c r="E414" i="2"/>
  <c r="D414" i="2"/>
  <c r="C414" i="2"/>
  <c r="B413" i="2"/>
  <c r="A415" i="2"/>
  <c r="K416" i="2" a="1"/>
  <c r="L415" i="2" a="1"/>
  <c r="J415" i="2" a="1"/>
  <c r="I415" i="2" a="1"/>
  <c r="H415" i="2" a="1"/>
  <c r="G415" i="2" a="1"/>
  <c r="F415" i="2" a="1"/>
  <c r="E415" i="2" a="1"/>
  <c r="D415" i="2" a="1"/>
  <c r="C415" i="2" a="1"/>
  <c r="B414" i="2" a="1"/>
  <c r="K416" i="2" l="1"/>
  <c r="L415" i="2"/>
  <c r="J415" i="2"/>
  <c r="I415" i="2"/>
  <c r="H415" i="2"/>
  <c r="G415" i="2"/>
  <c r="F415" i="2"/>
  <c r="E415" i="2"/>
  <c r="D415" i="2"/>
  <c r="C415" i="2"/>
  <c r="B414" i="2"/>
  <c r="A416" i="2"/>
  <c r="K417" i="2" a="1"/>
  <c r="L416" i="2" a="1"/>
  <c r="J416" i="2" a="1"/>
  <c r="I416" i="2" a="1"/>
  <c r="H416" i="2" a="1"/>
  <c r="G416" i="2" a="1"/>
  <c r="F416" i="2" a="1"/>
  <c r="E416" i="2" a="1"/>
  <c r="D416" i="2" a="1"/>
  <c r="C416" i="2" a="1"/>
  <c r="B415" i="2" a="1"/>
  <c r="K417" i="2" l="1"/>
  <c r="L416" i="2"/>
  <c r="J416" i="2"/>
  <c r="I416" i="2"/>
  <c r="H416" i="2"/>
  <c r="G416" i="2"/>
  <c r="F416" i="2"/>
  <c r="E416" i="2"/>
  <c r="D416" i="2"/>
  <c r="C416" i="2"/>
  <c r="B415" i="2"/>
  <c r="A417" i="2"/>
  <c r="K418" i="2" a="1"/>
  <c r="L417" i="2" a="1"/>
  <c r="J417" i="2" a="1"/>
  <c r="I417" i="2" a="1"/>
  <c r="H417" i="2" a="1"/>
  <c r="G417" i="2" a="1"/>
  <c r="F417" i="2" a="1"/>
  <c r="E417" i="2" a="1"/>
  <c r="D417" i="2" a="1"/>
  <c r="C417" i="2" a="1"/>
  <c r="B416" i="2" a="1"/>
  <c r="K418" i="2" l="1"/>
  <c r="L417" i="2"/>
  <c r="J417" i="2"/>
  <c r="I417" i="2"/>
  <c r="H417" i="2"/>
  <c r="G417" i="2"/>
  <c r="F417" i="2"/>
  <c r="E417" i="2"/>
  <c r="D417" i="2"/>
  <c r="C417" i="2"/>
  <c r="B416" i="2"/>
  <c r="A418" i="2"/>
  <c r="K419" i="2" a="1"/>
  <c r="L418" i="2" a="1"/>
  <c r="J418" i="2" a="1"/>
  <c r="I418" i="2" a="1"/>
  <c r="H418" i="2" a="1"/>
  <c r="G418" i="2" a="1"/>
  <c r="F418" i="2" a="1"/>
  <c r="E418" i="2" a="1"/>
  <c r="D418" i="2" a="1"/>
  <c r="C418" i="2" a="1"/>
  <c r="B417" i="2" a="1"/>
  <c r="K419" i="2" l="1"/>
  <c r="L418" i="2"/>
  <c r="J418" i="2"/>
  <c r="I418" i="2"/>
  <c r="H418" i="2"/>
  <c r="G418" i="2"/>
  <c r="F418" i="2"/>
  <c r="E418" i="2"/>
  <c r="D418" i="2"/>
  <c r="C418" i="2"/>
  <c r="B417" i="2"/>
  <c r="A419" i="2"/>
  <c r="K420" i="2" a="1"/>
  <c r="L419" i="2" a="1"/>
  <c r="J419" i="2" a="1"/>
  <c r="I419" i="2" a="1"/>
  <c r="H419" i="2" a="1"/>
  <c r="G419" i="2" a="1"/>
  <c r="F419" i="2" a="1"/>
  <c r="E419" i="2" a="1"/>
  <c r="D419" i="2" a="1"/>
  <c r="C419" i="2" a="1"/>
  <c r="B418" i="2" a="1"/>
  <c r="K420" i="2" l="1"/>
  <c r="L419" i="2"/>
  <c r="J419" i="2"/>
  <c r="I419" i="2"/>
  <c r="H419" i="2"/>
  <c r="G419" i="2"/>
  <c r="F419" i="2"/>
  <c r="E419" i="2"/>
  <c r="D419" i="2"/>
  <c r="C419" i="2"/>
  <c r="B418" i="2"/>
  <c r="A420" i="2"/>
  <c r="K421" i="2" a="1"/>
  <c r="L420" i="2" a="1"/>
  <c r="J420" i="2" a="1"/>
  <c r="I420" i="2" a="1"/>
  <c r="H420" i="2" a="1"/>
  <c r="G420" i="2" a="1"/>
  <c r="F420" i="2" a="1"/>
  <c r="E420" i="2" a="1"/>
  <c r="D420" i="2" a="1"/>
  <c r="C420" i="2" a="1"/>
  <c r="B419" i="2" a="1"/>
  <c r="K421" i="2" l="1"/>
  <c r="L420" i="2"/>
  <c r="J420" i="2"/>
  <c r="I420" i="2"/>
  <c r="H420" i="2"/>
  <c r="G420" i="2"/>
  <c r="F420" i="2"/>
  <c r="E420" i="2"/>
  <c r="D420" i="2"/>
  <c r="C420" i="2"/>
  <c r="B419" i="2"/>
  <c r="A421" i="2"/>
  <c r="K422" i="2" a="1"/>
  <c r="L421" i="2" a="1"/>
  <c r="J421" i="2" a="1"/>
  <c r="I421" i="2" a="1"/>
  <c r="H421" i="2" a="1"/>
  <c r="G421" i="2" a="1"/>
  <c r="F421" i="2" a="1"/>
  <c r="E421" i="2" a="1"/>
  <c r="D421" i="2" a="1"/>
  <c r="C421" i="2" a="1"/>
  <c r="B420" i="2" a="1"/>
  <c r="K422" i="2" l="1"/>
  <c r="L421" i="2"/>
  <c r="J421" i="2"/>
  <c r="I421" i="2"/>
  <c r="H421" i="2"/>
  <c r="G421" i="2"/>
  <c r="F421" i="2"/>
  <c r="E421" i="2"/>
  <c r="D421" i="2"/>
  <c r="C421" i="2"/>
  <c r="B420" i="2"/>
  <c r="A422" i="2"/>
  <c r="K423" i="2" a="1"/>
  <c r="L422" i="2" a="1"/>
  <c r="J422" i="2" a="1"/>
  <c r="I422" i="2" a="1"/>
  <c r="H422" i="2" a="1"/>
  <c r="G422" i="2" a="1"/>
  <c r="F422" i="2" a="1"/>
  <c r="E422" i="2" a="1"/>
  <c r="D422" i="2" a="1"/>
  <c r="C422" i="2" a="1"/>
  <c r="B421" i="2" a="1"/>
  <c r="K423" i="2" l="1"/>
  <c r="L422" i="2"/>
  <c r="J422" i="2"/>
  <c r="I422" i="2"/>
  <c r="H422" i="2"/>
  <c r="G422" i="2"/>
  <c r="F422" i="2"/>
  <c r="E422" i="2"/>
  <c r="D422" i="2"/>
  <c r="C422" i="2"/>
  <c r="B421" i="2"/>
  <c r="A423" i="2"/>
  <c r="K424" i="2" a="1"/>
  <c r="L423" i="2" a="1"/>
  <c r="J423" i="2" a="1"/>
  <c r="I423" i="2" a="1"/>
  <c r="H423" i="2" a="1"/>
  <c r="G423" i="2" a="1"/>
  <c r="F423" i="2" a="1"/>
  <c r="E423" i="2" a="1"/>
  <c r="D423" i="2" a="1"/>
  <c r="C423" i="2" a="1"/>
  <c r="B422" i="2" a="1"/>
  <c r="K424" i="2" l="1"/>
  <c r="L423" i="2"/>
  <c r="J423" i="2"/>
  <c r="I423" i="2"/>
  <c r="H423" i="2"/>
  <c r="G423" i="2"/>
  <c r="F423" i="2"/>
  <c r="E423" i="2"/>
  <c r="D423" i="2"/>
  <c r="C423" i="2"/>
  <c r="B422" i="2"/>
  <c r="A424" i="2"/>
  <c r="K425" i="2" a="1"/>
  <c r="L424" i="2" a="1"/>
  <c r="J424" i="2" a="1"/>
  <c r="I424" i="2" a="1"/>
  <c r="H424" i="2" a="1"/>
  <c r="G424" i="2" a="1"/>
  <c r="F424" i="2" a="1"/>
  <c r="E424" i="2" a="1"/>
  <c r="D424" i="2" a="1"/>
  <c r="C424" i="2" a="1"/>
  <c r="B423" i="2" a="1"/>
  <c r="K425" i="2" l="1"/>
  <c r="L424" i="2"/>
  <c r="J424" i="2"/>
  <c r="I424" i="2"/>
  <c r="H424" i="2"/>
  <c r="G424" i="2"/>
  <c r="F424" i="2"/>
  <c r="E424" i="2"/>
  <c r="D424" i="2"/>
  <c r="C424" i="2"/>
  <c r="B423" i="2"/>
  <c r="A425" i="2"/>
  <c r="K426" i="2" a="1"/>
  <c r="L425" i="2" a="1"/>
  <c r="J425" i="2" a="1"/>
  <c r="I425" i="2" a="1"/>
  <c r="H425" i="2" a="1"/>
  <c r="G425" i="2" a="1"/>
  <c r="F425" i="2" a="1"/>
  <c r="E425" i="2" a="1"/>
  <c r="D425" i="2" a="1"/>
  <c r="C425" i="2" a="1"/>
  <c r="B424" i="2" a="1"/>
  <c r="K426" i="2" l="1"/>
  <c r="L425" i="2"/>
  <c r="J425" i="2"/>
  <c r="I425" i="2"/>
  <c r="H425" i="2"/>
  <c r="G425" i="2"/>
  <c r="F425" i="2"/>
  <c r="E425" i="2"/>
  <c r="D425" i="2"/>
  <c r="C425" i="2"/>
  <c r="B424" i="2"/>
  <c r="A426" i="2"/>
  <c r="K427" i="2" a="1"/>
  <c r="L426" i="2" a="1"/>
  <c r="J426" i="2" a="1"/>
  <c r="I426" i="2" a="1"/>
  <c r="H426" i="2" a="1"/>
  <c r="G426" i="2" a="1"/>
  <c r="F426" i="2" a="1"/>
  <c r="E426" i="2" a="1"/>
  <c r="D426" i="2" a="1"/>
  <c r="C426" i="2" a="1"/>
  <c r="B425" i="2" a="1"/>
  <c r="K427" i="2" l="1"/>
  <c r="L426" i="2"/>
  <c r="J426" i="2"/>
  <c r="I426" i="2"/>
  <c r="H426" i="2"/>
  <c r="G426" i="2"/>
  <c r="F426" i="2"/>
  <c r="E426" i="2"/>
  <c r="D426" i="2"/>
  <c r="C426" i="2"/>
  <c r="B425" i="2"/>
  <c r="A427" i="2"/>
  <c r="K428" i="2" a="1"/>
  <c r="L427" i="2" a="1"/>
  <c r="J427" i="2" a="1"/>
  <c r="I427" i="2" a="1"/>
  <c r="H427" i="2" a="1"/>
  <c r="G427" i="2" a="1"/>
  <c r="F427" i="2" a="1"/>
  <c r="E427" i="2" a="1"/>
  <c r="D427" i="2" a="1"/>
  <c r="C427" i="2" a="1"/>
  <c r="B426" i="2" a="1"/>
  <c r="K428" i="2" l="1"/>
  <c r="L427" i="2"/>
  <c r="J427" i="2"/>
  <c r="I427" i="2"/>
  <c r="H427" i="2"/>
  <c r="G427" i="2"/>
  <c r="F427" i="2"/>
  <c r="E427" i="2"/>
  <c r="D427" i="2"/>
  <c r="C427" i="2"/>
  <c r="B426" i="2"/>
  <c r="A428" i="2"/>
  <c r="K429" i="2" a="1"/>
  <c r="L428" i="2" a="1"/>
  <c r="J428" i="2" a="1"/>
  <c r="I428" i="2" a="1"/>
  <c r="H428" i="2" a="1"/>
  <c r="G428" i="2" a="1"/>
  <c r="F428" i="2" a="1"/>
  <c r="E428" i="2" a="1"/>
  <c r="D428" i="2" a="1"/>
  <c r="C428" i="2" a="1"/>
  <c r="B427" i="2" a="1"/>
  <c r="K429" i="2" l="1"/>
  <c r="L428" i="2"/>
  <c r="J428" i="2"/>
  <c r="I428" i="2"/>
  <c r="H428" i="2"/>
  <c r="G428" i="2"/>
  <c r="F428" i="2"/>
  <c r="E428" i="2"/>
  <c r="D428" i="2"/>
  <c r="C428" i="2"/>
  <c r="B427" i="2"/>
  <c r="A429" i="2"/>
  <c r="K430" i="2" a="1"/>
  <c r="L429" i="2" a="1"/>
  <c r="J429" i="2" a="1"/>
  <c r="I429" i="2" a="1"/>
  <c r="H429" i="2" a="1"/>
  <c r="G429" i="2" a="1"/>
  <c r="F429" i="2" a="1"/>
  <c r="E429" i="2" a="1"/>
  <c r="D429" i="2" a="1"/>
  <c r="C429" i="2" a="1"/>
  <c r="B428" i="2" a="1"/>
  <c r="K430" i="2" l="1"/>
  <c r="L429" i="2"/>
  <c r="J429" i="2"/>
  <c r="I429" i="2"/>
  <c r="H429" i="2"/>
  <c r="G429" i="2"/>
  <c r="F429" i="2"/>
  <c r="E429" i="2"/>
  <c r="D429" i="2"/>
  <c r="C429" i="2"/>
  <c r="B428" i="2"/>
  <c r="A430" i="2"/>
  <c r="K431" i="2" a="1"/>
  <c r="L430" i="2" a="1"/>
  <c r="J430" i="2" a="1"/>
  <c r="I430" i="2" a="1"/>
  <c r="H430" i="2" a="1"/>
  <c r="G430" i="2" a="1"/>
  <c r="F430" i="2" a="1"/>
  <c r="E430" i="2" a="1"/>
  <c r="D430" i="2" a="1"/>
  <c r="C430" i="2" a="1"/>
  <c r="B429" i="2" a="1"/>
  <c r="K431" i="2" l="1"/>
  <c r="L430" i="2"/>
  <c r="J430" i="2"/>
  <c r="I430" i="2"/>
  <c r="H430" i="2"/>
  <c r="G430" i="2"/>
  <c r="F430" i="2"/>
  <c r="E430" i="2"/>
  <c r="D430" i="2"/>
  <c r="C430" i="2"/>
  <c r="B429" i="2"/>
  <c r="A431" i="2"/>
  <c r="K432" i="2" a="1"/>
  <c r="L431" i="2" a="1"/>
  <c r="J431" i="2" a="1"/>
  <c r="I431" i="2" a="1"/>
  <c r="H431" i="2" a="1"/>
  <c r="G431" i="2" a="1"/>
  <c r="F431" i="2" a="1"/>
  <c r="E431" i="2" a="1"/>
  <c r="D431" i="2" a="1"/>
  <c r="C431" i="2" a="1"/>
  <c r="B430" i="2" a="1"/>
  <c r="K432" i="2" l="1"/>
  <c r="L431" i="2"/>
  <c r="J431" i="2"/>
  <c r="I431" i="2"/>
  <c r="H431" i="2"/>
  <c r="G431" i="2"/>
  <c r="F431" i="2"/>
  <c r="E431" i="2"/>
  <c r="D431" i="2"/>
  <c r="C431" i="2"/>
  <c r="B430" i="2"/>
  <c r="A432" i="2"/>
  <c r="K433" i="2" a="1"/>
  <c r="L432" i="2" a="1"/>
  <c r="J432" i="2" a="1"/>
  <c r="I432" i="2" a="1"/>
  <c r="H432" i="2" a="1"/>
  <c r="G432" i="2" a="1"/>
  <c r="F432" i="2" a="1"/>
  <c r="E432" i="2" a="1"/>
  <c r="D432" i="2" a="1"/>
  <c r="C432" i="2" a="1"/>
  <c r="B431" i="2" a="1"/>
  <c r="K433" i="2" l="1"/>
  <c r="L432" i="2"/>
  <c r="J432" i="2"/>
  <c r="I432" i="2"/>
  <c r="H432" i="2"/>
  <c r="G432" i="2"/>
  <c r="F432" i="2"/>
  <c r="E432" i="2"/>
  <c r="D432" i="2"/>
  <c r="C432" i="2"/>
  <c r="B431" i="2"/>
  <c r="A433" i="2"/>
  <c r="K434" i="2" a="1"/>
  <c r="L433" i="2" a="1"/>
  <c r="J433" i="2" a="1"/>
  <c r="I433" i="2" a="1"/>
  <c r="H433" i="2" a="1"/>
  <c r="G433" i="2" a="1"/>
  <c r="F433" i="2" a="1"/>
  <c r="E433" i="2" a="1"/>
  <c r="D433" i="2" a="1"/>
  <c r="C433" i="2" a="1"/>
  <c r="B432" i="2" a="1"/>
  <c r="K434" i="2" l="1"/>
  <c r="L433" i="2"/>
  <c r="J433" i="2"/>
  <c r="I433" i="2"/>
  <c r="H433" i="2"/>
  <c r="G433" i="2"/>
  <c r="F433" i="2"/>
  <c r="E433" i="2"/>
  <c r="D433" i="2"/>
  <c r="C433" i="2"/>
  <c r="B432" i="2"/>
  <c r="A434" i="2"/>
  <c r="K435" i="2" a="1"/>
  <c r="L434" i="2" a="1"/>
  <c r="J434" i="2" a="1"/>
  <c r="I434" i="2" a="1"/>
  <c r="H434" i="2" a="1"/>
  <c r="G434" i="2" a="1"/>
  <c r="F434" i="2" a="1"/>
  <c r="E434" i="2" a="1"/>
  <c r="D434" i="2" a="1"/>
  <c r="C434" i="2" a="1"/>
  <c r="B433" i="2" a="1"/>
  <c r="K435" i="2" l="1"/>
  <c r="L434" i="2"/>
  <c r="J434" i="2"/>
  <c r="I434" i="2"/>
  <c r="H434" i="2"/>
  <c r="G434" i="2"/>
  <c r="F434" i="2"/>
  <c r="E434" i="2"/>
  <c r="D434" i="2"/>
  <c r="C434" i="2"/>
  <c r="B433" i="2"/>
  <c r="A435" i="2"/>
  <c r="K436" i="2" a="1"/>
  <c r="L435" i="2" a="1"/>
  <c r="J435" i="2" a="1"/>
  <c r="I435" i="2" a="1"/>
  <c r="H435" i="2" a="1"/>
  <c r="G435" i="2" a="1"/>
  <c r="F435" i="2" a="1"/>
  <c r="E435" i="2" a="1"/>
  <c r="D435" i="2" a="1"/>
  <c r="C435" i="2" a="1"/>
  <c r="B434" i="2" a="1"/>
  <c r="K436" i="2" l="1"/>
  <c r="L435" i="2"/>
  <c r="J435" i="2"/>
  <c r="I435" i="2"/>
  <c r="H435" i="2"/>
  <c r="G435" i="2"/>
  <c r="F435" i="2"/>
  <c r="E435" i="2"/>
  <c r="D435" i="2"/>
  <c r="C435" i="2"/>
  <c r="B434" i="2"/>
  <c r="A436" i="2"/>
  <c r="K437" i="2" a="1"/>
  <c r="L436" i="2" a="1"/>
  <c r="J436" i="2" a="1"/>
  <c r="I436" i="2" a="1"/>
  <c r="H436" i="2" a="1"/>
  <c r="G436" i="2" a="1"/>
  <c r="F436" i="2" a="1"/>
  <c r="E436" i="2" a="1"/>
  <c r="D436" i="2" a="1"/>
  <c r="C436" i="2" a="1"/>
  <c r="B435" i="2" a="1"/>
  <c r="K437" i="2" l="1"/>
  <c r="L436" i="2"/>
  <c r="J436" i="2"/>
  <c r="I436" i="2"/>
  <c r="H436" i="2"/>
  <c r="G436" i="2"/>
  <c r="F436" i="2"/>
  <c r="E436" i="2"/>
  <c r="D436" i="2"/>
  <c r="C436" i="2"/>
  <c r="B435" i="2"/>
  <c r="A437" i="2"/>
  <c r="K438" i="2" a="1"/>
  <c r="L437" i="2" a="1"/>
  <c r="J437" i="2" a="1"/>
  <c r="I437" i="2" a="1"/>
  <c r="H437" i="2" a="1"/>
  <c r="G437" i="2" a="1"/>
  <c r="F437" i="2" a="1"/>
  <c r="E437" i="2" a="1"/>
  <c r="D437" i="2" a="1"/>
  <c r="C437" i="2" a="1"/>
  <c r="B436" i="2" a="1"/>
  <c r="K438" i="2" l="1"/>
  <c r="L437" i="2"/>
  <c r="J437" i="2"/>
  <c r="I437" i="2"/>
  <c r="H437" i="2"/>
  <c r="G437" i="2"/>
  <c r="F437" i="2"/>
  <c r="E437" i="2"/>
  <c r="D437" i="2"/>
  <c r="C437" i="2"/>
  <c r="B436" i="2"/>
  <c r="A438" i="2"/>
  <c r="K439" i="2" a="1"/>
  <c r="L438" i="2" a="1"/>
  <c r="J438" i="2" a="1"/>
  <c r="I438" i="2" a="1"/>
  <c r="H438" i="2" a="1"/>
  <c r="G438" i="2" a="1"/>
  <c r="F438" i="2" a="1"/>
  <c r="E438" i="2" a="1"/>
  <c r="D438" i="2" a="1"/>
  <c r="C438" i="2" a="1"/>
  <c r="B437" i="2" a="1"/>
  <c r="K439" i="2" l="1"/>
  <c r="L438" i="2"/>
  <c r="J438" i="2"/>
  <c r="I438" i="2"/>
  <c r="H438" i="2"/>
  <c r="G438" i="2"/>
  <c r="F438" i="2"/>
  <c r="E438" i="2"/>
  <c r="D438" i="2"/>
  <c r="C438" i="2"/>
  <c r="B437" i="2"/>
  <c r="A439" i="2"/>
  <c r="K440" i="2" a="1"/>
  <c r="L439" i="2" a="1"/>
  <c r="J439" i="2" a="1"/>
  <c r="I439" i="2" a="1"/>
  <c r="H439" i="2" a="1"/>
  <c r="G439" i="2" a="1"/>
  <c r="F439" i="2" a="1"/>
  <c r="E439" i="2" a="1"/>
  <c r="D439" i="2" a="1"/>
  <c r="C439" i="2" a="1"/>
  <c r="B438" i="2" a="1"/>
  <c r="K440" i="2" l="1"/>
  <c r="L439" i="2"/>
  <c r="J439" i="2"/>
  <c r="I439" i="2"/>
  <c r="H439" i="2"/>
  <c r="G439" i="2"/>
  <c r="F439" i="2"/>
  <c r="E439" i="2"/>
  <c r="D439" i="2"/>
  <c r="C439" i="2"/>
  <c r="B438" i="2"/>
  <c r="A440" i="2"/>
  <c r="K441" i="2" a="1"/>
  <c r="L440" i="2" a="1"/>
  <c r="J440" i="2" a="1"/>
  <c r="I440" i="2" a="1"/>
  <c r="H440" i="2" a="1"/>
  <c r="G440" i="2" a="1"/>
  <c r="F440" i="2" a="1"/>
  <c r="E440" i="2" a="1"/>
  <c r="D440" i="2" a="1"/>
  <c r="C440" i="2" a="1"/>
  <c r="B439" i="2" a="1"/>
  <c r="K441" i="2" l="1"/>
  <c r="L440" i="2"/>
  <c r="J440" i="2"/>
  <c r="I440" i="2"/>
  <c r="H440" i="2"/>
  <c r="G440" i="2"/>
  <c r="F440" i="2"/>
  <c r="E440" i="2"/>
  <c r="D440" i="2"/>
  <c r="C440" i="2"/>
  <c r="B439" i="2"/>
  <c r="A441" i="2"/>
  <c r="K442" i="2" a="1"/>
  <c r="L441" i="2" a="1"/>
  <c r="J441" i="2" a="1"/>
  <c r="I441" i="2" a="1"/>
  <c r="H441" i="2" a="1"/>
  <c r="G441" i="2" a="1"/>
  <c r="F441" i="2" a="1"/>
  <c r="E441" i="2" a="1"/>
  <c r="D441" i="2" a="1"/>
  <c r="C441" i="2" a="1"/>
  <c r="B440" i="2" a="1"/>
  <c r="K442" i="2" l="1"/>
  <c r="L441" i="2"/>
  <c r="J441" i="2"/>
  <c r="I441" i="2"/>
  <c r="H441" i="2"/>
  <c r="G441" i="2"/>
  <c r="F441" i="2"/>
  <c r="E441" i="2"/>
  <c r="D441" i="2"/>
  <c r="C441" i="2"/>
  <c r="B440" i="2"/>
  <c r="A442" i="2"/>
  <c r="K443" i="2" a="1"/>
  <c r="L442" i="2" a="1"/>
  <c r="J442" i="2" a="1"/>
  <c r="I442" i="2" a="1"/>
  <c r="H442" i="2" a="1"/>
  <c r="G442" i="2" a="1"/>
  <c r="F442" i="2" a="1"/>
  <c r="E442" i="2" a="1"/>
  <c r="D442" i="2" a="1"/>
  <c r="C442" i="2" a="1"/>
  <c r="B441" i="2" a="1"/>
  <c r="K443" i="2" l="1"/>
  <c r="L442" i="2"/>
  <c r="J442" i="2"/>
  <c r="I442" i="2"/>
  <c r="H442" i="2"/>
  <c r="G442" i="2"/>
  <c r="F442" i="2"/>
  <c r="E442" i="2"/>
  <c r="D442" i="2"/>
  <c r="C442" i="2"/>
  <c r="B441" i="2"/>
  <c r="A443" i="2"/>
  <c r="K444" i="2" a="1"/>
  <c r="L443" i="2" a="1"/>
  <c r="J443" i="2" a="1"/>
  <c r="I443" i="2" a="1"/>
  <c r="H443" i="2" a="1"/>
  <c r="G443" i="2" a="1"/>
  <c r="F443" i="2" a="1"/>
  <c r="E443" i="2" a="1"/>
  <c r="D443" i="2" a="1"/>
  <c r="C443" i="2" a="1"/>
  <c r="B442" i="2" a="1"/>
  <c r="K444" i="2" l="1"/>
  <c r="L443" i="2"/>
  <c r="J443" i="2"/>
  <c r="I443" i="2"/>
  <c r="H443" i="2"/>
  <c r="G443" i="2"/>
  <c r="F443" i="2"/>
  <c r="E443" i="2"/>
  <c r="D443" i="2"/>
  <c r="C443" i="2"/>
  <c r="B442" i="2"/>
  <c r="A444" i="2"/>
  <c r="K445" i="2" a="1"/>
  <c r="L444" i="2" a="1"/>
  <c r="J444" i="2" a="1"/>
  <c r="I444" i="2" a="1"/>
  <c r="H444" i="2" a="1"/>
  <c r="G444" i="2" a="1"/>
  <c r="F444" i="2" a="1"/>
  <c r="E444" i="2" a="1"/>
  <c r="D444" i="2" a="1"/>
  <c r="C444" i="2" a="1"/>
  <c r="B443" i="2" a="1"/>
  <c r="K445" i="2" l="1"/>
  <c r="L444" i="2"/>
  <c r="J444" i="2"/>
  <c r="I444" i="2"/>
  <c r="H444" i="2"/>
  <c r="G444" i="2"/>
  <c r="F444" i="2"/>
  <c r="E444" i="2"/>
  <c r="D444" i="2"/>
  <c r="C444" i="2"/>
  <c r="B443" i="2"/>
  <c r="A445" i="2"/>
  <c r="K446" i="2" a="1"/>
  <c r="L445" i="2" a="1"/>
  <c r="J445" i="2" a="1"/>
  <c r="I445" i="2" a="1"/>
  <c r="H445" i="2" a="1"/>
  <c r="G445" i="2" a="1"/>
  <c r="F445" i="2" a="1"/>
  <c r="E445" i="2" a="1"/>
  <c r="D445" i="2" a="1"/>
  <c r="C445" i="2" a="1"/>
  <c r="B444" i="2" a="1"/>
  <c r="K446" i="2" l="1"/>
  <c r="L445" i="2"/>
  <c r="J445" i="2"/>
  <c r="I445" i="2"/>
  <c r="H445" i="2"/>
  <c r="G445" i="2"/>
  <c r="F445" i="2"/>
  <c r="E445" i="2"/>
  <c r="D445" i="2"/>
  <c r="C445" i="2"/>
  <c r="B444" i="2"/>
  <c r="A446" i="2"/>
  <c r="K447" i="2" a="1"/>
  <c r="L446" i="2" a="1"/>
  <c r="J446" i="2" a="1"/>
  <c r="I446" i="2" a="1"/>
  <c r="H446" i="2" a="1"/>
  <c r="G446" i="2" a="1"/>
  <c r="F446" i="2" a="1"/>
  <c r="E446" i="2" a="1"/>
  <c r="D446" i="2" a="1"/>
  <c r="C446" i="2" a="1"/>
  <c r="B445" i="2" a="1"/>
  <c r="K447" i="2" l="1"/>
  <c r="L446" i="2"/>
  <c r="J446" i="2"/>
  <c r="I446" i="2"/>
  <c r="H446" i="2"/>
  <c r="G446" i="2"/>
  <c r="F446" i="2"/>
  <c r="E446" i="2"/>
  <c r="D446" i="2"/>
  <c r="C446" i="2"/>
  <c r="B445" i="2"/>
  <c r="A447" i="2"/>
  <c r="K448" i="2" a="1"/>
  <c r="L447" i="2" a="1"/>
  <c r="J447" i="2" a="1"/>
  <c r="I447" i="2" a="1"/>
  <c r="H447" i="2" a="1"/>
  <c r="G447" i="2" a="1"/>
  <c r="F447" i="2" a="1"/>
  <c r="E447" i="2" a="1"/>
  <c r="D447" i="2" a="1"/>
  <c r="C447" i="2" a="1"/>
  <c r="B446" i="2" a="1"/>
  <c r="K448" i="2" l="1"/>
  <c r="L447" i="2"/>
  <c r="J447" i="2"/>
  <c r="I447" i="2"/>
  <c r="H447" i="2"/>
  <c r="G447" i="2"/>
  <c r="F447" i="2"/>
  <c r="E447" i="2"/>
  <c r="D447" i="2"/>
  <c r="C447" i="2"/>
  <c r="B446" i="2"/>
  <c r="A448" i="2"/>
  <c r="K449" i="2" a="1"/>
  <c r="L448" i="2" a="1"/>
  <c r="J448" i="2" a="1"/>
  <c r="I448" i="2" a="1"/>
  <c r="H448" i="2" a="1"/>
  <c r="G448" i="2" a="1"/>
  <c r="F448" i="2" a="1"/>
  <c r="E448" i="2" a="1"/>
  <c r="D448" i="2" a="1"/>
  <c r="C448" i="2" a="1"/>
  <c r="B447" i="2" a="1"/>
  <c r="K449" i="2" l="1"/>
  <c r="L448" i="2"/>
  <c r="J448" i="2"/>
  <c r="I448" i="2"/>
  <c r="H448" i="2"/>
  <c r="G448" i="2"/>
  <c r="F448" i="2"/>
  <c r="E448" i="2"/>
  <c r="D448" i="2"/>
  <c r="C448" i="2"/>
  <c r="B447" i="2"/>
  <c r="A449" i="2"/>
  <c r="K450" i="2" a="1"/>
  <c r="L449" i="2" a="1"/>
  <c r="J449" i="2" a="1"/>
  <c r="I449" i="2" a="1"/>
  <c r="H449" i="2" a="1"/>
  <c r="G449" i="2" a="1"/>
  <c r="F449" i="2" a="1"/>
  <c r="E449" i="2" a="1"/>
  <c r="D449" i="2" a="1"/>
  <c r="C449" i="2" a="1"/>
  <c r="B448" i="2" a="1"/>
  <c r="K450" i="2" l="1"/>
  <c r="L449" i="2"/>
  <c r="J449" i="2"/>
  <c r="I449" i="2"/>
  <c r="H449" i="2"/>
  <c r="G449" i="2"/>
  <c r="F449" i="2"/>
  <c r="E449" i="2"/>
  <c r="D449" i="2"/>
  <c r="C449" i="2"/>
  <c r="B448" i="2"/>
  <c r="A450" i="2"/>
  <c r="K451" i="2" a="1"/>
  <c r="L450" i="2" a="1"/>
  <c r="J450" i="2" a="1"/>
  <c r="I450" i="2" a="1"/>
  <c r="H450" i="2" a="1"/>
  <c r="G450" i="2" a="1"/>
  <c r="F450" i="2" a="1"/>
  <c r="E450" i="2" a="1"/>
  <c r="D450" i="2" a="1"/>
  <c r="C450" i="2" a="1"/>
  <c r="B449" i="2" a="1"/>
  <c r="K451" i="2" l="1"/>
  <c r="L450" i="2"/>
  <c r="J450" i="2"/>
  <c r="I450" i="2"/>
  <c r="H450" i="2"/>
  <c r="G450" i="2"/>
  <c r="F450" i="2"/>
  <c r="E450" i="2"/>
  <c r="D450" i="2"/>
  <c r="C450" i="2"/>
  <c r="B449" i="2"/>
  <c r="A451" i="2"/>
  <c r="K452" i="2" a="1"/>
  <c r="L451" i="2" a="1"/>
  <c r="J451" i="2" a="1"/>
  <c r="I451" i="2" a="1"/>
  <c r="H451" i="2" a="1"/>
  <c r="G451" i="2" a="1"/>
  <c r="F451" i="2" a="1"/>
  <c r="E451" i="2" a="1"/>
  <c r="D451" i="2" a="1"/>
  <c r="C451" i="2" a="1"/>
  <c r="B450" i="2" a="1"/>
  <c r="K452" i="2" l="1"/>
  <c r="L451" i="2"/>
  <c r="J451" i="2"/>
  <c r="I451" i="2"/>
  <c r="H451" i="2"/>
  <c r="G451" i="2"/>
  <c r="F451" i="2"/>
  <c r="E451" i="2"/>
  <c r="D451" i="2"/>
  <c r="C451" i="2"/>
  <c r="B450" i="2"/>
  <c r="A452" i="2"/>
  <c r="K453" i="2" a="1"/>
  <c r="L452" i="2" a="1"/>
  <c r="J452" i="2" a="1"/>
  <c r="I452" i="2" a="1"/>
  <c r="H452" i="2" a="1"/>
  <c r="G452" i="2" a="1"/>
  <c r="F452" i="2" a="1"/>
  <c r="E452" i="2" a="1"/>
  <c r="D452" i="2" a="1"/>
  <c r="C452" i="2" a="1"/>
  <c r="B451" i="2" a="1"/>
  <c r="K453" i="2" l="1"/>
  <c r="L452" i="2"/>
  <c r="J452" i="2"/>
  <c r="I452" i="2"/>
  <c r="H452" i="2"/>
  <c r="G452" i="2"/>
  <c r="F452" i="2"/>
  <c r="E452" i="2"/>
  <c r="D452" i="2"/>
  <c r="C452" i="2"/>
  <c r="B451" i="2"/>
  <c r="A453" i="2"/>
  <c r="K454" i="2" a="1"/>
  <c r="L453" i="2" a="1"/>
  <c r="J453" i="2" a="1"/>
  <c r="I453" i="2" a="1"/>
  <c r="H453" i="2" a="1"/>
  <c r="G453" i="2" a="1"/>
  <c r="F453" i="2" a="1"/>
  <c r="E453" i="2" a="1"/>
  <c r="D453" i="2" a="1"/>
  <c r="C453" i="2" a="1"/>
  <c r="B452" i="2" a="1"/>
  <c r="K454" i="2" l="1"/>
  <c r="L453" i="2"/>
  <c r="J453" i="2"/>
  <c r="I453" i="2"/>
  <c r="H453" i="2"/>
  <c r="G453" i="2"/>
  <c r="F453" i="2"/>
  <c r="E453" i="2"/>
  <c r="D453" i="2"/>
  <c r="C453" i="2"/>
  <c r="B452" i="2"/>
  <c r="A454" i="2"/>
  <c r="K455" i="2" a="1"/>
  <c r="L454" i="2" a="1"/>
  <c r="J454" i="2" a="1"/>
  <c r="I454" i="2" a="1"/>
  <c r="H454" i="2" a="1"/>
  <c r="G454" i="2" a="1"/>
  <c r="F454" i="2" a="1"/>
  <c r="E454" i="2" a="1"/>
  <c r="D454" i="2" a="1"/>
  <c r="C454" i="2" a="1"/>
  <c r="B453" i="2" a="1"/>
  <c r="K455" i="2" l="1"/>
  <c r="L454" i="2"/>
  <c r="J454" i="2"/>
  <c r="I454" i="2"/>
  <c r="H454" i="2"/>
  <c r="G454" i="2"/>
  <c r="F454" i="2"/>
  <c r="E454" i="2"/>
  <c r="D454" i="2"/>
  <c r="C454" i="2"/>
  <c r="B453" i="2"/>
  <c r="A455" i="2"/>
  <c r="K456" i="2" a="1"/>
  <c r="L455" i="2" a="1"/>
  <c r="J455" i="2" a="1"/>
  <c r="I455" i="2" a="1"/>
  <c r="H455" i="2" a="1"/>
  <c r="G455" i="2" a="1"/>
  <c r="F455" i="2" a="1"/>
  <c r="E455" i="2" a="1"/>
  <c r="D455" i="2" a="1"/>
  <c r="C455" i="2" a="1"/>
  <c r="B454" i="2" a="1"/>
  <c r="K456" i="2" l="1"/>
  <c r="L455" i="2"/>
  <c r="J455" i="2"/>
  <c r="I455" i="2"/>
  <c r="H455" i="2"/>
  <c r="G455" i="2"/>
  <c r="F455" i="2"/>
  <c r="E455" i="2"/>
  <c r="D455" i="2"/>
  <c r="C455" i="2"/>
  <c r="B454" i="2"/>
  <c r="A456" i="2"/>
  <c r="K457" i="2" a="1"/>
  <c r="L456" i="2" a="1"/>
  <c r="J456" i="2" a="1"/>
  <c r="I456" i="2" a="1"/>
  <c r="H456" i="2" a="1"/>
  <c r="G456" i="2" a="1"/>
  <c r="F456" i="2" a="1"/>
  <c r="E456" i="2" a="1"/>
  <c r="D456" i="2" a="1"/>
  <c r="C456" i="2" a="1"/>
  <c r="B455" i="2" a="1"/>
  <c r="K457" i="2" l="1"/>
  <c r="L456" i="2"/>
  <c r="J456" i="2"/>
  <c r="I456" i="2"/>
  <c r="H456" i="2"/>
  <c r="G456" i="2"/>
  <c r="F456" i="2"/>
  <c r="E456" i="2"/>
  <c r="D456" i="2"/>
  <c r="C456" i="2"/>
  <c r="B455" i="2"/>
  <c r="A457" i="2"/>
  <c r="K458" i="2" a="1"/>
  <c r="L457" i="2" a="1"/>
  <c r="J457" i="2" a="1"/>
  <c r="I457" i="2" a="1"/>
  <c r="H457" i="2" a="1"/>
  <c r="G457" i="2" a="1"/>
  <c r="F457" i="2" a="1"/>
  <c r="E457" i="2" a="1"/>
  <c r="D457" i="2" a="1"/>
  <c r="C457" i="2" a="1"/>
  <c r="B456" i="2" a="1"/>
  <c r="K458" i="2" l="1"/>
  <c r="L457" i="2"/>
  <c r="J457" i="2"/>
  <c r="I457" i="2"/>
  <c r="H457" i="2"/>
  <c r="G457" i="2"/>
  <c r="F457" i="2"/>
  <c r="E457" i="2"/>
  <c r="D457" i="2"/>
  <c r="C457" i="2"/>
  <c r="B456" i="2"/>
  <c r="A458" i="2"/>
  <c r="K459" i="2" a="1"/>
  <c r="L458" i="2" a="1"/>
  <c r="J458" i="2" a="1"/>
  <c r="I458" i="2" a="1"/>
  <c r="H458" i="2" a="1"/>
  <c r="G458" i="2" a="1"/>
  <c r="F458" i="2" a="1"/>
  <c r="E458" i="2" a="1"/>
  <c r="D458" i="2" a="1"/>
  <c r="C458" i="2" a="1"/>
  <c r="B457" i="2" a="1"/>
  <c r="K459" i="2" l="1"/>
  <c r="L458" i="2"/>
  <c r="J458" i="2"/>
  <c r="I458" i="2"/>
  <c r="H458" i="2"/>
  <c r="G458" i="2"/>
  <c r="F458" i="2"/>
  <c r="E458" i="2"/>
  <c r="D458" i="2"/>
  <c r="C458" i="2"/>
  <c r="B457" i="2"/>
  <c r="A459" i="2"/>
  <c r="K460" i="2" a="1"/>
  <c r="L459" i="2" a="1"/>
  <c r="J459" i="2" a="1"/>
  <c r="I459" i="2" a="1"/>
  <c r="H459" i="2" a="1"/>
  <c r="G459" i="2" a="1"/>
  <c r="F459" i="2" a="1"/>
  <c r="E459" i="2" a="1"/>
  <c r="D459" i="2" a="1"/>
  <c r="C459" i="2" a="1"/>
  <c r="B458" i="2" a="1"/>
  <c r="K460" i="2" l="1"/>
  <c r="L459" i="2"/>
  <c r="J459" i="2"/>
  <c r="I459" i="2"/>
  <c r="H459" i="2"/>
  <c r="G459" i="2"/>
  <c r="F459" i="2"/>
  <c r="E459" i="2"/>
  <c r="D459" i="2"/>
  <c r="C459" i="2"/>
  <c r="B458" i="2"/>
  <c r="A460" i="2"/>
  <c r="K461" i="2" a="1"/>
  <c r="L460" i="2" a="1"/>
  <c r="J460" i="2" a="1"/>
  <c r="I460" i="2" a="1"/>
  <c r="H460" i="2" a="1"/>
  <c r="G460" i="2" a="1"/>
  <c r="F460" i="2" a="1"/>
  <c r="E460" i="2" a="1"/>
  <c r="D460" i="2" a="1"/>
  <c r="C460" i="2" a="1"/>
  <c r="B459" i="2" a="1"/>
  <c r="K461" i="2" l="1"/>
  <c r="L460" i="2"/>
  <c r="J460" i="2"/>
  <c r="I460" i="2"/>
  <c r="H460" i="2"/>
  <c r="G460" i="2"/>
  <c r="F460" i="2"/>
  <c r="E460" i="2"/>
  <c r="D460" i="2"/>
  <c r="C460" i="2"/>
  <c r="B459" i="2"/>
  <c r="A461" i="2"/>
  <c r="K462" i="2" a="1"/>
  <c r="L461" i="2" a="1"/>
  <c r="J461" i="2" a="1"/>
  <c r="I461" i="2" a="1"/>
  <c r="H461" i="2" a="1"/>
  <c r="G461" i="2" a="1"/>
  <c r="F461" i="2" a="1"/>
  <c r="E461" i="2" a="1"/>
  <c r="D461" i="2" a="1"/>
  <c r="C461" i="2" a="1"/>
  <c r="B460" i="2" a="1"/>
  <c r="K462" i="2" l="1"/>
  <c r="L461" i="2"/>
  <c r="J461" i="2"/>
  <c r="I461" i="2"/>
  <c r="H461" i="2"/>
  <c r="G461" i="2"/>
  <c r="F461" i="2"/>
  <c r="E461" i="2"/>
  <c r="D461" i="2"/>
  <c r="C461" i="2"/>
  <c r="B460" i="2"/>
  <c r="A462" i="2"/>
  <c r="K463" i="2" a="1"/>
  <c r="L462" i="2" a="1"/>
  <c r="J462" i="2" a="1"/>
  <c r="I462" i="2" a="1"/>
  <c r="H462" i="2" a="1"/>
  <c r="G462" i="2" a="1"/>
  <c r="F462" i="2" a="1"/>
  <c r="E462" i="2" a="1"/>
  <c r="D462" i="2" a="1"/>
  <c r="C462" i="2" a="1"/>
  <c r="B461" i="2" a="1"/>
  <c r="K463" i="2" l="1"/>
  <c r="L462" i="2"/>
  <c r="J462" i="2"/>
  <c r="I462" i="2"/>
  <c r="H462" i="2"/>
  <c r="G462" i="2"/>
  <c r="F462" i="2"/>
  <c r="E462" i="2"/>
  <c r="D462" i="2"/>
  <c r="C462" i="2"/>
  <c r="B461" i="2"/>
  <c r="A463" i="2"/>
  <c r="K464" i="2" a="1"/>
  <c r="L463" i="2" a="1"/>
  <c r="J463" i="2" a="1"/>
  <c r="I463" i="2" a="1"/>
  <c r="H463" i="2" a="1"/>
  <c r="G463" i="2" a="1"/>
  <c r="F463" i="2" a="1"/>
  <c r="E463" i="2" a="1"/>
  <c r="D463" i="2" a="1"/>
  <c r="C463" i="2" a="1"/>
  <c r="B462" i="2" a="1"/>
  <c r="K464" i="2" l="1"/>
  <c r="L463" i="2"/>
  <c r="J463" i="2"/>
  <c r="I463" i="2"/>
  <c r="H463" i="2"/>
  <c r="G463" i="2"/>
  <c r="F463" i="2"/>
  <c r="E463" i="2"/>
  <c r="D463" i="2"/>
  <c r="C463" i="2"/>
  <c r="B462" i="2"/>
  <c r="A464" i="2"/>
  <c r="K465" i="2" a="1"/>
  <c r="L464" i="2" a="1"/>
  <c r="J464" i="2" a="1"/>
  <c r="I464" i="2" a="1"/>
  <c r="H464" i="2" a="1"/>
  <c r="G464" i="2" a="1"/>
  <c r="F464" i="2" a="1"/>
  <c r="E464" i="2" a="1"/>
  <c r="D464" i="2" a="1"/>
  <c r="C464" i="2" a="1"/>
  <c r="B463" i="2" a="1"/>
  <c r="K465" i="2" l="1"/>
  <c r="L464" i="2"/>
  <c r="J464" i="2"/>
  <c r="I464" i="2"/>
  <c r="H464" i="2"/>
  <c r="G464" i="2"/>
  <c r="F464" i="2"/>
  <c r="E464" i="2"/>
  <c r="D464" i="2"/>
  <c r="C464" i="2"/>
  <c r="B463" i="2"/>
  <c r="A465" i="2"/>
  <c r="K466" i="2" a="1"/>
  <c r="L465" i="2" a="1"/>
  <c r="J465" i="2" a="1"/>
  <c r="I465" i="2" a="1"/>
  <c r="H465" i="2" a="1"/>
  <c r="G465" i="2" a="1"/>
  <c r="F465" i="2" a="1"/>
  <c r="E465" i="2" a="1"/>
  <c r="D465" i="2" a="1"/>
  <c r="C465" i="2" a="1"/>
  <c r="B464" i="2" a="1"/>
  <c r="K466" i="2" l="1"/>
  <c r="L465" i="2"/>
  <c r="J465" i="2"/>
  <c r="I465" i="2"/>
  <c r="H465" i="2"/>
  <c r="G465" i="2"/>
  <c r="F465" i="2"/>
  <c r="E465" i="2"/>
  <c r="D465" i="2"/>
  <c r="C465" i="2"/>
  <c r="B464" i="2"/>
  <c r="A466" i="2"/>
  <c r="K467" i="2" a="1"/>
  <c r="L466" i="2" a="1"/>
  <c r="J466" i="2" a="1"/>
  <c r="I466" i="2" a="1"/>
  <c r="H466" i="2" a="1"/>
  <c r="G466" i="2" a="1"/>
  <c r="F466" i="2" a="1"/>
  <c r="E466" i="2" a="1"/>
  <c r="D466" i="2" a="1"/>
  <c r="C466" i="2" a="1"/>
  <c r="B465" i="2" a="1"/>
  <c r="K467" i="2" l="1"/>
  <c r="L466" i="2"/>
  <c r="J466" i="2"/>
  <c r="I466" i="2"/>
  <c r="H466" i="2"/>
  <c r="G466" i="2"/>
  <c r="F466" i="2"/>
  <c r="E466" i="2"/>
  <c r="D466" i="2"/>
  <c r="C466" i="2"/>
  <c r="B465" i="2"/>
  <c r="A467" i="2"/>
  <c r="K468" i="2" a="1"/>
  <c r="L467" i="2" a="1"/>
  <c r="J467" i="2" a="1"/>
  <c r="I467" i="2" a="1"/>
  <c r="H467" i="2" a="1"/>
  <c r="G467" i="2" a="1"/>
  <c r="F467" i="2" a="1"/>
  <c r="E467" i="2" a="1"/>
  <c r="D467" i="2" a="1"/>
  <c r="C467" i="2" a="1"/>
  <c r="B466" i="2" a="1"/>
  <c r="K468" i="2" l="1"/>
  <c r="L467" i="2"/>
  <c r="J467" i="2"/>
  <c r="I467" i="2"/>
  <c r="H467" i="2"/>
  <c r="G467" i="2"/>
  <c r="F467" i="2"/>
  <c r="E467" i="2"/>
  <c r="D467" i="2"/>
  <c r="C467" i="2"/>
  <c r="B466" i="2"/>
  <c r="A468" i="2"/>
  <c r="K469" i="2" a="1"/>
  <c r="L468" i="2" a="1"/>
  <c r="J468" i="2" a="1"/>
  <c r="I468" i="2" a="1"/>
  <c r="H468" i="2" a="1"/>
  <c r="G468" i="2" a="1"/>
  <c r="F468" i="2" a="1"/>
  <c r="E468" i="2" a="1"/>
  <c r="D468" i="2" a="1"/>
  <c r="C468" i="2" a="1"/>
  <c r="B467" i="2" a="1"/>
  <c r="K469" i="2" l="1"/>
  <c r="L468" i="2"/>
  <c r="J468" i="2"/>
  <c r="I468" i="2"/>
  <c r="H468" i="2"/>
  <c r="G468" i="2"/>
  <c r="F468" i="2"/>
  <c r="E468" i="2"/>
  <c r="D468" i="2"/>
  <c r="C468" i="2"/>
  <c r="B467" i="2"/>
  <c r="A469" i="2"/>
  <c r="K470" i="2" a="1"/>
  <c r="L469" i="2" a="1"/>
  <c r="J469" i="2" a="1"/>
  <c r="I469" i="2" a="1"/>
  <c r="H469" i="2" a="1"/>
  <c r="G469" i="2" a="1"/>
  <c r="F469" i="2" a="1"/>
  <c r="E469" i="2" a="1"/>
  <c r="D469" i="2" a="1"/>
  <c r="C469" i="2" a="1"/>
  <c r="B468" i="2" a="1"/>
  <c r="K470" i="2" l="1"/>
  <c r="L469" i="2"/>
  <c r="J469" i="2"/>
  <c r="I469" i="2"/>
  <c r="H469" i="2"/>
  <c r="G469" i="2"/>
  <c r="F469" i="2"/>
  <c r="E469" i="2"/>
  <c r="D469" i="2"/>
  <c r="C469" i="2"/>
  <c r="B468" i="2"/>
  <c r="A470" i="2"/>
  <c r="K471" i="2" a="1"/>
  <c r="L470" i="2" a="1"/>
  <c r="J470" i="2" a="1"/>
  <c r="I470" i="2" a="1"/>
  <c r="H470" i="2" a="1"/>
  <c r="G470" i="2" a="1"/>
  <c r="F470" i="2" a="1"/>
  <c r="E470" i="2" a="1"/>
  <c r="D470" i="2" a="1"/>
  <c r="C470" i="2" a="1"/>
  <c r="B469" i="2" a="1"/>
  <c r="K471" i="2" l="1"/>
  <c r="L470" i="2"/>
  <c r="J470" i="2"/>
  <c r="I470" i="2"/>
  <c r="H470" i="2"/>
  <c r="G470" i="2"/>
  <c r="F470" i="2"/>
  <c r="E470" i="2"/>
  <c r="D470" i="2"/>
  <c r="C470" i="2"/>
  <c r="B469" i="2"/>
  <c r="A471" i="2"/>
  <c r="K472" i="2" a="1"/>
  <c r="L471" i="2" a="1"/>
  <c r="J471" i="2" a="1"/>
  <c r="I471" i="2" a="1"/>
  <c r="H471" i="2" a="1"/>
  <c r="G471" i="2" a="1"/>
  <c r="F471" i="2" a="1"/>
  <c r="E471" i="2" a="1"/>
  <c r="D471" i="2" a="1"/>
  <c r="C471" i="2" a="1"/>
  <c r="B470" i="2" a="1"/>
  <c r="K472" i="2" l="1"/>
  <c r="L471" i="2"/>
  <c r="J471" i="2"/>
  <c r="I471" i="2"/>
  <c r="H471" i="2"/>
  <c r="G471" i="2"/>
  <c r="F471" i="2"/>
  <c r="E471" i="2"/>
  <c r="D471" i="2"/>
  <c r="C471" i="2"/>
  <c r="B470" i="2"/>
  <c r="A472" i="2"/>
  <c r="K473" i="2" a="1"/>
  <c r="L472" i="2" a="1"/>
  <c r="J472" i="2" a="1"/>
  <c r="I472" i="2" a="1"/>
  <c r="H472" i="2" a="1"/>
  <c r="G472" i="2" a="1"/>
  <c r="F472" i="2" a="1"/>
  <c r="E472" i="2" a="1"/>
  <c r="D472" i="2" a="1"/>
  <c r="C472" i="2" a="1"/>
  <c r="B471" i="2" a="1"/>
  <c r="K473" i="2" l="1"/>
  <c r="L472" i="2"/>
  <c r="J472" i="2"/>
  <c r="I472" i="2"/>
  <c r="H472" i="2"/>
  <c r="G472" i="2"/>
  <c r="F472" i="2"/>
  <c r="E472" i="2"/>
  <c r="D472" i="2"/>
  <c r="C472" i="2"/>
  <c r="B471" i="2"/>
  <c r="A473" i="2"/>
  <c r="K474" i="2" a="1"/>
  <c r="L473" i="2" a="1"/>
  <c r="J473" i="2" a="1"/>
  <c r="I473" i="2" a="1"/>
  <c r="H473" i="2" a="1"/>
  <c r="G473" i="2" a="1"/>
  <c r="F473" i="2" a="1"/>
  <c r="E473" i="2" a="1"/>
  <c r="D473" i="2" a="1"/>
  <c r="C473" i="2" a="1"/>
  <c r="B472" i="2" a="1"/>
  <c r="K474" i="2" l="1"/>
  <c r="L473" i="2"/>
  <c r="J473" i="2"/>
  <c r="I473" i="2"/>
  <c r="H473" i="2"/>
  <c r="G473" i="2"/>
  <c r="F473" i="2"/>
  <c r="E473" i="2"/>
  <c r="D473" i="2"/>
  <c r="C473" i="2"/>
  <c r="B472" i="2"/>
  <c r="A474" i="2"/>
  <c r="K475" i="2" a="1"/>
  <c r="L474" i="2" a="1"/>
  <c r="J474" i="2" a="1"/>
  <c r="I474" i="2" a="1"/>
  <c r="H474" i="2" a="1"/>
  <c r="G474" i="2" a="1"/>
  <c r="F474" i="2" a="1"/>
  <c r="E474" i="2" a="1"/>
  <c r="D474" i="2" a="1"/>
  <c r="C474" i="2" a="1"/>
  <c r="B473" i="2" a="1"/>
  <c r="K475" i="2" l="1"/>
  <c r="L474" i="2"/>
  <c r="J474" i="2"/>
  <c r="I474" i="2"/>
  <c r="H474" i="2"/>
  <c r="G474" i="2"/>
  <c r="F474" i="2"/>
  <c r="E474" i="2"/>
  <c r="D474" i="2"/>
  <c r="C474" i="2"/>
  <c r="B473" i="2"/>
  <c r="A475" i="2"/>
  <c r="K476" i="2" a="1"/>
  <c r="L475" i="2" a="1"/>
  <c r="J475" i="2" a="1"/>
  <c r="I475" i="2" a="1"/>
  <c r="H475" i="2" a="1"/>
  <c r="G475" i="2" a="1"/>
  <c r="F475" i="2" a="1"/>
  <c r="E475" i="2" a="1"/>
  <c r="D475" i="2" a="1"/>
  <c r="C475" i="2" a="1"/>
  <c r="B474" i="2" a="1"/>
  <c r="K476" i="2" l="1"/>
  <c r="L475" i="2"/>
  <c r="J475" i="2"/>
  <c r="I475" i="2"/>
  <c r="H475" i="2"/>
  <c r="G475" i="2"/>
  <c r="F475" i="2"/>
  <c r="E475" i="2"/>
  <c r="D475" i="2"/>
  <c r="C475" i="2"/>
  <c r="B474" i="2"/>
  <c r="A476" i="2"/>
  <c r="K477" i="2" a="1"/>
  <c r="L476" i="2" a="1"/>
  <c r="J476" i="2" a="1"/>
  <c r="I476" i="2" a="1"/>
  <c r="H476" i="2" a="1"/>
  <c r="G476" i="2" a="1"/>
  <c r="F476" i="2" a="1"/>
  <c r="E476" i="2" a="1"/>
  <c r="D476" i="2" a="1"/>
  <c r="C476" i="2" a="1"/>
  <c r="B475" i="2" a="1"/>
  <c r="K477" i="2" l="1"/>
  <c r="L476" i="2"/>
  <c r="J476" i="2"/>
  <c r="I476" i="2"/>
  <c r="H476" i="2"/>
  <c r="G476" i="2"/>
  <c r="F476" i="2"/>
  <c r="E476" i="2"/>
  <c r="D476" i="2"/>
  <c r="C476" i="2"/>
  <c r="B475" i="2"/>
  <c r="A477" i="2"/>
  <c r="K478" i="2" a="1"/>
  <c r="L477" i="2" a="1"/>
  <c r="J477" i="2" a="1"/>
  <c r="I477" i="2" a="1"/>
  <c r="H477" i="2" a="1"/>
  <c r="G477" i="2" a="1"/>
  <c r="F477" i="2" a="1"/>
  <c r="E477" i="2" a="1"/>
  <c r="D477" i="2" a="1"/>
  <c r="C477" i="2" a="1"/>
  <c r="B476" i="2" a="1"/>
  <c r="K478" i="2" l="1"/>
  <c r="L477" i="2"/>
  <c r="J477" i="2"/>
  <c r="I477" i="2"/>
  <c r="H477" i="2"/>
  <c r="G477" i="2"/>
  <c r="F477" i="2"/>
  <c r="E477" i="2"/>
  <c r="D477" i="2"/>
  <c r="C477" i="2"/>
  <c r="B476" i="2"/>
  <c r="A478" i="2"/>
  <c r="K479" i="2" a="1"/>
  <c r="L478" i="2" a="1"/>
  <c r="J478" i="2" a="1"/>
  <c r="I478" i="2" a="1"/>
  <c r="H478" i="2" a="1"/>
  <c r="G478" i="2" a="1"/>
  <c r="F478" i="2" a="1"/>
  <c r="E478" i="2" a="1"/>
  <c r="D478" i="2" a="1"/>
  <c r="C478" i="2" a="1"/>
  <c r="B477" i="2" a="1"/>
  <c r="K479" i="2" l="1"/>
  <c r="L478" i="2"/>
  <c r="J478" i="2"/>
  <c r="I478" i="2"/>
  <c r="H478" i="2"/>
  <c r="G478" i="2"/>
  <c r="F478" i="2"/>
  <c r="E478" i="2"/>
  <c r="D478" i="2"/>
  <c r="C478" i="2"/>
  <c r="B477" i="2"/>
  <c r="A479" i="2"/>
  <c r="K480" i="2" a="1"/>
  <c r="L479" i="2" a="1"/>
  <c r="J479" i="2" a="1"/>
  <c r="I479" i="2" a="1"/>
  <c r="H479" i="2" a="1"/>
  <c r="G479" i="2" a="1"/>
  <c r="F479" i="2" a="1"/>
  <c r="E479" i="2" a="1"/>
  <c r="D479" i="2" a="1"/>
  <c r="C479" i="2" a="1"/>
  <c r="B478" i="2" a="1"/>
  <c r="K480" i="2" l="1"/>
  <c r="L479" i="2"/>
  <c r="J479" i="2"/>
  <c r="I479" i="2"/>
  <c r="H479" i="2"/>
  <c r="G479" i="2"/>
  <c r="F479" i="2"/>
  <c r="E479" i="2"/>
  <c r="D479" i="2"/>
  <c r="C479" i="2"/>
  <c r="B478" i="2"/>
  <c r="A480" i="2"/>
  <c r="K481" i="2" a="1"/>
  <c r="L480" i="2" a="1"/>
  <c r="J480" i="2" a="1"/>
  <c r="I480" i="2" a="1"/>
  <c r="H480" i="2" a="1"/>
  <c r="G480" i="2" a="1"/>
  <c r="F480" i="2" a="1"/>
  <c r="E480" i="2" a="1"/>
  <c r="D480" i="2" a="1"/>
  <c r="C480" i="2" a="1"/>
  <c r="B479" i="2" a="1"/>
  <c r="K481" i="2" l="1"/>
  <c r="L480" i="2"/>
  <c r="J480" i="2"/>
  <c r="I480" i="2"/>
  <c r="H480" i="2"/>
  <c r="G480" i="2"/>
  <c r="F480" i="2"/>
  <c r="E480" i="2"/>
  <c r="D480" i="2"/>
  <c r="C480" i="2"/>
  <c r="B479" i="2"/>
  <c r="A481" i="2"/>
  <c r="K482" i="2" a="1"/>
  <c r="L481" i="2" a="1"/>
  <c r="J481" i="2" a="1"/>
  <c r="I481" i="2" a="1"/>
  <c r="H481" i="2" a="1"/>
  <c r="G481" i="2" a="1"/>
  <c r="F481" i="2" a="1"/>
  <c r="E481" i="2" a="1"/>
  <c r="D481" i="2" a="1"/>
  <c r="C481" i="2" a="1"/>
  <c r="B480" i="2" a="1"/>
  <c r="K482" i="2" l="1"/>
  <c r="L481" i="2"/>
  <c r="J481" i="2"/>
  <c r="I481" i="2"/>
  <c r="H481" i="2"/>
  <c r="G481" i="2"/>
  <c r="F481" i="2"/>
  <c r="E481" i="2"/>
  <c r="D481" i="2"/>
  <c r="C481" i="2"/>
  <c r="B480" i="2"/>
  <c r="A482" i="2"/>
  <c r="K483" i="2" a="1"/>
  <c r="L482" i="2" a="1"/>
  <c r="J482" i="2" a="1"/>
  <c r="I482" i="2" a="1"/>
  <c r="H482" i="2" a="1"/>
  <c r="G482" i="2" a="1"/>
  <c r="F482" i="2" a="1"/>
  <c r="E482" i="2" a="1"/>
  <c r="D482" i="2" a="1"/>
  <c r="C482" i="2" a="1"/>
  <c r="B481" i="2" a="1"/>
  <c r="K483" i="2" l="1"/>
  <c r="L482" i="2"/>
  <c r="J482" i="2"/>
  <c r="I482" i="2"/>
  <c r="H482" i="2"/>
  <c r="G482" i="2"/>
  <c r="F482" i="2"/>
  <c r="E482" i="2"/>
  <c r="D482" i="2"/>
  <c r="C482" i="2"/>
  <c r="B481" i="2"/>
  <c r="A483" i="2"/>
  <c r="K484" i="2" a="1"/>
  <c r="L483" i="2" a="1"/>
  <c r="J483" i="2" a="1"/>
  <c r="I483" i="2" a="1"/>
  <c r="H483" i="2" a="1"/>
  <c r="G483" i="2" a="1"/>
  <c r="F483" i="2" a="1"/>
  <c r="E483" i="2" a="1"/>
  <c r="D483" i="2" a="1"/>
  <c r="C483" i="2" a="1"/>
  <c r="B482" i="2" a="1"/>
  <c r="K484" i="2" l="1"/>
  <c r="L483" i="2"/>
  <c r="J483" i="2"/>
  <c r="I483" i="2"/>
  <c r="H483" i="2"/>
  <c r="G483" i="2"/>
  <c r="F483" i="2"/>
  <c r="E483" i="2"/>
  <c r="D483" i="2"/>
  <c r="C483" i="2"/>
  <c r="B482" i="2"/>
  <c r="A484" i="2"/>
  <c r="K485" i="2" a="1"/>
  <c r="L484" i="2" a="1"/>
  <c r="J484" i="2" a="1"/>
  <c r="I484" i="2" a="1"/>
  <c r="H484" i="2" a="1"/>
  <c r="G484" i="2" a="1"/>
  <c r="F484" i="2" a="1"/>
  <c r="E484" i="2" a="1"/>
  <c r="D484" i="2" a="1"/>
  <c r="C484" i="2" a="1"/>
  <c r="B483" i="2" a="1"/>
  <c r="K485" i="2" l="1"/>
  <c r="L484" i="2"/>
  <c r="J484" i="2"/>
  <c r="I484" i="2"/>
  <c r="H484" i="2"/>
  <c r="G484" i="2"/>
  <c r="F484" i="2"/>
  <c r="E484" i="2"/>
  <c r="D484" i="2"/>
  <c r="C484" i="2"/>
  <c r="B483" i="2"/>
  <c r="A485" i="2"/>
  <c r="K486" i="2" a="1"/>
  <c r="L485" i="2" a="1"/>
  <c r="J485" i="2" a="1"/>
  <c r="I485" i="2" a="1"/>
  <c r="H485" i="2" a="1"/>
  <c r="G485" i="2" a="1"/>
  <c r="F485" i="2" a="1"/>
  <c r="E485" i="2" a="1"/>
  <c r="D485" i="2" a="1"/>
  <c r="C485" i="2" a="1"/>
  <c r="B484" i="2" a="1"/>
  <c r="K486" i="2" l="1"/>
  <c r="L485" i="2"/>
  <c r="J485" i="2"/>
  <c r="I485" i="2"/>
  <c r="H485" i="2"/>
  <c r="G485" i="2"/>
  <c r="F485" i="2"/>
  <c r="E485" i="2"/>
  <c r="D485" i="2"/>
  <c r="C485" i="2"/>
  <c r="B484" i="2"/>
  <c r="A486" i="2"/>
  <c r="K487" i="2" a="1"/>
  <c r="L486" i="2" a="1"/>
  <c r="J486" i="2" a="1"/>
  <c r="I486" i="2" a="1"/>
  <c r="H486" i="2" a="1"/>
  <c r="G486" i="2" a="1"/>
  <c r="F486" i="2" a="1"/>
  <c r="E486" i="2" a="1"/>
  <c r="D486" i="2" a="1"/>
  <c r="C486" i="2" a="1"/>
  <c r="B485" i="2" a="1"/>
  <c r="K487" i="2" l="1"/>
  <c r="L486" i="2"/>
  <c r="J486" i="2"/>
  <c r="I486" i="2"/>
  <c r="H486" i="2"/>
  <c r="G486" i="2"/>
  <c r="F486" i="2"/>
  <c r="E486" i="2"/>
  <c r="D486" i="2"/>
  <c r="C486" i="2"/>
  <c r="B485" i="2"/>
  <c r="A487" i="2"/>
  <c r="K488" i="2" a="1"/>
  <c r="L487" i="2" a="1"/>
  <c r="J487" i="2" a="1"/>
  <c r="I487" i="2" a="1"/>
  <c r="H487" i="2" a="1"/>
  <c r="G487" i="2" a="1"/>
  <c r="F487" i="2" a="1"/>
  <c r="E487" i="2" a="1"/>
  <c r="D487" i="2" a="1"/>
  <c r="C487" i="2" a="1"/>
  <c r="B486" i="2" a="1"/>
  <c r="K488" i="2" l="1"/>
  <c r="L487" i="2"/>
  <c r="J487" i="2"/>
  <c r="I487" i="2"/>
  <c r="H487" i="2"/>
  <c r="G487" i="2"/>
  <c r="F487" i="2"/>
  <c r="E487" i="2"/>
  <c r="D487" i="2"/>
  <c r="C487" i="2"/>
  <c r="B486" i="2"/>
  <c r="A488" i="2"/>
  <c r="K489" i="2" a="1"/>
  <c r="L488" i="2" a="1"/>
  <c r="J488" i="2" a="1"/>
  <c r="I488" i="2" a="1"/>
  <c r="H488" i="2" a="1"/>
  <c r="G488" i="2" a="1"/>
  <c r="F488" i="2" a="1"/>
  <c r="E488" i="2" a="1"/>
  <c r="D488" i="2" a="1"/>
  <c r="C488" i="2" a="1"/>
  <c r="B487" i="2" a="1"/>
  <c r="K489" i="2" l="1"/>
  <c r="L488" i="2"/>
  <c r="J488" i="2"/>
  <c r="I488" i="2"/>
  <c r="H488" i="2"/>
  <c r="G488" i="2"/>
  <c r="F488" i="2"/>
  <c r="E488" i="2"/>
  <c r="D488" i="2"/>
  <c r="C488" i="2"/>
  <c r="B487" i="2"/>
  <c r="A489" i="2"/>
  <c r="K490" i="2" a="1"/>
  <c r="L489" i="2" a="1"/>
  <c r="J489" i="2" a="1"/>
  <c r="I489" i="2" a="1"/>
  <c r="H489" i="2" a="1"/>
  <c r="G489" i="2" a="1"/>
  <c r="F489" i="2" a="1"/>
  <c r="E489" i="2" a="1"/>
  <c r="D489" i="2" a="1"/>
  <c r="C489" i="2" a="1"/>
  <c r="B488" i="2" a="1"/>
  <c r="K490" i="2" l="1"/>
  <c r="L489" i="2"/>
  <c r="J489" i="2"/>
  <c r="I489" i="2"/>
  <c r="H489" i="2"/>
  <c r="G489" i="2"/>
  <c r="F489" i="2"/>
  <c r="E489" i="2"/>
  <c r="D489" i="2"/>
  <c r="C489" i="2"/>
  <c r="B488" i="2"/>
  <c r="A490" i="2"/>
  <c r="K491" i="2" a="1"/>
  <c r="L490" i="2" a="1"/>
  <c r="J490" i="2" a="1"/>
  <c r="I490" i="2" a="1"/>
  <c r="H490" i="2" a="1"/>
  <c r="G490" i="2" a="1"/>
  <c r="F490" i="2" a="1"/>
  <c r="E490" i="2" a="1"/>
  <c r="D490" i="2" a="1"/>
  <c r="C490" i="2" a="1"/>
  <c r="B489" i="2" a="1"/>
  <c r="K491" i="2" l="1"/>
  <c r="L490" i="2"/>
  <c r="J490" i="2"/>
  <c r="I490" i="2"/>
  <c r="H490" i="2"/>
  <c r="G490" i="2"/>
  <c r="F490" i="2"/>
  <c r="E490" i="2"/>
  <c r="D490" i="2"/>
  <c r="C490" i="2"/>
  <c r="B489" i="2"/>
  <c r="A491" i="2"/>
  <c r="K492" i="2" a="1"/>
  <c r="L491" i="2" a="1"/>
  <c r="J491" i="2" a="1"/>
  <c r="I491" i="2" a="1"/>
  <c r="H491" i="2" a="1"/>
  <c r="G491" i="2" a="1"/>
  <c r="F491" i="2" a="1"/>
  <c r="E491" i="2" a="1"/>
  <c r="D491" i="2" a="1"/>
  <c r="C491" i="2" a="1"/>
  <c r="B490" i="2" a="1"/>
  <c r="K492" i="2" l="1"/>
  <c r="L491" i="2"/>
  <c r="J491" i="2"/>
  <c r="I491" i="2"/>
  <c r="H491" i="2"/>
  <c r="G491" i="2"/>
  <c r="F491" i="2"/>
  <c r="E491" i="2"/>
  <c r="D491" i="2"/>
  <c r="C491" i="2"/>
  <c r="B490" i="2"/>
  <c r="A492" i="2"/>
  <c r="K493" i="2" a="1"/>
  <c r="L492" i="2" a="1"/>
  <c r="J492" i="2" a="1"/>
  <c r="I492" i="2" a="1"/>
  <c r="H492" i="2" a="1"/>
  <c r="G492" i="2" a="1"/>
  <c r="F492" i="2" a="1"/>
  <c r="E492" i="2" a="1"/>
  <c r="D492" i="2" a="1"/>
  <c r="C492" i="2" a="1"/>
  <c r="B491" i="2" a="1"/>
  <c r="K493" i="2" l="1"/>
  <c r="L492" i="2"/>
  <c r="J492" i="2"/>
  <c r="I492" i="2"/>
  <c r="H492" i="2"/>
  <c r="G492" i="2"/>
  <c r="F492" i="2"/>
  <c r="E492" i="2"/>
  <c r="D492" i="2"/>
  <c r="C492" i="2"/>
  <c r="B491" i="2"/>
  <c r="A493" i="2"/>
  <c r="K494" i="2" a="1"/>
  <c r="L493" i="2" a="1"/>
  <c r="J493" i="2" a="1"/>
  <c r="I493" i="2" a="1"/>
  <c r="H493" i="2" a="1"/>
  <c r="G493" i="2" a="1"/>
  <c r="F493" i="2" a="1"/>
  <c r="E493" i="2" a="1"/>
  <c r="D493" i="2" a="1"/>
  <c r="C493" i="2" a="1"/>
  <c r="B492" i="2" a="1"/>
  <c r="K494" i="2" l="1"/>
  <c r="L493" i="2"/>
  <c r="J493" i="2"/>
  <c r="I493" i="2"/>
  <c r="H493" i="2"/>
  <c r="G493" i="2"/>
  <c r="F493" i="2"/>
  <c r="E493" i="2"/>
  <c r="D493" i="2"/>
  <c r="C493" i="2"/>
  <c r="B492" i="2"/>
  <c r="A494" i="2"/>
  <c r="K495" i="2" a="1"/>
  <c r="L494" i="2" a="1"/>
  <c r="J494" i="2" a="1"/>
  <c r="I494" i="2" a="1"/>
  <c r="H494" i="2" a="1"/>
  <c r="G494" i="2" a="1"/>
  <c r="F494" i="2" a="1"/>
  <c r="E494" i="2" a="1"/>
  <c r="D494" i="2" a="1"/>
  <c r="C494" i="2" a="1"/>
  <c r="B493" i="2" a="1"/>
  <c r="K495" i="2" l="1"/>
  <c r="L494" i="2"/>
  <c r="J494" i="2"/>
  <c r="I494" i="2"/>
  <c r="H494" i="2"/>
  <c r="G494" i="2"/>
  <c r="F494" i="2"/>
  <c r="E494" i="2"/>
  <c r="D494" i="2"/>
  <c r="C494" i="2"/>
  <c r="B493" i="2"/>
  <c r="A495" i="2"/>
  <c r="K496" i="2" a="1"/>
  <c r="L495" i="2" a="1"/>
  <c r="J495" i="2" a="1"/>
  <c r="I495" i="2" a="1"/>
  <c r="H495" i="2" a="1"/>
  <c r="G495" i="2" a="1"/>
  <c r="F495" i="2" a="1"/>
  <c r="E495" i="2" a="1"/>
  <c r="D495" i="2" a="1"/>
  <c r="C495" i="2" a="1"/>
  <c r="B494" i="2" a="1"/>
  <c r="K496" i="2" l="1"/>
  <c r="L495" i="2"/>
  <c r="J495" i="2"/>
  <c r="I495" i="2"/>
  <c r="H495" i="2"/>
  <c r="G495" i="2"/>
  <c r="F495" i="2"/>
  <c r="E495" i="2"/>
  <c r="D495" i="2"/>
  <c r="C495" i="2"/>
  <c r="B494" i="2"/>
  <c r="A496" i="2"/>
  <c r="K497" i="2" a="1"/>
  <c r="L496" i="2" a="1"/>
  <c r="J496" i="2" a="1"/>
  <c r="I496" i="2" a="1"/>
  <c r="H496" i="2" a="1"/>
  <c r="G496" i="2" a="1"/>
  <c r="F496" i="2" a="1"/>
  <c r="E496" i="2" a="1"/>
  <c r="D496" i="2" a="1"/>
  <c r="C496" i="2" a="1"/>
  <c r="B495" i="2" a="1"/>
  <c r="K497" i="2" l="1"/>
  <c r="L496" i="2"/>
  <c r="J496" i="2"/>
  <c r="I496" i="2"/>
  <c r="H496" i="2"/>
  <c r="G496" i="2"/>
  <c r="F496" i="2"/>
  <c r="E496" i="2"/>
  <c r="D496" i="2"/>
  <c r="C496" i="2"/>
  <c r="B495" i="2"/>
  <c r="A497" i="2"/>
  <c r="K498" i="2" a="1"/>
  <c r="L497" i="2" a="1"/>
  <c r="J497" i="2" a="1"/>
  <c r="I497" i="2" a="1"/>
  <c r="H497" i="2" a="1"/>
  <c r="G497" i="2" a="1"/>
  <c r="F497" i="2" a="1"/>
  <c r="E497" i="2" a="1"/>
  <c r="D497" i="2" a="1"/>
  <c r="C497" i="2" a="1"/>
  <c r="B496" i="2" a="1"/>
  <c r="K498" i="2" l="1"/>
  <c r="L497" i="2"/>
  <c r="J497" i="2"/>
  <c r="I497" i="2"/>
  <c r="H497" i="2"/>
  <c r="G497" i="2"/>
  <c r="F497" i="2"/>
  <c r="E497" i="2"/>
  <c r="D497" i="2"/>
  <c r="C497" i="2"/>
  <c r="B496" i="2"/>
  <c r="A498" i="2"/>
  <c r="K499" i="2" a="1"/>
  <c r="L498" i="2" a="1"/>
  <c r="J498" i="2" a="1"/>
  <c r="I498" i="2" a="1"/>
  <c r="H498" i="2" a="1"/>
  <c r="G498" i="2" a="1"/>
  <c r="F498" i="2" a="1"/>
  <c r="E498" i="2" a="1"/>
  <c r="D498" i="2" a="1"/>
  <c r="C498" i="2" a="1"/>
  <c r="B497" i="2" a="1"/>
  <c r="K499" i="2" l="1"/>
  <c r="L498" i="2"/>
  <c r="J498" i="2"/>
  <c r="I498" i="2"/>
  <c r="H498" i="2"/>
  <c r="G498" i="2"/>
  <c r="F498" i="2"/>
  <c r="E498" i="2"/>
  <c r="D498" i="2"/>
  <c r="C498" i="2"/>
  <c r="B497" i="2"/>
  <c r="A499" i="2"/>
  <c r="K500" i="2" a="1"/>
  <c r="L499" i="2" a="1"/>
  <c r="J499" i="2" a="1"/>
  <c r="I499" i="2" a="1"/>
  <c r="H499" i="2" a="1"/>
  <c r="G499" i="2" a="1"/>
  <c r="F499" i="2" a="1"/>
  <c r="E499" i="2" a="1"/>
  <c r="D499" i="2" a="1"/>
  <c r="C499" i="2" a="1"/>
  <c r="B498" i="2" a="1"/>
  <c r="K500" i="2" l="1"/>
  <c r="L499" i="2"/>
  <c r="J499" i="2"/>
  <c r="I499" i="2"/>
  <c r="H499" i="2"/>
  <c r="G499" i="2"/>
  <c r="F499" i="2"/>
  <c r="E499" i="2"/>
  <c r="D499" i="2"/>
  <c r="C499" i="2"/>
  <c r="B498" i="2"/>
  <c r="A500" i="2"/>
  <c r="K501" i="2" a="1"/>
  <c r="L500" i="2" a="1"/>
  <c r="J500" i="2" a="1"/>
  <c r="I500" i="2" a="1"/>
  <c r="H500" i="2" a="1"/>
  <c r="G500" i="2" a="1"/>
  <c r="F500" i="2" a="1"/>
  <c r="E500" i="2" a="1"/>
  <c r="D500" i="2" a="1"/>
  <c r="C500" i="2" a="1"/>
  <c r="B499" i="2" a="1"/>
  <c r="K501" i="2" l="1"/>
  <c r="L500" i="2"/>
  <c r="J500" i="2"/>
  <c r="I500" i="2"/>
  <c r="H500" i="2"/>
  <c r="G500" i="2"/>
  <c r="F500" i="2"/>
  <c r="E500" i="2"/>
  <c r="D500" i="2"/>
  <c r="C500" i="2"/>
  <c r="B499" i="2"/>
  <c r="A501" i="2"/>
  <c r="K502" i="2" a="1"/>
  <c r="L501" i="2" a="1"/>
  <c r="J501" i="2" a="1"/>
  <c r="I501" i="2" a="1"/>
  <c r="H501" i="2" a="1"/>
  <c r="G501" i="2" a="1"/>
  <c r="F501" i="2" a="1"/>
  <c r="E501" i="2" a="1"/>
  <c r="D501" i="2" a="1"/>
  <c r="C501" i="2" a="1"/>
  <c r="B500" i="2" a="1"/>
  <c r="K502" i="2" l="1"/>
  <c r="L501" i="2"/>
  <c r="J501" i="2"/>
  <c r="I501" i="2"/>
  <c r="H501" i="2"/>
  <c r="G501" i="2"/>
  <c r="F501" i="2"/>
  <c r="E501" i="2"/>
  <c r="D501" i="2"/>
  <c r="C501" i="2"/>
  <c r="B500" i="2"/>
  <c r="A502" i="2"/>
  <c r="K503" i="2" a="1"/>
  <c r="L502" i="2" a="1"/>
  <c r="J502" i="2" a="1"/>
  <c r="I502" i="2" a="1"/>
  <c r="H502" i="2" a="1"/>
  <c r="G502" i="2" a="1"/>
  <c r="F502" i="2" a="1"/>
  <c r="E502" i="2" a="1"/>
  <c r="D502" i="2" a="1"/>
  <c r="C502" i="2" a="1"/>
  <c r="B501" i="2" a="1"/>
  <c r="K503" i="2" l="1"/>
  <c r="L502" i="2"/>
  <c r="J502" i="2"/>
  <c r="I502" i="2"/>
  <c r="H502" i="2"/>
  <c r="G502" i="2"/>
  <c r="F502" i="2"/>
  <c r="E502" i="2"/>
  <c r="D502" i="2"/>
  <c r="C502" i="2"/>
  <c r="B501" i="2"/>
  <c r="A503" i="2"/>
  <c r="K504" i="2" a="1"/>
  <c r="L503" i="2" a="1"/>
  <c r="J503" i="2" a="1"/>
  <c r="I503" i="2" a="1"/>
  <c r="H503" i="2" a="1"/>
  <c r="G503" i="2" a="1"/>
  <c r="F503" i="2" a="1"/>
  <c r="E503" i="2" a="1"/>
  <c r="D503" i="2" a="1"/>
  <c r="C503" i="2" a="1"/>
  <c r="B502" i="2" a="1"/>
  <c r="K504" i="2" l="1"/>
  <c r="L503" i="2"/>
  <c r="J503" i="2"/>
  <c r="I503" i="2"/>
  <c r="H503" i="2"/>
  <c r="G503" i="2"/>
  <c r="F503" i="2"/>
  <c r="E503" i="2"/>
  <c r="D503" i="2"/>
  <c r="C503" i="2"/>
  <c r="B502" i="2"/>
  <c r="A504" i="2"/>
  <c r="K505" i="2" a="1"/>
  <c r="L504" i="2" a="1"/>
  <c r="J504" i="2" a="1"/>
  <c r="I504" i="2" a="1"/>
  <c r="H504" i="2" a="1"/>
  <c r="G504" i="2" a="1"/>
  <c r="F504" i="2" a="1"/>
  <c r="E504" i="2" a="1"/>
  <c r="D504" i="2" a="1"/>
  <c r="C504" i="2" a="1"/>
  <c r="B503" i="2" a="1"/>
  <c r="K505" i="2" l="1"/>
  <c r="L504" i="2"/>
  <c r="J504" i="2"/>
  <c r="I504" i="2"/>
  <c r="H504" i="2"/>
  <c r="G504" i="2"/>
  <c r="F504" i="2"/>
  <c r="E504" i="2"/>
  <c r="D504" i="2"/>
  <c r="C504" i="2"/>
  <c r="B503" i="2"/>
  <c r="A505" i="2"/>
  <c r="K506" i="2" a="1"/>
  <c r="L505" i="2" a="1"/>
  <c r="J505" i="2" a="1"/>
  <c r="I505" i="2" a="1"/>
  <c r="H505" i="2" a="1"/>
  <c r="G505" i="2" a="1"/>
  <c r="F505" i="2" a="1"/>
  <c r="E505" i="2" a="1"/>
  <c r="D505" i="2" a="1"/>
  <c r="C505" i="2" a="1"/>
  <c r="B504" i="2" a="1"/>
  <c r="K506" i="2" l="1"/>
  <c r="L505" i="2"/>
  <c r="J505" i="2"/>
  <c r="I505" i="2"/>
  <c r="H505" i="2"/>
  <c r="G505" i="2"/>
  <c r="F505" i="2"/>
  <c r="E505" i="2"/>
  <c r="D505" i="2"/>
  <c r="C505" i="2"/>
  <c r="B504" i="2"/>
  <c r="A506" i="2"/>
  <c r="K507" i="2" a="1"/>
  <c r="L506" i="2" a="1"/>
  <c r="J506" i="2" a="1"/>
  <c r="I506" i="2" a="1"/>
  <c r="H506" i="2" a="1"/>
  <c r="G506" i="2" a="1"/>
  <c r="F506" i="2" a="1"/>
  <c r="E506" i="2" a="1"/>
  <c r="D506" i="2" a="1"/>
  <c r="C506" i="2" a="1"/>
  <c r="B505" i="2" a="1"/>
  <c r="K507" i="2" l="1"/>
  <c r="L506" i="2"/>
  <c r="J506" i="2"/>
  <c r="I506" i="2"/>
  <c r="H506" i="2"/>
  <c r="G506" i="2"/>
  <c r="F506" i="2"/>
  <c r="E506" i="2"/>
  <c r="D506" i="2"/>
  <c r="C506" i="2"/>
  <c r="B505" i="2"/>
  <c r="A507" i="2"/>
  <c r="K508" i="2" a="1"/>
  <c r="L507" i="2" a="1"/>
  <c r="J507" i="2" a="1"/>
  <c r="I507" i="2" a="1"/>
  <c r="H507" i="2" a="1"/>
  <c r="G507" i="2" a="1"/>
  <c r="F507" i="2" a="1"/>
  <c r="E507" i="2" a="1"/>
  <c r="D507" i="2" a="1"/>
  <c r="C507" i="2" a="1"/>
  <c r="B506" i="2" a="1"/>
  <c r="K508" i="2" l="1"/>
  <c r="L507" i="2"/>
  <c r="J507" i="2"/>
  <c r="I507" i="2"/>
  <c r="H507" i="2"/>
  <c r="G507" i="2"/>
  <c r="F507" i="2"/>
  <c r="E507" i="2"/>
  <c r="D507" i="2"/>
  <c r="C507" i="2"/>
  <c r="B506" i="2"/>
  <c r="A508" i="2"/>
  <c r="K509" i="2" a="1"/>
  <c r="L508" i="2" a="1"/>
  <c r="J508" i="2" a="1"/>
  <c r="I508" i="2" a="1"/>
  <c r="H508" i="2" a="1"/>
  <c r="G508" i="2" a="1"/>
  <c r="F508" i="2" a="1"/>
  <c r="E508" i="2" a="1"/>
  <c r="D508" i="2" a="1"/>
  <c r="C508" i="2" a="1"/>
  <c r="B507" i="2" a="1"/>
  <c r="K509" i="2" l="1"/>
  <c r="L508" i="2"/>
  <c r="J508" i="2"/>
  <c r="I508" i="2"/>
  <c r="H508" i="2"/>
  <c r="G508" i="2"/>
  <c r="F508" i="2"/>
  <c r="E508" i="2"/>
  <c r="D508" i="2"/>
  <c r="C508" i="2"/>
  <c r="B507" i="2"/>
  <c r="A509" i="2"/>
  <c r="K510" i="2" a="1"/>
  <c r="L509" i="2" a="1"/>
  <c r="J509" i="2" a="1"/>
  <c r="I509" i="2" a="1"/>
  <c r="H509" i="2" a="1"/>
  <c r="G509" i="2" a="1"/>
  <c r="F509" i="2" a="1"/>
  <c r="E509" i="2" a="1"/>
  <c r="D509" i="2" a="1"/>
  <c r="C509" i="2" a="1"/>
  <c r="B508" i="2" a="1"/>
  <c r="K510" i="2" l="1"/>
  <c r="L509" i="2"/>
  <c r="J509" i="2"/>
  <c r="I509" i="2"/>
  <c r="H509" i="2"/>
  <c r="G509" i="2"/>
  <c r="F509" i="2"/>
  <c r="E509" i="2"/>
  <c r="D509" i="2"/>
  <c r="C509" i="2"/>
  <c r="B508" i="2"/>
  <c r="A510" i="2"/>
  <c r="K511" i="2" a="1"/>
  <c r="L510" i="2" a="1"/>
  <c r="J510" i="2" a="1"/>
  <c r="I510" i="2" a="1"/>
  <c r="H510" i="2" a="1"/>
  <c r="G510" i="2" a="1"/>
  <c r="F510" i="2" a="1"/>
  <c r="E510" i="2" a="1"/>
  <c r="D510" i="2" a="1"/>
  <c r="C510" i="2" a="1"/>
  <c r="B509" i="2" a="1"/>
  <c r="K511" i="2" l="1"/>
  <c r="L510" i="2"/>
  <c r="J510" i="2"/>
  <c r="I510" i="2"/>
  <c r="H510" i="2"/>
  <c r="G510" i="2"/>
  <c r="F510" i="2"/>
  <c r="E510" i="2"/>
  <c r="D510" i="2"/>
  <c r="C510" i="2"/>
  <c r="B509" i="2"/>
  <c r="A511" i="2"/>
  <c r="K512" i="2" a="1"/>
  <c r="L511" i="2" a="1"/>
  <c r="J511" i="2" a="1"/>
  <c r="I511" i="2" a="1"/>
  <c r="H511" i="2" a="1"/>
  <c r="G511" i="2" a="1"/>
  <c r="F511" i="2" a="1"/>
  <c r="E511" i="2" a="1"/>
  <c r="D511" i="2" a="1"/>
  <c r="C511" i="2" a="1"/>
  <c r="B510" i="2" a="1"/>
  <c r="K512" i="2" l="1"/>
  <c r="L511" i="2"/>
  <c r="J511" i="2"/>
  <c r="I511" i="2"/>
  <c r="H511" i="2"/>
  <c r="G511" i="2"/>
  <c r="F511" i="2"/>
  <c r="E511" i="2"/>
  <c r="D511" i="2"/>
  <c r="C511" i="2"/>
  <c r="B510" i="2"/>
  <c r="A512" i="2"/>
  <c r="K513" i="2" a="1"/>
  <c r="L512" i="2" a="1"/>
  <c r="J512" i="2" a="1"/>
  <c r="I512" i="2" a="1"/>
  <c r="H512" i="2" a="1"/>
  <c r="G512" i="2" a="1"/>
  <c r="F512" i="2" a="1"/>
  <c r="E512" i="2" a="1"/>
  <c r="D512" i="2" a="1"/>
  <c r="C512" i="2" a="1"/>
  <c r="B511" i="2" a="1"/>
  <c r="K513" i="2" l="1"/>
  <c r="L512" i="2"/>
  <c r="J512" i="2"/>
  <c r="I512" i="2"/>
  <c r="H512" i="2"/>
  <c r="G512" i="2"/>
  <c r="F512" i="2"/>
  <c r="E512" i="2"/>
  <c r="D512" i="2"/>
  <c r="C512" i="2"/>
  <c r="B511" i="2"/>
  <c r="A513" i="2"/>
  <c r="K514" i="2" a="1"/>
  <c r="L513" i="2" a="1"/>
  <c r="J513" i="2" a="1"/>
  <c r="I513" i="2" a="1"/>
  <c r="H513" i="2" a="1"/>
  <c r="G513" i="2" a="1"/>
  <c r="F513" i="2" a="1"/>
  <c r="E513" i="2" a="1"/>
  <c r="D513" i="2" a="1"/>
  <c r="C513" i="2" a="1"/>
  <c r="B512" i="2" a="1"/>
  <c r="K514" i="2" l="1"/>
  <c r="L513" i="2"/>
  <c r="J513" i="2"/>
  <c r="I513" i="2"/>
  <c r="H513" i="2"/>
  <c r="G513" i="2"/>
  <c r="F513" i="2"/>
  <c r="E513" i="2"/>
  <c r="D513" i="2"/>
  <c r="C513" i="2"/>
  <c r="B512" i="2"/>
  <c r="A514" i="2"/>
  <c r="K515" i="2" a="1"/>
  <c r="L514" i="2" a="1"/>
  <c r="J514" i="2" a="1"/>
  <c r="I514" i="2" a="1"/>
  <c r="H514" i="2" a="1"/>
  <c r="G514" i="2" a="1"/>
  <c r="F514" i="2" a="1"/>
  <c r="E514" i="2" a="1"/>
  <c r="D514" i="2" a="1"/>
  <c r="C514" i="2" a="1"/>
  <c r="B513" i="2" a="1"/>
  <c r="K515" i="2" l="1"/>
  <c r="L514" i="2"/>
  <c r="J514" i="2"/>
  <c r="I514" i="2"/>
  <c r="H514" i="2"/>
  <c r="G514" i="2"/>
  <c r="F514" i="2"/>
  <c r="E514" i="2"/>
  <c r="D514" i="2"/>
  <c r="C514" i="2"/>
  <c r="B513" i="2"/>
  <c r="A515" i="2"/>
  <c r="K516" i="2" a="1"/>
  <c r="L515" i="2" a="1"/>
  <c r="J515" i="2" a="1"/>
  <c r="I515" i="2" a="1"/>
  <c r="H515" i="2" a="1"/>
  <c r="G515" i="2" a="1"/>
  <c r="F515" i="2" a="1"/>
  <c r="E515" i="2" a="1"/>
  <c r="D515" i="2" a="1"/>
  <c r="C515" i="2" a="1"/>
  <c r="B514" i="2" a="1"/>
  <c r="K516" i="2" l="1"/>
  <c r="L515" i="2"/>
  <c r="J515" i="2"/>
  <c r="I515" i="2"/>
  <c r="H515" i="2"/>
  <c r="G515" i="2"/>
  <c r="F515" i="2"/>
  <c r="E515" i="2"/>
  <c r="D515" i="2"/>
  <c r="C515" i="2"/>
  <c r="B514" i="2"/>
  <c r="A516" i="2"/>
  <c r="K517" i="2" a="1"/>
  <c r="L516" i="2" a="1"/>
  <c r="J516" i="2" a="1"/>
  <c r="I516" i="2" a="1"/>
  <c r="H516" i="2" a="1"/>
  <c r="G516" i="2" a="1"/>
  <c r="F516" i="2" a="1"/>
  <c r="E516" i="2" a="1"/>
  <c r="D516" i="2" a="1"/>
  <c r="C516" i="2" a="1"/>
  <c r="B515" i="2" a="1"/>
  <c r="K517" i="2" l="1"/>
  <c r="L516" i="2"/>
  <c r="J516" i="2"/>
  <c r="I516" i="2"/>
  <c r="H516" i="2"/>
  <c r="G516" i="2"/>
  <c r="F516" i="2"/>
  <c r="E516" i="2"/>
  <c r="D516" i="2"/>
  <c r="C516" i="2"/>
  <c r="B515" i="2"/>
  <c r="A517" i="2"/>
  <c r="K518" i="2" a="1"/>
  <c r="L517" i="2" a="1"/>
  <c r="J517" i="2" a="1"/>
  <c r="I517" i="2" a="1"/>
  <c r="H517" i="2" a="1"/>
  <c r="G517" i="2" a="1"/>
  <c r="F517" i="2" a="1"/>
  <c r="E517" i="2" a="1"/>
  <c r="D517" i="2" a="1"/>
  <c r="C517" i="2" a="1"/>
  <c r="B516" i="2" a="1"/>
  <c r="K518" i="2" l="1"/>
  <c r="L517" i="2"/>
  <c r="J517" i="2"/>
  <c r="I517" i="2"/>
  <c r="H517" i="2"/>
  <c r="G517" i="2"/>
  <c r="F517" i="2"/>
  <c r="E517" i="2"/>
  <c r="D517" i="2"/>
  <c r="C517" i="2"/>
  <c r="B516" i="2"/>
  <c r="A518" i="2"/>
  <c r="K519" i="2" a="1"/>
  <c r="L518" i="2" a="1"/>
  <c r="J518" i="2" a="1"/>
  <c r="I518" i="2" a="1"/>
  <c r="H518" i="2" a="1"/>
  <c r="G518" i="2" a="1"/>
  <c r="F518" i="2" a="1"/>
  <c r="E518" i="2" a="1"/>
  <c r="D518" i="2" a="1"/>
  <c r="C518" i="2" a="1"/>
  <c r="B517" i="2" a="1"/>
  <c r="K519" i="2" l="1"/>
  <c r="L518" i="2"/>
  <c r="J518" i="2"/>
  <c r="I518" i="2"/>
  <c r="H518" i="2"/>
  <c r="G518" i="2"/>
  <c r="F518" i="2"/>
  <c r="E518" i="2"/>
  <c r="D518" i="2"/>
  <c r="C518" i="2"/>
  <c r="B517" i="2"/>
  <c r="A519" i="2"/>
  <c r="K520" i="2" a="1"/>
  <c r="L519" i="2" a="1"/>
  <c r="J519" i="2" a="1"/>
  <c r="I519" i="2" a="1"/>
  <c r="H519" i="2" a="1"/>
  <c r="G519" i="2" a="1"/>
  <c r="F519" i="2" a="1"/>
  <c r="E519" i="2" a="1"/>
  <c r="D519" i="2" a="1"/>
  <c r="C519" i="2" a="1"/>
  <c r="B518" i="2" a="1"/>
  <c r="K520" i="2" l="1"/>
  <c r="L519" i="2"/>
  <c r="J519" i="2"/>
  <c r="I519" i="2"/>
  <c r="H519" i="2"/>
  <c r="G519" i="2"/>
  <c r="F519" i="2"/>
  <c r="E519" i="2"/>
  <c r="D519" i="2"/>
  <c r="C519" i="2"/>
  <c r="B518" i="2"/>
  <c r="A520" i="2"/>
  <c r="K521" i="2" a="1"/>
  <c r="L520" i="2" a="1"/>
  <c r="J520" i="2" a="1"/>
  <c r="I520" i="2" a="1"/>
  <c r="H520" i="2" a="1"/>
  <c r="G520" i="2" a="1"/>
  <c r="F520" i="2" a="1"/>
  <c r="E520" i="2" a="1"/>
  <c r="D520" i="2" a="1"/>
  <c r="C520" i="2" a="1"/>
  <c r="B519" i="2" a="1"/>
  <c r="K521" i="2" l="1"/>
  <c r="L520" i="2"/>
  <c r="J520" i="2"/>
  <c r="I520" i="2"/>
  <c r="H520" i="2"/>
  <c r="G520" i="2"/>
  <c r="F520" i="2"/>
  <c r="E520" i="2"/>
  <c r="D520" i="2"/>
  <c r="C520" i="2"/>
  <c r="B519" i="2"/>
  <c r="A521" i="2"/>
  <c r="K522" i="2" a="1"/>
  <c r="L521" i="2" a="1"/>
  <c r="J521" i="2" a="1"/>
  <c r="I521" i="2" a="1"/>
  <c r="H521" i="2" a="1"/>
  <c r="G521" i="2" a="1"/>
  <c r="F521" i="2" a="1"/>
  <c r="E521" i="2" a="1"/>
  <c r="D521" i="2" a="1"/>
  <c r="C521" i="2" a="1"/>
  <c r="B520" i="2" a="1"/>
  <c r="K522" i="2" l="1"/>
  <c r="L521" i="2"/>
  <c r="J521" i="2"/>
  <c r="I521" i="2"/>
  <c r="H521" i="2"/>
  <c r="G521" i="2"/>
  <c r="F521" i="2"/>
  <c r="E521" i="2"/>
  <c r="D521" i="2"/>
  <c r="C521" i="2"/>
  <c r="B520" i="2"/>
  <c r="A522" i="2"/>
  <c r="K523" i="2" a="1"/>
  <c r="L522" i="2" a="1"/>
  <c r="J522" i="2" a="1"/>
  <c r="I522" i="2" a="1"/>
  <c r="H522" i="2" a="1"/>
  <c r="G522" i="2" a="1"/>
  <c r="F522" i="2" a="1"/>
  <c r="E522" i="2" a="1"/>
  <c r="D522" i="2" a="1"/>
  <c r="C522" i="2" a="1"/>
  <c r="B521" i="2" a="1"/>
  <c r="K523" i="2" l="1"/>
  <c r="L522" i="2"/>
  <c r="J522" i="2"/>
  <c r="I522" i="2"/>
  <c r="H522" i="2"/>
  <c r="G522" i="2"/>
  <c r="F522" i="2"/>
  <c r="E522" i="2"/>
  <c r="D522" i="2"/>
  <c r="C522" i="2"/>
  <c r="B521" i="2"/>
  <c r="A523" i="2"/>
  <c r="K524" i="2" a="1"/>
  <c r="L523" i="2" a="1"/>
  <c r="J523" i="2" a="1"/>
  <c r="I523" i="2" a="1"/>
  <c r="H523" i="2" a="1"/>
  <c r="G523" i="2" a="1"/>
  <c r="F523" i="2" a="1"/>
  <c r="E523" i="2" a="1"/>
  <c r="D523" i="2" a="1"/>
  <c r="C523" i="2" a="1"/>
  <c r="B522" i="2" a="1"/>
  <c r="K524" i="2" l="1"/>
  <c r="L523" i="2"/>
  <c r="J523" i="2"/>
  <c r="I523" i="2"/>
  <c r="H523" i="2"/>
  <c r="G523" i="2"/>
  <c r="F523" i="2"/>
  <c r="E523" i="2"/>
  <c r="D523" i="2"/>
  <c r="C523" i="2"/>
  <c r="B522" i="2"/>
  <c r="A524" i="2"/>
  <c r="K525" i="2" a="1"/>
  <c r="L524" i="2" a="1"/>
  <c r="J524" i="2" a="1"/>
  <c r="I524" i="2" a="1"/>
  <c r="H524" i="2" a="1"/>
  <c r="G524" i="2" a="1"/>
  <c r="F524" i="2" a="1"/>
  <c r="E524" i="2" a="1"/>
  <c r="D524" i="2" a="1"/>
  <c r="C524" i="2" a="1"/>
  <c r="B523" i="2" a="1"/>
  <c r="K525" i="2" l="1"/>
  <c r="L524" i="2"/>
  <c r="J524" i="2"/>
  <c r="I524" i="2"/>
  <c r="H524" i="2"/>
  <c r="G524" i="2"/>
  <c r="F524" i="2"/>
  <c r="E524" i="2"/>
  <c r="D524" i="2"/>
  <c r="C524" i="2"/>
  <c r="B523" i="2"/>
  <c r="A525" i="2"/>
  <c r="K526" i="2" a="1"/>
  <c r="L525" i="2" a="1"/>
  <c r="J525" i="2" a="1"/>
  <c r="I525" i="2" a="1"/>
  <c r="H525" i="2" a="1"/>
  <c r="G525" i="2" a="1"/>
  <c r="F525" i="2" a="1"/>
  <c r="E525" i="2" a="1"/>
  <c r="D525" i="2" a="1"/>
  <c r="C525" i="2" a="1"/>
  <c r="B524" i="2" a="1"/>
  <c r="K526" i="2" l="1"/>
  <c r="L525" i="2"/>
  <c r="J525" i="2"/>
  <c r="I525" i="2"/>
  <c r="H525" i="2"/>
  <c r="G525" i="2"/>
  <c r="F525" i="2"/>
  <c r="E525" i="2"/>
  <c r="D525" i="2"/>
  <c r="C525" i="2"/>
  <c r="B524" i="2"/>
  <c r="A526" i="2"/>
  <c r="K527" i="2" a="1"/>
  <c r="L526" i="2" a="1"/>
  <c r="J526" i="2" a="1"/>
  <c r="I526" i="2" a="1"/>
  <c r="H526" i="2" a="1"/>
  <c r="G526" i="2" a="1"/>
  <c r="F526" i="2" a="1"/>
  <c r="E526" i="2" a="1"/>
  <c r="D526" i="2" a="1"/>
  <c r="C526" i="2" a="1"/>
  <c r="B525" i="2" a="1"/>
  <c r="K527" i="2" l="1"/>
  <c r="L526" i="2"/>
  <c r="J526" i="2"/>
  <c r="I526" i="2"/>
  <c r="H526" i="2"/>
  <c r="G526" i="2"/>
  <c r="F526" i="2"/>
  <c r="E526" i="2"/>
  <c r="D526" i="2"/>
  <c r="C526" i="2"/>
  <c r="B525" i="2"/>
  <c r="A527" i="2"/>
  <c r="K528" i="2" a="1"/>
  <c r="L527" i="2" a="1"/>
  <c r="J527" i="2" a="1"/>
  <c r="I527" i="2" a="1"/>
  <c r="H527" i="2" a="1"/>
  <c r="G527" i="2" a="1"/>
  <c r="F527" i="2" a="1"/>
  <c r="E527" i="2" a="1"/>
  <c r="D527" i="2" a="1"/>
  <c r="C527" i="2" a="1"/>
  <c r="B526" i="2" a="1"/>
  <c r="K528" i="2" l="1"/>
  <c r="L527" i="2"/>
  <c r="J527" i="2"/>
  <c r="I527" i="2"/>
  <c r="H527" i="2"/>
  <c r="G527" i="2"/>
  <c r="F527" i="2"/>
  <c r="E527" i="2"/>
  <c r="D527" i="2"/>
  <c r="C527" i="2"/>
  <c r="B526" i="2"/>
  <c r="A528" i="2"/>
  <c r="K529" i="2" a="1"/>
  <c r="L528" i="2" a="1"/>
  <c r="J528" i="2" a="1"/>
  <c r="I528" i="2" a="1"/>
  <c r="H528" i="2" a="1"/>
  <c r="G528" i="2" a="1"/>
  <c r="F528" i="2" a="1"/>
  <c r="E528" i="2" a="1"/>
  <c r="D528" i="2" a="1"/>
  <c r="C528" i="2" a="1"/>
  <c r="B527" i="2" a="1"/>
  <c r="K529" i="2" l="1"/>
  <c r="L528" i="2"/>
  <c r="J528" i="2"/>
  <c r="I528" i="2"/>
  <c r="H528" i="2"/>
  <c r="G528" i="2"/>
  <c r="F528" i="2"/>
  <c r="E528" i="2"/>
  <c r="D528" i="2"/>
  <c r="C528" i="2"/>
  <c r="B527" i="2"/>
  <c r="A529" i="2"/>
  <c r="K530" i="2" a="1"/>
  <c r="L529" i="2" a="1"/>
  <c r="J529" i="2" a="1"/>
  <c r="I529" i="2" a="1"/>
  <c r="H529" i="2" a="1"/>
  <c r="G529" i="2" a="1"/>
  <c r="F529" i="2" a="1"/>
  <c r="E529" i="2" a="1"/>
  <c r="D529" i="2" a="1"/>
  <c r="C529" i="2" a="1"/>
  <c r="B528" i="2" a="1"/>
  <c r="K530" i="2" l="1"/>
  <c r="L529" i="2"/>
  <c r="J529" i="2"/>
  <c r="I529" i="2"/>
  <c r="H529" i="2"/>
  <c r="G529" i="2"/>
  <c r="F529" i="2"/>
  <c r="E529" i="2"/>
  <c r="D529" i="2"/>
  <c r="C529" i="2"/>
  <c r="B528" i="2"/>
  <c r="A530" i="2"/>
  <c r="K531" i="2" a="1"/>
  <c r="L530" i="2" a="1"/>
  <c r="J530" i="2" a="1"/>
  <c r="I530" i="2" a="1"/>
  <c r="H530" i="2" a="1"/>
  <c r="G530" i="2" a="1"/>
  <c r="F530" i="2" a="1"/>
  <c r="E530" i="2" a="1"/>
  <c r="D530" i="2" a="1"/>
  <c r="C530" i="2" a="1"/>
  <c r="B529" i="2" a="1"/>
  <c r="K531" i="2" l="1"/>
  <c r="L530" i="2"/>
  <c r="J530" i="2"/>
  <c r="I530" i="2"/>
  <c r="H530" i="2"/>
  <c r="G530" i="2"/>
  <c r="F530" i="2"/>
  <c r="E530" i="2"/>
  <c r="D530" i="2"/>
  <c r="C530" i="2"/>
  <c r="B529" i="2"/>
  <c r="A531" i="2"/>
  <c r="K532" i="2" a="1"/>
  <c r="L531" i="2" a="1"/>
  <c r="J531" i="2" a="1"/>
  <c r="I531" i="2" a="1"/>
  <c r="H531" i="2" a="1"/>
  <c r="G531" i="2" a="1"/>
  <c r="F531" i="2" a="1"/>
  <c r="E531" i="2" a="1"/>
  <c r="D531" i="2" a="1"/>
  <c r="C531" i="2" a="1"/>
  <c r="B530" i="2" a="1"/>
  <c r="K532" i="2" l="1"/>
  <c r="L531" i="2"/>
  <c r="J531" i="2"/>
  <c r="I531" i="2"/>
  <c r="H531" i="2"/>
  <c r="G531" i="2"/>
  <c r="F531" i="2"/>
  <c r="E531" i="2"/>
  <c r="D531" i="2"/>
  <c r="C531" i="2"/>
  <c r="B530" i="2"/>
  <c r="A532" i="2"/>
  <c r="K533" i="2" a="1"/>
  <c r="L532" i="2" a="1"/>
  <c r="J532" i="2" a="1"/>
  <c r="I532" i="2" a="1"/>
  <c r="H532" i="2" a="1"/>
  <c r="G532" i="2" a="1"/>
  <c r="F532" i="2" a="1"/>
  <c r="E532" i="2" a="1"/>
  <c r="D532" i="2" a="1"/>
  <c r="C532" i="2" a="1"/>
  <c r="B531" i="2" a="1"/>
  <c r="K533" i="2" l="1"/>
  <c r="L532" i="2"/>
  <c r="J532" i="2"/>
  <c r="I532" i="2"/>
  <c r="H532" i="2"/>
  <c r="G532" i="2"/>
  <c r="F532" i="2"/>
  <c r="E532" i="2"/>
  <c r="D532" i="2"/>
  <c r="C532" i="2"/>
  <c r="B531" i="2"/>
  <c r="A533" i="2"/>
  <c r="K534" i="2" a="1"/>
  <c r="L533" i="2" a="1"/>
  <c r="J533" i="2" a="1"/>
  <c r="I533" i="2" a="1"/>
  <c r="H533" i="2" a="1"/>
  <c r="G533" i="2" a="1"/>
  <c r="F533" i="2" a="1"/>
  <c r="E533" i="2" a="1"/>
  <c r="D533" i="2" a="1"/>
  <c r="C533" i="2" a="1"/>
  <c r="B532" i="2" a="1"/>
  <c r="K534" i="2" l="1"/>
  <c r="L533" i="2"/>
  <c r="J533" i="2"/>
  <c r="I533" i="2"/>
  <c r="H533" i="2"/>
  <c r="G533" i="2"/>
  <c r="F533" i="2"/>
  <c r="E533" i="2"/>
  <c r="D533" i="2"/>
  <c r="C533" i="2"/>
  <c r="B532" i="2"/>
  <c r="A534" i="2"/>
  <c r="K535" i="2" a="1"/>
  <c r="L534" i="2" a="1"/>
  <c r="J534" i="2" a="1"/>
  <c r="I534" i="2" a="1"/>
  <c r="H534" i="2" a="1"/>
  <c r="G534" i="2" a="1"/>
  <c r="F534" i="2" a="1"/>
  <c r="E534" i="2" a="1"/>
  <c r="D534" i="2" a="1"/>
  <c r="C534" i="2" a="1"/>
  <c r="B533" i="2" a="1"/>
  <c r="K535" i="2" l="1"/>
  <c r="L534" i="2"/>
  <c r="J534" i="2"/>
  <c r="I534" i="2"/>
  <c r="H534" i="2"/>
  <c r="G534" i="2"/>
  <c r="F534" i="2"/>
  <c r="E534" i="2"/>
  <c r="D534" i="2"/>
  <c r="C534" i="2"/>
  <c r="B533" i="2"/>
  <c r="A535" i="2"/>
  <c r="K536" i="2" a="1"/>
  <c r="L535" i="2" a="1"/>
  <c r="J535" i="2" a="1"/>
  <c r="I535" i="2" a="1"/>
  <c r="H535" i="2" a="1"/>
  <c r="G535" i="2" a="1"/>
  <c r="F535" i="2" a="1"/>
  <c r="E535" i="2" a="1"/>
  <c r="D535" i="2" a="1"/>
  <c r="C535" i="2" a="1"/>
  <c r="B534" i="2" a="1"/>
  <c r="K536" i="2" l="1"/>
  <c r="L535" i="2"/>
  <c r="J535" i="2"/>
  <c r="I535" i="2"/>
  <c r="H535" i="2"/>
  <c r="G535" i="2"/>
  <c r="F535" i="2"/>
  <c r="E535" i="2"/>
  <c r="D535" i="2"/>
  <c r="C535" i="2"/>
  <c r="B534" i="2"/>
  <c r="A536" i="2"/>
  <c r="K537" i="2" a="1"/>
  <c r="L536" i="2" a="1"/>
  <c r="J536" i="2" a="1"/>
  <c r="I536" i="2" a="1"/>
  <c r="H536" i="2" a="1"/>
  <c r="G536" i="2" a="1"/>
  <c r="F536" i="2" a="1"/>
  <c r="E536" i="2" a="1"/>
  <c r="D536" i="2" a="1"/>
  <c r="C536" i="2" a="1"/>
  <c r="B535" i="2" a="1"/>
  <c r="K537" i="2" l="1"/>
  <c r="L536" i="2"/>
  <c r="J536" i="2"/>
  <c r="I536" i="2"/>
  <c r="H536" i="2"/>
  <c r="G536" i="2"/>
  <c r="F536" i="2"/>
  <c r="E536" i="2"/>
  <c r="D536" i="2"/>
  <c r="C536" i="2"/>
  <c r="B535" i="2"/>
  <c r="A537" i="2"/>
  <c r="K538" i="2" a="1"/>
  <c r="L537" i="2" a="1"/>
  <c r="J537" i="2" a="1"/>
  <c r="I537" i="2" a="1"/>
  <c r="H537" i="2" a="1"/>
  <c r="G537" i="2" a="1"/>
  <c r="F537" i="2" a="1"/>
  <c r="E537" i="2" a="1"/>
  <c r="D537" i="2" a="1"/>
  <c r="C537" i="2" a="1"/>
  <c r="B536" i="2" a="1"/>
  <c r="K538" i="2" l="1"/>
  <c r="L537" i="2"/>
  <c r="J537" i="2"/>
  <c r="I537" i="2"/>
  <c r="H537" i="2"/>
  <c r="G537" i="2"/>
  <c r="F537" i="2"/>
  <c r="E537" i="2"/>
  <c r="D537" i="2"/>
  <c r="C537" i="2"/>
  <c r="B536" i="2"/>
  <c r="A538" i="2"/>
  <c r="K539" i="2" a="1"/>
  <c r="L538" i="2" a="1"/>
  <c r="J538" i="2" a="1"/>
  <c r="I538" i="2" a="1"/>
  <c r="H538" i="2" a="1"/>
  <c r="G538" i="2" a="1"/>
  <c r="F538" i="2" a="1"/>
  <c r="E538" i="2" a="1"/>
  <c r="D538" i="2" a="1"/>
  <c r="C538" i="2" a="1"/>
  <c r="B537" i="2" a="1"/>
  <c r="K539" i="2" l="1"/>
  <c r="L538" i="2"/>
  <c r="J538" i="2"/>
  <c r="I538" i="2"/>
  <c r="H538" i="2"/>
  <c r="G538" i="2"/>
  <c r="F538" i="2"/>
  <c r="E538" i="2"/>
  <c r="D538" i="2"/>
  <c r="C538" i="2"/>
  <c r="B537" i="2"/>
  <c r="A539" i="2"/>
  <c r="K540" i="2" a="1"/>
  <c r="L539" i="2" a="1"/>
  <c r="J539" i="2" a="1"/>
  <c r="I539" i="2" a="1"/>
  <c r="H539" i="2" a="1"/>
  <c r="G539" i="2" a="1"/>
  <c r="F539" i="2" a="1"/>
  <c r="E539" i="2" a="1"/>
  <c r="D539" i="2" a="1"/>
  <c r="C539" i="2" a="1"/>
  <c r="B538" i="2" a="1"/>
  <c r="K540" i="2" l="1"/>
  <c r="L539" i="2"/>
  <c r="J539" i="2"/>
  <c r="I539" i="2"/>
  <c r="H539" i="2"/>
  <c r="G539" i="2"/>
  <c r="F539" i="2"/>
  <c r="E539" i="2"/>
  <c r="D539" i="2"/>
  <c r="C539" i="2"/>
  <c r="B538" i="2"/>
  <c r="A540" i="2"/>
  <c r="K541" i="2" a="1"/>
  <c r="L540" i="2" a="1"/>
  <c r="J540" i="2" a="1"/>
  <c r="I540" i="2" a="1"/>
  <c r="H540" i="2" a="1"/>
  <c r="G540" i="2" a="1"/>
  <c r="F540" i="2" a="1"/>
  <c r="E540" i="2" a="1"/>
  <c r="D540" i="2" a="1"/>
  <c r="C540" i="2" a="1"/>
  <c r="B539" i="2" a="1"/>
  <c r="K541" i="2" l="1"/>
  <c r="L540" i="2"/>
  <c r="J540" i="2"/>
  <c r="I540" i="2"/>
  <c r="H540" i="2"/>
  <c r="G540" i="2"/>
  <c r="F540" i="2"/>
  <c r="E540" i="2"/>
  <c r="D540" i="2"/>
  <c r="C540" i="2"/>
  <c r="B539" i="2"/>
  <c r="A541" i="2"/>
  <c r="K542" i="2" a="1"/>
  <c r="L541" i="2" a="1"/>
  <c r="J541" i="2" a="1"/>
  <c r="I541" i="2" a="1"/>
  <c r="H541" i="2" a="1"/>
  <c r="G541" i="2" a="1"/>
  <c r="F541" i="2" a="1"/>
  <c r="E541" i="2" a="1"/>
  <c r="D541" i="2" a="1"/>
  <c r="C541" i="2" a="1"/>
  <c r="B540" i="2" a="1"/>
  <c r="K542" i="2" l="1"/>
  <c r="L541" i="2"/>
  <c r="J541" i="2"/>
  <c r="I541" i="2"/>
  <c r="H541" i="2"/>
  <c r="G541" i="2"/>
  <c r="F541" i="2"/>
  <c r="E541" i="2"/>
  <c r="D541" i="2"/>
  <c r="C541" i="2"/>
  <c r="B540" i="2"/>
  <c r="A542" i="2"/>
  <c r="K543" i="2" a="1"/>
  <c r="L542" i="2" a="1"/>
  <c r="J542" i="2" a="1"/>
  <c r="I542" i="2" a="1"/>
  <c r="H542" i="2" a="1"/>
  <c r="G542" i="2" a="1"/>
  <c r="F542" i="2" a="1"/>
  <c r="E542" i="2" a="1"/>
  <c r="D542" i="2" a="1"/>
  <c r="C542" i="2" a="1"/>
  <c r="B541" i="2" a="1"/>
  <c r="K543" i="2" l="1"/>
  <c r="L542" i="2"/>
  <c r="J542" i="2"/>
  <c r="I542" i="2"/>
  <c r="H542" i="2"/>
  <c r="G542" i="2"/>
  <c r="F542" i="2"/>
  <c r="E542" i="2"/>
  <c r="D542" i="2"/>
  <c r="C542" i="2"/>
  <c r="B541" i="2"/>
  <c r="A543" i="2"/>
  <c r="K544" i="2" a="1"/>
  <c r="L543" i="2" a="1"/>
  <c r="J543" i="2" a="1"/>
  <c r="I543" i="2" a="1"/>
  <c r="H543" i="2" a="1"/>
  <c r="G543" i="2" a="1"/>
  <c r="F543" i="2" a="1"/>
  <c r="E543" i="2" a="1"/>
  <c r="D543" i="2" a="1"/>
  <c r="C543" i="2" a="1"/>
  <c r="B542" i="2" a="1"/>
  <c r="K544" i="2" l="1"/>
  <c r="L543" i="2"/>
  <c r="J543" i="2"/>
  <c r="I543" i="2"/>
  <c r="H543" i="2"/>
  <c r="G543" i="2"/>
  <c r="F543" i="2"/>
  <c r="E543" i="2"/>
  <c r="D543" i="2"/>
  <c r="C543" i="2"/>
  <c r="B542" i="2"/>
  <c r="A544" i="2"/>
  <c r="K545" i="2" a="1"/>
  <c r="L544" i="2" a="1"/>
  <c r="J544" i="2" a="1"/>
  <c r="I544" i="2" a="1"/>
  <c r="H544" i="2" a="1"/>
  <c r="G544" i="2" a="1"/>
  <c r="F544" i="2" a="1"/>
  <c r="E544" i="2" a="1"/>
  <c r="D544" i="2" a="1"/>
  <c r="C544" i="2" a="1"/>
  <c r="B543" i="2" a="1"/>
  <c r="K545" i="2" l="1"/>
  <c r="L544" i="2"/>
  <c r="J544" i="2"/>
  <c r="I544" i="2"/>
  <c r="H544" i="2"/>
  <c r="G544" i="2"/>
  <c r="F544" i="2"/>
  <c r="E544" i="2"/>
  <c r="D544" i="2"/>
  <c r="C544" i="2"/>
  <c r="B543" i="2"/>
  <c r="A545" i="2"/>
  <c r="K546" i="2" a="1"/>
  <c r="L545" i="2" a="1"/>
  <c r="J545" i="2" a="1"/>
  <c r="I545" i="2" a="1"/>
  <c r="H545" i="2" a="1"/>
  <c r="G545" i="2" a="1"/>
  <c r="F545" i="2" a="1"/>
  <c r="E545" i="2" a="1"/>
  <c r="D545" i="2" a="1"/>
  <c r="C545" i="2" a="1"/>
  <c r="B544" i="2" a="1"/>
  <c r="K546" i="2" l="1"/>
  <c r="L545" i="2"/>
  <c r="J545" i="2"/>
  <c r="I545" i="2"/>
  <c r="H545" i="2"/>
  <c r="G545" i="2"/>
  <c r="F545" i="2"/>
  <c r="E545" i="2"/>
  <c r="D545" i="2"/>
  <c r="C545" i="2"/>
  <c r="B544" i="2"/>
  <c r="A546" i="2"/>
  <c r="K547" i="2" a="1"/>
  <c r="L546" i="2" a="1"/>
  <c r="J546" i="2" a="1"/>
  <c r="I546" i="2" a="1"/>
  <c r="H546" i="2" a="1"/>
  <c r="G546" i="2" a="1"/>
  <c r="F546" i="2" a="1"/>
  <c r="E546" i="2" a="1"/>
  <c r="D546" i="2" a="1"/>
  <c r="C546" i="2" a="1"/>
  <c r="B545" i="2" a="1"/>
  <c r="K547" i="2" l="1"/>
  <c r="L546" i="2"/>
  <c r="J546" i="2"/>
  <c r="I546" i="2"/>
  <c r="H546" i="2"/>
  <c r="G546" i="2"/>
  <c r="F546" i="2"/>
  <c r="E546" i="2"/>
  <c r="D546" i="2"/>
  <c r="C546" i="2"/>
  <c r="B545" i="2"/>
  <c r="A547" i="2"/>
  <c r="K548" i="2" a="1"/>
  <c r="L547" i="2" a="1"/>
  <c r="J547" i="2" a="1"/>
  <c r="I547" i="2" a="1"/>
  <c r="H547" i="2" a="1"/>
  <c r="G547" i="2" a="1"/>
  <c r="F547" i="2" a="1"/>
  <c r="E547" i="2" a="1"/>
  <c r="D547" i="2" a="1"/>
  <c r="C547" i="2" a="1"/>
  <c r="B546" i="2" a="1"/>
  <c r="K548" i="2" l="1"/>
  <c r="L547" i="2"/>
  <c r="J547" i="2"/>
  <c r="I547" i="2"/>
  <c r="H547" i="2"/>
  <c r="G547" i="2"/>
  <c r="F547" i="2"/>
  <c r="E547" i="2"/>
  <c r="D547" i="2"/>
  <c r="C547" i="2"/>
  <c r="B546" i="2"/>
  <c r="A548" i="2"/>
  <c r="K549" i="2" a="1"/>
  <c r="L548" i="2" a="1"/>
  <c r="J548" i="2" a="1"/>
  <c r="I548" i="2" a="1"/>
  <c r="H548" i="2" a="1"/>
  <c r="G548" i="2" a="1"/>
  <c r="F548" i="2" a="1"/>
  <c r="E548" i="2" a="1"/>
  <c r="D548" i="2" a="1"/>
  <c r="C548" i="2" a="1"/>
  <c r="B547" i="2" a="1"/>
  <c r="K549" i="2" l="1"/>
  <c r="L548" i="2"/>
  <c r="J548" i="2"/>
  <c r="I548" i="2"/>
  <c r="H548" i="2"/>
  <c r="G548" i="2"/>
  <c r="F548" i="2"/>
  <c r="E548" i="2"/>
  <c r="D548" i="2"/>
  <c r="C548" i="2"/>
  <c r="B547" i="2"/>
  <c r="A549" i="2"/>
  <c r="K550" i="2" a="1"/>
  <c r="L549" i="2" a="1"/>
  <c r="J549" i="2" a="1"/>
  <c r="I549" i="2" a="1"/>
  <c r="H549" i="2" a="1"/>
  <c r="G549" i="2" a="1"/>
  <c r="F549" i="2" a="1"/>
  <c r="E549" i="2" a="1"/>
  <c r="D549" i="2" a="1"/>
  <c r="C549" i="2" a="1"/>
  <c r="B548" i="2" a="1"/>
  <c r="K550" i="2" l="1"/>
  <c r="L549" i="2"/>
  <c r="J549" i="2"/>
  <c r="I549" i="2"/>
  <c r="H549" i="2"/>
  <c r="G549" i="2"/>
  <c r="F549" i="2"/>
  <c r="E549" i="2"/>
  <c r="D549" i="2"/>
  <c r="C549" i="2"/>
  <c r="B548" i="2"/>
  <c r="A550" i="2"/>
  <c r="K551" i="2" a="1"/>
  <c r="L550" i="2" a="1"/>
  <c r="J550" i="2" a="1"/>
  <c r="I550" i="2" a="1"/>
  <c r="H550" i="2" a="1"/>
  <c r="G550" i="2" a="1"/>
  <c r="F550" i="2" a="1"/>
  <c r="E550" i="2" a="1"/>
  <c r="D550" i="2" a="1"/>
  <c r="C550" i="2" a="1"/>
  <c r="B549" i="2" a="1"/>
  <c r="K551" i="2" l="1"/>
  <c r="L550" i="2"/>
  <c r="J550" i="2"/>
  <c r="I550" i="2"/>
  <c r="H550" i="2"/>
  <c r="G550" i="2"/>
  <c r="F550" i="2"/>
  <c r="E550" i="2"/>
  <c r="D550" i="2"/>
  <c r="C550" i="2"/>
  <c r="B549" i="2"/>
  <c r="A551" i="2"/>
  <c r="K552" i="2" a="1"/>
  <c r="L551" i="2" a="1"/>
  <c r="J551" i="2" a="1"/>
  <c r="I551" i="2" a="1"/>
  <c r="H551" i="2" a="1"/>
  <c r="G551" i="2" a="1"/>
  <c r="F551" i="2" a="1"/>
  <c r="E551" i="2" a="1"/>
  <c r="D551" i="2" a="1"/>
  <c r="C551" i="2" a="1"/>
  <c r="B550" i="2" a="1"/>
  <c r="K552" i="2" l="1"/>
  <c r="L551" i="2"/>
  <c r="J551" i="2"/>
  <c r="I551" i="2"/>
  <c r="H551" i="2"/>
  <c r="G551" i="2"/>
  <c r="F551" i="2"/>
  <c r="E551" i="2"/>
  <c r="D551" i="2"/>
  <c r="C551" i="2"/>
  <c r="B550" i="2"/>
  <c r="A552" i="2"/>
  <c r="K553" i="2" a="1"/>
  <c r="L552" i="2" a="1"/>
  <c r="J552" i="2" a="1"/>
  <c r="I552" i="2" a="1"/>
  <c r="H552" i="2" a="1"/>
  <c r="G552" i="2" a="1"/>
  <c r="F552" i="2" a="1"/>
  <c r="E552" i="2" a="1"/>
  <c r="D552" i="2" a="1"/>
  <c r="C552" i="2" a="1"/>
  <c r="B551" i="2" a="1"/>
  <c r="K553" i="2" l="1"/>
  <c r="L552" i="2"/>
  <c r="J552" i="2"/>
  <c r="I552" i="2"/>
  <c r="H552" i="2"/>
  <c r="G552" i="2"/>
  <c r="F552" i="2"/>
  <c r="E552" i="2"/>
  <c r="D552" i="2"/>
  <c r="C552" i="2"/>
  <c r="B551" i="2"/>
  <c r="A553" i="2"/>
  <c r="K554" i="2" a="1"/>
  <c r="L553" i="2" a="1"/>
  <c r="J553" i="2" a="1"/>
  <c r="I553" i="2" a="1"/>
  <c r="H553" i="2" a="1"/>
  <c r="G553" i="2" a="1"/>
  <c r="F553" i="2" a="1"/>
  <c r="E553" i="2" a="1"/>
  <c r="D553" i="2" a="1"/>
  <c r="C553" i="2" a="1"/>
  <c r="B552" i="2" a="1"/>
  <c r="K554" i="2" l="1"/>
  <c r="L553" i="2"/>
  <c r="J553" i="2"/>
  <c r="I553" i="2"/>
  <c r="H553" i="2"/>
  <c r="G553" i="2"/>
  <c r="F553" i="2"/>
  <c r="E553" i="2"/>
  <c r="D553" i="2"/>
  <c r="C553" i="2"/>
  <c r="B552" i="2"/>
  <c r="A554" i="2"/>
  <c r="K555" i="2" a="1"/>
  <c r="L554" i="2" a="1"/>
  <c r="J554" i="2" a="1"/>
  <c r="I554" i="2" a="1"/>
  <c r="H554" i="2" a="1"/>
  <c r="G554" i="2" a="1"/>
  <c r="F554" i="2" a="1"/>
  <c r="E554" i="2" a="1"/>
  <c r="D554" i="2" a="1"/>
  <c r="C554" i="2" a="1"/>
  <c r="B553" i="2" a="1"/>
  <c r="K555" i="2" l="1"/>
  <c r="L554" i="2"/>
  <c r="J554" i="2"/>
  <c r="I554" i="2"/>
  <c r="H554" i="2"/>
  <c r="G554" i="2"/>
  <c r="F554" i="2"/>
  <c r="E554" i="2"/>
  <c r="D554" i="2"/>
  <c r="C554" i="2"/>
  <c r="B553" i="2"/>
  <c r="A555" i="2"/>
  <c r="K556" i="2" a="1"/>
  <c r="L555" i="2" a="1"/>
  <c r="J555" i="2" a="1"/>
  <c r="I555" i="2" a="1"/>
  <c r="H555" i="2" a="1"/>
  <c r="G555" i="2" a="1"/>
  <c r="F555" i="2" a="1"/>
  <c r="E555" i="2" a="1"/>
  <c r="D555" i="2" a="1"/>
  <c r="C555" i="2" a="1"/>
  <c r="B554" i="2" a="1"/>
  <c r="K556" i="2" l="1"/>
  <c r="L555" i="2"/>
  <c r="J555" i="2"/>
  <c r="I555" i="2"/>
  <c r="H555" i="2"/>
  <c r="G555" i="2"/>
  <c r="F555" i="2"/>
  <c r="E555" i="2"/>
  <c r="D555" i="2"/>
  <c r="C555" i="2"/>
  <c r="B554" i="2"/>
  <c r="A556" i="2"/>
  <c r="K557" i="2" a="1"/>
  <c r="L556" i="2" a="1"/>
  <c r="J556" i="2" a="1"/>
  <c r="I556" i="2" a="1"/>
  <c r="H556" i="2" a="1"/>
  <c r="G556" i="2" a="1"/>
  <c r="F556" i="2" a="1"/>
  <c r="E556" i="2" a="1"/>
  <c r="D556" i="2" a="1"/>
  <c r="C556" i="2" a="1"/>
  <c r="B555" i="2" a="1"/>
  <c r="K557" i="2" l="1"/>
  <c r="L556" i="2"/>
  <c r="J556" i="2"/>
  <c r="I556" i="2"/>
  <c r="H556" i="2"/>
  <c r="G556" i="2"/>
  <c r="F556" i="2"/>
  <c r="E556" i="2"/>
  <c r="D556" i="2"/>
  <c r="C556" i="2"/>
  <c r="B555" i="2"/>
  <c r="A557" i="2"/>
  <c r="K558" i="2" a="1"/>
  <c r="L557" i="2" a="1"/>
  <c r="J557" i="2" a="1"/>
  <c r="I557" i="2" a="1"/>
  <c r="H557" i="2" a="1"/>
  <c r="G557" i="2" a="1"/>
  <c r="F557" i="2" a="1"/>
  <c r="E557" i="2" a="1"/>
  <c r="D557" i="2" a="1"/>
  <c r="C557" i="2" a="1"/>
  <c r="B556" i="2" a="1"/>
  <c r="K558" i="2" l="1"/>
  <c r="L557" i="2"/>
  <c r="J557" i="2"/>
  <c r="I557" i="2"/>
  <c r="H557" i="2"/>
  <c r="G557" i="2"/>
  <c r="F557" i="2"/>
  <c r="E557" i="2"/>
  <c r="D557" i="2"/>
  <c r="C557" i="2"/>
  <c r="B556" i="2"/>
  <c r="A558" i="2"/>
  <c r="K559" i="2" a="1"/>
  <c r="L558" i="2" a="1"/>
  <c r="J558" i="2" a="1"/>
  <c r="I558" i="2" a="1"/>
  <c r="H558" i="2" a="1"/>
  <c r="G558" i="2" a="1"/>
  <c r="F558" i="2" a="1"/>
  <c r="E558" i="2" a="1"/>
  <c r="D558" i="2" a="1"/>
  <c r="C558" i="2" a="1"/>
  <c r="B557" i="2" a="1"/>
  <c r="K559" i="2" l="1"/>
  <c r="L558" i="2"/>
  <c r="J558" i="2"/>
  <c r="I558" i="2"/>
  <c r="H558" i="2"/>
  <c r="G558" i="2"/>
  <c r="F558" i="2"/>
  <c r="E558" i="2"/>
  <c r="D558" i="2"/>
  <c r="C558" i="2"/>
  <c r="B557" i="2"/>
  <c r="A559" i="2"/>
  <c r="K560" i="2" a="1"/>
  <c r="L559" i="2" a="1"/>
  <c r="J559" i="2" a="1"/>
  <c r="I559" i="2" a="1"/>
  <c r="H559" i="2" a="1"/>
  <c r="G559" i="2" a="1"/>
  <c r="F559" i="2" a="1"/>
  <c r="E559" i="2" a="1"/>
  <c r="D559" i="2" a="1"/>
  <c r="C559" i="2" a="1"/>
  <c r="B558" i="2" a="1"/>
  <c r="K560" i="2" l="1"/>
  <c r="L559" i="2"/>
  <c r="J559" i="2"/>
  <c r="I559" i="2"/>
  <c r="H559" i="2"/>
  <c r="G559" i="2"/>
  <c r="F559" i="2"/>
  <c r="E559" i="2"/>
  <c r="D559" i="2"/>
  <c r="C559" i="2"/>
  <c r="B558" i="2"/>
  <c r="A560" i="2"/>
  <c r="K561" i="2" a="1"/>
  <c r="L560" i="2" a="1"/>
  <c r="J560" i="2" a="1"/>
  <c r="I560" i="2" a="1"/>
  <c r="H560" i="2" a="1"/>
  <c r="G560" i="2" a="1"/>
  <c r="F560" i="2" a="1"/>
  <c r="E560" i="2" a="1"/>
  <c r="D560" i="2" a="1"/>
  <c r="C560" i="2" a="1"/>
  <c r="B559" i="2" a="1"/>
  <c r="K561" i="2" l="1"/>
  <c r="L560" i="2"/>
  <c r="J560" i="2"/>
  <c r="I560" i="2"/>
  <c r="H560" i="2"/>
  <c r="G560" i="2"/>
  <c r="F560" i="2"/>
  <c r="E560" i="2"/>
  <c r="D560" i="2"/>
  <c r="C560" i="2"/>
  <c r="B559" i="2"/>
  <c r="A561" i="2"/>
  <c r="K562" i="2" a="1"/>
  <c r="L561" i="2" a="1"/>
  <c r="J561" i="2" a="1"/>
  <c r="I561" i="2" a="1"/>
  <c r="H561" i="2" a="1"/>
  <c r="G561" i="2" a="1"/>
  <c r="F561" i="2" a="1"/>
  <c r="E561" i="2" a="1"/>
  <c r="D561" i="2" a="1"/>
  <c r="C561" i="2" a="1"/>
  <c r="B560" i="2" a="1"/>
  <c r="K562" i="2" l="1"/>
  <c r="L561" i="2"/>
  <c r="J561" i="2"/>
  <c r="I561" i="2"/>
  <c r="H561" i="2"/>
  <c r="G561" i="2"/>
  <c r="F561" i="2"/>
  <c r="E561" i="2"/>
  <c r="D561" i="2"/>
  <c r="C561" i="2"/>
  <c r="B560" i="2"/>
  <c r="A562" i="2"/>
  <c r="K563" i="2" a="1"/>
  <c r="L562" i="2" a="1"/>
  <c r="J562" i="2" a="1"/>
  <c r="I562" i="2" a="1"/>
  <c r="H562" i="2" a="1"/>
  <c r="G562" i="2" a="1"/>
  <c r="F562" i="2" a="1"/>
  <c r="E562" i="2" a="1"/>
  <c r="D562" i="2" a="1"/>
  <c r="C562" i="2" a="1"/>
  <c r="B561" i="2" a="1"/>
  <c r="K563" i="2" l="1"/>
  <c r="L562" i="2"/>
  <c r="J562" i="2"/>
  <c r="I562" i="2"/>
  <c r="H562" i="2"/>
  <c r="G562" i="2"/>
  <c r="F562" i="2"/>
  <c r="E562" i="2"/>
  <c r="D562" i="2"/>
  <c r="C562" i="2"/>
  <c r="B561" i="2"/>
  <c r="A563" i="2"/>
  <c r="K564" i="2" a="1"/>
  <c r="L563" i="2" a="1"/>
  <c r="J563" i="2" a="1"/>
  <c r="I563" i="2" a="1"/>
  <c r="H563" i="2" a="1"/>
  <c r="G563" i="2" a="1"/>
  <c r="F563" i="2" a="1"/>
  <c r="E563" i="2" a="1"/>
  <c r="D563" i="2" a="1"/>
  <c r="C563" i="2" a="1"/>
  <c r="B562" i="2" a="1"/>
  <c r="K564" i="2" l="1"/>
  <c r="L563" i="2"/>
  <c r="J563" i="2"/>
  <c r="I563" i="2"/>
  <c r="H563" i="2"/>
  <c r="G563" i="2"/>
  <c r="F563" i="2"/>
  <c r="E563" i="2"/>
  <c r="D563" i="2"/>
  <c r="C563" i="2"/>
  <c r="B562" i="2"/>
  <c r="A564" i="2"/>
  <c r="K565" i="2" a="1"/>
  <c r="L564" i="2" a="1"/>
  <c r="J564" i="2" a="1"/>
  <c r="I564" i="2" a="1"/>
  <c r="H564" i="2" a="1"/>
  <c r="G564" i="2" a="1"/>
  <c r="F564" i="2" a="1"/>
  <c r="E564" i="2" a="1"/>
  <c r="D564" i="2" a="1"/>
  <c r="C564" i="2" a="1"/>
  <c r="B563" i="2" a="1"/>
  <c r="K565" i="2" l="1"/>
  <c r="L564" i="2"/>
  <c r="J564" i="2"/>
  <c r="I564" i="2"/>
  <c r="H564" i="2"/>
  <c r="G564" i="2"/>
  <c r="F564" i="2"/>
  <c r="E564" i="2"/>
  <c r="D564" i="2"/>
  <c r="C564" i="2"/>
  <c r="B563" i="2"/>
  <c r="A565" i="2"/>
  <c r="K566" i="2" a="1"/>
  <c r="L565" i="2" a="1"/>
  <c r="J565" i="2" a="1"/>
  <c r="I565" i="2" a="1"/>
  <c r="H565" i="2" a="1"/>
  <c r="G565" i="2" a="1"/>
  <c r="F565" i="2" a="1"/>
  <c r="E565" i="2" a="1"/>
  <c r="D565" i="2" a="1"/>
  <c r="C565" i="2" a="1"/>
  <c r="B564" i="2" a="1"/>
  <c r="K566" i="2" l="1"/>
  <c r="L565" i="2"/>
  <c r="J565" i="2"/>
  <c r="I565" i="2"/>
  <c r="H565" i="2"/>
  <c r="G565" i="2"/>
  <c r="F565" i="2"/>
  <c r="E565" i="2"/>
  <c r="D565" i="2"/>
  <c r="C565" i="2"/>
  <c r="B564" i="2"/>
  <c r="A566" i="2"/>
  <c r="K567" i="2" a="1"/>
  <c r="L566" i="2" a="1"/>
  <c r="J566" i="2" a="1"/>
  <c r="I566" i="2" a="1"/>
  <c r="H566" i="2" a="1"/>
  <c r="G566" i="2" a="1"/>
  <c r="F566" i="2" a="1"/>
  <c r="E566" i="2" a="1"/>
  <c r="D566" i="2" a="1"/>
  <c r="C566" i="2" a="1"/>
  <c r="B565" i="2" a="1"/>
  <c r="K567" i="2" l="1"/>
  <c r="L566" i="2"/>
  <c r="J566" i="2"/>
  <c r="I566" i="2"/>
  <c r="H566" i="2"/>
  <c r="G566" i="2"/>
  <c r="F566" i="2"/>
  <c r="E566" i="2"/>
  <c r="D566" i="2"/>
  <c r="C566" i="2"/>
  <c r="B565" i="2"/>
  <c r="A567" i="2"/>
  <c r="K568" i="2" a="1"/>
  <c r="L567" i="2" a="1"/>
  <c r="J567" i="2" a="1"/>
  <c r="I567" i="2" a="1"/>
  <c r="H567" i="2" a="1"/>
  <c r="G567" i="2" a="1"/>
  <c r="F567" i="2" a="1"/>
  <c r="E567" i="2" a="1"/>
  <c r="D567" i="2" a="1"/>
  <c r="C567" i="2" a="1"/>
  <c r="B566" i="2" a="1"/>
  <c r="K568" i="2" l="1"/>
  <c r="L567" i="2"/>
  <c r="J567" i="2"/>
  <c r="I567" i="2"/>
  <c r="H567" i="2"/>
  <c r="G567" i="2"/>
  <c r="F567" i="2"/>
  <c r="E567" i="2"/>
  <c r="D567" i="2"/>
  <c r="C567" i="2"/>
  <c r="B566" i="2"/>
  <c r="A568" i="2"/>
  <c r="K569" i="2" a="1"/>
  <c r="L568" i="2" a="1"/>
  <c r="J568" i="2" a="1"/>
  <c r="I568" i="2" a="1"/>
  <c r="H568" i="2" a="1"/>
  <c r="G568" i="2" a="1"/>
  <c r="F568" i="2" a="1"/>
  <c r="E568" i="2" a="1"/>
  <c r="D568" i="2" a="1"/>
  <c r="C568" i="2" a="1"/>
  <c r="B567" i="2" a="1"/>
  <c r="K569" i="2" l="1"/>
  <c r="L568" i="2"/>
  <c r="J568" i="2"/>
  <c r="I568" i="2"/>
  <c r="H568" i="2"/>
  <c r="G568" i="2"/>
  <c r="F568" i="2"/>
  <c r="E568" i="2"/>
  <c r="D568" i="2"/>
  <c r="C568" i="2"/>
  <c r="B567" i="2"/>
  <c r="A569" i="2"/>
  <c r="K570" i="2" a="1"/>
  <c r="L569" i="2" a="1"/>
  <c r="J569" i="2" a="1"/>
  <c r="I569" i="2" a="1"/>
  <c r="H569" i="2" a="1"/>
  <c r="G569" i="2" a="1"/>
  <c r="F569" i="2" a="1"/>
  <c r="E569" i="2" a="1"/>
  <c r="D569" i="2" a="1"/>
  <c r="C569" i="2" a="1"/>
  <c r="B568" i="2" a="1"/>
  <c r="K570" i="2" l="1"/>
  <c r="L569" i="2"/>
  <c r="J569" i="2"/>
  <c r="I569" i="2"/>
  <c r="H569" i="2"/>
  <c r="G569" i="2"/>
  <c r="F569" i="2"/>
  <c r="E569" i="2"/>
  <c r="D569" i="2"/>
  <c r="C569" i="2"/>
  <c r="B568" i="2"/>
  <c r="A570" i="2"/>
  <c r="K571" i="2" a="1"/>
  <c r="L570" i="2" a="1"/>
  <c r="J570" i="2" a="1"/>
  <c r="I570" i="2" a="1"/>
  <c r="H570" i="2" a="1"/>
  <c r="G570" i="2" a="1"/>
  <c r="F570" i="2" a="1"/>
  <c r="E570" i="2" a="1"/>
  <c r="D570" i="2" a="1"/>
  <c r="C570" i="2" a="1"/>
  <c r="B569" i="2" a="1"/>
  <c r="K571" i="2" l="1"/>
  <c r="L570" i="2"/>
  <c r="J570" i="2"/>
  <c r="I570" i="2"/>
  <c r="H570" i="2"/>
  <c r="G570" i="2"/>
  <c r="F570" i="2"/>
  <c r="E570" i="2"/>
  <c r="D570" i="2"/>
  <c r="C570" i="2"/>
  <c r="B569" i="2"/>
  <c r="A571" i="2"/>
  <c r="K572" i="2" a="1"/>
  <c r="L571" i="2" a="1"/>
  <c r="J571" i="2" a="1"/>
  <c r="I571" i="2" a="1"/>
  <c r="H571" i="2" a="1"/>
  <c r="G571" i="2" a="1"/>
  <c r="F571" i="2" a="1"/>
  <c r="E571" i="2" a="1"/>
  <c r="D571" i="2" a="1"/>
  <c r="C571" i="2" a="1"/>
  <c r="B570" i="2" a="1"/>
  <c r="K572" i="2" l="1"/>
  <c r="L571" i="2"/>
  <c r="J571" i="2"/>
  <c r="I571" i="2"/>
  <c r="H571" i="2"/>
  <c r="G571" i="2"/>
  <c r="F571" i="2"/>
  <c r="E571" i="2"/>
  <c r="D571" i="2"/>
  <c r="C571" i="2"/>
  <c r="B570" i="2"/>
  <c r="A572" i="2"/>
  <c r="K573" i="2" a="1"/>
  <c r="L572" i="2" a="1"/>
  <c r="J572" i="2" a="1"/>
  <c r="I572" i="2" a="1"/>
  <c r="H572" i="2" a="1"/>
  <c r="G572" i="2" a="1"/>
  <c r="F572" i="2" a="1"/>
  <c r="E572" i="2" a="1"/>
  <c r="D572" i="2" a="1"/>
  <c r="C572" i="2" a="1"/>
  <c r="B571" i="2" a="1"/>
  <c r="K573" i="2" l="1"/>
  <c r="L572" i="2"/>
  <c r="J572" i="2"/>
  <c r="I572" i="2"/>
  <c r="H572" i="2"/>
  <c r="G572" i="2"/>
  <c r="F572" i="2"/>
  <c r="E572" i="2"/>
  <c r="D572" i="2"/>
  <c r="C572" i="2"/>
  <c r="B571" i="2"/>
  <c r="A573" i="2"/>
  <c r="K574" i="2" a="1"/>
  <c r="L573" i="2" a="1"/>
  <c r="J573" i="2" a="1"/>
  <c r="I573" i="2" a="1"/>
  <c r="H573" i="2" a="1"/>
  <c r="G573" i="2" a="1"/>
  <c r="F573" i="2" a="1"/>
  <c r="E573" i="2" a="1"/>
  <c r="D573" i="2" a="1"/>
  <c r="C573" i="2" a="1"/>
  <c r="B572" i="2" a="1"/>
  <c r="K574" i="2" l="1"/>
  <c r="L573" i="2"/>
  <c r="J573" i="2"/>
  <c r="I573" i="2"/>
  <c r="H573" i="2"/>
  <c r="G573" i="2"/>
  <c r="F573" i="2"/>
  <c r="E573" i="2"/>
  <c r="D573" i="2"/>
  <c r="C573" i="2"/>
  <c r="B572" i="2"/>
  <c r="A574" i="2"/>
  <c r="K575" i="2" a="1"/>
  <c r="L574" i="2" a="1"/>
  <c r="J574" i="2" a="1"/>
  <c r="I574" i="2" a="1"/>
  <c r="H574" i="2" a="1"/>
  <c r="G574" i="2" a="1"/>
  <c r="F574" i="2" a="1"/>
  <c r="E574" i="2" a="1"/>
  <c r="D574" i="2" a="1"/>
  <c r="C574" i="2" a="1"/>
  <c r="B573" i="2" a="1"/>
  <c r="K575" i="2" l="1"/>
  <c r="L574" i="2"/>
  <c r="J574" i="2"/>
  <c r="I574" i="2"/>
  <c r="H574" i="2"/>
  <c r="G574" i="2"/>
  <c r="F574" i="2"/>
  <c r="E574" i="2"/>
  <c r="D574" i="2"/>
  <c r="C574" i="2"/>
  <c r="B573" i="2"/>
  <c r="A575" i="2"/>
  <c r="K576" i="2" a="1"/>
  <c r="L575" i="2" a="1"/>
  <c r="J575" i="2" a="1"/>
  <c r="I575" i="2" a="1"/>
  <c r="H575" i="2" a="1"/>
  <c r="G575" i="2" a="1"/>
  <c r="F575" i="2" a="1"/>
  <c r="E575" i="2" a="1"/>
  <c r="D575" i="2" a="1"/>
  <c r="C575" i="2" a="1"/>
  <c r="B574" i="2" a="1"/>
  <c r="K576" i="2" l="1"/>
  <c r="L575" i="2"/>
  <c r="J575" i="2"/>
  <c r="I575" i="2"/>
  <c r="H575" i="2"/>
  <c r="G575" i="2"/>
  <c r="F575" i="2"/>
  <c r="E575" i="2"/>
  <c r="D575" i="2"/>
  <c r="C575" i="2"/>
  <c r="B574" i="2"/>
  <c r="A576" i="2"/>
  <c r="K577" i="2" a="1"/>
  <c r="L576" i="2" a="1"/>
  <c r="J576" i="2" a="1"/>
  <c r="I576" i="2" a="1"/>
  <c r="H576" i="2" a="1"/>
  <c r="G576" i="2" a="1"/>
  <c r="F576" i="2" a="1"/>
  <c r="E576" i="2" a="1"/>
  <c r="D576" i="2" a="1"/>
  <c r="C576" i="2" a="1"/>
  <c r="B575" i="2" a="1"/>
  <c r="K577" i="2" l="1"/>
  <c r="L576" i="2"/>
  <c r="J576" i="2"/>
  <c r="I576" i="2"/>
  <c r="H576" i="2"/>
  <c r="G576" i="2"/>
  <c r="F576" i="2"/>
  <c r="E576" i="2"/>
  <c r="D576" i="2"/>
  <c r="C576" i="2"/>
  <c r="B575" i="2"/>
  <c r="A577" i="2"/>
  <c r="K578" i="2" a="1"/>
  <c r="L577" i="2" a="1"/>
  <c r="J577" i="2" a="1"/>
  <c r="I577" i="2" a="1"/>
  <c r="H577" i="2" a="1"/>
  <c r="G577" i="2" a="1"/>
  <c r="F577" i="2" a="1"/>
  <c r="E577" i="2" a="1"/>
  <c r="D577" i="2" a="1"/>
  <c r="C577" i="2" a="1"/>
  <c r="B576" i="2" a="1"/>
  <c r="K578" i="2" l="1"/>
  <c r="L577" i="2"/>
  <c r="J577" i="2"/>
  <c r="I577" i="2"/>
  <c r="H577" i="2"/>
  <c r="G577" i="2"/>
  <c r="F577" i="2"/>
  <c r="E577" i="2"/>
  <c r="D577" i="2"/>
  <c r="C577" i="2"/>
  <c r="B576" i="2"/>
  <c r="A578" i="2"/>
  <c r="K579" i="2" a="1"/>
  <c r="L578" i="2" a="1"/>
  <c r="J578" i="2" a="1"/>
  <c r="I578" i="2" a="1"/>
  <c r="H578" i="2" a="1"/>
  <c r="G578" i="2" a="1"/>
  <c r="F578" i="2" a="1"/>
  <c r="E578" i="2" a="1"/>
  <c r="D578" i="2" a="1"/>
  <c r="C578" i="2" a="1"/>
  <c r="B577" i="2" a="1"/>
  <c r="K579" i="2" l="1"/>
  <c r="L578" i="2"/>
  <c r="J578" i="2"/>
  <c r="I578" i="2"/>
  <c r="H578" i="2"/>
  <c r="G578" i="2"/>
  <c r="F578" i="2"/>
  <c r="E578" i="2"/>
  <c r="D578" i="2"/>
  <c r="C578" i="2"/>
  <c r="B577" i="2"/>
  <c r="A579" i="2"/>
  <c r="K580" i="2" a="1"/>
  <c r="L579" i="2" a="1"/>
  <c r="J579" i="2" a="1"/>
  <c r="I579" i="2" a="1"/>
  <c r="H579" i="2" a="1"/>
  <c r="G579" i="2" a="1"/>
  <c r="F579" i="2" a="1"/>
  <c r="E579" i="2" a="1"/>
  <c r="D579" i="2" a="1"/>
  <c r="C579" i="2" a="1"/>
  <c r="B578" i="2" a="1"/>
  <c r="K580" i="2" l="1"/>
  <c r="L579" i="2"/>
  <c r="J579" i="2"/>
  <c r="I579" i="2"/>
  <c r="H579" i="2"/>
  <c r="G579" i="2"/>
  <c r="F579" i="2"/>
  <c r="E579" i="2"/>
  <c r="D579" i="2"/>
  <c r="C579" i="2"/>
  <c r="B578" i="2"/>
  <c r="A580" i="2"/>
  <c r="K581" i="2" a="1"/>
  <c r="L580" i="2" a="1"/>
  <c r="J580" i="2" a="1"/>
  <c r="I580" i="2" a="1"/>
  <c r="H580" i="2" a="1"/>
  <c r="G580" i="2" a="1"/>
  <c r="F580" i="2" a="1"/>
  <c r="E580" i="2" a="1"/>
  <c r="D580" i="2" a="1"/>
  <c r="C580" i="2" a="1"/>
  <c r="B579" i="2" a="1"/>
  <c r="K581" i="2" l="1"/>
  <c r="L580" i="2"/>
  <c r="J580" i="2"/>
  <c r="I580" i="2"/>
  <c r="H580" i="2"/>
  <c r="G580" i="2"/>
  <c r="F580" i="2"/>
  <c r="E580" i="2"/>
  <c r="D580" i="2"/>
  <c r="C580" i="2"/>
  <c r="B579" i="2"/>
  <c r="A581" i="2"/>
  <c r="K582" i="2" a="1"/>
  <c r="L581" i="2" a="1"/>
  <c r="J581" i="2" a="1"/>
  <c r="I581" i="2" a="1"/>
  <c r="H581" i="2" a="1"/>
  <c r="G581" i="2" a="1"/>
  <c r="F581" i="2" a="1"/>
  <c r="E581" i="2" a="1"/>
  <c r="D581" i="2" a="1"/>
  <c r="C581" i="2" a="1"/>
  <c r="B580" i="2" a="1"/>
  <c r="K582" i="2" l="1"/>
  <c r="L581" i="2"/>
  <c r="J581" i="2"/>
  <c r="I581" i="2"/>
  <c r="H581" i="2"/>
  <c r="G581" i="2"/>
  <c r="F581" i="2"/>
  <c r="E581" i="2"/>
  <c r="D581" i="2"/>
  <c r="C581" i="2"/>
  <c r="B580" i="2"/>
  <c r="A582" i="2"/>
  <c r="K583" i="2" a="1"/>
  <c r="L582" i="2" a="1"/>
  <c r="J582" i="2" a="1"/>
  <c r="I582" i="2" a="1"/>
  <c r="H582" i="2" a="1"/>
  <c r="G582" i="2" a="1"/>
  <c r="F582" i="2" a="1"/>
  <c r="E582" i="2" a="1"/>
  <c r="D582" i="2" a="1"/>
  <c r="C582" i="2" a="1"/>
  <c r="B581" i="2" a="1"/>
  <c r="K583" i="2" l="1"/>
  <c r="L582" i="2"/>
  <c r="J582" i="2"/>
  <c r="I582" i="2"/>
  <c r="H582" i="2"/>
  <c r="G582" i="2"/>
  <c r="F582" i="2"/>
  <c r="E582" i="2"/>
  <c r="D582" i="2"/>
  <c r="C582" i="2"/>
  <c r="B581" i="2"/>
  <c r="A583" i="2"/>
  <c r="K584" i="2" a="1"/>
  <c r="L583" i="2" a="1"/>
  <c r="J583" i="2" a="1"/>
  <c r="I583" i="2" a="1"/>
  <c r="H583" i="2" a="1"/>
  <c r="G583" i="2" a="1"/>
  <c r="F583" i="2" a="1"/>
  <c r="E583" i="2" a="1"/>
  <c r="D583" i="2" a="1"/>
  <c r="C583" i="2" a="1"/>
  <c r="B582" i="2" a="1"/>
  <c r="K584" i="2" l="1"/>
  <c r="L583" i="2"/>
  <c r="J583" i="2"/>
  <c r="I583" i="2"/>
  <c r="H583" i="2"/>
  <c r="G583" i="2"/>
  <c r="F583" i="2"/>
  <c r="E583" i="2"/>
  <c r="D583" i="2"/>
  <c r="C583" i="2"/>
  <c r="B582" i="2"/>
  <c r="A584" i="2"/>
  <c r="K585" i="2" a="1"/>
  <c r="L584" i="2" a="1"/>
  <c r="J584" i="2" a="1"/>
  <c r="I584" i="2" a="1"/>
  <c r="H584" i="2" a="1"/>
  <c r="G584" i="2" a="1"/>
  <c r="F584" i="2" a="1"/>
  <c r="E584" i="2" a="1"/>
  <c r="D584" i="2" a="1"/>
  <c r="C584" i="2" a="1"/>
  <c r="B583" i="2" a="1"/>
  <c r="K585" i="2" l="1"/>
  <c r="L584" i="2"/>
  <c r="J584" i="2"/>
  <c r="I584" i="2"/>
  <c r="H584" i="2"/>
  <c r="G584" i="2"/>
  <c r="F584" i="2"/>
  <c r="E584" i="2"/>
  <c r="D584" i="2"/>
  <c r="C584" i="2"/>
  <c r="B583" i="2"/>
  <c r="A585" i="2"/>
  <c r="K586" i="2" a="1"/>
  <c r="L585" i="2" a="1"/>
  <c r="J585" i="2" a="1"/>
  <c r="I585" i="2" a="1"/>
  <c r="H585" i="2" a="1"/>
  <c r="G585" i="2" a="1"/>
  <c r="F585" i="2" a="1"/>
  <c r="E585" i="2" a="1"/>
  <c r="D585" i="2" a="1"/>
  <c r="C585" i="2" a="1"/>
  <c r="B584" i="2" a="1"/>
  <c r="K586" i="2" l="1"/>
  <c r="L585" i="2"/>
  <c r="J585" i="2"/>
  <c r="I585" i="2"/>
  <c r="H585" i="2"/>
  <c r="G585" i="2"/>
  <c r="F585" i="2"/>
  <c r="E585" i="2"/>
  <c r="D585" i="2"/>
  <c r="C585" i="2"/>
  <c r="B584" i="2"/>
  <c r="A586" i="2"/>
  <c r="K587" i="2" a="1"/>
  <c r="L586" i="2" a="1"/>
  <c r="J586" i="2" a="1"/>
  <c r="I586" i="2" a="1"/>
  <c r="H586" i="2" a="1"/>
  <c r="G586" i="2" a="1"/>
  <c r="F586" i="2" a="1"/>
  <c r="E586" i="2" a="1"/>
  <c r="D586" i="2" a="1"/>
  <c r="C586" i="2" a="1"/>
  <c r="B585" i="2" a="1"/>
  <c r="K587" i="2" l="1"/>
  <c r="L586" i="2"/>
  <c r="J586" i="2"/>
  <c r="I586" i="2"/>
  <c r="H586" i="2"/>
  <c r="G586" i="2"/>
  <c r="F586" i="2"/>
  <c r="E586" i="2"/>
  <c r="D586" i="2"/>
  <c r="C586" i="2"/>
  <c r="B585" i="2"/>
  <c r="A587" i="2"/>
  <c r="K588" i="2" a="1"/>
  <c r="L587" i="2" a="1"/>
  <c r="J587" i="2" a="1"/>
  <c r="I587" i="2" a="1"/>
  <c r="H587" i="2" a="1"/>
  <c r="G587" i="2" a="1"/>
  <c r="F587" i="2" a="1"/>
  <c r="E587" i="2" a="1"/>
  <c r="D587" i="2" a="1"/>
  <c r="C587" i="2" a="1"/>
  <c r="B586" i="2" a="1"/>
  <c r="K588" i="2" l="1"/>
  <c r="L587" i="2"/>
  <c r="J587" i="2"/>
  <c r="I587" i="2"/>
  <c r="H587" i="2"/>
  <c r="G587" i="2"/>
  <c r="F587" i="2"/>
  <c r="E587" i="2"/>
  <c r="D587" i="2"/>
  <c r="C587" i="2"/>
  <c r="B586" i="2"/>
  <c r="A588" i="2"/>
  <c r="K589" i="2" a="1"/>
  <c r="L588" i="2" a="1"/>
  <c r="J588" i="2" a="1"/>
  <c r="I588" i="2" a="1"/>
  <c r="H588" i="2" a="1"/>
  <c r="G588" i="2" a="1"/>
  <c r="F588" i="2" a="1"/>
  <c r="E588" i="2" a="1"/>
  <c r="D588" i="2" a="1"/>
  <c r="C588" i="2" a="1"/>
  <c r="B587" i="2" a="1"/>
  <c r="K589" i="2" l="1"/>
  <c r="L588" i="2"/>
  <c r="J588" i="2"/>
  <c r="I588" i="2"/>
  <c r="H588" i="2"/>
  <c r="G588" i="2"/>
  <c r="F588" i="2"/>
  <c r="E588" i="2"/>
  <c r="D588" i="2"/>
  <c r="C588" i="2"/>
  <c r="B587" i="2"/>
  <c r="A589" i="2"/>
  <c r="K590" i="2" a="1"/>
  <c r="L589" i="2" a="1"/>
  <c r="J589" i="2" a="1"/>
  <c r="I589" i="2" a="1"/>
  <c r="H589" i="2" a="1"/>
  <c r="G589" i="2" a="1"/>
  <c r="F589" i="2" a="1"/>
  <c r="E589" i="2" a="1"/>
  <c r="D589" i="2" a="1"/>
  <c r="C589" i="2" a="1"/>
  <c r="B588" i="2" a="1"/>
  <c r="K590" i="2" l="1"/>
  <c r="L589" i="2"/>
  <c r="J589" i="2"/>
  <c r="I589" i="2"/>
  <c r="H589" i="2"/>
  <c r="G589" i="2"/>
  <c r="F589" i="2"/>
  <c r="E589" i="2"/>
  <c r="D589" i="2"/>
  <c r="C589" i="2"/>
  <c r="B588" i="2"/>
  <c r="A590" i="2"/>
  <c r="K591" i="2" a="1"/>
  <c r="L590" i="2" a="1"/>
  <c r="J590" i="2" a="1"/>
  <c r="I590" i="2" a="1"/>
  <c r="H590" i="2" a="1"/>
  <c r="G590" i="2" a="1"/>
  <c r="F590" i="2" a="1"/>
  <c r="E590" i="2" a="1"/>
  <c r="D590" i="2" a="1"/>
  <c r="C590" i="2" a="1"/>
  <c r="B589" i="2" a="1"/>
  <c r="K591" i="2" l="1"/>
  <c r="L590" i="2"/>
  <c r="J590" i="2"/>
  <c r="I590" i="2"/>
  <c r="H590" i="2"/>
  <c r="G590" i="2"/>
  <c r="F590" i="2"/>
  <c r="E590" i="2"/>
  <c r="D590" i="2"/>
  <c r="C590" i="2"/>
  <c r="B589" i="2"/>
  <c r="A591" i="2"/>
  <c r="K592" i="2" a="1"/>
  <c r="L591" i="2" a="1"/>
  <c r="J591" i="2" a="1"/>
  <c r="I591" i="2" a="1"/>
  <c r="H591" i="2" a="1"/>
  <c r="G591" i="2" a="1"/>
  <c r="F591" i="2" a="1"/>
  <c r="E591" i="2" a="1"/>
  <c r="D591" i="2" a="1"/>
  <c r="C591" i="2" a="1"/>
  <c r="B590" i="2" a="1"/>
  <c r="K592" i="2" l="1"/>
  <c r="L591" i="2"/>
  <c r="J591" i="2"/>
  <c r="I591" i="2"/>
  <c r="H591" i="2"/>
  <c r="G591" i="2"/>
  <c r="F591" i="2"/>
  <c r="E591" i="2"/>
  <c r="D591" i="2"/>
  <c r="C591" i="2"/>
  <c r="B590" i="2"/>
  <c r="A592" i="2"/>
  <c r="K593" i="2" a="1"/>
  <c r="L592" i="2" a="1"/>
  <c r="J592" i="2" a="1"/>
  <c r="I592" i="2" a="1"/>
  <c r="H592" i="2" a="1"/>
  <c r="G592" i="2" a="1"/>
  <c r="F592" i="2" a="1"/>
  <c r="E592" i="2" a="1"/>
  <c r="D592" i="2" a="1"/>
  <c r="C592" i="2" a="1"/>
  <c r="B591" i="2" a="1"/>
  <c r="K593" i="2" l="1"/>
  <c r="L592" i="2"/>
  <c r="J592" i="2"/>
  <c r="I592" i="2"/>
  <c r="H592" i="2"/>
  <c r="G592" i="2"/>
  <c r="F592" i="2"/>
  <c r="E592" i="2"/>
  <c r="D592" i="2"/>
  <c r="C592" i="2"/>
  <c r="B591" i="2"/>
  <c r="A593" i="2"/>
  <c r="K594" i="2" a="1"/>
  <c r="L593" i="2" a="1"/>
  <c r="J593" i="2" a="1"/>
  <c r="I593" i="2" a="1"/>
  <c r="H593" i="2" a="1"/>
  <c r="G593" i="2" a="1"/>
  <c r="F593" i="2" a="1"/>
  <c r="E593" i="2" a="1"/>
  <c r="D593" i="2" a="1"/>
  <c r="C593" i="2" a="1"/>
  <c r="B592" i="2" a="1"/>
  <c r="K594" i="2" l="1"/>
  <c r="L593" i="2"/>
  <c r="J593" i="2"/>
  <c r="I593" i="2"/>
  <c r="H593" i="2"/>
  <c r="G593" i="2"/>
  <c r="F593" i="2"/>
  <c r="E593" i="2"/>
  <c r="D593" i="2"/>
  <c r="C593" i="2"/>
  <c r="B592" i="2"/>
  <c r="A594" i="2"/>
  <c r="K595" i="2" a="1"/>
  <c r="L594" i="2" a="1"/>
  <c r="J594" i="2" a="1"/>
  <c r="I594" i="2" a="1"/>
  <c r="H594" i="2" a="1"/>
  <c r="G594" i="2" a="1"/>
  <c r="F594" i="2" a="1"/>
  <c r="E594" i="2" a="1"/>
  <c r="D594" i="2" a="1"/>
  <c r="C594" i="2" a="1"/>
  <c r="B593" i="2" a="1"/>
  <c r="K595" i="2" l="1"/>
  <c r="L594" i="2"/>
  <c r="J594" i="2"/>
  <c r="I594" i="2"/>
  <c r="H594" i="2"/>
  <c r="G594" i="2"/>
  <c r="F594" i="2"/>
  <c r="E594" i="2"/>
  <c r="D594" i="2"/>
  <c r="C594" i="2"/>
  <c r="B593" i="2"/>
  <c r="A595" i="2"/>
  <c r="K596" i="2" a="1"/>
  <c r="L595" i="2" a="1"/>
  <c r="J595" i="2" a="1"/>
  <c r="I595" i="2" a="1"/>
  <c r="H595" i="2" a="1"/>
  <c r="G595" i="2" a="1"/>
  <c r="F595" i="2" a="1"/>
  <c r="E595" i="2" a="1"/>
  <c r="D595" i="2" a="1"/>
  <c r="C595" i="2" a="1"/>
  <c r="B594" i="2" a="1"/>
  <c r="K596" i="2" l="1"/>
  <c r="L595" i="2"/>
  <c r="J595" i="2"/>
  <c r="I595" i="2"/>
  <c r="H595" i="2"/>
  <c r="G595" i="2"/>
  <c r="F595" i="2"/>
  <c r="E595" i="2"/>
  <c r="D595" i="2"/>
  <c r="C595" i="2"/>
  <c r="B594" i="2"/>
  <c r="A596" i="2"/>
  <c r="K597" i="2" a="1"/>
  <c r="L596" i="2" a="1"/>
  <c r="J596" i="2" a="1"/>
  <c r="I596" i="2" a="1"/>
  <c r="H596" i="2" a="1"/>
  <c r="G596" i="2" a="1"/>
  <c r="F596" i="2" a="1"/>
  <c r="E596" i="2" a="1"/>
  <c r="D596" i="2" a="1"/>
  <c r="C596" i="2" a="1"/>
  <c r="B595" i="2" a="1"/>
  <c r="K597" i="2" l="1"/>
  <c r="L596" i="2"/>
  <c r="J596" i="2"/>
  <c r="I596" i="2"/>
  <c r="H596" i="2"/>
  <c r="G596" i="2"/>
  <c r="F596" i="2"/>
  <c r="E596" i="2"/>
  <c r="D596" i="2"/>
  <c r="C596" i="2"/>
  <c r="B595" i="2"/>
  <c r="A597" i="2"/>
  <c r="K598" i="2" a="1"/>
  <c r="L597" i="2" a="1"/>
  <c r="J597" i="2" a="1"/>
  <c r="I597" i="2" a="1"/>
  <c r="H597" i="2" a="1"/>
  <c r="G597" i="2" a="1"/>
  <c r="F597" i="2" a="1"/>
  <c r="E597" i="2" a="1"/>
  <c r="D597" i="2" a="1"/>
  <c r="C597" i="2" a="1"/>
  <c r="B596" i="2" a="1"/>
  <c r="K598" i="2" l="1"/>
  <c r="L597" i="2"/>
  <c r="J597" i="2"/>
  <c r="I597" i="2"/>
  <c r="H597" i="2"/>
  <c r="G597" i="2"/>
  <c r="F597" i="2"/>
  <c r="E597" i="2"/>
  <c r="D597" i="2"/>
  <c r="C597" i="2"/>
  <c r="B596" i="2"/>
  <c r="A598" i="2"/>
  <c r="K599" i="2" a="1"/>
  <c r="L598" i="2" a="1"/>
  <c r="J598" i="2" a="1"/>
  <c r="I598" i="2" a="1"/>
  <c r="H598" i="2" a="1"/>
  <c r="G598" i="2" a="1"/>
  <c r="F598" i="2" a="1"/>
  <c r="E598" i="2" a="1"/>
  <c r="D598" i="2" a="1"/>
  <c r="C598" i="2" a="1"/>
  <c r="B597" i="2" a="1"/>
  <c r="K599" i="2" l="1"/>
  <c r="L598" i="2"/>
  <c r="J598" i="2"/>
  <c r="I598" i="2"/>
  <c r="H598" i="2"/>
  <c r="G598" i="2"/>
  <c r="F598" i="2"/>
  <c r="E598" i="2"/>
  <c r="D598" i="2"/>
  <c r="C598" i="2"/>
  <c r="B597" i="2"/>
  <c r="A599" i="2"/>
  <c r="K600" i="2" a="1"/>
  <c r="L599" i="2" a="1"/>
  <c r="J599" i="2" a="1"/>
  <c r="I599" i="2" a="1"/>
  <c r="H599" i="2" a="1"/>
  <c r="G599" i="2" a="1"/>
  <c r="F599" i="2" a="1"/>
  <c r="E599" i="2" a="1"/>
  <c r="D599" i="2" a="1"/>
  <c r="C599" i="2" a="1"/>
  <c r="B598" i="2" a="1"/>
  <c r="K600" i="2" l="1"/>
  <c r="L599" i="2"/>
  <c r="J599" i="2"/>
  <c r="I599" i="2"/>
  <c r="H599" i="2"/>
  <c r="G599" i="2"/>
  <c r="F599" i="2"/>
  <c r="E599" i="2"/>
  <c r="D599" i="2"/>
  <c r="C599" i="2"/>
  <c r="B598" i="2"/>
  <c r="A600" i="2"/>
  <c r="K601" i="2" a="1"/>
  <c r="L600" i="2" a="1"/>
  <c r="J600" i="2" a="1"/>
  <c r="I600" i="2" a="1"/>
  <c r="H600" i="2" a="1"/>
  <c r="G600" i="2" a="1"/>
  <c r="F600" i="2" a="1"/>
  <c r="E600" i="2" a="1"/>
  <c r="D600" i="2" a="1"/>
  <c r="C600" i="2" a="1"/>
  <c r="B599" i="2" a="1"/>
  <c r="K601" i="2" l="1"/>
  <c r="L600" i="2"/>
  <c r="J600" i="2"/>
  <c r="I600" i="2"/>
  <c r="H600" i="2"/>
  <c r="G600" i="2"/>
  <c r="F600" i="2"/>
  <c r="E600" i="2"/>
  <c r="D600" i="2"/>
  <c r="C600" i="2"/>
  <c r="B599" i="2"/>
  <c r="A601" i="2"/>
  <c r="K602" i="2" a="1"/>
  <c r="L601" i="2" a="1"/>
  <c r="J601" i="2" a="1"/>
  <c r="I601" i="2" a="1"/>
  <c r="H601" i="2" a="1"/>
  <c r="G601" i="2" a="1"/>
  <c r="F601" i="2" a="1"/>
  <c r="E601" i="2" a="1"/>
  <c r="D601" i="2" a="1"/>
  <c r="C601" i="2" a="1"/>
  <c r="B600" i="2" a="1"/>
  <c r="K602" i="2" l="1"/>
  <c r="L601" i="2"/>
  <c r="J601" i="2"/>
  <c r="I601" i="2"/>
  <c r="H601" i="2"/>
  <c r="G601" i="2"/>
  <c r="F601" i="2"/>
  <c r="E601" i="2"/>
  <c r="D601" i="2"/>
  <c r="C601" i="2"/>
  <c r="B600" i="2"/>
  <c r="A602" i="2"/>
  <c r="K603" i="2" a="1"/>
  <c r="L602" i="2" a="1"/>
  <c r="J602" i="2" a="1"/>
  <c r="I602" i="2" a="1"/>
  <c r="H602" i="2" a="1"/>
  <c r="G602" i="2" a="1"/>
  <c r="F602" i="2" a="1"/>
  <c r="E602" i="2" a="1"/>
  <c r="D602" i="2" a="1"/>
  <c r="C602" i="2" a="1"/>
  <c r="B601" i="2" a="1"/>
  <c r="K603" i="2" l="1"/>
  <c r="L602" i="2"/>
  <c r="J602" i="2"/>
  <c r="I602" i="2"/>
  <c r="H602" i="2"/>
  <c r="G602" i="2"/>
  <c r="F602" i="2"/>
  <c r="E602" i="2"/>
  <c r="D602" i="2"/>
  <c r="C602" i="2"/>
  <c r="B601" i="2"/>
  <c r="A603" i="2"/>
  <c r="K604" i="2" a="1"/>
  <c r="L603" i="2" a="1"/>
  <c r="J603" i="2" a="1"/>
  <c r="I603" i="2" a="1"/>
  <c r="H603" i="2" a="1"/>
  <c r="G603" i="2" a="1"/>
  <c r="F603" i="2" a="1"/>
  <c r="E603" i="2" a="1"/>
  <c r="D603" i="2" a="1"/>
  <c r="C603" i="2" a="1"/>
  <c r="B602" i="2" a="1"/>
  <c r="K604" i="2" l="1"/>
  <c r="L603" i="2"/>
  <c r="J603" i="2"/>
  <c r="I603" i="2"/>
  <c r="H603" i="2"/>
  <c r="G603" i="2"/>
  <c r="F603" i="2"/>
  <c r="E603" i="2"/>
  <c r="D603" i="2"/>
  <c r="C603" i="2"/>
  <c r="B602" i="2"/>
  <c r="A604" i="2"/>
  <c r="K605" i="2" a="1"/>
  <c r="L604" i="2" a="1"/>
  <c r="J604" i="2" a="1"/>
  <c r="I604" i="2" a="1"/>
  <c r="H604" i="2" a="1"/>
  <c r="G604" i="2" a="1"/>
  <c r="F604" i="2" a="1"/>
  <c r="E604" i="2" a="1"/>
  <c r="D604" i="2" a="1"/>
  <c r="C604" i="2" a="1"/>
  <c r="B603" i="2" a="1"/>
  <c r="K605" i="2" l="1"/>
  <c r="L604" i="2"/>
  <c r="J604" i="2"/>
  <c r="I604" i="2"/>
  <c r="H604" i="2"/>
  <c r="G604" i="2"/>
  <c r="F604" i="2"/>
  <c r="E604" i="2"/>
  <c r="D604" i="2"/>
  <c r="C604" i="2"/>
  <c r="B603" i="2"/>
  <c r="A605" i="2"/>
  <c r="K606" i="2" a="1"/>
  <c r="L605" i="2" a="1"/>
  <c r="J605" i="2" a="1"/>
  <c r="I605" i="2" a="1"/>
  <c r="H605" i="2" a="1"/>
  <c r="G605" i="2" a="1"/>
  <c r="F605" i="2" a="1"/>
  <c r="E605" i="2" a="1"/>
  <c r="D605" i="2" a="1"/>
  <c r="C605" i="2" a="1"/>
  <c r="B604" i="2" a="1"/>
  <c r="K606" i="2" l="1"/>
  <c r="L605" i="2"/>
  <c r="J605" i="2"/>
  <c r="I605" i="2"/>
  <c r="H605" i="2"/>
  <c r="G605" i="2"/>
  <c r="F605" i="2"/>
  <c r="E605" i="2"/>
  <c r="D605" i="2"/>
  <c r="C605" i="2"/>
  <c r="B604" i="2"/>
  <c r="A606" i="2"/>
  <c r="K607" i="2" a="1"/>
  <c r="L606" i="2" a="1"/>
  <c r="J606" i="2" a="1"/>
  <c r="I606" i="2" a="1"/>
  <c r="H606" i="2" a="1"/>
  <c r="G606" i="2" a="1"/>
  <c r="F606" i="2" a="1"/>
  <c r="E606" i="2" a="1"/>
  <c r="D606" i="2" a="1"/>
  <c r="C606" i="2" a="1"/>
  <c r="B605" i="2" a="1"/>
  <c r="K607" i="2" l="1"/>
  <c r="L606" i="2"/>
  <c r="J606" i="2"/>
  <c r="I606" i="2"/>
  <c r="H606" i="2"/>
  <c r="G606" i="2"/>
  <c r="F606" i="2"/>
  <c r="E606" i="2"/>
  <c r="D606" i="2"/>
  <c r="C606" i="2"/>
  <c r="B605" i="2"/>
  <c r="A607" i="2"/>
  <c r="K608" i="2" a="1"/>
  <c r="L607" i="2" a="1"/>
  <c r="J607" i="2" a="1"/>
  <c r="I607" i="2" a="1"/>
  <c r="H607" i="2" a="1"/>
  <c r="G607" i="2" a="1"/>
  <c r="F607" i="2" a="1"/>
  <c r="E607" i="2" a="1"/>
  <c r="D607" i="2" a="1"/>
  <c r="C607" i="2" a="1"/>
  <c r="B606" i="2" a="1"/>
  <c r="K608" i="2" l="1"/>
  <c r="L607" i="2"/>
  <c r="J607" i="2"/>
  <c r="I607" i="2"/>
  <c r="H607" i="2"/>
  <c r="G607" i="2"/>
  <c r="F607" i="2"/>
  <c r="E607" i="2"/>
  <c r="D607" i="2"/>
  <c r="C607" i="2"/>
  <c r="B606" i="2"/>
  <c r="A608" i="2"/>
  <c r="K609" i="2" a="1"/>
  <c r="L608" i="2" a="1"/>
  <c r="J608" i="2" a="1"/>
  <c r="I608" i="2" a="1"/>
  <c r="H608" i="2" a="1"/>
  <c r="G608" i="2" a="1"/>
  <c r="F608" i="2" a="1"/>
  <c r="E608" i="2" a="1"/>
  <c r="D608" i="2" a="1"/>
  <c r="C608" i="2" a="1"/>
  <c r="B607" i="2" a="1"/>
  <c r="K609" i="2" l="1"/>
  <c r="L608" i="2"/>
  <c r="J608" i="2"/>
  <c r="I608" i="2"/>
  <c r="H608" i="2"/>
  <c r="G608" i="2"/>
  <c r="F608" i="2"/>
  <c r="E608" i="2"/>
  <c r="D608" i="2"/>
  <c r="C608" i="2"/>
  <c r="B607" i="2"/>
  <c r="A609" i="2"/>
  <c r="K610" i="2" a="1"/>
  <c r="L609" i="2" a="1"/>
  <c r="J609" i="2" a="1"/>
  <c r="I609" i="2" a="1"/>
  <c r="H609" i="2" a="1"/>
  <c r="G609" i="2" a="1"/>
  <c r="F609" i="2" a="1"/>
  <c r="E609" i="2" a="1"/>
  <c r="D609" i="2" a="1"/>
  <c r="C609" i="2" a="1"/>
  <c r="B608" i="2" a="1"/>
  <c r="K610" i="2" l="1"/>
  <c r="L609" i="2"/>
  <c r="J609" i="2"/>
  <c r="I609" i="2"/>
  <c r="H609" i="2"/>
  <c r="G609" i="2"/>
  <c r="F609" i="2"/>
  <c r="E609" i="2"/>
  <c r="D609" i="2"/>
  <c r="C609" i="2"/>
  <c r="B608" i="2"/>
  <c r="A610" i="2"/>
  <c r="K611" i="2" a="1"/>
  <c r="L610" i="2" a="1"/>
  <c r="J610" i="2" a="1"/>
  <c r="I610" i="2" a="1"/>
  <c r="H610" i="2" a="1"/>
  <c r="G610" i="2" a="1"/>
  <c r="F610" i="2" a="1"/>
  <c r="E610" i="2" a="1"/>
  <c r="D610" i="2" a="1"/>
  <c r="C610" i="2" a="1"/>
  <c r="B609" i="2" a="1"/>
  <c r="K611" i="2" l="1"/>
  <c r="L610" i="2"/>
  <c r="J610" i="2"/>
  <c r="I610" i="2"/>
  <c r="H610" i="2"/>
  <c r="G610" i="2"/>
  <c r="F610" i="2"/>
  <c r="E610" i="2"/>
  <c r="D610" i="2"/>
  <c r="C610" i="2"/>
  <c r="B609" i="2"/>
  <c r="A611" i="2"/>
  <c r="K612" i="2" a="1"/>
  <c r="L611" i="2" a="1"/>
  <c r="J611" i="2" a="1"/>
  <c r="I611" i="2" a="1"/>
  <c r="H611" i="2" a="1"/>
  <c r="G611" i="2" a="1"/>
  <c r="F611" i="2" a="1"/>
  <c r="E611" i="2" a="1"/>
  <c r="D611" i="2" a="1"/>
  <c r="C611" i="2" a="1"/>
  <c r="B610" i="2" a="1"/>
  <c r="K612" i="2" l="1"/>
  <c r="L611" i="2"/>
  <c r="J611" i="2"/>
  <c r="I611" i="2"/>
  <c r="H611" i="2"/>
  <c r="G611" i="2"/>
  <c r="F611" i="2"/>
  <c r="E611" i="2"/>
  <c r="D611" i="2"/>
  <c r="C611" i="2"/>
  <c r="B610" i="2"/>
  <c r="A612" i="2"/>
  <c r="K613" i="2" a="1"/>
  <c r="L612" i="2" a="1"/>
  <c r="J612" i="2" a="1"/>
  <c r="I612" i="2" a="1"/>
  <c r="H612" i="2" a="1"/>
  <c r="G612" i="2" a="1"/>
  <c r="F612" i="2" a="1"/>
  <c r="E612" i="2" a="1"/>
  <c r="D612" i="2" a="1"/>
  <c r="C612" i="2" a="1"/>
  <c r="B611" i="2" a="1"/>
  <c r="K613" i="2" l="1"/>
  <c r="L612" i="2"/>
  <c r="J612" i="2"/>
  <c r="I612" i="2"/>
  <c r="H612" i="2"/>
  <c r="G612" i="2"/>
  <c r="F612" i="2"/>
  <c r="E612" i="2"/>
  <c r="D612" i="2"/>
  <c r="C612" i="2"/>
  <c r="B611" i="2"/>
  <c r="A613" i="2"/>
  <c r="K614" i="2" a="1"/>
  <c r="L613" i="2" a="1"/>
  <c r="J613" i="2" a="1"/>
  <c r="I613" i="2" a="1"/>
  <c r="H613" i="2" a="1"/>
  <c r="G613" i="2" a="1"/>
  <c r="F613" i="2" a="1"/>
  <c r="E613" i="2" a="1"/>
  <c r="D613" i="2" a="1"/>
  <c r="C613" i="2" a="1"/>
  <c r="B612" i="2" a="1"/>
  <c r="K614" i="2" l="1"/>
  <c r="L613" i="2"/>
  <c r="J613" i="2"/>
  <c r="I613" i="2"/>
  <c r="H613" i="2"/>
  <c r="G613" i="2"/>
  <c r="F613" i="2"/>
  <c r="E613" i="2"/>
  <c r="D613" i="2"/>
  <c r="C613" i="2"/>
  <c r="B612" i="2"/>
  <c r="A614" i="2"/>
  <c r="K615" i="2" a="1"/>
  <c r="L614" i="2" a="1"/>
  <c r="J614" i="2" a="1"/>
  <c r="I614" i="2" a="1"/>
  <c r="H614" i="2" a="1"/>
  <c r="G614" i="2" a="1"/>
  <c r="F614" i="2" a="1"/>
  <c r="E614" i="2" a="1"/>
  <c r="D614" i="2" a="1"/>
  <c r="C614" i="2" a="1"/>
  <c r="B613" i="2" a="1"/>
  <c r="K615" i="2" l="1"/>
  <c r="L614" i="2"/>
  <c r="J614" i="2"/>
  <c r="I614" i="2"/>
  <c r="H614" i="2"/>
  <c r="G614" i="2"/>
  <c r="F614" i="2"/>
  <c r="E614" i="2"/>
  <c r="D614" i="2"/>
  <c r="C614" i="2"/>
  <c r="B613" i="2"/>
  <c r="A615" i="2"/>
  <c r="K616" i="2" a="1"/>
  <c r="L615" i="2" a="1"/>
  <c r="J615" i="2" a="1"/>
  <c r="I615" i="2" a="1"/>
  <c r="H615" i="2" a="1"/>
  <c r="G615" i="2" a="1"/>
  <c r="F615" i="2" a="1"/>
  <c r="E615" i="2" a="1"/>
  <c r="D615" i="2" a="1"/>
  <c r="C615" i="2" a="1"/>
  <c r="B614" i="2" a="1"/>
  <c r="K616" i="2" l="1"/>
  <c r="L615" i="2"/>
  <c r="J615" i="2"/>
  <c r="I615" i="2"/>
  <c r="H615" i="2"/>
  <c r="G615" i="2"/>
  <c r="F615" i="2"/>
  <c r="E615" i="2"/>
  <c r="D615" i="2"/>
  <c r="C615" i="2"/>
  <c r="B614" i="2"/>
  <c r="A616" i="2"/>
  <c r="K617" i="2" a="1"/>
  <c r="L616" i="2" a="1"/>
  <c r="J616" i="2" a="1"/>
  <c r="I616" i="2" a="1"/>
  <c r="H616" i="2" a="1"/>
  <c r="G616" i="2" a="1"/>
  <c r="F616" i="2" a="1"/>
  <c r="E616" i="2" a="1"/>
  <c r="D616" i="2" a="1"/>
  <c r="C616" i="2" a="1"/>
  <c r="B615" i="2" a="1"/>
  <c r="K617" i="2" l="1"/>
  <c r="L616" i="2"/>
  <c r="J616" i="2"/>
  <c r="I616" i="2"/>
  <c r="H616" i="2"/>
  <c r="G616" i="2"/>
  <c r="F616" i="2"/>
  <c r="E616" i="2"/>
  <c r="D616" i="2"/>
  <c r="C616" i="2"/>
  <c r="B615" i="2"/>
  <c r="A617" i="2"/>
  <c r="K618" i="2" a="1"/>
  <c r="L617" i="2" a="1"/>
  <c r="J617" i="2" a="1"/>
  <c r="I617" i="2" a="1"/>
  <c r="H617" i="2" a="1"/>
  <c r="G617" i="2" a="1"/>
  <c r="F617" i="2" a="1"/>
  <c r="E617" i="2" a="1"/>
  <c r="D617" i="2" a="1"/>
  <c r="C617" i="2" a="1"/>
  <c r="B616" i="2" a="1"/>
  <c r="K618" i="2" l="1"/>
  <c r="L617" i="2"/>
  <c r="J617" i="2"/>
  <c r="I617" i="2"/>
  <c r="H617" i="2"/>
  <c r="G617" i="2"/>
  <c r="F617" i="2"/>
  <c r="E617" i="2"/>
  <c r="D617" i="2"/>
  <c r="C617" i="2"/>
  <c r="B616" i="2"/>
  <c r="A618" i="2"/>
  <c r="K619" i="2" a="1"/>
  <c r="L618" i="2" a="1"/>
  <c r="J618" i="2" a="1"/>
  <c r="I618" i="2" a="1"/>
  <c r="H618" i="2" a="1"/>
  <c r="G618" i="2" a="1"/>
  <c r="F618" i="2" a="1"/>
  <c r="E618" i="2" a="1"/>
  <c r="D618" i="2" a="1"/>
  <c r="C618" i="2" a="1"/>
  <c r="B617" i="2" a="1"/>
  <c r="K619" i="2" l="1"/>
  <c r="L618" i="2"/>
  <c r="J618" i="2"/>
  <c r="I618" i="2"/>
  <c r="H618" i="2"/>
  <c r="G618" i="2"/>
  <c r="F618" i="2"/>
  <c r="E618" i="2"/>
  <c r="D618" i="2"/>
  <c r="C618" i="2"/>
  <c r="B617" i="2"/>
  <c r="A619" i="2"/>
  <c r="K620" i="2" a="1"/>
  <c r="L619" i="2" a="1"/>
  <c r="J619" i="2" a="1"/>
  <c r="I619" i="2" a="1"/>
  <c r="H619" i="2" a="1"/>
  <c r="G619" i="2" a="1"/>
  <c r="F619" i="2" a="1"/>
  <c r="E619" i="2" a="1"/>
  <c r="D619" i="2" a="1"/>
  <c r="C619" i="2" a="1"/>
  <c r="B618" i="2" a="1"/>
  <c r="K620" i="2" l="1"/>
  <c r="L619" i="2"/>
  <c r="J619" i="2"/>
  <c r="I619" i="2"/>
  <c r="H619" i="2"/>
  <c r="G619" i="2"/>
  <c r="F619" i="2"/>
  <c r="E619" i="2"/>
  <c r="D619" i="2"/>
  <c r="C619" i="2"/>
  <c r="B618" i="2"/>
  <c r="A620" i="2"/>
  <c r="K621" i="2" a="1"/>
  <c r="L620" i="2" a="1"/>
  <c r="J620" i="2" a="1"/>
  <c r="I620" i="2" a="1"/>
  <c r="H620" i="2" a="1"/>
  <c r="G620" i="2" a="1"/>
  <c r="F620" i="2" a="1"/>
  <c r="E620" i="2" a="1"/>
  <c r="D620" i="2" a="1"/>
  <c r="C620" i="2" a="1"/>
  <c r="B619" i="2" a="1"/>
  <c r="K621" i="2" l="1"/>
  <c r="L620" i="2"/>
  <c r="J620" i="2"/>
  <c r="I620" i="2"/>
  <c r="H620" i="2"/>
  <c r="G620" i="2"/>
  <c r="F620" i="2"/>
  <c r="E620" i="2"/>
  <c r="D620" i="2"/>
  <c r="C620" i="2"/>
  <c r="B619" i="2"/>
  <c r="A621" i="2"/>
  <c r="K622" i="2" a="1"/>
  <c r="L621" i="2" a="1"/>
  <c r="J621" i="2" a="1"/>
  <c r="I621" i="2" a="1"/>
  <c r="H621" i="2" a="1"/>
  <c r="G621" i="2" a="1"/>
  <c r="F621" i="2" a="1"/>
  <c r="E621" i="2" a="1"/>
  <c r="D621" i="2" a="1"/>
  <c r="C621" i="2" a="1"/>
  <c r="B620" i="2" a="1"/>
  <c r="K622" i="2" l="1"/>
  <c r="L621" i="2"/>
  <c r="J621" i="2"/>
  <c r="I621" i="2"/>
  <c r="H621" i="2"/>
  <c r="G621" i="2"/>
  <c r="F621" i="2"/>
  <c r="E621" i="2"/>
  <c r="D621" i="2"/>
  <c r="C621" i="2"/>
  <c r="B620" i="2"/>
  <c r="A622" i="2"/>
  <c r="K623" i="2" a="1"/>
  <c r="L622" i="2" a="1"/>
  <c r="J622" i="2" a="1"/>
  <c r="I622" i="2" a="1"/>
  <c r="H622" i="2" a="1"/>
  <c r="G622" i="2" a="1"/>
  <c r="F622" i="2" a="1"/>
  <c r="E622" i="2" a="1"/>
  <c r="D622" i="2" a="1"/>
  <c r="C622" i="2" a="1"/>
  <c r="B621" i="2" a="1"/>
  <c r="K623" i="2" l="1"/>
  <c r="L622" i="2"/>
  <c r="J622" i="2"/>
  <c r="I622" i="2"/>
  <c r="H622" i="2"/>
  <c r="G622" i="2"/>
  <c r="F622" i="2"/>
  <c r="E622" i="2"/>
  <c r="D622" i="2"/>
  <c r="C622" i="2"/>
  <c r="B621" i="2"/>
  <c r="A623" i="2"/>
  <c r="K624" i="2" a="1"/>
  <c r="L623" i="2" a="1"/>
  <c r="J623" i="2" a="1"/>
  <c r="I623" i="2" a="1"/>
  <c r="H623" i="2" a="1"/>
  <c r="G623" i="2" a="1"/>
  <c r="F623" i="2" a="1"/>
  <c r="E623" i="2" a="1"/>
  <c r="D623" i="2" a="1"/>
  <c r="C623" i="2" a="1"/>
  <c r="B622" i="2" a="1"/>
  <c r="K624" i="2" l="1"/>
  <c r="L623" i="2"/>
  <c r="J623" i="2"/>
  <c r="I623" i="2"/>
  <c r="H623" i="2"/>
  <c r="G623" i="2"/>
  <c r="F623" i="2"/>
  <c r="E623" i="2"/>
  <c r="D623" i="2"/>
  <c r="C623" i="2"/>
  <c r="B622" i="2"/>
  <c r="A624" i="2"/>
  <c r="K625" i="2" a="1"/>
  <c r="L624" i="2" a="1"/>
  <c r="J624" i="2" a="1"/>
  <c r="I624" i="2" a="1"/>
  <c r="H624" i="2" a="1"/>
  <c r="G624" i="2" a="1"/>
  <c r="F624" i="2" a="1"/>
  <c r="E624" i="2" a="1"/>
  <c r="D624" i="2" a="1"/>
  <c r="C624" i="2" a="1"/>
  <c r="B623" i="2" a="1"/>
  <c r="K625" i="2" l="1"/>
  <c r="L624" i="2"/>
  <c r="J624" i="2"/>
  <c r="I624" i="2"/>
  <c r="H624" i="2"/>
  <c r="G624" i="2"/>
  <c r="F624" i="2"/>
  <c r="E624" i="2"/>
  <c r="D624" i="2"/>
  <c r="C624" i="2"/>
  <c r="B623" i="2"/>
  <c r="A625" i="2"/>
  <c r="K626" i="2" a="1"/>
  <c r="L625" i="2" a="1"/>
  <c r="J625" i="2" a="1"/>
  <c r="I625" i="2" a="1"/>
  <c r="H625" i="2" a="1"/>
  <c r="G625" i="2" a="1"/>
  <c r="F625" i="2" a="1"/>
  <c r="E625" i="2" a="1"/>
  <c r="D625" i="2" a="1"/>
  <c r="C625" i="2" a="1"/>
  <c r="B624" i="2" a="1"/>
  <c r="K626" i="2" l="1"/>
  <c r="L625" i="2"/>
  <c r="J625" i="2"/>
  <c r="I625" i="2"/>
  <c r="H625" i="2"/>
  <c r="G625" i="2"/>
  <c r="F625" i="2"/>
  <c r="E625" i="2"/>
  <c r="D625" i="2"/>
  <c r="C625" i="2"/>
  <c r="B624" i="2"/>
  <c r="A626" i="2"/>
  <c r="K627" i="2" a="1"/>
  <c r="L626" i="2" a="1"/>
  <c r="J626" i="2" a="1"/>
  <c r="I626" i="2" a="1"/>
  <c r="H626" i="2" a="1"/>
  <c r="G626" i="2" a="1"/>
  <c r="F626" i="2" a="1"/>
  <c r="E626" i="2" a="1"/>
  <c r="D626" i="2" a="1"/>
  <c r="C626" i="2" a="1"/>
  <c r="B625" i="2" a="1"/>
  <c r="K627" i="2" l="1"/>
  <c r="L626" i="2"/>
  <c r="J626" i="2"/>
  <c r="I626" i="2"/>
  <c r="H626" i="2"/>
  <c r="G626" i="2"/>
  <c r="F626" i="2"/>
  <c r="E626" i="2"/>
  <c r="D626" i="2"/>
  <c r="C626" i="2"/>
  <c r="B625" i="2"/>
  <c r="A627" i="2"/>
  <c r="K628" i="2" a="1"/>
  <c r="L627" i="2" a="1"/>
  <c r="J627" i="2" a="1"/>
  <c r="I627" i="2" a="1"/>
  <c r="H627" i="2" a="1"/>
  <c r="G627" i="2" a="1"/>
  <c r="F627" i="2" a="1"/>
  <c r="E627" i="2" a="1"/>
  <c r="D627" i="2" a="1"/>
  <c r="C627" i="2" a="1"/>
  <c r="B626" i="2" a="1"/>
  <c r="K628" i="2" l="1"/>
  <c r="L627" i="2"/>
  <c r="J627" i="2"/>
  <c r="I627" i="2"/>
  <c r="H627" i="2"/>
  <c r="G627" i="2"/>
  <c r="F627" i="2"/>
  <c r="E627" i="2"/>
  <c r="D627" i="2"/>
  <c r="C627" i="2"/>
  <c r="B626" i="2"/>
  <c r="A628" i="2"/>
  <c r="K629" i="2" a="1"/>
  <c r="L628" i="2" a="1"/>
  <c r="J628" i="2" a="1"/>
  <c r="I628" i="2" a="1"/>
  <c r="H628" i="2" a="1"/>
  <c r="G628" i="2" a="1"/>
  <c r="F628" i="2" a="1"/>
  <c r="E628" i="2" a="1"/>
  <c r="D628" i="2" a="1"/>
  <c r="C628" i="2" a="1"/>
  <c r="B627" i="2" a="1"/>
  <c r="K629" i="2" l="1"/>
  <c r="L628" i="2"/>
  <c r="J628" i="2"/>
  <c r="I628" i="2"/>
  <c r="H628" i="2"/>
  <c r="G628" i="2"/>
  <c r="F628" i="2"/>
  <c r="E628" i="2"/>
  <c r="D628" i="2"/>
  <c r="C628" i="2"/>
  <c r="B627" i="2"/>
  <c r="A629" i="2"/>
  <c r="K630" i="2" a="1"/>
  <c r="L629" i="2" a="1"/>
  <c r="J629" i="2" a="1"/>
  <c r="I629" i="2" a="1"/>
  <c r="H629" i="2" a="1"/>
  <c r="G629" i="2" a="1"/>
  <c r="F629" i="2" a="1"/>
  <c r="E629" i="2" a="1"/>
  <c r="D629" i="2" a="1"/>
  <c r="C629" i="2" a="1"/>
  <c r="B628" i="2" a="1"/>
  <c r="K630" i="2" l="1"/>
  <c r="L629" i="2"/>
  <c r="J629" i="2"/>
  <c r="I629" i="2"/>
  <c r="H629" i="2"/>
  <c r="G629" i="2"/>
  <c r="F629" i="2"/>
  <c r="E629" i="2"/>
  <c r="D629" i="2"/>
  <c r="C629" i="2"/>
  <c r="B628" i="2"/>
  <c r="A630" i="2"/>
  <c r="K631" i="2" a="1"/>
  <c r="L630" i="2" a="1"/>
  <c r="J630" i="2" a="1"/>
  <c r="I630" i="2" a="1"/>
  <c r="H630" i="2" a="1"/>
  <c r="G630" i="2" a="1"/>
  <c r="F630" i="2" a="1"/>
  <c r="E630" i="2" a="1"/>
  <c r="D630" i="2" a="1"/>
  <c r="C630" i="2" a="1"/>
  <c r="B629" i="2" a="1"/>
  <c r="K631" i="2" l="1"/>
  <c r="L630" i="2"/>
  <c r="J630" i="2"/>
  <c r="I630" i="2"/>
  <c r="H630" i="2"/>
  <c r="G630" i="2"/>
  <c r="F630" i="2"/>
  <c r="E630" i="2"/>
  <c r="D630" i="2"/>
  <c r="C630" i="2"/>
  <c r="B629" i="2"/>
  <c r="A631" i="2"/>
  <c r="K632" i="2" a="1"/>
  <c r="L631" i="2" a="1"/>
  <c r="J631" i="2" a="1"/>
  <c r="I631" i="2" a="1"/>
  <c r="H631" i="2" a="1"/>
  <c r="G631" i="2" a="1"/>
  <c r="F631" i="2" a="1"/>
  <c r="E631" i="2" a="1"/>
  <c r="D631" i="2" a="1"/>
  <c r="C631" i="2" a="1"/>
  <c r="B630" i="2" a="1"/>
  <c r="K632" i="2" l="1"/>
  <c r="L631" i="2"/>
  <c r="J631" i="2"/>
  <c r="I631" i="2"/>
  <c r="H631" i="2"/>
  <c r="G631" i="2"/>
  <c r="F631" i="2"/>
  <c r="E631" i="2"/>
  <c r="D631" i="2"/>
  <c r="C631" i="2"/>
  <c r="B630" i="2"/>
  <c r="A632" i="2"/>
  <c r="K633" i="2" a="1"/>
  <c r="L632" i="2" a="1"/>
  <c r="J632" i="2" a="1"/>
  <c r="I632" i="2" a="1"/>
  <c r="H632" i="2" a="1"/>
  <c r="G632" i="2" a="1"/>
  <c r="F632" i="2" a="1"/>
  <c r="E632" i="2" a="1"/>
  <c r="D632" i="2" a="1"/>
  <c r="C632" i="2" a="1"/>
  <c r="B631" i="2" a="1"/>
  <c r="K633" i="2" l="1"/>
  <c r="L632" i="2"/>
  <c r="J632" i="2"/>
  <c r="I632" i="2"/>
  <c r="H632" i="2"/>
  <c r="G632" i="2"/>
  <c r="F632" i="2"/>
  <c r="E632" i="2"/>
  <c r="D632" i="2"/>
  <c r="C632" i="2"/>
  <c r="B631" i="2"/>
  <c r="A633" i="2"/>
  <c r="K634" i="2" a="1"/>
  <c r="L633" i="2" a="1"/>
  <c r="J633" i="2" a="1"/>
  <c r="I633" i="2" a="1"/>
  <c r="H633" i="2" a="1"/>
  <c r="G633" i="2" a="1"/>
  <c r="F633" i="2" a="1"/>
  <c r="E633" i="2" a="1"/>
  <c r="D633" i="2" a="1"/>
  <c r="C633" i="2" a="1"/>
  <c r="B632" i="2" a="1"/>
  <c r="K634" i="2" l="1"/>
  <c r="L633" i="2"/>
  <c r="J633" i="2"/>
  <c r="I633" i="2"/>
  <c r="H633" i="2"/>
  <c r="G633" i="2"/>
  <c r="F633" i="2"/>
  <c r="E633" i="2"/>
  <c r="D633" i="2"/>
  <c r="C633" i="2"/>
  <c r="B632" i="2"/>
  <c r="A634" i="2"/>
  <c r="K635" i="2" a="1"/>
  <c r="L634" i="2" a="1"/>
  <c r="J634" i="2" a="1"/>
  <c r="I634" i="2" a="1"/>
  <c r="H634" i="2" a="1"/>
  <c r="G634" i="2" a="1"/>
  <c r="F634" i="2" a="1"/>
  <c r="E634" i="2" a="1"/>
  <c r="D634" i="2" a="1"/>
  <c r="C634" i="2" a="1"/>
  <c r="B633" i="2" a="1"/>
  <c r="K635" i="2" l="1"/>
  <c r="L634" i="2"/>
  <c r="J634" i="2"/>
  <c r="I634" i="2"/>
  <c r="H634" i="2"/>
  <c r="G634" i="2"/>
  <c r="F634" i="2"/>
  <c r="E634" i="2"/>
  <c r="D634" i="2"/>
  <c r="C634" i="2"/>
  <c r="B633" i="2"/>
  <c r="A635" i="2"/>
  <c r="K636" i="2" a="1"/>
  <c r="L635" i="2" a="1"/>
  <c r="J635" i="2" a="1"/>
  <c r="I635" i="2" a="1"/>
  <c r="H635" i="2" a="1"/>
  <c r="G635" i="2" a="1"/>
  <c r="F635" i="2" a="1"/>
  <c r="E635" i="2" a="1"/>
  <c r="D635" i="2" a="1"/>
  <c r="C635" i="2" a="1"/>
  <c r="B634" i="2" a="1"/>
  <c r="K636" i="2" l="1"/>
  <c r="L635" i="2"/>
  <c r="J635" i="2"/>
  <c r="I635" i="2"/>
  <c r="H635" i="2"/>
  <c r="G635" i="2"/>
  <c r="F635" i="2"/>
  <c r="E635" i="2"/>
  <c r="D635" i="2"/>
  <c r="C635" i="2"/>
  <c r="B634" i="2"/>
  <c r="A636" i="2"/>
  <c r="K637" i="2" a="1"/>
  <c r="L636" i="2" a="1"/>
  <c r="J636" i="2" a="1"/>
  <c r="I636" i="2" a="1"/>
  <c r="H636" i="2" a="1"/>
  <c r="G636" i="2" a="1"/>
  <c r="F636" i="2" a="1"/>
  <c r="E636" i="2" a="1"/>
  <c r="D636" i="2" a="1"/>
  <c r="C636" i="2" a="1"/>
  <c r="B635" i="2" a="1"/>
  <c r="K637" i="2" l="1"/>
  <c r="L636" i="2"/>
  <c r="J636" i="2"/>
  <c r="I636" i="2"/>
  <c r="H636" i="2"/>
  <c r="G636" i="2"/>
  <c r="F636" i="2"/>
  <c r="E636" i="2"/>
  <c r="D636" i="2"/>
  <c r="C636" i="2"/>
  <c r="B635" i="2"/>
  <c r="A637" i="2"/>
  <c r="K638" i="2" a="1"/>
  <c r="L637" i="2" a="1"/>
  <c r="J637" i="2" a="1"/>
  <c r="I637" i="2" a="1"/>
  <c r="H637" i="2" a="1"/>
  <c r="G637" i="2" a="1"/>
  <c r="F637" i="2" a="1"/>
  <c r="E637" i="2" a="1"/>
  <c r="D637" i="2" a="1"/>
  <c r="C637" i="2" a="1"/>
  <c r="B636" i="2" a="1"/>
  <c r="K638" i="2" l="1"/>
  <c r="L637" i="2"/>
  <c r="J637" i="2"/>
  <c r="I637" i="2"/>
  <c r="H637" i="2"/>
  <c r="G637" i="2"/>
  <c r="F637" i="2"/>
  <c r="E637" i="2"/>
  <c r="D637" i="2"/>
  <c r="C637" i="2"/>
  <c r="B636" i="2"/>
  <c r="A638" i="2"/>
  <c r="K639" i="2" a="1"/>
  <c r="L638" i="2" a="1"/>
  <c r="J638" i="2" a="1"/>
  <c r="I638" i="2" a="1"/>
  <c r="H638" i="2" a="1"/>
  <c r="G638" i="2" a="1"/>
  <c r="F638" i="2" a="1"/>
  <c r="E638" i="2" a="1"/>
  <c r="D638" i="2" a="1"/>
  <c r="C638" i="2" a="1"/>
  <c r="B637" i="2" a="1"/>
  <c r="K639" i="2" l="1"/>
  <c r="L638" i="2"/>
  <c r="J638" i="2"/>
  <c r="I638" i="2"/>
  <c r="H638" i="2"/>
  <c r="G638" i="2"/>
  <c r="F638" i="2"/>
  <c r="E638" i="2"/>
  <c r="D638" i="2"/>
  <c r="C638" i="2"/>
  <c r="B637" i="2"/>
  <c r="A639" i="2"/>
  <c r="K640" i="2" a="1"/>
  <c r="L639" i="2" a="1"/>
  <c r="J639" i="2" a="1"/>
  <c r="I639" i="2" a="1"/>
  <c r="H639" i="2" a="1"/>
  <c r="G639" i="2" a="1"/>
  <c r="F639" i="2" a="1"/>
  <c r="E639" i="2" a="1"/>
  <c r="D639" i="2" a="1"/>
  <c r="C639" i="2" a="1"/>
  <c r="B638" i="2" a="1"/>
  <c r="K640" i="2" l="1"/>
  <c r="L639" i="2"/>
  <c r="J639" i="2"/>
  <c r="I639" i="2"/>
  <c r="H639" i="2"/>
  <c r="G639" i="2"/>
  <c r="F639" i="2"/>
  <c r="E639" i="2"/>
  <c r="D639" i="2"/>
  <c r="C639" i="2"/>
  <c r="B638" i="2"/>
  <c r="A640" i="2"/>
  <c r="K641" i="2" a="1"/>
  <c r="L640" i="2" a="1"/>
  <c r="J640" i="2" a="1"/>
  <c r="I640" i="2" a="1"/>
  <c r="H640" i="2" a="1"/>
  <c r="G640" i="2" a="1"/>
  <c r="F640" i="2" a="1"/>
  <c r="E640" i="2" a="1"/>
  <c r="D640" i="2" a="1"/>
  <c r="C640" i="2" a="1"/>
  <c r="B639" i="2" a="1"/>
  <c r="K641" i="2" l="1"/>
  <c r="L640" i="2"/>
  <c r="J640" i="2"/>
  <c r="I640" i="2"/>
  <c r="H640" i="2"/>
  <c r="G640" i="2"/>
  <c r="F640" i="2"/>
  <c r="E640" i="2"/>
  <c r="D640" i="2"/>
  <c r="C640" i="2"/>
  <c r="B639" i="2"/>
  <c r="A641" i="2"/>
  <c r="K642" i="2" a="1"/>
  <c r="L641" i="2" a="1"/>
  <c r="J641" i="2" a="1"/>
  <c r="I641" i="2" a="1"/>
  <c r="H641" i="2" a="1"/>
  <c r="G641" i="2" a="1"/>
  <c r="F641" i="2" a="1"/>
  <c r="E641" i="2" a="1"/>
  <c r="D641" i="2" a="1"/>
  <c r="C641" i="2" a="1"/>
  <c r="B640" i="2" a="1"/>
  <c r="K642" i="2" l="1"/>
  <c r="L641" i="2"/>
  <c r="J641" i="2"/>
  <c r="I641" i="2"/>
  <c r="H641" i="2"/>
  <c r="G641" i="2"/>
  <c r="F641" i="2"/>
  <c r="E641" i="2"/>
  <c r="D641" i="2"/>
  <c r="C641" i="2"/>
  <c r="B640" i="2"/>
  <c r="A642" i="2"/>
  <c r="K643" i="2" a="1"/>
  <c r="L642" i="2" a="1"/>
  <c r="J642" i="2" a="1"/>
  <c r="I642" i="2" a="1"/>
  <c r="H642" i="2" a="1"/>
  <c r="G642" i="2" a="1"/>
  <c r="F642" i="2" a="1"/>
  <c r="E642" i="2" a="1"/>
  <c r="D642" i="2" a="1"/>
  <c r="C642" i="2" a="1"/>
  <c r="B641" i="2" a="1"/>
  <c r="K643" i="2" l="1"/>
  <c r="L642" i="2"/>
  <c r="J642" i="2"/>
  <c r="I642" i="2"/>
  <c r="H642" i="2"/>
  <c r="G642" i="2"/>
  <c r="F642" i="2"/>
  <c r="E642" i="2"/>
  <c r="D642" i="2"/>
  <c r="C642" i="2"/>
  <c r="B641" i="2"/>
  <c r="A643" i="2"/>
  <c r="K644" i="2" a="1"/>
  <c r="L643" i="2" a="1"/>
  <c r="J643" i="2" a="1"/>
  <c r="I643" i="2" a="1"/>
  <c r="H643" i="2" a="1"/>
  <c r="G643" i="2" a="1"/>
  <c r="F643" i="2" a="1"/>
  <c r="E643" i="2" a="1"/>
  <c r="D643" i="2" a="1"/>
  <c r="C643" i="2" a="1"/>
  <c r="B642" i="2" a="1"/>
  <c r="K644" i="2" l="1"/>
  <c r="L643" i="2"/>
  <c r="J643" i="2"/>
  <c r="I643" i="2"/>
  <c r="H643" i="2"/>
  <c r="G643" i="2"/>
  <c r="F643" i="2"/>
  <c r="E643" i="2"/>
  <c r="D643" i="2"/>
  <c r="C643" i="2"/>
  <c r="B642" i="2"/>
  <c r="A644" i="2"/>
  <c r="K645" i="2" a="1"/>
  <c r="L644" i="2" a="1"/>
  <c r="J644" i="2" a="1"/>
  <c r="I644" i="2" a="1"/>
  <c r="H644" i="2" a="1"/>
  <c r="G644" i="2" a="1"/>
  <c r="F644" i="2" a="1"/>
  <c r="E644" i="2" a="1"/>
  <c r="D644" i="2" a="1"/>
  <c r="C644" i="2" a="1"/>
  <c r="B643" i="2" a="1"/>
  <c r="K645" i="2" l="1"/>
  <c r="L644" i="2"/>
  <c r="J644" i="2"/>
  <c r="I644" i="2"/>
  <c r="H644" i="2"/>
  <c r="G644" i="2"/>
  <c r="F644" i="2"/>
  <c r="E644" i="2"/>
  <c r="D644" i="2"/>
  <c r="C644" i="2"/>
  <c r="B643" i="2"/>
  <c r="A645" i="2"/>
  <c r="K646" i="2" a="1"/>
  <c r="L645" i="2" a="1"/>
  <c r="J645" i="2" a="1"/>
  <c r="I645" i="2" a="1"/>
  <c r="H645" i="2" a="1"/>
  <c r="G645" i="2" a="1"/>
  <c r="F645" i="2" a="1"/>
  <c r="E645" i="2" a="1"/>
  <c r="D645" i="2" a="1"/>
  <c r="C645" i="2" a="1"/>
  <c r="B644" i="2" a="1"/>
  <c r="K646" i="2" l="1"/>
  <c r="L645" i="2"/>
  <c r="J645" i="2"/>
  <c r="I645" i="2"/>
  <c r="H645" i="2"/>
  <c r="G645" i="2"/>
  <c r="F645" i="2"/>
  <c r="E645" i="2"/>
  <c r="D645" i="2"/>
  <c r="C645" i="2"/>
  <c r="B644" i="2"/>
  <c r="A646" i="2"/>
  <c r="K647" i="2" a="1"/>
  <c r="L646" i="2" a="1"/>
  <c r="J646" i="2" a="1"/>
  <c r="I646" i="2" a="1"/>
  <c r="H646" i="2" a="1"/>
  <c r="G646" i="2" a="1"/>
  <c r="F646" i="2" a="1"/>
  <c r="E646" i="2" a="1"/>
  <c r="D646" i="2" a="1"/>
  <c r="C646" i="2" a="1"/>
  <c r="B645" i="2" a="1"/>
  <c r="K647" i="2" l="1"/>
  <c r="L646" i="2"/>
  <c r="J646" i="2"/>
  <c r="I646" i="2"/>
  <c r="H646" i="2"/>
  <c r="G646" i="2"/>
  <c r="F646" i="2"/>
  <c r="E646" i="2"/>
  <c r="D646" i="2"/>
  <c r="C646" i="2"/>
  <c r="B645" i="2"/>
  <c r="A647" i="2"/>
  <c r="K648" i="2" a="1"/>
  <c r="L647" i="2" a="1"/>
  <c r="J647" i="2" a="1"/>
  <c r="I647" i="2" a="1"/>
  <c r="H647" i="2" a="1"/>
  <c r="G647" i="2" a="1"/>
  <c r="F647" i="2" a="1"/>
  <c r="E647" i="2" a="1"/>
  <c r="D647" i="2" a="1"/>
  <c r="C647" i="2" a="1"/>
  <c r="B646" i="2" a="1"/>
  <c r="K648" i="2" l="1"/>
  <c r="L647" i="2"/>
  <c r="J647" i="2"/>
  <c r="I647" i="2"/>
  <c r="H647" i="2"/>
  <c r="G647" i="2"/>
  <c r="F647" i="2"/>
  <c r="E647" i="2"/>
  <c r="D647" i="2"/>
  <c r="C647" i="2"/>
  <c r="B646" i="2"/>
  <c r="A648" i="2"/>
  <c r="K649" i="2" a="1"/>
  <c r="L648" i="2" a="1"/>
  <c r="J648" i="2" a="1"/>
  <c r="I648" i="2" a="1"/>
  <c r="H648" i="2" a="1"/>
  <c r="G648" i="2" a="1"/>
  <c r="F648" i="2" a="1"/>
  <c r="E648" i="2" a="1"/>
  <c r="D648" i="2" a="1"/>
  <c r="C648" i="2" a="1"/>
  <c r="B647" i="2" a="1"/>
  <c r="K649" i="2" l="1"/>
  <c r="L648" i="2"/>
  <c r="J648" i="2"/>
  <c r="I648" i="2"/>
  <c r="H648" i="2"/>
  <c r="G648" i="2"/>
  <c r="F648" i="2"/>
  <c r="E648" i="2"/>
  <c r="D648" i="2"/>
  <c r="C648" i="2"/>
  <c r="B647" i="2"/>
  <c r="A649" i="2"/>
  <c r="K650" i="2" a="1"/>
  <c r="L649" i="2" a="1"/>
  <c r="J649" i="2" a="1"/>
  <c r="I649" i="2" a="1"/>
  <c r="H649" i="2" a="1"/>
  <c r="G649" i="2" a="1"/>
  <c r="F649" i="2" a="1"/>
  <c r="E649" i="2" a="1"/>
  <c r="D649" i="2" a="1"/>
  <c r="C649" i="2" a="1"/>
  <c r="B648" i="2" a="1"/>
  <c r="K650" i="2" l="1"/>
  <c r="L649" i="2"/>
  <c r="J649" i="2"/>
  <c r="I649" i="2"/>
  <c r="H649" i="2"/>
  <c r="G649" i="2"/>
  <c r="F649" i="2"/>
  <c r="E649" i="2"/>
  <c r="D649" i="2"/>
  <c r="C649" i="2"/>
  <c r="B648" i="2"/>
  <c r="A650" i="2"/>
  <c r="K651" i="2" a="1"/>
  <c r="L650" i="2" a="1"/>
  <c r="J650" i="2" a="1"/>
  <c r="I650" i="2" a="1"/>
  <c r="H650" i="2" a="1"/>
  <c r="G650" i="2" a="1"/>
  <c r="F650" i="2" a="1"/>
  <c r="E650" i="2" a="1"/>
  <c r="D650" i="2" a="1"/>
  <c r="C650" i="2" a="1"/>
  <c r="B649" i="2" a="1"/>
  <c r="K651" i="2" l="1"/>
  <c r="L650" i="2"/>
  <c r="J650" i="2"/>
  <c r="I650" i="2"/>
  <c r="H650" i="2"/>
  <c r="G650" i="2"/>
  <c r="F650" i="2"/>
  <c r="E650" i="2"/>
  <c r="D650" i="2"/>
  <c r="C650" i="2"/>
  <c r="B649" i="2"/>
  <c r="A651" i="2"/>
  <c r="K652" i="2" a="1"/>
  <c r="L651" i="2" a="1"/>
  <c r="J651" i="2" a="1"/>
  <c r="I651" i="2" a="1"/>
  <c r="H651" i="2" a="1"/>
  <c r="G651" i="2" a="1"/>
  <c r="F651" i="2" a="1"/>
  <c r="E651" i="2" a="1"/>
  <c r="D651" i="2" a="1"/>
  <c r="C651" i="2" a="1"/>
  <c r="B650" i="2" a="1"/>
  <c r="K652" i="2" l="1"/>
  <c r="L651" i="2"/>
  <c r="J651" i="2"/>
  <c r="I651" i="2"/>
  <c r="H651" i="2"/>
  <c r="G651" i="2"/>
  <c r="F651" i="2"/>
  <c r="E651" i="2"/>
  <c r="D651" i="2"/>
  <c r="C651" i="2"/>
  <c r="B650" i="2"/>
  <c r="A652" i="2"/>
  <c r="K653" i="2" a="1"/>
  <c r="L652" i="2" a="1"/>
  <c r="J652" i="2" a="1"/>
  <c r="I652" i="2" a="1"/>
  <c r="H652" i="2" a="1"/>
  <c r="G652" i="2" a="1"/>
  <c r="F652" i="2" a="1"/>
  <c r="E652" i="2" a="1"/>
  <c r="D652" i="2" a="1"/>
  <c r="C652" i="2" a="1"/>
  <c r="B651" i="2" a="1"/>
  <c r="K653" i="2" l="1"/>
  <c r="L652" i="2"/>
  <c r="J652" i="2"/>
  <c r="I652" i="2"/>
  <c r="H652" i="2"/>
  <c r="G652" i="2"/>
  <c r="F652" i="2"/>
  <c r="E652" i="2"/>
  <c r="D652" i="2"/>
  <c r="C652" i="2"/>
  <c r="B651" i="2"/>
  <c r="A653" i="2"/>
  <c r="K654" i="2" a="1"/>
  <c r="L653" i="2" a="1"/>
  <c r="J653" i="2" a="1"/>
  <c r="I653" i="2" a="1"/>
  <c r="H653" i="2" a="1"/>
  <c r="G653" i="2" a="1"/>
  <c r="F653" i="2" a="1"/>
  <c r="E653" i="2" a="1"/>
  <c r="D653" i="2" a="1"/>
  <c r="C653" i="2" a="1"/>
  <c r="B652" i="2" a="1"/>
  <c r="K654" i="2" l="1"/>
  <c r="L653" i="2"/>
  <c r="J653" i="2"/>
  <c r="I653" i="2"/>
  <c r="H653" i="2"/>
  <c r="G653" i="2"/>
  <c r="F653" i="2"/>
  <c r="E653" i="2"/>
  <c r="D653" i="2"/>
  <c r="C653" i="2"/>
  <c r="B652" i="2"/>
  <c r="A654" i="2"/>
  <c r="K655" i="2" a="1"/>
  <c r="L654" i="2" a="1"/>
  <c r="J654" i="2" a="1"/>
  <c r="I654" i="2" a="1"/>
  <c r="H654" i="2" a="1"/>
  <c r="G654" i="2" a="1"/>
  <c r="F654" i="2" a="1"/>
  <c r="E654" i="2" a="1"/>
  <c r="D654" i="2" a="1"/>
  <c r="C654" i="2" a="1"/>
  <c r="B653" i="2" a="1"/>
  <c r="K655" i="2" l="1"/>
  <c r="L654" i="2"/>
  <c r="J654" i="2"/>
  <c r="I654" i="2"/>
  <c r="H654" i="2"/>
  <c r="G654" i="2"/>
  <c r="F654" i="2"/>
  <c r="E654" i="2"/>
  <c r="D654" i="2"/>
  <c r="C654" i="2"/>
  <c r="B653" i="2"/>
  <c r="A655" i="2"/>
  <c r="K656" i="2" a="1"/>
  <c r="L655" i="2" a="1"/>
  <c r="J655" i="2" a="1"/>
  <c r="I655" i="2" a="1"/>
  <c r="H655" i="2" a="1"/>
  <c r="G655" i="2" a="1"/>
  <c r="F655" i="2" a="1"/>
  <c r="E655" i="2" a="1"/>
  <c r="D655" i="2" a="1"/>
  <c r="C655" i="2" a="1"/>
  <c r="B654" i="2" a="1"/>
  <c r="K656" i="2" l="1"/>
  <c r="L655" i="2"/>
  <c r="J655" i="2"/>
  <c r="I655" i="2"/>
  <c r="H655" i="2"/>
  <c r="G655" i="2"/>
  <c r="F655" i="2"/>
  <c r="E655" i="2"/>
  <c r="D655" i="2"/>
  <c r="C655" i="2"/>
  <c r="B654" i="2"/>
  <c r="A656" i="2"/>
  <c r="K657" i="2" a="1"/>
  <c r="L656" i="2" a="1"/>
  <c r="J656" i="2" a="1"/>
  <c r="I656" i="2" a="1"/>
  <c r="H656" i="2" a="1"/>
  <c r="G656" i="2" a="1"/>
  <c r="F656" i="2" a="1"/>
  <c r="E656" i="2" a="1"/>
  <c r="D656" i="2" a="1"/>
  <c r="C656" i="2" a="1"/>
  <c r="B655" i="2" a="1"/>
  <c r="K657" i="2" l="1"/>
  <c r="L656" i="2"/>
  <c r="J656" i="2"/>
  <c r="I656" i="2"/>
  <c r="H656" i="2"/>
  <c r="G656" i="2"/>
  <c r="F656" i="2"/>
  <c r="E656" i="2"/>
  <c r="D656" i="2"/>
  <c r="C656" i="2"/>
  <c r="B655" i="2"/>
  <c r="A657" i="2"/>
  <c r="K658" i="2" a="1"/>
  <c r="L657" i="2" a="1"/>
  <c r="J657" i="2" a="1"/>
  <c r="I657" i="2" a="1"/>
  <c r="H657" i="2" a="1"/>
  <c r="G657" i="2" a="1"/>
  <c r="F657" i="2" a="1"/>
  <c r="E657" i="2" a="1"/>
  <c r="D657" i="2" a="1"/>
  <c r="C657" i="2" a="1"/>
  <c r="B656" i="2" a="1"/>
  <c r="K658" i="2" l="1"/>
  <c r="L657" i="2"/>
  <c r="J657" i="2"/>
  <c r="I657" i="2"/>
  <c r="H657" i="2"/>
  <c r="G657" i="2"/>
  <c r="F657" i="2"/>
  <c r="E657" i="2"/>
  <c r="D657" i="2"/>
  <c r="C657" i="2"/>
  <c r="B656" i="2"/>
  <c r="A658" i="2"/>
  <c r="K659" i="2" a="1"/>
  <c r="L658" i="2" a="1"/>
  <c r="J658" i="2" a="1"/>
  <c r="I658" i="2" a="1"/>
  <c r="H658" i="2" a="1"/>
  <c r="G658" i="2" a="1"/>
  <c r="F658" i="2" a="1"/>
  <c r="E658" i="2" a="1"/>
  <c r="D658" i="2" a="1"/>
  <c r="C658" i="2" a="1"/>
  <c r="B657" i="2" a="1"/>
  <c r="K659" i="2" l="1"/>
  <c r="L658" i="2"/>
  <c r="J658" i="2"/>
  <c r="I658" i="2"/>
  <c r="H658" i="2"/>
  <c r="G658" i="2"/>
  <c r="F658" i="2"/>
  <c r="E658" i="2"/>
  <c r="D658" i="2"/>
  <c r="C658" i="2"/>
  <c r="B657" i="2"/>
  <c r="A659" i="2"/>
  <c r="K660" i="2" a="1"/>
  <c r="L659" i="2" a="1"/>
  <c r="J659" i="2" a="1"/>
  <c r="I659" i="2" a="1"/>
  <c r="H659" i="2" a="1"/>
  <c r="G659" i="2" a="1"/>
  <c r="F659" i="2" a="1"/>
  <c r="E659" i="2" a="1"/>
  <c r="D659" i="2" a="1"/>
  <c r="C659" i="2" a="1"/>
  <c r="B658" i="2" a="1"/>
  <c r="K660" i="2" l="1"/>
  <c r="L659" i="2"/>
  <c r="J659" i="2"/>
  <c r="I659" i="2"/>
  <c r="H659" i="2"/>
  <c r="G659" i="2"/>
  <c r="F659" i="2"/>
  <c r="E659" i="2"/>
  <c r="D659" i="2"/>
  <c r="C659" i="2"/>
  <c r="B658" i="2"/>
  <c r="A660" i="2"/>
  <c r="K661" i="2" a="1"/>
  <c r="L660" i="2" a="1"/>
  <c r="J660" i="2" a="1"/>
  <c r="I660" i="2" a="1"/>
  <c r="H660" i="2" a="1"/>
  <c r="G660" i="2" a="1"/>
  <c r="F660" i="2" a="1"/>
  <c r="E660" i="2" a="1"/>
  <c r="D660" i="2" a="1"/>
  <c r="C660" i="2" a="1"/>
  <c r="B659" i="2" a="1"/>
  <c r="K661" i="2" l="1"/>
  <c r="L660" i="2"/>
  <c r="J660" i="2"/>
  <c r="I660" i="2"/>
  <c r="H660" i="2"/>
  <c r="G660" i="2"/>
  <c r="F660" i="2"/>
  <c r="E660" i="2"/>
  <c r="D660" i="2"/>
  <c r="C660" i="2"/>
  <c r="B659" i="2"/>
  <c r="A661" i="2"/>
  <c r="K662" i="2" a="1"/>
  <c r="L661" i="2" a="1"/>
  <c r="J661" i="2" a="1"/>
  <c r="I661" i="2" a="1"/>
  <c r="H661" i="2" a="1"/>
  <c r="G661" i="2" a="1"/>
  <c r="F661" i="2" a="1"/>
  <c r="E661" i="2" a="1"/>
  <c r="D661" i="2" a="1"/>
  <c r="C661" i="2" a="1"/>
  <c r="B660" i="2" a="1"/>
  <c r="K662" i="2" l="1"/>
  <c r="L661" i="2"/>
  <c r="J661" i="2"/>
  <c r="I661" i="2"/>
  <c r="H661" i="2"/>
  <c r="G661" i="2"/>
  <c r="F661" i="2"/>
  <c r="E661" i="2"/>
  <c r="D661" i="2"/>
  <c r="C661" i="2"/>
  <c r="B660" i="2"/>
  <c r="A662" i="2"/>
  <c r="K663" i="2" a="1"/>
  <c r="L662" i="2" a="1"/>
  <c r="J662" i="2" a="1"/>
  <c r="I662" i="2" a="1"/>
  <c r="H662" i="2" a="1"/>
  <c r="G662" i="2" a="1"/>
  <c r="F662" i="2" a="1"/>
  <c r="E662" i="2" a="1"/>
  <c r="D662" i="2" a="1"/>
  <c r="C662" i="2" a="1"/>
  <c r="B661" i="2" a="1"/>
  <c r="K663" i="2" l="1"/>
  <c r="L662" i="2"/>
  <c r="J662" i="2"/>
  <c r="I662" i="2"/>
  <c r="H662" i="2"/>
  <c r="G662" i="2"/>
  <c r="F662" i="2"/>
  <c r="E662" i="2"/>
  <c r="D662" i="2"/>
  <c r="C662" i="2"/>
  <c r="B661" i="2"/>
  <c r="A663" i="2"/>
  <c r="K664" i="2" a="1"/>
  <c r="L663" i="2" a="1"/>
  <c r="J663" i="2" a="1"/>
  <c r="I663" i="2" a="1"/>
  <c r="H663" i="2" a="1"/>
  <c r="G663" i="2" a="1"/>
  <c r="F663" i="2" a="1"/>
  <c r="E663" i="2" a="1"/>
  <c r="D663" i="2" a="1"/>
  <c r="C663" i="2" a="1"/>
  <c r="B662" i="2" a="1"/>
  <c r="K664" i="2" l="1"/>
  <c r="L663" i="2"/>
  <c r="J663" i="2"/>
  <c r="I663" i="2"/>
  <c r="H663" i="2"/>
  <c r="G663" i="2"/>
  <c r="F663" i="2"/>
  <c r="E663" i="2"/>
  <c r="D663" i="2"/>
  <c r="C663" i="2"/>
  <c r="B662" i="2"/>
  <c r="A664" i="2"/>
  <c r="K665" i="2" a="1"/>
  <c r="L664" i="2" a="1"/>
  <c r="J664" i="2" a="1"/>
  <c r="I664" i="2" a="1"/>
  <c r="H664" i="2" a="1"/>
  <c r="G664" i="2" a="1"/>
  <c r="F664" i="2" a="1"/>
  <c r="E664" i="2" a="1"/>
  <c r="D664" i="2" a="1"/>
  <c r="C664" i="2" a="1"/>
  <c r="B663" i="2" a="1"/>
  <c r="K665" i="2" l="1"/>
  <c r="L664" i="2"/>
  <c r="J664" i="2"/>
  <c r="I664" i="2"/>
  <c r="H664" i="2"/>
  <c r="G664" i="2"/>
  <c r="F664" i="2"/>
  <c r="E664" i="2"/>
  <c r="D664" i="2"/>
  <c r="C664" i="2"/>
  <c r="B663" i="2"/>
  <c r="A665" i="2"/>
  <c r="K666" i="2" a="1"/>
  <c r="L665" i="2" a="1"/>
  <c r="J665" i="2" a="1"/>
  <c r="I665" i="2" a="1"/>
  <c r="H665" i="2" a="1"/>
  <c r="G665" i="2" a="1"/>
  <c r="F665" i="2" a="1"/>
  <c r="E665" i="2" a="1"/>
  <c r="D665" i="2" a="1"/>
  <c r="C665" i="2" a="1"/>
  <c r="B664" i="2" a="1"/>
  <c r="K666" i="2" l="1"/>
  <c r="L665" i="2"/>
  <c r="J665" i="2"/>
  <c r="I665" i="2"/>
  <c r="H665" i="2"/>
  <c r="G665" i="2"/>
  <c r="F665" i="2"/>
  <c r="E665" i="2"/>
  <c r="D665" i="2"/>
  <c r="C665" i="2"/>
  <c r="B664" i="2"/>
  <c r="A666" i="2"/>
  <c r="K667" i="2" a="1"/>
  <c r="L666" i="2" a="1"/>
  <c r="J666" i="2" a="1"/>
  <c r="I666" i="2" a="1"/>
  <c r="H666" i="2" a="1"/>
  <c r="G666" i="2" a="1"/>
  <c r="F666" i="2" a="1"/>
  <c r="E666" i="2" a="1"/>
  <c r="D666" i="2" a="1"/>
  <c r="C666" i="2" a="1"/>
  <c r="B665" i="2" a="1"/>
  <c r="K667" i="2" l="1"/>
  <c r="L666" i="2"/>
  <c r="J666" i="2"/>
  <c r="I666" i="2"/>
  <c r="H666" i="2"/>
  <c r="G666" i="2"/>
  <c r="F666" i="2"/>
  <c r="E666" i="2"/>
  <c r="D666" i="2"/>
  <c r="C666" i="2"/>
  <c r="B665" i="2"/>
  <c r="A667" i="2"/>
  <c r="K668" i="2" a="1"/>
  <c r="L667" i="2" a="1"/>
  <c r="J667" i="2" a="1"/>
  <c r="I667" i="2" a="1"/>
  <c r="H667" i="2" a="1"/>
  <c r="G667" i="2" a="1"/>
  <c r="F667" i="2" a="1"/>
  <c r="E667" i="2" a="1"/>
  <c r="D667" i="2" a="1"/>
  <c r="C667" i="2" a="1"/>
  <c r="B666" i="2" a="1"/>
  <c r="K668" i="2" l="1"/>
  <c r="L667" i="2"/>
  <c r="J667" i="2"/>
  <c r="I667" i="2"/>
  <c r="H667" i="2"/>
  <c r="G667" i="2"/>
  <c r="F667" i="2"/>
  <c r="E667" i="2"/>
  <c r="D667" i="2"/>
  <c r="C667" i="2"/>
  <c r="B666" i="2"/>
  <c r="A668" i="2"/>
  <c r="K669" i="2" a="1"/>
  <c r="L668" i="2" a="1"/>
  <c r="J668" i="2" a="1"/>
  <c r="I668" i="2" a="1"/>
  <c r="H668" i="2" a="1"/>
  <c r="G668" i="2" a="1"/>
  <c r="F668" i="2" a="1"/>
  <c r="E668" i="2" a="1"/>
  <c r="D668" i="2" a="1"/>
  <c r="C668" i="2" a="1"/>
  <c r="B667" i="2" a="1"/>
  <c r="K669" i="2" l="1"/>
  <c r="L668" i="2"/>
  <c r="J668" i="2"/>
  <c r="I668" i="2"/>
  <c r="H668" i="2"/>
  <c r="G668" i="2"/>
  <c r="F668" i="2"/>
  <c r="E668" i="2"/>
  <c r="D668" i="2"/>
  <c r="C668" i="2"/>
  <c r="B667" i="2"/>
  <c r="A669" i="2"/>
  <c r="K670" i="2" a="1"/>
  <c r="L669" i="2" a="1"/>
  <c r="J669" i="2" a="1"/>
  <c r="I669" i="2" a="1"/>
  <c r="H669" i="2" a="1"/>
  <c r="G669" i="2" a="1"/>
  <c r="F669" i="2" a="1"/>
  <c r="E669" i="2" a="1"/>
  <c r="D669" i="2" a="1"/>
  <c r="C669" i="2" a="1"/>
  <c r="B668" i="2" a="1"/>
  <c r="K670" i="2" l="1"/>
  <c r="L669" i="2"/>
  <c r="J669" i="2"/>
  <c r="I669" i="2"/>
  <c r="H669" i="2"/>
  <c r="G669" i="2"/>
  <c r="F669" i="2"/>
  <c r="E669" i="2"/>
  <c r="D669" i="2"/>
  <c r="C669" i="2"/>
  <c r="B668" i="2"/>
  <c r="A670" i="2"/>
  <c r="K671" i="2" a="1"/>
  <c r="L670" i="2" a="1"/>
  <c r="J670" i="2" a="1"/>
  <c r="I670" i="2" a="1"/>
  <c r="H670" i="2" a="1"/>
  <c r="G670" i="2" a="1"/>
  <c r="F670" i="2" a="1"/>
  <c r="E670" i="2" a="1"/>
  <c r="D670" i="2" a="1"/>
  <c r="C670" i="2" a="1"/>
  <c r="B669" i="2" a="1"/>
  <c r="K671" i="2" l="1"/>
  <c r="L670" i="2"/>
  <c r="J670" i="2"/>
  <c r="I670" i="2"/>
  <c r="H670" i="2"/>
  <c r="G670" i="2"/>
  <c r="F670" i="2"/>
  <c r="E670" i="2"/>
  <c r="D670" i="2"/>
  <c r="C670" i="2"/>
  <c r="B669" i="2"/>
  <c r="A671" i="2"/>
  <c r="K672" i="2" a="1"/>
  <c r="L671" i="2" a="1"/>
  <c r="J671" i="2" a="1"/>
  <c r="I671" i="2" a="1"/>
  <c r="H671" i="2" a="1"/>
  <c r="G671" i="2" a="1"/>
  <c r="F671" i="2" a="1"/>
  <c r="E671" i="2" a="1"/>
  <c r="D671" i="2" a="1"/>
  <c r="C671" i="2" a="1"/>
  <c r="B670" i="2" a="1"/>
  <c r="K672" i="2" l="1"/>
  <c r="L671" i="2"/>
  <c r="J671" i="2"/>
  <c r="I671" i="2"/>
  <c r="H671" i="2"/>
  <c r="G671" i="2"/>
  <c r="F671" i="2"/>
  <c r="E671" i="2"/>
  <c r="D671" i="2"/>
  <c r="C671" i="2"/>
  <c r="B670" i="2"/>
  <c r="A672" i="2"/>
  <c r="K673" i="2" a="1"/>
  <c r="L672" i="2" a="1"/>
  <c r="J672" i="2" a="1"/>
  <c r="I672" i="2" a="1"/>
  <c r="H672" i="2" a="1"/>
  <c r="G672" i="2" a="1"/>
  <c r="F672" i="2" a="1"/>
  <c r="E672" i="2" a="1"/>
  <c r="D672" i="2" a="1"/>
  <c r="C672" i="2" a="1"/>
  <c r="B671" i="2" a="1"/>
  <c r="K673" i="2" l="1"/>
  <c r="L672" i="2"/>
  <c r="J672" i="2"/>
  <c r="I672" i="2"/>
  <c r="H672" i="2"/>
  <c r="G672" i="2"/>
  <c r="F672" i="2"/>
  <c r="E672" i="2"/>
  <c r="D672" i="2"/>
  <c r="C672" i="2"/>
  <c r="B671" i="2"/>
  <c r="A673" i="2"/>
  <c r="K674" i="2" a="1"/>
  <c r="L673" i="2" a="1"/>
  <c r="J673" i="2" a="1"/>
  <c r="I673" i="2" a="1"/>
  <c r="H673" i="2" a="1"/>
  <c r="G673" i="2" a="1"/>
  <c r="F673" i="2" a="1"/>
  <c r="E673" i="2" a="1"/>
  <c r="D673" i="2" a="1"/>
  <c r="C673" i="2" a="1"/>
  <c r="B672" i="2" a="1"/>
  <c r="K674" i="2" l="1"/>
  <c r="L673" i="2"/>
  <c r="J673" i="2"/>
  <c r="I673" i="2"/>
  <c r="H673" i="2"/>
  <c r="G673" i="2"/>
  <c r="F673" i="2"/>
  <c r="E673" i="2"/>
  <c r="D673" i="2"/>
  <c r="C673" i="2"/>
  <c r="B672" i="2"/>
  <c r="A674" i="2"/>
  <c r="K675" i="2" a="1"/>
  <c r="L674" i="2" a="1"/>
  <c r="J674" i="2" a="1"/>
  <c r="I674" i="2" a="1"/>
  <c r="H674" i="2" a="1"/>
  <c r="G674" i="2" a="1"/>
  <c r="F674" i="2" a="1"/>
  <c r="E674" i="2" a="1"/>
  <c r="D674" i="2" a="1"/>
  <c r="C674" i="2" a="1"/>
  <c r="B673" i="2" a="1"/>
  <c r="K675" i="2" l="1"/>
  <c r="L674" i="2"/>
  <c r="J674" i="2"/>
  <c r="I674" i="2"/>
  <c r="H674" i="2"/>
  <c r="G674" i="2"/>
  <c r="F674" i="2"/>
  <c r="E674" i="2"/>
  <c r="D674" i="2"/>
  <c r="C674" i="2"/>
  <c r="B673" i="2"/>
  <c r="A675" i="2"/>
  <c r="K676" i="2" a="1"/>
  <c r="L675" i="2" a="1"/>
  <c r="J675" i="2" a="1"/>
  <c r="I675" i="2" a="1"/>
  <c r="H675" i="2" a="1"/>
  <c r="G675" i="2" a="1"/>
  <c r="F675" i="2" a="1"/>
  <c r="E675" i="2" a="1"/>
  <c r="D675" i="2" a="1"/>
  <c r="C675" i="2" a="1"/>
  <c r="B674" i="2" a="1"/>
  <c r="K676" i="2" l="1"/>
  <c r="L675" i="2"/>
  <c r="J675" i="2"/>
  <c r="I675" i="2"/>
  <c r="H675" i="2"/>
  <c r="G675" i="2"/>
  <c r="F675" i="2"/>
  <c r="E675" i="2"/>
  <c r="D675" i="2"/>
  <c r="C675" i="2"/>
  <c r="B674" i="2"/>
  <c r="A676" i="2"/>
  <c r="K677" i="2" a="1"/>
  <c r="L676" i="2" a="1"/>
  <c r="J676" i="2" a="1"/>
  <c r="I676" i="2" a="1"/>
  <c r="H676" i="2" a="1"/>
  <c r="G676" i="2" a="1"/>
  <c r="F676" i="2" a="1"/>
  <c r="E676" i="2" a="1"/>
  <c r="D676" i="2" a="1"/>
  <c r="C676" i="2" a="1"/>
  <c r="B675" i="2" a="1"/>
  <c r="K677" i="2" l="1"/>
  <c r="L676" i="2"/>
  <c r="J676" i="2"/>
  <c r="I676" i="2"/>
  <c r="H676" i="2"/>
  <c r="G676" i="2"/>
  <c r="F676" i="2"/>
  <c r="E676" i="2"/>
  <c r="D676" i="2"/>
  <c r="C676" i="2"/>
  <c r="B675" i="2"/>
  <c r="A677" i="2"/>
  <c r="K678" i="2" a="1"/>
  <c r="L677" i="2" a="1"/>
  <c r="J677" i="2" a="1"/>
  <c r="I677" i="2" a="1"/>
  <c r="H677" i="2" a="1"/>
  <c r="G677" i="2" a="1"/>
  <c r="F677" i="2" a="1"/>
  <c r="E677" i="2" a="1"/>
  <c r="D677" i="2" a="1"/>
  <c r="C677" i="2" a="1"/>
  <c r="B676" i="2" a="1"/>
  <c r="K678" i="2" l="1"/>
  <c r="L677" i="2"/>
  <c r="J677" i="2"/>
  <c r="I677" i="2"/>
  <c r="H677" i="2"/>
  <c r="G677" i="2"/>
  <c r="F677" i="2"/>
  <c r="E677" i="2"/>
  <c r="D677" i="2"/>
  <c r="C677" i="2"/>
  <c r="B676" i="2"/>
  <c r="A678" i="2"/>
  <c r="K679" i="2" a="1"/>
  <c r="L678" i="2" a="1"/>
  <c r="J678" i="2" a="1"/>
  <c r="I678" i="2" a="1"/>
  <c r="H678" i="2" a="1"/>
  <c r="G678" i="2" a="1"/>
  <c r="F678" i="2" a="1"/>
  <c r="E678" i="2" a="1"/>
  <c r="D678" i="2" a="1"/>
  <c r="C678" i="2" a="1"/>
  <c r="B677" i="2" a="1"/>
  <c r="K679" i="2" l="1"/>
  <c r="L678" i="2"/>
  <c r="J678" i="2"/>
  <c r="I678" i="2"/>
  <c r="H678" i="2"/>
  <c r="G678" i="2"/>
  <c r="F678" i="2"/>
  <c r="E678" i="2"/>
  <c r="D678" i="2"/>
  <c r="C678" i="2"/>
  <c r="B677" i="2"/>
  <c r="A679" i="2"/>
  <c r="K680" i="2" a="1"/>
  <c r="L679" i="2" a="1"/>
  <c r="J679" i="2" a="1"/>
  <c r="I679" i="2" a="1"/>
  <c r="H679" i="2" a="1"/>
  <c r="G679" i="2" a="1"/>
  <c r="F679" i="2" a="1"/>
  <c r="E679" i="2" a="1"/>
  <c r="D679" i="2" a="1"/>
  <c r="C679" i="2" a="1"/>
  <c r="B678" i="2" a="1"/>
  <c r="K680" i="2" l="1"/>
  <c r="L679" i="2"/>
  <c r="J679" i="2"/>
  <c r="I679" i="2"/>
  <c r="H679" i="2"/>
  <c r="G679" i="2"/>
  <c r="F679" i="2"/>
  <c r="E679" i="2"/>
  <c r="D679" i="2"/>
  <c r="C679" i="2"/>
  <c r="B678" i="2"/>
  <c r="A680" i="2"/>
  <c r="K681" i="2" a="1"/>
  <c r="L680" i="2" a="1"/>
  <c r="J680" i="2" a="1"/>
  <c r="I680" i="2" a="1"/>
  <c r="H680" i="2" a="1"/>
  <c r="G680" i="2" a="1"/>
  <c r="F680" i="2" a="1"/>
  <c r="E680" i="2" a="1"/>
  <c r="D680" i="2" a="1"/>
  <c r="C680" i="2" a="1"/>
  <c r="B679" i="2" a="1"/>
  <c r="K681" i="2" l="1"/>
  <c r="L680" i="2"/>
  <c r="J680" i="2"/>
  <c r="I680" i="2"/>
  <c r="H680" i="2"/>
  <c r="G680" i="2"/>
  <c r="F680" i="2"/>
  <c r="E680" i="2"/>
  <c r="D680" i="2"/>
  <c r="C680" i="2"/>
  <c r="B679" i="2"/>
  <c r="A681" i="2"/>
  <c r="K682" i="2" a="1"/>
  <c r="L681" i="2" a="1"/>
  <c r="J681" i="2" a="1"/>
  <c r="I681" i="2" a="1"/>
  <c r="H681" i="2" a="1"/>
  <c r="G681" i="2" a="1"/>
  <c r="F681" i="2" a="1"/>
  <c r="E681" i="2" a="1"/>
  <c r="D681" i="2" a="1"/>
  <c r="C681" i="2" a="1"/>
  <c r="B680" i="2" a="1"/>
  <c r="K682" i="2" l="1"/>
  <c r="L681" i="2"/>
  <c r="J681" i="2"/>
  <c r="I681" i="2"/>
  <c r="H681" i="2"/>
  <c r="G681" i="2"/>
  <c r="F681" i="2"/>
  <c r="E681" i="2"/>
  <c r="D681" i="2"/>
  <c r="C681" i="2"/>
  <c r="B680" i="2"/>
  <c r="A682" i="2"/>
  <c r="K683" i="2" a="1"/>
  <c r="L682" i="2" a="1"/>
  <c r="J682" i="2" a="1"/>
  <c r="I682" i="2" a="1"/>
  <c r="H682" i="2" a="1"/>
  <c r="G682" i="2" a="1"/>
  <c r="F682" i="2" a="1"/>
  <c r="E682" i="2" a="1"/>
  <c r="D682" i="2" a="1"/>
  <c r="C682" i="2" a="1"/>
  <c r="B681" i="2" a="1"/>
  <c r="K683" i="2" l="1"/>
  <c r="L682" i="2"/>
  <c r="J682" i="2"/>
  <c r="I682" i="2"/>
  <c r="H682" i="2"/>
  <c r="G682" i="2"/>
  <c r="F682" i="2"/>
  <c r="E682" i="2"/>
  <c r="D682" i="2"/>
  <c r="C682" i="2"/>
  <c r="B681" i="2"/>
  <c r="A683" i="2"/>
  <c r="K684" i="2" a="1"/>
  <c r="L683" i="2" a="1"/>
  <c r="J683" i="2" a="1"/>
  <c r="I683" i="2" a="1"/>
  <c r="H683" i="2" a="1"/>
  <c r="G683" i="2" a="1"/>
  <c r="F683" i="2" a="1"/>
  <c r="E683" i="2" a="1"/>
  <c r="D683" i="2" a="1"/>
  <c r="C683" i="2" a="1"/>
  <c r="B682" i="2" a="1"/>
  <c r="K684" i="2" l="1"/>
  <c r="L683" i="2"/>
  <c r="J683" i="2"/>
  <c r="I683" i="2"/>
  <c r="H683" i="2"/>
  <c r="G683" i="2"/>
  <c r="F683" i="2"/>
  <c r="E683" i="2"/>
  <c r="D683" i="2"/>
  <c r="C683" i="2"/>
  <c r="B682" i="2"/>
  <c r="A684" i="2"/>
  <c r="K685" i="2" a="1"/>
  <c r="L684" i="2" a="1"/>
  <c r="J684" i="2" a="1"/>
  <c r="I684" i="2" a="1"/>
  <c r="H684" i="2" a="1"/>
  <c r="G684" i="2" a="1"/>
  <c r="F684" i="2" a="1"/>
  <c r="E684" i="2" a="1"/>
  <c r="D684" i="2" a="1"/>
  <c r="C684" i="2" a="1"/>
  <c r="B683" i="2" a="1"/>
  <c r="K685" i="2" l="1"/>
  <c r="L684" i="2"/>
  <c r="J684" i="2"/>
  <c r="I684" i="2"/>
  <c r="H684" i="2"/>
  <c r="G684" i="2"/>
  <c r="F684" i="2"/>
  <c r="E684" i="2"/>
  <c r="D684" i="2"/>
  <c r="C684" i="2"/>
  <c r="B683" i="2"/>
  <c r="A685" i="2"/>
  <c r="K686" i="2" a="1"/>
  <c r="L685" i="2" a="1"/>
  <c r="J685" i="2" a="1"/>
  <c r="I685" i="2" a="1"/>
  <c r="H685" i="2" a="1"/>
  <c r="G685" i="2" a="1"/>
  <c r="F685" i="2" a="1"/>
  <c r="E685" i="2" a="1"/>
  <c r="D685" i="2" a="1"/>
  <c r="C685" i="2" a="1"/>
  <c r="B684" i="2" a="1"/>
  <c r="K686" i="2" l="1"/>
  <c r="L685" i="2"/>
  <c r="J685" i="2"/>
  <c r="I685" i="2"/>
  <c r="H685" i="2"/>
  <c r="G685" i="2"/>
  <c r="F685" i="2"/>
  <c r="E685" i="2"/>
  <c r="D685" i="2"/>
  <c r="C685" i="2"/>
  <c r="B684" i="2"/>
  <c r="A686" i="2"/>
  <c r="K687" i="2" a="1"/>
  <c r="L686" i="2" a="1"/>
  <c r="J686" i="2" a="1"/>
  <c r="I686" i="2" a="1"/>
  <c r="H686" i="2" a="1"/>
  <c r="G686" i="2" a="1"/>
  <c r="F686" i="2" a="1"/>
  <c r="E686" i="2" a="1"/>
  <c r="D686" i="2" a="1"/>
  <c r="C686" i="2" a="1"/>
  <c r="B685" i="2" a="1"/>
  <c r="K687" i="2" l="1"/>
  <c r="L686" i="2"/>
  <c r="J686" i="2"/>
  <c r="I686" i="2"/>
  <c r="H686" i="2"/>
  <c r="G686" i="2"/>
  <c r="F686" i="2"/>
  <c r="E686" i="2"/>
  <c r="D686" i="2"/>
  <c r="C686" i="2"/>
  <c r="B685" i="2"/>
  <c r="A687" i="2"/>
  <c r="K688" i="2" a="1"/>
  <c r="L687" i="2" a="1"/>
  <c r="J687" i="2" a="1"/>
  <c r="I687" i="2" a="1"/>
  <c r="H687" i="2" a="1"/>
  <c r="G687" i="2" a="1"/>
  <c r="F687" i="2" a="1"/>
  <c r="E687" i="2" a="1"/>
  <c r="D687" i="2" a="1"/>
  <c r="C687" i="2" a="1"/>
  <c r="B686" i="2" a="1"/>
  <c r="K688" i="2" l="1"/>
  <c r="L687" i="2"/>
  <c r="J687" i="2"/>
  <c r="I687" i="2"/>
  <c r="H687" i="2"/>
  <c r="G687" i="2"/>
  <c r="F687" i="2"/>
  <c r="E687" i="2"/>
  <c r="D687" i="2"/>
  <c r="C687" i="2"/>
  <c r="B686" i="2"/>
  <c r="A688" i="2"/>
  <c r="K689" i="2" a="1"/>
  <c r="L688" i="2" a="1"/>
  <c r="J688" i="2" a="1"/>
  <c r="I688" i="2" a="1"/>
  <c r="H688" i="2" a="1"/>
  <c r="G688" i="2" a="1"/>
  <c r="F688" i="2" a="1"/>
  <c r="E688" i="2" a="1"/>
  <c r="D688" i="2" a="1"/>
  <c r="C688" i="2" a="1"/>
  <c r="B687" i="2" a="1"/>
  <c r="K689" i="2" l="1"/>
  <c r="L688" i="2"/>
  <c r="J688" i="2"/>
  <c r="I688" i="2"/>
  <c r="H688" i="2"/>
  <c r="G688" i="2"/>
  <c r="F688" i="2"/>
  <c r="E688" i="2"/>
  <c r="D688" i="2"/>
  <c r="C688" i="2"/>
  <c r="B687" i="2"/>
  <c r="A689" i="2"/>
  <c r="K690" i="2" a="1"/>
  <c r="L689" i="2" a="1"/>
  <c r="J689" i="2" a="1"/>
  <c r="I689" i="2" a="1"/>
  <c r="H689" i="2" a="1"/>
  <c r="G689" i="2" a="1"/>
  <c r="F689" i="2" a="1"/>
  <c r="E689" i="2" a="1"/>
  <c r="D689" i="2" a="1"/>
  <c r="C689" i="2" a="1"/>
  <c r="B688" i="2" a="1"/>
  <c r="K690" i="2" l="1"/>
  <c r="L689" i="2"/>
  <c r="J689" i="2"/>
  <c r="I689" i="2"/>
  <c r="H689" i="2"/>
  <c r="G689" i="2"/>
  <c r="F689" i="2"/>
  <c r="E689" i="2"/>
  <c r="D689" i="2"/>
  <c r="C689" i="2"/>
  <c r="B688" i="2"/>
  <c r="A690" i="2"/>
  <c r="K691" i="2" a="1"/>
  <c r="L690" i="2" a="1"/>
  <c r="J690" i="2" a="1"/>
  <c r="I690" i="2" a="1"/>
  <c r="H690" i="2" a="1"/>
  <c r="G690" i="2" a="1"/>
  <c r="F690" i="2" a="1"/>
  <c r="E690" i="2" a="1"/>
  <c r="D690" i="2" a="1"/>
  <c r="C690" i="2" a="1"/>
  <c r="B689" i="2" a="1"/>
  <c r="K691" i="2" l="1"/>
  <c r="L690" i="2"/>
  <c r="J690" i="2"/>
  <c r="I690" i="2"/>
  <c r="H690" i="2"/>
  <c r="G690" i="2"/>
  <c r="F690" i="2"/>
  <c r="E690" i="2"/>
  <c r="D690" i="2"/>
  <c r="C690" i="2"/>
  <c r="B689" i="2"/>
  <c r="A691" i="2"/>
  <c r="K692" i="2" a="1"/>
  <c r="L691" i="2" a="1"/>
  <c r="J691" i="2" a="1"/>
  <c r="I691" i="2" a="1"/>
  <c r="H691" i="2" a="1"/>
  <c r="G691" i="2" a="1"/>
  <c r="F691" i="2" a="1"/>
  <c r="E691" i="2" a="1"/>
  <c r="D691" i="2" a="1"/>
  <c r="C691" i="2" a="1"/>
  <c r="B690" i="2" a="1"/>
  <c r="K692" i="2" l="1"/>
  <c r="L691" i="2"/>
  <c r="J691" i="2"/>
  <c r="I691" i="2"/>
  <c r="H691" i="2"/>
  <c r="G691" i="2"/>
  <c r="F691" i="2"/>
  <c r="E691" i="2"/>
  <c r="D691" i="2"/>
  <c r="C691" i="2"/>
  <c r="B690" i="2"/>
  <c r="A692" i="2"/>
  <c r="K693" i="2" a="1"/>
  <c r="L692" i="2" a="1"/>
  <c r="J692" i="2" a="1"/>
  <c r="I692" i="2" a="1"/>
  <c r="H692" i="2" a="1"/>
  <c r="G692" i="2" a="1"/>
  <c r="F692" i="2" a="1"/>
  <c r="E692" i="2" a="1"/>
  <c r="D692" i="2" a="1"/>
  <c r="C692" i="2" a="1"/>
  <c r="B691" i="2" a="1"/>
  <c r="K693" i="2" l="1"/>
  <c r="L692" i="2"/>
  <c r="J692" i="2"/>
  <c r="I692" i="2"/>
  <c r="H692" i="2"/>
  <c r="G692" i="2"/>
  <c r="F692" i="2"/>
  <c r="E692" i="2"/>
  <c r="D692" i="2"/>
  <c r="C692" i="2"/>
  <c r="B691" i="2"/>
  <c r="A693" i="2"/>
  <c r="K694" i="2" a="1"/>
  <c r="L693" i="2" a="1"/>
  <c r="J693" i="2" a="1"/>
  <c r="I693" i="2" a="1"/>
  <c r="H693" i="2" a="1"/>
  <c r="G693" i="2" a="1"/>
  <c r="F693" i="2" a="1"/>
  <c r="E693" i="2" a="1"/>
  <c r="D693" i="2" a="1"/>
  <c r="C693" i="2" a="1"/>
  <c r="B692" i="2" a="1"/>
  <c r="K694" i="2" l="1"/>
  <c r="L693" i="2"/>
  <c r="J693" i="2"/>
  <c r="I693" i="2"/>
  <c r="H693" i="2"/>
  <c r="G693" i="2"/>
  <c r="F693" i="2"/>
  <c r="E693" i="2"/>
  <c r="D693" i="2"/>
  <c r="C693" i="2"/>
  <c r="B692" i="2"/>
  <c r="A694" i="2"/>
  <c r="K695" i="2" a="1"/>
  <c r="L694" i="2" a="1"/>
  <c r="J694" i="2" a="1"/>
  <c r="I694" i="2" a="1"/>
  <c r="H694" i="2" a="1"/>
  <c r="G694" i="2" a="1"/>
  <c r="F694" i="2" a="1"/>
  <c r="E694" i="2" a="1"/>
  <c r="D694" i="2" a="1"/>
  <c r="C694" i="2" a="1"/>
  <c r="B693" i="2" a="1"/>
  <c r="K695" i="2" l="1"/>
  <c r="L694" i="2"/>
  <c r="J694" i="2"/>
  <c r="I694" i="2"/>
  <c r="H694" i="2"/>
  <c r="G694" i="2"/>
  <c r="F694" i="2"/>
  <c r="E694" i="2"/>
  <c r="D694" i="2"/>
  <c r="C694" i="2"/>
  <c r="B693" i="2"/>
  <c r="A695" i="2"/>
  <c r="K696" i="2" a="1"/>
  <c r="L695" i="2" a="1"/>
  <c r="J695" i="2" a="1"/>
  <c r="I695" i="2" a="1"/>
  <c r="H695" i="2" a="1"/>
  <c r="G695" i="2" a="1"/>
  <c r="F695" i="2" a="1"/>
  <c r="E695" i="2" a="1"/>
  <c r="D695" i="2" a="1"/>
  <c r="C695" i="2" a="1"/>
  <c r="B694" i="2" a="1"/>
  <c r="K696" i="2" l="1"/>
  <c r="L695" i="2"/>
  <c r="J695" i="2"/>
  <c r="I695" i="2"/>
  <c r="H695" i="2"/>
  <c r="G695" i="2"/>
  <c r="F695" i="2"/>
  <c r="E695" i="2"/>
  <c r="D695" i="2"/>
  <c r="C695" i="2"/>
  <c r="B694" i="2"/>
  <c r="A696" i="2"/>
  <c r="K697" i="2" a="1"/>
  <c r="L696" i="2" a="1"/>
  <c r="J696" i="2" a="1"/>
  <c r="I696" i="2" a="1"/>
  <c r="H696" i="2" a="1"/>
  <c r="G696" i="2" a="1"/>
  <c r="F696" i="2" a="1"/>
  <c r="E696" i="2" a="1"/>
  <c r="D696" i="2" a="1"/>
  <c r="C696" i="2" a="1"/>
  <c r="B695" i="2" a="1"/>
  <c r="K697" i="2" l="1"/>
  <c r="L696" i="2"/>
  <c r="J696" i="2"/>
  <c r="I696" i="2"/>
  <c r="H696" i="2"/>
  <c r="G696" i="2"/>
  <c r="F696" i="2"/>
  <c r="E696" i="2"/>
  <c r="D696" i="2"/>
  <c r="C696" i="2"/>
  <c r="B695" i="2"/>
  <c r="A697" i="2"/>
  <c r="K698" i="2" a="1"/>
  <c r="L697" i="2" a="1"/>
  <c r="J697" i="2" a="1"/>
  <c r="I697" i="2" a="1"/>
  <c r="H697" i="2" a="1"/>
  <c r="G697" i="2" a="1"/>
  <c r="F697" i="2" a="1"/>
  <c r="E697" i="2" a="1"/>
  <c r="D697" i="2" a="1"/>
  <c r="C697" i="2" a="1"/>
  <c r="B696" i="2" a="1"/>
  <c r="K698" i="2" l="1"/>
  <c r="L697" i="2"/>
  <c r="J697" i="2"/>
  <c r="I697" i="2"/>
  <c r="H697" i="2"/>
  <c r="G697" i="2"/>
  <c r="F697" i="2"/>
  <c r="E697" i="2"/>
  <c r="D697" i="2"/>
  <c r="C697" i="2"/>
  <c r="B696" i="2"/>
  <c r="A698" i="2"/>
  <c r="K699" i="2" a="1"/>
  <c r="L698" i="2" a="1"/>
  <c r="J698" i="2" a="1"/>
  <c r="I698" i="2" a="1"/>
  <c r="H698" i="2" a="1"/>
  <c r="G698" i="2" a="1"/>
  <c r="F698" i="2" a="1"/>
  <c r="E698" i="2" a="1"/>
  <c r="D698" i="2" a="1"/>
  <c r="C698" i="2" a="1"/>
  <c r="B697" i="2" a="1"/>
  <c r="K699" i="2" l="1"/>
  <c r="L698" i="2"/>
  <c r="J698" i="2"/>
  <c r="I698" i="2"/>
  <c r="H698" i="2"/>
  <c r="G698" i="2"/>
  <c r="F698" i="2"/>
  <c r="E698" i="2"/>
  <c r="D698" i="2"/>
  <c r="C698" i="2"/>
  <c r="B697" i="2"/>
  <c r="A699" i="2"/>
  <c r="K700" i="2" a="1"/>
  <c r="L699" i="2" a="1"/>
  <c r="J699" i="2" a="1"/>
  <c r="I699" i="2" a="1"/>
  <c r="H699" i="2" a="1"/>
  <c r="G699" i="2" a="1"/>
  <c r="F699" i="2" a="1"/>
  <c r="E699" i="2" a="1"/>
  <c r="D699" i="2" a="1"/>
  <c r="C699" i="2" a="1"/>
  <c r="B698" i="2" a="1"/>
  <c r="K700" i="2" l="1"/>
  <c r="L699" i="2"/>
  <c r="J699" i="2"/>
  <c r="I699" i="2"/>
  <c r="H699" i="2"/>
  <c r="G699" i="2"/>
  <c r="F699" i="2"/>
  <c r="E699" i="2"/>
  <c r="D699" i="2"/>
  <c r="C699" i="2"/>
  <c r="B698" i="2"/>
  <c r="A700" i="2"/>
  <c r="K701" i="2" a="1"/>
  <c r="L700" i="2" a="1"/>
  <c r="J700" i="2" a="1"/>
  <c r="I700" i="2" a="1"/>
  <c r="H700" i="2" a="1"/>
  <c r="G700" i="2" a="1"/>
  <c r="F700" i="2" a="1"/>
  <c r="E700" i="2" a="1"/>
  <c r="D700" i="2" a="1"/>
  <c r="C700" i="2" a="1"/>
  <c r="B699" i="2" a="1"/>
  <c r="K701" i="2" l="1"/>
  <c r="L700" i="2"/>
  <c r="J700" i="2"/>
  <c r="I700" i="2"/>
  <c r="H700" i="2"/>
  <c r="G700" i="2"/>
  <c r="F700" i="2"/>
  <c r="E700" i="2"/>
  <c r="D700" i="2"/>
  <c r="C700" i="2"/>
  <c r="B699" i="2"/>
  <c r="A701" i="2"/>
  <c r="K702" i="2" a="1"/>
  <c r="L701" i="2" a="1"/>
  <c r="J701" i="2" a="1"/>
  <c r="I701" i="2" a="1"/>
  <c r="H701" i="2" a="1"/>
  <c r="G701" i="2" a="1"/>
  <c r="F701" i="2" a="1"/>
  <c r="E701" i="2" a="1"/>
  <c r="D701" i="2" a="1"/>
  <c r="C701" i="2" a="1"/>
  <c r="B700" i="2" a="1"/>
  <c r="K702" i="2" l="1"/>
  <c r="L701" i="2"/>
  <c r="J701" i="2"/>
  <c r="I701" i="2"/>
  <c r="H701" i="2"/>
  <c r="G701" i="2"/>
  <c r="F701" i="2"/>
  <c r="E701" i="2"/>
  <c r="D701" i="2"/>
  <c r="C701" i="2"/>
  <c r="B700" i="2"/>
  <c r="A702" i="2"/>
  <c r="K703" i="2" a="1"/>
  <c r="L702" i="2" a="1"/>
  <c r="J702" i="2" a="1"/>
  <c r="I702" i="2" a="1"/>
  <c r="H702" i="2" a="1"/>
  <c r="G702" i="2" a="1"/>
  <c r="F702" i="2" a="1"/>
  <c r="E702" i="2" a="1"/>
  <c r="D702" i="2" a="1"/>
  <c r="C702" i="2" a="1"/>
  <c r="B701" i="2" a="1"/>
  <c r="K703" i="2" l="1"/>
  <c r="L702" i="2"/>
  <c r="J702" i="2"/>
  <c r="I702" i="2"/>
  <c r="H702" i="2"/>
  <c r="G702" i="2"/>
  <c r="F702" i="2"/>
  <c r="E702" i="2"/>
  <c r="D702" i="2"/>
  <c r="C702" i="2"/>
  <c r="B701" i="2"/>
  <c r="A703" i="2"/>
  <c r="K704" i="2" a="1"/>
  <c r="L703" i="2" a="1"/>
  <c r="J703" i="2" a="1"/>
  <c r="I703" i="2" a="1"/>
  <c r="H703" i="2" a="1"/>
  <c r="G703" i="2" a="1"/>
  <c r="F703" i="2" a="1"/>
  <c r="E703" i="2" a="1"/>
  <c r="D703" i="2" a="1"/>
  <c r="C703" i="2" a="1"/>
  <c r="B702" i="2" a="1"/>
  <c r="K704" i="2" l="1"/>
  <c r="L703" i="2"/>
  <c r="J703" i="2"/>
  <c r="I703" i="2"/>
  <c r="H703" i="2"/>
  <c r="G703" i="2"/>
  <c r="F703" i="2"/>
  <c r="E703" i="2"/>
  <c r="D703" i="2"/>
  <c r="C703" i="2"/>
  <c r="B702" i="2"/>
  <c r="A704" i="2"/>
  <c r="K705" i="2" a="1"/>
  <c r="L704" i="2" a="1"/>
  <c r="J704" i="2" a="1"/>
  <c r="I704" i="2" a="1"/>
  <c r="H704" i="2" a="1"/>
  <c r="G704" i="2" a="1"/>
  <c r="F704" i="2" a="1"/>
  <c r="E704" i="2" a="1"/>
  <c r="D704" i="2" a="1"/>
  <c r="C704" i="2" a="1"/>
  <c r="B703" i="2" a="1"/>
  <c r="K705" i="2" l="1"/>
  <c r="L704" i="2"/>
  <c r="J704" i="2"/>
  <c r="I704" i="2"/>
  <c r="H704" i="2"/>
  <c r="G704" i="2"/>
  <c r="F704" i="2"/>
  <c r="E704" i="2"/>
  <c r="D704" i="2"/>
  <c r="C704" i="2"/>
  <c r="B703" i="2"/>
  <c r="A705" i="2"/>
  <c r="K706" i="2" a="1"/>
  <c r="L705" i="2" a="1"/>
  <c r="J705" i="2" a="1"/>
  <c r="I705" i="2" a="1"/>
  <c r="H705" i="2" a="1"/>
  <c r="G705" i="2" a="1"/>
  <c r="F705" i="2" a="1"/>
  <c r="E705" i="2" a="1"/>
  <c r="D705" i="2" a="1"/>
  <c r="C705" i="2" a="1"/>
  <c r="B704" i="2" a="1"/>
  <c r="K706" i="2" l="1"/>
  <c r="L705" i="2"/>
  <c r="J705" i="2"/>
  <c r="I705" i="2"/>
  <c r="H705" i="2"/>
  <c r="G705" i="2"/>
  <c r="F705" i="2"/>
  <c r="E705" i="2"/>
  <c r="D705" i="2"/>
  <c r="C705" i="2"/>
  <c r="B704" i="2"/>
  <c r="A706" i="2"/>
  <c r="K707" i="2" a="1"/>
  <c r="L706" i="2" a="1"/>
  <c r="J706" i="2" a="1"/>
  <c r="I706" i="2" a="1"/>
  <c r="H706" i="2" a="1"/>
  <c r="G706" i="2" a="1"/>
  <c r="F706" i="2" a="1"/>
  <c r="E706" i="2" a="1"/>
  <c r="D706" i="2" a="1"/>
  <c r="C706" i="2" a="1"/>
  <c r="B705" i="2" a="1"/>
  <c r="K707" i="2" l="1"/>
  <c r="L706" i="2"/>
  <c r="J706" i="2"/>
  <c r="I706" i="2"/>
  <c r="H706" i="2"/>
  <c r="G706" i="2"/>
  <c r="F706" i="2"/>
  <c r="E706" i="2"/>
  <c r="D706" i="2"/>
  <c r="C706" i="2"/>
  <c r="B705" i="2"/>
  <c r="A707" i="2"/>
  <c r="K708" i="2" a="1"/>
  <c r="L707" i="2" a="1"/>
  <c r="J707" i="2" a="1"/>
  <c r="I707" i="2" a="1"/>
  <c r="H707" i="2" a="1"/>
  <c r="G707" i="2" a="1"/>
  <c r="F707" i="2" a="1"/>
  <c r="E707" i="2" a="1"/>
  <c r="D707" i="2" a="1"/>
  <c r="C707" i="2" a="1"/>
  <c r="B706" i="2" a="1"/>
  <c r="K708" i="2" l="1"/>
  <c r="L707" i="2"/>
  <c r="J707" i="2"/>
  <c r="I707" i="2"/>
  <c r="H707" i="2"/>
  <c r="G707" i="2"/>
  <c r="F707" i="2"/>
  <c r="E707" i="2"/>
  <c r="D707" i="2"/>
  <c r="C707" i="2"/>
  <c r="B706" i="2"/>
  <c r="A708" i="2"/>
  <c r="K709" i="2" a="1"/>
  <c r="L708" i="2" a="1"/>
  <c r="J708" i="2" a="1"/>
  <c r="I708" i="2" a="1"/>
  <c r="H708" i="2" a="1"/>
  <c r="G708" i="2" a="1"/>
  <c r="F708" i="2" a="1"/>
  <c r="E708" i="2" a="1"/>
  <c r="D708" i="2" a="1"/>
  <c r="C708" i="2" a="1"/>
  <c r="B707" i="2" a="1"/>
  <c r="K709" i="2" l="1"/>
  <c r="L708" i="2"/>
  <c r="J708" i="2"/>
  <c r="I708" i="2"/>
  <c r="H708" i="2"/>
  <c r="G708" i="2"/>
  <c r="F708" i="2"/>
  <c r="E708" i="2"/>
  <c r="D708" i="2"/>
  <c r="C708" i="2"/>
  <c r="B707" i="2"/>
  <c r="A709" i="2"/>
  <c r="K710" i="2" a="1"/>
  <c r="L709" i="2" a="1"/>
  <c r="J709" i="2" a="1"/>
  <c r="I709" i="2" a="1"/>
  <c r="H709" i="2" a="1"/>
  <c r="G709" i="2" a="1"/>
  <c r="F709" i="2" a="1"/>
  <c r="E709" i="2" a="1"/>
  <c r="D709" i="2" a="1"/>
  <c r="C709" i="2" a="1"/>
  <c r="B708" i="2" a="1"/>
  <c r="K710" i="2" l="1"/>
  <c r="L709" i="2"/>
  <c r="J709" i="2"/>
  <c r="I709" i="2"/>
  <c r="H709" i="2"/>
  <c r="G709" i="2"/>
  <c r="F709" i="2"/>
  <c r="E709" i="2"/>
  <c r="D709" i="2"/>
  <c r="C709" i="2"/>
  <c r="B708" i="2"/>
  <c r="A710" i="2"/>
  <c r="K711" i="2" a="1"/>
  <c r="L710" i="2" a="1"/>
  <c r="J710" i="2" a="1"/>
  <c r="I710" i="2" a="1"/>
  <c r="H710" i="2" a="1"/>
  <c r="G710" i="2" a="1"/>
  <c r="F710" i="2" a="1"/>
  <c r="E710" i="2" a="1"/>
  <c r="D710" i="2" a="1"/>
  <c r="C710" i="2" a="1"/>
  <c r="B709" i="2" a="1"/>
  <c r="K711" i="2" l="1"/>
  <c r="L710" i="2"/>
  <c r="J710" i="2"/>
  <c r="I710" i="2"/>
  <c r="H710" i="2"/>
  <c r="G710" i="2"/>
  <c r="F710" i="2"/>
  <c r="E710" i="2"/>
  <c r="D710" i="2"/>
  <c r="C710" i="2"/>
  <c r="B709" i="2"/>
  <c r="A711" i="2"/>
  <c r="K712" i="2" a="1"/>
  <c r="L711" i="2" a="1"/>
  <c r="J711" i="2" a="1"/>
  <c r="I711" i="2" a="1"/>
  <c r="H711" i="2" a="1"/>
  <c r="G711" i="2" a="1"/>
  <c r="F711" i="2" a="1"/>
  <c r="E711" i="2" a="1"/>
  <c r="D711" i="2" a="1"/>
  <c r="C711" i="2" a="1"/>
  <c r="B710" i="2" a="1"/>
  <c r="K712" i="2" l="1"/>
  <c r="L711" i="2"/>
  <c r="J711" i="2"/>
  <c r="I711" i="2"/>
  <c r="H711" i="2"/>
  <c r="G711" i="2"/>
  <c r="F711" i="2"/>
  <c r="E711" i="2"/>
  <c r="D711" i="2"/>
  <c r="C711" i="2"/>
  <c r="B710" i="2"/>
  <c r="A712" i="2"/>
  <c r="K713" i="2" a="1"/>
  <c r="L712" i="2" a="1"/>
  <c r="J712" i="2" a="1"/>
  <c r="I712" i="2" a="1"/>
  <c r="H712" i="2" a="1"/>
  <c r="G712" i="2" a="1"/>
  <c r="F712" i="2" a="1"/>
  <c r="E712" i="2" a="1"/>
  <c r="D712" i="2" a="1"/>
  <c r="C712" i="2" a="1"/>
  <c r="B711" i="2" a="1"/>
  <c r="K713" i="2" l="1"/>
  <c r="L712" i="2"/>
  <c r="J712" i="2"/>
  <c r="I712" i="2"/>
  <c r="H712" i="2"/>
  <c r="G712" i="2"/>
  <c r="F712" i="2"/>
  <c r="E712" i="2"/>
  <c r="D712" i="2"/>
  <c r="C712" i="2"/>
  <c r="B711" i="2"/>
  <c r="A713" i="2"/>
  <c r="K714" i="2" a="1"/>
  <c r="L713" i="2" a="1"/>
  <c r="J713" i="2" a="1"/>
  <c r="I713" i="2" a="1"/>
  <c r="H713" i="2" a="1"/>
  <c r="G713" i="2" a="1"/>
  <c r="F713" i="2" a="1"/>
  <c r="E713" i="2" a="1"/>
  <c r="D713" i="2" a="1"/>
  <c r="C713" i="2" a="1"/>
  <c r="B712" i="2" a="1"/>
  <c r="K714" i="2" l="1"/>
  <c r="L713" i="2"/>
  <c r="J713" i="2"/>
  <c r="I713" i="2"/>
  <c r="H713" i="2"/>
  <c r="G713" i="2"/>
  <c r="F713" i="2"/>
  <c r="E713" i="2"/>
  <c r="D713" i="2"/>
  <c r="C713" i="2"/>
  <c r="B712" i="2"/>
  <c r="A714" i="2"/>
  <c r="K715" i="2" a="1"/>
  <c r="L714" i="2" a="1"/>
  <c r="J714" i="2" a="1"/>
  <c r="I714" i="2" a="1"/>
  <c r="H714" i="2" a="1"/>
  <c r="G714" i="2" a="1"/>
  <c r="F714" i="2" a="1"/>
  <c r="E714" i="2" a="1"/>
  <c r="D714" i="2" a="1"/>
  <c r="C714" i="2" a="1"/>
  <c r="B713" i="2" a="1"/>
  <c r="K715" i="2" l="1"/>
  <c r="L714" i="2"/>
  <c r="J714" i="2"/>
  <c r="I714" i="2"/>
  <c r="H714" i="2"/>
  <c r="G714" i="2"/>
  <c r="F714" i="2"/>
  <c r="E714" i="2"/>
  <c r="D714" i="2"/>
  <c r="C714" i="2"/>
  <c r="B713" i="2"/>
  <c r="A715" i="2"/>
  <c r="K716" i="2" a="1"/>
  <c r="L715" i="2" a="1"/>
  <c r="J715" i="2" a="1"/>
  <c r="I715" i="2" a="1"/>
  <c r="H715" i="2" a="1"/>
  <c r="G715" i="2" a="1"/>
  <c r="F715" i="2" a="1"/>
  <c r="E715" i="2" a="1"/>
  <c r="D715" i="2" a="1"/>
  <c r="C715" i="2" a="1"/>
  <c r="B714" i="2" a="1"/>
  <c r="K716" i="2" l="1"/>
  <c r="L715" i="2"/>
  <c r="J715" i="2"/>
  <c r="I715" i="2"/>
  <c r="H715" i="2"/>
  <c r="G715" i="2"/>
  <c r="F715" i="2"/>
  <c r="E715" i="2"/>
  <c r="D715" i="2"/>
  <c r="C715" i="2"/>
  <c r="B714" i="2"/>
  <c r="A716" i="2"/>
  <c r="K717" i="2" a="1"/>
  <c r="L716" i="2" a="1"/>
  <c r="J716" i="2" a="1"/>
  <c r="I716" i="2" a="1"/>
  <c r="H716" i="2" a="1"/>
  <c r="G716" i="2" a="1"/>
  <c r="F716" i="2" a="1"/>
  <c r="E716" i="2" a="1"/>
  <c r="D716" i="2" a="1"/>
  <c r="C716" i="2" a="1"/>
  <c r="B715" i="2" a="1"/>
  <c r="K717" i="2" l="1"/>
  <c r="L716" i="2"/>
  <c r="J716" i="2"/>
  <c r="I716" i="2"/>
  <c r="H716" i="2"/>
  <c r="G716" i="2"/>
  <c r="F716" i="2"/>
  <c r="E716" i="2"/>
  <c r="D716" i="2"/>
  <c r="C716" i="2"/>
  <c r="B715" i="2"/>
  <c r="A717" i="2"/>
  <c r="K718" i="2" a="1"/>
  <c r="L717" i="2" a="1"/>
  <c r="J717" i="2" a="1"/>
  <c r="I717" i="2" a="1"/>
  <c r="H717" i="2" a="1"/>
  <c r="G717" i="2" a="1"/>
  <c r="F717" i="2" a="1"/>
  <c r="E717" i="2" a="1"/>
  <c r="D717" i="2" a="1"/>
  <c r="C717" i="2" a="1"/>
  <c r="B716" i="2" a="1"/>
  <c r="K718" i="2" l="1"/>
  <c r="L717" i="2"/>
  <c r="J717" i="2"/>
  <c r="I717" i="2"/>
  <c r="H717" i="2"/>
  <c r="G717" i="2"/>
  <c r="F717" i="2"/>
  <c r="E717" i="2"/>
  <c r="D717" i="2"/>
  <c r="C717" i="2"/>
  <c r="B716" i="2"/>
  <c r="A718" i="2"/>
  <c r="K719" i="2" a="1"/>
  <c r="L718" i="2" a="1"/>
  <c r="J718" i="2" a="1"/>
  <c r="I718" i="2" a="1"/>
  <c r="H718" i="2" a="1"/>
  <c r="G718" i="2" a="1"/>
  <c r="F718" i="2" a="1"/>
  <c r="E718" i="2" a="1"/>
  <c r="D718" i="2" a="1"/>
  <c r="C718" i="2" a="1"/>
  <c r="B717" i="2" a="1"/>
  <c r="K719" i="2" l="1"/>
  <c r="L718" i="2"/>
  <c r="J718" i="2"/>
  <c r="I718" i="2"/>
  <c r="H718" i="2"/>
  <c r="G718" i="2"/>
  <c r="F718" i="2"/>
  <c r="E718" i="2"/>
  <c r="D718" i="2"/>
  <c r="C718" i="2"/>
  <c r="B717" i="2"/>
  <c r="A719" i="2"/>
  <c r="K720" i="2" a="1"/>
  <c r="L719" i="2" a="1"/>
  <c r="J719" i="2" a="1"/>
  <c r="I719" i="2" a="1"/>
  <c r="H719" i="2" a="1"/>
  <c r="G719" i="2" a="1"/>
  <c r="F719" i="2" a="1"/>
  <c r="E719" i="2" a="1"/>
  <c r="D719" i="2" a="1"/>
  <c r="C719" i="2" a="1"/>
  <c r="B718" i="2" a="1"/>
  <c r="K720" i="2" l="1"/>
  <c r="L719" i="2"/>
  <c r="J719" i="2"/>
  <c r="I719" i="2"/>
  <c r="H719" i="2"/>
  <c r="G719" i="2"/>
  <c r="F719" i="2"/>
  <c r="E719" i="2"/>
  <c r="D719" i="2"/>
  <c r="C719" i="2"/>
  <c r="B718" i="2"/>
  <c r="A720" i="2"/>
  <c r="K721" i="2" a="1"/>
  <c r="L720" i="2" a="1"/>
  <c r="J720" i="2" a="1"/>
  <c r="I720" i="2" a="1"/>
  <c r="H720" i="2" a="1"/>
  <c r="G720" i="2" a="1"/>
  <c r="F720" i="2" a="1"/>
  <c r="E720" i="2" a="1"/>
  <c r="D720" i="2" a="1"/>
  <c r="C720" i="2" a="1"/>
  <c r="B719" i="2" a="1"/>
  <c r="K721" i="2" l="1"/>
  <c r="L720" i="2"/>
  <c r="J720" i="2"/>
  <c r="I720" i="2"/>
  <c r="H720" i="2"/>
  <c r="G720" i="2"/>
  <c r="F720" i="2"/>
  <c r="E720" i="2"/>
  <c r="D720" i="2"/>
  <c r="C720" i="2"/>
  <c r="B719" i="2"/>
  <c r="A721" i="2"/>
  <c r="K722" i="2" a="1"/>
  <c r="L721" i="2" a="1"/>
  <c r="J721" i="2" a="1"/>
  <c r="I721" i="2" a="1"/>
  <c r="H721" i="2" a="1"/>
  <c r="G721" i="2" a="1"/>
  <c r="F721" i="2" a="1"/>
  <c r="E721" i="2" a="1"/>
  <c r="D721" i="2" a="1"/>
  <c r="C721" i="2" a="1"/>
  <c r="B720" i="2" a="1"/>
  <c r="K722" i="2" l="1"/>
  <c r="L721" i="2"/>
  <c r="J721" i="2"/>
  <c r="I721" i="2"/>
  <c r="H721" i="2"/>
  <c r="G721" i="2"/>
  <c r="F721" i="2"/>
  <c r="E721" i="2"/>
  <c r="D721" i="2"/>
  <c r="C721" i="2"/>
  <c r="B720" i="2"/>
  <c r="A722" i="2"/>
  <c r="K723" i="2" a="1"/>
  <c r="L722" i="2" a="1"/>
  <c r="J722" i="2" a="1"/>
  <c r="I722" i="2" a="1"/>
  <c r="H722" i="2" a="1"/>
  <c r="G722" i="2" a="1"/>
  <c r="F722" i="2" a="1"/>
  <c r="E722" i="2" a="1"/>
  <c r="D722" i="2" a="1"/>
  <c r="C722" i="2" a="1"/>
  <c r="B721" i="2" a="1"/>
  <c r="K723" i="2" l="1"/>
  <c r="L722" i="2"/>
  <c r="J722" i="2"/>
  <c r="I722" i="2"/>
  <c r="H722" i="2"/>
  <c r="G722" i="2"/>
  <c r="F722" i="2"/>
  <c r="E722" i="2"/>
  <c r="D722" i="2"/>
  <c r="C722" i="2"/>
  <c r="B721" i="2"/>
  <c r="A723" i="2"/>
  <c r="K724" i="2" a="1"/>
  <c r="L723" i="2" a="1"/>
  <c r="J723" i="2" a="1"/>
  <c r="I723" i="2" a="1"/>
  <c r="H723" i="2" a="1"/>
  <c r="G723" i="2" a="1"/>
  <c r="F723" i="2" a="1"/>
  <c r="E723" i="2" a="1"/>
  <c r="D723" i="2" a="1"/>
  <c r="C723" i="2" a="1"/>
  <c r="B722" i="2" a="1"/>
  <c r="K724" i="2" l="1"/>
  <c r="L723" i="2"/>
  <c r="J723" i="2"/>
  <c r="I723" i="2"/>
  <c r="H723" i="2"/>
  <c r="G723" i="2"/>
  <c r="F723" i="2"/>
  <c r="E723" i="2"/>
  <c r="D723" i="2"/>
  <c r="C723" i="2"/>
  <c r="B722" i="2"/>
  <c r="A724" i="2"/>
  <c r="K725" i="2" a="1"/>
  <c r="L724" i="2" a="1"/>
  <c r="J724" i="2" a="1"/>
  <c r="I724" i="2" a="1"/>
  <c r="H724" i="2" a="1"/>
  <c r="G724" i="2" a="1"/>
  <c r="F724" i="2" a="1"/>
  <c r="E724" i="2" a="1"/>
  <c r="D724" i="2" a="1"/>
  <c r="C724" i="2" a="1"/>
  <c r="B723" i="2" a="1"/>
  <c r="K725" i="2" l="1"/>
  <c r="L724" i="2"/>
  <c r="J724" i="2"/>
  <c r="I724" i="2"/>
  <c r="H724" i="2"/>
  <c r="G724" i="2"/>
  <c r="F724" i="2"/>
  <c r="E724" i="2"/>
  <c r="D724" i="2"/>
  <c r="C724" i="2"/>
  <c r="B723" i="2"/>
  <c r="A725" i="2"/>
  <c r="K726" i="2" a="1"/>
  <c r="L725" i="2" a="1"/>
  <c r="J725" i="2" a="1"/>
  <c r="I725" i="2" a="1"/>
  <c r="H725" i="2" a="1"/>
  <c r="G725" i="2" a="1"/>
  <c r="F725" i="2" a="1"/>
  <c r="E725" i="2" a="1"/>
  <c r="D725" i="2" a="1"/>
  <c r="C725" i="2" a="1"/>
  <c r="B724" i="2" a="1"/>
  <c r="K726" i="2" l="1"/>
  <c r="L725" i="2"/>
  <c r="J725" i="2"/>
  <c r="I725" i="2"/>
  <c r="H725" i="2"/>
  <c r="G725" i="2"/>
  <c r="F725" i="2"/>
  <c r="E725" i="2"/>
  <c r="D725" i="2"/>
  <c r="C725" i="2"/>
  <c r="B724" i="2"/>
  <c r="A726" i="2"/>
  <c r="K727" i="2" a="1"/>
  <c r="L726" i="2" a="1"/>
  <c r="J726" i="2" a="1"/>
  <c r="I726" i="2" a="1"/>
  <c r="H726" i="2" a="1"/>
  <c r="G726" i="2" a="1"/>
  <c r="F726" i="2" a="1"/>
  <c r="E726" i="2" a="1"/>
  <c r="D726" i="2" a="1"/>
  <c r="C726" i="2" a="1"/>
  <c r="B725" i="2" a="1"/>
  <c r="K727" i="2" l="1"/>
  <c r="L726" i="2"/>
  <c r="J726" i="2"/>
  <c r="I726" i="2"/>
  <c r="H726" i="2"/>
  <c r="G726" i="2"/>
  <c r="F726" i="2"/>
  <c r="E726" i="2"/>
  <c r="D726" i="2"/>
  <c r="C726" i="2"/>
  <c r="B725" i="2"/>
  <c r="A727" i="2"/>
  <c r="K728" i="2" a="1"/>
  <c r="L727" i="2" a="1"/>
  <c r="J727" i="2" a="1"/>
  <c r="I727" i="2" a="1"/>
  <c r="H727" i="2" a="1"/>
  <c r="G727" i="2" a="1"/>
  <c r="F727" i="2" a="1"/>
  <c r="E727" i="2" a="1"/>
  <c r="D727" i="2" a="1"/>
  <c r="C727" i="2" a="1"/>
  <c r="B726" i="2" a="1"/>
  <c r="K728" i="2" l="1"/>
  <c r="L727" i="2"/>
  <c r="J727" i="2"/>
  <c r="I727" i="2"/>
  <c r="H727" i="2"/>
  <c r="G727" i="2"/>
  <c r="F727" i="2"/>
  <c r="E727" i="2"/>
  <c r="D727" i="2"/>
  <c r="C727" i="2"/>
  <c r="B726" i="2"/>
  <c r="A728" i="2"/>
  <c r="K729" i="2" a="1"/>
  <c r="L728" i="2" a="1"/>
  <c r="J728" i="2" a="1"/>
  <c r="I728" i="2" a="1"/>
  <c r="H728" i="2" a="1"/>
  <c r="G728" i="2" a="1"/>
  <c r="F728" i="2" a="1"/>
  <c r="E728" i="2" a="1"/>
  <c r="D728" i="2" a="1"/>
  <c r="C728" i="2" a="1"/>
  <c r="B727" i="2" a="1"/>
  <c r="K729" i="2" l="1"/>
  <c r="L728" i="2"/>
  <c r="J728" i="2"/>
  <c r="I728" i="2"/>
  <c r="H728" i="2"/>
  <c r="G728" i="2"/>
  <c r="F728" i="2"/>
  <c r="E728" i="2"/>
  <c r="D728" i="2"/>
  <c r="C728" i="2"/>
  <c r="B727" i="2"/>
  <c r="A729" i="2"/>
  <c r="K730" i="2" a="1"/>
  <c r="L729" i="2" a="1"/>
  <c r="J729" i="2" a="1"/>
  <c r="I729" i="2" a="1"/>
  <c r="H729" i="2" a="1"/>
  <c r="G729" i="2" a="1"/>
  <c r="F729" i="2" a="1"/>
  <c r="E729" i="2" a="1"/>
  <c r="D729" i="2" a="1"/>
  <c r="C729" i="2" a="1"/>
  <c r="B728" i="2" a="1"/>
  <c r="K730" i="2" l="1"/>
  <c r="L729" i="2"/>
  <c r="J729" i="2"/>
  <c r="I729" i="2"/>
  <c r="H729" i="2"/>
  <c r="G729" i="2"/>
  <c r="F729" i="2"/>
  <c r="E729" i="2"/>
  <c r="D729" i="2"/>
  <c r="C729" i="2"/>
  <c r="B728" i="2"/>
  <c r="A730" i="2"/>
  <c r="K731" i="2" a="1"/>
  <c r="L730" i="2" a="1"/>
  <c r="J730" i="2" a="1"/>
  <c r="I730" i="2" a="1"/>
  <c r="H730" i="2" a="1"/>
  <c r="G730" i="2" a="1"/>
  <c r="F730" i="2" a="1"/>
  <c r="E730" i="2" a="1"/>
  <c r="D730" i="2" a="1"/>
  <c r="C730" i="2" a="1"/>
  <c r="B729" i="2" a="1"/>
  <c r="K731" i="2" l="1"/>
  <c r="L730" i="2"/>
  <c r="J730" i="2"/>
  <c r="I730" i="2"/>
  <c r="H730" i="2"/>
  <c r="G730" i="2"/>
  <c r="F730" i="2"/>
  <c r="E730" i="2"/>
  <c r="D730" i="2"/>
  <c r="C730" i="2"/>
  <c r="B729" i="2"/>
  <c r="A731" i="2"/>
  <c r="K732" i="2" a="1"/>
  <c r="L731" i="2" a="1"/>
  <c r="J731" i="2" a="1"/>
  <c r="I731" i="2" a="1"/>
  <c r="H731" i="2" a="1"/>
  <c r="G731" i="2" a="1"/>
  <c r="F731" i="2" a="1"/>
  <c r="E731" i="2" a="1"/>
  <c r="D731" i="2" a="1"/>
  <c r="C731" i="2" a="1"/>
  <c r="B730" i="2" a="1"/>
  <c r="K732" i="2" l="1"/>
  <c r="L731" i="2"/>
  <c r="J731" i="2"/>
  <c r="I731" i="2"/>
  <c r="H731" i="2"/>
  <c r="G731" i="2"/>
  <c r="F731" i="2"/>
  <c r="E731" i="2"/>
  <c r="D731" i="2"/>
  <c r="C731" i="2"/>
  <c r="B730" i="2"/>
  <c r="A732" i="2"/>
  <c r="K733" i="2" a="1"/>
  <c r="L732" i="2" a="1"/>
  <c r="J732" i="2" a="1"/>
  <c r="I732" i="2" a="1"/>
  <c r="H732" i="2" a="1"/>
  <c r="G732" i="2" a="1"/>
  <c r="F732" i="2" a="1"/>
  <c r="E732" i="2" a="1"/>
  <c r="D732" i="2" a="1"/>
  <c r="C732" i="2" a="1"/>
  <c r="B731" i="2" a="1"/>
  <c r="K733" i="2" l="1"/>
  <c r="L732" i="2"/>
  <c r="J732" i="2"/>
  <c r="I732" i="2"/>
  <c r="H732" i="2"/>
  <c r="G732" i="2"/>
  <c r="F732" i="2"/>
  <c r="E732" i="2"/>
  <c r="D732" i="2"/>
  <c r="C732" i="2"/>
  <c r="B731" i="2"/>
  <c r="A733" i="2"/>
  <c r="K734" i="2" a="1"/>
  <c r="L733" i="2" a="1"/>
  <c r="J733" i="2" a="1"/>
  <c r="I733" i="2" a="1"/>
  <c r="H733" i="2" a="1"/>
  <c r="G733" i="2" a="1"/>
  <c r="F733" i="2" a="1"/>
  <c r="E733" i="2" a="1"/>
  <c r="D733" i="2" a="1"/>
  <c r="C733" i="2" a="1"/>
  <c r="B732" i="2" a="1"/>
  <c r="K734" i="2" l="1"/>
  <c r="L733" i="2"/>
  <c r="J733" i="2"/>
  <c r="I733" i="2"/>
  <c r="H733" i="2"/>
  <c r="G733" i="2"/>
  <c r="F733" i="2"/>
  <c r="E733" i="2"/>
  <c r="D733" i="2"/>
  <c r="C733" i="2"/>
  <c r="B732" i="2"/>
  <c r="A734" i="2"/>
  <c r="K735" i="2" a="1"/>
  <c r="L734" i="2" a="1"/>
  <c r="J734" i="2" a="1"/>
  <c r="I734" i="2" a="1"/>
  <c r="H734" i="2" a="1"/>
  <c r="G734" i="2" a="1"/>
  <c r="F734" i="2" a="1"/>
  <c r="E734" i="2" a="1"/>
  <c r="D734" i="2" a="1"/>
  <c r="C734" i="2" a="1"/>
  <c r="B733" i="2" a="1"/>
  <c r="K735" i="2" l="1"/>
  <c r="L734" i="2"/>
  <c r="J734" i="2"/>
  <c r="I734" i="2"/>
  <c r="H734" i="2"/>
  <c r="G734" i="2"/>
  <c r="F734" i="2"/>
  <c r="E734" i="2"/>
  <c r="D734" i="2"/>
  <c r="C734" i="2"/>
  <c r="B733" i="2"/>
  <c r="A735" i="2"/>
  <c r="K736" i="2" a="1"/>
  <c r="L735" i="2" a="1"/>
  <c r="J735" i="2" a="1"/>
  <c r="I735" i="2" a="1"/>
  <c r="H735" i="2" a="1"/>
  <c r="G735" i="2" a="1"/>
  <c r="F735" i="2" a="1"/>
  <c r="E735" i="2" a="1"/>
  <c r="D735" i="2" a="1"/>
  <c r="C735" i="2" a="1"/>
  <c r="B734" i="2" a="1"/>
  <c r="K736" i="2" l="1"/>
  <c r="L735" i="2"/>
  <c r="J735" i="2"/>
  <c r="I735" i="2"/>
  <c r="H735" i="2"/>
  <c r="G735" i="2"/>
  <c r="F735" i="2"/>
  <c r="E735" i="2"/>
  <c r="D735" i="2"/>
  <c r="C735" i="2"/>
  <c r="B734" i="2"/>
  <c r="A736" i="2"/>
  <c r="K737" i="2" a="1"/>
  <c r="L736" i="2" a="1"/>
  <c r="J736" i="2" a="1"/>
  <c r="I736" i="2" a="1"/>
  <c r="H736" i="2" a="1"/>
  <c r="G736" i="2" a="1"/>
  <c r="F736" i="2" a="1"/>
  <c r="E736" i="2" a="1"/>
  <c r="D736" i="2" a="1"/>
  <c r="C736" i="2" a="1"/>
  <c r="B735" i="2" a="1"/>
  <c r="K737" i="2" l="1"/>
  <c r="L736" i="2"/>
  <c r="J736" i="2"/>
  <c r="I736" i="2"/>
  <c r="H736" i="2"/>
  <c r="G736" i="2"/>
  <c r="F736" i="2"/>
  <c r="E736" i="2"/>
  <c r="D736" i="2"/>
  <c r="C736" i="2"/>
  <c r="B735" i="2"/>
  <c r="A737" i="2"/>
  <c r="K738" i="2" a="1"/>
  <c r="L737" i="2" a="1"/>
  <c r="J737" i="2" a="1"/>
  <c r="I737" i="2" a="1"/>
  <c r="H737" i="2" a="1"/>
  <c r="G737" i="2" a="1"/>
  <c r="F737" i="2" a="1"/>
  <c r="E737" i="2" a="1"/>
  <c r="D737" i="2" a="1"/>
  <c r="C737" i="2" a="1"/>
  <c r="B736" i="2" a="1"/>
  <c r="K738" i="2" l="1"/>
  <c r="L737" i="2"/>
  <c r="J737" i="2"/>
  <c r="I737" i="2"/>
  <c r="H737" i="2"/>
  <c r="G737" i="2"/>
  <c r="F737" i="2"/>
  <c r="E737" i="2"/>
  <c r="D737" i="2"/>
  <c r="C737" i="2"/>
  <c r="B736" i="2"/>
  <c r="A738" i="2"/>
  <c r="K739" i="2" a="1"/>
  <c r="L738" i="2" a="1"/>
  <c r="J738" i="2" a="1"/>
  <c r="I738" i="2" a="1"/>
  <c r="H738" i="2" a="1"/>
  <c r="G738" i="2" a="1"/>
  <c r="F738" i="2" a="1"/>
  <c r="E738" i="2" a="1"/>
  <c r="D738" i="2" a="1"/>
  <c r="C738" i="2" a="1"/>
  <c r="B737" i="2" a="1"/>
  <c r="K739" i="2" l="1"/>
  <c r="L738" i="2"/>
  <c r="J738" i="2"/>
  <c r="I738" i="2"/>
  <c r="H738" i="2"/>
  <c r="G738" i="2"/>
  <c r="F738" i="2"/>
  <c r="E738" i="2"/>
  <c r="D738" i="2"/>
  <c r="C738" i="2"/>
  <c r="B737" i="2"/>
  <c r="A739" i="2"/>
  <c r="K740" i="2" a="1"/>
  <c r="L739" i="2" a="1"/>
  <c r="J739" i="2" a="1"/>
  <c r="I739" i="2" a="1"/>
  <c r="H739" i="2" a="1"/>
  <c r="G739" i="2" a="1"/>
  <c r="F739" i="2" a="1"/>
  <c r="E739" i="2" a="1"/>
  <c r="D739" i="2" a="1"/>
  <c r="C739" i="2" a="1"/>
  <c r="B738" i="2" a="1"/>
  <c r="K740" i="2" l="1"/>
  <c r="L739" i="2"/>
  <c r="J739" i="2"/>
  <c r="I739" i="2"/>
  <c r="H739" i="2"/>
  <c r="G739" i="2"/>
  <c r="F739" i="2"/>
  <c r="E739" i="2"/>
  <c r="D739" i="2"/>
  <c r="C739" i="2"/>
  <c r="B738" i="2"/>
  <c r="A740" i="2"/>
  <c r="K741" i="2" a="1"/>
  <c r="L740" i="2" a="1"/>
  <c r="J740" i="2" a="1"/>
  <c r="I740" i="2" a="1"/>
  <c r="H740" i="2" a="1"/>
  <c r="G740" i="2" a="1"/>
  <c r="F740" i="2" a="1"/>
  <c r="E740" i="2" a="1"/>
  <c r="D740" i="2" a="1"/>
  <c r="C740" i="2" a="1"/>
  <c r="B739" i="2" a="1"/>
  <c r="K741" i="2" l="1"/>
  <c r="L740" i="2"/>
  <c r="J740" i="2"/>
  <c r="I740" i="2"/>
  <c r="H740" i="2"/>
  <c r="G740" i="2"/>
  <c r="F740" i="2"/>
  <c r="E740" i="2"/>
  <c r="D740" i="2"/>
  <c r="C740" i="2"/>
  <c r="B739" i="2"/>
  <c r="A741" i="2"/>
  <c r="K742" i="2" a="1"/>
  <c r="L741" i="2" a="1"/>
  <c r="J741" i="2" a="1"/>
  <c r="I741" i="2" a="1"/>
  <c r="H741" i="2" a="1"/>
  <c r="G741" i="2" a="1"/>
  <c r="F741" i="2" a="1"/>
  <c r="E741" i="2" a="1"/>
  <c r="D741" i="2" a="1"/>
  <c r="C741" i="2" a="1"/>
  <c r="B740" i="2" a="1"/>
  <c r="K742" i="2" l="1"/>
  <c r="L741" i="2"/>
  <c r="J741" i="2"/>
  <c r="I741" i="2"/>
  <c r="H741" i="2"/>
  <c r="G741" i="2"/>
  <c r="F741" i="2"/>
  <c r="E741" i="2"/>
  <c r="D741" i="2"/>
  <c r="C741" i="2"/>
  <c r="B740" i="2"/>
  <c r="A742" i="2"/>
  <c r="K743" i="2" a="1"/>
  <c r="L742" i="2" a="1"/>
  <c r="J742" i="2" a="1"/>
  <c r="I742" i="2" a="1"/>
  <c r="H742" i="2" a="1"/>
  <c r="G742" i="2" a="1"/>
  <c r="F742" i="2" a="1"/>
  <c r="E742" i="2" a="1"/>
  <c r="D742" i="2" a="1"/>
  <c r="C742" i="2" a="1"/>
  <c r="B741" i="2" a="1"/>
  <c r="K743" i="2" l="1"/>
  <c r="L742" i="2"/>
  <c r="J742" i="2"/>
  <c r="I742" i="2"/>
  <c r="H742" i="2"/>
  <c r="G742" i="2"/>
  <c r="F742" i="2"/>
  <c r="E742" i="2"/>
  <c r="D742" i="2"/>
  <c r="C742" i="2"/>
  <c r="B741" i="2"/>
  <c r="A743" i="2"/>
  <c r="K744" i="2" a="1"/>
  <c r="L743" i="2" a="1"/>
  <c r="J743" i="2" a="1"/>
  <c r="I743" i="2" a="1"/>
  <c r="H743" i="2" a="1"/>
  <c r="G743" i="2" a="1"/>
  <c r="F743" i="2" a="1"/>
  <c r="E743" i="2" a="1"/>
  <c r="D743" i="2" a="1"/>
  <c r="C743" i="2" a="1"/>
  <c r="B742" i="2" a="1"/>
  <c r="K744" i="2" l="1"/>
  <c r="L743" i="2"/>
  <c r="J743" i="2"/>
  <c r="I743" i="2"/>
  <c r="H743" i="2"/>
  <c r="G743" i="2"/>
  <c r="F743" i="2"/>
  <c r="E743" i="2"/>
  <c r="D743" i="2"/>
  <c r="C743" i="2"/>
  <c r="B742" i="2"/>
  <c r="A744" i="2"/>
  <c r="K745" i="2" a="1"/>
  <c r="L744" i="2" a="1"/>
  <c r="J744" i="2" a="1"/>
  <c r="I744" i="2" a="1"/>
  <c r="H744" i="2" a="1"/>
  <c r="G744" i="2" a="1"/>
  <c r="F744" i="2" a="1"/>
  <c r="E744" i="2" a="1"/>
  <c r="D744" i="2" a="1"/>
  <c r="C744" i="2" a="1"/>
  <c r="B743" i="2" a="1"/>
  <c r="K745" i="2" l="1"/>
  <c r="L744" i="2"/>
  <c r="J744" i="2"/>
  <c r="I744" i="2"/>
  <c r="H744" i="2"/>
  <c r="G744" i="2"/>
  <c r="F744" i="2"/>
  <c r="E744" i="2"/>
  <c r="D744" i="2"/>
  <c r="C744" i="2"/>
  <c r="B743" i="2"/>
  <c r="A745" i="2"/>
  <c r="K746" i="2" a="1"/>
  <c r="L745" i="2" a="1"/>
  <c r="J745" i="2" a="1"/>
  <c r="I745" i="2" a="1"/>
  <c r="H745" i="2" a="1"/>
  <c r="G745" i="2" a="1"/>
  <c r="F745" i="2" a="1"/>
  <c r="E745" i="2" a="1"/>
  <c r="D745" i="2" a="1"/>
  <c r="C745" i="2" a="1"/>
  <c r="B744" i="2" a="1"/>
  <c r="K746" i="2" l="1"/>
  <c r="L745" i="2"/>
  <c r="J745" i="2"/>
  <c r="I745" i="2"/>
  <c r="H745" i="2"/>
  <c r="G745" i="2"/>
  <c r="F745" i="2"/>
  <c r="E745" i="2"/>
  <c r="D745" i="2"/>
  <c r="C745" i="2"/>
  <c r="B744" i="2"/>
  <c r="A746" i="2"/>
  <c r="K747" i="2" a="1"/>
  <c r="L746" i="2" a="1"/>
  <c r="J746" i="2" a="1"/>
  <c r="I746" i="2" a="1"/>
  <c r="H746" i="2" a="1"/>
  <c r="G746" i="2" a="1"/>
  <c r="F746" i="2" a="1"/>
  <c r="E746" i="2" a="1"/>
  <c r="D746" i="2" a="1"/>
  <c r="C746" i="2" a="1"/>
  <c r="B745" i="2" a="1"/>
  <c r="K747" i="2" l="1"/>
  <c r="L746" i="2"/>
  <c r="J746" i="2"/>
  <c r="I746" i="2"/>
  <c r="H746" i="2"/>
  <c r="G746" i="2"/>
  <c r="F746" i="2"/>
  <c r="E746" i="2"/>
  <c r="D746" i="2"/>
  <c r="C746" i="2"/>
  <c r="B745" i="2"/>
  <c r="A747" i="2"/>
  <c r="K748" i="2" a="1"/>
  <c r="L747" i="2" a="1"/>
  <c r="J747" i="2" a="1"/>
  <c r="I747" i="2" a="1"/>
  <c r="H747" i="2" a="1"/>
  <c r="G747" i="2" a="1"/>
  <c r="F747" i="2" a="1"/>
  <c r="E747" i="2" a="1"/>
  <c r="D747" i="2" a="1"/>
  <c r="C747" i="2" a="1"/>
  <c r="B746" i="2" a="1"/>
  <c r="K748" i="2" l="1"/>
  <c r="L747" i="2"/>
  <c r="J747" i="2"/>
  <c r="I747" i="2"/>
  <c r="H747" i="2"/>
  <c r="G747" i="2"/>
  <c r="F747" i="2"/>
  <c r="E747" i="2"/>
  <c r="D747" i="2"/>
  <c r="C747" i="2"/>
  <c r="B746" i="2"/>
  <c r="A748" i="2"/>
  <c r="K749" i="2" a="1"/>
  <c r="L748" i="2" a="1"/>
  <c r="J748" i="2" a="1"/>
  <c r="I748" i="2" a="1"/>
  <c r="H748" i="2" a="1"/>
  <c r="G748" i="2" a="1"/>
  <c r="F748" i="2" a="1"/>
  <c r="E748" i="2" a="1"/>
  <c r="D748" i="2" a="1"/>
  <c r="C748" i="2" a="1"/>
  <c r="B747" i="2" a="1"/>
  <c r="K749" i="2" l="1"/>
  <c r="L748" i="2"/>
  <c r="J748" i="2"/>
  <c r="I748" i="2"/>
  <c r="H748" i="2"/>
  <c r="G748" i="2"/>
  <c r="F748" i="2"/>
  <c r="E748" i="2"/>
  <c r="D748" i="2"/>
  <c r="C748" i="2"/>
  <c r="B747" i="2"/>
  <c r="A749" i="2"/>
  <c r="K750" i="2" a="1"/>
  <c r="L749" i="2" a="1"/>
  <c r="J749" i="2" a="1"/>
  <c r="I749" i="2" a="1"/>
  <c r="H749" i="2" a="1"/>
  <c r="G749" i="2" a="1"/>
  <c r="F749" i="2" a="1"/>
  <c r="E749" i="2" a="1"/>
  <c r="D749" i="2" a="1"/>
  <c r="C749" i="2" a="1"/>
  <c r="B748" i="2" a="1"/>
  <c r="K750" i="2" l="1"/>
  <c r="L749" i="2"/>
  <c r="J749" i="2"/>
  <c r="I749" i="2"/>
  <c r="H749" i="2"/>
  <c r="G749" i="2"/>
  <c r="F749" i="2"/>
  <c r="E749" i="2"/>
  <c r="D749" i="2"/>
  <c r="C749" i="2"/>
  <c r="B748" i="2"/>
  <c r="A750" i="2"/>
  <c r="K751" i="2" a="1"/>
  <c r="L750" i="2" a="1"/>
  <c r="J750" i="2" a="1"/>
  <c r="I750" i="2" a="1"/>
  <c r="H750" i="2" a="1"/>
  <c r="G750" i="2" a="1"/>
  <c r="F750" i="2" a="1"/>
  <c r="E750" i="2" a="1"/>
  <c r="D750" i="2" a="1"/>
  <c r="C750" i="2" a="1"/>
  <c r="B749" i="2" a="1"/>
  <c r="K751" i="2" l="1"/>
  <c r="L750" i="2"/>
  <c r="J750" i="2"/>
  <c r="I750" i="2"/>
  <c r="H750" i="2"/>
  <c r="G750" i="2"/>
  <c r="F750" i="2"/>
  <c r="E750" i="2"/>
  <c r="D750" i="2"/>
  <c r="C750" i="2"/>
  <c r="B749" i="2"/>
  <c r="A751" i="2"/>
  <c r="K752" i="2" a="1"/>
  <c r="L751" i="2" a="1"/>
  <c r="J751" i="2" a="1"/>
  <c r="I751" i="2" a="1"/>
  <c r="H751" i="2" a="1"/>
  <c r="G751" i="2" a="1"/>
  <c r="F751" i="2" a="1"/>
  <c r="E751" i="2" a="1"/>
  <c r="D751" i="2" a="1"/>
  <c r="C751" i="2" a="1"/>
  <c r="B750" i="2" a="1"/>
  <c r="K752" i="2" l="1"/>
  <c r="L751" i="2"/>
  <c r="J751" i="2"/>
  <c r="I751" i="2"/>
  <c r="H751" i="2"/>
  <c r="G751" i="2"/>
  <c r="F751" i="2"/>
  <c r="E751" i="2"/>
  <c r="D751" i="2"/>
  <c r="C751" i="2"/>
  <c r="B750" i="2"/>
  <c r="A752" i="2"/>
  <c r="K753" i="2" a="1"/>
  <c r="L752" i="2" a="1"/>
  <c r="J752" i="2" a="1"/>
  <c r="I752" i="2" a="1"/>
  <c r="H752" i="2" a="1"/>
  <c r="G752" i="2" a="1"/>
  <c r="F752" i="2" a="1"/>
  <c r="E752" i="2" a="1"/>
  <c r="D752" i="2" a="1"/>
  <c r="C752" i="2" a="1"/>
  <c r="B751" i="2" a="1"/>
  <c r="K753" i="2" l="1"/>
  <c r="L752" i="2"/>
  <c r="J752" i="2"/>
  <c r="I752" i="2"/>
  <c r="H752" i="2"/>
  <c r="G752" i="2"/>
  <c r="F752" i="2"/>
  <c r="E752" i="2"/>
  <c r="D752" i="2"/>
  <c r="C752" i="2"/>
  <c r="B751" i="2"/>
  <c r="A753" i="2"/>
  <c r="K754" i="2" a="1"/>
  <c r="L753" i="2" a="1"/>
  <c r="J753" i="2" a="1"/>
  <c r="I753" i="2" a="1"/>
  <c r="H753" i="2" a="1"/>
  <c r="G753" i="2" a="1"/>
  <c r="F753" i="2" a="1"/>
  <c r="E753" i="2" a="1"/>
  <c r="D753" i="2" a="1"/>
  <c r="C753" i="2" a="1"/>
  <c r="B752" i="2" a="1"/>
  <c r="K754" i="2" l="1"/>
  <c r="L753" i="2"/>
  <c r="J753" i="2"/>
  <c r="I753" i="2"/>
  <c r="H753" i="2"/>
  <c r="G753" i="2"/>
  <c r="F753" i="2"/>
  <c r="E753" i="2"/>
  <c r="D753" i="2"/>
  <c r="C753" i="2"/>
  <c r="B752" i="2"/>
  <c r="A754" i="2"/>
  <c r="K755" i="2" a="1"/>
  <c r="L754" i="2" a="1"/>
  <c r="J754" i="2" a="1"/>
  <c r="I754" i="2" a="1"/>
  <c r="H754" i="2" a="1"/>
  <c r="G754" i="2" a="1"/>
  <c r="F754" i="2" a="1"/>
  <c r="E754" i="2" a="1"/>
  <c r="D754" i="2" a="1"/>
  <c r="C754" i="2" a="1"/>
  <c r="B753" i="2" a="1"/>
  <c r="K755" i="2" l="1"/>
  <c r="L754" i="2"/>
  <c r="J754" i="2"/>
  <c r="I754" i="2"/>
  <c r="H754" i="2"/>
  <c r="G754" i="2"/>
  <c r="F754" i="2"/>
  <c r="E754" i="2"/>
  <c r="D754" i="2"/>
  <c r="C754" i="2"/>
  <c r="B753" i="2"/>
  <c r="A755" i="2"/>
  <c r="K756" i="2" a="1"/>
  <c r="L755" i="2" a="1"/>
  <c r="J755" i="2" a="1"/>
  <c r="I755" i="2" a="1"/>
  <c r="H755" i="2" a="1"/>
  <c r="G755" i="2" a="1"/>
  <c r="F755" i="2" a="1"/>
  <c r="E755" i="2" a="1"/>
  <c r="D755" i="2" a="1"/>
  <c r="C755" i="2" a="1"/>
  <c r="B754" i="2" a="1"/>
  <c r="K756" i="2" l="1"/>
  <c r="L755" i="2"/>
  <c r="J755" i="2"/>
  <c r="I755" i="2"/>
  <c r="H755" i="2"/>
  <c r="G755" i="2"/>
  <c r="F755" i="2"/>
  <c r="E755" i="2"/>
  <c r="D755" i="2"/>
  <c r="C755" i="2"/>
  <c r="B754" i="2"/>
  <c r="A756" i="2"/>
  <c r="K757" i="2" a="1"/>
  <c r="L756" i="2" a="1"/>
  <c r="J756" i="2" a="1"/>
  <c r="I756" i="2" a="1"/>
  <c r="H756" i="2" a="1"/>
  <c r="G756" i="2" a="1"/>
  <c r="F756" i="2" a="1"/>
  <c r="E756" i="2" a="1"/>
  <c r="D756" i="2" a="1"/>
  <c r="C756" i="2" a="1"/>
  <c r="B755" i="2" a="1"/>
  <c r="K757" i="2" l="1"/>
  <c r="L756" i="2"/>
  <c r="J756" i="2"/>
  <c r="I756" i="2"/>
  <c r="H756" i="2"/>
  <c r="G756" i="2"/>
  <c r="F756" i="2"/>
  <c r="E756" i="2"/>
  <c r="D756" i="2"/>
  <c r="C756" i="2"/>
  <c r="B755" i="2"/>
  <c r="A757" i="2"/>
  <c r="K758" i="2" a="1"/>
  <c r="L757" i="2" a="1"/>
  <c r="J757" i="2" a="1"/>
  <c r="I757" i="2" a="1"/>
  <c r="H757" i="2" a="1"/>
  <c r="G757" i="2" a="1"/>
  <c r="F757" i="2" a="1"/>
  <c r="E757" i="2" a="1"/>
  <c r="D757" i="2" a="1"/>
  <c r="C757" i="2" a="1"/>
  <c r="B756" i="2" a="1"/>
  <c r="K758" i="2" l="1"/>
  <c r="L757" i="2"/>
  <c r="J757" i="2"/>
  <c r="I757" i="2"/>
  <c r="H757" i="2"/>
  <c r="G757" i="2"/>
  <c r="F757" i="2"/>
  <c r="E757" i="2"/>
  <c r="D757" i="2"/>
  <c r="C757" i="2"/>
  <c r="B756" i="2"/>
  <c r="A758" i="2"/>
  <c r="K759" i="2" a="1"/>
  <c r="L758" i="2" a="1"/>
  <c r="J758" i="2" a="1"/>
  <c r="I758" i="2" a="1"/>
  <c r="H758" i="2" a="1"/>
  <c r="G758" i="2" a="1"/>
  <c r="F758" i="2" a="1"/>
  <c r="E758" i="2" a="1"/>
  <c r="D758" i="2" a="1"/>
  <c r="C758" i="2" a="1"/>
  <c r="B757" i="2" a="1"/>
  <c r="K759" i="2" l="1"/>
  <c r="L758" i="2"/>
  <c r="J758" i="2"/>
  <c r="I758" i="2"/>
  <c r="H758" i="2"/>
  <c r="G758" i="2"/>
  <c r="F758" i="2"/>
  <c r="E758" i="2"/>
  <c r="D758" i="2"/>
  <c r="C758" i="2"/>
  <c r="B757" i="2"/>
  <c r="A759" i="2"/>
  <c r="K760" i="2" a="1"/>
  <c r="L759" i="2" a="1"/>
  <c r="J759" i="2" a="1"/>
  <c r="I759" i="2" a="1"/>
  <c r="H759" i="2" a="1"/>
  <c r="G759" i="2" a="1"/>
  <c r="F759" i="2" a="1"/>
  <c r="E759" i="2" a="1"/>
  <c r="D759" i="2" a="1"/>
  <c r="C759" i="2" a="1"/>
  <c r="B758" i="2" a="1"/>
  <c r="K760" i="2" l="1"/>
  <c r="L759" i="2"/>
  <c r="J759" i="2"/>
  <c r="I759" i="2"/>
  <c r="H759" i="2"/>
  <c r="G759" i="2"/>
  <c r="F759" i="2"/>
  <c r="E759" i="2"/>
  <c r="D759" i="2"/>
  <c r="C759" i="2"/>
  <c r="B758" i="2"/>
  <c r="A760" i="2"/>
  <c r="K761" i="2" a="1"/>
  <c r="L760" i="2" a="1"/>
  <c r="J760" i="2" a="1"/>
  <c r="I760" i="2" a="1"/>
  <c r="H760" i="2" a="1"/>
  <c r="G760" i="2" a="1"/>
  <c r="F760" i="2" a="1"/>
  <c r="E760" i="2" a="1"/>
  <c r="D760" i="2" a="1"/>
  <c r="C760" i="2" a="1"/>
  <c r="B759" i="2" a="1"/>
  <c r="K761" i="2" l="1"/>
  <c r="L760" i="2"/>
  <c r="J760" i="2"/>
  <c r="I760" i="2"/>
  <c r="H760" i="2"/>
  <c r="G760" i="2"/>
  <c r="F760" i="2"/>
  <c r="E760" i="2"/>
  <c r="D760" i="2"/>
  <c r="C760" i="2"/>
  <c r="B759" i="2"/>
  <c r="A761" i="2"/>
  <c r="K762" i="2" a="1"/>
  <c r="L761" i="2" a="1"/>
  <c r="J761" i="2" a="1"/>
  <c r="I761" i="2" a="1"/>
  <c r="H761" i="2" a="1"/>
  <c r="G761" i="2" a="1"/>
  <c r="F761" i="2" a="1"/>
  <c r="E761" i="2" a="1"/>
  <c r="D761" i="2" a="1"/>
  <c r="C761" i="2" a="1"/>
  <c r="B760" i="2" a="1"/>
  <c r="K762" i="2" l="1"/>
  <c r="L761" i="2"/>
  <c r="J761" i="2"/>
  <c r="I761" i="2"/>
  <c r="H761" i="2"/>
  <c r="G761" i="2"/>
  <c r="F761" i="2"/>
  <c r="E761" i="2"/>
  <c r="D761" i="2"/>
  <c r="C761" i="2"/>
  <c r="B760" i="2"/>
  <c r="A762" i="2"/>
  <c r="K763" i="2" a="1"/>
  <c r="L762" i="2" a="1"/>
  <c r="J762" i="2" a="1"/>
  <c r="I762" i="2" a="1"/>
  <c r="H762" i="2" a="1"/>
  <c r="G762" i="2" a="1"/>
  <c r="F762" i="2" a="1"/>
  <c r="E762" i="2" a="1"/>
  <c r="D762" i="2" a="1"/>
  <c r="C762" i="2" a="1"/>
  <c r="B761" i="2" a="1"/>
  <c r="K763" i="2" l="1"/>
  <c r="L762" i="2"/>
  <c r="J762" i="2"/>
  <c r="I762" i="2"/>
  <c r="H762" i="2"/>
  <c r="G762" i="2"/>
  <c r="F762" i="2"/>
  <c r="E762" i="2"/>
  <c r="D762" i="2"/>
  <c r="C762" i="2"/>
  <c r="B761" i="2"/>
  <c r="A763" i="2"/>
  <c r="K764" i="2" a="1"/>
  <c r="L763" i="2" a="1"/>
  <c r="J763" i="2" a="1"/>
  <c r="I763" i="2" a="1"/>
  <c r="H763" i="2" a="1"/>
  <c r="G763" i="2" a="1"/>
  <c r="F763" i="2" a="1"/>
  <c r="E763" i="2" a="1"/>
  <c r="D763" i="2" a="1"/>
  <c r="C763" i="2" a="1"/>
  <c r="B762" i="2" a="1"/>
  <c r="K764" i="2" l="1"/>
  <c r="L763" i="2"/>
  <c r="J763" i="2"/>
  <c r="I763" i="2"/>
  <c r="H763" i="2"/>
  <c r="G763" i="2"/>
  <c r="F763" i="2"/>
  <c r="E763" i="2"/>
  <c r="D763" i="2"/>
  <c r="C763" i="2"/>
  <c r="B762" i="2"/>
  <c r="A764" i="2"/>
  <c r="K765" i="2" a="1"/>
  <c r="L764" i="2" a="1"/>
  <c r="J764" i="2" a="1"/>
  <c r="I764" i="2" a="1"/>
  <c r="H764" i="2" a="1"/>
  <c r="G764" i="2" a="1"/>
  <c r="F764" i="2" a="1"/>
  <c r="E764" i="2" a="1"/>
  <c r="D764" i="2" a="1"/>
  <c r="C764" i="2" a="1"/>
  <c r="B763" i="2" a="1"/>
  <c r="K765" i="2" l="1"/>
  <c r="L764" i="2"/>
  <c r="J764" i="2"/>
  <c r="I764" i="2"/>
  <c r="H764" i="2"/>
  <c r="G764" i="2"/>
  <c r="F764" i="2"/>
  <c r="E764" i="2"/>
  <c r="D764" i="2"/>
  <c r="C764" i="2"/>
  <c r="B763" i="2"/>
  <c r="A765" i="2"/>
  <c r="K766" i="2" a="1"/>
  <c r="L765" i="2" a="1"/>
  <c r="J765" i="2" a="1"/>
  <c r="I765" i="2" a="1"/>
  <c r="H765" i="2" a="1"/>
  <c r="G765" i="2" a="1"/>
  <c r="F765" i="2" a="1"/>
  <c r="E765" i="2" a="1"/>
  <c r="D765" i="2" a="1"/>
  <c r="C765" i="2" a="1"/>
  <c r="B764" i="2" a="1"/>
  <c r="K766" i="2" l="1"/>
  <c r="L765" i="2"/>
  <c r="J765" i="2"/>
  <c r="I765" i="2"/>
  <c r="H765" i="2"/>
  <c r="G765" i="2"/>
  <c r="F765" i="2"/>
  <c r="E765" i="2"/>
  <c r="D765" i="2"/>
  <c r="C765" i="2"/>
  <c r="B764" i="2"/>
  <c r="A766" i="2"/>
  <c r="K767" i="2" a="1"/>
  <c r="L766" i="2" a="1"/>
  <c r="J766" i="2" a="1"/>
  <c r="I766" i="2" a="1"/>
  <c r="H766" i="2" a="1"/>
  <c r="G766" i="2" a="1"/>
  <c r="F766" i="2" a="1"/>
  <c r="E766" i="2" a="1"/>
  <c r="D766" i="2" a="1"/>
  <c r="C766" i="2" a="1"/>
  <c r="B765" i="2" a="1"/>
  <c r="K767" i="2" l="1"/>
  <c r="L766" i="2"/>
  <c r="J766" i="2"/>
  <c r="I766" i="2"/>
  <c r="H766" i="2"/>
  <c r="G766" i="2"/>
  <c r="F766" i="2"/>
  <c r="E766" i="2"/>
  <c r="D766" i="2"/>
  <c r="C766" i="2"/>
  <c r="B765" i="2"/>
  <c r="A767" i="2"/>
  <c r="K768" i="2" a="1"/>
  <c r="L767" i="2" a="1"/>
  <c r="J767" i="2" a="1"/>
  <c r="I767" i="2" a="1"/>
  <c r="H767" i="2" a="1"/>
  <c r="G767" i="2" a="1"/>
  <c r="F767" i="2" a="1"/>
  <c r="E767" i="2" a="1"/>
  <c r="D767" i="2" a="1"/>
  <c r="C767" i="2" a="1"/>
  <c r="B766" i="2" a="1"/>
  <c r="K768" i="2" l="1"/>
  <c r="L767" i="2"/>
  <c r="J767" i="2"/>
  <c r="I767" i="2"/>
  <c r="H767" i="2"/>
  <c r="G767" i="2"/>
  <c r="F767" i="2"/>
  <c r="E767" i="2"/>
  <c r="D767" i="2"/>
  <c r="C767" i="2"/>
  <c r="B766" i="2"/>
  <c r="A768" i="2"/>
  <c r="K769" i="2" a="1"/>
  <c r="L768" i="2" a="1"/>
  <c r="J768" i="2" a="1"/>
  <c r="I768" i="2" a="1"/>
  <c r="H768" i="2" a="1"/>
  <c r="G768" i="2" a="1"/>
  <c r="F768" i="2" a="1"/>
  <c r="E768" i="2" a="1"/>
  <c r="D768" i="2" a="1"/>
  <c r="C768" i="2" a="1"/>
  <c r="B767" i="2" a="1"/>
  <c r="K769" i="2" l="1"/>
  <c r="L768" i="2"/>
  <c r="J768" i="2"/>
  <c r="I768" i="2"/>
  <c r="H768" i="2"/>
  <c r="G768" i="2"/>
  <c r="F768" i="2"/>
  <c r="E768" i="2"/>
  <c r="D768" i="2"/>
  <c r="C768" i="2"/>
  <c r="B767" i="2"/>
  <c r="A769" i="2"/>
  <c r="K770" i="2" a="1"/>
  <c r="L769" i="2" a="1"/>
  <c r="J769" i="2" a="1"/>
  <c r="I769" i="2" a="1"/>
  <c r="H769" i="2" a="1"/>
  <c r="G769" i="2" a="1"/>
  <c r="F769" i="2" a="1"/>
  <c r="E769" i="2" a="1"/>
  <c r="D769" i="2" a="1"/>
  <c r="C769" i="2" a="1"/>
  <c r="B768" i="2" a="1"/>
  <c r="K770" i="2" l="1"/>
  <c r="L769" i="2"/>
  <c r="J769" i="2"/>
  <c r="I769" i="2"/>
  <c r="H769" i="2"/>
  <c r="G769" i="2"/>
  <c r="F769" i="2"/>
  <c r="E769" i="2"/>
  <c r="D769" i="2"/>
  <c r="C769" i="2"/>
  <c r="B768" i="2"/>
  <c r="A770" i="2"/>
  <c r="K771" i="2" a="1"/>
  <c r="L770" i="2" a="1"/>
  <c r="J770" i="2" a="1"/>
  <c r="I770" i="2" a="1"/>
  <c r="H770" i="2" a="1"/>
  <c r="G770" i="2" a="1"/>
  <c r="F770" i="2" a="1"/>
  <c r="E770" i="2" a="1"/>
  <c r="D770" i="2" a="1"/>
  <c r="C770" i="2" a="1"/>
  <c r="B769" i="2" a="1"/>
  <c r="K771" i="2" l="1"/>
  <c r="L770" i="2"/>
  <c r="J770" i="2"/>
  <c r="I770" i="2"/>
  <c r="H770" i="2"/>
  <c r="G770" i="2"/>
  <c r="F770" i="2"/>
  <c r="E770" i="2"/>
  <c r="D770" i="2"/>
  <c r="C770" i="2"/>
  <c r="B769" i="2"/>
  <c r="A771" i="2"/>
  <c r="K772" i="2" a="1"/>
  <c r="L771" i="2" a="1"/>
  <c r="J771" i="2" a="1"/>
  <c r="I771" i="2" a="1"/>
  <c r="H771" i="2" a="1"/>
  <c r="G771" i="2" a="1"/>
  <c r="F771" i="2" a="1"/>
  <c r="E771" i="2" a="1"/>
  <c r="D771" i="2" a="1"/>
  <c r="C771" i="2" a="1"/>
  <c r="B770" i="2" a="1"/>
  <c r="K772" i="2" l="1"/>
  <c r="L771" i="2"/>
  <c r="J771" i="2"/>
  <c r="I771" i="2"/>
  <c r="H771" i="2"/>
  <c r="G771" i="2"/>
  <c r="F771" i="2"/>
  <c r="E771" i="2"/>
  <c r="D771" i="2"/>
  <c r="C771" i="2"/>
  <c r="B770" i="2"/>
  <c r="A772" i="2"/>
  <c r="K773" i="2" a="1"/>
  <c r="L772" i="2" a="1"/>
  <c r="J772" i="2" a="1"/>
  <c r="I772" i="2" a="1"/>
  <c r="H772" i="2" a="1"/>
  <c r="G772" i="2" a="1"/>
  <c r="F772" i="2" a="1"/>
  <c r="E772" i="2" a="1"/>
  <c r="D772" i="2" a="1"/>
  <c r="C772" i="2" a="1"/>
  <c r="B771" i="2" a="1"/>
  <c r="K773" i="2" l="1"/>
  <c r="L772" i="2"/>
  <c r="J772" i="2"/>
  <c r="I772" i="2"/>
  <c r="H772" i="2"/>
  <c r="G772" i="2"/>
  <c r="F772" i="2"/>
  <c r="E772" i="2"/>
  <c r="D772" i="2"/>
  <c r="C772" i="2"/>
  <c r="B771" i="2"/>
  <c r="A773" i="2"/>
  <c r="K774" i="2" a="1"/>
  <c r="L773" i="2" a="1"/>
  <c r="J773" i="2" a="1"/>
  <c r="I773" i="2" a="1"/>
  <c r="H773" i="2" a="1"/>
  <c r="G773" i="2" a="1"/>
  <c r="F773" i="2" a="1"/>
  <c r="E773" i="2" a="1"/>
  <c r="D773" i="2" a="1"/>
  <c r="C773" i="2" a="1"/>
  <c r="B772" i="2" a="1"/>
  <c r="K774" i="2" l="1"/>
  <c r="L773" i="2"/>
  <c r="J773" i="2"/>
  <c r="I773" i="2"/>
  <c r="H773" i="2"/>
  <c r="G773" i="2"/>
  <c r="F773" i="2"/>
  <c r="E773" i="2"/>
  <c r="D773" i="2"/>
  <c r="C773" i="2"/>
  <c r="B772" i="2"/>
  <c r="A774" i="2"/>
  <c r="K775" i="2" a="1"/>
  <c r="L774" i="2" a="1"/>
  <c r="J774" i="2" a="1"/>
  <c r="I774" i="2" a="1"/>
  <c r="H774" i="2" a="1"/>
  <c r="G774" i="2" a="1"/>
  <c r="F774" i="2" a="1"/>
  <c r="E774" i="2" a="1"/>
  <c r="D774" i="2" a="1"/>
  <c r="C774" i="2" a="1"/>
  <c r="B773" i="2" a="1"/>
  <c r="K775" i="2" l="1"/>
  <c r="L774" i="2"/>
  <c r="J774" i="2"/>
  <c r="I774" i="2"/>
  <c r="H774" i="2"/>
  <c r="G774" i="2"/>
  <c r="F774" i="2"/>
  <c r="E774" i="2"/>
  <c r="D774" i="2"/>
  <c r="C774" i="2"/>
  <c r="B773" i="2"/>
  <c r="A775" i="2"/>
  <c r="K776" i="2" a="1"/>
  <c r="L775" i="2" a="1"/>
  <c r="J775" i="2" a="1"/>
  <c r="I775" i="2" a="1"/>
  <c r="H775" i="2" a="1"/>
  <c r="G775" i="2" a="1"/>
  <c r="F775" i="2" a="1"/>
  <c r="E775" i="2" a="1"/>
  <c r="D775" i="2" a="1"/>
  <c r="C775" i="2" a="1"/>
  <c r="B774" i="2" a="1"/>
  <c r="K776" i="2" l="1"/>
  <c r="L775" i="2"/>
  <c r="J775" i="2"/>
  <c r="I775" i="2"/>
  <c r="H775" i="2"/>
  <c r="G775" i="2"/>
  <c r="F775" i="2"/>
  <c r="E775" i="2"/>
  <c r="D775" i="2"/>
  <c r="C775" i="2"/>
  <c r="B774" i="2"/>
  <c r="A776" i="2"/>
  <c r="K777" i="2" a="1"/>
  <c r="L776" i="2" a="1"/>
  <c r="J776" i="2" a="1"/>
  <c r="I776" i="2" a="1"/>
  <c r="H776" i="2" a="1"/>
  <c r="G776" i="2" a="1"/>
  <c r="F776" i="2" a="1"/>
  <c r="E776" i="2" a="1"/>
  <c r="D776" i="2" a="1"/>
  <c r="C776" i="2" a="1"/>
  <c r="B775" i="2" a="1"/>
  <c r="K777" i="2" l="1"/>
  <c r="L776" i="2"/>
  <c r="J776" i="2"/>
  <c r="I776" i="2"/>
  <c r="H776" i="2"/>
  <c r="G776" i="2"/>
  <c r="F776" i="2"/>
  <c r="E776" i="2"/>
  <c r="D776" i="2"/>
  <c r="C776" i="2"/>
  <c r="B775" i="2"/>
  <c r="A777" i="2"/>
  <c r="K778" i="2" a="1"/>
  <c r="L777" i="2" a="1"/>
  <c r="J777" i="2" a="1"/>
  <c r="I777" i="2" a="1"/>
  <c r="H777" i="2" a="1"/>
  <c r="G777" i="2" a="1"/>
  <c r="F777" i="2" a="1"/>
  <c r="E777" i="2" a="1"/>
  <c r="D777" i="2" a="1"/>
  <c r="C777" i="2" a="1"/>
  <c r="B776" i="2" a="1"/>
  <c r="K778" i="2" l="1"/>
  <c r="L777" i="2"/>
  <c r="J777" i="2"/>
  <c r="I777" i="2"/>
  <c r="H777" i="2"/>
  <c r="G777" i="2"/>
  <c r="F777" i="2"/>
  <c r="E777" i="2"/>
  <c r="D777" i="2"/>
  <c r="C777" i="2"/>
  <c r="B776" i="2"/>
  <c r="A778" i="2"/>
  <c r="K779" i="2" a="1"/>
  <c r="L778" i="2" a="1"/>
  <c r="J778" i="2" a="1"/>
  <c r="I778" i="2" a="1"/>
  <c r="H778" i="2" a="1"/>
  <c r="G778" i="2" a="1"/>
  <c r="F778" i="2" a="1"/>
  <c r="E778" i="2" a="1"/>
  <c r="D778" i="2" a="1"/>
  <c r="C778" i="2" a="1"/>
  <c r="B777" i="2" a="1"/>
  <c r="K779" i="2" l="1"/>
  <c r="L778" i="2"/>
  <c r="J778" i="2"/>
  <c r="I778" i="2"/>
  <c r="H778" i="2"/>
  <c r="G778" i="2"/>
  <c r="F778" i="2"/>
  <c r="E778" i="2"/>
  <c r="D778" i="2"/>
  <c r="C778" i="2"/>
  <c r="B777" i="2"/>
  <c r="A779" i="2"/>
  <c r="K780" i="2" a="1"/>
  <c r="L779" i="2" a="1"/>
  <c r="J779" i="2" a="1"/>
  <c r="I779" i="2" a="1"/>
  <c r="H779" i="2" a="1"/>
  <c r="G779" i="2" a="1"/>
  <c r="F779" i="2" a="1"/>
  <c r="E779" i="2" a="1"/>
  <c r="D779" i="2" a="1"/>
  <c r="C779" i="2" a="1"/>
  <c r="B778" i="2" a="1"/>
  <c r="K780" i="2" l="1"/>
  <c r="L779" i="2"/>
  <c r="J779" i="2"/>
  <c r="I779" i="2"/>
  <c r="H779" i="2"/>
  <c r="G779" i="2"/>
  <c r="F779" i="2"/>
  <c r="E779" i="2"/>
  <c r="D779" i="2"/>
  <c r="C779" i="2"/>
  <c r="B778" i="2"/>
  <c r="A780" i="2"/>
  <c r="K781" i="2" a="1"/>
  <c r="L780" i="2" a="1"/>
  <c r="J780" i="2" a="1"/>
  <c r="I780" i="2" a="1"/>
  <c r="H780" i="2" a="1"/>
  <c r="G780" i="2" a="1"/>
  <c r="F780" i="2" a="1"/>
  <c r="E780" i="2" a="1"/>
  <c r="D780" i="2" a="1"/>
  <c r="C780" i="2" a="1"/>
  <c r="B779" i="2" a="1"/>
  <c r="K781" i="2" l="1"/>
  <c r="L780" i="2"/>
  <c r="J780" i="2"/>
  <c r="I780" i="2"/>
  <c r="H780" i="2"/>
  <c r="G780" i="2"/>
  <c r="F780" i="2"/>
  <c r="E780" i="2"/>
  <c r="D780" i="2"/>
  <c r="C780" i="2"/>
  <c r="B779" i="2"/>
  <c r="A781" i="2"/>
  <c r="K782" i="2" a="1"/>
  <c r="L781" i="2" a="1"/>
  <c r="J781" i="2" a="1"/>
  <c r="I781" i="2" a="1"/>
  <c r="H781" i="2" a="1"/>
  <c r="G781" i="2" a="1"/>
  <c r="F781" i="2" a="1"/>
  <c r="E781" i="2" a="1"/>
  <c r="D781" i="2" a="1"/>
  <c r="C781" i="2" a="1"/>
  <c r="B780" i="2" a="1"/>
  <c r="K782" i="2" l="1"/>
  <c r="L781" i="2"/>
  <c r="J781" i="2"/>
  <c r="I781" i="2"/>
  <c r="H781" i="2"/>
  <c r="G781" i="2"/>
  <c r="F781" i="2"/>
  <c r="E781" i="2"/>
  <c r="D781" i="2"/>
  <c r="C781" i="2"/>
  <c r="B780" i="2"/>
  <c r="A782" i="2"/>
  <c r="K783" i="2" a="1"/>
  <c r="L782" i="2" a="1"/>
  <c r="J782" i="2" a="1"/>
  <c r="I782" i="2" a="1"/>
  <c r="H782" i="2" a="1"/>
  <c r="G782" i="2" a="1"/>
  <c r="F782" i="2" a="1"/>
  <c r="E782" i="2" a="1"/>
  <c r="D782" i="2" a="1"/>
  <c r="C782" i="2" a="1"/>
  <c r="B781" i="2" a="1"/>
  <c r="K783" i="2" l="1"/>
  <c r="L782" i="2"/>
  <c r="J782" i="2"/>
  <c r="I782" i="2"/>
  <c r="H782" i="2"/>
  <c r="G782" i="2"/>
  <c r="F782" i="2"/>
  <c r="E782" i="2"/>
  <c r="D782" i="2"/>
  <c r="C782" i="2"/>
  <c r="B781" i="2"/>
  <c r="A783" i="2"/>
  <c r="K784" i="2" a="1"/>
  <c r="L783" i="2" a="1"/>
  <c r="J783" i="2" a="1"/>
  <c r="I783" i="2" a="1"/>
  <c r="H783" i="2" a="1"/>
  <c r="G783" i="2" a="1"/>
  <c r="F783" i="2" a="1"/>
  <c r="E783" i="2" a="1"/>
  <c r="D783" i="2" a="1"/>
  <c r="C783" i="2" a="1"/>
  <c r="B782" i="2" a="1"/>
  <c r="K784" i="2" l="1"/>
  <c r="L783" i="2"/>
  <c r="J783" i="2"/>
  <c r="I783" i="2"/>
  <c r="H783" i="2"/>
  <c r="G783" i="2"/>
  <c r="F783" i="2"/>
  <c r="E783" i="2"/>
  <c r="D783" i="2"/>
  <c r="C783" i="2"/>
  <c r="B782" i="2"/>
  <c r="A784" i="2"/>
  <c r="K785" i="2" a="1"/>
  <c r="L784" i="2" a="1"/>
  <c r="J784" i="2" a="1"/>
  <c r="I784" i="2" a="1"/>
  <c r="H784" i="2" a="1"/>
  <c r="G784" i="2" a="1"/>
  <c r="F784" i="2" a="1"/>
  <c r="E784" i="2" a="1"/>
  <c r="D784" i="2" a="1"/>
  <c r="C784" i="2" a="1"/>
  <c r="B783" i="2" a="1"/>
  <c r="K785" i="2" l="1"/>
  <c r="L784" i="2"/>
  <c r="J784" i="2"/>
  <c r="I784" i="2"/>
  <c r="H784" i="2"/>
  <c r="G784" i="2"/>
  <c r="F784" i="2"/>
  <c r="E784" i="2"/>
  <c r="D784" i="2"/>
  <c r="C784" i="2"/>
  <c r="B783" i="2"/>
  <c r="A785" i="2"/>
  <c r="K786" i="2" a="1"/>
  <c r="L785" i="2" a="1"/>
  <c r="J785" i="2" a="1"/>
  <c r="I785" i="2" a="1"/>
  <c r="H785" i="2" a="1"/>
  <c r="G785" i="2" a="1"/>
  <c r="F785" i="2" a="1"/>
  <c r="E785" i="2" a="1"/>
  <c r="D785" i="2" a="1"/>
  <c r="C785" i="2" a="1"/>
  <c r="B784" i="2" a="1"/>
  <c r="K786" i="2" l="1"/>
  <c r="L785" i="2"/>
  <c r="J785" i="2"/>
  <c r="I785" i="2"/>
  <c r="H785" i="2"/>
  <c r="G785" i="2"/>
  <c r="F785" i="2"/>
  <c r="E785" i="2"/>
  <c r="D785" i="2"/>
  <c r="C785" i="2"/>
  <c r="B784" i="2"/>
  <c r="A786" i="2"/>
  <c r="K787" i="2" a="1"/>
  <c r="L786" i="2" a="1"/>
  <c r="J786" i="2" a="1"/>
  <c r="I786" i="2" a="1"/>
  <c r="H786" i="2" a="1"/>
  <c r="G786" i="2" a="1"/>
  <c r="F786" i="2" a="1"/>
  <c r="E786" i="2" a="1"/>
  <c r="D786" i="2" a="1"/>
  <c r="C786" i="2" a="1"/>
  <c r="B785" i="2" a="1"/>
  <c r="K787" i="2" l="1"/>
  <c r="L786" i="2"/>
  <c r="J786" i="2"/>
  <c r="I786" i="2"/>
  <c r="H786" i="2"/>
  <c r="G786" i="2"/>
  <c r="F786" i="2"/>
  <c r="E786" i="2"/>
  <c r="D786" i="2"/>
  <c r="C786" i="2"/>
  <c r="B785" i="2"/>
  <c r="A787" i="2"/>
  <c r="K788" i="2" a="1"/>
  <c r="L787" i="2" a="1"/>
  <c r="J787" i="2" a="1"/>
  <c r="I787" i="2" a="1"/>
  <c r="H787" i="2" a="1"/>
  <c r="G787" i="2" a="1"/>
  <c r="F787" i="2" a="1"/>
  <c r="E787" i="2" a="1"/>
  <c r="D787" i="2" a="1"/>
  <c r="C787" i="2" a="1"/>
  <c r="B786" i="2" a="1"/>
  <c r="K788" i="2" l="1"/>
  <c r="L787" i="2"/>
  <c r="J787" i="2"/>
  <c r="I787" i="2"/>
  <c r="H787" i="2"/>
  <c r="G787" i="2"/>
  <c r="F787" i="2"/>
  <c r="E787" i="2"/>
  <c r="D787" i="2"/>
  <c r="C787" i="2"/>
  <c r="B786" i="2"/>
  <c r="A788" i="2"/>
  <c r="K789" i="2" a="1"/>
  <c r="L788" i="2" a="1"/>
  <c r="J788" i="2" a="1"/>
  <c r="I788" i="2" a="1"/>
  <c r="H788" i="2" a="1"/>
  <c r="G788" i="2" a="1"/>
  <c r="F788" i="2" a="1"/>
  <c r="E788" i="2" a="1"/>
  <c r="D788" i="2" a="1"/>
  <c r="C788" i="2" a="1"/>
  <c r="B787" i="2" a="1"/>
  <c r="K789" i="2" l="1"/>
  <c r="L788" i="2"/>
  <c r="J788" i="2"/>
  <c r="I788" i="2"/>
  <c r="H788" i="2"/>
  <c r="G788" i="2"/>
  <c r="F788" i="2"/>
  <c r="E788" i="2"/>
  <c r="D788" i="2"/>
  <c r="C788" i="2"/>
  <c r="B787" i="2"/>
  <c r="A789" i="2"/>
  <c r="K790" i="2" a="1"/>
  <c r="L789" i="2" a="1"/>
  <c r="J789" i="2" a="1"/>
  <c r="I789" i="2" a="1"/>
  <c r="H789" i="2" a="1"/>
  <c r="G789" i="2" a="1"/>
  <c r="F789" i="2" a="1"/>
  <c r="E789" i="2" a="1"/>
  <c r="D789" i="2" a="1"/>
  <c r="C789" i="2" a="1"/>
  <c r="B788" i="2" a="1"/>
  <c r="K790" i="2" l="1"/>
  <c r="L789" i="2"/>
  <c r="J789" i="2"/>
  <c r="I789" i="2"/>
  <c r="H789" i="2"/>
  <c r="G789" i="2"/>
  <c r="F789" i="2"/>
  <c r="E789" i="2"/>
  <c r="D789" i="2"/>
  <c r="C789" i="2"/>
  <c r="B788" i="2"/>
  <c r="A790" i="2"/>
  <c r="K791" i="2" a="1"/>
  <c r="L790" i="2" a="1"/>
  <c r="J790" i="2" a="1"/>
  <c r="I790" i="2" a="1"/>
  <c r="H790" i="2" a="1"/>
  <c r="G790" i="2" a="1"/>
  <c r="F790" i="2" a="1"/>
  <c r="E790" i="2" a="1"/>
  <c r="D790" i="2" a="1"/>
  <c r="C790" i="2" a="1"/>
  <c r="B789" i="2" a="1"/>
  <c r="K791" i="2" l="1"/>
  <c r="L790" i="2"/>
  <c r="J790" i="2"/>
  <c r="I790" i="2"/>
  <c r="H790" i="2"/>
  <c r="G790" i="2"/>
  <c r="F790" i="2"/>
  <c r="E790" i="2"/>
  <c r="D790" i="2"/>
  <c r="C790" i="2"/>
  <c r="B789" i="2"/>
  <c r="A791" i="2"/>
  <c r="K792" i="2" a="1"/>
  <c r="L791" i="2" a="1"/>
  <c r="J791" i="2" a="1"/>
  <c r="I791" i="2" a="1"/>
  <c r="H791" i="2" a="1"/>
  <c r="G791" i="2" a="1"/>
  <c r="F791" i="2" a="1"/>
  <c r="E791" i="2" a="1"/>
  <c r="D791" i="2" a="1"/>
  <c r="C791" i="2" a="1"/>
  <c r="B790" i="2" a="1"/>
  <c r="K792" i="2" l="1"/>
  <c r="L791" i="2"/>
  <c r="J791" i="2"/>
  <c r="I791" i="2"/>
  <c r="H791" i="2"/>
  <c r="G791" i="2"/>
  <c r="F791" i="2"/>
  <c r="E791" i="2"/>
  <c r="D791" i="2"/>
  <c r="C791" i="2"/>
  <c r="B790" i="2"/>
  <c r="A792" i="2"/>
  <c r="K793" i="2" a="1"/>
  <c r="L792" i="2" a="1"/>
  <c r="J792" i="2" a="1"/>
  <c r="I792" i="2" a="1"/>
  <c r="H792" i="2" a="1"/>
  <c r="G792" i="2" a="1"/>
  <c r="F792" i="2" a="1"/>
  <c r="E792" i="2" a="1"/>
  <c r="D792" i="2" a="1"/>
  <c r="C792" i="2" a="1"/>
  <c r="B791" i="2" a="1"/>
  <c r="K793" i="2" l="1"/>
  <c r="L792" i="2"/>
  <c r="J792" i="2"/>
  <c r="I792" i="2"/>
  <c r="H792" i="2"/>
  <c r="G792" i="2"/>
  <c r="F792" i="2"/>
  <c r="E792" i="2"/>
  <c r="D792" i="2"/>
  <c r="C792" i="2"/>
  <c r="B791" i="2"/>
  <c r="A793" i="2"/>
  <c r="K794" i="2" a="1"/>
  <c r="L793" i="2" a="1"/>
  <c r="J793" i="2" a="1"/>
  <c r="I793" i="2" a="1"/>
  <c r="H793" i="2" a="1"/>
  <c r="G793" i="2" a="1"/>
  <c r="F793" i="2" a="1"/>
  <c r="E793" i="2" a="1"/>
  <c r="D793" i="2" a="1"/>
  <c r="C793" i="2" a="1"/>
  <c r="B792" i="2" a="1"/>
  <c r="K794" i="2" l="1"/>
  <c r="L793" i="2"/>
  <c r="J793" i="2"/>
  <c r="I793" i="2"/>
  <c r="H793" i="2"/>
  <c r="G793" i="2"/>
  <c r="F793" i="2"/>
  <c r="E793" i="2"/>
  <c r="D793" i="2"/>
  <c r="C793" i="2"/>
  <c r="B792" i="2"/>
  <c r="A794" i="2"/>
  <c r="K795" i="2" a="1"/>
  <c r="L794" i="2" a="1"/>
  <c r="J794" i="2" a="1"/>
  <c r="I794" i="2" a="1"/>
  <c r="H794" i="2" a="1"/>
  <c r="G794" i="2" a="1"/>
  <c r="F794" i="2" a="1"/>
  <c r="E794" i="2" a="1"/>
  <c r="D794" i="2" a="1"/>
  <c r="C794" i="2" a="1"/>
  <c r="B793" i="2" a="1"/>
  <c r="K795" i="2" l="1"/>
  <c r="L794" i="2"/>
  <c r="J794" i="2"/>
  <c r="I794" i="2"/>
  <c r="H794" i="2"/>
  <c r="G794" i="2"/>
  <c r="F794" i="2"/>
  <c r="E794" i="2"/>
  <c r="D794" i="2"/>
  <c r="C794" i="2"/>
  <c r="B793" i="2"/>
  <c r="A795" i="2"/>
  <c r="K796" i="2" a="1"/>
  <c r="L795" i="2" a="1"/>
  <c r="J795" i="2" a="1"/>
  <c r="I795" i="2" a="1"/>
  <c r="H795" i="2" a="1"/>
  <c r="G795" i="2" a="1"/>
  <c r="F795" i="2" a="1"/>
  <c r="E795" i="2" a="1"/>
  <c r="D795" i="2" a="1"/>
  <c r="C795" i="2" a="1"/>
  <c r="B794" i="2" a="1"/>
  <c r="K796" i="2" l="1"/>
  <c r="L795" i="2"/>
  <c r="J795" i="2"/>
  <c r="I795" i="2"/>
  <c r="H795" i="2"/>
  <c r="G795" i="2"/>
  <c r="F795" i="2"/>
  <c r="E795" i="2"/>
  <c r="D795" i="2"/>
  <c r="C795" i="2"/>
  <c r="B794" i="2"/>
  <c r="A796" i="2"/>
  <c r="K797" i="2" a="1"/>
  <c r="L796" i="2" a="1"/>
  <c r="J796" i="2" a="1"/>
  <c r="I796" i="2" a="1"/>
  <c r="H796" i="2" a="1"/>
  <c r="G796" i="2" a="1"/>
  <c r="F796" i="2" a="1"/>
  <c r="E796" i="2" a="1"/>
  <c r="D796" i="2" a="1"/>
  <c r="C796" i="2" a="1"/>
  <c r="B795" i="2" a="1"/>
  <c r="K797" i="2" l="1"/>
  <c r="L796" i="2"/>
  <c r="J796" i="2"/>
  <c r="I796" i="2"/>
  <c r="H796" i="2"/>
  <c r="G796" i="2"/>
  <c r="F796" i="2"/>
  <c r="E796" i="2"/>
  <c r="D796" i="2"/>
  <c r="C796" i="2"/>
  <c r="B795" i="2"/>
  <c r="A797" i="2"/>
  <c r="K798" i="2" a="1"/>
  <c r="L797" i="2" a="1"/>
  <c r="J797" i="2" a="1"/>
  <c r="I797" i="2" a="1"/>
  <c r="H797" i="2" a="1"/>
  <c r="G797" i="2" a="1"/>
  <c r="F797" i="2" a="1"/>
  <c r="E797" i="2" a="1"/>
  <c r="D797" i="2" a="1"/>
  <c r="C797" i="2" a="1"/>
  <c r="B796" i="2" a="1"/>
  <c r="K798" i="2" l="1"/>
  <c r="L797" i="2"/>
  <c r="J797" i="2"/>
  <c r="I797" i="2"/>
  <c r="H797" i="2"/>
  <c r="G797" i="2"/>
  <c r="F797" i="2"/>
  <c r="E797" i="2"/>
  <c r="D797" i="2"/>
  <c r="C797" i="2"/>
  <c r="B796" i="2"/>
  <c r="A798" i="2"/>
  <c r="K799" i="2" a="1"/>
  <c r="L798" i="2" a="1"/>
  <c r="J798" i="2" a="1"/>
  <c r="I798" i="2" a="1"/>
  <c r="H798" i="2" a="1"/>
  <c r="G798" i="2" a="1"/>
  <c r="F798" i="2" a="1"/>
  <c r="E798" i="2" a="1"/>
  <c r="D798" i="2" a="1"/>
  <c r="C798" i="2" a="1"/>
  <c r="B797" i="2" a="1"/>
  <c r="K799" i="2" l="1"/>
  <c r="L798" i="2"/>
  <c r="J798" i="2"/>
  <c r="I798" i="2"/>
  <c r="H798" i="2"/>
  <c r="G798" i="2"/>
  <c r="F798" i="2"/>
  <c r="E798" i="2"/>
  <c r="D798" i="2"/>
  <c r="C798" i="2"/>
  <c r="B797" i="2"/>
  <c r="A799" i="2"/>
  <c r="K800" i="2" a="1"/>
  <c r="L799" i="2" a="1"/>
  <c r="J799" i="2" a="1"/>
  <c r="I799" i="2" a="1"/>
  <c r="H799" i="2" a="1"/>
  <c r="G799" i="2" a="1"/>
  <c r="F799" i="2" a="1"/>
  <c r="E799" i="2" a="1"/>
  <c r="D799" i="2" a="1"/>
  <c r="C799" i="2" a="1"/>
  <c r="B798" i="2" a="1"/>
  <c r="K800" i="2" l="1"/>
  <c r="L799" i="2"/>
  <c r="J799" i="2"/>
  <c r="I799" i="2"/>
  <c r="H799" i="2"/>
  <c r="G799" i="2"/>
  <c r="F799" i="2"/>
  <c r="E799" i="2"/>
  <c r="D799" i="2"/>
  <c r="C799" i="2"/>
  <c r="B798" i="2"/>
  <c r="A800" i="2"/>
  <c r="K801" i="2" a="1"/>
  <c r="L800" i="2" a="1"/>
  <c r="J800" i="2" a="1"/>
  <c r="I800" i="2" a="1"/>
  <c r="H800" i="2" a="1"/>
  <c r="G800" i="2" a="1"/>
  <c r="F800" i="2" a="1"/>
  <c r="E800" i="2" a="1"/>
  <c r="D800" i="2" a="1"/>
  <c r="C800" i="2" a="1"/>
  <c r="B799" i="2" a="1"/>
  <c r="K801" i="2" l="1"/>
  <c r="L800" i="2"/>
  <c r="J800" i="2"/>
  <c r="I800" i="2"/>
  <c r="H800" i="2"/>
  <c r="G800" i="2"/>
  <c r="F800" i="2"/>
  <c r="E800" i="2"/>
  <c r="D800" i="2"/>
  <c r="C800" i="2"/>
  <c r="B799" i="2"/>
  <c r="A801" i="2"/>
  <c r="K802" i="2" a="1"/>
  <c r="L801" i="2" a="1"/>
  <c r="J801" i="2" a="1"/>
  <c r="I801" i="2" a="1"/>
  <c r="H801" i="2" a="1"/>
  <c r="G801" i="2" a="1"/>
  <c r="F801" i="2" a="1"/>
  <c r="E801" i="2" a="1"/>
  <c r="D801" i="2" a="1"/>
  <c r="C801" i="2" a="1"/>
  <c r="B800" i="2" a="1"/>
  <c r="K802" i="2" l="1"/>
  <c r="L801" i="2"/>
  <c r="J801" i="2"/>
  <c r="I801" i="2"/>
  <c r="H801" i="2"/>
  <c r="G801" i="2"/>
  <c r="F801" i="2"/>
  <c r="E801" i="2"/>
  <c r="D801" i="2"/>
  <c r="C801" i="2"/>
  <c r="B800" i="2"/>
  <c r="A802" i="2"/>
  <c r="K803" i="2" a="1"/>
  <c r="L802" i="2" a="1"/>
  <c r="J802" i="2" a="1"/>
  <c r="I802" i="2" a="1"/>
  <c r="H802" i="2" a="1"/>
  <c r="G802" i="2" a="1"/>
  <c r="F802" i="2" a="1"/>
  <c r="E802" i="2" a="1"/>
  <c r="D802" i="2" a="1"/>
  <c r="C802" i="2" a="1"/>
  <c r="B801" i="2" a="1"/>
  <c r="K803" i="2" l="1"/>
  <c r="L802" i="2"/>
  <c r="J802" i="2"/>
  <c r="I802" i="2"/>
  <c r="H802" i="2"/>
  <c r="G802" i="2"/>
  <c r="F802" i="2"/>
  <c r="E802" i="2"/>
  <c r="D802" i="2"/>
  <c r="C802" i="2"/>
  <c r="B801" i="2"/>
  <c r="A803" i="2"/>
  <c r="K804" i="2" a="1"/>
  <c r="L803" i="2" a="1"/>
  <c r="J803" i="2" a="1"/>
  <c r="I803" i="2" a="1"/>
  <c r="H803" i="2" a="1"/>
  <c r="G803" i="2" a="1"/>
  <c r="F803" i="2" a="1"/>
  <c r="E803" i="2" a="1"/>
  <c r="D803" i="2" a="1"/>
  <c r="C803" i="2" a="1"/>
  <c r="B802" i="2" a="1"/>
  <c r="K804" i="2" l="1"/>
  <c r="L803" i="2"/>
  <c r="J803" i="2"/>
  <c r="I803" i="2"/>
  <c r="H803" i="2"/>
  <c r="G803" i="2"/>
  <c r="F803" i="2"/>
  <c r="E803" i="2"/>
  <c r="D803" i="2"/>
  <c r="C803" i="2"/>
  <c r="B802" i="2"/>
  <c r="A804" i="2"/>
  <c r="K805" i="2" a="1"/>
  <c r="L804" i="2" a="1"/>
  <c r="J804" i="2" a="1"/>
  <c r="I804" i="2" a="1"/>
  <c r="H804" i="2" a="1"/>
  <c r="G804" i="2" a="1"/>
  <c r="F804" i="2" a="1"/>
  <c r="E804" i="2" a="1"/>
  <c r="D804" i="2" a="1"/>
  <c r="C804" i="2" a="1"/>
  <c r="B803" i="2" a="1"/>
  <c r="K805" i="2" l="1"/>
  <c r="L804" i="2"/>
  <c r="J804" i="2"/>
  <c r="I804" i="2"/>
  <c r="H804" i="2"/>
  <c r="G804" i="2"/>
  <c r="F804" i="2"/>
  <c r="E804" i="2"/>
  <c r="D804" i="2"/>
  <c r="C804" i="2"/>
  <c r="B803" i="2"/>
  <c r="A805" i="2"/>
  <c r="K806" i="2" a="1"/>
  <c r="L805" i="2" a="1"/>
  <c r="J805" i="2" a="1"/>
  <c r="I805" i="2" a="1"/>
  <c r="H805" i="2" a="1"/>
  <c r="G805" i="2" a="1"/>
  <c r="F805" i="2" a="1"/>
  <c r="E805" i="2" a="1"/>
  <c r="D805" i="2" a="1"/>
  <c r="C805" i="2" a="1"/>
  <c r="B804" i="2" a="1"/>
  <c r="K806" i="2" l="1"/>
  <c r="L805" i="2"/>
  <c r="J805" i="2"/>
  <c r="I805" i="2"/>
  <c r="H805" i="2"/>
  <c r="G805" i="2"/>
  <c r="F805" i="2"/>
  <c r="E805" i="2"/>
  <c r="D805" i="2"/>
  <c r="C805" i="2"/>
  <c r="B804" i="2"/>
  <c r="A806" i="2"/>
  <c r="K807" i="2" a="1"/>
  <c r="L806" i="2" a="1"/>
  <c r="J806" i="2" a="1"/>
  <c r="I806" i="2" a="1"/>
  <c r="H806" i="2" a="1"/>
  <c r="G806" i="2" a="1"/>
  <c r="F806" i="2" a="1"/>
  <c r="E806" i="2" a="1"/>
  <c r="D806" i="2" a="1"/>
  <c r="C806" i="2" a="1"/>
  <c r="B805" i="2" a="1"/>
  <c r="K807" i="2" l="1"/>
  <c r="L806" i="2"/>
  <c r="J806" i="2"/>
  <c r="I806" i="2"/>
  <c r="H806" i="2"/>
  <c r="G806" i="2"/>
  <c r="F806" i="2"/>
  <c r="E806" i="2"/>
  <c r="D806" i="2"/>
  <c r="C806" i="2"/>
  <c r="B805" i="2"/>
  <c r="A807" i="2"/>
  <c r="K808" i="2" a="1"/>
  <c r="L807" i="2" a="1"/>
  <c r="J807" i="2" a="1"/>
  <c r="I807" i="2" a="1"/>
  <c r="H807" i="2" a="1"/>
  <c r="G807" i="2" a="1"/>
  <c r="F807" i="2" a="1"/>
  <c r="E807" i="2" a="1"/>
  <c r="D807" i="2" a="1"/>
  <c r="C807" i="2" a="1"/>
  <c r="B806" i="2" a="1"/>
  <c r="K808" i="2" l="1"/>
  <c r="L807" i="2"/>
  <c r="J807" i="2"/>
  <c r="I807" i="2"/>
  <c r="H807" i="2"/>
  <c r="G807" i="2"/>
  <c r="F807" i="2"/>
  <c r="E807" i="2"/>
  <c r="D807" i="2"/>
  <c r="C807" i="2"/>
  <c r="B806" i="2"/>
  <c r="A808" i="2"/>
  <c r="K809" i="2" a="1"/>
  <c r="L808" i="2" a="1"/>
  <c r="J808" i="2" a="1"/>
  <c r="I808" i="2" a="1"/>
  <c r="H808" i="2" a="1"/>
  <c r="G808" i="2" a="1"/>
  <c r="F808" i="2" a="1"/>
  <c r="E808" i="2" a="1"/>
  <c r="D808" i="2" a="1"/>
  <c r="C808" i="2" a="1"/>
  <c r="B807" i="2" a="1"/>
  <c r="K809" i="2" l="1"/>
  <c r="L808" i="2"/>
  <c r="J808" i="2"/>
  <c r="I808" i="2"/>
  <c r="H808" i="2"/>
  <c r="G808" i="2"/>
  <c r="F808" i="2"/>
  <c r="E808" i="2"/>
  <c r="D808" i="2"/>
  <c r="C808" i="2"/>
  <c r="B807" i="2"/>
  <c r="A809" i="2"/>
  <c r="K810" i="2" a="1"/>
  <c r="L809" i="2" a="1"/>
  <c r="J809" i="2" a="1"/>
  <c r="I809" i="2" a="1"/>
  <c r="H809" i="2" a="1"/>
  <c r="G809" i="2" a="1"/>
  <c r="F809" i="2" a="1"/>
  <c r="E809" i="2" a="1"/>
  <c r="D809" i="2" a="1"/>
  <c r="C809" i="2" a="1"/>
  <c r="B808" i="2" a="1"/>
  <c r="K810" i="2" l="1"/>
  <c r="L809" i="2"/>
  <c r="J809" i="2"/>
  <c r="I809" i="2"/>
  <c r="H809" i="2"/>
  <c r="G809" i="2"/>
  <c r="F809" i="2"/>
  <c r="E809" i="2"/>
  <c r="D809" i="2"/>
  <c r="C809" i="2"/>
  <c r="B808" i="2"/>
  <c r="A810" i="2"/>
  <c r="K811" i="2" a="1"/>
  <c r="L810" i="2" a="1"/>
  <c r="J810" i="2" a="1"/>
  <c r="I810" i="2" a="1"/>
  <c r="H810" i="2" a="1"/>
  <c r="G810" i="2" a="1"/>
  <c r="F810" i="2" a="1"/>
  <c r="E810" i="2" a="1"/>
  <c r="D810" i="2" a="1"/>
  <c r="C810" i="2" a="1"/>
  <c r="B809" i="2" a="1"/>
  <c r="K811" i="2" l="1"/>
  <c r="L810" i="2"/>
  <c r="J810" i="2"/>
  <c r="I810" i="2"/>
  <c r="H810" i="2"/>
  <c r="G810" i="2"/>
  <c r="F810" i="2"/>
  <c r="E810" i="2"/>
  <c r="D810" i="2"/>
  <c r="C810" i="2"/>
  <c r="B809" i="2"/>
  <c r="A811" i="2"/>
  <c r="K812" i="2" a="1"/>
  <c r="L811" i="2" a="1"/>
  <c r="J811" i="2" a="1"/>
  <c r="I811" i="2" a="1"/>
  <c r="H811" i="2" a="1"/>
  <c r="G811" i="2" a="1"/>
  <c r="F811" i="2" a="1"/>
  <c r="E811" i="2" a="1"/>
  <c r="D811" i="2" a="1"/>
  <c r="C811" i="2" a="1"/>
  <c r="B810" i="2" a="1"/>
  <c r="K812" i="2" l="1"/>
  <c r="L811" i="2"/>
  <c r="J811" i="2"/>
  <c r="I811" i="2"/>
  <c r="H811" i="2"/>
  <c r="G811" i="2"/>
  <c r="F811" i="2"/>
  <c r="E811" i="2"/>
  <c r="D811" i="2"/>
  <c r="C811" i="2"/>
  <c r="B810" i="2"/>
  <c r="A812" i="2"/>
  <c r="K813" i="2" a="1"/>
  <c r="L812" i="2" a="1"/>
  <c r="J812" i="2" a="1"/>
  <c r="I812" i="2" a="1"/>
  <c r="H812" i="2" a="1"/>
  <c r="G812" i="2" a="1"/>
  <c r="F812" i="2" a="1"/>
  <c r="E812" i="2" a="1"/>
  <c r="D812" i="2" a="1"/>
  <c r="C812" i="2" a="1"/>
  <c r="B811" i="2" a="1"/>
  <c r="K813" i="2" l="1"/>
  <c r="L812" i="2"/>
  <c r="J812" i="2"/>
  <c r="I812" i="2"/>
  <c r="H812" i="2"/>
  <c r="G812" i="2"/>
  <c r="F812" i="2"/>
  <c r="E812" i="2"/>
  <c r="D812" i="2"/>
  <c r="C812" i="2"/>
  <c r="B811" i="2"/>
  <c r="A813" i="2"/>
  <c r="K814" i="2" a="1"/>
  <c r="L813" i="2" a="1"/>
  <c r="J813" i="2" a="1"/>
  <c r="I813" i="2" a="1"/>
  <c r="H813" i="2" a="1"/>
  <c r="G813" i="2" a="1"/>
  <c r="F813" i="2" a="1"/>
  <c r="E813" i="2" a="1"/>
  <c r="D813" i="2" a="1"/>
  <c r="C813" i="2" a="1"/>
  <c r="B812" i="2" a="1"/>
  <c r="K814" i="2" l="1"/>
  <c r="L813" i="2"/>
  <c r="J813" i="2"/>
  <c r="I813" i="2"/>
  <c r="H813" i="2"/>
  <c r="G813" i="2"/>
  <c r="F813" i="2"/>
  <c r="E813" i="2"/>
  <c r="D813" i="2"/>
  <c r="C813" i="2"/>
  <c r="B812" i="2"/>
  <c r="A814" i="2"/>
  <c r="K815" i="2" a="1"/>
  <c r="L814" i="2" a="1"/>
  <c r="J814" i="2" a="1"/>
  <c r="I814" i="2" a="1"/>
  <c r="H814" i="2" a="1"/>
  <c r="G814" i="2" a="1"/>
  <c r="F814" i="2" a="1"/>
  <c r="E814" i="2" a="1"/>
  <c r="D814" i="2" a="1"/>
  <c r="C814" i="2" a="1"/>
  <c r="B813" i="2" a="1"/>
  <c r="K815" i="2" l="1"/>
  <c r="L814" i="2"/>
  <c r="J814" i="2"/>
  <c r="I814" i="2"/>
  <c r="H814" i="2"/>
  <c r="G814" i="2"/>
  <c r="F814" i="2"/>
  <c r="E814" i="2"/>
  <c r="D814" i="2"/>
  <c r="C814" i="2"/>
  <c r="B813" i="2"/>
  <c r="A815" i="2"/>
  <c r="K816" i="2" a="1"/>
  <c r="L815" i="2" a="1"/>
  <c r="J815" i="2" a="1"/>
  <c r="I815" i="2" a="1"/>
  <c r="H815" i="2" a="1"/>
  <c r="G815" i="2" a="1"/>
  <c r="F815" i="2" a="1"/>
  <c r="E815" i="2" a="1"/>
  <c r="D815" i="2" a="1"/>
  <c r="C815" i="2" a="1"/>
  <c r="B814" i="2" a="1"/>
  <c r="K816" i="2" l="1"/>
  <c r="L815" i="2"/>
  <c r="J815" i="2"/>
  <c r="I815" i="2"/>
  <c r="H815" i="2"/>
  <c r="G815" i="2"/>
  <c r="F815" i="2"/>
  <c r="E815" i="2"/>
  <c r="D815" i="2"/>
  <c r="C815" i="2"/>
  <c r="B814" i="2"/>
  <c r="A816" i="2"/>
  <c r="K817" i="2" a="1"/>
  <c r="L816" i="2" a="1"/>
  <c r="J816" i="2" a="1"/>
  <c r="I816" i="2" a="1"/>
  <c r="H816" i="2" a="1"/>
  <c r="G816" i="2" a="1"/>
  <c r="F816" i="2" a="1"/>
  <c r="E816" i="2" a="1"/>
  <c r="D816" i="2" a="1"/>
  <c r="C816" i="2" a="1"/>
  <c r="B815" i="2" a="1"/>
  <c r="K817" i="2" l="1"/>
  <c r="L816" i="2"/>
  <c r="J816" i="2"/>
  <c r="I816" i="2"/>
  <c r="H816" i="2"/>
  <c r="G816" i="2"/>
  <c r="F816" i="2"/>
  <c r="E816" i="2"/>
  <c r="D816" i="2"/>
  <c r="C816" i="2"/>
  <c r="B815" i="2"/>
  <c r="A817" i="2"/>
  <c r="K818" i="2" a="1"/>
  <c r="L817" i="2" a="1"/>
  <c r="J817" i="2" a="1"/>
  <c r="I817" i="2" a="1"/>
  <c r="H817" i="2" a="1"/>
  <c r="G817" i="2" a="1"/>
  <c r="F817" i="2" a="1"/>
  <c r="E817" i="2" a="1"/>
  <c r="D817" i="2" a="1"/>
  <c r="C817" i="2" a="1"/>
  <c r="B816" i="2" a="1"/>
  <c r="K818" i="2" l="1"/>
  <c r="L817" i="2"/>
  <c r="J817" i="2"/>
  <c r="I817" i="2"/>
  <c r="H817" i="2"/>
  <c r="G817" i="2"/>
  <c r="F817" i="2"/>
  <c r="E817" i="2"/>
  <c r="D817" i="2"/>
  <c r="C817" i="2"/>
  <c r="B816" i="2"/>
  <c r="A818" i="2"/>
  <c r="K819" i="2" a="1"/>
  <c r="L818" i="2" a="1"/>
  <c r="J818" i="2" a="1"/>
  <c r="I818" i="2" a="1"/>
  <c r="H818" i="2" a="1"/>
  <c r="G818" i="2" a="1"/>
  <c r="F818" i="2" a="1"/>
  <c r="E818" i="2" a="1"/>
  <c r="D818" i="2" a="1"/>
  <c r="C818" i="2" a="1"/>
  <c r="B817" i="2" a="1"/>
  <c r="K819" i="2" l="1"/>
  <c r="L818" i="2"/>
  <c r="J818" i="2"/>
  <c r="I818" i="2"/>
  <c r="H818" i="2"/>
  <c r="G818" i="2"/>
  <c r="F818" i="2"/>
  <c r="E818" i="2"/>
  <c r="D818" i="2"/>
  <c r="C818" i="2"/>
  <c r="B817" i="2"/>
  <c r="A819" i="2"/>
  <c r="K820" i="2" a="1"/>
  <c r="L819" i="2" a="1"/>
  <c r="J819" i="2" a="1"/>
  <c r="I819" i="2" a="1"/>
  <c r="H819" i="2" a="1"/>
  <c r="G819" i="2" a="1"/>
  <c r="F819" i="2" a="1"/>
  <c r="E819" i="2" a="1"/>
  <c r="D819" i="2" a="1"/>
  <c r="C819" i="2" a="1"/>
  <c r="B818" i="2" a="1"/>
  <c r="K820" i="2" l="1"/>
  <c r="L819" i="2"/>
  <c r="J819" i="2"/>
  <c r="I819" i="2"/>
  <c r="H819" i="2"/>
  <c r="G819" i="2"/>
  <c r="F819" i="2"/>
  <c r="E819" i="2"/>
  <c r="D819" i="2"/>
  <c r="C819" i="2"/>
  <c r="B818" i="2"/>
  <c r="A820" i="2"/>
  <c r="K821" i="2" a="1"/>
  <c r="L820" i="2" a="1"/>
  <c r="J820" i="2" a="1"/>
  <c r="I820" i="2" a="1"/>
  <c r="H820" i="2" a="1"/>
  <c r="G820" i="2" a="1"/>
  <c r="F820" i="2" a="1"/>
  <c r="E820" i="2" a="1"/>
  <c r="D820" i="2" a="1"/>
  <c r="C820" i="2" a="1"/>
  <c r="B819" i="2" a="1"/>
  <c r="K821" i="2" l="1"/>
  <c r="L820" i="2"/>
  <c r="J820" i="2"/>
  <c r="I820" i="2"/>
  <c r="H820" i="2"/>
  <c r="G820" i="2"/>
  <c r="F820" i="2"/>
  <c r="E820" i="2"/>
  <c r="D820" i="2"/>
  <c r="C820" i="2"/>
  <c r="B819" i="2"/>
  <c r="A821" i="2"/>
  <c r="K822" i="2" a="1"/>
  <c r="L821" i="2" a="1"/>
  <c r="J821" i="2" a="1"/>
  <c r="I821" i="2" a="1"/>
  <c r="H821" i="2" a="1"/>
  <c r="G821" i="2" a="1"/>
  <c r="F821" i="2" a="1"/>
  <c r="E821" i="2" a="1"/>
  <c r="D821" i="2" a="1"/>
  <c r="C821" i="2" a="1"/>
  <c r="B820" i="2" a="1"/>
  <c r="K822" i="2" l="1"/>
  <c r="L821" i="2"/>
  <c r="J821" i="2"/>
  <c r="I821" i="2"/>
  <c r="H821" i="2"/>
  <c r="G821" i="2"/>
  <c r="F821" i="2"/>
  <c r="E821" i="2"/>
  <c r="D821" i="2"/>
  <c r="C821" i="2"/>
  <c r="B820" i="2"/>
  <c r="A822" i="2"/>
  <c r="K823" i="2" a="1"/>
  <c r="L822" i="2" a="1"/>
  <c r="J822" i="2" a="1"/>
  <c r="I822" i="2" a="1"/>
  <c r="H822" i="2" a="1"/>
  <c r="G822" i="2" a="1"/>
  <c r="F822" i="2" a="1"/>
  <c r="E822" i="2" a="1"/>
  <c r="D822" i="2" a="1"/>
  <c r="C822" i="2" a="1"/>
  <c r="B821" i="2" a="1"/>
  <c r="K823" i="2" l="1"/>
  <c r="L822" i="2"/>
  <c r="J822" i="2"/>
  <c r="I822" i="2"/>
  <c r="H822" i="2"/>
  <c r="G822" i="2"/>
  <c r="F822" i="2"/>
  <c r="E822" i="2"/>
  <c r="D822" i="2"/>
  <c r="C822" i="2"/>
  <c r="B821" i="2"/>
  <c r="A823" i="2"/>
  <c r="K824" i="2" a="1"/>
  <c r="L823" i="2" a="1"/>
  <c r="J823" i="2" a="1"/>
  <c r="I823" i="2" a="1"/>
  <c r="H823" i="2" a="1"/>
  <c r="G823" i="2" a="1"/>
  <c r="F823" i="2" a="1"/>
  <c r="E823" i="2" a="1"/>
  <c r="D823" i="2" a="1"/>
  <c r="C823" i="2" a="1"/>
  <c r="B822" i="2" a="1"/>
  <c r="K824" i="2" l="1"/>
  <c r="L823" i="2"/>
  <c r="J823" i="2"/>
  <c r="I823" i="2"/>
  <c r="H823" i="2"/>
  <c r="G823" i="2"/>
  <c r="F823" i="2"/>
  <c r="E823" i="2"/>
  <c r="D823" i="2"/>
  <c r="C823" i="2"/>
  <c r="B822" i="2"/>
  <c r="A824" i="2"/>
  <c r="K825" i="2" a="1"/>
  <c r="L824" i="2" a="1"/>
  <c r="J824" i="2" a="1"/>
  <c r="I824" i="2" a="1"/>
  <c r="H824" i="2" a="1"/>
  <c r="G824" i="2" a="1"/>
  <c r="F824" i="2" a="1"/>
  <c r="E824" i="2" a="1"/>
  <c r="D824" i="2" a="1"/>
  <c r="C824" i="2" a="1"/>
  <c r="B823" i="2" a="1"/>
  <c r="K825" i="2" l="1"/>
  <c r="L824" i="2"/>
  <c r="J824" i="2"/>
  <c r="I824" i="2"/>
  <c r="H824" i="2"/>
  <c r="G824" i="2"/>
  <c r="F824" i="2"/>
  <c r="E824" i="2"/>
  <c r="D824" i="2"/>
  <c r="C824" i="2"/>
  <c r="B823" i="2"/>
  <c r="A825" i="2"/>
  <c r="K826" i="2" a="1"/>
  <c r="L825" i="2" a="1"/>
  <c r="J825" i="2" a="1"/>
  <c r="I825" i="2" a="1"/>
  <c r="H825" i="2" a="1"/>
  <c r="G825" i="2" a="1"/>
  <c r="F825" i="2" a="1"/>
  <c r="E825" i="2" a="1"/>
  <c r="D825" i="2" a="1"/>
  <c r="C825" i="2" a="1"/>
  <c r="B824" i="2" a="1"/>
  <c r="K826" i="2" l="1"/>
  <c r="L825" i="2"/>
  <c r="J825" i="2"/>
  <c r="I825" i="2"/>
  <c r="H825" i="2"/>
  <c r="G825" i="2"/>
  <c r="F825" i="2"/>
  <c r="E825" i="2"/>
  <c r="D825" i="2"/>
  <c r="C825" i="2"/>
  <c r="B824" i="2"/>
  <c r="A826" i="2"/>
  <c r="K827" i="2" a="1"/>
  <c r="L826" i="2" a="1"/>
  <c r="J826" i="2" a="1"/>
  <c r="I826" i="2" a="1"/>
  <c r="H826" i="2" a="1"/>
  <c r="G826" i="2" a="1"/>
  <c r="F826" i="2" a="1"/>
  <c r="E826" i="2" a="1"/>
  <c r="D826" i="2" a="1"/>
  <c r="C826" i="2" a="1"/>
  <c r="B825" i="2" a="1"/>
  <c r="K827" i="2" l="1"/>
  <c r="L826" i="2"/>
  <c r="J826" i="2"/>
  <c r="I826" i="2"/>
  <c r="H826" i="2"/>
  <c r="G826" i="2"/>
  <c r="F826" i="2"/>
  <c r="E826" i="2"/>
  <c r="D826" i="2"/>
  <c r="C826" i="2"/>
  <c r="B825" i="2"/>
  <c r="A827" i="2"/>
  <c r="K828" i="2" a="1"/>
  <c r="L827" i="2" a="1"/>
  <c r="J827" i="2" a="1"/>
  <c r="I827" i="2" a="1"/>
  <c r="H827" i="2" a="1"/>
  <c r="G827" i="2" a="1"/>
  <c r="F827" i="2" a="1"/>
  <c r="E827" i="2" a="1"/>
  <c r="D827" i="2" a="1"/>
  <c r="C827" i="2" a="1"/>
  <c r="B826" i="2" a="1"/>
  <c r="K828" i="2" l="1"/>
  <c r="L827" i="2"/>
  <c r="J827" i="2"/>
  <c r="I827" i="2"/>
  <c r="H827" i="2"/>
  <c r="G827" i="2"/>
  <c r="F827" i="2"/>
  <c r="E827" i="2"/>
  <c r="D827" i="2"/>
  <c r="C827" i="2"/>
  <c r="B826" i="2"/>
  <c r="A828" i="2"/>
  <c r="K829" i="2" a="1"/>
  <c r="L828" i="2" a="1"/>
  <c r="J828" i="2" a="1"/>
  <c r="I828" i="2" a="1"/>
  <c r="H828" i="2" a="1"/>
  <c r="G828" i="2" a="1"/>
  <c r="F828" i="2" a="1"/>
  <c r="E828" i="2" a="1"/>
  <c r="D828" i="2" a="1"/>
  <c r="C828" i="2" a="1"/>
  <c r="B827" i="2" a="1"/>
  <c r="K829" i="2" l="1"/>
  <c r="L828" i="2"/>
  <c r="J828" i="2"/>
  <c r="I828" i="2"/>
  <c r="H828" i="2"/>
  <c r="G828" i="2"/>
  <c r="F828" i="2"/>
  <c r="E828" i="2"/>
  <c r="D828" i="2"/>
  <c r="C828" i="2"/>
  <c r="B827" i="2"/>
  <c r="A829" i="2"/>
  <c r="K830" i="2" a="1"/>
  <c r="L829" i="2" a="1"/>
  <c r="J829" i="2" a="1"/>
  <c r="I829" i="2" a="1"/>
  <c r="H829" i="2" a="1"/>
  <c r="G829" i="2" a="1"/>
  <c r="F829" i="2" a="1"/>
  <c r="E829" i="2" a="1"/>
  <c r="D829" i="2" a="1"/>
  <c r="C829" i="2" a="1"/>
  <c r="B828" i="2" a="1"/>
  <c r="K830" i="2" l="1"/>
  <c r="L829" i="2"/>
  <c r="J829" i="2"/>
  <c r="I829" i="2"/>
  <c r="H829" i="2"/>
  <c r="G829" i="2"/>
  <c r="F829" i="2"/>
  <c r="E829" i="2"/>
  <c r="D829" i="2"/>
  <c r="C829" i="2"/>
  <c r="B828" i="2"/>
  <c r="A830" i="2"/>
  <c r="K831" i="2" a="1"/>
  <c r="L830" i="2" a="1"/>
  <c r="J830" i="2" a="1"/>
  <c r="I830" i="2" a="1"/>
  <c r="H830" i="2" a="1"/>
  <c r="G830" i="2" a="1"/>
  <c r="F830" i="2" a="1"/>
  <c r="E830" i="2" a="1"/>
  <c r="D830" i="2" a="1"/>
  <c r="C830" i="2" a="1"/>
  <c r="B829" i="2" a="1"/>
  <c r="K831" i="2" l="1"/>
  <c r="L830" i="2"/>
  <c r="J830" i="2"/>
  <c r="I830" i="2"/>
  <c r="H830" i="2"/>
  <c r="G830" i="2"/>
  <c r="F830" i="2"/>
  <c r="E830" i="2"/>
  <c r="D830" i="2"/>
  <c r="C830" i="2"/>
  <c r="B829" i="2"/>
  <c r="A831" i="2"/>
  <c r="K832" i="2" a="1"/>
  <c r="L831" i="2" a="1"/>
  <c r="J831" i="2" a="1"/>
  <c r="I831" i="2" a="1"/>
  <c r="H831" i="2" a="1"/>
  <c r="G831" i="2" a="1"/>
  <c r="F831" i="2" a="1"/>
  <c r="E831" i="2" a="1"/>
  <c r="D831" i="2" a="1"/>
  <c r="C831" i="2" a="1"/>
  <c r="B830" i="2" a="1"/>
  <c r="K832" i="2" l="1"/>
  <c r="L831" i="2"/>
  <c r="J831" i="2"/>
  <c r="I831" i="2"/>
  <c r="H831" i="2"/>
  <c r="G831" i="2"/>
  <c r="F831" i="2"/>
  <c r="E831" i="2"/>
  <c r="D831" i="2"/>
  <c r="C831" i="2"/>
  <c r="B830" i="2"/>
  <c r="A832" i="2"/>
  <c r="K833" i="2" a="1"/>
  <c r="L832" i="2" a="1"/>
  <c r="J832" i="2" a="1"/>
  <c r="I832" i="2" a="1"/>
  <c r="H832" i="2" a="1"/>
  <c r="G832" i="2" a="1"/>
  <c r="F832" i="2" a="1"/>
  <c r="E832" i="2" a="1"/>
  <c r="D832" i="2" a="1"/>
  <c r="C832" i="2" a="1"/>
  <c r="B831" i="2" a="1"/>
  <c r="K833" i="2" l="1"/>
  <c r="L832" i="2"/>
  <c r="J832" i="2"/>
  <c r="I832" i="2"/>
  <c r="H832" i="2"/>
  <c r="G832" i="2"/>
  <c r="F832" i="2"/>
  <c r="E832" i="2"/>
  <c r="D832" i="2"/>
  <c r="C832" i="2"/>
  <c r="B831" i="2"/>
  <c r="A833" i="2"/>
  <c r="K834" i="2" a="1"/>
  <c r="L833" i="2" a="1"/>
  <c r="J833" i="2" a="1"/>
  <c r="I833" i="2" a="1"/>
  <c r="H833" i="2" a="1"/>
  <c r="G833" i="2" a="1"/>
  <c r="F833" i="2" a="1"/>
  <c r="E833" i="2" a="1"/>
  <c r="D833" i="2" a="1"/>
  <c r="C833" i="2" a="1"/>
  <c r="B832" i="2" a="1"/>
  <c r="K834" i="2" l="1"/>
  <c r="L833" i="2"/>
  <c r="J833" i="2"/>
  <c r="I833" i="2"/>
  <c r="H833" i="2"/>
  <c r="G833" i="2"/>
  <c r="F833" i="2"/>
  <c r="E833" i="2"/>
  <c r="D833" i="2"/>
  <c r="C833" i="2"/>
  <c r="B832" i="2"/>
  <c r="A834" i="2"/>
  <c r="K835" i="2" a="1"/>
  <c r="L834" i="2" a="1"/>
  <c r="J834" i="2" a="1"/>
  <c r="I834" i="2" a="1"/>
  <c r="H834" i="2" a="1"/>
  <c r="G834" i="2" a="1"/>
  <c r="F834" i="2" a="1"/>
  <c r="E834" i="2" a="1"/>
  <c r="D834" i="2" a="1"/>
  <c r="C834" i="2" a="1"/>
  <c r="B833" i="2" a="1"/>
  <c r="K835" i="2" l="1"/>
  <c r="L834" i="2"/>
  <c r="J834" i="2"/>
  <c r="I834" i="2"/>
  <c r="H834" i="2"/>
  <c r="G834" i="2"/>
  <c r="F834" i="2"/>
  <c r="E834" i="2"/>
  <c r="D834" i="2"/>
  <c r="C834" i="2"/>
  <c r="B833" i="2"/>
  <c r="A835" i="2"/>
  <c r="K836" i="2" a="1"/>
  <c r="L835" i="2" a="1"/>
  <c r="J835" i="2" a="1"/>
  <c r="I835" i="2" a="1"/>
  <c r="H835" i="2" a="1"/>
  <c r="G835" i="2" a="1"/>
  <c r="F835" i="2" a="1"/>
  <c r="E835" i="2" a="1"/>
  <c r="D835" i="2" a="1"/>
  <c r="C835" i="2" a="1"/>
  <c r="B834" i="2" a="1"/>
  <c r="K836" i="2" l="1"/>
  <c r="L835" i="2"/>
  <c r="J835" i="2"/>
  <c r="I835" i="2"/>
  <c r="H835" i="2"/>
  <c r="G835" i="2"/>
  <c r="F835" i="2"/>
  <c r="E835" i="2"/>
  <c r="D835" i="2"/>
  <c r="C835" i="2"/>
  <c r="B834" i="2"/>
  <c r="A836" i="2"/>
  <c r="K837" i="2" a="1"/>
  <c r="L836" i="2" a="1"/>
  <c r="J836" i="2" a="1"/>
  <c r="I836" i="2" a="1"/>
  <c r="H836" i="2" a="1"/>
  <c r="G836" i="2" a="1"/>
  <c r="F836" i="2" a="1"/>
  <c r="E836" i="2" a="1"/>
  <c r="D836" i="2" a="1"/>
  <c r="C836" i="2" a="1"/>
  <c r="B835" i="2" a="1"/>
  <c r="K837" i="2" l="1"/>
  <c r="L836" i="2"/>
  <c r="J836" i="2"/>
  <c r="I836" i="2"/>
  <c r="H836" i="2"/>
  <c r="G836" i="2"/>
  <c r="F836" i="2"/>
  <c r="E836" i="2"/>
  <c r="D836" i="2"/>
  <c r="C836" i="2"/>
  <c r="B835" i="2"/>
  <c r="A837" i="2"/>
  <c r="K838" i="2" a="1"/>
  <c r="L837" i="2" a="1"/>
  <c r="J837" i="2" a="1"/>
  <c r="I837" i="2" a="1"/>
  <c r="H837" i="2" a="1"/>
  <c r="G837" i="2" a="1"/>
  <c r="F837" i="2" a="1"/>
  <c r="E837" i="2" a="1"/>
  <c r="D837" i="2" a="1"/>
  <c r="C837" i="2" a="1"/>
  <c r="B836" i="2" a="1"/>
  <c r="K838" i="2" l="1"/>
  <c r="L837" i="2"/>
  <c r="J837" i="2"/>
  <c r="I837" i="2"/>
  <c r="H837" i="2"/>
  <c r="G837" i="2"/>
  <c r="F837" i="2"/>
  <c r="E837" i="2"/>
  <c r="D837" i="2"/>
  <c r="C837" i="2"/>
  <c r="B836" i="2"/>
  <c r="A838" i="2"/>
  <c r="K839" i="2" a="1"/>
  <c r="L838" i="2" a="1"/>
  <c r="J838" i="2" a="1"/>
  <c r="I838" i="2" a="1"/>
  <c r="H838" i="2" a="1"/>
  <c r="G838" i="2" a="1"/>
  <c r="F838" i="2" a="1"/>
  <c r="E838" i="2" a="1"/>
  <c r="D838" i="2" a="1"/>
  <c r="C838" i="2" a="1"/>
  <c r="B837" i="2" a="1"/>
  <c r="K839" i="2" l="1"/>
  <c r="L838" i="2"/>
  <c r="J838" i="2"/>
  <c r="I838" i="2"/>
  <c r="H838" i="2"/>
  <c r="G838" i="2"/>
  <c r="F838" i="2"/>
  <c r="E838" i="2"/>
  <c r="D838" i="2"/>
  <c r="C838" i="2"/>
  <c r="B837" i="2"/>
  <c r="A839" i="2"/>
  <c r="K840" i="2" a="1"/>
  <c r="L839" i="2" a="1"/>
  <c r="J839" i="2" a="1"/>
  <c r="I839" i="2" a="1"/>
  <c r="H839" i="2" a="1"/>
  <c r="G839" i="2" a="1"/>
  <c r="F839" i="2" a="1"/>
  <c r="E839" i="2" a="1"/>
  <c r="D839" i="2" a="1"/>
  <c r="C839" i="2" a="1"/>
  <c r="B838" i="2" a="1"/>
  <c r="K840" i="2" l="1"/>
  <c r="L839" i="2"/>
  <c r="J839" i="2"/>
  <c r="I839" i="2"/>
  <c r="H839" i="2"/>
  <c r="G839" i="2"/>
  <c r="F839" i="2"/>
  <c r="E839" i="2"/>
  <c r="D839" i="2"/>
  <c r="C839" i="2"/>
  <c r="B838" i="2"/>
  <c r="A840" i="2"/>
  <c r="K841" i="2" a="1"/>
  <c r="L840" i="2" a="1"/>
  <c r="J840" i="2" a="1"/>
  <c r="I840" i="2" a="1"/>
  <c r="H840" i="2" a="1"/>
  <c r="G840" i="2" a="1"/>
  <c r="F840" i="2" a="1"/>
  <c r="E840" i="2" a="1"/>
  <c r="D840" i="2" a="1"/>
  <c r="C840" i="2" a="1"/>
  <c r="B839" i="2" a="1"/>
  <c r="K841" i="2" l="1"/>
  <c r="L840" i="2"/>
  <c r="J840" i="2"/>
  <c r="I840" i="2"/>
  <c r="H840" i="2"/>
  <c r="G840" i="2"/>
  <c r="F840" i="2"/>
  <c r="E840" i="2"/>
  <c r="D840" i="2"/>
  <c r="C840" i="2"/>
  <c r="B839" i="2"/>
  <c r="A841" i="2"/>
  <c r="K842" i="2" a="1"/>
  <c r="L841" i="2" a="1"/>
  <c r="J841" i="2" a="1"/>
  <c r="I841" i="2" a="1"/>
  <c r="H841" i="2" a="1"/>
  <c r="G841" i="2" a="1"/>
  <c r="F841" i="2" a="1"/>
  <c r="E841" i="2" a="1"/>
  <c r="D841" i="2" a="1"/>
  <c r="C841" i="2" a="1"/>
  <c r="B840" i="2" a="1"/>
  <c r="K842" i="2" l="1"/>
  <c r="L841" i="2"/>
  <c r="J841" i="2"/>
  <c r="I841" i="2"/>
  <c r="H841" i="2"/>
  <c r="G841" i="2"/>
  <c r="F841" i="2"/>
  <c r="E841" i="2"/>
  <c r="D841" i="2"/>
  <c r="C841" i="2"/>
  <c r="B840" i="2"/>
  <c r="A842" i="2"/>
  <c r="K843" i="2" a="1"/>
  <c r="L842" i="2" a="1"/>
  <c r="J842" i="2" a="1"/>
  <c r="I842" i="2" a="1"/>
  <c r="H842" i="2" a="1"/>
  <c r="G842" i="2" a="1"/>
  <c r="F842" i="2" a="1"/>
  <c r="E842" i="2" a="1"/>
  <c r="D842" i="2" a="1"/>
  <c r="C842" i="2" a="1"/>
  <c r="B841" i="2" a="1"/>
  <c r="K843" i="2" l="1"/>
  <c r="L842" i="2"/>
  <c r="J842" i="2"/>
  <c r="I842" i="2"/>
  <c r="H842" i="2"/>
  <c r="G842" i="2"/>
  <c r="F842" i="2"/>
  <c r="E842" i="2"/>
  <c r="D842" i="2"/>
  <c r="C842" i="2"/>
  <c r="B841" i="2"/>
  <c r="A843" i="2"/>
  <c r="K844" i="2" a="1"/>
  <c r="L843" i="2" a="1"/>
  <c r="J843" i="2" a="1"/>
  <c r="I843" i="2" a="1"/>
  <c r="H843" i="2" a="1"/>
  <c r="G843" i="2" a="1"/>
  <c r="F843" i="2" a="1"/>
  <c r="E843" i="2" a="1"/>
  <c r="D843" i="2" a="1"/>
  <c r="C843" i="2" a="1"/>
  <c r="B842" i="2" a="1"/>
  <c r="K844" i="2" l="1"/>
  <c r="L843" i="2"/>
  <c r="J843" i="2"/>
  <c r="I843" i="2"/>
  <c r="H843" i="2"/>
  <c r="G843" i="2"/>
  <c r="F843" i="2"/>
  <c r="E843" i="2"/>
  <c r="D843" i="2"/>
  <c r="C843" i="2"/>
  <c r="B842" i="2"/>
  <c r="A844" i="2"/>
  <c r="K845" i="2" a="1"/>
  <c r="L844" i="2" a="1"/>
  <c r="J844" i="2" a="1"/>
  <c r="I844" i="2" a="1"/>
  <c r="H844" i="2" a="1"/>
  <c r="G844" i="2" a="1"/>
  <c r="F844" i="2" a="1"/>
  <c r="E844" i="2" a="1"/>
  <c r="D844" i="2" a="1"/>
  <c r="C844" i="2" a="1"/>
  <c r="B843" i="2" a="1"/>
  <c r="K845" i="2" l="1"/>
  <c r="L844" i="2"/>
  <c r="J844" i="2"/>
  <c r="I844" i="2"/>
  <c r="H844" i="2"/>
  <c r="G844" i="2"/>
  <c r="F844" i="2"/>
  <c r="E844" i="2"/>
  <c r="D844" i="2"/>
  <c r="C844" i="2"/>
  <c r="B843" i="2"/>
  <c r="A845" i="2"/>
  <c r="K846" i="2" a="1"/>
  <c r="L845" i="2" a="1"/>
  <c r="J845" i="2" a="1"/>
  <c r="I845" i="2" a="1"/>
  <c r="H845" i="2" a="1"/>
  <c r="G845" i="2" a="1"/>
  <c r="F845" i="2" a="1"/>
  <c r="E845" i="2" a="1"/>
  <c r="D845" i="2" a="1"/>
  <c r="C845" i="2" a="1"/>
  <c r="B844" i="2" a="1"/>
  <c r="K846" i="2" l="1"/>
  <c r="L845" i="2"/>
  <c r="J845" i="2"/>
  <c r="I845" i="2"/>
  <c r="H845" i="2"/>
  <c r="G845" i="2"/>
  <c r="F845" i="2"/>
  <c r="E845" i="2"/>
  <c r="D845" i="2"/>
  <c r="C845" i="2"/>
  <c r="B844" i="2"/>
  <c r="A846" i="2"/>
  <c r="K847" i="2" a="1"/>
  <c r="L846" i="2" a="1"/>
  <c r="J846" i="2" a="1"/>
  <c r="I846" i="2" a="1"/>
  <c r="H846" i="2" a="1"/>
  <c r="G846" i="2" a="1"/>
  <c r="F846" i="2" a="1"/>
  <c r="E846" i="2" a="1"/>
  <c r="D846" i="2" a="1"/>
  <c r="C846" i="2" a="1"/>
  <c r="B845" i="2" a="1"/>
  <c r="K847" i="2" l="1"/>
  <c r="L846" i="2"/>
  <c r="J846" i="2"/>
  <c r="I846" i="2"/>
  <c r="H846" i="2"/>
  <c r="G846" i="2"/>
  <c r="F846" i="2"/>
  <c r="E846" i="2"/>
  <c r="D846" i="2"/>
  <c r="C846" i="2"/>
  <c r="B845" i="2"/>
  <c r="A847" i="2"/>
  <c r="K848" i="2" a="1"/>
  <c r="L847" i="2" a="1"/>
  <c r="J847" i="2" a="1"/>
  <c r="I847" i="2" a="1"/>
  <c r="H847" i="2" a="1"/>
  <c r="G847" i="2" a="1"/>
  <c r="F847" i="2" a="1"/>
  <c r="E847" i="2" a="1"/>
  <c r="D847" i="2" a="1"/>
  <c r="C847" i="2" a="1"/>
  <c r="B846" i="2" a="1"/>
  <c r="K848" i="2" l="1"/>
  <c r="L847" i="2"/>
  <c r="J847" i="2"/>
  <c r="I847" i="2"/>
  <c r="H847" i="2"/>
  <c r="G847" i="2"/>
  <c r="F847" i="2"/>
  <c r="E847" i="2"/>
  <c r="D847" i="2"/>
  <c r="C847" i="2"/>
  <c r="B846" i="2"/>
  <c r="A848" i="2"/>
  <c r="K849" i="2" a="1"/>
  <c r="L848" i="2" a="1"/>
  <c r="J848" i="2" a="1"/>
  <c r="I848" i="2" a="1"/>
  <c r="H848" i="2" a="1"/>
  <c r="G848" i="2" a="1"/>
  <c r="F848" i="2" a="1"/>
  <c r="E848" i="2" a="1"/>
  <c r="D848" i="2" a="1"/>
  <c r="C848" i="2" a="1"/>
  <c r="B847" i="2" a="1"/>
  <c r="K849" i="2" l="1"/>
  <c r="L848" i="2"/>
  <c r="J848" i="2"/>
  <c r="I848" i="2"/>
  <c r="H848" i="2"/>
  <c r="G848" i="2"/>
  <c r="F848" i="2"/>
  <c r="E848" i="2"/>
  <c r="D848" i="2"/>
  <c r="C848" i="2"/>
  <c r="B847" i="2"/>
  <c r="A849" i="2"/>
  <c r="K850" i="2" a="1"/>
  <c r="L849" i="2" a="1"/>
  <c r="J849" i="2" a="1"/>
  <c r="I849" i="2" a="1"/>
  <c r="H849" i="2" a="1"/>
  <c r="G849" i="2" a="1"/>
  <c r="F849" i="2" a="1"/>
  <c r="E849" i="2" a="1"/>
  <c r="D849" i="2" a="1"/>
  <c r="C849" i="2" a="1"/>
  <c r="B848" i="2" a="1"/>
  <c r="K850" i="2" l="1"/>
  <c r="L849" i="2"/>
  <c r="J849" i="2"/>
  <c r="I849" i="2"/>
  <c r="H849" i="2"/>
  <c r="G849" i="2"/>
  <c r="F849" i="2"/>
  <c r="E849" i="2"/>
  <c r="D849" i="2"/>
  <c r="C849" i="2"/>
  <c r="B848" i="2"/>
  <c r="A850" i="2"/>
  <c r="K851" i="2" a="1"/>
  <c r="L850" i="2" a="1"/>
  <c r="J850" i="2" a="1"/>
  <c r="I850" i="2" a="1"/>
  <c r="H850" i="2" a="1"/>
  <c r="G850" i="2" a="1"/>
  <c r="F850" i="2" a="1"/>
  <c r="E850" i="2" a="1"/>
  <c r="D850" i="2" a="1"/>
  <c r="C850" i="2" a="1"/>
  <c r="B849" i="2" a="1"/>
  <c r="K851" i="2" l="1"/>
  <c r="L850" i="2"/>
  <c r="J850" i="2"/>
  <c r="I850" i="2"/>
  <c r="H850" i="2"/>
  <c r="G850" i="2"/>
  <c r="F850" i="2"/>
  <c r="E850" i="2"/>
  <c r="D850" i="2"/>
  <c r="C850" i="2"/>
  <c r="B849" i="2"/>
  <c r="A851" i="2"/>
  <c r="K852" i="2" a="1"/>
  <c r="L851" i="2" a="1"/>
  <c r="J851" i="2" a="1"/>
  <c r="I851" i="2" a="1"/>
  <c r="H851" i="2" a="1"/>
  <c r="G851" i="2" a="1"/>
  <c r="F851" i="2" a="1"/>
  <c r="E851" i="2" a="1"/>
  <c r="D851" i="2" a="1"/>
  <c r="C851" i="2" a="1"/>
  <c r="B850" i="2" a="1"/>
  <c r="K852" i="2" l="1"/>
  <c r="L851" i="2"/>
  <c r="J851" i="2"/>
  <c r="I851" i="2"/>
  <c r="H851" i="2"/>
  <c r="G851" i="2"/>
  <c r="F851" i="2"/>
  <c r="E851" i="2"/>
  <c r="D851" i="2"/>
  <c r="C851" i="2"/>
  <c r="B850" i="2"/>
  <c r="A852" i="2"/>
  <c r="K853" i="2" a="1"/>
  <c r="L852" i="2" a="1"/>
  <c r="J852" i="2" a="1"/>
  <c r="I852" i="2" a="1"/>
  <c r="H852" i="2" a="1"/>
  <c r="G852" i="2" a="1"/>
  <c r="F852" i="2" a="1"/>
  <c r="E852" i="2" a="1"/>
  <c r="D852" i="2" a="1"/>
  <c r="C852" i="2" a="1"/>
  <c r="B851" i="2" a="1"/>
  <c r="K853" i="2" l="1"/>
  <c r="L852" i="2"/>
  <c r="J852" i="2"/>
  <c r="I852" i="2"/>
  <c r="H852" i="2"/>
  <c r="G852" i="2"/>
  <c r="F852" i="2"/>
  <c r="E852" i="2"/>
  <c r="D852" i="2"/>
  <c r="C852" i="2"/>
  <c r="B851" i="2"/>
  <c r="A853" i="2"/>
  <c r="K854" i="2" a="1"/>
  <c r="L853" i="2" a="1"/>
  <c r="J853" i="2" a="1"/>
  <c r="I853" i="2" a="1"/>
  <c r="H853" i="2" a="1"/>
  <c r="G853" i="2" a="1"/>
  <c r="F853" i="2" a="1"/>
  <c r="E853" i="2" a="1"/>
  <c r="D853" i="2" a="1"/>
  <c r="C853" i="2" a="1"/>
  <c r="B852" i="2" a="1"/>
  <c r="K854" i="2" l="1"/>
  <c r="L853" i="2"/>
  <c r="J853" i="2"/>
  <c r="I853" i="2"/>
  <c r="H853" i="2"/>
  <c r="G853" i="2"/>
  <c r="F853" i="2"/>
  <c r="E853" i="2"/>
  <c r="D853" i="2"/>
  <c r="C853" i="2"/>
  <c r="B852" i="2"/>
  <c r="A854" i="2"/>
  <c r="K855" i="2" a="1"/>
  <c r="L854" i="2" a="1"/>
  <c r="J854" i="2" a="1"/>
  <c r="I854" i="2" a="1"/>
  <c r="H854" i="2" a="1"/>
  <c r="G854" i="2" a="1"/>
  <c r="F854" i="2" a="1"/>
  <c r="E854" i="2" a="1"/>
  <c r="D854" i="2" a="1"/>
  <c r="C854" i="2" a="1"/>
  <c r="B853" i="2" a="1"/>
  <c r="K855" i="2" l="1"/>
  <c r="L854" i="2"/>
  <c r="J854" i="2"/>
  <c r="I854" i="2"/>
  <c r="H854" i="2"/>
  <c r="G854" i="2"/>
  <c r="F854" i="2"/>
  <c r="E854" i="2"/>
  <c r="D854" i="2"/>
  <c r="C854" i="2"/>
  <c r="B853" i="2"/>
  <c r="A855" i="2"/>
  <c r="K856" i="2" a="1"/>
  <c r="L855" i="2" a="1"/>
  <c r="J855" i="2" a="1"/>
  <c r="I855" i="2" a="1"/>
  <c r="H855" i="2" a="1"/>
  <c r="G855" i="2" a="1"/>
  <c r="F855" i="2" a="1"/>
  <c r="E855" i="2" a="1"/>
  <c r="D855" i="2" a="1"/>
  <c r="C855" i="2" a="1"/>
  <c r="B854" i="2" a="1"/>
  <c r="K856" i="2" l="1"/>
  <c r="L855" i="2"/>
  <c r="J855" i="2"/>
  <c r="I855" i="2"/>
  <c r="H855" i="2"/>
  <c r="G855" i="2"/>
  <c r="F855" i="2"/>
  <c r="E855" i="2"/>
  <c r="D855" i="2"/>
  <c r="C855" i="2"/>
  <c r="B854" i="2"/>
  <c r="A856" i="2"/>
  <c r="K857" i="2" a="1"/>
  <c r="L856" i="2" a="1"/>
  <c r="J856" i="2" a="1"/>
  <c r="I856" i="2" a="1"/>
  <c r="H856" i="2" a="1"/>
  <c r="G856" i="2" a="1"/>
  <c r="F856" i="2" a="1"/>
  <c r="E856" i="2" a="1"/>
  <c r="D856" i="2" a="1"/>
  <c r="C856" i="2" a="1"/>
  <c r="B855" i="2" a="1"/>
  <c r="K857" i="2" l="1"/>
  <c r="L856" i="2"/>
  <c r="J856" i="2"/>
  <c r="I856" i="2"/>
  <c r="H856" i="2"/>
  <c r="G856" i="2"/>
  <c r="F856" i="2"/>
  <c r="E856" i="2"/>
  <c r="D856" i="2"/>
  <c r="C856" i="2"/>
  <c r="B855" i="2"/>
  <c r="A857" i="2"/>
  <c r="K858" i="2" a="1"/>
  <c r="L857" i="2" a="1"/>
  <c r="J857" i="2" a="1"/>
  <c r="I857" i="2" a="1"/>
  <c r="H857" i="2" a="1"/>
  <c r="G857" i="2" a="1"/>
  <c r="F857" i="2" a="1"/>
  <c r="E857" i="2" a="1"/>
  <c r="D857" i="2" a="1"/>
  <c r="C857" i="2" a="1"/>
  <c r="B856" i="2" a="1"/>
  <c r="K858" i="2" l="1"/>
  <c r="L857" i="2"/>
  <c r="J857" i="2"/>
  <c r="I857" i="2"/>
  <c r="H857" i="2"/>
  <c r="G857" i="2"/>
  <c r="F857" i="2"/>
  <c r="E857" i="2"/>
  <c r="D857" i="2"/>
  <c r="C857" i="2"/>
  <c r="B856" i="2"/>
  <c r="A858" i="2"/>
  <c r="K859" i="2" a="1"/>
  <c r="L858" i="2" a="1"/>
  <c r="J858" i="2" a="1"/>
  <c r="I858" i="2" a="1"/>
  <c r="H858" i="2" a="1"/>
  <c r="G858" i="2" a="1"/>
  <c r="F858" i="2" a="1"/>
  <c r="E858" i="2" a="1"/>
  <c r="D858" i="2" a="1"/>
  <c r="C858" i="2" a="1"/>
  <c r="B857" i="2" a="1"/>
  <c r="K859" i="2" l="1"/>
  <c r="L858" i="2"/>
  <c r="J858" i="2"/>
  <c r="I858" i="2"/>
  <c r="H858" i="2"/>
  <c r="G858" i="2"/>
  <c r="F858" i="2"/>
  <c r="E858" i="2"/>
  <c r="D858" i="2"/>
  <c r="C858" i="2"/>
  <c r="B857" i="2"/>
  <c r="A859" i="2"/>
  <c r="K860" i="2" a="1"/>
  <c r="L859" i="2" a="1"/>
  <c r="J859" i="2" a="1"/>
  <c r="I859" i="2" a="1"/>
  <c r="H859" i="2" a="1"/>
  <c r="G859" i="2" a="1"/>
  <c r="F859" i="2" a="1"/>
  <c r="E859" i="2" a="1"/>
  <c r="D859" i="2" a="1"/>
  <c r="C859" i="2" a="1"/>
  <c r="B858" i="2" a="1"/>
  <c r="K860" i="2" l="1"/>
  <c r="L859" i="2"/>
  <c r="J859" i="2"/>
  <c r="I859" i="2"/>
  <c r="H859" i="2"/>
  <c r="G859" i="2"/>
  <c r="F859" i="2"/>
  <c r="E859" i="2"/>
  <c r="D859" i="2"/>
  <c r="C859" i="2"/>
  <c r="B858" i="2"/>
  <c r="A860" i="2"/>
  <c r="K861" i="2" a="1"/>
  <c r="L860" i="2" a="1"/>
  <c r="J860" i="2" a="1"/>
  <c r="I860" i="2" a="1"/>
  <c r="H860" i="2" a="1"/>
  <c r="G860" i="2" a="1"/>
  <c r="F860" i="2" a="1"/>
  <c r="E860" i="2" a="1"/>
  <c r="D860" i="2" a="1"/>
  <c r="C860" i="2" a="1"/>
  <c r="B859" i="2" a="1"/>
  <c r="K861" i="2" l="1"/>
  <c r="L860" i="2"/>
  <c r="J860" i="2"/>
  <c r="I860" i="2"/>
  <c r="H860" i="2"/>
  <c r="G860" i="2"/>
  <c r="F860" i="2"/>
  <c r="E860" i="2"/>
  <c r="D860" i="2"/>
  <c r="C860" i="2"/>
  <c r="B859" i="2"/>
  <c r="A861" i="2"/>
  <c r="K862" i="2" a="1"/>
  <c r="L861" i="2" a="1"/>
  <c r="J861" i="2" a="1"/>
  <c r="I861" i="2" a="1"/>
  <c r="H861" i="2" a="1"/>
  <c r="G861" i="2" a="1"/>
  <c r="F861" i="2" a="1"/>
  <c r="E861" i="2" a="1"/>
  <c r="D861" i="2" a="1"/>
  <c r="C861" i="2" a="1"/>
  <c r="B860" i="2" a="1"/>
  <c r="K862" i="2" l="1"/>
  <c r="L861" i="2"/>
  <c r="J861" i="2"/>
  <c r="I861" i="2"/>
  <c r="H861" i="2"/>
  <c r="G861" i="2"/>
  <c r="F861" i="2"/>
  <c r="E861" i="2"/>
  <c r="D861" i="2"/>
  <c r="C861" i="2"/>
  <c r="B860" i="2"/>
  <c r="A862" i="2"/>
  <c r="K863" i="2" a="1"/>
  <c r="L862" i="2" a="1"/>
  <c r="J862" i="2" a="1"/>
  <c r="I862" i="2" a="1"/>
  <c r="H862" i="2" a="1"/>
  <c r="G862" i="2" a="1"/>
  <c r="F862" i="2" a="1"/>
  <c r="E862" i="2" a="1"/>
  <c r="D862" i="2" a="1"/>
  <c r="C862" i="2" a="1"/>
  <c r="B861" i="2" a="1"/>
  <c r="K863" i="2" l="1"/>
  <c r="L862" i="2"/>
  <c r="J862" i="2"/>
  <c r="I862" i="2"/>
  <c r="H862" i="2"/>
  <c r="G862" i="2"/>
  <c r="F862" i="2"/>
  <c r="E862" i="2"/>
  <c r="D862" i="2"/>
  <c r="C862" i="2"/>
  <c r="B861" i="2"/>
  <c r="A863" i="2"/>
  <c r="K864" i="2" a="1"/>
  <c r="L863" i="2" a="1"/>
  <c r="J863" i="2" a="1"/>
  <c r="I863" i="2" a="1"/>
  <c r="H863" i="2" a="1"/>
  <c r="G863" i="2" a="1"/>
  <c r="F863" i="2" a="1"/>
  <c r="E863" i="2" a="1"/>
  <c r="D863" i="2" a="1"/>
  <c r="C863" i="2" a="1"/>
  <c r="B862" i="2" a="1"/>
  <c r="K864" i="2" l="1"/>
  <c r="L863" i="2"/>
  <c r="J863" i="2"/>
  <c r="I863" i="2"/>
  <c r="H863" i="2"/>
  <c r="G863" i="2"/>
  <c r="F863" i="2"/>
  <c r="E863" i="2"/>
  <c r="D863" i="2"/>
  <c r="C863" i="2"/>
  <c r="B862" i="2"/>
  <c r="A864" i="2"/>
  <c r="K865" i="2" a="1"/>
  <c r="L864" i="2" a="1"/>
  <c r="J864" i="2" a="1"/>
  <c r="I864" i="2" a="1"/>
  <c r="H864" i="2" a="1"/>
  <c r="G864" i="2" a="1"/>
  <c r="F864" i="2" a="1"/>
  <c r="E864" i="2" a="1"/>
  <c r="D864" i="2" a="1"/>
  <c r="C864" i="2" a="1"/>
  <c r="B863" i="2" a="1"/>
  <c r="K865" i="2" l="1"/>
  <c r="L864" i="2"/>
  <c r="J864" i="2"/>
  <c r="I864" i="2"/>
  <c r="H864" i="2"/>
  <c r="G864" i="2"/>
  <c r="F864" i="2"/>
  <c r="E864" i="2"/>
  <c r="D864" i="2"/>
  <c r="C864" i="2"/>
  <c r="B863" i="2"/>
  <c r="A865" i="2"/>
  <c r="K866" i="2" a="1"/>
  <c r="L865" i="2" a="1"/>
  <c r="J865" i="2" a="1"/>
  <c r="I865" i="2" a="1"/>
  <c r="H865" i="2" a="1"/>
  <c r="G865" i="2" a="1"/>
  <c r="F865" i="2" a="1"/>
  <c r="E865" i="2" a="1"/>
  <c r="D865" i="2" a="1"/>
  <c r="C865" i="2" a="1"/>
  <c r="B864" i="2" a="1"/>
  <c r="K866" i="2" l="1"/>
  <c r="L865" i="2"/>
  <c r="J865" i="2"/>
  <c r="I865" i="2"/>
  <c r="H865" i="2"/>
  <c r="G865" i="2"/>
  <c r="F865" i="2"/>
  <c r="E865" i="2"/>
  <c r="D865" i="2"/>
  <c r="C865" i="2"/>
  <c r="B864" i="2"/>
  <c r="A866" i="2"/>
  <c r="K867" i="2" a="1"/>
  <c r="L866" i="2" a="1"/>
  <c r="J866" i="2" a="1"/>
  <c r="I866" i="2" a="1"/>
  <c r="H866" i="2" a="1"/>
  <c r="G866" i="2" a="1"/>
  <c r="F866" i="2" a="1"/>
  <c r="E866" i="2" a="1"/>
  <c r="D866" i="2" a="1"/>
  <c r="C866" i="2" a="1"/>
  <c r="B865" i="2" a="1"/>
  <c r="K867" i="2" l="1"/>
  <c r="L866" i="2"/>
  <c r="J866" i="2"/>
  <c r="I866" i="2"/>
  <c r="H866" i="2"/>
  <c r="G866" i="2"/>
  <c r="F866" i="2"/>
  <c r="E866" i="2"/>
  <c r="D866" i="2"/>
  <c r="C866" i="2"/>
  <c r="B865" i="2"/>
  <c r="A867" i="2"/>
  <c r="K868" i="2" a="1"/>
  <c r="L867" i="2" a="1"/>
  <c r="J867" i="2" a="1"/>
  <c r="I867" i="2" a="1"/>
  <c r="H867" i="2" a="1"/>
  <c r="G867" i="2" a="1"/>
  <c r="F867" i="2" a="1"/>
  <c r="E867" i="2" a="1"/>
  <c r="D867" i="2" a="1"/>
  <c r="C867" i="2" a="1"/>
  <c r="B866" i="2" a="1"/>
  <c r="K868" i="2" l="1"/>
  <c r="L867" i="2"/>
  <c r="J867" i="2"/>
  <c r="I867" i="2"/>
  <c r="H867" i="2"/>
  <c r="G867" i="2"/>
  <c r="F867" i="2"/>
  <c r="E867" i="2"/>
  <c r="D867" i="2"/>
  <c r="C867" i="2"/>
  <c r="B866" i="2"/>
  <c r="A868" i="2"/>
  <c r="K869" i="2" a="1"/>
  <c r="L868" i="2" a="1"/>
  <c r="J868" i="2" a="1"/>
  <c r="I868" i="2" a="1"/>
  <c r="H868" i="2" a="1"/>
  <c r="G868" i="2" a="1"/>
  <c r="F868" i="2" a="1"/>
  <c r="E868" i="2" a="1"/>
  <c r="D868" i="2" a="1"/>
  <c r="C868" i="2" a="1"/>
  <c r="B867" i="2" a="1"/>
  <c r="K869" i="2" l="1"/>
  <c r="L868" i="2"/>
  <c r="J868" i="2"/>
  <c r="I868" i="2"/>
  <c r="H868" i="2"/>
  <c r="G868" i="2"/>
  <c r="F868" i="2"/>
  <c r="E868" i="2"/>
  <c r="D868" i="2"/>
  <c r="C868" i="2"/>
  <c r="B867" i="2"/>
  <c r="A869" i="2"/>
  <c r="K870" i="2" a="1"/>
  <c r="L869" i="2" a="1"/>
  <c r="J869" i="2" a="1"/>
  <c r="I869" i="2" a="1"/>
  <c r="H869" i="2" a="1"/>
  <c r="G869" i="2" a="1"/>
  <c r="F869" i="2" a="1"/>
  <c r="E869" i="2" a="1"/>
  <c r="D869" i="2" a="1"/>
  <c r="C869" i="2" a="1"/>
  <c r="B868" i="2" a="1"/>
  <c r="K870" i="2" l="1"/>
  <c r="L869" i="2"/>
  <c r="J869" i="2"/>
  <c r="I869" i="2"/>
  <c r="H869" i="2"/>
  <c r="G869" i="2"/>
  <c r="F869" i="2"/>
  <c r="E869" i="2"/>
  <c r="D869" i="2"/>
  <c r="C869" i="2"/>
  <c r="B868" i="2"/>
  <c r="A870" i="2"/>
  <c r="K871" i="2" a="1"/>
  <c r="L870" i="2" a="1"/>
  <c r="J870" i="2" a="1"/>
  <c r="I870" i="2" a="1"/>
  <c r="H870" i="2" a="1"/>
  <c r="G870" i="2" a="1"/>
  <c r="F870" i="2" a="1"/>
  <c r="E870" i="2" a="1"/>
  <c r="D870" i="2" a="1"/>
  <c r="C870" i="2" a="1"/>
  <c r="B869" i="2" a="1"/>
  <c r="K871" i="2" l="1"/>
  <c r="L870" i="2"/>
  <c r="J870" i="2"/>
  <c r="I870" i="2"/>
  <c r="H870" i="2"/>
  <c r="G870" i="2"/>
  <c r="F870" i="2"/>
  <c r="E870" i="2"/>
  <c r="D870" i="2"/>
  <c r="C870" i="2"/>
  <c r="B869" i="2"/>
  <c r="A871" i="2"/>
  <c r="K872" i="2" a="1"/>
  <c r="L871" i="2" a="1"/>
  <c r="J871" i="2" a="1"/>
  <c r="I871" i="2" a="1"/>
  <c r="H871" i="2" a="1"/>
  <c r="G871" i="2" a="1"/>
  <c r="F871" i="2" a="1"/>
  <c r="E871" i="2" a="1"/>
  <c r="D871" i="2" a="1"/>
  <c r="C871" i="2" a="1"/>
  <c r="B870" i="2" a="1"/>
  <c r="K872" i="2" l="1"/>
  <c r="L871" i="2"/>
  <c r="J871" i="2"/>
  <c r="I871" i="2"/>
  <c r="H871" i="2"/>
  <c r="G871" i="2"/>
  <c r="F871" i="2"/>
  <c r="E871" i="2"/>
  <c r="D871" i="2"/>
  <c r="C871" i="2"/>
  <c r="B870" i="2"/>
  <c r="A872" i="2"/>
  <c r="K873" i="2" a="1"/>
  <c r="L872" i="2" a="1"/>
  <c r="J872" i="2" a="1"/>
  <c r="I872" i="2" a="1"/>
  <c r="H872" i="2" a="1"/>
  <c r="G872" i="2" a="1"/>
  <c r="F872" i="2" a="1"/>
  <c r="E872" i="2" a="1"/>
  <c r="D872" i="2" a="1"/>
  <c r="C872" i="2" a="1"/>
  <c r="B871" i="2" a="1"/>
  <c r="K873" i="2" l="1"/>
  <c r="L872" i="2"/>
  <c r="J872" i="2"/>
  <c r="I872" i="2"/>
  <c r="H872" i="2"/>
  <c r="G872" i="2"/>
  <c r="F872" i="2"/>
  <c r="E872" i="2"/>
  <c r="D872" i="2"/>
  <c r="C872" i="2"/>
  <c r="B871" i="2"/>
  <c r="A873" i="2"/>
  <c r="K874" i="2" a="1"/>
  <c r="L873" i="2" a="1"/>
  <c r="J873" i="2" a="1"/>
  <c r="I873" i="2" a="1"/>
  <c r="H873" i="2" a="1"/>
  <c r="G873" i="2" a="1"/>
  <c r="F873" i="2" a="1"/>
  <c r="E873" i="2" a="1"/>
  <c r="D873" i="2" a="1"/>
  <c r="C873" i="2" a="1"/>
  <c r="B872" i="2" a="1"/>
  <c r="K874" i="2" l="1"/>
  <c r="L873" i="2"/>
  <c r="J873" i="2"/>
  <c r="I873" i="2"/>
  <c r="H873" i="2"/>
  <c r="G873" i="2"/>
  <c r="F873" i="2"/>
  <c r="E873" i="2"/>
  <c r="D873" i="2"/>
  <c r="C873" i="2"/>
  <c r="B872" i="2"/>
  <c r="A874" i="2"/>
  <c r="K875" i="2" a="1"/>
  <c r="L874" i="2" a="1"/>
  <c r="J874" i="2" a="1"/>
  <c r="I874" i="2" a="1"/>
  <c r="H874" i="2" a="1"/>
  <c r="G874" i="2" a="1"/>
  <c r="F874" i="2" a="1"/>
  <c r="E874" i="2" a="1"/>
  <c r="D874" i="2" a="1"/>
  <c r="C874" i="2" a="1"/>
  <c r="B873" i="2" a="1"/>
  <c r="K875" i="2" l="1"/>
  <c r="L874" i="2"/>
  <c r="J874" i="2"/>
  <c r="I874" i="2"/>
  <c r="H874" i="2"/>
  <c r="G874" i="2"/>
  <c r="F874" i="2"/>
  <c r="E874" i="2"/>
  <c r="D874" i="2"/>
  <c r="C874" i="2"/>
  <c r="B873" i="2"/>
  <c r="A875" i="2"/>
  <c r="K876" i="2" a="1"/>
  <c r="L875" i="2" a="1"/>
  <c r="J875" i="2" a="1"/>
  <c r="I875" i="2" a="1"/>
  <c r="H875" i="2" a="1"/>
  <c r="G875" i="2" a="1"/>
  <c r="F875" i="2" a="1"/>
  <c r="E875" i="2" a="1"/>
  <c r="D875" i="2" a="1"/>
  <c r="C875" i="2" a="1"/>
  <c r="B874" i="2" a="1"/>
  <c r="K876" i="2" l="1"/>
  <c r="L875" i="2"/>
  <c r="J875" i="2"/>
  <c r="I875" i="2"/>
  <c r="H875" i="2"/>
  <c r="G875" i="2"/>
  <c r="F875" i="2"/>
  <c r="E875" i="2"/>
  <c r="D875" i="2"/>
  <c r="C875" i="2"/>
  <c r="B874" i="2"/>
  <c r="A876" i="2"/>
  <c r="K877" i="2" a="1"/>
  <c r="L876" i="2" a="1"/>
  <c r="J876" i="2" a="1"/>
  <c r="I876" i="2" a="1"/>
  <c r="H876" i="2" a="1"/>
  <c r="G876" i="2" a="1"/>
  <c r="F876" i="2" a="1"/>
  <c r="E876" i="2" a="1"/>
  <c r="D876" i="2" a="1"/>
  <c r="C876" i="2" a="1"/>
  <c r="B875" i="2" a="1"/>
  <c r="K877" i="2" l="1"/>
  <c r="L876" i="2"/>
  <c r="J876" i="2"/>
  <c r="I876" i="2"/>
  <c r="H876" i="2"/>
  <c r="G876" i="2"/>
  <c r="F876" i="2"/>
  <c r="E876" i="2"/>
  <c r="D876" i="2"/>
  <c r="C876" i="2"/>
  <c r="B875" i="2"/>
  <c r="A877" i="2"/>
  <c r="K878" i="2" a="1"/>
  <c r="L877" i="2" a="1"/>
  <c r="J877" i="2" a="1"/>
  <c r="I877" i="2" a="1"/>
  <c r="H877" i="2" a="1"/>
  <c r="G877" i="2" a="1"/>
  <c r="F877" i="2" a="1"/>
  <c r="E877" i="2" a="1"/>
  <c r="D877" i="2" a="1"/>
  <c r="C877" i="2" a="1"/>
  <c r="B876" i="2" a="1"/>
  <c r="K878" i="2" l="1"/>
  <c r="L877" i="2"/>
  <c r="J877" i="2"/>
  <c r="I877" i="2"/>
  <c r="H877" i="2"/>
  <c r="G877" i="2"/>
  <c r="F877" i="2"/>
  <c r="E877" i="2"/>
  <c r="D877" i="2"/>
  <c r="C877" i="2"/>
  <c r="B876" i="2"/>
  <c r="A878" i="2"/>
  <c r="K879" i="2" a="1"/>
  <c r="L878" i="2" a="1"/>
  <c r="J878" i="2" a="1"/>
  <c r="I878" i="2" a="1"/>
  <c r="H878" i="2" a="1"/>
  <c r="G878" i="2" a="1"/>
  <c r="F878" i="2" a="1"/>
  <c r="E878" i="2" a="1"/>
  <c r="D878" i="2" a="1"/>
  <c r="C878" i="2" a="1"/>
  <c r="B877" i="2" a="1"/>
  <c r="K879" i="2" l="1"/>
  <c r="L878" i="2"/>
  <c r="J878" i="2"/>
  <c r="I878" i="2"/>
  <c r="H878" i="2"/>
  <c r="G878" i="2"/>
  <c r="F878" i="2"/>
  <c r="E878" i="2"/>
  <c r="D878" i="2"/>
  <c r="C878" i="2"/>
  <c r="B877" i="2"/>
  <c r="A879" i="2"/>
  <c r="K880" i="2" a="1"/>
  <c r="L879" i="2" a="1"/>
  <c r="J879" i="2" a="1"/>
  <c r="I879" i="2" a="1"/>
  <c r="H879" i="2" a="1"/>
  <c r="G879" i="2" a="1"/>
  <c r="F879" i="2" a="1"/>
  <c r="E879" i="2" a="1"/>
  <c r="D879" i="2" a="1"/>
  <c r="C879" i="2" a="1"/>
  <c r="B878" i="2" a="1"/>
  <c r="K880" i="2" l="1"/>
  <c r="L879" i="2"/>
  <c r="J879" i="2"/>
  <c r="I879" i="2"/>
  <c r="H879" i="2"/>
  <c r="G879" i="2"/>
  <c r="F879" i="2"/>
  <c r="E879" i="2"/>
  <c r="D879" i="2"/>
  <c r="C879" i="2"/>
  <c r="B878" i="2"/>
  <c r="A880" i="2"/>
  <c r="K881" i="2" a="1"/>
  <c r="L880" i="2" a="1"/>
  <c r="J880" i="2" a="1"/>
  <c r="I880" i="2" a="1"/>
  <c r="H880" i="2" a="1"/>
  <c r="G880" i="2" a="1"/>
  <c r="F880" i="2" a="1"/>
  <c r="E880" i="2" a="1"/>
  <c r="D880" i="2" a="1"/>
  <c r="C880" i="2" a="1"/>
  <c r="B879" i="2" a="1"/>
  <c r="K881" i="2" l="1"/>
  <c r="L880" i="2"/>
  <c r="J880" i="2"/>
  <c r="I880" i="2"/>
  <c r="H880" i="2"/>
  <c r="G880" i="2"/>
  <c r="F880" i="2"/>
  <c r="E880" i="2"/>
  <c r="D880" i="2"/>
  <c r="C880" i="2"/>
  <c r="B879" i="2"/>
  <c r="A881" i="2"/>
  <c r="K882" i="2" a="1"/>
  <c r="L881" i="2" a="1"/>
  <c r="J881" i="2" a="1"/>
  <c r="I881" i="2" a="1"/>
  <c r="H881" i="2" a="1"/>
  <c r="G881" i="2" a="1"/>
  <c r="F881" i="2" a="1"/>
  <c r="E881" i="2" a="1"/>
  <c r="D881" i="2" a="1"/>
  <c r="C881" i="2" a="1"/>
  <c r="B880" i="2" a="1"/>
  <c r="K882" i="2" l="1"/>
  <c r="L881" i="2"/>
  <c r="J881" i="2"/>
  <c r="I881" i="2"/>
  <c r="H881" i="2"/>
  <c r="G881" i="2"/>
  <c r="F881" i="2"/>
  <c r="E881" i="2"/>
  <c r="D881" i="2"/>
  <c r="C881" i="2"/>
  <c r="B880" i="2"/>
  <c r="A882" i="2"/>
  <c r="K883" i="2" a="1"/>
  <c r="L882" i="2" a="1"/>
  <c r="J882" i="2" a="1"/>
  <c r="I882" i="2" a="1"/>
  <c r="H882" i="2" a="1"/>
  <c r="G882" i="2" a="1"/>
  <c r="F882" i="2" a="1"/>
  <c r="E882" i="2" a="1"/>
  <c r="D882" i="2" a="1"/>
  <c r="C882" i="2" a="1"/>
  <c r="B881" i="2" a="1"/>
  <c r="K883" i="2" l="1"/>
  <c r="L882" i="2"/>
  <c r="J882" i="2"/>
  <c r="I882" i="2"/>
  <c r="H882" i="2"/>
  <c r="G882" i="2"/>
  <c r="F882" i="2"/>
  <c r="E882" i="2"/>
  <c r="D882" i="2"/>
  <c r="C882" i="2"/>
  <c r="B881" i="2"/>
  <c r="A883" i="2"/>
  <c r="K884" i="2" a="1"/>
  <c r="L883" i="2" a="1"/>
  <c r="J883" i="2" a="1"/>
  <c r="I883" i="2" a="1"/>
  <c r="H883" i="2" a="1"/>
  <c r="G883" i="2" a="1"/>
  <c r="F883" i="2" a="1"/>
  <c r="E883" i="2" a="1"/>
  <c r="D883" i="2" a="1"/>
  <c r="C883" i="2" a="1"/>
  <c r="B882" i="2" a="1"/>
  <c r="K884" i="2" l="1"/>
  <c r="L883" i="2"/>
  <c r="J883" i="2"/>
  <c r="I883" i="2"/>
  <c r="H883" i="2"/>
  <c r="G883" i="2"/>
  <c r="F883" i="2"/>
  <c r="E883" i="2"/>
  <c r="D883" i="2"/>
  <c r="C883" i="2"/>
  <c r="B882" i="2"/>
  <c r="A884" i="2"/>
  <c r="K885" i="2" a="1"/>
  <c r="L884" i="2" a="1"/>
  <c r="J884" i="2" a="1"/>
  <c r="I884" i="2" a="1"/>
  <c r="H884" i="2" a="1"/>
  <c r="G884" i="2" a="1"/>
  <c r="F884" i="2" a="1"/>
  <c r="E884" i="2" a="1"/>
  <c r="D884" i="2" a="1"/>
  <c r="C884" i="2" a="1"/>
  <c r="B883" i="2" a="1"/>
  <c r="K885" i="2" l="1"/>
  <c r="L884" i="2"/>
  <c r="J884" i="2"/>
  <c r="I884" i="2"/>
  <c r="H884" i="2"/>
  <c r="G884" i="2"/>
  <c r="F884" i="2"/>
  <c r="E884" i="2"/>
  <c r="D884" i="2"/>
  <c r="C884" i="2"/>
  <c r="B883" i="2"/>
  <c r="A885" i="2"/>
  <c r="K886" i="2" a="1"/>
  <c r="L885" i="2" a="1"/>
  <c r="J885" i="2" a="1"/>
  <c r="I885" i="2" a="1"/>
  <c r="H885" i="2" a="1"/>
  <c r="G885" i="2" a="1"/>
  <c r="F885" i="2" a="1"/>
  <c r="E885" i="2" a="1"/>
  <c r="D885" i="2" a="1"/>
  <c r="C885" i="2" a="1"/>
  <c r="B884" i="2" a="1"/>
  <c r="K886" i="2" l="1"/>
  <c r="L885" i="2"/>
  <c r="J885" i="2"/>
  <c r="I885" i="2"/>
  <c r="H885" i="2"/>
  <c r="G885" i="2"/>
  <c r="F885" i="2"/>
  <c r="E885" i="2"/>
  <c r="D885" i="2"/>
  <c r="C885" i="2"/>
  <c r="B884" i="2"/>
  <c r="A886" i="2"/>
  <c r="K887" i="2" a="1"/>
  <c r="L886" i="2" a="1"/>
  <c r="J886" i="2" a="1"/>
  <c r="I886" i="2" a="1"/>
  <c r="H886" i="2" a="1"/>
  <c r="G886" i="2" a="1"/>
  <c r="F886" i="2" a="1"/>
  <c r="E886" i="2" a="1"/>
  <c r="D886" i="2" a="1"/>
  <c r="C886" i="2" a="1"/>
  <c r="B885" i="2" a="1"/>
  <c r="K887" i="2" l="1"/>
  <c r="L886" i="2"/>
  <c r="J886" i="2"/>
  <c r="I886" i="2"/>
  <c r="H886" i="2"/>
  <c r="G886" i="2"/>
  <c r="F886" i="2"/>
  <c r="E886" i="2"/>
  <c r="D886" i="2"/>
  <c r="C886" i="2"/>
  <c r="B885" i="2"/>
  <c r="A887" i="2"/>
  <c r="K888" i="2" a="1"/>
  <c r="L887" i="2" a="1"/>
  <c r="J887" i="2" a="1"/>
  <c r="I887" i="2" a="1"/>
  <c r="H887" i="2" a="1"/>
  <c r="G887" i="2" a="1"/>
  <c r="F887" i="2" a="1"/>
  <c r="E887" i="2" a="1"/>
  <c r="D887" i="2" a="1"/>
  <c r="C887" i="2" a="1"/>
  <c r="B886" i="2" a="1"/>
  <c r="K888" i="2" l="1"/>
  <c r="L887" i="2"/>
  <c r="J887" i="2"/>
  <c r="I887" i="2"/>
  <c r="H887" i="2"/>
  <c r="G887" i="2"/>
  <c r="F887" i="2"/>
  <c r="E887" i="2"/>
  <c r="D887" i="2"/>
  <c r="C887" i="2"/>
  <c r="B886" i="2"/>
  <c r="A888" i="2"/>
  <c r="K889" i="2" a="1"/>
  <c r="L888" i="2" a="1"/>
  <c r="J888" i="2" a="1"/>
  <c r="I888" i="2" a="1"/>
  <c r="H888" i="2" a="1"/>
  <c r="G888" i="2" a="1"/>
  <c r="F888" i="2" a="1"/>
  <c r="E888" i="2" a="1"/>
  <c r="D888" i="2" a="1"/>
  <c r="C888" i="2" a="1"/>
  <c r="B887" i="2" a="1"/>
  <c r="K889" i="2" l="1"/>
  <c r="L888" i="2"/>
  <c r="J888" i="2"/>
  <c r="I888" i="2"/>
  <c r="H888" i="2"/>
  <c r="G888" i="2"/>
  <c r="F888" i="2"/>
  <c r="E888" i="2"/>
  <c r="D888" i="2"/>
  <c r="C888" i="2"/>
  <c r="B887" i="2"/>
  <c r="A889" i="2"/>
  <c r="K890" i="2" a="1"/>
  <c r="L889" i="2" a="1"/>
  <c r="J889" i="2" a="1"/>
  <c r="I889" i="2" a="1"/>
  <c r="H889" i="2" a="1"/>
  <c r="G889" i="2" a="1"/>
  <c r="F889" i="2" a="1"/>
  <c r="E889" i="2" a="1"/>
  <c r="D889" i="2" a="1"/>
  <c r="C889" i="2" a="1"/>
  <c r="B888" i="2" a="1"/>
  <c r="K890" i="2" l="1"/>
  <c r="L889" i="2"/>
  <c r="J889" i="2"/>
  <c r="I889" i="2"/>
  <c r="H889" i="2"/>
  <c r="G889" i="2"/>
  <c r="F889" i="2"/>
  <c r="E889" i="2"/>
  <c r="D889" i="2"/>
  <c r="C889" i="2"/>
  <c r="B888" i="2"/>
  <c r="A890" i="2"/>
  <c r="K891" i="2" a="1"/>
  <c r="L890" i="2" a="1"/>
  <c r="J890" i="2" a="1"/>
  <c r="I890" i="2" a="1"/>
  <c r="H890" i="2" a="1"/>
  <c r="G890" i="2" a="1"/>
  <c r="F890" i="2" a="1"/>
  <c r="E890" i="2" a="1"/>
  <c r="D890" i="2" a="1"/>
  <c r="C890" i="2" a="1"/>
  <c r="B889" i="2" a="1"/>
  <c r="K891" i="2" l="1"/>
  <c r="L890" i="2"/>
  <c r="J890" i="2"/>
  <c r="I890" i="2"/>
  <c r="H890" i="2"/>
  <c r="G890" i="2"/>
  <c r="F890" i="2"/>
  <c r="E890" i="2"/>
  <c r="D890" i="2"/>
  <c r="C890" i="2"/>
  <c r="B889" i="2"/>
  <c r="A891" i="2"/>
  <c r="K892" i="2" a="1"/>
  <c r="L891" i="2" a="1"/>
  <c r="J891" i="2" a="1"/>
  <c r="I891" i="2" a="1"/>
  <c r="H891" i="2" a="1"/>
  <c r="G891" i="2" a="1"/>
  <c r="F891" i="2" a="1"/>
  <c r="E891" i="2" a="1"/>
  <c r="D891" i="2" a="1"/>
  <c r="C891" i="2" a="1"/>
  <c r="B890" i="2" a="1"/>
  <c r="K892" i="2" l="1"/>
  <c r="L891" i="2"/>
  <c r="J891" i="2"/>
  <c r="I891" i="2"/>
  <c r="H891" i="2"/>
  <c r="G891" i="2"/>
  <c r="F891" i="2"/>
  <c r="E891" i="2"/>
  <c r="D891" i="2"/>
  <c r="C891" i="2"/>
  <c r="B890" i="2"/>
  <c r="A892" i="2"/>
  <c r="K893" i="2" a="1"/>
  <c r="L892" i="2" a="1"/>
  <c r="J892" i="2" a="1"/>
  <c r="I892" i="2" a="1"/>
  <c r="H892" i="2" a="1"/>
  <c r="G892" i="2" a="1"/>
  <c r="F892" i="2" a="1"/>
  <c r="E892" i="2" a="1"/>
  <c r="D892" i="2" a="1"/>
  <c r="C892" i="2" a="1"/>
  <c r="B891" i="2" a="1"/>
  <c r="K893" i="2" l="1"/>
  <c r="L892" i="2"/>
  <c r="J892" i="2"/>
  <c r="I892" i="2"/>
  <c r="H892" i="2"/>
  <c r="G892" i="2"/>
  <c r="F892" i="2"/>
  <c r="E892" i="2"/>
  <c r="D892" i="2"/>
  <c r="C892" i="2"/>
  <c r="B891" i="2"/>
  <c r="A893" i="2"/>
  <c r="K894" i="2" a="1"/>
  <c r="L893" i="2" a="1"/>
  <c r="J893" i="2" a="1"/>
  <c r="I893" i="2" a="1"/>
  <c r="H893" i="2" a="1"/>
  <c r="G893" i="2" a="1"/>
  <c r="F893" i="2" a="1"/>
  <c r="E893" i="2" a="1"/>
  <c r="D893" i="2" a="1"/>
  <c r="C893" i="2" a="1"/>
  <c r="B892" i="2" a="1"/>
  <c r="K894" i="2" l="1"/>
  <c r="L893" i="2"/>
  <c r="J893" i="2"/>
  <c r="I893" i="2"/>
  <c r="H893" i="2"/>
  <c r="G893" i="2"/>
  <c r="F893" i="2"/>
  <c r="E893" i="2"/>
  <c r="D893" i="2"/>
  <c r="C893" i="2"/>
  <c r="B892" i="2"/>
  <c r="A894" i="2"/>
  <c r="K895" i="2" a="1"/>
  <c r="L894" i="2" a="1"/>
  <c r="J894" i="2" a="1"/>
  <c r="I894" i="2" a="1"/>
  <c r="H894" i="2" a="1"/>
  <c r="G894" i="2" a="1"/>
  <c r="F894" i="2" a="1"/>
  <c r="E894" i="2" a="1"/>
  <c r="D894" i="2" a="1"/>
  <c r="C894" i="2" a="1"/>
  <c r="B893" i="2" a="1"/>
  <c r="K895" i="2" l="1"/>
  <c r="L894" i="2"/>
  <c r="J894" i="2"/>
  <c r="I894" i="2"/>
  <c r="H894" i="2"/>
  <c r="G894" i="2"/>
  <c r="F894" i="2"/>
  <c r="E894" i="2"/>
  <c r="D894" i="2"/>
  <c r="C894" i="2"/>
  <c r="B893" i="2"/>
  <c r="A895" i="2"/>
  <c r="K896" i="2" a="1"/>
  <c r="L895" i="2" a="1"/>
  <c r="J895" i="2" a="1"/>
  <c r="I895" i="2" a="1"/>
  <c r="H895" i="2" a="1"/>
  <c r="G895" i="2" a="1"/>
  <c r="F895" i="2" a="1"/>
  <c r="E895" i="2" a="1"/>
  <c r="D895" i="2" a="1"/>
  <c r="C895" i="2" a="1"/>
  <c r="B894" i="2" a="1"/>
  <c r="K896" i="2" l="1"/>
  <c r="L895" i="2"/>
  <c r="J895" i="2"/>
  <c r="I895" i="2"/>
  <c r="H895" i="2"/>
  <c r="G895" i="2"/>
  <c r="F895" i="2"/>
  <c r="E895" i="2"/>
  <c r="D895" i="2"/>
  <c r="C895" i="2"/>
  <c r="B894" i="2"/>
  <c r="A896" i="2"/>
  <c r="K897" i="2" a="1"/>
  <c r="L896" i="2" a="1"/>
  <c r="J896" i="2" a="1"/>
  <c r="I896" i="2" a="1"/>
  <c r="H896" i="2" a="1"/>
  <c r="G896" i="2" a="1"/>
  <c r="F896" i="2" a="1"/>
  <c r="E896" i="2" a="1"/>
  <c r="D896" i="2" a="1"/>
  <c r="C896" i="2" a="1"/>
  <c r="B895" i="2" a="1"/>
  <c r="K897" i="2" l="1"/>
  <c r="L896" i="2"/>
  <c r="J896" i="2"/>
  <c r="I896" i="2"/>
  <c r="H896" i="2"/>
  <c r="G896" i="2"/>
  <c r="F896" i="2"/>
  <c r="E896" i="2"/>
  <c r="D896" i="2"/>
  <c r="C896" i="2"/>
  <c r="B895" i="2"/>
  <c r="A897" i="2"/>
  <c r="K898" i="2" a="1"/>
  <c r="L897" i="2" a="1"/>
  <c r="J897" i="2" a="1"/>
  <c r="I897" i="2" a="1"/>
  <c r="H897" i="2" a="1"/>
  <c r="G897" i="2" a="1"/>
  <c r="F897" i="2" a="1"/>
  <c r="E897" i="2" a="1"/>
  <c r="D897" i="2" a="1"/>
  <c r="C897" i="2" a="1"/>
  <c r="B896" i="2" a="1"/>
  <c r="K898" i="2" l="1"/>
  <c r="L897" i="2"/>
  <c r="J897" i="2"/>
  <c r="I897" i="2"/>
  <c r="H897" i="2"/>
  <c r="G897" i="2"/>
  <c r="F897" i="2"/>
  <c r="E897" i="2"/>
  <c r="D897" i="2"/>
  <c r="C897" i="2"/>
  <c r="B896" i="2"/>
  <c r="A898" i="2"/>
  <c r="K899" i="2" a="1"/>
  <c r="L898" i="2" a="1"/>
  <c r="J898" i="2" a="1"/>
  <c r="I898" i="2" a="1"/>
  <c r="H898" i="2" a="1"/>
  <c r="G898" i="2" a="1"/>
  <c r="F898" i="2" a="1"/>
  <c r="E898" i="2" a="1"/>
  <c r="D898" i="2" a="1"/>
  <c r="C898" i="2" a="1"/>
  <c r="B897" i="2" a="1"/>
  <c r="K899" i="2" l="1"/>
  <c r="L898" i="2"/>
  <c r="J898" i="2"/>
  <c r="I898" i="2"/>
  <c r="H898" i="2"/>
  <c r="G898" i="2"/>
  <c r="F898" i="2"/>
  <c r="E898" i="2"/>
  <c r="D898" i="2"/>
  <c r="C898" i="2"/>
  <c r="B897" i="2"/>
  <c r="A899" i="2"/>
  <c r="K900" i="2" a="1"/>
  <c r="L899" i="2" a="1"/>
  <c r="J899" i="2" a="1"/>
  <c r="I899" i="2" a="1"/>
  <c r="H899" i="2" a="1"/>
  <c r="G899" i="2" a="1"/>
  <c r="F899" i="2" a="1"/>
  <c r="E899" i="2" a="1"/>
  <c r="D899" i="2" a="1"/>
  <c r="C899" i="2" a="1"/>
  <c r="B898" i="2" a="1"/>
  <c r="K900" i="2" l="1"/>
  <c r="L899" i="2"/>
  <c r="J899" i="2"/>
  <c r="I899" i="2"/>
  <c r="H899" i="2"/>
  <c r="G899" i="2"/>
  <c r="F899" i="2"/>
  <c r="E899" i="2"/>
  <c r="D899" i="2"/>
  <c r="C899" i="2"/>
  <c r="B898" i="2"/>
  <c r="A900" i="2"/>
  <c r="K901" i="2" a="1"/>
  <c r="L900" i="2" a="1"/>
  <c r="J900" i="2" a="1"/>
  <c r="I900" i="2" a="1"/>
  <c r="H900" i="2" a="1"/>
  <c r="G900" i="2" a="1"/>
  <c r="F900" i="2" a="1"/>
  <c r="E900" i="2" a="1"/>
  <c r="D900" i="2" a="1"/>
  <c r="C900" i="2" a="1"/>
  <c r="B899" i="2" a="1"/>
  <c r="K901" i="2" l="1"/>
  <c r="L900" i="2"/>
  <c r="J900" i="2"/>
  <c r="I900" i="2"/>
  <c r="H900" i="2"/>
  <c r="G900" i="2"/>
  <c r="F900" i="2"/>
  <c r="E900" i="2"/>
  <c r="D900" i="2"/>
  <c r="C900" i="2"/>
  <c r="B899" i="2"/>
  <c r="A901" i="2"/>
  <c r="K902" i="2" a="1"/>
  <c r="L901" i="2" a="1"/>
  <c r="J901" i="2" a="1"/>
  <c r="I901" i="2" a="1"/>
  <c r="H901" i="2" a="1"/>
  <c r="G901" i="2" a="1"/>
  <c r="F901" i="2" a="1"/>
  <c r="E901" i="2" a="1"/>
  <c r="D901" i="2" a="1"/>
  <c r="C901" i="2" a="1"/>
  <c r="B900" i="2" a="1"/>
  <c r="K902" i="2" l="1"/>
  <c r="L901" i="2"/>
  <c r="J901" i="2"/>
  <c r="I901" i="2"/>
  <c r="H901" i="2"/>
  <c r="G901" i="2"/>
  <c r="F901" i="2"/>
  <c r="E901" i="2"/>
  <c r="D901" i="2"/>
  <c r="C901" i="2"/>
  <c r="B900" i="2"/>
  <c r="A902" i="2"/>
  <c r="K903" i="2" a="1"/>
  <c r="L902" i="2" a="1"/>
  <c r="J902" i="2" a="1"/>
  <c r="I902" i="2" a="1"/>
  <c r="H902" i="2" a="1"/>
  <c r="G902" i="2" a="1"/>
  <c r="F902" i="2" a="1"/>
  <c r="E902" i="2" a="1"/>
  <c r="D902" i="2" a="1"/>
  <c r="C902" i="2" a="1"/>
  <c r="B901" i="2" a="1"/>
  <c r="K903" i="2" l="1"/>
  <c r="L902" i="2"/>
  <c r="J902" i="2"/>
  <c r="I902" i="2"/>
  <c r="H902" i="2"/>
  <c r="G902" i="2"/>
  <c r="F902" i="2"/>
  <c r="E902" i="2"/>
  <c r="D902" i="2"/>
  <c r="C902" i="2"/>
  <c r="B901" i="2"/>
  <c r="A903" i="2"/>
  <c r="K904" i="2" a="1"/>
  <c r="L903" i="2" a="1"/>
  <c r="J903" i="2" a="1"/>
  <c r="I903" i="2" a="1"/>
  <c r="H903" i="2" a="1"/>
  <c r="G903" i="2" a="1"/>
  <c r="F903" i="2" a="1"/>
  <c r="E903" i="2" a="1"/>
  <c r="D903" i="2" a="1"/>
  <c r="C903" i="2" a="1"/>
  <c r="B902" i="2" a="1"/>
  <c r="K904" i="2" l="1"/>
  <c r="L903" i="2"/>
  <c r="J903" i="2"/>
  <c r="I903" i="2"/>
  <c r="H903" i="2"/>
  <c r="G903" i="2"/>
  <c r="F903" i="2"/>
  <c r="E903" i="2"/>
  <c r="D903" i="2"/>
  <c r="C903" i="2"/>
  <c r="B902" i="2"/>
  <c r="A904" i="2"/>
  <c r="K905" i="2" a="1"/>
  <c r="L904" i="2" a="1"/>
  <c r="J904" i="2" a="1"/>
  <c r="I904" i="2" a="1"/>
  <c r="H904" i="2" a="1"/>
  <c r="G904" i="2" a="1"/>
  <c r="F904" i="2" a="1"/>
  <c r="E904" i="2" a="1"/>
  <c r="D904" i="2" a="1"/>
  <c r="C904" i="2" a="1"/>
  <c r="B903" i="2" a="1"/>
  <c r="K905" i="2" l="1"/>
  <c r="L904" i="2"/>
  <c r="J904" i="2"/>
  <c r="I904" i="2"/>
  <c r="H904" i="2"/>
  <c r="G904" i="2"/>
  <c r="F904" i="2"/>
  <c r="E904" i="2"/>
  <c r="D904" i="2"/>
  <c r="C904" i="2"/>
  <c r="B903" i="2"/>
  <c r="A905" i="2"/>
  <c r="K906" i="2" a="1"/>
  <c r="L905" i="2" a="1"/>
  <c r="J905" i="2" a="1"/>
  <c r="I905" i="2" a="1"/>
  <c r="H905" i="2" a="1"/>
  <c r="G905" i="2" a="1"/>
  <c r="F905" i="2" a="1"/>
  <c r="E905" i="2" a="1"/>
  <c r="D905" i="2" a="1"/>
  <c r="C905" i="2" a="1"/>
  <c r="B904" i="2" a="1"/>
  <c r="K906" i="2" l="1"/>
  <c r="L905" i="2"/>
  <c r="J905" i="2"/>
  <c r="I905" i="2"/>
  <c r="H905" i="2"/>
  <c r="G905" i="2"/>
  <c r="F905" i="2"/>
  <c r="E905" i="2"/>
  <c r="D905" i="2"/>
  <c r="C905" i="2"/>
  <c r="B904" i="2"/>
  <c r="A906" i="2"/>
  <c r="K907" i="2" a="1"/>
  <c r="L906" i="2" a="1"/>
  <c r="J906" i="2" a="1"/>
  <c r="I906" i="2" a="1"/>
  <c r="H906" i="2" a="1"/>
  <c r="G906" i="2" a="1"/>
  <c r="F906" i="2" a="1"/>
  <c r="E906" i="2" a="1"/>
  <c r="D906" i="2" a="1"/>
  <c r="C906" i="2" a="1"/>
  <c r="B905" i="2" a="1"/>
  <c r="K907" i="2" l="1"/>
  <c r="L906" i="2"/>
  <c r="J906" i="2"/>
  <c r="I906" i="2"/>
  <c r="H906" i="2"/>
  <c r="G906" i="2"/>
  <c r="F906" i="2"/>
  <c r="E906" i="2"/>
  <c r="D906" i="2"/>
  <c r="C906" i="2"/>
  <c r="B905" i="2"/>
  <c r="A907" i="2"/>
  <c r="K908" i="2" a="1"/>
  <c r="L907" i="2" a="1"/>
  <c r="J907" i="2" a="1"/>
  <c r="I907" i="2" a="1"/>
  <c r="H907" i="2" a="1"/>
  <c r="G907" i="2" a="1"/>
  <c r="F907" i="2" a="1"/>
  <c r="E907" i="2" a="1"/>
  <c r="D907" i="2" a="1"/>
  <c r="C907" i="2" a="1"/>
  <c r="B906" i="2" a="1"/>
  <c r="K908" i="2" l="1"/>
  <c r="L907" i="2"/>
  <c r="J907" i="2"/>
  <c r="I907" i="2"/>
  <c r="H907" i="2"/>
  <c r="G907" i="2"/>
  <c r="F907" i="2"/>
  <c r="E907" i="2"/>
  <c r="D907" i="2"/>
  <c r="C907" i="2"/>
  <c r="B906" i="2"/>
  <c r="A908" i="2"/>
  <c r="K909" i="2" a="1"/>
  <c r="L908" i="2" a="1"/>
  <c r="J908" i="2" a="1"/>
  <c r="I908" i="2" a="1"/>
  <c r="H908" i="2" a="1"/>
  <c r="G908" i="2" a="1"/>
  <c r="F908" i="2" a="1"/>
  <c r="E908" i="2" a="1"/>
  <c r="D908" i="2" a="1"/>
  <c r="C908" i="2" a="1"/>
  <c r="B907" i="2" a="1"/>
  <c r="K909" i="2" l="1"/>
  <c r="L908" i="2"/>
  <c r="J908" i="2"/>
  <c r="I908" i="2"/>
  <c r="H908" i="2"/>
  <c r="G908" i="2"/>
  <c r="F908" i="2"/>
  <c r="E908" i="2"/>
  <c r="D908" i="2"/>
  <c r="C908" i="2"/>
  <c r="B907" i="2"/>
  <c r="A909" i="2"/>
  <c r="K910" i="2" a="1"/>
  <c r="L909" i="2" a="1"/>
  <c r="J909" i="2" a="1"/>
  <c r="I909" i="2" a="1"/>
  <c r="H909" i="2" a="1"/>
  <c r="G909" i="2" a="1"/>
  <c r="F909" i="2" a="1"/>
  <c r="E909" i="2" a="1"/>
  <c r="D909" i="2" a="1"/>
  <c r="C909" i="2" a="1"/>
  <c r="B908" i="2" a="1"/>
  <c r="K910" i="2" l="1"/>
  <c r="L909" i="2"/>
  <c r="J909" i="2"/>
  <c r="I909" i="2"/>
  <c r="H909" i="2"/>
  <c r="G909" i="2"/>
  <c r="F909" i="2"/>
  <c r="E909" i="2"/>
  <c r="D909" i="2"/>
  <c r="C909" i="2"/>
  <c r="B908" i="2"/>
  <c r="A910" i="2"/>
  <c r="K911" i="2" a="1"/>
  <c r="L910" i="2" a="1"/>
  <c r="J910" i="2" a="1"/>
  <c r="I910" i="2" a="1"/>
  <c r="H910" i="2" a="1"/>
  <c r="G910" i="2" a="1"/>
  <c r="F910" i="2" a="1"/>
  <c r="E910" i="2" a="1"/>
  <c r="D910" i="2" a="1"/>
  <c r="C910" i="2" a="1"/>
  <c r="B909" i="2" a="1"/>
  <c r="K911" i="2" l="1"/>
  <c r="L910" i="2"/>
  <c r="J910" i="2"/>
  <c r="I910" i="2"/>
  <c r="H910" i="2"/>
  <c r="G910" i="2"/>
  <c r="F910" i="2"/>
  <c r="E910" i="2"/>
  <c r="D910" i="2"/>
  <c r="C910" i="2"/>
  <c r="B909" i="2"/>
  <c r="A911" i="2"/>
  <c r="K912" i="2" a="1"/>
  <c r="L911" i="2" a="1"/>
  <c r="J911" i="2" a="1"/>
  <c r="I911" i="2" a="1"/>
  <c r="H911" i="2" a="1"/>
  <c r="G911" i="2" a="1"/>
  <c r="F911" i="2" a="1"/>
  <c r="E911" i="2" a="1"/>
  <c r="D911" i="2" a="1"/>
  <c r="C911" i="2" a="1"/>
  <c r="B910" i="2" a="1"/>
  <c r="K912" i="2" l="1"/>
  <c r="L911" i="2"/>
  <c r="J911" i="2"/>
  <c r="I911" i="2"/>
  <c r="H911" i="2"/>
  <c r="G911" i="2"/>
  <c r="F911" i="2"/>
  <c r="E911" i="2"/>
  <c r="D911" i="2"/>
  <c r="C911" i="2"/>
  <c r="B910" i="2"/>
  <c r="A912" i="2"/>
  <c r="K913" i="2" a="1"/>
  <c r="L912" i="2" a="1"/>
  <c r="J912" i="2" a="1"/>
  <c r="I912" i="2" a="1"/>
  <c r="H912" i="2" a="1"/>
  <c r="G912" i="2" a="1"/>
  <c r="F912" i="2" a="1"/>
  <c r="E912" i="2" a="1"/>
  <c r="D912" i="2" a="1"/>
  <c r="C912" i="2" a="1"/>
  <c r="B911" i="2" a="1"/>
  <c r="K913" i="2" l="1"/>
  <c r="L912" i="2"/>
  <c r="J912" i="2"/>
  <c r="I912" i="2"/>
  <c r="H912" i="2"/>
  <c r="G912" i="2"/>
  <c r="F912" i="2"/>
  <c r="E912" i="2"/>
  <c r="D912" i="2"/>
  <c r="C912" i="2"/>
  <c r="B911" i="2"/>
  <c r="A913" i="2"/>
  <c r="K914" i="2" a="1"/>
  <c r="L913" i="2" a="1"/>
  <c r="J913" i="2" a="1"/>
  <c r="I913" i="2" a="1"/>
  <c r="H913" i="2" a="1"/>
  <c r="G913" i="2" a="1"/>
  <c r="F913" i="2" a="1"/>
  <c r="E913" i="2" a="1"/>
  <c r="D913" i="2" a="1"/>
  <c r="C913" i="2" a="1"/>
  <c r="B912" i="2" a="1"/>
  <c r="K914" i="2" l="1"/>
  <c r="L913" i="2"/>
  <c r="J913" i="2"/>
  <c r="I913" i="2"/>
  <c r="H913" i="2"/>
  <c r="G913" i="2"/>
  <c r="F913" i="2"/>
  <c r="E913" i="2"/>
  <c r="D913" i="2"/>
  <c r="C913" i="2"/>
  <c r="B912" i="2"/>
  <c r="A914" i="2"/>
  <c r="K915" i="2" a="1"/>
  <c r="L914" i="2" a="1"/>
  <c r="J914" i="2" a="1"/>
  <c r="I914" i="2" a="1"/>
  <c r="H914" i="2" a="1"/>
  <c r="G914" i="2" a="1"/>
  <c r="F914" i="2" a="1"/>
  <c r="E914" i="2" a="1"/>
  <c r="D914" i="2" a="1"/>
  <c r="C914" i="2" a="1"/>
  <c r="B913" i="2" a="1"/>
  <c r="K915" i="2" l="1"/>
  <c r="L914" i="2"/>
  <c r="J914" i="2"/>
  <c r="I914" i="2"/>
  <c r="H914" i="2"/>
  <c r="G914" i="2"/>
  <c r="F914" i="2"/>
  <c r="E914" i="2"/>
  <c r="D914" i="2"/>
  <c r="C914" i="2"/>
  <c r="B913" i="2"/>
  <c r="A915" i="2"/>
  <c r="K916" i="2" a="1"/>
  <c r="L915" i="2" a="1"/>
  <c r="J915" i="2" a="1"/>
  <c r="I915" i="2" a="1"/>
  <c r="H915" i="2" a="1"/>
  <c r="G915" i="2" a="1"/>
  <c r="F915" i="2" a="1"/>
  <c r="E915" i="2" a="1"/>
  <c r="D915" i="2" a="1"/>
  <c r="C915" i="2" a="1"/>
  <c r="B914" i="2" a="1"/>
  <c r="K916" i="2" l="1"/>
  <c r="L915" i="2"/>
  <c r="J915" i="2"/>
  <c r="I915" i="2"/>
  <c r="H915" i="2"/>
  <c r="G915" i="2"/>
  <c r="F915" i="2"/>
  <c r="E915" i="2"/>
  <c r="D915" i="2"/>
  <c r="C915" i="2"/>
  <c r="B914" i="2"/>
  <c r="A916" i="2"/>
  <c r="K917" i="2" a="1"/>
  <c r="L916" i="2" a="1"/>
  <c r="J916" i="2" a="1"/>
  <c r="I916" i="2" a="1"/>
  <c r="H916" i="2" a="1"/>
  <c r="G916" i="2" a="1"/>
  <c r="F916" i="2" a="1"/>
  <c r="E916" i="2" a="1"/>
  <c r="D916" i="2" a="1"/>
  <c r="C916" i="2" a="1"/>
  <c r="B915" i="2" a="1"/>
  <c r="K917" i="2" l="1"/>
  <c r="L916" i="2"/>
  <c r="J916" i="2"/>
  <c r="I916" i="2"/>
  <c r="H916" i="2"/>
  <c r="G916" i="2"/>
  <c r="F916" i="2"/>
  <c r="E916" i="2"/>
  <c r="D916" i="2"/>
  <c r="C916" i="2"/>
  <c r="B915" i="2"/>
  <c r="A917" i="2"/>
  <c r="K918" i="2" a="1"/>
  <c r="L917" i="2" a="1"/>
  <c r="J917" i="2" a="1"/>
  <c r="I917" i="2" a="1"/>
  <c r="H917" i="2" a="1"/>
  <c r="G917" i="2" a="1"/>
  <c r="F917" i="2" a="1"/>
  <c r="E917" i="2" a="1"/>
  <c r="D917" i="2" a="1"/>
  <c r="C917" i="2" a="1"/>
  <c r="B916" i="2" a="1"/>
  <c r="K918" i="2" l="1"/>
  <c r="L917" i="2"/>
  <c r="J917" i="2"/>
  <c r="I917" i="2"/>
  <c r="H917" i="2"/>
  <c r="G917" i="2"/>
  <c r="F917" i="2"/>
  <c r="E917" i="2"/>
  <c r="D917" i="2"/>
  <c r="C917" i="2"/>
  <c r="B916" i="2"/>
  <c r="A918" i="2"/>
  <c r="K919" i="2" a="1"/>
  <c r="L918" i="2" a="1"/>
  <c r="J918" i="2" a="1"/>
  <c r="I918" i="2" a="1"/>
  <c r="H918" i="2" a="1"/>
  <c r="G918" i="2" a="1"/>
  <c r="F918" i="2" a="1"/>
  <c r="E918" i="2" a="1"/>
  <c r="D918" i="2" a="1"/>
  <c r="C918" i="2" a="1"/>
  <c r="B917" i="2" a="1"/>
  <c r="K919" i="2" l="1"/>
  <c r="L918" i="2"/>
  <c r="J918" i="2"/>
  <c r="I918" i="2"/>
  <c r="H918" i="2"/>
  <c r="G918" i="2"/>
  <c r="F918" i="2"/>
  <c r="E918" i="2"/>
  <c r="D918" i="2"/>
  <c r="C918" i="2"/>
  <c r="B917" i="2"/>
  <c r="A919" i="2"/>
  <c r="K920" i="2" a="1"/>
  <c r="L919" i="2" a="1"/>
  <c r="J919" i="2" a="1"/>
  <c r="I919" i="2" a="1"/>
  <c r="H919" i="2" a="1"/>
  <c r="G919" i="2" a="1"/>
  <c r="F919" i="2" a="1"/>
  <c r="E919" i="2" a="1"/>
  <c r="D919" i="2" a="1"/>
  <c r="C919" i="2" a="1"/>
  <c r="B918" i="2" a="1"/>
  <c r="K920" i="2" l="1"/>
  <c r="L919" i="2"/>
  <c r="J919" i="2"/>
  <c r="I919" i="2"/>
  <c r="H919" i="2"/>
  <c r="G919" i="2"/>
  <c r="F919" i="2"/>
  <c r="E919" i="2"/>
  <c r="D919" i="2"/>
  <c r="C919" i="2"/>
  <c r="B918" i="2"/>
  <c r="A920" i="2"/>
  <c r="K921" i="2" a="1"/>
  <c r="L920" i="2" a="1"/>
  <c r="J920" i="2" a="1"/>
  <c r="I920" i="2" a="1"/>
  <c r="H920" i="2" a="1"/>
  <c r="G920" i="2" a="1"/>
  <c r="F920" i="2" a="1"/>
  <c r="E920" i="2" a="1"/>
  <c r="D920" i="2" a="1"/>
  <c r="C920" i="2" a="1"/>
  <c r="B919" i="2" a="1"/>
  <c r="K921" i="2" l="1"/>
  <c r="L920" i="2"/>
  <c r="J920" i="2"/>
  <c r="I920" i="2"/>
  <c r="H920" i="2"/>
  <c r="G920" i="2"/>
  <c r="F920" i="2"/>
  <c r="E920" i="2"/>
  <c r="D920" i="2"/>
  <c r="C920" i="2"/>
  <c r="B919" i="2"/>
  <c r="A921" i="2"/>
  <c r="K922" i="2" a="1"/>
  <c r="L921" i="2" a="1"/>
  <c r="J921" i="2" a="1"/>
  <c r="I921" i="2" a="1"/>
  <c r="H921" i="2" a="1"/>
  <c r="G921" i="2" a="1"/>
  <c r="F921" i="2" a="1"/>
  <c r="E921" i="2" a="1"/>
  <c r="D921" i="2" a="1"/>
  <c r="C921" i="2" a="1"/>
  <c r="B920" i="2" a="1"/>
  <c r="K922" i="2" l="1"/>
  <c r="L921" i="2"/>
  <c r="J921" i="2"/>
  <c r="I921" i="2"/>
  <c r="H921" i="2"/>
  <c r="G921" i="2"/>
  <c r="F921" i="2"/>
  <c r="E921" i="2"/>
  <c r="D921" i="2"/>
  <c r="C921" i="2"/>
  <c r="B920" i="2"/>
  <c r="A922" i="2"/>
  <c r="K923" i="2" a="1"/>
  <c r="L922" i="2" a="1"/>
  <c r="J922" i="2" a="1"/>
  <c r="I922" i="2" a="1"/>
  <c r="H922" i="2" a="1"/>
  <c r="G922" i="2" a="1"/>
  <c r="F922" i="2" a="1"/>
  <c r="E922" i="2" a="1"/>
  <c r="D922" i="2" a="1"/>
  <c r="C922" i="2" a="1"/>
  <c r="B921" i="2" a="1"/>
  <c r="K923" i="2" l="1"/>
  <c r="L922" i="2"/>
  <c r="J922" i="2"/>
  <c r="I922" i="2"/>
  <c r="H922" i="2"/>
  <c r="G922" i="2"/>
  <c r="F922" i="2"/>
  <c r="E922" i="2"/>
  <c r="D922" i="2"/>
  <c r="C922" i="2"/>
  <c r="B921" i="2"/>
  <c r="A923" i="2"/>
  <c r="K924" i="2" a="1"/>
  <c r="L923" i="2" a="1"/>
  <c r="J923" i="2" a="1"/>
  <c r="I923" i="2" a="1"/>
  <c r="H923" i="2" a="1"/>
  <c r="G923" i="2" a="1"/>
  <c r="F923" i="2" a="1"/>
  <c r="E923" i="2" a="1"/>
  <c r="D923" i="2" a="1"/>
  <c r="C923" i="2" a="1"/>
  <c r="B922" i="2" a="1"/>
  <c r="K924" i="2" l="1"/>
  <c r="L923" i="2"/>
  <c r="J923" i="2"/>
  <c r="I923" i="2"/>
  <c r="H923" i="2"/>
  <c r="G923" i="2"/>
  <c r="F923" i="2"/>
  <c r="E923" i="2"/>
  <c r="D923" i="2"/>
  <c r="C923" i="2"/>
  <c r="B922" i="2"/>
  <c r="A924" i="2"/>
  <c r="K925" i="2" a="1"/>
  <c r="L924" i="2" a="1"/>
  <c r="J924" i="2" a="1"/>
  <c r="I924" i="2" a="1"/>
  <c r="H924" i="2" a="1"/>
  <c r="G924" i="2" a="1"/>
  <c r="F924" i="2" a="1"/>
  <c r="E924" i="2" a="1"/>
  <c r="D924" i="2" a="1"/>
  <c r="C924" i="2" a="1"/>
  <c r="B923" i="2" a="1"/>
  <c r="K925" i="2" l="1"/>
  <c r="L924" i="2"/>
  <c r="J924" i="2"/>
  <c r="I924" i="2"/>
  <c r="H924" i="2"/>
  <c r="G924" i="2"/>
  <c r="F924" i="2"/>
  <c r="E924" i="2"/>
  <c r="D924" i="2"/>
  <c r="C924" i="2"/>
  <c r="B923" i="2"/>
  <c r="A925" i="2"/>
  <c r="K926" i="2" a="1"/>
  <c r="L925" i="2" a="1"/>
  <c r="J925" i="2" a="1"/>
  <c r="I925" i="2" a="1"/>
  <c r="H925" i="2" a="1"/>
  <c r="G925" i="2" a="1"/>
  <c r="F925" i="2" a="1"/>
  <c r="E925" i="2" a="1"/>
  <c r="D925" i="2" a="1"/>
  <c r="C925" i="2" a="1"/>
  <c r="B924" i="2" a="1"/>
  <c r="K926" i="2" l="1"/>
  <c r="L925" i="2"/>
  <c r="J925" i="2"/>
  <c r="I925" i="2"/>
  <c r="H925" i="2"/>
  <c r="G925" i="2"/>
  <c r="F925" i="2"/>
  <c r="E925" i="2"/>
  <c r="D925" i="2"/>
  <c r="C925" i="2"/>
  <c r="B924" i="2"/>
  <c r="A926" i="2"/>
  <c r="K927" i="2" a="1"/>
  <c r="L926" i="2" a="1"/>
  <c r="J926" i="2" a="1"/>
  <c r="I926" i="2" a="1"/>
  <c r="H926" i="2" a="1"/>
  <c r="G926" i="2" a="1"/>
  <c r="F926" i="2" a="1"/>
  <c r="E926" i="2" a="1"/>
  <c r="D926" i="2" a="1"/>
  <c r="C926" i="2" a="1"/>
  <c r="B925" i="2" a="1"/>
  <c r="K927" i="2" l="1"/>
  <c r="L926" i="2"/>
  <c r="J926" i="2"/>
  <c r="I926" i="2"/>
  <c r="H926" i="2"/>
  <c r="G926" i="2"/>
  <c r="F926" i="2"/>
  <c r="E926" i="2"/>
  <c r="D926" i="2"/>
  <c r="C926" i="2"/>
  <c r="B925" i="2"/>
  <c r="A927" i="2"/>
  <c r="K928" i="2" a="1"/>
  <c r="L927" i="2" a="1"/>
  <c r="J927" i="2" a="1"/>
  <c r="I927" i="2" a="1"/>
  <c r="H927" i="2" a="1"/>
  <c r="G927" i="2" a="1"/>
  <c r="F927" i="2" a="1"/>
  <c r="E927" i="2" a="1"/>
  <c r="D927" i="2" a="1"/>
  <c r="C927" i="2" a="1"/>
  <c r="B926" i="2" a="1"/>
  <c r="K928" i="2" l="1"/>
  <c r="L927" i="2"/>
  <c r="J927" i="2"/>
  <c r="I927" i="2"/>
  <c r="H927" i="2"/>
  <c r="G927" i="2"/>
  <c r="F927" i="2"/>
  <c r="E927" i="2"/>
  <c r="D927" i="2"/>
  <c r="C927" i="2"/>
  <c r="B926" i="2"/>
  <c r="A928" i="2"/>
  <c r="K929" i="2" a="1"/>
  <c r="L928" i="2" a="1"/>
  <c r="J928" i="2" a="1"/>
  <c r="I928" i="2" a="1"/>
  <c r="H928" i="2" a="1"/>
  <c r="G928" i="2" a="1"/>
  <c r="F928" i="2" a="1"/>
  <c r="E928" i="2" a="1"/>
  <c r="D928" i="2" a="1"/>
  <c r="C928" i="2" a="1"/>
  <c r="B927" i="2" a="1"/>
  <c r="K929" i="2" l="1"/>
  <c r="L928" i="2"/>
  <c r="J928" i="2"/>
  <c r="I928" i="2"/>
  <c r="H928" i="2"/>
  <c r="G928" i="2"/>
  <c r="F928" i="2"/>
  <c r="E928" i="2"/>
  <c r="D928" i="2"/>
  <c r="C928" i="2"/>
  <c r="B927" i="2"/>
  <c r="A929" i="2"/>
  <c r="K930" i="2" a="1"/>
  <c r="L929" i="2" a="1"/>
  <c r="J929" i="2" a="1"/>
  <c r="I929" i="2" a="1"/>
  <c r="H929" i="2" a="1"/>
  <c r="G929" i="2" a="1"/>
  <c r="F929" i="2" a="1"/>
  <c r="E929" i="2" a="1"/>
  <c r="D929" i="2" a="1"/>
  <c r="C929" i="2" a="1"/>
  <c r="B928" i="2" a="1"/>
  <c r="K930" i="2" l="1"/>
  <c r="L929" i="2"/>
  <c r="J929" i="2"/>
  <c r="I929" i="2"/>
  <c r="H929" i="2"/>
  <c r="G929" i="2"/>
  <c r="F929" i="2"/>
  <c r="E929" i="2"/>
  <c r="D929" i="2"/>
  <c r="C929" i="2"/>
  <c r="B928" i="2"/>
  <c r="A930" i="2"/>
  <c r="K931" i="2" a="1"/>
  <c r="L930" i="2" a="1"/>
  <c r="J930" i="2" a="1"/>
  <c r="I930" i="2" a="1"/>
  <c r="H930" i="2" a="1"/>
  <c r="G930" i="2" a="1"/>
  <c r="F930" i="2" a="1"/>
  <c r="E930" i="2" a="1"/>
  <c r="D930" i="2" a="1"/>
  <c r="C930" i="2" a="1"/>
  <c r="B929" i="2" a="1"/>
  <c r="K931" i="2" l="1"/>
  <c r="L930" i="2"/>
  <c r="J930" i="2"/>
  <c r="I930" i="2"/>
  <c r="H930" i="2"/>
  <c r="G930" i="2"/>
  <c r="F930" i="2"/>
  <c r="E930" i="2"/>
  <c r="D930" i="2"/>
  <c r="C930" i="2"/>
  <c r="B929" i="2"/>
  <c r="A931" i="2"/>
  <c r="K932" i="2" a="1"/>
  <c r="L931" i="2" a="1"/>
  <c r="J931" i="2" a="1"/>
  <c r="I931" i="2" a="1"/>
  <c r="H931" i="2" a="1"/>
  <c r="G931" i="2" a="1"/>
  <c r="F931" i="2" a="1"/>
  <c r="E931" i="2" a="1"/>
  <c r="D931" i="2" a="1"/>
  <c r="C931" i="2" a="1"/>
  <c r="B930" i="2" a="1"/>
  <c r="K932" i="2" l="1"/>
  <c r="L931" i="2"/>
  <c r="J931" i="2"/>
  <c r="I931" i="2"/>
  <c r="H931" i="2"/>
  <c r="G931" i="2"/>
  <c r="F931" i="2"/>
  <c r="E931" i="2"/>
  <c r="D931" i="2"/>
  <c r="C931" i="2"/>
  <c r="B930" i="2"/>
  <c r="A932" i="2"/>
  <c r="K933" i="2" a="1"/>
  <c r="L932" i="2" a="1"/>
  <c r="J932" i="2" a="1"/>
  <c r="I932" i="2" a="1"/>
  <c r="H932" i="2" a="1"/>
  <c r="G932" i="2" a="1"/>
  <c r="F932" i="2" a="1"/>
  <c r="E932" i="2" a="1"/>
  <c r="D932" i="2" a="1"/>
  <c r="C932" i="2" a="1"/>
  <c r="B931" i="2" a="1"/>
  <c r="K933" i="2" l="1"/>
  <c r="L932" i="2"/>
  <c r="J932" i="2"/>
  <c r="I932" i="2"/>
  <c r="H932" i="2"/>
  <c r="G932" i="2"/>
  <c r="F932" i="2"/>
  <c r="E932" i="2"/>
  <c r="D932" i="2"/>
  <c r="C932" i="2"/>
  <c r="B931" i="2"/>
  <c r="A933" i="2"/>
  <c r="K934" i="2" a="1"/>
  <c r="L933" i="2" a="1"/>
  <c r="J933" i="2" a="1"/>
  <c r="I933" i="2" a="1"/>
  <c r="H933" i="2" a="1"/>
  <c r="G933" i="2" a="1"/>
  <c r="F933" i="2" a="1"/>
  <c r="E933" i="2" a="1"/>
  <c r="D933" i="2" a="1"/>
  <c r="C933" i="2" a="1"/>
  <c r="B932" i="2" a="1"/>
  <c r="K934" i="2" l="1"/>
  <c r="L933" i="2"/>
  <c r="J933" i="2"/>
  <c r="I933" i="2"/>
  <c r="H933" i="2"/>
  <c r="G933" i="2"/>
  <c r="F933" i="2"/>
  <c r="E933" i="2"/>
  <c r="D933" i="2"/>
  <c r="C933" i="2"/>
  <c r="B932" i="2"/>
  <c r="A934" i="2"/>
  <c r="K935" i="2" a="1"/>
  <c r="L934" i="2" a="1"/>
  <c r="J934" i="2" a="1"/>
  <c r="I934" i="2" a="1"/>
  <c r="H934" i="2" a="1"/>
  <c r="G934" i="2" a="1"/>
  <c r="F934" i="2" a="1"/>
  <c r="E934" i="2" a="1"/>
  <c r="D934" i="2" a="1"/>
  <c r="C934" i="2" a="1"/>
  <c r="B933" i="2" a="1"/>
  <c r="K935" i="2" l="1"/>
  <c r="L934" i="2"/>
  <c r="J934" i="2"/>
  <c r="I934" i="2"/>
  <c r="H934" i="2"/>
  <c r="G934" i="2"/>
  <c r="F934" i="2"/>
  <c r="E934" i="2"/>
  <c r="D934" i="2"/>
  <c r="C934" i="2"/>
  <c r="B933" i="2"/>
  <c r="A935" i="2"/>
  <c r="K936" i="2" a="1"/>
  <c r="L935" i="2" a="1"/>
  <c r="J935" i="2" a="1"/>
  <c r="I935" i="2" a="1"/>
  <c r="H935" i="2" a="1"/>
  <c r="G935" i="2" a="1"/>
  <c r="F935" i="2" a="1"/>
  <c r="E935" i="2" a="1"/>
  <c r="D935" i="2" a="1"/>
  <c r="C935" i="2" a="1"/>
  <c r="B934" i="2" a="1"/>
  <c r="K936" i="2" l="1"/>
  <c r="L935" i="2"/>
  <c r="J935" i="2"/>
  <c r="I935" i="2"/>
  <c r="H935" i="2"/>
  <c r="G935" i="2"/>
  <c r="F935" i="2"/>
  <c r="E935" i="2"/>
  <c r="D935" i="2"/>
  <c r="C935" i="2"/>
  <c r="B934" i="2"/>
  <c r="A936" i="2"/>
  <c r="K937" i="2" a="1"/>
  <c r="L936" i="2" a="1"/>
  <c r="J936" i="2" a="1"/>
  <c r="I936" i="2" a="1"/>
  <c r="H936" i="2" a="1"/>
  <c r="G936" i="2" a="1"/>
  <c r="F936" i="2" a="1"/>
  <c r="E936" i="2" a="1"/>
  <c r="D936" i="2" a="1"/>
  <c r="C936" i="2" a="1"/>
  <c r="B935" i="2" a="1"/>
  <c r="K937" i="2" l="1"/>
  <c r="L936" i="2"/>
  <c r="J936" i="2"/>
  <c r="I936" i="2"/>
  <c r="H936" i="2"/>
  <c r="G936" i="2"/>
  <c r="F936" i="2"/>
  <c r="E936" i="2"/>
  <c r="D936" i="2"/>
  <c r="C936" i="2"/>
  <c r="B935" i="2"/>
  <c r="A937" i="2"/>
  <c r="K938" i="2" a="1"/>
  <c r="L937" i="2" a="1"/>
  <c r="J937" i="2" a="1"/>
  <c r="I937" i="2" a="1"/>
  <c r="H937" i="2" a="1"/>
  <c r="G937" i="2" a="1"/>
  <c r="F937" i="2" a="1"/>
  <c r="E937" i="2" a="1"/>
  <c r="D937" i="2" a="1"/>
  <c r="C937" i="2" a="1"/>
  <c r="B936" i="2" a="1"/>
  <c r="K938" i="2" l="1"/>
  <c r="L937" i="2"/>
  <c r="J937" i="2"/>
  <c r="I937" i="2"/>
  <c r="H937" i="2"/>
  <c r="G937" i="2"/>
  <c r="F937" i="2"/>
  <c r="E937" i="2"/>
  <c r="D937" i="2"/>
  <c r="C937" i="2"/>
  <c r="B936" i="2"/>
  <c r="A938" i="2"/>
  <c r="K939" i="2" a="1"/>
  <c r="L938" i="2" a="1"/>
  <c r="J938" i="2" a="1"/>
  <c r="I938" i="2" a="1"/>
  <c r="H938" i="2" a="1"/>
  <c r="G938" i="2" a="1"/>
  <c r="F938" i="2" a="1"/>
  <c r="E938" i="2" a="1"/>
  <c r="D938" i="2" a="1"/>
  <c r="C938" i="2" a="1"/>
  <c r="B937" i="2" a="1"/>
  <c r="K939" i="2" l="1"/>
  <c r="L938" i="2"/>
  <c r="J938" i="2"/>
  <c r="I938" i="2"/>
  <c r="H938" i="2"/>
  <c r="G938" i="2"/>
  <c r="F938" i="2"/>
  <c r="E938" i="2"/>
  <c r="D938" i="2"/>
  <c r="C938" i="2"/>
  <c r="B937" i="2"/>
  <c r="A939" i="2"/>
  <c r="K940" i="2" a="1"/>
  <c r="L939" i="2" a="1"/>
  <c r="J939" i="2" a="1"/>
  <c r="I939" i="2" a="1"/>
  <c r="H939" i="2" a="1"/>
  <c r="G939" i="2" a="1"/>
  <c r="F939" i="2" a="1"/>
  <c r="E939" i="2" a="1"/>
  <c r="D939" i="2" a="1"/>
  <c r="C939" i="2" a="1"/>
  <c r="B938" i="2" a="1"/>
  <c r="K940" i="2" l="1"/>
  <c r="L939" i="2"/>
  <c r="J939" i="2"/>
  <c r="I939" i="2"/>
  <c r="H939" i="2"/>
  <c r="G939" i="2"/>
  <c r="F939" i="2"/>
  <c r="E939" i="2"/>
  <c r="D939" i="2"/>
  <c r="C939" i="2"/>
  <c r="B938" i="2"/>
  <c r="A940" i="2"/>
  <c r="K941" i="2" a="1"/>
  <c r="L940" i="2" a="1"/>
  <c r="J940" i="2" a="1"/>
  <c r="I940" i="2" a="1"/>
  <c r="H940" i="2" a="1"/>
  <c r="G940" i="2" a="1"/>
  <c r="F940" i="2" a="1"/>
  <c r="E940" i="2" a="1"/>
  <c r="D940" i="2" a="1"/>
  <c r="C940" i="2" a="1"/>
  <c r="B939" i="2" a="1"/>
  <c r="K941" i="2" l="1"/>
  <c r="L940" i="2"/>
  <c r="J940" i="2"/>
  <c r="I940" i="2"/>
  <c r="H940" i="2"/>
  <c r="G940" i="2"/>
  <c r="F940" i="2"/>
  <c r="E940" i="2"/>
  <c r="D940" i="2"/>
  <c r="C940" i="2"/>
  <c r="B939" i="2"/>
  <c r="A941" i="2"/>
  <c r="K942" i="2" a="1"/>
  <c r="L941" i="2" a="1"/>
  <c r="J941" i="2" a="1"/>
  <c r="I941" i="2" a="1"/>
  <c r="H941" i="2" a="1"/>
  <c r="G941" i="2" a="1"/>
  <c r="F941" i="2" a="1"/>
  <c r="E941" i="2" a="1"/>
  <c r="D941" i="2" a="1"/>
  <c r="C941" i="2" a="1"/>
  <c r="B940" i="2" a="1"/>
  <c r="K942" i="2" l="1"/>
  <c r="L941" i="2"/>
  <c r="J941" i="2"/>
  <c r="I941" i="2"/>
  <c r="H941" i="2"/>
  <c r="G941" i="2"/>
  <c r="F941" i="2"/>
  <c r="E941" i="2"/>
  <c r="D941" i="2"/>
  <c r="C941" i="2"/>
  <c r="B940" i="2"/>
  <c r="A942" i="2"/>
  <c r="K943" i="2" a="1"/>
  <c r="L942" i="2" a="1"/>
  <c r="J942" i="2" a="1"/>
  <c r="I942" i="2" a="1"/>
  <c r="H942" i="2" a="1"/>
  <c r="G942" i="2" a="1"/>
  <c r="F942" i="2" a="1"/>
  <c r="E942" i="2" a="1"/>
  <c r="D942" i="2" a="1"/>
  <c r="C942" i="2" a="1"/>
  <c r="B941" i="2" a="1"/>
  <c r="K943" i="2" l="1"/>
  <c r="L942" i="2"/>
  <c r="J942" i="2"/>
  <c r="I942" i="2"/>
  <c r="H942" i="2"/>
  <c r="G942" i="2"/>
  <c r="F942" i="2"/>
  <c r="E942" i="2"/>
  <c r="D942" i="2"/>
  <c r="C942" i="2"/>
  <c r="B941" i="2"/>
  <c r="A943" i="2"/>
  <c r="K944" i="2" a="1"/>
  <c r="L943" i="2" a="1"/>
  <c r="J943" i="2" a="1"/>
  <c r="I943" i="2" a="1"/>
  <c r="H943" i="2" a="1"/>
  <c r="G943" i="2" a="1"/>
  <c r="F943" i="2" a="1"/>
  <c r="E943" i="2" a="1"/>
  <c r="D943" i="2" a="1"/>
  <c r="C943" i="2" a="1"/>
  <c r="B942" i="2" a="1"/>
  <c r="K944" i="2" l="1"/>
  <c r="L943" i="2"/>
  <c r="J943" i="2"/>
  <c r="I943" i="2"/>
  <c r="H943" i="2"/>
  <c r="G943" i="2"/>
  <c r="F943" i="2"/>
  <c r="E943" i="2"/>
  <c r="D943" i="2"/>
  <c r="C943" i="2"/>
  <c r="B942" i="2"/>
  <c r="A944" i="2"/>
  <c r="K945" i="2" a="1"/>
  <c r="L944" i="2" a="1"/>
  <c r="J944" i="2" a="1"/>
  <c r="I944" i="2" a="1"/>
  <c r="H944" i="2" a="1"/>
  <c r="G944" i="2" a="1"/>
  <c r="F944" i="2" a="1"/>
  <c r="E944" i="2" a="1"/>
  <c r="D944" i="2" a="1"/>
  <c r="C944" i="2" a="1"/>
  <c r="B943" i="2" a="1"/>
  <c r="K945" i="2" l="1"/>
  <c r="L944" i="2"/>
  <c r="J944" i="2"/>
  <c r="I944" i="2"/>
  <c r="H944" i="2"/>
  <c r="G944" i="2"/>
  <c r="F944" i="2"/>
  <c r="E944" i="2"/>
  <c r="D944" i="2"/>
  <c r="C944" i="2"/>
  <c r="B943" i="2"/>
  <c r="A945" i="2"/>
  <c r="K946" i="2" a="1"/>
  <c r="L945" i="2" a="1"/>
  <c r="J945" i="2" a="1"/>
  <c r="I945" i="2" a="1"/>
  <c r="H945" i="2" a="1"/>
  <c r="G945" i="2" a="1"/>
  <c r="F945" i="2" a="1"/>
  <c r="E945" i="2" a="1"/>
  <c r="D945" i="2" a="1"/>
  <c r="C945" i="2" a="1"/>
  <c r="B944" i="2" a="1"/>
  <c r="K946" i="2" l="1"/>
  <c r="L945" i="2"/>
  <c r="J945" i="2"/>
  <c r="I945" i="2"/>
  <c r="H945" i="2"/>
  <c r="G945" i="2"/>
  <c r="F945" i="2"/>
  <c r="E945" i="2"/>
  <c r="D945" i="2"/>
  <c r="C945" i="2"/>
  <c r="B944" i="2"/>
  <c r="A946" i="2"/>
  <c r="K947" i="2" a="1"/>
  <c r="L946" i="2" a="1"/>
  <c r="J946" i="2" a="1"/>
  <c r="I946" i="2" a="1"/>
  <c r="H946" i="2" a="1"/>
  <c r="G946" i="2" a="1"/>
  <c r="F946" i="2" a="1"/>
  <c r="E946" i="2" a="1"/>
  <c r="D946" i="2" a="1"/>
  <c r="C946" i="2" a="1"/>
  <c r="B945" i="2" a="1"/>
  <c r="K947" i="2" l="1"/>
  <c r="L946" i="2"/>
  <c r="J946" i="2"/>
  <c r="I946" i="2"/>
  <c r="H946" i="2"/>
  <c r="G946" i="2"/>
  <c r="F946" i="2"/>
  <c r="E946" i="2"/>
  <c r="D946" i="2"/>
  <c r="C946" i="2"/>
  <c r="B945" i="2"/>
  <c r="A947" i="2"/>
  <c r="K948" i="2" a="1"/>
  <c r="L947" i="2" a="1"/>
  <c r="J947" i="2" a="1"/>
  <c r="I947" i="2" a="1"/>
  <c r="H947" i="2" a="1"/>
  <c r="G947" i="2" a="1"/>
  <c r="F947" i="2" a="1"/>
  <c r="E947" i="2" a="1"/>
  <c r="D947" i="2" a="1"/>
  <c r="C947" i="2" a="1"/>
  <c r="B946" i="2" a="1"/>
  <c r="K948" i="2" l="1"/>
  <c r="L947" i="2"/>
  <c r="J947" i="2"/>
  <c r="I947" i="2"/>
  <c r="H947" i="2"/>
  <c r="G947" i="2"/>
  <c r="F947" i="2"/>
  <c r="E947" i="2"/>
  <c r="D947" i="2"/>
  <c r="C947" i="2"/>
  <c r="B946" i="2"/>
  <c r="A948" i="2"/>
  <c r="K949" i="2" a="1"/>
  <c r="L948" i="2" a="1"/>
  <c r="J948" i="2" a="1"/>
  <c r="I948" i="2" a="1"/>
  <c r="H948" i="2" a="1"/>
  <c r="G948" i="2" a="1"/>
  <c r="F948" i="2" a="1"/>
  <c r="E948" i="2" a="1"/>
  <c r="D948" i="2" a="1"/>
  <c r="C948" i="2" a="1"/>
  <c r="B947" i="2" a="1"/>
  <c r="K949" i="2" l="1"/>
  <c r="L948" i="2"/>
  <c r="J948" i="2"/>
  <c r="I948" i="2"/>
  <c r="H948" i="2"/>
  <c r="G948" i="2"/>
  <c r="F948" i="2"/>
  <c r="E948" i="2"/>
  <c r="D948" i="2"/>
  <c r="C948" i="2"/>
  <c r="B947" i="2"/>
  <c r="A949" i="2"/>
  <c r="K950" i="2" a="1"/>
  <c r="L949" i="2" a="1"/>
  <c r="J949" i="2" a="1"/>
  <c r="I949" i="2" a="1"/>
  <c r="H949" i="2" a="1"/>
  <c r="G949" i="2" a="1"/>
  <c r="F949" i="2" a="1"/>
  <c r="E949" i="2" a="1"/>
  <c r="D949" i="2" a="1"/>
  <c r="C949" i="2" a="1"/>
  <c r="B948" i="2" a="1"/>
  <c r="K950" i="2" l="1"/>
  <c r="L949" i="2"/>
  <c r="J949" i="2"/>
  <c r="I949" i="2"/>
  <c r="H949" i="2"/>
  <c r="G949" i="2"/>
  <c r="F949" i="2"/>
  <c r="E949" i="2"/>
  <c r="D949" i="2"/>
  <c r="C949" i="2"/>
  <c r="B948" i="2"/>
  <c r="A950" i="2"/>
  <c r="K951" i="2" a="1"/>
  <c r="L950" i="2" a="1"/>
  <c r="J950" i="2" a="1"/>
  <c r="I950" i="2" a="1"/>
  <c r="H950" i="2" a="1"/>
  <c r="G950" i="2" a="1"/>
  <c r="F950" i="2" a="1"/>
  <c r="E950" i="2" a="1"/>
  <c r="D950" i="2" a="1"/>
  <c r="C950" i="2" a="1"/>
  <c r="B949" i="2" a="1"/>
  <c r="K951" i="2" l="1"/>
  <c r="L950" i="2"/>
  <c r="J950" i="2"/>
  <c r="I950" i="2"/>
  <c r="H950" i="2"/>
  <c r="G950" i="2"/>
  <c r="F950" i="2"/>
  <c r="E950" i="2"/>
  <c r="D950" i="2"/>
  <c r="C950" i="2"/>
  <c r="B949" i="2"/>
  <c r="A951" i="2"/>
  <c r="K952" i="2" a="1"/>
  <c r="L951" i="2" a="1"/>
  <c r="J951" i="2" a="1"/>
  <c r="I951" i="2" a="1"/>
  <c r="H951" i="2" a="1"/>
  <c r="G951" i="2" a="1"/>
  <c r="F951" i="2" a="1"/>
  <c r="E951" i="2" a="1"/>
  <c r="D951" i="2" a="1"/>
  <c r="C951" i="2" a="1"/>
  <c r="B950" i="2" a="1"/>
  <c r="K952" i="2" l="1"/>
  <c r="L951" i="2"/>
  <c r="J951" i="2"/>
  <c r="I951" i="2"/>
  <c r="H951" i="2"/>
  <c r="G951" i="2"/>
  <c r="F951" i="2"/>
  <c r="E951" i="2"/>
  <c r="D951" i="2"/>
  <c r="C951" i="2"/>
  <c r="B950" i="2"/>
  <c r="A952" i="2"/>
  <c r="K953" i="2" a="1"/>
  <c r="L952" i="2" a="1"/>
  <c r="J952" i="2" a="1"/>
  <c r="I952" i="2" a="1"/>
  <c r="H952" i="2" a="1"/>
  <c r="G952" i="2" a="1"/>
  <c r="F952" i="2" a="1"/>
  <c r="E952" i="2" a="1"/>
  <c r="D952" i="2" a="1"/>
  <c r="C952" i="2" a="1"/>
  <c r="B951" i="2" a="1"/>
  <c r="K953" i="2" l="1"/>
  <c r="L952" i="2"/>
  <c r="J952" i="2"/>
  <c r="I952" i="2"/>
  <c r="H952" i="2"/>
  <c r="G952" i="2"/>
  <c r="F952" i="2"/>
  <c r="E952" i="2"/>
  <c r="D952" i="2"/>
  <c r="C952" i="2"/>
  <c r="B951" i="2"/>
  <c r="A953" i="2"/>
  <c r="K954" i="2" a="1"/>
  <c r="L953" i="2" a="1"/>
  <c r="J953" i="2" a="1"/>
  <c r="I953" i="2" a="1"/>
  <c r="H953" i="2" a="1"/>
  <c r="G953" i="2" a="1"/>
  <c r="F953" i="2" a="1"/>
  <c r="E953" i="2" a="1"/>
  <c r="D953" i="2" a="1"/>
  <c r="C953" i="2" a="1"/>
  <c r="B952" i="2" a="1"/>
  <c r="K954" i="2" l="1"/>
  <c r="L953" i="2"/>
  <c r="J953" i="2"/>
  <c r="I953" i="2"/>
  <c r="H953" i="2"/>
  <c r="G953" i="2"/>
  <c r="F953" i="2"/>
  <c r="E953" i="2"/>
  <c r="D953" i="2"/>
  <c r="C953" i="2"/>
  <c r="B952" i="2"/>
  <c r="A954" i="2"/>
  <c r="K955" i="2" a="1"/>
  <c r="L954" i="2" a="1"/>
  <c r="J954" i="2" a="1"/>
  <c r="I954" i="2" a="1"/>
  <c r="H954" i="2" a="1"/>
  <c r="G954" i="2" a="1"/>
  <c r="F954" i="2" a="1"/>
  <c r="E954" i="2" a="1"/>
  <c r="D954" i="2" a="1"/>
  <c r="C954" i="2" a="1"/>
  <c r="B953" i="2" a="1"/>
  <c r="K955" i="2" l="1"/>
  <c r="L954" i="2"/>
  <c r="J954" i="2"/>
  <c r="I954" i="2"/>
  <c r="H954" i="2"/>
  <c r="G954" i="2"/>
  <c r="F954" i="2"/>
  <c r="E954" i="2"/>
  <c r="D954" i="2"/>
  <c r="C954" i="2"/>
  <c r="B953" i="2"/>
  <c r="A955" i="2"/>
  <c r="K956" i="2" a="1"/>
  <c r="L955" i="2" a="1"/>
  <c r="J955" i="2" a="1"/>
  <c r="I955" i="2" a="1"/>
  <c r="H955" i="2" a="1"/>
  <c r="G955" i="2" a="1"/>
  <c r="F955" i="2" a="1"/>
  <c r="E955" i="2" a="1"/>
  <c r="D955" i="2" a="1"/>
  <c r="C955" i="2" a="1"/>
  <c r="B954" i="2" a="1"/>
  <c r="K956" i="2" l="1"/>
  <c r="L955" i="2"/>
  <c r="J955" i="2"/>
  <c r="I955" i="2"/>
  <c r="H955" i="2"/>
  <c r="G955" i="2"/>
  <c r="F955" i="2"/>
  <c r="E955" i="2"/>
  <c r="D955" i="2"/>
  <c r="C955" i="2"/>
  <c r="B954" i="2"/>
  <c r="A956" i="2"/>
  <c r="K957" i="2" a="1"/>
  <c r="L956" i="2" a="1"/>
  <c r="J956" i="2" a="1"/>
  <c r="I956" i="2" a="1"/>
  <c r="H956" i="2" a="1"/>
  <c r="G956" i="2" a="1"/>
  <c r="F956" i="2" a="1"/>
  <c r="E956" i="2" a="1"/>
  <c r="D956" i="2" a="1"/>
  <c r="C956" i="2" a="1"/>
  <c r="B955" i="2" a="1"/>
  <c r="K957" i="2" l="1"/>
  <c r="L956" i="2"/>
  <c r="J956" i="2"/>
  <c r="I956" i="2"/>
  <c r="H956" i="2"/>
  <c r="G956" i="2"/>
  <c r="F956" i="2"/>
  <c r="E956" i="2"/>
  <c r="D956" i="2"/>
  <c r="C956" i="2"/>
  <c r="B955" i="2"/>
  <c r="A957" i="2"/>
  <c r="K958" i="2" a="1"/>
  <c r="L957" i="2" a="1"/>
  <c r="J957" i="2" a="1"/>
  <c r="I957" i="2" a="1"/>
  <c r="H957" i="2" a="1"/>
  <c r="G957" i="2" a="1"/>
  <c r="F957" i="2" a="1"/>
  <c r="E957" i="2" a="1"/>
  <c r="D957" i="2" a="1"/>
  <c r="C957" i="2" a="1"/>
  <c r="B956" i="2" a="1"/>
  <c r="K958" i="2" l="1"/>
  <c r="L957" i="2"/>
  <c r="J957" i="2"/>
  <c r="I957" i="2"/>
  <c r="H957" i="2"/>
  <c r="G957" i="2"/>
  <c r="F957" i="2"/>
  <c r="E957" i="2"/>
  <c r="D957" i="2"/>
  <c r="C957" i="2"/>
  <c r="B956" i="2"/>
  <c r="A958" i="2"/>
  <c r="K959" i="2" a="1"/>
  <c r="L958" i="2" a="1"/>
  <c r="J958" i="2" a="1"/>
  <c r="I958" i="2" a="1"/>
  <c r="H958" i="2" a="1"/>
  <c r="G958" i="2" a="1"/>
  <c r="F958" i="2" a="1"/>
  <c r="E958" i="2" a="1"/>
  <c r="D958" i="2" a="1"/>
  <c r="C958" i="2" a="1"/>
  <c r="B957" i="2" a="1"/>
  <c r="K959" i="2" l="1"/>
  <c r="L958" i="2"/>
  <c r="J958" i="2"/>
  <c r="I958" i="2"/>
  <c r="H958" i="2"/>
  <c r="G958" i="2"/>
  <c r="F958" i="2"/>
  <c r="E958" i="2"/>
  <c r="D958" i="2"/>
  <c r="C958" i="2"/>
  <c r="B957" i="2"/>
  <c r="A959" i="2"/>
  <c r="K960" i="2" a="1"/>
  <c r="L959" i="2" a="1"/>
  <c r="J959" i="2" a="1"/>
  <c r="I959" i="2" a="1"/>
  <c r="H959" i="2" a="1"/>
  <c r="G959" i="2" a="1"/>
  <c r="F959" i="2" a="1"/>
  <c r="E959" i="2" a="1"/>
  <c r="D959" i="2" a="1"/>
  <c r="C959" i="2" a="1"/>
  <c r="B958" i="2" a="1"/>
  <c r="K960" i="2" l="1"/>
  <c r="L959" i="2"/>
  <c r="J959" i="2"/>
  <c r="I959" i="2"/>
  <c r="H959" i="2"/>
  <c r="G959" i="2"/>
  <c r="F959" i="2"/>
  <c r="E959" i="2"/>
  <c r="D959" i="2"/>
  <c r="C959" i="2"/>
  <c r="B958" i="2"/>
  <c r="A960" i="2"/>
  <c r="K961" i="2" a="1"/>
  <c r="L960" i="2" a="1"/>
  <c r="J960" i="2" a="1"/>
  <c r="I960" i="2" a="1"/>
  <c r="H960" i="2" a="1"/>
  <c r="G960" i="2" a="1"/>
  <c r="F960" i="2" a="1"/>
  <c r="E960" i="2" a="1"/>
  <c r="D960" i="2" a="1"/>
  <c r="C960" i="2" a="1"/>
  <c r="B959" i="2" a="1"/>
  <c r="K961" i="2" l="1"/>
  <c r="L960" i="2"/>
  <c r="J960" i="2"/>
  <c r="I960" i="2"/>
  <c r="H960" i="2"/>
  <c r="G960" i="2"/>
  <c r="F960" i="2"/>
  <c r="E960" i="2"/>
  <c r="D960" i="2"/>
  <c r="C960" i="2"/>
  <c r="B959" i="2"/>
  <c r="A961" i="2"/>
  <c r="K962" i="2" a="1"/>
  <c r="L961" i="2" a="1"/>
  <c r="J961" i="2" a="1"/>
  <c r="I961" i="2" a="1"/>
  <c r="H961" i="2" a="1"/>
  <c r="G961" i="2" a="1"/>
  <c r="F961" i="2" a="1"/>
  <c r="E961" i="2" a="1"/>
  <c r="D961" i="2" a="1"/>
  <c r="C961" i="2" a="1"/>
  <c r="B960" i="2" a="1"/>
  <c r="K962" i="2" l="1"/>
  <c r="L961" i="2"/>
  <c r="J961" i="2"/>
  <c r="I961" i="2"/>
  <c r="H961" i="2"/>
  <c r="G961" i="2"/>
  <c r="F961" i="2"/>
  <c r="E961" i="2"/>
  <c r="D961" i="2"/>
  <c r="C961" i="2"/>
  <c r="B960" i="2"/>
  <c r="A962" i="2"/>
  <c r="K963" i="2" a="1"/>
  <c r="L962" i="2" a="1"/>
  <c r="J962" i="2" a="1"/>
  <c r="I962" i="2" a="1"/>
  <c r="H962" i="2" a="1"/>
  <c r="G962" i="2" a="1"/>
  <c r="F962" i="2" a="1"/>
  <c r="E962" i="2" a="1"/>
  <c r="D962" i="2" a="1"/>
  <c r="C962" i="2" a="1"/>
  <c r="B961" i="2" a="1"/>
  <c r="K963" i="2" l="1"/>
  <c r="L962" i="2"/>
  <c r="J962" i="2"/>
  <c r="I962" i="2"/>
  <c r="H962" i="2"/>
  <c r="G962" i="2"/>
  <c r="F962" i="2"/>
  <c r="E962" i="2"/>
  <c r="D962" i="2"/>
  <c r="C962" i="2"/>
  <c r="B961" i="2"/>
  <c r="A963" i="2"/>
  <c r="K964" i="2" a="1"/>
  <c r="L963" i="2" a="1"/>
  <c r="J963" i="2" a="1"/>
  <c r="I963" i="2" a="1"/>
  <c r="H963" i="2" a="1"/>
  <c r="G963" i="2" a="1"/>
  <c r="F963" i="2" a="1"/>
  <c r="E963" i="2" a="1"/>
  <c r="D963" i="2" a="1"/>
  <c r="C963" i="2" a="1"/>
  <c r="B962" i="2" a="1"/>
  <c r="K964" i="2" l="1"/>
  <c r="L963" i="2"/>
  <c r="J963" i="2"/>
  <c r="I963" i="2"/>
  <c r="H963" i="2"/>
  <c r="G963" i="2"/>
  <c r="F963" i="2"/>
  <c r="E963" i="2"/>
  <c r="D963" i="2"/>
  <c r="C963" i="2"/>
  <c r="B962" i="2"/>
  <c r="A964" i="2"/>
  <c r="K965" i="2" a="1"/>
  <c r="L964" i="2" a="1"/>
  <c r="J964" i="2" a="1"/>
  <c r="I964" i="2" a="1"/>
  <c r="H964" i="2" a="1"/>
  <c r="G964" i="2" a="1"/>
  <c r="F964" i="2" a="1"/>
  <c r="E964" i="2" a="1"/>
  <c r="D964" i="2" a="1"/>
  <c r="C964" i="2" a="1"/>
  <c r="B963" i="2" a="1"/>
  <c r="K965" i="2" l="1"/>
  <c r="L964" i="2"/>
  <c r="J964" i="2"/>
  <c r="I964" i="2"/>
  <c r="H964" i="2"/>
  <c r="G964" i="2"/>
  <c r="F964" i="2"/>
  <c r="E964" i="2"/>
  <c r="D964" i="2"/>
  <c r="C964" i="2"/>
  <c r="B963" i="2"/>
  <c r="A965" i="2"/>
  <c r="K966" i="2" a="1"/>
  <c r="L965" i="2" a="1"/>
  <c r="J965" i="2" a="1"/>
  <c r="I965" i="2" a="1"/>
  <c r="H965" i="2" a="1"/>
  <c r="G965" i="2" a="1"/>
  <c r="F965" i="2" a="1"/>
  <c r="E965" i="2" a="1"/>
  <c r="D965" i="2" a="1"/>
  <c r="C965" i="2" a="1"/>
  <c r="B964" i="2" a="1"/>
  <c r="K966" i="2" l="1"/>
  <c r="L965" i="2"/>
  <c r="J965" i="2"/>
  <c r="I965" i="2"/>
  <c r="H965" i="2"/>
  <c r="G965" i="2"/>
  <c r="F965" i="2"/>
  <c r="E965" i="2"/>
  <c r="D965" i="2"/>
  <c r="C965" i="2"/>
  <c r="B964" i="2"/>
  <c r="A966" i="2"/>
  <c r="K967" i="2" a="1"/>
  <c r="L966" i="2" a="1"/>
  <c r="J966" i="2" a="1"/>
  <c r="I966" i="2" a="1"/>
  <c r="H966" i="2" a="1"/>
  <c r="G966" i="2" a="1"/>
  <c r="F966" i="2" a="1"/>
  <c r="E966" i="2" a="1"/>
  <c r="D966" i="2" a="1"/>
  <c r="C966" i="2" a="1"/>
  <c r="B965" i="2" a="1"/>
  <c r="K967" i="2" l="1"/>
  <c r="L966" i="2"/>
  <c r="J966" i="2"/>
  <c r="I966" i="2"/>
  <c r="H966" i="2"/>
  <c r="G966" i="2"/>
  <c r="F966" i="2"/>
  <c r="E966" i="2"/>
  <c r="D966" i="2"/>
  <c r="C966" i="2"/>
  <c r="B965" i="2"/>
  <c r="A967" i="2"/>
  <c r="K968" i="2" a="1"/>
  <c r="L967" i="2" a="1"/>
  <c r="J967" i="2" a="1"/>
  <c r="I967" i="2" a="1"/>
  <c r="H967" i="2" a="1"/>
  <c r="G967" i="2" a="1"/>
  <c r="F967" i="2" a="1"/>
  <c r="E967" i="2" a="1"/>
  <c r="D967" i="2" a="1"/>
  <c r="C967" i="2" a="1"/>
  <c r="B966" i="2" a="1"/>
  <c r="K968" i="2" l="1"/>
  <c r="L967" i="2"/>
  <c r="J967" i="2"/>
  <c r="I967" i="2"/>
  <c r="H967" i="2"/>
  <c r="G967" i="2"/>
  <c r="F967" i="2"/>
  <c r="E967" i="2"/>
  <c r="D967" i="2"/>
  <c r="C967" i="2"/>
  <c r="B966" i="2"/>
  <c r="A968" i="2"/>
  <c r="K969" i="2" a="1"/>
  <c r="L968" i="2" a="1"/>
  <c r="J968" i="2" a="1"/>
  <c r="I968" i="2" a="1"/>
  <c r="H968" i="2" a="1"/>
  <c r="G968" i="2" a="1"/>
  <c r="F968" i="2" a="1"/>
  <c r="E968" i="2" a="1"/>
  <c r="D968" i="2" a="1"/>
  <c r="C968" i="2" a="1"/>
  <c r="B967" i="2" a="1"/>
  <c r="K969" i="2" l="1"/>
  <c r="L968" i="2"/>
  <c r="J968" i="2"/>
  <c r="I968" i="2"/>
  <c r="H968" i="2"/>
  <c r="G968" i="2"/>
  <c r="F968" i="2"/>
  <c r="E968" i="2"/>
  <c r="D968" i="2"/>
  <c r="C968" i="2"/>
  <c r="B967" i="2"/>
  <c r="A969" i="2"/>
  <c r="K970" i="2" a="1"/>
  <c r="L969" i="2" a="1"/>
  <c r="J969" i="2" a="1"/>
  <c r="I969" i="2" a="1"/>
  <c r="H969" i="2" a="1"/>
  <c r="G969" i="2" a="1"/>
  <c r="F969" i="2" a="1"/>
  <c r="E969" i="2" a="1"/>
  <c r="D969" i="2" a="1"/>
  <c r="C969" i="2" a="1"/>
  <c r="B968" i="2" a="1"/>
  <c r="K970" i="2" l="1"/>
  <c r="L969" i="2"/>
  <c r="J969" i="2"/>
  <c r="I969" i="2"/>
  <c r="H969" i="2"/>
  <c r="G969" i="2"/>
  <c r="F969" i="2"/>
  <c r="E969" i="2"/>
  <c r="D969" i="2"/>
  <c r="C969" i="2"/>
  <c r="B968" i="2"/>
  <c r="A970" i="2"/>
  <c r="K971" i="2" a="1"/>
  <c r="L970" i="2" a="1"/>
  <c r="J970" i="2" a="1"/>
  <c r="I970" i="2" a="1"/>
  <c r="H970" i="2" a="1"/>
  <c r="G970" i="2" a="1"/>
  <c r="F970" i="2" a="1"/>
  <c r="E970" i="2" a="1"/>
  <c r="D970" i="2" a="1"/>
  <c r="C970" i="2" a="1"/>
  <c r="B969" i="2" a="1"/>
  <c r="K971" i="2" l="1"/>
  <c r="L970" i="2"/>
  <c r="J970" i="2"/>
  <c r="I970" i="2"/>
  <c r="H970" i="2"/>
  <c r="G970" i="2"/>
  <c r="F970" i="2"/>
  <c r="E970" i="2"/>
  <c r="D970" i="2"/>
  <c r="C970" i="2"/>
  <c r="B969" i="2"/>
  <c r="A971" i="2"/>
  <c r="K972" i="2" a="1"/>
  <c r="L971" i="2" a="1"/>
  <c r="J971" i="2" a="1"/>
  <c r="I971" i="2" a="1"/>
  <c r="H971" i="2" a="1"/>
  <c r="G971" i="2" a="1"/>
  <c r="F971" i="2" a="1"/>
  <c r="E971" i="2" a="1"/>
  <c r="D971" i="2" a="1"/>
  <c r="C971" i="2" a="1"/>
  <c r="B970" i="2" a="1"/>
  <c r="K972" i="2" l="1"/>
  <c r="L971" i="2"/>
  <c r="J971" i="2"/>
  <c r="I971" i="2"/>
  <c r="H971" i="2"/>
  <c r="G971" i="2"/>
  <c r="F971" i="2"/>
  <c r="E971" i="2"/>
  <c r="D971" i="2"/>
  <c r="C971" i="2"/>
  <c r="B970" i="2"/>
  <c r="A972" i="2"/>
  <c r="K973" i="2" a="1"/>
  <c r="L972" i="2" a="1"/>
  <c r="J972" i="2" a="1"/>
  <c r="I972" i="2" a="1"/>
  <c r="H972" i="2" a="1"/>
  <c r="G972" i="2" a="1"/>
  <c r="F972" i="2" a="1"/>
  <c r="E972" i="2" a="1"/>
  <c r="D972" i="2" a="1"/>
  <c r="C972" i="2" a="1"/>
  <c r="B971" i="2" a="1"/>
  <c r="K973" i="2" l="1"/>
  <c r="L972" i="2"/>
  <c r="J972" i="2"/>
  <c r="I972" i="2"/>
  <c r="H972" i="2"/>
  <c r="G972" i="2"/>
  <c r="F972" i="2"/>
  <c r="E972" i="2"/>
  <c r="D972" i="2"/>
  <c r="C972" i="2"/>
  <c r="B971" i="2"/>
  <c r="A973" i="2"/>
  <c r="K974" i="2" a="1"/>
  <c r="L973" i="2" a="1"/>
  <c r="J973" i="2" a="1"/>
  <c r="I973" i="2" a="1"/>
  <c r="H973" i="2" a="1"/>
  <c r="G973" i="2" a="1"/>
  <c r="F973" i="2" a="1"/>
  <c r="E973" i="2" a="1"/>
  <c r="D973" i="2" a="1"/>
  <c r="C973" i="2" a="1"/>
  <c r="B972" i="2" a="1"/>
  <c r="K974" i="2" l="1"/>
  <c r="L973" i="2"/>
  <c r="J973" i="2"/>
  <c r="I973" i="2"/>
  <c r="H973" i="2"/>
  <c r="G973" i="2"/>
  <c r="F973" i="2"/>
  <c r="E973" i="2"/>
  <c r="D973" i="2"/>
  <c r="C973" i="2"/>
  <c r="B972" i="2"/>
  <c r="A974" i="2"/>
  <c r="K975" i="2" a="1"/>
  <c r="L974" i="2" a="1"/>
  <c r="J974" i="2" a="1"/>
  <c r="I974" i="2" a="1"/>
  <c r="H974" i="2" a="1"/>
  <c r="G974" i="2" a="1"/>
  <c r="F974" i="2" a="1"/>
  <c r="E974" i="2" a="1"/>
  <c r="D974" i="2" a="1"/>
  <c r="C974" i="2" a="1"/>
  <c r="B973" i="2" a="1"/>
  <c r="K975" i="2" l="1"/>
  <c r="L974" i="2"/>
  <c r="J974" i="2"/>
  <c r="I974" i="2"/>
  <c r="H974" i="2"/>
  <c r="G974" i="2"/>
  <c r="F974" i="2"/>
  <c r="E974" i="2"/>
  <c r="D974" i="2"/>
  <c r="C974" i="2"/>
  <c r="B973" i="2"/>
  <c r="A975" i="2"/>
  <c r="K976" i="2" a="1"/>
  <c r="L975" i="2" a="1"/>
  <c r="J975" i="2" a="1"/>
  <c r="I975" i="2" a="1"/>
  <c r="H975" i="2" a="1"/>
  <c r="G975" i="2" a="1"/>
  <c r="F975" i="2" a="1"/>
  <c r="E975" i="2" a="1"/>
  <c r="D975" i="2" a="1"/>
  <c r="C975" i="2" a="1"/>
  <c r="B974" i="2" a="1"/>
  <c r="K976" i="2" l="1"/>
  <c r="L975" i="2"/>
  <c r="J975" i="2"/>
  <c r="I975" i="2"/>
  <c r="H975" i="2"/>
  <c r="G975" i="2"/>
  <c r="F975" i="2"/>
  <c r="E975" i="2"/>
  <c r="D975" i="2"/>
  <c r="C975" i="2"/>
  <c r="B974" i="2"/>
  <c r="A976" i="2"/>
  <c r="K977" i="2" a="1"/>
  <c r="L976" i="2" a="1"/>
  <c r="J976" i="2" a="1"/>
  <c r="I976" i="2" a="1"/>
  <c r="H976" i="2" a="1"/>
  <c r="G976" i="2" a="1"/>
  <c r="F976" i="2" a="1"/>
  <c r="E976" i="2" a="1"/>
  <c r="D976" i="2" a="1"/>
  <c r="C976" i="2" a="1"/>
  <c r="B975" i="2" a="1"/>
  <c r="K977" i="2" l="1"/>
  <c r="L976" i="2"/>
  <c r="J976" i="2"/>
  <c r="I976" i="2"/>
  <c r="H976" i="2"/>
  <c r="G976" i="2"/>
  <c r="F976" i="2"/>
  <c r="E976" i="2"/>
  <c r="D976" i="2"/>
  <c r="C976" i="2"/>
  <c r="B975" i="2"/>
  <c r="A977" i="2"/>
  <c r="K978" i="2" a="1"/>
  <c r="L977" i="2" a="1"/>
  <c r="J977" i="2" a="1"/>
  <c r="I977" i="2" a="1"/>
  <c r="H977" i="2" a="1"/>
  <c r="G977" i="2" a="1"/>
  <c r="F977" i="2" a="1"/>
  <c r="E977" i="2" a="1"/>
  <c r="D977" i="2" a="1"/>
  <c r="C977" i="2" a="1"/>
  <c r="B976" i="2" a="1"/>
  <c r="K978" i="2" l="1"/>
  <c r="L977" i="2"/>
  <c r="J977" i="2"/>
  <c r="I977" i="2"/>
  <c r="H977" i="2"/>
  <c r="G977" i="2"/>
  <c r="F977" i="2"/>
  <c r="E977" i="2"/>
  <c r="D977" i="2"/>
  <c r="C977" i="2"/>
  <c r="B976" i="2"/>
  <c r="A978" i="2"/>
  <c r="K979" i="2" a="1"/>
  <c r="L978" i="2" a="1"/>
  <c r="J978" i="2" a="1"/>
  <c r="I978" i="2" a="1"/>
  <c r="H978" i="2" a="1"/>
  <c r="G978" i="2" a="1"/>
  <c r="F978" i="2" a="1"/>
  <c r="E978" i="2" a="1"/>
  <c r="D978" i="2" a="1"/>
  <c r="C978" i="2" a="1"/>
  <c r="B977" i="2" a="1"/>
  <c r="K979" i="2" l="1"/>
  <c r="L978" i="2"/>
  <c r="J978" i="2"/>
  <c r="I978" i="2"/>
  <c r="H978" i="2"/>
  <c r="G978" i="2"/>
  <c r="F978" i="2"/>
  <c r="E978" i="2"/>
  <c r="D978" i="2"/>
  <c r="C978" i="2"/>
  <c r="B977" i="2"/>
  <c r="A979" i="2"/>
  <c r="K980" i="2" a="1"/>
  <c r="L979" i="2" a="1"/>
  <c r="J979" i="2" a="1"/>
  <c r="I979" i="2" a="1"/>
  <c r="H979" i="2" a="1"/>
  <c r="G979" i="2" a="1"/>
  <c r="F979" i="2" a="1"/>
  <c r="E979" i="2" a="1"/>
  <c r="D979" i="2" a="1"/>
  <c r="C979" i="2" a="1"/>
  <c r="B978" i="2" a="1"/>
  <c r="K980" i="2" l="1"/>
  <c r="L979" i="2"/>
  <c r="J979" i="2"/>
  <c r="I979" i="2"/>
  <c r="H979" i="2"/>
  <c r="G979" i="2"/>
  <c r="F979" i="2"/>
  <c r="E979" i="2"/>
  <c r="D979" i="2"/>
  <c r="C979" i="2"/>
  <c r="B978" i="2"/>
  <c r="A980" i="2"/>
  <c r="K981" i="2" a="1"/>
  <c r="L980" i="2" a="1"/>
  <c r="J980" i="2" a="1"/>
  <c r="I980" i="2" a="1"/>
  <c r="H980" i="2" a="1"/>
  <c r="G980" i="2" a="1"/>
  <c r="F980" i="2" a="1"/>
  <c r="E980" i="2" a="1"/>
  <c r="D980" i="2" a="1"/>
  <c r="C980" i="2" a="1"/>
  <c r="B979" i="2" a="1"/>
  <c r="K981" i="2" l="1"/>
  <c r="L980" i="2"/>
  <c r="J980" i="2"/>
  <c r="I980" i="2"/>
  <c r="H980" i="2"/>
  <c r="G980" i="2"/>
  <c r="F980" i="2"/>
  <c r="E980" i="2"/>
  <c r="D980" i="2"/>
  <c r="C980" i="2"/>
  <c r="B979" i="2"/>
  <c r="A981" i="2"/>
  <c r="K982" i="2" a="1"/>
  <c r="L981" i="2" a="1"/>
  <c r="J981" i="2" a="1"/>
  <c r="I981" i="2" a="1"/>
  <c r="H981" i="2" a="1"/>
  <c r="G981" i="2" a="1"/>
  <c r="F981" i="2" a="1"/>
  <c r="E981" i="2" a="1"/>
  <c r="D981" i="2" a="1"/>
  <c r="C981" i="2" a="1"/>
  <c r="B980" i="2" a="1"/>
  <c r="K982" i="2" l="1"/>
  <c r="L981" i="2"/>
  <c r="J981" i="2"/>
  <c r="I981" i="2"/>
  <c r="H981" i="2"/>
  <c r="G981" i="2"/>
  <c r="F981" i="2"/>
  <c r="E981" i="2"/>
  <c r="D981" i="2"/>
  <c r="C981" i="2"/>
  <c r="B980" i="2"/>
  <c r="A982" i="2"/>
  <c r="K983" i="2" a="1"/>
  <c r="L982" i="2" a="1"/>
  <c r="J982" i="2" a="1"/>
  <c r="I982" i="2" a="1"/>
  <c r="H982" i="2" a="1"/>
  <c r="G982" i="2" a="1"/>
  <c r="F982" i="2" a="1"/>
  <c r="E982" i="2" a="1"/>
  <c r="D982" i="2" a="1"/>
  <c r="C982" i="2" a="1"/>
  <c r="B981" i="2" a="1"/>
  <c r="K983" i="2" l="1"/>
  <c r="L982" i="2"/>
  <c r="J982" i="2"/>
  <c r="I982" i="2"/>
  <c r="H982" i="2"/>
  <c r="G982" i="2"/>
  <c r="F982" i="2"/>
  <c r="E982" i="2"/>
  <c r="D982" i="2"/>
  <c r="C982" i="2"/>
  <c r="B981" i="2"/>
  <c r="A983" i="2"/>
  <c r="K984" i="2" a="1"/>
  <c r="L983" i="2" a="1"/>
  <c r="J983" i="2" a="1"/>
  <c r="I983" i="2" a="1"/>
  <c r="H983" i="2" a="1"/>
  <c r="G983" i="2" a="1"/>
  <c r="F983" i="2" a="1"/>
  <c r="E983" i="2" a="1"/>
  <c r="D983" i="2" a="1"/>
  <c r="C983" i="2" a="1"/>
  <c r="B982" i="2" a="1"/>
  <c r="K984" i="2" l="1"/>
  <c r="L983" i="2"/>
  <c r="J983" i="2"/>
  <c r="I983" i="2"/>
  <c r="H983" i="2"/>
  <c r="G983" i="2"/>
  <c r="F983" i="2"/>
  <c r="E983" i="2"/>
  <c r="D983" i="2"/>
  <c r="C983" i="2"/>
  <c r="B982" i="2"/>
  <c r="A984" i="2"/>
  <c r="K985" i="2" a="1"/>
  <c r="L984" i="2" a="1"/>
  <c r="J984" i="2" a="1"/>
  <c r="I984" i="2" a="1"/>
  <c r="H984" i="2" a="1"/>
  <c r="G984" i="2" a="1"/>
  <c r="F984" i="2" a="1"/>
  <c r="E984" i="2" a="1"/>
  <c r="D984" i="2" a="1"/>
  <c r="C984" i="2" a="1"/>
  <c r="B983" i="2" a="1"/>
  <c r="K985" i="2" l="1"/>
  <c r="L984" i="2"/>
  <c r="J984" i="2"/>
  <c r="I984" i="2"/>
  <c r="H984" i="2"/>
  <c r="G984" i="2"/>
  <c r="F984" i="2"/>
  <c r="E984" i="2"/>
  <c r="D984" i="2"/>
  <c r="C984" i="2"/>
  <c r="B983" i="2"/>
  <c r="A985" i="2"/>
  <c r="K986" i="2" a="1"/>
  <c r="L985" i="2" a="1"/>
  <c r="J985" i="2" a="1"/>
  <c r="I985" i="2" a="1"/>
  <c r="H985" i="2" a="1"/>
  <c r="G985" i="2" a="1"/>
  <c r="F985" i="2" a="1"/>
  <c r="E985" i="2" a="1"/>
  <c r="D985" i="2" a="1"/>
  <c r="C985" i="2" a="1"/>
  <c r="B984" i="2" a="1"/>
  <c r="K986" i="2" l="1"/>
  <c r="L985" i="2"/>
  <c r="J985" i="2"/>
  <c r="I985" i="2"/>
  <c r="H985" i="2"/>
  <c r="G985" i="2"/>
  <c r="F985" i="2"/>
  <c r="E985" i="2"/>
  <c r="D985" i="2"/>
  <c r="C985" i="2"/>
  <c r="B984" i="2"/>
  <c r="A986" i="2"/>
  <c r="K987" i="2" a="1"/>
  <c r="L986" i="2" a="1"/>
  <c r="J986" i="2" a="1"/>
  <c r="I986" i="2" a="1"/>
  <c r="H986" i="2" a="1"/>
  <c r="G986" i="2" a="1"/>
  <c r="F986" i="2" a="1"/>
  <c r="E986" i="2" a="1"/>
  <c r="D986" i="2" a="1"/>
  <c r="C986" i="2" a="1"/>
  <c r="B985" i="2" a="1"/>
  <c r="K987" i="2" l="1"/>
  <c r="L986" i="2"/>
  <c r="J986" i="2"/>
  <c r="I986" i="2"/>
  <c r="H986" i="2"/>
  <c r="G986" i="2"/>
  <c r="F986" i="2"/>
  <c r="E986" i="2"/>
  <c r="D986" i="2"/>
  <c r="C986" i="2"/>
  <c r="B985" i="2"/>
  <c r="A987" i="2"/>
  <c r="K988" i="2" a="1"/>
  <c r="L987" i="2" a="1"/>
  <c r="J987" i="2" a="1"/>
  <c r="I987" i="2" a="1"/>
  <c r="H987" i="2" a="1"/>
  <c r="G987" i="2" a="1"/>
  <c r="F987" i="2" a="1"/>
  <c r="E987" i="2" a="1"/>
  <c r="D987" i="2" a="1"/>
  <c r="C987" i="2" a="1"/>
  <c r="B986" i="2" a="1"/>
  <c r="K988" i="2" l="1"/>
  <c r="L987" i="2"/>
  <c r="J987" i="2"/>
  <c r="I987" i="2"/>
  <c r="H987" i="2"/>
  <c r="G987" i="2"/>
  <c r="F987" i="2"/>
  <c r="E987" i="2"/>
  <c r="D987" i="2"/>
  <c r="C987" i="2"/>
  <c r="B986" i="2"/>
  <c r="A988" i="2"/>
  <c r="K989" i="2" a="1"/>
  <c r="L988" i="2" a="1"/>
  <c r="J988" i="2" a="1"/>
  <c r="I988" i="2" a="1"/>
  <c r="H988" i="2" a="1"/>
  <c r="G988" i="2" a="1"/>
  <c r="F988" i="2" a="1"/>
  <c r="E988" i="2" a="1"/>
  <c r="D988" i="2" a="1"/>
  <c r="C988" i="2" a="1"/>
  <c r="B987" i="2" a="1"/>
  <c r="K989" i="2" l="1"/>
  <c r="L988" i="2"/>
  <c r="J988" i="2"/>
  <c r="I988" i="2"/>
  <c r="H988" i="2"/>
  <c r="G988" i="2"/>
  <c r="F988" i="2"/>
  <c r="E988" i="2"/>
  <c r="D988" i="2"/>
  <c r="C988" i="2"/>
  <c r="B987" i="2"/>
  <c r="A989" i="2"/>
  <c r="K990" i="2" a="1"/>
  <c r="L989" i="2" a="1"/>
  <c r="J989" i="2" a="1"/>
  <c r="I989" i="2" a="1"/>
  <c r="H989" i="2" a="1"/>
  <c r="G989" i="2" a="1"/>
  <c r="F989" i="2" a="1"/>
  <c r="E989" i="2" a="1"/>
  <c r="D989" i="2" a="1"/>
  <c r="C989" i="2" a="1"/>
  <c r="B988" i="2" a="1"/>
  <c r="K990" i="2" l="1"/>
  <c r="L989" i="2"/>
  <c r="J989" i="2"/>
  <c r="I989" i="2"/>
  <c r="H989" i="2"/>
  <c r="G989" i="2"/>
  <c r="F989" i="2"/>
  <c r="E989" i="2"/>
  <c r="D989" i="2"/>
  <c r="C989" i="2"/>
  <c r="B988" i="2"/>
  <c r="A990" i="2"/>
  <c r="K991" i="2" a="1"/>
  <c r="L990" i="2" a="1"/>
  <c r="J990" i="2" a="1"/>
  <c r="I990" i="2" a="1"/>
  <c r="H990" i="2" a="1"/>
  <c r="G990" i="2" a="1"/>
  <c r="F990" i="2" a="1"/>
  <c r="E990" i="2" a="1"/>
  <c r="D990" i="2" a="1"/>
  <c r="C990" i="2" a="1"/>
  <c r="B989" i="2" a="1"/>
  <c r="K991" i="2" l="1"/>
  <c r="L990" i="2"/>
  <c r="J990" i="2"/>
  <c r="I990" i="2"/>
  <c r="H990" i="2"/>
  <c r="G990" i="2"/>
  <c r="F990" i="2"/>
  <c r="E990" i="2"/>
  <c r="D990" i="2"/>
  <c r="C990" i="2"/>
  <c r="B989" i="2"/>
  <c r="A991" i="2"/>
  <c r="K992" i="2" a="1"/>
  <c r="L991" i="2" a="1"/>
  <c r="J991" i="2" a="1"/>
  <c r="I991" i="2" a="1"/>
  <c r="H991" i="2" a="1"/>
  <c r="G991" i="2" a="1"/>
  <c r="F991" i="2" a="1"/>
  <c r="E991" i="2" a="1"/>
  <c r="D991" i="2" a="1"/>
  <c r="C991" i="2" a="1"/>
  <c r="B990" i="2" a="1"/>
  <c r="K992" i="2" l="1"/>
  <c r="L991" i="2"/>
  <c r="J991" i="2"/>
  <c r="I991" i="2"/>
  <c r="H991" i="2"/>
  <c r="G991" i="2"/>
  <c r="F991" i="2"/>
  <c r="E991" i="2"/>
  <c r="D991" i="2"/>
  <c r="C991" i="2"/>
  <c r="B990" i="2"/>
  <c r="A992" i="2"/>
  <c r="K993" i="2" a="1"/>
  <c r="L992" i="2" a="1"/>
  <c r="J992" i="2" a="1"/>
  <c r="I992" i="2" a="1"/>
  <c r="H992" i="2" a="1"/>
  <c r="G992" i="2" a="1"/>
  <c r="F992" i="2" a="1"/>
  <c r="E992" i="2" a="1"/>
  <c r="D992" i="2" a="1"/>
  <c r="C992" i="2" a="1"/>
  <c r="B991" i="2" a="1"/>
  <c r="K993" i="2" l="1"/>
  <c r="L992" i="2"/>
  <c r="J992" i="2"/>
  <c r="I992" i="2"/>
  <c r="H992" i="2"/>
  <c r="G992" i="2"/>
  <c r="F992" i="2"/>
  <c r="E992" i="2"/>
  <c r="D992" i="2"/>
  <c r="C992" i="2"/>
  <c r="B991" i="2"/>
  <c r="A993" i="2"/>
  <c r="K994" i="2" a="1"/>
  <c r="L993" i="2" a="1"/>
  <c r="J993" i="2" a="1"/>
  <c r="I993" i="2" a="1"/>
  <c r="H993" i="2" a="1"/>
  <c r="G993" i="2" a="1"/>
  <c r="F993" i="2" a="1"/>
  <c r="E993" i="2" a="1"/>
  <c r="D993" i="2" a="1"/>
  <c r="C993" i="2" a="1"/>
  <c r="B992" i="2" a="1"/>
  <c r="K994" i="2" l="1"/>
  <c r="L993" i="2"/>
  <c r="J993" i="2"/>
  <c r="I993" i="2"/>
  <c r="H993" i="2"/>
  <c r="G993" i="2"/>
  <c r="F993" i="2"/>
  <c r="E993" i="2"/>
  <c r="D993" i="2"/>
  <c r="C993" i="2"/>
  <c r="B992" i="2"/>
  <c r="A994" i="2"/>
  <c r="K995" i="2" a="1"/>
  <c r="L994" i="2" a="1"/>
  <c r="J994" i="2" a="1"/>
  <c r="I994" i="2" a="1"/>
  <c r="H994" i="2" a="1"/>
  <c r="G994" i="2" a="1"/>
  <c r="F994" i="2" a="1"/>
  <c r="E994" i="2" a="1"/>
  <c r="D994" i="2" a="1"/>
  <c r="C994" i="2" a="1"/>
  <c r="B993" i="2" a="1"/>
  <c r="K995" i="2" l="1"/>
  <c r="L994" i="2"/>
  <c r="J994" i="2"/>
  <c r="I994" i="2"/>
  <c r="H994" i="2"/>
  <c r="G994" i="2"/>
  <c r="F994" i="2"/>
  <c r="E994" i="2"/>
  <c r="D994" i="2"/>
  <c r="C994" i="2"/>
  <c r="B993" i="2"/>
  <c r="A995" i="2"/>
  <c r="K996" i="2" a="1"/>
  <c r="L995" i="2" a="1"/>
  <c r="J995" i="2" a="1"/>
  <c r="I995" i="2" a="1"/>
  <c r="H995" i="2" a="1"/>
  <c r="G995" i="2" a="1"/>
  <c r="F995" i="2" a="1"/>
  <c r="E995" i="2" a="1"/>
  <c r="D995" i="2" a="1"/>
  <c r="C995" i="2" a="1"/>
  <c r="B994" i="2" a="1"/>
  <c r="K996" i="2" l="1"/>
  <c r="L995" i="2"/>
  <c r="J995" i="2"/>
  <c r="I995" i="2"/>
  <c r="H995" i="2"/>
  <c r="G995" i="2"/>
  <c r="F995" i="2"/>
  <c r="E995" i="2"/>
  <c r="D995" i="2"/>
  <c r="C995" i="2"/>
  <c r="B994" i="2"/>
  <c r="A996" i="2"/>
  <c r="K997" i="2" a="1"/>
  <c r="L996" i="2" a="1"/>
  <c r="J996" i="2" a="1"/>
  <c r="I996" i="2" a="1"/>
  <c r="H996" i="2" a="1"/>
  <c r="G996" i="2" a="1"/>
  <c r="F996" i="2" a="1"/>
  <c r="E996" i="2" a="1"/>
  <c r="D996" i="2" a="1"/>
  <c r="C996" i="2" a="1"/>
  <c r="B995" i="2" a="1"/>
  <c r="K997" i="2" l="1"/>
  <c r="L996" i="2"/>
  <c r="J996" i="2"/>
  <c r="I996" i="2"/>
  <c r="H996" i="2"/>
  <c r="G996" i="2"/>
  <c r="F996" i="2"/>
  <c r="E996" i="2"/>
  <c r="D996" i="2"/>
  <c r="C996" i="2"/>
  <c r="B995" i="2"/>
  <c r="A997" i="2"/>
  <c r="K998" i="2" a="1"/>
  <c r="L997" i="2" a="1"/>
  <c r="J997" i="2" a="1"/>
  <c r="I997" i="2" a="1"/>
  <c r="H997" i="2" a="1"/>
  <c r="G997" i="2" a="1"/>
  <c r="F997" i="2" a="1"/>
  <c r="E997" i="2" a="1"/>
  <c r="D997" i="2" a="1"/>
  <c r="C997" i="2" a="1"/>
  <c r="B996" i="2" a="1"/>
  <c r="K998" i="2" l="1"/>
  <c r="L997" i="2"/>
  <c r="J997" i="2"/>
  <c r="I997" i="2"/>
  <c r="H997" i="2"/>
  <c r="G997" i="2"/>
  <c r="F997" i="2"/>
  <c r="E997" i="2"/>
  <c r="D997" i="2"/>
  <c r="C997" i="2"/>
  <c r="B996" i="2"/>
  <c r="A998" i="2"/>
  <c r="K999" i="2" a="1"/>
  <c r="L998" i="2" a="1"/>
  <c r="J998" i="2" a="1"/>
  <c r="I998" i="2" a="1"/>
  <c r="H998" i="2" a="1"/>
  <c r="G998" i="2" a="1"/>
  <c r="F998" i="2" a="1"/>
  <c r="E998" i="2" a="1"/>
  <c r="D998" i="2" a="1"/>
  <c r="C998" i="2" a="1"/>
  <c r="B997" i="2" a="1"/>
  <c r="K999" i="2" l="1"/>
  <c r="L998" i="2"/>
  <c r="J998" i="2"/>
  <c r="I998" i="2"/>
  <c r="H998" i="2"/>
  <c r="G998" i="2"/>
  <c r="F998" i="2"/>
  <c r="E998" i="2"/>
  <c r="D998" i="2"/>
  <c r="C998" i="2"/>
  <c r="B997" i="2"/>
  <c r="A999" i="2"/>
  <c r="K1000" i="2" a="1"/>
  <c r="L999" i="2" a="1"/>
  <c r="J999" i="2" a="1"/>
  <c r="I999" i="2" a="1"/>
  <c r="H999" i="2" a="1"/>
  <c r="G999" i="2" a="1"/>
  <c r="F999" i="2" a="1"/>
  <c r="E999" i="2" a="1"/>
  <c r="D999" i="2" a="1"/>
  <c r="C999" i="2" a="1"/>
  <c r="B998" i="2" a="1"/>
  <c r="K1000" i="2" l="1"/>
  <c r="L999" i="2"/>
  <c r="J999" i="2"/>
  <c r="I999" i="2"/>
  <c r="H999" i="2"/>
  <c r="G999" i="2"/>
  <c r="F999" i="2"/>
  <c r="E999" i="2"/>
  <c r="D999" i="2"/>
  <c r="C999" i="2"/>
  <c r="B998" i="2"/>
  <c r="A1000" i="2"/>
  <c r="K1001" i="2" a="1"/>
  <c r="L1000" i="2" a="1"/>
  <c r="J1000" i="2" a="1"/>
  <c r="I1000" i="2" a="1"/>
  <c r="H1000" i="2" a="1"/>
  <c r="G1000" i="2" a="1"/>
  <c r="F1000" i="2" a="1"/>
  <c r="E1000" i="2" a="1"/>
  <c r="D1000" i="2" a="1"/>
  <c r="C1000" i="2" a="1"/>
  <c r="B999" i="2" a="1"/>
  <c r="K1001" i="2" l="1"/>
  <c r="L1000" i="2"/>
  <c r="J1000" i="2"/>
  <c r="I1000" i="2"/>
  <c r="H1000" i="2"/>
  <c r="G1000" i="2"/>
  <c r="F1000" i="2"/>
  <c r="E1000" i="2"/>
  <c r="D1000" i="2"/>
  <c r="C1000" i="2"/>
  <c r="B999" i="2"/>
  <c r="A1001" i="2"/>
  <c r="K1002" i="2" a="1"/>
  <c r="L1001" i="2" a="1"/>
  <c r="J1001" i="2" a="1"/>
  <c r="I1001" i="2" a="1"/>
  <c r="H1001" i="2" a="1"/>
  <c r="G1001" i="2" a="1"/>
  <c r="F1001" i="2" a="1"/>
  <c r="E1001" i="2" a="1"/>
  <c r="D1001" i="2" a="1"/>
  <c r="C1001" i="2" a="1"/>
  <c r="B1000" i="2" a="1"/>
  <c r="K1002" i="2" l="1"/>
  <c r="L1001" i="2"/>
  <c r="J1001" i="2"/>
  <c r="I1001" i="2"/>
  <c r="H1001" i="2"/>
  <c r="G1001" i="2"/>
  <c r="F1001" i="2"/>
  <c r="E1001" i="2"/>
  <c r="D1001" i="2"/>
  <c r="C1001" i="2"/>
  <c r="B1000" i="2"/>
  <c r="A1002" i="2"/>
  <c r="K1003" i="2" a="1"/>
  <c r="L1002" i="2" a="1"/>
  <c r="J1002" i="2" a="1"/>
  <c r="I1002" i="2" a="1"/>
  <c r="H1002" i="2" a="1"/>
  <c r="G1002" i="2" a="1"/>
  <c r="F1002" i="2" a="1"/>
  <c r="E1002" i="2" a="1"/>
  <c r="D1002" i="2" a="1"/>
  <c r="C1002" i="2" a="1"/>
  <c r="B1001" i="2" a="1"/>
  <c r="K1003" i="2" l="1"/>
  <c r="L1002" i="2"/>
  <c r="J1002" i="2"/>
  <c r="I1002" i="2"/>
  <c r="H1002" i="2"/>
  <c r="G1002" i="2"/>
  <c r="F1002" i="2"/>
  <c r="E1002" i="2"/>
  <c r="D1002" i="2"/>
  <c r="C1002" i="2"/>
  <c r="B1001" i="2"/>
  <c r="A1003" i="2"/>
  <c r="K1004" i="2" a="1"/>
  <c r="L1003" i="2" a="1"/>
  <c r="J1003" i="2" a="1"/>
  <c r="I1003" i="2" a="1"/>
  <c r="H1003" i="2" a="1"/>
  <c r="G1003" i="2" a="1"/>
  <c r="F1003" i="2" a="1"/>
  <c r="E1003" i="2" a="1"/>
  <c r="D1003" i="2" a="1"/>
  <c r="C1003" i="2" a="1"/>
  <c r="B1002" i="2" a="1"/>
  <c r="K1004" i="2" l="1"/>
  <c r="L1003" i="2"/>
  <c r="J1003" i="2"/>
  <c r="I1003" i="2"/>
  <c r="H1003" i="2"/>
  <c r="G1003" i="2"/>
  <c r="F1003" i="2"/>
  <c r="E1003" i="2"/>
  <c r="D1003" i="2"/>
  <c r="C1003" i="2"/>
  <c r="B1002" i="2"/>
  <c r="A1004" i="2"/>
  <c r="K1005" i="2" a="1"/>
  <c r="L1004" i="2" a="1"/>
  <c r="J1004" i="2" a="1"/>
  <c r="I1004" i="2" a="1"/>
  <c r="H1004" i="2" a="1"/>
  <c r="G1004" i="2" a="1"/>
  <c r="F1004" i="2" a="1"/>
  <c r="E1004" i="2" a="1"/>
  <c r="D1004" i="2" a="1"/>
  <c r="C1004" i="2" a="1"/>
  <c r="B1003" i="2" a="1"/>
  <c r="K1005" i="2" l="1"/>
  <c r="L1004" i="2"/>
  <c r="J1004" i="2"/>
  <c r="I1004" i="2"/>
  <c r="H1004" i="2"/>
  <c r="G1004" i="2"/>
  <c r="F1004" i="2"/>
  <c r="E1004" i="2"/>
  <c r="D1004" i="2"/>
  <c r="C1004" i="2"/>
  <c r="B1003" i="2"/>
  <c r="A1005" i="2"/>
  <c r="K1006" i="2" a="1"/>
  <c r="L1005" i="2" a="1"/>
  <c r="J1005" i="2" a="1"/>
  <c r="I1005" i="2" a="1"/>
  <c r="H1005" i="2" a="1"/>
  <c r="G1005" i="2" a="1"/>
  <c r="F1005" i="2" a="1"/>
  <c r="E1005" i="2" a="1"/>
  <c r="D1005" i="2" a="1"/>
  <c r="C1005" i="2" a="1"/>
  <c r="B1004" i="2" a="1"/>
  <c r="K1006" i="2" l="1"/>
  <c r="L1005" i="2"/>
  <c r="J1005" i="2"/>
  <c r="I1005" i="2"/>
  <c r="H1005" i="2"/>
  <c r="G1005" i="2"/>
  <c r="F1005" i="2"/>
  <c r="E1005" i="2"/>
  <c r="D1005" i="2"/>
  <c r="C1005" i="2"/>
  <c r="B1004" i="2"/>
  <c r="A1006" i="2"/>
  <c r="K1007" i="2" a="1"/>
  <c r="L1006" i="2" a="1"/>
  <c r="J1006" i="2" a="1"/>
  <c r="I1006" i="2" a="1"/>
  <c r="H1006" i="2" a="1"/>
  <c r="G1006" i="2" a="1"/>
  <c r="F1006" i="2" a="1"/>
  <c r="E1006" i="2" a="1"/>
  <c r="D1006" i="2" a="1"/>
  <c r="C1006" i="2" a="1"/>
  <c r="B1005" i="2" a="1"/>
  <c r="K1007" i="2" l="1"/>
  <c r="L1006" i="2"/>
  <c r="J1006" i="2"/>
  <c r="I1006" i="2"/>
  <c r="H1006" i="2"/>
  <c r="G1006" i="2"/>
  <c r="F1006" i="2"/>
  <c r="E1006" i="2"/>
  <c r="D1006" i="2"/>
  <c r="C1006" i="2"/>
  <c r="B1005" i="2"/>
  <c r="A1007" i="2"/>
  <c r="K1008" i="2" a="1"/>
  <c r="L1007" i="2" a="1"/>
  <c r="J1007" i="2" a="1"/>
  <c r="I1007" i="2" a="1"/>
  <c r="H1007" i="2" a="1"/>
  <c r="G1007" i="2" a="1"/>
  <c r="F1007" i="2" a="1"/>
  <c r="E1007" i="2" a="1"/>
  <c r="D1007" i="2" a="1"/>
  <c r="C1007" i="2" a="1"/>
  <c r="B1006" i="2" a="1"/>
  <c r="K1008" i="2" l="1"/>
  <c r="L1007" i="2"/>
  <c r="J1007" i="2"/>
  <c r="I1007" i="2"/>
  <c r="H1007" i="2"/>
  <c r="G1007" i="2"/>
  <c r="F1007" i="2"/>
  <c r="E1007" i="2"/>
  <c r="D1007" i="2"/>
  <c r="C1007" i="2"/>
  <c r="B1006" i="2"/>
  <c r="A1008" i="2"/>
  <c r="K1009" i="2" a="1"/>
  <c r="L1008" i="2" a="1"/>
  <c r="J1008" i="2" a="1"/>
  <c r="I1008" i="2" a="1"/>
  <c r="H1008" i="2" a="1"/>
  <c r="G1008" i="2" a="1"/>
  <c r="F1008" i="2" a="1"/>
  <c r="E1008" i="2" a="1"/>
  <c r="D1008" i="2" a="1"/>
  <c r="C1008" i="2" a="1"/>
  <c r="B1007" i="2" a="1"/>
  <c r="K1009" i="2" l="1"/>
  <c r="L1008" i="2"/>
  <c r="J1008" i="2"/>
  <c r="I1008" i="2"/>
  <c r="H1008" i="2"/>
  <c r="G1008" i="2"/>
  <c r="F1008" i="2"/>
  <c r="E1008" i="2"/>
  <c r="D1008" i="2"/>
  <c r="C1008" i="2"/>
  <c r="B1007" i="2"/>
  <c r="A1009" i="2"/>
  <c r="K1010" i="2" a="1"/>
  <c r="L1009" i="2" a="1"/>
  <c r="J1009" i="2" a="1"/>
  <c r="I1009" i="2" a="1"/>
  <c r="H1009" i="2" a="1"/>
  <c r="G1009" i="2" a="1"/>
  <c r="F1009" i="2" a="1"/>
  <c r="E1009" i="2" a="1"/>
  <c r="D1009" i="2" a="1"/>
  <c r="C1009" i="2" a="1"/>
  <c r="B1008" i="2" a="1"/>
  <c r="K1010" i="2" l="1"/>
  <c r="L1009" i="2"/>
  <c r="J1009" i="2"/>
  <c r="I1009" i="2"/>
  <c r="H1009" i="2"/>
  <c r="G1009" i="2"/>
  <c r="F1009" i="2"/>
  <c r="E1009" i="2"/>
  <c r="D1009" i="2"/>
  <c r="C1009" i="2"/>
  <c r="B1008" i="2"/>
  <c r="A1010" i="2"/>
  <c r="K1011" i="2" a="1"/>
  <c r="L1010" i="2" a="1"/>
  <c r="J1010" i="2" a="1"/>
  <c r="I1010" i="2" a="1"/>
  <c r="H1010" i="2" a="1"/>
  <c r="G1010" i="2" a="1"/>
  <c r="F1010" i="2" a="1"/>
  <c r="E1010" i="2" a="1"/>
  <c r="D1010" i="2" a="1"/>
  <c r="C1010" i="2" a="1"/>
  <c r="B1009" i="2" a="1"/>
  <c r="K1011" i="2" l="1"/>
  <c r="L1010" i="2"/>
  <c r="J1010" i="2"/>
  <c r="I1010" i="2"/>
  <c r="H1010" i="2"/>
  <c r="G1010" i="2"/>
  <c r="F1010" i="2"/>
  <c r="E1010" i="2"/>
  <c r="D1010" i="2"/>
  <c r="C1010" i="2"/>
  <c r="B1009" i="2"/>
  <c r="A1011" i="2"/>
  <c r="K1012" i="2" a="1"/>
  <c r="L1011" i="2" a="1"/>
  <c r="J1011" i="2" a="1"/>
  <c r="I1011" i="2" a="1"/>
  <c r="H1011" i="2" a="1"/>
  <c r="G1011" i="2" a="1"/>
  <c r="F1011" i="2" a="1"/>
  <c r="E1011" i="2" a="1"/>
  <c r="D1011" i="2" a="1"/>
  <c r="C1011" i="2" a="1"/>
  <c r="B1010" i="2" a="1"/>
  <c r="K1012" i="2" l="1"/>
  <c r="L1011" i="2"/>
  <c r="J1011" i="2"/>
  <c r="I1011" i="2"/>
  <c r="H1011" i="2"/>
  <c r="G1011" i="2"/>
  <c r="F1011" i="2"/>
  <c r="E1011" i="2"/>
  <c r="D1011" i="2"/>
  <c r="C1011" i="2"/>
  <c r="B1010" i="2"/>
  <c r="A1012" i="2"/>
  <c r="K1013" i="2" a="1"/>
  <c r="L1012" i="2" a="1"/>
  <c r="J1012" i="2" a="1"/>
  <c r="I1012" i="2" a="1"/>
  <c r="H1012" i="2" a="1"/>
  <c r="G1012" i="2" a="1"/>
  <c r="F1012" i="2" a="1"/>
  <c r="E1012" i="2" a="1"/>
  <c r="D1012" i="2" a="1"/>
  <c r="C1012" i="2" a="1"/>
  <c r="B1011" i="2" a="1"/>
  <c r="K1013" i="2" l="1"/>
  <c r="L1012" i="2"/>
  <c r="J1012" i="2"/>
  <c r="I1012" i="2"/>
  <c r="H1012" i="2"/>
  <c r="G1012" i="2"/>
  <c r="F1012" i="2"/>
  <c r="E1012" i="2"/>
  <c r="D1012" i="2"/>
  <c r="C1012" i="2"/>
  <c r="B1011" i="2"/>
  <c r="A1013" i="2"/>
  <c r="K1014" i="2" a="1"/>
  <c r="L1013" i="2" a="1"/>
  <c r="J1013" i="2" a="1"/>
  <c r="I1013" i="2" a="1"/>
  <c r="H1013" i="2" a="1"/>
  <c r="G1013" i="2" a="1"/>
  <c r="F1013" i="2" a="1"/>
  <c r="E1013" i="2" a="1"/>
  <c r="D1013" i="2" a="1"/>
  <c r="C1013" i="2" a="1"/>
  <c r="B1012" i="2" a="1"/>
  <c r="K1014" i="2" l="1"/>
  <c r="L1013" i="2"/>
  <c r="J1013" i="2"/>
  <c r="I1013" i="2"/>
  <c r="H1013" i="2"/>
  <c r="G1013" i="2"/>
  <c r="F1013" i="2"/>
  <c r="E1013" i="2"/>
  <c r="D1013" i="2"/>
  <c r="C1013" i="2"/>
  <c r="B1012" i="2"/>
  <c r="A1014" i="2"/>
  <c r="K1015" i="2" a="1"/>
  <c r="L1014" i="2" a="1"/>
  <c r="J1014" i="2" a="1"/>
  <c r="I1014" i="2" a="1"/>
  <c r="H1014" i="2" a="1"/>
  <c r="G1014" i="2" a="1"/>
  <c r="F1014" i="2" a="1"/>
  <c r="E1014" i="2" a="1"/>
  <c r="D1014" i="2" a="1"/>
  <c r="C1014" i="2" a="1"/>
  <c r="B1013" i="2" a="1"/>
  <c r="K1015" i="2" l="1"/>
  <c r="L1014" i="2"/>
  <c r="J1014" i="2"/>
  <c r="I1014" i="2"/>
  <c r="H1014" i="2"/>
  <c r="G1014" i="2"/>
  <c r="F1014" i="2"/>
  <c r="E1014" i="2"/>
  <c r="D1014" i="2"/>
  <c r="C1014" i="2"/>
  <c r="B1013" i="2"/>
  <c r="A1015" i="2"/>
  <c r="K1016" i="2" a="1"/>
  <c r="L1015" i="2" a="1"/>
  <c r="J1015" i="2" a="1"/>
  <c r="I1015" i="2" a="1"/>
  <c r="H1015" i="2" a="1"/>
  <c r="G1015" i="2" a="1"/>
  <c r="F1015" i="2" a="1"/>
  <c r="E1015" i="2" a="1"/>
  <c r="D1015" i="2" a="1"/>
  <c r="C1015" i="2" a="1"/>
  <c r="B1014" i="2" a="1"/>
  <c r="K1016" i="2" l="1"/>
  <c r="L1015" i="2"/>
  <c r="J1015" i="2"/>
  <c r="I1015" i="2"/>
  <c r="H1015" i="2"/>
  <c r="G1015" i="2"/>
  <c r="F1015" i="2"/>
  <c r="E1015" i="2"/>
  <c r="D1015" i="2"/>
  <c r="C1015" i="2"/>
  <c r="B1014" i="2"/>
  <c r="A1016" i="2"/>
  <c r="K1017" i="2" a="1"/>
  <c r="L1016" i="2" a="1"/>
  <c r="J1016" i="2" a="1"/>
  <c r="I1016" i="2" a="1"/>
  <c r="H1016" i="2" a="1"/>
  <c r="G1016" i="2" a="1"/>
  <c r="F1016" i="2" a="1"/>
  <c r="E1016" i="2" a="1"/>
  <c r="D1016" i="2" a="1"/>
  <c r="C1016" i="2" a="1"/>
  <c r="B1015" i="2" a="1"/>
  <c r="K1017" i="2" l="1"/>
  <c r="L1016" i="2"/>
  <c r="J1016" i="2"/>
  <c r="I1016" i="2"/>
  <c r="H1016" i="2"/>
  <c r="G1016" i="2"/>
  <c r="F1016" i="2"/>
  <c r="E1016" i="2"/>
  <c r="D1016" i="2"/>
  <c r="C1016" i="2"/>
  <c r="B1015" i="2"/>
  <c r="A1017" i="2"/>
  <c r="K1018" i="2" a="1"/>
  <c r="L1017" i="2" a="1"/>
  <c r="J1017" i="2" a="1"/>
  <c r="I1017" i="2" a="1"/>
  <c r="H1017" i="2" a="1"/>
  <c r="G1017" i="2" a="1"/>
  <c r="F1017" i="2" a="1"/>
  <c r="E1017" i="2" a="1"/>
  <c r="D1017" i="2" a="1"/>
  <c r="C1017" i="2" a="1"/>
  <c r="B1016" i="2" a="1"/>
  <c r="K1018" i="2" l="1"/>
  <c r="L1017" i="2"/>
  <c r="J1017" i="2"/>
  <c r="I1017" i="2"/>
  <c r="H1017" i="2"/>
  <c r="G1017" i="2"/>
  <c r="F1017" i="2"/>
  <c r="E1017" i="2"/>
  <c r="D1017" i="2"/>
  <c r="C1017" i="2"/>
  <c r="B1016" i="2"/>
  <c r="A1018" i="2"/>
  <c r="K1019" i="2" a="1"/>
  <c r="L1018" i="2" a="1"/>
  <c r="J1018" i="2" a="1"/>
  <c r="I1018" i="2" a="1"/>
  <c r="H1018" i="2" a="1"/>
  <c r="G1018" i="2" a="1"/>
  <c r="F1018" i="2" a="1"/>
  <c r="E1018" i="2" a="1"/>
  <c r="D1018" i="2" a="1"/>
  <c r="C1018" i="2" a="1"/>
  <c r="B1017" i="2" a="1"/>
  <c r="K1019" i="2" l="1"/>
  <c r="L1018" i="2"/>
  <c r="J1018" i="2"/>
  <c r="I1018" i="2"/>
  <c r="H1018" i="2"/>
  <c r="G1018" i="2"/>
  <c r="F1018" i="2"/>
  <c r="E1018" i="2"/>
  <c r="D1018" i="2"/>
  <c r="C1018" i="2"/>
  <c r="B1017" i="2"/>
  <c r="A1019" i="2"/>
  <c r="K1020" i="2" a="1"/>
  <c r="L1019" i="2" a="1"/>
  <c r="J1019" i="2" a="1"/>
  <c r="I1019" i="2" a="1"/>
  <c r="H1019" i="2" a="1"/>
  <c r="G1019" i="2" a="1"/>
  <c r="F1019" i="2" a="1"/>
  <c r="E1019" i="2" a="1"/>
  <c r="D1019" i="2" a="1"/>
  <c r="C1019" i="2" a="1"/>
  <c r="B1018" i="2" a="1"/>
  <c r="K1020" i="2" l="1"/>
  <c r="L1019" i="2"/>
  <c r="J1019" i="2"/>
  <c r="I1019" i="2"/>
  <c r="H1019" i="2"/>
  <c r="G1019" i="2"/>
  <c r="F1019" i="2"/>
  <c r="E1019" i="2"/>
  <c r="D1019" i="2"/>
  <c r="C1019" i="2"/>
  <c r="B1018" i="2"/>
  <c r="A1020" i="2"/>
  <c r="K1021" i="2" a="1"/>
  <c r="L1020" i="2" a="1"/>
  <c r="J1020" i="2" a="1"/>
  <c r="I1020" i="2" a="1"/>
  <c r="H1020" i="2" a="1"/>
  <c r="G1020" i="2" a="1"/>
  <c r="F1020" i="2" a="1"/>
  <c r="E1020" i="2" a="1"/>
  <c r="D1020" i="2" a="1"/>
  <c r="C1020" i="2" a="1"/>
  <c r="B1019" i="2" a="1"/>
  <c r="K1021" i="2" l="1"/>
  <c r="L1020" i="2"/>
  <c r="J1020" i="2"/>
  <c r="I1020" i="2"/>
  <c r="H1020" i="2"/>
  <c r="G1020" i="2"/>
  <c r="F1020" i="2"/>
  <c r="E1020" i="2"/>
  <c r="D1020" i="2"/>
  <c r="C1020" i="2"/>
  <c r="B1019" i="2"/>
  <c r="A1021" i="2"/>
  <c r="K1022" i="2" a="1"/>
  <c r="L1021" i="2" a="1"/>
  <c r="J1021" i="2" a="1"/>
  <c r="I1021" i="2" a="1"/>
  <c r="H1021" i="2" a="1"/>
  <c r="G1021" i="2" a="1"/>
  <c r="F1021" i="2" a="1"/>
  <c r="E1021" i="2" a="1"/>
  <c r="D1021" i="2" a="1"/>
  <c r="C1021" i="2" a="1"/>
  <c r="B1020" i="2" a="1"/>
  <c r="K1022" i="2" l="1"/>
  <c r="L1021" i="2"/>
  <c r="J1021" i="2"/>
  <c r="I1021" i="2"/>
  <c r="H1021" i="2"/>
  <c r="G1021" i="2"/>
  <c r="F1021" i="2"/>
  <c r="E1021" i="2"/>
  <c r="D1021" i="2"/>
  <c r="C1021" i="2"/>
  <c r="B1020" i="2"/>
  <c r="A1022" i="2"/>
  <c r="K1023" i="2" a="1"/>
  <c r="L1022" i="2" a="1"/>
  <c r="J1022" i="2" a="1"/>
  <c r="I1022" i="2" a="1"/>
  <c r="H1022" i="2" a="1"/>
  <c r="G1022" i="2" a="1"/>
  <c r="F1022" i="2" a="1"/>
  <c r="E1022" i="2" a="1"/>
  <c r="D1022" i="2" a="1"/>
  <c r="C1022" i="2" a="1"/>
  <c r="B1021" i="2" a="1"/>
  <c r="K1023" i="2" l="1"/>
  <c r="L1022" i="2"/>
  <c r="J1022" i="2"/>
  <c r="I1022" i="2"/>
  <c r="H1022" i="2"/>
  <c r="G1022" i="2"/>
  <c r="F1022" i="2"/>
  <c r="E1022" i="2"/>
  <c r="D1022" i="2"/>
  <c r="C1022" i="2"/>
  <c r="B1021" i="2"/>
  <c r="A1023" i="2"/>
  <c r="K1024" i="2" a="1"/>
  <c r="L1023" i="2" a="1"/>
  <c r="J1023" i="2" a="1"/>
  <c r="I1023" i="2" a="1"/>
  <c r="H1023" i="2" a="1"/>
  <c r="G1023" i="2" a="1"/>
  <c r="F1023" i="2" a="1"/>
  <c r="E1023" i="2" a="1"/>
  <c r="D1023" i="2" a="1"/>
  <c r="C1023" i="2" a="1"/>
  <c r="B1022" i="2" a="1"/>
  <c r="K1024" i="2" l="1"/>
  <c r="L1023" i="2"/>
  <c r="J1023" i="2"/>
  <c r="I1023" i="2"/>
  <c r="H1023" i="2"/>
  <c r="G1023" i="2"/>
  <c r="F1023" i="2"/>
  <c r="E1023" i="2"/>
  <c r="D1023" i="2"/>
  <c r="C1023" i="2"/>
  <c r="B1022" i="2"/>
  <c r="A1024" i="2"/>
  <c r="K1025" i="2" a="1"/>
  <c r="L1024" i="2" a="1"/>
  <c r="J1024" i="2" a="1"/>
  <c r="I1024" i="2" a="1"/>
  <c r="H1024" i="2" a="1"/>
  <c r="G1024" i="2" a="1"/>
  <c r="F1024" i="2" a="1"/>
  <c r="E1024" i="2" a="1"/>
  <c r="D1024" i="2" a="1"/>
  <c r="C1024" i="2" a="1"/>
  <c r="B1023" i="2" a="1"/>
  <c r="K1025" i="2" l="1"/>
  <c r="L1024" i="2"/>
  <c r="J1024" i="2"/>
  <c r="I1024" i="2"/>
  <c r="H1024" i="2"/>
  <c r="G1024" i="2"/>
  <c r="F1024" i="2"/>
  <c r="E1024" i="2"/>
  <c r="D1024" i="2"/>
  <c r="C1024" i="2"/>
  <c r="B1023" i="2"/>
  <c r="A1025" i="2"/>
  <c r="K1026" i="2" a="1"/>
  <c r="L1025" i="2" a="1"/>
  <c r="J1025" i="2" a="1"/>
  <c r="I1025" i="2" a="1"/>
  <c r="H1025" i="2" a="1"/>
  <c r="G1025" i="2" a="1"/>
  <c r="F1025" i="2" a="1"/>
  <c r="E1025" i="2" a="1"/>
  <c r="D1025" i="2" a="1"/>
  <c r="C1025" i="2" a="1"/>
  <c r="B1024" i="2" a="1"/>
  <c r="K1026" i="2" l="1"/>
  <c r="L1025" i="2"/>
  <c r="J1025" i="2"/>
  <c r="I1025" i="2"/>
  <c r="H1025" i="2"/>
  <c r="G1025" i="2"/>
  <c r="F1025" i="2"/>
  <c r="E1025" i="2"/>
  <c r="D1025" i="2"/>
  <c r="C1025" i="2"/>
  <c r="B1024" i="2"/>
  <c r="A1026" i="2"/>
  <c r="K1027" i="2" a="1"/>
  <c r="L1026" i="2" a="1"/>
  <c r="J1026" i="2" a="1"/>
  <c r="I1026" i="2" a="1"/>
  <c r="H1026" i="2" a="1"/>
  <c r="G1026" i="2" a="1"/>
  <c r="F1026" i="2" a="1"/>
  <c r="E1026" i="2" a="1"/>
  <c r="D1026" i="2" a="1"/>
  <c r="C1026" i="2" a="1"/>
  <c r="B1025" i="2" a="1"/>
  <c r="K1027" i="2" l="1"/>
  <c r="L1026" i="2"/>
  <c r="J1026" i="2"/>
  <c r="I1026" i="2"/>
  <c r="H1026" i="2"/>
  <c r="G1026" i="2"/>
  <c r="F1026" i="2"/>
  <c r="E1026" i="2"/>
  <c r="D1026" i="2"/>
  <c r="C1026" i="2"/>
  <c r="B1025" i="2"/>
  <c r="A1027" i="2"/>
  <c r="K1028" i="2" a="1"/>
  <c r="L1027" i="2" a="1"/>
  <c r="J1027" i="2" a="1"/>
  <c r="I1027" i="2" a="1"/>
  <c r="H1027" i="2" a="1"/>
  <c r="G1027" i="2" a="1"/>
  <c r="F1027" i="2" a="1"/>
  <c r="E1027" i="2" a="1"/>
  <c r="D1027" i="2" a="1"/>
  <c r="C1027" i="2" a="1"/>
  <c r="B1026" i="2" a="1"/>
  <c r="K1028" i="2" l="1"/>
  <c r="L1027" i="2"/>
  <c r="J1027" i="2"/>
  <c r="I1027" i="2"/>
  <c r="H1027" i="2"/>
  <c r="G1027" i="2"/>
  <c r="F1027" i="2"/>
  <c r="E1027" i="2"/>
  <c r="D1027" i="2"/>
  <c r="C1027" i="2"/>
  <c r="B1026" i="2"/>
  <c r="A1028" i="2"/>
  <c r="K1029" i="2" a="1"/>
  <c r="L1028" i="2" a="1"/>
  <c r="J1028" i="2" a="1"/>
  <c r="I1028" i="2" a="1"/>
  <c r="H1028" i="2" a="1"/>
  <c r="G1028" i="2" a="1"/>
  <c r="F1028" i="2" a="1"/>
  <c r="E1028" i="2" a="1"/>
  <c r="D1028" i="2" a="1"/>
  <c r="C1028" i="2" a="1"/>
  <c r="B1027" i="2" a="1"/>
  <c r="K1029" i="2" l="1"/>
  <c r="L1028" i="2"/>
  <c r="J1028" i="2"/>
  <c r="I1028" i="2"/>
  <c r="H1028" i="2"/>
  <c r="G1028" i="2"/>
  <c r="F1028" i="2"/>
  <c r="E1028" i="2"/>
  <c r="D1028" i="2"/>
  <c r="C1028" i="2"/>
  <c r="B1027" i="2"/>
  <c r="A1029" i="2"/>
  <c r="K1030" i="2" a="1"/>
  <c r="L1029" i="2" a="1"/>
  <c r="J1029" i="2" a="1"/>
  <c r="I1029" i="2" a="1"/>
  <c r="H1029" i="2" a="1"/>
  <c r="G1029" i="2" a="1"/>
  <c r="F1029" i="2" a="1"/>
  <c r="E1029" i="2" a="1"/>
  <c r="D1029" i="2" a="1"/>
  <c r="C1029" i="2" a="1"/>
  <c r="B1028" i="2" a="1"/>
  <c r="K1030" i="2" l="1"/>
  <c r="L1029" i="2"/>
  <c r="J1029" i="2"/>
  <c r="I1029" i="2"/>
  <c r="H1029" i="2"/>
  <c r="G1029" i="2"/>
  <c r="F1029" i="2"/>
  <c r="E1029" i="2"/>
  <c r="D1029" i="2"/>
  <c r="C1029" i="2"/>
  <c r="B1028" i="2"/>
  <c r="A1030" i="2"/>
  <c r="K1031" i="2" a="1"/>
  <c r="L1030" i="2" a="1"/>
  <c r="J1030" i="2" a="1"/>
  <c r="I1030" i="2" a="1"/>
  <c r="H1030" i="2" a="1"/>
  <c r="G1030" i="2" a="1"/>
  <c r="F1030" i="2" a="1"/>
  <c r="E1030" i="2" a="1"/>
  <c r="D1030" i="2" a="1"/>
  <c r="C1030" i="2" a="1"/>
  <c r="B1029" i="2" a="1"/>
  <c r="K1031" i="2" l="1"/>
  <c r="L1030" i="2"/>
  <c r="J1030" i="2"/>
  <c r="I1030" i="2"/>
  <c r="H1030" i="2"/>
  <c r="G1030" i="2"/>
  <c r="F1030" i="2"/>
  <c r="E1030" i="2"/>
  <c r="D1030" i="2"/>
  <c r="C1030" i="2"/>
  <c r="B1029" i="2"/>
  <c r="A1031" i="2"/>
  <c r="K1032" i="2" a="1"/>
  <c r="L1031" i="2" a="1"/>
  <c r="J1031" i="2" a="1"/>
  <c r="I1031" i="2" a="1"/>
  <c r="H1031" i="2" a="1"/>
  <c r="G1031" i="2" a="1"/>
  <c r="F1031" i="2" a="1"/>
  <c r="E1031" i="2" a="1"/>
  <c r="D1031" i="2" a="1"/>
  <c r="C1031" i="2" a="1"/>
  <c r="B1030" i="2" a="1"/>
  <c r="K1032" i="2" l="1"/>
  <c r="L1031" i="2"/>
  <c r="J1031" i="2"/>
  <c r="I1031" i="2"/>
  <c r="H1031" i="2"/>
  <c r="G1031" i="2"/>
  <c r="F1031" i="2"/>
  <c r="E1031" i="2"/>
  <c r="D1031" i="2"/>
  <c r="C1031" i="2"/>
  <c r="B1030" i="2"/>
  <c r="A1032" i="2"/>
  <c r="K1033" i="2" a="1"/>
  <c r="L1032" i="2" a="1"/>
  <c r="J1032" i="2" a="1"/>
  <c r="I1032" i="2" a="1"/>
  <c r="H1032" i="2" a="1"/>
  <c r="G1032" i="2" a="1"/>
  <c r="F1032" i="2" a="1"/>
  <c r="E1032" i="2" a="1"/>
  <c r="D1032" i="2" a="1"/>
  <c r="C1032" i="2" a="1"/>
  <c r="B1031" i="2" a="1"/>
  <c r="K1033" i="2" l="1"/>
  <c r="L1032" i="2"/>
  <c r="J1032" i="2"/>
  <c r="I1032" i="2"/>
  <c r="H1032" i="2"/>
  <c r="G1032" i="2"/>
  <c r="F1032" i="2"/>
  <c r="E1032" i="2"/>
  <c r="D1032" i="2"/>
  <c r="C1032" i="2"/>
  <c r="B1031" i="2"/>
  <c r="A1033" i="2"/>
  <c r="K1034" i="2" a="1"/>
  <c r="L1033" i="2" a="1"/>
  <c r="J1033" i="2" a="1"/>
  <c r="I1033" i="2" a="1"/>
  <c r="H1033" i="2" a="1"/>
  <c r="G1033" i="2" a="1"/>
  <c r="F1033" i="2" a="1"/>
  <c r="E1033" i="2" a="1"/>
  <c r="D1033" i="2" a="1"/>
  <c r="C1033" i="2" a="1"/>
  <c r="B1032" i="2" a="1"/>
  <c r="K1034" i="2" l="1"/>
  <c r="L1033" i="2"/>
  <c r="J1033" i="2"/>
  <c r="I1033" i="2"/>
  <c r="H1033" i="2"/>
  <c r="G1033" i="2"/>
  <c r="F1033" i="2"/>
  <c r="E1033" i="2"/>
  <c r="D1033" i="2"/>
  <c r="C1033" i="2"/>
  <c r="B1032" i="2"/>
  <c r="A1034" i="2"/>
  <c r="K1035" i="2" a="1"/>
  <c r="L1034" i="2" a="1"/>
  <c r="J1034" i="2" a="1"/>
  <c r="I1034" i="2" a="1"/>
  <c r="H1034" i="2" a="1"/>
  <c r="G1034" i="2" a="1"/>
  <c r="F1034" i="2" a="1"/>
  <c r="E1034" i="2" a="1"/>
  <c r="D1034" i="2" a="1"/>
  <c r="C1034" i="2" a="1"/>
  <c r="B1033" i="2" a="1"/>
  <c r="K1035" i="2" l="1"/>
  <c r="L1034" i="2"/>
  <c r="J1034" i="2"/>
  <c r="I1034" i="2"/>
  <c r="H1034" i="2"/>
  <c r="G1034" i="2"/>
  <c r="F1034" i="2"/>
  <c r="E1034" i="2"/>
  <c r="D1034" i="2"/>
  <c r="C1034" i="2"/>
  <c r="B1033" i="2"/>
  <c r="A1035" i="2"/>
  <c r="K1036" i="2" a="1"/>
  <c r="L1035" i="2" a="1"/>
  <c r="J1035" i="2" a="1"/>
  <c r="I1035" i="2" a="1"/>
  <c r="H1035" i="2" a="1"/>
  <c r="G1035" i="2" a="1"/>
  <c r="F1035" i="2" a="1"/>
  <c r="E1035" i="2" a="1"/>
  <c r="D1035" i="2" a="1"/>
  <c r="C1035" i="2" a="1"/>
  <c r="B1034" i="2" a="1"/>
  <c r="K1036" i="2" l="1"/>
  <c r="L1035" i="2"/>
  <c r="J1035" i="2"/>
  <c r="I1035" i="2"/>
  <c r="H1035" i="2"/>
  <c r="G1035" i="2"/>
  <c r="F1035" i="2"/>
  <c r="E1035" i="2"/>
  <c r="D1035" i="2"/>
  <c r="C1035" i="2"/>
  <c r="B1034" i="2"/>
  <c r="A1036" i="2"/>
  <c r="K1037" i="2" a="1"/>
  <c r="L1036" i="2" a="1"/>
  <c r="J1036" i="2" a="1"/>
  <c r="I1036" i="2" a="1"/>
  <c r="H1036" i="2" a="1"/>
  <c r="G1036" i="2" a="1"/>
  <c r="F1036" i="2" a="1"/>
  <c r="E1036" i="2" a="1"/>
  <c r="D1036" i="2" a="1"/>
  <c r="C1036" i="2" a="1"/>
  <c r="B1035" i="2" a="1"/>
  <c r="K1037" i="2" l="1"/>
  <c r="L1036" i="2"/>
  <c r="J1036" i="2"/>
  <c r="I1036" i="2"/>
  <c r="H1036" i="2"/>
  <c r="G1036" i="2"/>
  <c r="F1036" i="2"/>
  <c r="E1036" i="2"/>
  <c r="D1036" i="2"/>
  <c r="C1036" i="2"/>
  <c r="B1035" i="2"/>
  <c r="A1037" i="2"/>
  <c r="K1038" i="2" a="1"/>
  <c r="L1037" i="2" a="1"/>
  <c r="J1037" i="2" a="1"/>
  <c r="I1037" i="2" a="1"/>
  <c r="H1037" i="2" a="1"/>
  <c r="G1037" i="2" a="1"/>
  <c r="F1037" i="2" a="1"/>
  <c r="E1037" i="2" a="1"/>
  <c r="D1037" i="2" a="1"/>
  <c r="C1037" i="2" a="1"/>
  <c r="B1036" i="2" a="1"/>
  <c r="K1038" i="2" l="1"/>
  <c r="L1037" i="2"/>
  <c r="J1037" i="2"/>
  <c r="I1037" i="2"/>
  <c r="H1037" i="2"/>
  <c r="G1037" i="2"/>
  <c r="F1037" i="2"/>
  <c r="E1037" i="2"/>
  <c r="D1037" i="2"/>
  <c r="C1037" i="2"/>
  <c r="B1036" i="2"/>
  <c r="A1038" i="2"/>
  <c r="K1039" i="2" a="1"/>
  <c r="L1038" i="2" a="1"/>
  <c r="J1038" i="2" a="1"/>
  <c r="I1038" i="2" a="1"/>
  <c r="H1038" i="2" a="1"/>
  <c r="G1038" i="2" a="1"/>
  <c r="F1038" i="2" a="1"/>
  <c r="E1038" i="2" a="1"/>
  <c r="D1038" i="2" a="1"/>
  <c r="C1038" i="2" a="1"/>
  <c r="B1037" i="2" a="1"/>
  <c r="K1039" i="2" l="1"/>
  <c r="L1038" i="2"/>
  <c r="J1038" i="2"/>
  <c r="I1038" i="2"/>
  <c r="H1038" i="2"/>
  <c r="G1038" i="2"/>
  <c r="F1038" i="2"/>
  <c r="E1038" i="2"/>
  <c r="D1038" i="2"/>
  <c r="C1038" i="2"/>
  <c r="B1037" i="2"/>
  <c r="A1039" i="2"/>
  <c r="K1040" i="2" a="1"/>
  <c r="L1039" i="2" a="1"/>
  <c r="J1039" i="2" a="1"/>
  <c r="I1039" i="2" a="1"/>
  <c r="H1039" i="2" a="1"/>
  <c r="G1039" i="2" a="1"/>
  <c r="F1039" i="2" a="1"/>
  <c r="E1039" i="2" a="1"/>
  <c r="D1039" i="2" a="1"/>
  <c r="C1039" i="2" a="1"/>
  <c r="B1038" i="2" a="1"/>
  <c r="K1040" i="2" l="1"/>
  <c r="L1039" i="2"/>
  <c r="J1039" i="2"/>
  <c r="I1039" i="2"/>
  <c r="H1039" i="2"/>
  <c r="G1039" i="2"/>
  <c r="F1039" i="2"/>
  <c r="E1039" i="2"/>
  <c r="D1039" i="2"/>
  <c r="C1039" i="2"/>
  <c r="B1038" i="2"/>
  <c r="A1040" i="2"/>
  <c r="K1041" i="2" a="1"/>
  <c r="L1040" i="2" a="1"/>
  <c r="J1040" i="2" a="1"/>
  <c r="I1040" i="2" a="1"/>
  <c r="H1040" i="2" a="1"/>
  <c r="G1040" i="2" a="1"/>
  <c r="F1040" i="2" a="1"/>
  <c r="E1040" i="2" a="1"/>
  <c r="D1040" i="2" a="1"/>
  <c r="C1040" i="2" a="1"/>
  <c r="B1039" i="2" a="1"/>
  <c r="K1041" i="2" l="1"/>
  <c r="L1040" i="2"/>
  <c r="J1040" i="2"/>
  <c r="I1040" i="2"/>
  <c r="H1040" i="2"/>
  <c r="G1040" i="2"/>
  <c r="F1040" i="2"/>
  <c r="E1040" i="2"/>
  <c r="D1040" i="2"/>
  <c r="C1040" i="2"/>
  <c r="B1039" i="2"/>
  <c r="A1041" i="2"/>
  <c r="K1042" i="2" a="1"/>
  <c r="L1041" i="2" a="1"/>
  <c r="J1041" i="2" a="1"/>
  <c r="I1041" i="2" a="1"/>
  <c r="H1041" i="2" a="1"/>
  <c r="G1041" i="2" a="1"/>
  <c r="F1041" i="2" a="1"/>
  <c r="E1041" i="2" a="1"/>
  <c r="D1041" i="2" a="1"/>
  <c r="C1041" i="2" a="1"/>
  <c r="B1040" i="2" a="1"/>
  <c r="K1042" i="2" l="1"/>
  <c r="L1041" i="2"/>
  <c r="J1041" i="2"/>
  <c r="I1041" i="2"/>
  <c r="H1041" i="2"/>
  <c r="G1041" i="2"/>
  <c r="F1041" i="2"/>
  <c r="E1041" i="2"/>
  <c r="D1041" i="2"/>
  <c r="C1041" i="2"/>
  <c r="B1040" i="2"/>
  <c r="A1042" i="2"/>
  <c r="K1043" i="2" a="1"/>
  <c r="L1042" i="2" a="1"/>
  <c r="J1042" i="2" a="1"/>
  <c r="I1042" i="2" a="1"/>
  <c r="H1042" i="2" a="1"/>
  <c r="G1042" i="2" a="1"/>
  <c r="F1042" i="2" a="1"/>
  <c r="E1042" i="2" a="1"/>
  <c r="D1042" i="2" a="1"/>
  <c r="C1042" i="2" a="1"/>
  <c r="B1041" i="2" a="1"/>
  <c r="K1043" i="2" l="1"/>
  <c r="L1042" i="2"/>
  <c r="J1042" i="2"/>
  <c r="I1042" i="2"/>
  <c r="H1042" i="2"/>
  <c r="G1042" i="2"/>
  <c r="F1042" i="2"/>
  <c r="E1042" i="2"/>
  <c r="D1042" i="2"/>
  <c r="C1042" i="2"/>
  <c r="B1041" i="2"/>
  <c r="A1043" i="2"/>
  <c r="K1044" i="2" a="1"/>
  <c r="L1043" i="2" a="1"/>
  <c r="J1043" i="2" a="1"/>
  <c r="I1043" i="2" a="1"/>
  <c r="H1043" i="2" a="1"/>
  <c r="G1043" i="2" a="1"/>
  <c r="F1043" i="2" a="1"/>
  <c r="E1043" i="2" a="1"/>
  <c r="D1043" i="2" a="1"/>
  <c r="C1043" i="2" a="1"/>
  <c r="B1042" i="2" a="1"/>
  <c r="K1044" i="2" l="1"/>
  <c r="L1043" i="2"/>
  <c r="J1043" i="2"/>
  <c r="I1043" i="2"/>
  <c r="H1043" i="2"/>
  <c r="G1043" i="2"/>
  <c r="F1043" i="2"/>
  <c r="E1043" i="2"/>
  <c r="D1043" i="2"/>
  <c r="C1043" i="2"/>
  <c r="B1042" i="2"/>
  <c r="A1044" i="2"/>
  <c r="K1045" i="2" a="1"/>
  <c r="L1044" i="2" a="1"/>
  <c r="J1044" i="2" a="1"/>
  <c r="I1044" i="2" a="1"/>
  <c r="H1044" i="2" a="1"/>
  <c r="G1044" i="2" a="1"/>
  <c r="F1044" i="2" a="1"/>
  <c r="E1044" i="2" a="1"/>
  <c r="D1044" i="2" a="1"/>
  <c r="C1044" i="2" a="1"/>
  <c r="B1043" i="2" a="1"/>
  <c r="K1045" i="2" l="1"/>
  <c r="L1044" i="2"/>
  <c r="J1044" i="2"/>
  <c r="I1044" i="2"/>
  <c r="H1044" i="2"/>
  <c r="G1044" i="2"/>
  <c r="F1044" i="2"/>
  <c r="E1044" i="2"/>
  <c r="D1044" i="2"/>
  <c r="C1044" i="2"/>
  <c r="B1043" i="2"/>
  <c r="A1045" i="2"/>
  <c r="K1046" i="2" a="1"/>
  <c r="L1045" i="2" a="1"/>
  <c r="J1045" i="2" a="1"/>
  <c r="I1045" i="2" a="1"/>
  <c r="H1045" i="2" a="1"/>
  <c r="G1045" i="2" a="1"/>
  <c r="F1045" i="2" a="1"/>
  <c r="E1045" i="2" a="1"/>
  <c r="D1045" i="2" a="1"/>
  <c r="C1045" i="2" a="1"/>
  <c r="B1044" i="2" a="1"/>
  <c r="K1046" i="2" l="1"/>
  <c r="L1045" i="2"/>
  <c r="J1045" i="2"/>
  <c r="I1045" i="2"/>
  <c r="H1045" i="2"/>
  <c r="G1045" i="2"/>
  <c r="F1045" i="2"/>
  <c r="E1045" i="2"/>
  <c r="D1045" i="2"/>
  <c r="C1045" i="2"/>
  <c r="B1044" i="2"/>
  <c r="A1046" i="2"/>
  <c r="K1047" i="2" a="1"/>
  <c r="L1046" i="2" a="1"/>
  <c r="J1046" i="2" a="1"/>
  <c r="I1046" i="2" a="1"/>
  <c r="H1046" i="2" a="1"/>
  <c r="G1046" i="2" a="1"/>
  <c r="F1046" i="2" a="1"/>
  <c r="E1046" i="2" a="1"/>
  <c r="D1046" i="2" a="1"/>
  <c r="C1046" i="2" a="1"/>
  <c r="B1045" i="2" a="1"/>
  <c r="K1047" i="2" l="1"/>
  <c r="L1046" i="2"/>
  <c r="J1046" i="2"/>
  <c r="I1046" i="2"/>
  <c r="H1046" i="2"/>
  <c r="G1046" i="2"/>
  <c r="F1046" i="2"/>
  <c r="E1046" i="2"/>
  <c r="D1046" i="2"/>
  <c r="C1046" i="2"/>
  <c r="B1045" i="2"/>
  <c r="A1047" i="2"/>
  <c r="K1048" i="2" a="1"/>
  <c r="L1047" i="2" a="1"/>
  <c r="J1047" i="2" a="1"/>
  <c r="I1047" i="2" a="1"/>
  <c r="H1047" i="2" a="1"/>
  <c r="G1047" i="2" a="1"/>
  <c r="F1047" i="2" a="1"/>
  <c r="E1047" i="2" a="1"/>
  <c r="D1047" i="2" a="1"/>
  <c r="C1047" i="2" a="1"/>
  <c r="B1046" i="2" a="1"/>
  <c r="K1048" i="2" l="1"/>
  <c r="L1047" i="2"/>
  <c r="J1047" i="2"/>
  <c r="I1047" i="2"/>
  <c r="H1047" i="2"/>
  <c r="G1047" i="2"/>
  <c r="F1047" i="2"/>
  <c r="E1047" i="2"/>
  <c r="D1047" i="2"/>
  <c r="C1047" i="2"/>
  <c r="B1046" i="2"/>
  <c r="A1048" i="2"/>
  <c r="K1049" i="2" a="1"/>
  <c r="L1048" i="2" a="1"/>
  <c r="J1048" i="2" a="1"/>
  <c r="I1048" i="2" a="1"/>
  <c r="H1048" i="2" a="1"/>
  <c r="G1048" i="2" a="1"/>
  <c r="F1048" i="2" a="1"/>
  <c r="E1048" i="2" a="1"/>
  <c r="D1048" i="2" a="1"/>
  <c r="C1048" i="2" a="1"/>
  <c r="B1047" i="2" a="1"/>
  <c r="K1049" i="2" l="1"/>
  <c r="L1048" i="2"/>
  <c r="J1048" i="2"/>
  <c r="I1048" i="2"/>
  <c r="H1048" i="2"/>
  <c r="G1048" i="2"/>
  <c r="F1048" i="2"/>
  <c r="E1048" i="2"/>
  <c r="D1048" i="2"/>
  <c r="C1048" i="2"/>
  <c r="B1047" i="2"/>
  <c r="A1049" i="2"/>
  <c r="K1050" i="2" a="1"/>
  <c r="L1049" i="2" a="1"/>
  <c r="J1049" i="2" a="1"/>
  <c r="I1049" i="2" a="1"/>
  <c r="H1049" i="2" a="1"/>
  <c r="G1049" i="2" a="1"/>
  <c r="F1049" i="2" a="1"/>
  <c r="E1049" i="2" a="1"/>
  <c r="D1049" i="2" a="1"/>
  <c r="C1049" i="2" a="1"/>
  <c r="B1048" i="2" a="1"/>
  <c r="K1050" i="2" l="1"/>
  <c r="L1049" i="2"/>
  <c r="J1049" i="2"/>
  <c r="I1049" i="2"/>
  <c r="H1049" i="2"/>
  <c r="G1049" i="2"/>
  <c r="F1049" i="2"/>
  <c r="E1049" i="2"/>
  <c r="D1049" i="2"/>
  <c r="C1049" i="2"/>
  <c r="B1048" i="2"/>
  <c r="A1050" i="2"/>
  <c r="K1051" i="2" a="1"/>
  <c r="L1050" i="2" a="1"/>
  <c r="J1050" i="2" a="1"/>
  <c r="I1050" i="2" a="1"/>
  <c r="H1050" i="2" a="1"/>
  <c r="G1050" i="2" a="1"/>
  <c r="F1050" i="2" a="1"/>
  <c r="E1050" i="2" a="1"/>
  <c r="D1050" i="2" a="1"/>
  <c r="C1050" i="2" a="1"/>
  <c r="B1049" i="2" a="1"/>
  <c r="K1051" i="2" l="1"/>
  <c r="L1050" i="2"/>
  <c r="J1050" i="2"/>
  <c r="I1050" i="2"/>
  <c r="H1050" i="2"/>
  <c r="G1050" i="2"/>
  <c r="F1050" i="2"/>
  <c r="E1050" i="2"/>
  <c r="D1050" i="2"/>
  <c r="C1050" i="2"/>
  <c r="B1049" i="2"/>
  <c r="A1051" i="2"/>
  <c r="K1052" i="2" a="1"/>
  <c r="L1051" i="2" a="1"/>
  <c r="J1051" i="2" a="1"/>
  <c r="I1051" i="2" a="1"/>
  <c r="H1051" i="2" a="1"/>
  <c r="G1051" i="2" a="1"/>
  <c r="F1051" i="2" a="1"/>
  <c r="E1051" i="2" a="1"/>
  <c r="D1051" i="2" a="1"/>
  <c r="C1051" i="2" a="1"/>
  <c r="B1050" i="2" a="1"/>
  <c r="K1052" i="2" l="1"/>
  <c r="L1051" i="2"/>
  <c r="J1051" i="2"/>
  <c r="I1051" i="2"/>
  <c r="H1051" i="2"/>
  <c r="G1051" i="2"/>
  <c r="F1051" i="2"/>
  <c r="E1051" i="2"/>
  <c r="D1051" i="2"/>
  <c r="C1051" i="2"/>
  <c r="B1050" i="2"/>
  <c r="A1052" i="2"/>
  <c r="K1053" i="2" a="1"/>
  <c r="L1052" i="2" a="1"/>
  <c r="J1052" i="2" a="1"/>
  <c r="I1052" i="2" a="1"/>
  <c r="H1052" i="2" a="1"/>
  <c r="G1052" i="2" a="1"/>
  <c r="F1052" i="2" a="1"/>
  <c r="E1052" i="2" a="1"/>
  <c r="D1052" i="2" a="1"/>
  <c r="C1052" i="2" a="1"/>
  <c r="B1051" i="2" a="1"/>
  <c r="K1053" i="2" l="1"/>
  <c r="L1052" i="2"/>
  <c r="J1052" i="2"/>
  <c r="I1052" i="2"/>
  <c r="H1052" i="2"/>
  <c r="G1052" i="2"/>
  <c r="F1052" i="2"/>
  <c r="E1052" i="2"/>
  <c r="D1052" i="2"/>
  <c r="C1052" i="2"/>
  <c r="B1051" i="2"/>
  <c r="A1053" i="2"/>
  <c r="K1054" i="2" a="1"/>
  <c r="L1053" i="2" a="1"/>
  <c r="J1053" i="2" a="1"/>
  <c r="I1053" i="2" a="1"/>
  <c r="H1053" i="2" a="1"/>
  <c r="G1053" i="2" a="1"/>
  <c r="F1053" i="2" a="1"/>
  <c r="E1053" i="2" a="1"/>
  <c r="D1053" i="2" a="1"/>
  <c r="C1053" i="2" a="1"/>
  <c r="B1052" i="2" a="1"/>
  <c r="K1054" i="2" l="1"/>
  <c r="L1053" i="2"/>
  <c r="J1053" i="2"/>
  <c r="I1053" i="2"/>
  <c r="H1053" i="2"/>
  <c r="G1053" i="2"/>
  <c r="F1053" i="2"/>
  <c r="E1053" i="2"/>
  <c r="D1053" i="2"/>
  <c r="C1053" i="2"/>
  <c r="B1052" i="2"/>
  <c r="A1054" i="2"/>
  <c r="K1055" i="2" a="1"/>
  <c r="L1054" i="2" a="1"/>
  <c r="J1054" i="2" a="1"/>
  <c r="I1054" i="2" a="1"/>
  <c r="H1054" i="2" a="1"/>
  <c r="G1054" i="2" a="1"/>
  <c r="F1054" i="2" a="1"/>
  <c r="E1054" i="2" a="1"/>
  <c r="D1054" i="2" a="1"/>
  <c r="C1054" i="2" a="1"/>
  <c r="B1053" i="2" a="1"/>
  <c r="K1055" i="2" l="1"/>
  <c r="L1054" i="2"/>
  <c r="J1054" i="2"/>
  <c r="I1054" i="2"/>
  <c r="H1054" i="2"/>
  <c r="G1054" i="2"/>
  <c r="F1054" i="2"/>
  <c r="E1054" i="2"/>
  <c r="D1054" i="2"/>
  <c r="C1054" i="2"/>
  <c r="B1053" i="2"/>
  <c r="A1055" i="2"/>
  <c r="K1056" i="2" a="1"/>
  <c r="L1055" i="2" a="1"/>
  <c r="J1055" i="2" a="1"/>
  <c r="I1055" i="2" a="1"/>
  <c r="H1055" i="2" a="1"/>
  <c r="G1055" i="2" a="1"/>
  <c r="F1055" i="2" a="1"/>
  <c r="E1055" i="2" a="1"/>
  <c r="D1055" i="2" a="1"/>
  <c r="C1055" i="2" a="1"/>
  <c r="B1054" i="2" a="1"/>
  <c r="K1056" i="2" l="1"/>
  <c r="L1055" i="2"/>
  <c r="J1055" i="2"/>
  <c r="I1055" i="2"/>
  <c r="H1055" i="2"/>
  <c r="G1055" i="2"/>
  <c r="F1055" i="2"/>
  <c r="E1055" i="2"/>
  <c r="D1055" i="2"/>
  <c r="C1055" i="2"/>
  <c r="B1054" i="2"/>
  <c r="A1056" i="2"/>
  <c r="K1057" i="2" a="1"/>
  <c r="L1056" i="2" a="1"/>
  <c r="J1056" i="2" a="1"/>
  <c r="I1056" i="2" a="1"/>
  <c r="H1056" i="2" a="1"/>
  <c r="G1056" i="2" a="1"/>
  <c r="F1056" i="2" a="1"/>
  <c r="E1056" i="2" a="1"/>
  <c r="D1056" i="2" a="1"/>
  <c r="C1056" i="2" a="1"/>
  <c r="B1055" i="2" a="1"/>
  <c r="K1057" i="2" l="1"/>
  <c r="L1056" i="2"/>
  <c r="J1056" i="2"/>
  <c r="I1056" i="2"/>
  <c r="H1056" i="2"/>
  <c r="G1056" i="2"/>
  <c r="F1056" i="2"/>
  <c r="E1056" i="2"/>
  <c r="D1056" i="2"/>
  <c r="C1056" i="2"/>
  <c r="B1055" i="2"/>
  <c r="A1057" i="2"/>
  <c r="K1058" i="2" a="1"/>
  <c r="L1057" i="2" a="1"/>
  <c r="J1057" i="2" a="1"/>
  <c r="I1057" i="2" a="1"/>
  <c r="H1057" i="2" a="1"/>
  <c r="G1057" i="2" a="1"/>
  <c r="F1057" i="2" a="1"/>
  <c r="E1057" i="2" a="1"/>
  <c r="D1057" i="2" a="1"/>
  <c r="C1057" i="2" a="1"/>
  <c r="B1056" i="2" a="1"/>
  <c r="K1058" i="2" l="1"/>
  <c r="L1057" i="2"/>
  <c r="J1057" i="2"/>
  <c r="I1057" i="2"/>
  <c r="H1057" i="2"/>
  <c r="G1057" i="2"/>
  <c r="F1057" i="2"/>
  <c r="E1057" i="2"/>
  <c r="D1057" i="2"/>
  <c r="C1057" i="2"/>
  <c r="B1056" i="2"/>
  <c r="A1058" i="2"/>
  <c r="K1059" i="2" a="1"/>
  <c r="L1058" i="2" a="1"/>
  <c r="J1058" i="2" a="1"/>
  <c r="I1058" i="2" a="1"/>
  <c r="H1058" i="2" a="1"/>
  <c r="G1058" i="2" a="1"/>
  <c r="F1058" i="2" a="1"/>
  <c r="E1058" i="2" a="1"/>
  <c r="D1058" i="2" a="1"/>
  <c r="C1058" i="2" a="1"/>
  <c r="B1057" i="2" a="1"/>
  <c r="K1059" i="2" l="1"/>
  <c r="L1058" i="2"/>
  <c r="J1058" i="2"/>
  <c r="I1058" i="2"/>
  <c r="H1058" i="2"/>
  <c r="G1058" i="2"/>
  <c r="F1058" i="2"/>
  <c r="E1058" i="2"/>
  <c r="D1058" i="2"/>
  <c r="C1058" i="2"/>
  <c r="B1057" i="2"/>
  <c r="A1059" i="2"/>
  <c r="K1060" i="2" a="1"/>
  <c r="L1059" i="2" a="1"/>
  <c r="J1059" i="2" a="1"/>
  <c r="I1059" i="2" a="1"/>
  <c r="H1059" i="2" a="1"/>
  <c r="G1059" i="2" a="1"/>
  <c r="F1059" i="2" a="1"/>
  <c r="E1059" i="2" a="1"/>
  <c r="D1059" i="2" a="1"/>
  <c r="C1059" i="2" a="1"/>
  <c r="B1058" i="2" a="1"/>
  <c r="K1060" i="2" l="1"/>
  <c r="L1059" i="2"/>
  <c r="J1059" i="2"/>
  <c r="I1059" i="2"/>
  <c r="H1059" i="2"/>
  <c r="G1059" i="2"/>
  <c r="F1059" i="2"/>
  <c r="E1059" i="2"/>
  <c r="D1059" i="2"/>
  <c r="C1059" i="2"/>
  <c r="B1058" i="2"/>
  <c r="A1060" i="2"/>
  <c r="K1061" i="2" a="1"/>
  <c r="L1060" i="2" a="1"/>
  <c r="J1060" i="2" a="1"/>
  <c r="I1060" i="2" a="1"/>
  <c r="H1060" i="2" a="1"/>
  <c r="G1060" i="2" a="1"/>
  <c r="F1060" i="2" a="1"/>
  <c r="E1060" i="2" a="1"/>
  <c r="D1060" i="2" a="1"/>
  <c r="C1060" i="2" a="1"/>
  <c r="B1059" i="2" a="1"/>
  <c r="K1061" i="2" l="1"/>
  <c r="L1060" i="2"/>
  <c r="J1060" i="2"/>
  <c r="I1060" i="2"/>
  <c r="H1060" i="2"/>
  <c r="G1060" i="2"/>
  <c r="F1060" i="2"/>
  <c r="E1060" i="2"/>
  <c r="D1060" i="2"/>
  <c r="C1060" i="2"/>
  <c r="B1059" i="2"/>
  <c r="A1061" i="2"/>
  <c r="K1062" i="2" a="1"/>
  <c r="L1061" i="2" a="1"/>
  <c r="J1061" i="2" a="1"/>
  <c r="I1061" i="2" a="1"/>
  <c r="H1061" i="2" a="1"/>
  <c r="G1061" i="2" a="1"/>
  <c r="F1061" i="2" a="1"/>
  <c r="E1061" i="2" a="1"/>
  <c r="D1061" i="2" a="1"/>
  <c r="C1061" i="2" a="1"/>
  <c r="B1060" i="2" a="1"/>
  <c r="K1062" i="2" l="1"/>
  <c r="L1061" i="2"/>
  <c r="J1061" i="2"/>
  <c r="I1061" i="2"/>
  <c r="H1061" i="2"/>
  <c r="G1061" i="2"/>
  <c r="F1061" i="2"/>
  <c r="E1061" i="2"/>
  <c r="D1061" i="2"/>
  <c r="C1061" i="2"/>
  <c r="B1060" i="2"/>
  <c r="A1062" i="2"/>
  <c r="K1063" i="2" a="1"/>
  <c r="L1062" i="2" a="1"/>
  <c r="J1062" i="2" a="1"/>
  <c r="I1062" i="2" a="1"/>
  <c r="H1062" i="2" a="1"/>
  <c r="G1062" i="2" a="1"/>
  <c r="F1062" i="2" a="1"/>
  <c r="E1062" i="2" a="1"/>
  <c r="D1062" i="2" a="1"/>
  <c r="C1062" i="2" a="1"/>
  <c r="B1061" i="2" a="1"/>
  <c r="K1063" i="2" l="1"/>
  <c r="L1062" i="2"/>
  <c r="J1062" i="2"/>
  <c r="I1062" i="2"/>
  <c r="H1062" i="2"/>
  <c r="G1062" i="2"/>
  <c r="F1062" i="2"/>
  <c r="E1062" i="2"/>
  <c r="D1062" i="2"/>
  <c r="C1062" i="2"/>
  <c r="B1061" i="2"/>
  <c r="A1063" i="2"/>
  <c r="K1064" i="2" a="1"/>
  <c r="L1063" i="2" a="1"/>
  <c r="J1063" i="2" a="1"/>
  <c r="I1063" i="2" a="1"/>
  <c r="H1063" i="2" a="1"/>
  <c r="G1063" i="2" a="1"/>
  <c r="F1063" i="2" a="1"/>
  <c r="E1063" i="2" a="1"/>
  <c r="D1063" i="2" a="1"/>
  <c r="C1063" i="2" a="1"/>
  <c r="B1062" i="2" a="1"/>
  <c r="K1064" i="2" l="1"/>
  <c r="L1063" i="2"/>
  <c r="J1063" i="2"/>
  <c r="I1063" i="2"/>
  <c r="H1063" i="2"/>
  <c r="G1063" i="2"/>
  <c r="F1063" i="2"/>
  <c r="E1063" i="2"/>
  <c r="D1063" i="2"/>
  <c r="C1063" i="2"/>
  <c r="B1062" i="2"/>
  <c r="A1064" i="2"/>
  <c r="K1065" i="2" a="1"/>
  <c r="L1064" i="2" a="1"/>
  <c r="J1064" i="2" a="1"/>
  <c r="I1064" i="2" a="1"/>
  <c r="H1064" i="2" a="1"/>
  <c r="G1064" i="2" a="1"/>
  <c r="F1064" i="2" a="1"/>
  <c r="E1064" i="2" a="1"/>
  <c r="D1064" i="2" a="1"/>
  <c r="C1064" i="2" a="1"/>
  <c r="B1063" i="2" a="1"/>
  <c r="K1065" i="2" l="1"/>
  <c r="L1064" i="2"/>
  <c r="J1064" i="2"/>
  <c r="I1064" i="2"/>
  <c r="H1064" i="2"/>
  <c r="G1064" i="2"/>
  <c r="F1064" i="2"/>
  <c r="E1064" i="2"/>
  <c r="D1064" i="2"/>
  <c r="C1064" i="2"/>
  <c r="B1063" i="2"/>
  <c r="A1065" i="2"/>
  <c r="K1066" i="2" a="1"/>
  <c r="L1065" i="2" a="1"/>
  <c r="J1065" i="2" a="1"/>
  <c r="I1065" i="2" a="1"/>
  <c r="H1065" i="2" a="1"/>
  <c r="G1065" i="2" a="1"/>
  <c r="F1065" i="2" a="1"/>
  <c r="E1065" i="2" a="1"/>
  <c r="D1065" i="2" a="1"/>
  <c r="C1065" i="2" a="1"/>
  <c r="B1064" i="2" a="1"/>
  <c r="K1066" i="2" l="1"/>
  <c r="L1065" i="2"/>
  <c r="J1065" i="2"/>
  <c r="I1065" i="2"/>
  <c r="H1065" i="2"/>
  <c r="G1065" i="2"/>
  <c r="F1065" i="2"/>
  <c r="E1065" i="2"/>
  <c r="D1065" i="2"/>
  <c r="C1065" i="2"/>
  <c r="B1064" i="2"/>
  <c r="A1066" i="2"/>
  <c r="K1067" i="2" a="1"/>
  <c r="L1066" i="2" a="1"/>
  <c r="J1066" i="2" a="1"/>
  <c r="I1066" i="2" a="1"/>
  <c r="H1066" i="2" a="1"/>
  <c r="G1066" i="2" a="1"/>
  <c r="F1066" i="2" a="1"/>
  <c r="E1066" i="2" a="1"/>
  <c r="D1066" i="2" a="1"/>
  <c r="C1066" i="2" a="1"/>
  <c r="B1065" i="2" a="1"/>
  <c r="K1067" i="2" l="1"/>
  <c r="L1066" i="2"/>
  <c r="J1066" i="2"/>
  <c r="I1066" i="2"/>
  <c r="H1066" i="2"/>
  <c r="G1066" i="2"/>
  <c r="F1066" i="2"/>
  <c r="E1066" i="2"/>
  <c r="D1066" i="2"/>
  <c r="C1066" i="2"/>
  <c r="B1065" i="2"/>
  <c r="A1067" i="2"/>
  <c r="K1068" i="2" a="1"/>
  <c r="L1067" i="2" a="1"/>
  <c r="J1067" i="2" a="1"/>
  <c r="I1067" i="2" a="1"/>
  <c r="H1067" i="2" a="1"/>
  <c r="G1067" i="2" a="1"/>
  <c r="F1067" i="2" a="1"/>
  <c r="E1067" i="2" a="1"/>
  <c r="D1067" i="2" a="1"/>
  <c r="C1067" i="2" a="1"/>
  <c r="B1066" i="2" a="1"/>
  <c r="K1068" i="2" l="1"/>
  <c r="L1067" i="2"/>
  <c r="J1067" i="2"/>
  <c r="I1067" i="2"/>
  <c r="H1067" i="2"/>
  <c r="G1067" i="2"/>
  <c r="F1067" i="2"/>
  <c r="E1067" i="2"/>
  <c r="D1067" i="2"/>
  <c r="C1067" i="2"/>
  <c r="B1066" i="2"/>
  <c r="A1068" i="2"/>
  <c r="K1069" i="2" a="1"/>
  <c r="L1068" i="2" a="1"/>
  <c r="J1068" i="2" a="1"/>
  <c r="I1068" i="2" a="1"/>
  <c r="H1068" i="2" a="1"/>
  <c r="G1068" i="2" a="1"/>
  <c r="F1068" i="2" a="1"/>
  <c r="E1068" i="2" a="1"/>
  <c r="D1068" i="2" a="1"/>
  <c r="C1068" i="2" a="1"/>
  <c r="B1067" i="2" a="1"/>
  <c r="K1069" i="2" l="1"/>
  <c r="L1068" i="2"/>
  <c r="J1068" i="2"/>
  <c r="I1068" i="2"/>
  <c r="H1068" i="2"/>
  <c r="G1068" i="2"/>
  <c r="F1068" i="2"/>
  <c r="E1068" i="2"/>
  <c r="D1068" i="2"/>
  <c r="C1068" i="2"/>
  <c r="B1067" i="2"/>
  <c r="A1069" i="2"/>
  <c r="K1070" i="2" a="1"/>
  <c r="L1069" i="2" a="1"/>
  <c r="J1069" i="2" a="1"/>
  <c r="I1069" i="2" a="1"/>
  <c r="H1069" i="2" a="1"/>
  <c r="G1069" i="2" a="1"/>
  <c r="F1069" i="2" a="1"/>
  <c r="E1069" i="2" a="1"/>
  <c r="D1069" i="2" a="1"/>
  <c r="C1069" i="2" a="1"/>
  <c r="B1068" i="2" a="1"/>
  <c r="K1070" i="2" l="1"/>
  <c r="L1069" i="2"/>
  <c r="J1069" i="2"/>
  <c r="I1069" i="2"/>
  <c r="H1069" i="2"/>
  <c r="G1069" i="2"/>
  <c r="F1069" i="2"/>
  <c r="E1069" i="2"/>
  <c r="D1069" i="2"/>
  <c r="C1069" i="2"/>
  <c r="B1068" i="2"/>
  <c r="A1070" i="2"/>
  <c r="K1071" i="2" a="1"/>
  <c r="L1070" i="2" a="1"/>
  <c r="J1070" i="2" a="1"/>
  <c r="I1070" i="2" a="1"/>
  <c r="H1070" i="2" a="1"/>
  <c r="G1070" i="2" a="1"/>
  <c r="F1070" i="2" a="1"/>
  <c r="E1070" i="2" a="1"/>
  <c r="D1070" i="2" a="1"/>
  <c r="C1070" i="2" a="1"/>
  <c r="B1069" i="2" a="1"/>
  <c r="K1071" i="2" l="1"/>
  <c r="L1070" i="2"/>
  <c r="J1070" i="2"/>
  <c r="I1070" i="2"/>
  <c r="H1070" i="2"/>
  <c r="G1070" i="2"/>
  <c r="F1070" i="2"/>
  <c r="E1070" i="2"/>
  <c r="D1070" i="2"/>
  <c r="C1070" i="2"/>
  <c r="B1069" i="2"/>
  <c r="A1071" i="2"/>
  <c r="K1072" i="2" a="1"/>
  <c r="L1071" i="2" a="1"/>
  <c r="J1071" i="2" a="1"/>
  <c r="I1071" i="2" a="1"/>
  <c r="H1071" i="2" a="1"/>
  <c r="G1071" i="2" a="1"/>
  <c r="F1071" i="2" a="1"/>
  <c r="E1071" i="2" a="1"/>
  <c r="D1071" i="2" a="1"/>
  <c r="C1071" i="2" a="1"/>
  <c r="B1070" i="2" a="1"/>
  <c r="K1072" i="2" l="1"/>
  <c r="L1071" i="2"/>
  <c r="J1071" i="2"/>
  <c r="I1071" i="2"/>
  <c r="H1071" i="2"/>
  <c r="G1071" i="2"/>
  <c r="F1071" i="2"/>
  <c r="E1071" i="2"/>
  <c r="D1071" i="2"/>
  <c r="C1071" i="2"/>
  <c r="B1070" i="2"/>
  <c r="A1072" i="2"/>
  <c r="K1073" i="2" a="1"/>
  <c r="L1072" i="2" a="1"/>
  <c r="J1072" i="2" a="1"/>
  <c r="I1072" i="2" a="1"/>
  <c r="H1072" i="2" a="1"/>
  <c r="G1072" i="2" a="1"/>
  <c r="F1072" i="2" a="1"/>
  <c r="E1072" i="2" a="1"/>
  <c r="D1072" i="2" a="1"/>
  <c r="C1072" i="2" a="1"/>
  <c r="B1071" i="2" a="1"/>
  <c r="K1073" i="2" l="1"/>
  <c r="L1072" i="2"/>
  <c r="J1072" i="2"/>
  <c r="I1072" i="2"/>
  <c r="H1072" i="2"/>
  <c r="G1072" i="2"/>
  <c r="F1072" i="2"/>
  <c r="E1072" i="2"/>
  <c r="D1072" i="2"/>
  <c r="C1072" i="2"/>
  <c r="B1071" i="2"/>
  <c r="A1073" i="2"/>
  <c r="K1074" i="2" a="1"/>
  <c r="L1073" i="2" a="1"/>
  <c r="J1073" i="2" a="1"/>
  <c r="I1073" i="2" a="1"/>
  <c r="H1073" i="2" a="1"/>
  <c r="G1073" i="2" a="1"/>
  <c r="F1073" i="2" a="1"/>
  <c r="E1073" i="2" a="1"/>
  <c r="D1073" i="2" a="1"/>
  <c r="C1073" i="2" a="1"/>
  <c r="B1072" i="2" a="1"/>
  <c r="K1074" i="2" l="1"/>
  <c r="L1073" i="2"/>
  <c r="J1073" i="2"/>
  <c r="I1073" i="2"/>
  <c r="H1073" i="2"/>
  <c r="G1073" i="2"/>
  <c r="F1073" i="2"/>
  <c r="E1073" i="2"/>
  <c r="D1073" i="2"/>
  <c r="C1073" i="2"/>
  <c r="B1072" i="2"/>
  <c r="A1074" i="2"/>
  <c r="K1075" i="2" a="1"/>
  <c r="L1074" i="2" a="1"/>
  <c r="J1074" i="2" a="1"/>
  <c r="I1074" i="2" a="1"/>
  <c r="H1074" i="2" a="1"/>
  <c r="G1074" i="2" a="1"/>
  <c r="F1074" i="2" a="1"/>
  <c r="E1074" i="2" a="1"/>
  <c r="D1074" i="2" a="1"/>
  <c r="C1074" i="2" a="1"/>
  <c r="B1073" i="2" a="1"/>
  <c r="K1075" i="2" l="1"/>
  <c r="L1074" i="2"/>
  <c r="J1074" i="2"/>
  <c r="I1074" i="2"/>
  <c r="H1074" i="2"/>
  <c r="G1074" i="2"/>
  <c r="F1074" i="2"/>
  <c r="E1074" i="2"/>
  <c r="D1074" i="2"/>
  <c r="C1074" i="2"/>
  <c r="B1073" i="2"/>
  <c r="A1075" i="2"/>
  <c r="K1076" i="2" a="1"/>
  <c r="L1075" i="2" a="1"/>
  <c r="J1075" i="2" a="1"/>
  <c r="I1075" i="2" a="1"/>
  <c r="H1075" i="2" a="1"/>
  <c r="G1075" i="2" a="1"/>
  <c r="F1075" i="2" a="1"/>
  <c r="E1075" i="2" a="1"/>
  <c r="D1075" i="2" a="1"/>
  <c r="C1075" i="2" a="1"/>
  <c r="B1074" i="2" a="1"/>
  <c r="K1076" i="2" l="1"/>
  <c r="L1075" i="2"/>
  <c r="J1075" i="2"/>
  <c r="I1075" i="2"/>
  <c r="H1075" i="2"/>
  <c r="G1075" i="2"/>
  <c r="F1075" i="2"/>
  <c r="E1075" i="2"/>
  <c r="D1075" i="2"/>
  <c r="C1075" i="2"/>
  <c r="B1074" i="2"/>
  <c r="A1076" i="2"/>
  <c r="K1077" i="2" a="1"/>
  <c r="L1076" i="2" a="1"/>
  <c r="J1076" i="2" a="1"/>
  <c r="I1076" i="2" a="1"/>
  <c r="H1076" i="2" a="1"/>
  <c r="G1076" i="2" a="1"/>
  <c r="F1076" i="2" a="1"/>
  <c r="E1076" i="2" a="1"/>
  <c r="D1076" i="2" a="1"/>
  <c r="C1076" i="2" a="1"/>
  <c r="B1075" i="2" a="1"/>
  <c r="K1077" i="2" l="1"/>
  <c r="L1076" i="2"/>
  <c r="J1076" i="2"/>
  <c r="I1076" i="2"/>
  <c r="H1076" i="2"/>
  <c r="G1076" i="2"/>
  <c r="F1076" i="2"/>
  <c r="E1076" i="2"/>
  <c r="D1076" i="2"/>
  <c r="C1076" i="2"/>
  <c r="B1075" i="2"/>
  <c r="A1077" i="2"/>
  <c r="K1078" i="2" a="1"/>
  <c r="L1077" i="2" a="1"/>
  <c r="J1077" i="2" a="1"/>
  <c r="I1077" i="2" a="1"/>
  <c r="H1077" i="2" a="1"/>
  <c r="G1077" i="2" a="1"/>
  <c r="F1077" i="2" a="1"/>
  <c r="E1077" i="2" a="1"/>
  <c r="D1077" i="2" a="1"/>
  <c r="C1077" i="2" a="1"/>
  <c r="B1076" i="2" a="1"/>
  <c r="K1078" i="2" l="1"/>
  <c r="L1077" i="2"/>
  <c r="J1077" i="2"/>
  <c r="I1077" i="2"/>
  <c r="H1077" i="2"/>
  <c r="G1077" i="2"/>
  <c r="F1077" i="2"/>
  <c r="E1077" i="2"/>
  <c r="D1077" i="2"/>
  <c r="C1077" i="2"/>
  <c r="B1076" i="2"/>
  <c r="A1078" i="2"/>
  <c r="K1079" i="2" a="1"/>
  <c r="L1078" i="2" a="1"/>
  <c r="J1078" i="2" a="1"/>
  <c r="I1078" i="2" a="1"/>
  <c r="H1078" i="2" a="1"/>
  <c r="G1078" i="2" a="1"/>
  <c r="F1078" i="2" a="1"/>
  <c r="E1078" i="2" a="1"/>
  <c r="D1078" i="2" a="1"/>
  <c r="C1078" i="2" a="1"/>
  <c r="B1077" i="2" a="1"/>
  <c r="K1079" i="2" l="1"/>
  <c r="L1078" i="2"/>
  <c r="J1078" i="2"/>
  <c r="I1078" i="2"/>
  <c r="H1078" i="2"/>
  <c r="G1078" i="2"/>
  <c r="F1078" i="2"/>
  <c r="E1078" i="2"/>
  <c r="D1078" i="2"/>
  <c r="C1078" i="2"/>
  <c r="B1077" i="2"/>
  <c r="A1079" i="2"/>
  <c r="K1080" i="2" a="1"/>
  <c r="L1079" i="2" a="1"/>
  <c r="J1079" i="2" a="1"/>
  <c r="I1079" i="2" a="1"/>
  <c r="H1079" i="2" a="1"/>
  <c r="G1079" i="2" a="1"/>
  <c r="F1079" i="2" a="1"/>
  <c r="E1079" i="2" a="1"/>
  <c r="D1079" i="2" a="1"/>
  <c r="C1079" i="2" a="1"/>
  <c r="B1078" i="2" a="1"/>
  <c r="K1080" i="2" l="1"/>
  <c r="L1079" i="2"/>
  <c r="J1079" i="2"/>
  <c r="I1079" i="2"/>
  <c r="H1079" i="2"/>
  <c r="G1079" i="2"/>
  <c r="F1079" i="2"/>
  <c r="E1079" i="2"/>
  <c r="D1079" i="2"/>
  <c r="C1079" i="2"/>
  <c r="B1078" i="2"/>
  <c r="A1080" i="2"/>
  <c r="K1081" i="2" a="1"/>
  <c r="L1080" i="2" a="1"/>
  <c r="J1080" i="2" a="1"/>
  <c r="I1080" i="2" a="1"/>
  <c r="H1080" i="2" a="1"/>
  <c r="G1080" i="2" a="1"/>
  <c r="F1080" i="2" a="1"/>
  <c r="E1080" i="2" a="1"/>
  <c r="D1080" i="2" a="1"/>
  <c r="C1080" i="2" a="1"/>
  <c r="B1079" i="2" a="1"/>
  <c r="K1081" i="2" l="1"/>
  <c r="L1080" i="2"/>
  <c r="J1080" i="2"/>
  <c r="I1080" i="2"/>
  <c r="H1080" i="2"/>
  <c r="G1080" i="2"/>
  <c r="F1080" i="2"/>
  <c r="E1080" i="2"/>
  <c r="D1080" i="2"/>
  <c r="C1080" i="2"/>
  <c r="B1079" i="2"/>
  <c r="A1081" i="2"/>
  <c r="K1082" i="2" a="1"/>
  <c r="L1081" i="2" a="1"/>
  <c r="J1081" i="2" a="1"/>
  <c r="I1081" i="2" a="1"/>
  <c r="H1081" i="2" a="1"/>
  <c r="G1081" i="2" a="1"/>
  <c r="F1081" i="2" a="1"/>
  <c r="E1081" i="2" a="1"/>
  <c r="D1081" i="2" a="1"/>
  <c r="C1081" i="2" a="1"/>
  <c r="B1080" i="2" a="1"/>
  <c r="K1082" i="2" l="1"/>
  <c r="L1081" i="2"/>
  <c r="J1081" i="2"/>
  <c r="I1081" i="2"/>
  <c r="H1081" i="2"/>
  <c r="G1081" i="2"/>
  <c r="F1081" i="2"/>
  <c r="E1081" i="2"/>
  <c r="D1081" i="2"/>
  <c r="C1081" i="2"/>
  <c r="B1080" i="2"/>
  <c r="A1082" i="2"/>
  <c r="K1083" i="2" a="1"/>
  <c r="L1082" i="2" a="1"/>
  <c r="J1082" i="2" a="1"/>
  <c r="I1082" i="2" a="1"/>
  <c r="H1082" i="2" a="1"/>
  <c r="G1082" i="2" a="1"/>
  <c r="F1082" i="2" a="1"/>
  <c r="E1082" i="2" a="1"/>
  <c r="D1082" i="2" a="1"/>
  <c r="C1082" i="2" a="1"/>
  <c r="B1081" i="2" a="1"/>
  <c r="K1083" i="2" l="1"/>
  <c r="L1082" i="2"/>
  <c r="J1082" i="2"/>
  <c r="I1082" i="2"/>
  <c r="H1082" i="2"/>
  <c r="G1082" i="2"/>
  <c r="F1082" i="2"/>
  <c r="E1082" i="2"/>
  <c r="D1082" i="2"/>
  <c r="C1082" i="2"/>
  <c r="B1081" i="2"/>
  <c r="A1083" i="2"/>
  <c r="K1084" i="2" a="1"/>
  <c r="L1083" i="2" a="1"/>
  <c r="J1083" i="2" a="1"/>
  <c r="I1083" i="2" a="1"/>
  <c r="H1083" i="2" a="1"/>
  <c r="G1083" i="2" a="1"/>
  <c r="F1083" i="2" a="1"/>
  <c r="E1083" i="2" a="1"/>
  <c r="D1083" i="2" a="1"/>
  <c r="C1083" i="2" a="1"/>
  <c r="B1082" i="2" a="1"/>
  <c r="K1084" i="2" l="1"/>
  <c r="L1083" i="2"/>
  <c r="J1083" i="2"/>
  <c r="I1083" i="2"/>
  <c r="H1083" i="2"/>
  <c r="G1083" i="2"/>
  <c r="F1083" i="2"/>
  <c r="E1083" i="2"/>
  <c r="D1083" i="2"/>
  <c r="C1083" i="2"/>
  <c r="B1082" i="2"/>
  <c r="A1084" i="2"/>
  <c r="K1085" i="2" a="1"/>
  <c r="L1084" i="2" a="1"/>
  <c r="J1084" i="2" a="1"/>
  <c r="I1084" i="2" a="1"/>
  <c r="H1084" i="2" a="1"/>
  <c r="G1084" i="2" a="1"/>
  <c r="F1084" i="2" a="1"/>
  <c r="E1084" i="2" a="1"/>
  <c r="D1084" i="2" a="1"/>
  <c r="C1084" i="2" a="1"/>
  <c r="B1083" i="2" a="1"/>
  <c r="K1085" i="2" l="1"/>
  <c r="L1084" i="2"/>
  <c r="J1084" i="2"/>
  <c r="I1084" i="2"/>
  <c r="H1084" i="2"/>
  <c r="G1084" i="2"/>
  <c r="F1084" i="2"/>
  <c r="E1084" i="2"/>
  <c r="D1084" i="2"/>
  <c r="C1084" i="2"/>
  <c r="B1083" i="2"/>
  <c r="A1085" i="2"/>
  <c r="K1086" i="2" a="1"/>
  <c r="L1085" i="2" a="1"/>
  <c r="J1085" i="2" a="1"/>
  <c r="I1085" i="2" a="1"/>
  <c r="H1085" i="2" a="1"/>
  <c r="G1085" i="2" a="1"/>
  <c r="F1085" i="2" a="1"/>
  <c r="E1085" i="2" a="1"/>
  <c r="D1085" i="2" a="1"/>
  <c r="C1085" i="2" a="1"/>
  <c r="B1084" i="2" a="1"/>
  <c r="K1086" i="2" l="1"/>
  <c r="L1085" i="2"/>
  <c r="J1085" i="2"/>
  <c r="I1085" i="2"/>
  <c r="H1085" i="2"/>
  <c r="G1085" i="2"/>
  <c r="F1085" i="2"/>
  <c r="E1085" i="2"/>
  <c r="D1085" i="2"/>
  <c r="C1085" i="2"/>
  <c r="B1084" i="2"/>
  <c r="A1086" i="2"/>
  <c r="K1087" i="2" a="1"/>
  <c r="L1086" i="2" a="1"/>
  <c r="J1086" i="2" a="1"/>
  <c r="I1086" i="2" a="1"/>
  <c r="H1086" i="2" a="1"/>
  <c r="G1086" i="2" a="1"/>
  <c r="F1086" i="2" a="1"/>
  <c r="E1086" i="2" a="1"/>
  <c r="D1086" i="2" a="1"/>
  <c r="C1086" i="2" a="1"/>
  <c r="B1085" i="2" a="1"/>
  <c r="K1087" i="2" l="1"/>
  <c r="L1086" i="2"/>
  <c r="J1086" i="2"/>
  <c r="I1086" i="2"/>
  <c r="H1086" i="2"/>
  <c r="G1086" i="2"/>
  <c r="F1086" i="2"/>
  <c r="E1086" i="2"/>
  <c r="D1086" i="2"/>
  <c r="C1086" i="2"/>
  <c r="B1085" i="2"/>
  <c r="A1087" i="2"/>
  <c r="K1088" i="2" a="1"/>
  <c r="L1087" i="2" a="1"/>
  <c r="J1087" i="2" a="1"/>
  <c r="I1087" i="2" a="1"/>
  <c r="H1087" i="2" a="1"/>
  <c r="G1087" i="2" a="1"/>
  <c r="F1087" i="2" a="1"/>
  <c r="E1087" i="2" a="1"/>
  <c r="D1087" i="2" a="1"/>
  <c r="C1087" i="2" a="1"/>
  <c r="B1086" i="2" a="1"/>
  <c r="K1088" i="2" l="1"/>
  <c r="L1087" i="2"/>
  <c r="J1087" i="2"/>
  <c r="I1087" i="2"/>
  <c r="H1087" i="2"/>
  <c r="G1087" i="2"/>
  <c r="F1087" i="2"/>
  <c r="E1087" i="2"/>
  <c r="D1087" i="2"/>
  <c r="C1087" i="2"/>
  <c r="B1086" i="2"/>
  <c r="A1088" i="2"/>
  <c r="K1089" i="2" a="1"/>
  <c r="L1088" i="2" a="1"/>
  <c r="J1088" i="2" a="1"/>
  <c r="I1088" i="2" a="1"/>
  <c r="H1088" i="2" a="1"/>
  <c r="G1088" i="2" a="1"/>
  <c r="F1088" i="2" a="1"/>
  <c r="E1088" i="2" a="1"/>
  <c r="D1088" i="2" a="1"/>
  <c r="C1088" i="2" a="1"/>
  <c r="B1087" i="2" a="1"/>
  <c r="K1089" i="2" l="1"/>
  <c r="L1088" i="2"/>
  <c r="J1088" i="2"/>
  <c r="I1088" i="2"/>
  <c r="H1088" i="2"/>
  <c r="G1088" i="2"/>
  <c r="F1088" i="2"/>
  <c r="E1088" i="2"/>
  <c r="D1088" i="2"/>
  <c r="C1088" i="2"/>
  <c r="B1087" i="2"/>
  <c r="A1089" i="2"/>
  <c r="K1090" i="2" a="1"/>
  <c r="L1089" i="2" a="1"/>
  <c r="J1089" i="2" a="1"/>
  <c r="I1089" i="2" a="1"/>
  <c r="H1089" i="2" a="1"/>
  <c r="G1089" i="2" a="1"/>
  <c r="F1089" i="2" a="1"/>
  <c r="E1089" i="2" a="1"/>
  <c r="D1089" i="2" a="1"/>
  <c r="C1089" i="2" a="1"/>
  <c r="B1088" i="2" a="1"/>
  <c r="K1090" i="2" l="1"/>
  <c r="L1089" i="2"/>
  <c r="J1089" i="2"/>
  <c r="I1089" i="2"/>
  <c r="H1089" i="2"/>
  <c r="G1089" i="2"/>
  <c r="F1089" i="2"/>
  <c r="E1089" i="2"/>
  <c r="D1089" i="2"/>
  <c r="C1089" i="2"/>
  <c r="B1088" i="2"/>
  <c r="A1090" i="2"/>
  <c r="K1091" i="2" a="1"/>
  <c r="L1090" i="2" a="1"/>
  <c r="J1090" i="2" a="1"/>
  <c r="I1090" i="2" a="1"/>
  <c r="H1090" i="2" a="1"/>
  <c r="G1090" i="2" a="1"/>
  <c r="F1090" i="2" a="1"/>
  <c r="E1090" i="2" a="1"/>
  <c r="D1090" i="2" a="1"/>
  <c r="C1090" i="2" a="1"/>
  <c r="B1089" i="2" a="1"/>
  <c r="K1091" i="2" l="1"/>
  <c r="L1090" i="2"/>
  <c r="J1090" i="2"/>
  <c r="I1090" i="2"/>
  <c r="H1090" i="2"/>
  <c r="G1090" i="2"/>
  <c r="F1090" i="2"/>
  <c r="E1090" i="2"/>
  <c r="D1090" i="2"/>
  <c r="C1090" i="2"/>
  <c r="B1089" i="2"/>
  <c r="A1091" i="2"/>
  <c r="K1092" i="2" a="1"/>
  <c r="L1091" i="2" a="1"/>
  <c r="J1091" i="2" a="1"/>
  <c r="I1091" i="2" a="1"/>
  <c r="H1091" i="2" a="1"/>
  <c r="G1091" i="2" a="1"/>
  <c r="F1091" i="2" a="1"/>
  <c r="E1091" i="2" a="1"/>
  <c r="D1091" i="2" a="1"/>
  <c r="C1091" i="2" a="1"/>
  <c r="B1090" i="2" a="1"/>
  <c r="K1092" i="2" l="1"/>
  <c r="L1091" i="2"/>
  <c r="J1091" i="2"/>
  <c r="I1091" i="2"/>
  <c r="H1091" i="2"/>
  <c r="G1091" i="2"/>
  <c r="F1091" i="2"/>
  <c r="E1091" i="2"/>
  <c r="D1091" i="2"/>
  <c r="C1091" i="2"/>
  <c r="B1090" i="2"/>
  <c r="A1092" i="2"/>
  <c r="K1093" i="2" a="1"/>
  <c r="L1092" i="2" a="1"/>
  <c r="J1092" i="2" a="1"/>
  <c r="I1092" i="2" a="1"/>
  <c r="H1092" i="2" a="1"/>
  <c r="G1092" i="2" a="1"/>
  <c r="F1092" i="2" a="1"/>
  <c r="E1092" i="2" a="1"/>
  <c r="D1092" i="2" a="1"/>
  <c r="C1092" i="2" a="1"/>
  <c r="B1091" i="2" a="1"/>
  <c r="K1093" i="2" l="1"/>
  <c r="L1092" i="2"/>
  <c r="J1092" i="2"/>
  <c r="I1092" i="2"/>
  <c r="H1092" i="2"/>
  <c r="G1092" i="2"/>
  <c r="F1092" i="2"/>
  <c r="E1092" i="2"/>
  <c r="D1092" i="2"/>
  <c r="C1092" i="2"/>
  <c r="B1091" i="2"/>
  <c r="A1093" i="2"/>
  <c r="K1094" i="2" a="1"/>
  <c r="L1093" i="2" a="1"/>
  <c r="J1093" i="2" a="1"/>
  <c r="I1093" i="2" a="1"/>
  <c r="H1093" i="2" a="1"/>
  <c r="G1093" i="2" a="1"/>
  <c r="F1093" i="2" a="1"/>
  <c r="E1093" i="2" a="1"/>
  <c r="D1093" i="2" a="1"/>
  <c r="C1093" i="2" a="1"/>
  <c r="B1092" i="2" a="1"/>
  <c r="K1094" i="2" l="1"/>
  <c r="L1093" i="2"/>
  <c r="J1093" i="2"/>
  <c r="I1093" i="2"/>
  <c r="H1093" i="2"/>
  <c r="G1093" i="2"/>
  <c r="F1093" i="2"/>
  <c r="E1093" i="2"/>
  <c r="D1093" i="2"/>
  <c r="C1093" i="2"/>
  <c r="B1092" i="2"/>
  <c r="A1094" i="2"/>
  <c r="K1095" i="2" a="1"/>
  <c r="L1094" i="2" a="1"/>
  <c r="J1094" i="2" a="1"/>
  <c r="I1094" i="2" a="1"/>
  <c r="H1094" i="2" a="1"/>
  <c r="G1094" i="2" a="1"/>
  <c r="F1094" i="2" a="1"/>
  <c r="E1094" i="2" a="1"/>
  <c r="D1094" i="2" a="1"/>
  <c r="C1094" i="2" a="1"/>
  <c r="B1093" i="2" a="1"/>
  <c r="K1095" i="2" l="1"/>
  <c r="L1094" i="2"/>
  <c r="J1094" i="2"/>
  <c r="I1094" i="2"/>
  <c r="H1094" i="2"/>
  <c r="G1094" i="2"/>
  <c r="F1094" i="2"/>
  <c r="E1094" i="2"/>
  <c r="D1094" i="2"/>
  <c r="C1094" i="2"/>
  <c r="B1093" i="2"/>
  <c r="A1095" i="2"/>
  <c r="K1096" i="2" a="1"/>
  <c r="L1095" i="2" a="1"/>
  <c r="J1095" i="2" a="1"/>
  <c r="I1095" i="2" a="1"/>
  <c r="H1095" i="2" a="1"/>
  <c r="G1095" i="2" a="1"/>
  <c r="F1095" i="2" a="1"/>
  <c r="E1095" i="2" a="1"/>
  <c r="D1095" i="2" a="1"/>
  <c r="C1095" i="2" a="1"/>
  <c r="B1094" i="2" a="1"/>
  <c r="K1096" i="2" l="1"/>
  <c r="L1095" i="2"/>
  <c r="J1095" i="2"/>
  <c r="I1095" i="2"/>
  <c r="H1095" i="2"/>
  <c r="G1095" i="2"/>
  <c r="F1095" i="2"/>
  <c r="E1095" i="2"/>
  <c r="D1095" i="2"/>
  <c r="C1095" i="2"/>
  <c r="B1094" i="2"/>
  <c r="A1096" i="2"/>
  <c r="K1097" i="2" a="1"/>
  <c r="L1096" i="2" a="1"/>
  <c r="J1096" i="2" a="1"/>
  <c r="I1096" i="2" a="1"/>
  <c r="H1096" i="2" a="1"/>
  <c r="G1096" i="2" a="1"/>
  <c r="F1096" i="2" a="1"/>
  <c r="E1096" i="2" a="1"/>
  <c r="D1096" i="2" a="1"/>
  <c r="C1096" i="2" a="1"/>
  <c r="B1095" i="2" a="1"/>
  <c r="K1097" i="2" l="1"/>
  <c r="L1096" i="2"/>
  <c r="J1096" i="2"/>
  <c r="I1096" i="2"/>
  <c r="H1096" i="2"/>
  <c r="G1096" i="2"/>
  <c r="F1096" i="2"/>
  <c r="E1096" i="2"/>
  <c r="D1096" i="2"/>
  <c r="C1096" i="2"/>
  <c r="B1095" i="2"/>
  <c r="A1097" i="2"/>
  <c r="K1098" i="2" a="1"/>
  <c r="L1097" i="2" a="1"/>
  <c r="J1097" i="2" a="1"/>
  <c r="I1097" i="2" a="1"/>
  <c r="H1097" i="2" a="1"/>
  <c r="G1097" i="2" a="1"/>
  <c r="F1097" i="2" a="1"/>
  <c r="E1097" i="2" a="1"/>
  <c r="D1097" i="2" a="1"/>
  <c r="C1097" i="2" a="1"/>
  <c r="B1096" i="2" a="1"/>
  <c r="K1098" i="2" l="1"/>
  <c r="L1097" i="2"/>
  <c r="J1097" i="2"/>
  <c r="I1097" i="2"/>
  <c r="H1097" i="2"/>
  <c r="G1097" i="2"/>
  <c r="F1097" i="2"/>
  <c r="E1097" i="2"/>
  <c r="D1097" i="2"/>
  <c r="C1097" i="2"/>
  <c r="B1096" i="2"/>
  <c r="A1098" i="2"/>
  <c r="K1099" i="2" a="1"/>
  <c r="L1098" i="2" a="1"/>
  <c r="J1098" i="2" a="1"/>
  <c r="I1098" i="2" a="1"/>
  <c r="H1098" i="2" a="1"/>
  <c r="G1098" i="2" a="1"/>
  <c r="F1098" i="2" a="1"/>
  <c r="E1098" i="2" a="1"/>
  <c r="D1098" i="2" a="1"/>
  <c r="C1098" i="2" a="1"/>
  <c r="B1097" i="2" a="1"/>
  <c r="K1099" i="2" l="1"/>
  <c r="L1098" i="2"/>
  <c r="J1098" i="2"/>
  <c r="I1098" i="2"/>
  <c r="H1098" i="2"/>
  <c r="G1098" i="2"/>
  <c r="F1098" i="2"/>
  <c r="E1098" i="2"/>
  <c r="D1098" i="2"/>
  <c r="C1098" i="2"/>
  <c r="B1097" i="2"/>
  <c r="A1099" i="2"/>
  <c r="K1100" i="2" a="1"/>
  <c r="L1099" i="2" a="1"/>
  <c r="J1099" i="2" a="1"/>
  <c r="I1099" i="2" a="1"/>
  <c r="H1099" i="2" a="1"/>
  <c r="G1099" i="2" a="1"/>
  <c r="F1099" i="2" a="1"/>
  <c r="E1099" i="2" a="1"/>
  <c r="D1099" i="2" a="1"/>
  <c r="C1099" i="2" a="1"/>
  <c r="B1098" i="2" a="1"/>
  <c r="K1100" i="2" l="1"/>
  <c r="L1099" i="2"/>
  <c r="J1099" i="2"/>
  <c r="I1099" i="2"/>
  <c r="H1099" i="2"/>
  <c r="G1099" i="2"/>
  <c r="F1099" i="2"/>
  <c r="E1099" i="2"/>
  <c r="D1099" i="2"/>
  <c r="C1099" i="2"/>
  <c r="B1098" i="2"/>
  <c r="A1100" i="2"/>
  <c r="K1101" i="2" a="1"/>
  <c r="L1100" i="2" a="1"/>
  <c r="J1100" i="2" a="1"/>
  <c r="I1100" i="2" a="1"/>
  <c r="H1100" i="2" a="1"/>
  <c r="G1100" i="2" a="1"/>
  <c r="F1100" i="2" a="1"/>
  <c r="E1100" i="2" a="1"/>
  <c r="D1100" i="2" a="1"/>
  <c r="C1100" i="2" a="1"/>
  <c r="B1099" i="2" a="1"/>
  <c r="K1101" i="2" l="1"/>
  <c r="L1100" i="2"/>
  <c r="J1100" i="2"/>
  <c r="I1100" i="2"/>
  <c r="H1100" i="2"/>
  <c r="G1100" i="2"/>
  <c r="F1100" i="2"/>
  <c r="E1100" i="2"/>
  <c r="D1100" i="2"/>
  <c r="C1100" i="2"/>
  <c r="B1099" i="2"/>
  <c r="A1101" i="2"/>
  <c r="K1102" i="2" a="1"/>
  <c r="L1101" i="2" a="1"/>
  <c r="J1101" i="2" a="1"/>
  <c r="I1101" i="2" a="1"/>
  <c r="H1101" i="2" a="1"/>
  <c r="G1101" i="2" a="1"/>
  <c r="F1101" i="2" a="1"/>
  <c r="E1101" i="2" a="1"/>
  <c r="D1101" i="2" a="1"/>
  <c r="C1101" i="2" a="1"/>
  <c r="B1100" i="2" a="1"/>
  <c r="K1102" i="2" l="1"/>
  <c r="L1101" i="2"/>
  <c r="J1101" i="2"/>
  <c r="I1101" i="2"/>
  <c r="H1101" i="2"/>
  <c r="G1101" i="2"/>
  <c r="F1101" i="2"/>
  <c r="E1101" i="2"/>
  <c r="D1101" i="2"/>
  <c r="C1101" i="2"/>
  <c r="B1100" i="2"/>
  <c r="A1102" i="2"/>
  <c r="K1103" i="2" a="1"/>
  <c r="L1102" i="2" a="1"/>
  <c r="J1102" i="2" a="1"/>
  <c r="I1102" i="2" a="1"/>
  <c r="H1102" i="2" a="1"/>
  <c r="G1102" i="2" a="1"/>
  <c r="F1102" i="2" a="1"/>
  <c r="E1102" i="2" a="1"/>
  <c r="D1102" i="2" a="1"/>
  <c r="C1102" i="2" a="1"/>
  <c r="B1101" i="2" a="1"/>
  <c r="K1103" i="2" l="1"/>
  <c r="L1102" i="2"/>
  <c r="J1102" i="2"/>
  <c r="I1102" i="2"/>
  <c r="H1102" i="2"/>
  <c r="G1102" i="2"/>
  <c r="F1102" i="2"/>
  <c r="E1102" i="2"/>
  <c r="D1102" i="2"/>
  <c r="C1102" i="2"/>
  <c r="B1101" i="2"/>
  <c r="A1103" i="2"/>
  <c r="K1104" i="2" a="1"/>
  <c r="L1103" i="2" a="1"/>
  <c r="J1103" i="2" a="1"/>
  <c r="I1103" i="2" a="1"/>
  <c r="H1103" i="2" a="1"/>
  <c r="G1103" i="2" a="1"/>
  <c r="F1103" i="2" a="1"/>
  <c r="E1103" i="2" a="1"/>
  <c r="D1103" i="2" a="1"/>
  <c r="C1103" i="2" a="1"/>
  <c r="B1102" i="2" a="1"/>
  <c r="K1104" i="2" l="1"/>
  <c r="L1103" i="2"/>
  <c r="J1103" i="2"/>
  <c r="I1103" i="2"/>
  <c r="H1103" i="2"/>
  <c r="G1103" i="2"/>
  <c r="F1103" i="2"/>
  <c r="E1103" i="2"/>
  <c r="D1103" i="2"/>
  <c r="C1103" i="2"/>
  <c r="B1102" i="2"/>
  <c r="A1104" i="2"/>
  <c r="K1105" i="2" a="1"/>
  <c r="L1104" i="2" a="1"/>
  <c r="J1104" i="2" a="1"/>
  <c r="I1104" i="2" a="1"/>
  <c r="H1104" i="2" a="1"/>
  <c r="G1104" i="2" a="1"/>
  <c r="F1104" i="2" a="1"/>
  <c r="E1104" i="2" a="1"/>
  <c r="D1104" i="2" a="1"/>
  <c r="C1104" i="2" a="1"/>
  <c r="B1103" i="2" a="1"/>
  <c r="K1105" i="2" l="1"/>
  <c r="L1104" i="2"/>
  <c r="J1104" i="2"/>
  <c r="I1104" i="2"/>
  <c r="H1104" i="2"/>
  <c r="G1104" i="2"/>
  <c r="F1104" i="2"/>
  <c r="E1104" i="2"/>
  <c r="D1104" i="2"/>
  <c r="C1104" i="2"/>
  <c r="B1103" i="2"/>
  <c r="A1105" i="2"/>
  <c r="K1106" i="2" a="1"/>
  <c r="L1105" i="2" a="1"/>
  <c r="J1105" i="2" a="1"/>
  <c r="I1105" i="2" a="1"/>
  <c r="H1105" i="2" a="1"/>
  <c r="G1105" i="2" a="1"/>
  <c r="F1105" i="2" a="1"/>
  <c r="E1105" i="2" a="1"/>
  <c r="D1105" i="2" a="1"/>
  <c r="C1105" i="2" a="1"/>
  <c r="B1104" i="2" a="1"/>
  <c r="K1106" i="2" l="1"/>
  <c r="L1105" i="2"/>
  <c r="J1105" i="2"/>
  <c r="I1105" i="2"/>
  <c r="H1105" i="2"/>
  <c r="G1105" i="2"/>
  <c r="F1105" i="2"/>
  <c r="E1105" i="2"/>
  <c r="D1105" i="2"/>
  <c r="C1105" i="2"/>
  <c r="B1104" i="2"/>
  <c r="A1106" i="2"/>
  <c r="K1107" i="2" a="1"/>
  <c r="L1106" i="2" a="1"/>
  <c r="J1106" i="2" a="1"/>
  <c r="I1106" i="2" a="1"/>
  <c r="H1106" i="2" a="1"/>
  <c r="G1106" i="2" a="1"/>
  <c r="F1106" i="2" a="1"/>
  <c r="E1106" i="2" a="1"/>
  <c r="D1106" i="2" a="1"/>
  <c r="C1106" i="2" a="1"/>
  <c r="B1105" i="2" a="1"/>
  <c r="K1107" i="2" l="1"/>
  <c r="L1106" i="2"/>
  <c r="J1106" i="2"/>
  <c r="I1106" i="2"/>
  <c r="H1106" i="2"/>
  <c r="G1106" i="2"/>
  <c r="F1106" i="2"/>
  <c r="E1106" i="2"/>
  <c r="D1106" i="2"/>
  <c r="C1106" i="2"/>
  <c r="B1105" i="2"/>
  <c r="A1107" i="2"/>
  <c r="K1108" i="2" a="1"/>
  <c r="L1107" i="2" a="1"/>
  <c r="J1107" i="2" a="1"/>
  <c r="I1107" i="2" a="1"/>
  <c r="H1107" i="2" a="1"/>
  <c r="G1107" i="2" a="1"/>
  <c r="F1107" i="2" a="1"/>
  <c r="E1107" i="2" a="1"/>
  <c r="D1107" i="2" a="1"/>
  <c r="C1107" i="2" a="1"/>
  <c r="B1106" i="2" a="1"/>
  <c r="K1108" i="2" l="1"/>
  <c r="L1107" i="2"/>
  <c r="J1107" i="2"/>
  <c r="I1107" i="2"/>
  <c r="H1107" i="2"/>
  <c r="G1107" i="2"/>
  <c r="F1107" i="2"/>
  <c r="E1107" i="2"/>
  <c r="D1107" i="2"/>
  <c r="C1107" i="2"/>
  <c r="B1106" i="2"/>
  <c r="A1108" i="2"/>
  <c r="K1109" i="2" a="1"/>
  <c r="L1108" i="2" a="1"/>
  <c r="J1108" i="2" a="1"/>
  <c r="I1108" i="2" a="1"/>
  <c r="H1108" i="2" a="1"/>
  <c r="G1108" i="2" a="1"/>
  <c r="F1108" i="2" a="1"/>
  <c r="E1108" i="2" a="1"/>
  <c r="D1108" i="2" a="1"/>
  <c r="C1108" i="2" a="1"/>
  <c r="B1107" i="2" a="1"/>
  <c r="K1109" i="2" l="1"/>
  <c r="L1108" i="2"/>
  <c r="J1108" i="2"/>
  <c r="I1108" i="2"/>
  <c r="H1108" i="2"/>
  <c r="G1108" i="2"/>
  <c r="F1108" i="2"/>
  <c r="E1108" i="2"/>
  <c r="D1108" i="2"/>
  <c r="C1108" i="2"/>
  <c r="B1107" i="2"/>
  <c r="A1109" i="2"/>
  <c r="K1110" i="2" a="1"/>
  <c r="L1109" i="2" a="1"/>
  <c r="J1109" i="2" a="1"/>
  <c r="I1109" i="2" a="1"/>
  <c r="H1109" i="2" a="1"/>
  <c r="G1109" i="2" a="1"/>
  <c r="F1109" i="2" a="1"/>
  <c r="E1109" i="2" a="1"/>
  <c r="D1109" i="2" a="1"/>
  <c r="C1109" i="2" a="1"/>
  <c r="B1108" i="2" a="1"/>
  <c r="K1110" i="2" l="1"/>
  <c r="L1109" i="2"/>
  <c r="J1109" i="2"/>
  <c r="I1109" i="2"/>
  <c r="H1109" i="2"/>
  <c r="G1109" i="2"/>
  <c r="F1109" i="2"/>
  <c r="E1109" i="2"/>
  <c r="D1109" i="2"/>
  <c r="C1109" i="2"/>
  <c r="B1108" i="2"/>
  <c r="A1110" i="2"/>
  <c r="K1111" i="2" a="1"/>
  <c r="L1110" i="2" a="1"/>
  <c r="J1110" i="2" a="1"/>
  <c r="I1110" i="2" a="1"/>
  <c r="H1110" i="2" a="1"/>
  <c r="G1110" i="2" a="1"/>
  <c r="F1110" i="2" a="1"/>
  <c r="E1110" i="2" a="1"/>
  <c r="D1110" i="2" a="1"/>
  <c r="C1110" i="2" a="1"/>
  <c r="B1109" i="2" a="1"/>
  <c r="K1111" i="2" l="1"/>
  <c r="L1110" i="2"/>
  <c r="J1110" i="2"/>
  <c r="I1110" i="2"/>
  <c r="H1110" i="2"/>
  <c r="G1110" i="2"/>
  <c r="F1110" i="2"/>
  <c r="E1110" i="2"/>
  <c r="D1110" i="2"/>
  <c r="C1110" i="2"/>
  <c r="B1109" i="2"/>
  <c r="A1111" i="2"/>
  <c r="K1112" i="2" a="1"/>
  <c r="L1111" i="2" a="1"/>
  <c r="J1111" i="2" a="1"/>
  <c r="I1111" i="2" a="1"/>
  <c r="H1111" i="2" a="1"/>
  <c r="G1111" i="2" a="1"/>
  <c r="F1111" i="2" a="1"/>
  <c r="E1111" i="2" a="1"/>
  <c r="D1111" i="2" a="1"/>
  <c r="C1111" i="2" a="1"/>
  <c r="B1110" i="2" a="1"/>
  <c r="K1112" i="2" l="1"/>
  <c r="L1111" i="2"/>
  <c r="J1111" i="2"/>
  <c r="I1111" i="2"/>
  <c r="H1111" i="2"/>
  <c r="G1111" i="2"/>
  <c r="F1111" i="2"/>
  <c r="E1111" i="2"/>
  <c r="D1111" i="2"/>
  <c r="C1111" i="2"/>
  <c r="B1110" i="2"/>
  <c r="A1112" i="2"/>
  <c r="K1113" i="2" a="1"/>
  <c r="L1112" i="2" a="1"/>
  <c r="J1112" i="2" a="1"/>
  <c r="I1112" i="2" a="1"/>
  <c r="H1112" i="2" a="1"/>
  <c r="G1112" i="2" a="1"/>
  <c r="F1112" i="2" a="1"/>
  <c r="E1112" i="2" a="1"/>
  <c r="D1112" i="2" a="1"/>
  <c r="C1112" i="2" a="1"/>
  <c r="B1111" i="2" a="1"/>
  <c r="K1113" i="2" l="1"/>
  <c r="L1112" i="2"/>
  <c r="J1112" i="2"/>
  <c r="I1112" i="2"/>
  <c r="H1112" i="2"/>
  <c r="G1112" i="2"/>
  <c r="F1112" i="2"/>
  <c r="E1112" i="2"/>
  <c r="D1112" i="2"/>
  <c r="C1112" i="2"/>
  <c r="B1111" i="2"/>
  <c r="A1113" i="2"/>
  <c r="K1114" i="2" a="1"/>
  <c r="L1113" i="2" a="1"/>
  <c r="J1113" i="2" a="1"/>
  <c r="I1113" i="2" a="1"/>
  <c r="H1113" i="2" a="1"/>
  <c r="G1113" i="2" a="1"/>
  <c r="F1113" i="2" a="1"/>
  <c r="E1113" i="2" a="1"/>
  <c r="D1113" i="2" a="1"/>
  <c r="C1113" i="2" a="1"/>
  <c r="B1112" i="2" a="1"/>
  <c r="K1114" i="2" l="1"/>
  <c r="L1113" i="2"/>
  <c r="J1113" i="2"/>
  <c r="I1113" i="2"/>
  <c r="H1113" i="2"/>
  <c r="G1113" i="2"/>
  <c r="F1113" i="2"/>
  <c r="E1113" i="2"/>
  <c r="D1113" i="2"/>
  <c r="C1113" i="2"/>
  <c r="B1112" i="2"/>
  <c r="A1114" i="2"/>
  <c r="K1115" i="2" a="1"/>
  <c r="L1114" i="2" a="1"/>
  <c r="J1114" i="2" a="1"/>
  <c r="I1114" i="2" a="1"/>
  <c r="H1114" i="2" a="1"/>
  <c r="G1114" i="2" a="1"/>
  <c r="F1114" i="2" a="1"/>
  <c r="E1114" i="2" a="1"/>
  <c r="D1114" i="2" a="1"/>
  <c r="C1114" i="2" a="1"/>
  <c r="B1113" i="2" a="1"/>
  <c r="K1115" i="2" l="1"/>
  <c r="L1114" i="2"/>
  <c r="J1114" i="2"/>
  <c r="I1114" i="2"/>
  <c r="H1114" i="2"/>
  <c r="G1114" i="2"/>
  <c r="F1114" i="2"/>
  <c r="E1114" i="2"/>
  <c r="D1114" i="2"/>
  <c r="C1114" i="2"/>
  <c r="B1113" i="2"/>
  <c r="A1115" i="2"/>
  <c r="K1116" i="2" a="1"/>
  <c r="L1115" i="2" a="1"/>
  <c r="J1115" i="2" a="1"/>
  <c r="I1115" i="2" a="1"/>
  <c r="H1115" i="2" a="1"/>
  <c r="G1115" i="2" a="1"/>
  <c r="F1115" i="2" a="1"/>
  <c r="E1115" i="2" a="1"/>
  <c r="D1115" i="2" a="1"/>
  <c r="C1115" i="2" a="1"/>
  <c r="B1114" i="2" a="1"/>
  <c r="K1116" i="2" l="1"/>
  <c r="L1115" i="2"/>
  <c r="J1115" i="2"/>
  <c r="I1115" i="2"/>
  <c r="H1115" i="2"/>
  <c r="G1115" i="2"/>
  <c r="F1115" i="2"/>
  <c r="E1115" i="2"/>
  <c r="D1115" i="2"/>
  <c r="C1115" i="2"/>
  <c r="B1114" i="2"/>
  <c r="A1116" i="2"/>
  <c r="K1117" i="2" a="1"/>
  <c r="L1116" i="2" a="1"/>
  <c r="J1116" i="2" a="1"/>
  <c r="I1116" i="2" a="1"/>
  <c r="H1116" i="2" a="1"/>
  <c r="G1116" i="2" a="1"/>
  <c r="F1116" i="2" a="1"/>
  <c r="E1116" i="2" a="1"/>
  <c r="D1116" i="2" a="1"/>
  <c r="C1116" i="2" a="1"/>
  <c r="B1115" i="2" a="1"/>
  <c r="K1117" i="2" l="1"/>
  <c r="L1116" i="2"/>
  <c r="J1116" i="2"/>
  <c r="I1116" i="2"/>
  <c r="H1116" i="2"/>
  <c r="G1116" i="2"/>
  <c r="F1116" i="2"/>
  <c r="E1116" i="2"/>
  <c r="D1116" i="2"/>
  <c r="C1116" i="2"/>
  <c r="B1115" i="2"/>
  <c r="A1117" i="2"/>
  <c r="K1118" i="2" a="1"/>
  <c r="L1117" i="2" a="1"/>
  <c r="J1117" i="2" a="1"/>
  <c r="I1117" i="2" a="1"/>
  <c r="H1117" i="2" a="1"/>
  <c r="G1117" i="2" a="1"/>
  <c r="F1117" i="2" a="1"/>
  <c r="E1117" i="2" a="1"/>
  <c r="D1117" i="2" a="1"/>
  <c r="C1117" i="2" a="1"/>
  <c r="B1116" i="2" a="1"/>
  <c r="K1118" i="2" l="1"/>
  <c r="L1117" i="2"/>
  <c r="J1117" i="2"/>
  <c r="I1117" i="2"/>
  <c r="H1117" i="2"/>
  <c r="G1117" i="2"/>
  <c r="F1117" i="2"/>
  <c r="E1117" i="2"/>
  <c r="D1117" i="2"/>
  <c r="C1117" i="2"/>
  <c r="B1116" i="2"/>
  <c r="A1118" i="2"/>
  <c r="K1119" i="2" a="1"/>
  <c r="L1118" i="2" a="1"/>
  <c r="J1118" i="2" a="1"/>
  <c r="I1118" i="2" a="1"/>
  <c r="H1118" i="2" a="1"/>
  <c r="G1118" i="2" a="1"/>
  <c r="F1118" i="2" a="1"/>
  <c r="E1118" i="2" a="1"/>
  <c r="D1118" i="2" a="1"/>
  <c r="C1118" i="2" a="1"/>
  <c r="B1117" i="2" a="1"/>
  <c r="K1119" i="2" l="1"/>
  <c r="L1118" i="2"/>
  <c r="J1118" i="2"/>
  <c r="I1118" i="2"/>
  <c r="H1118" i="2"/>
  <c r="G1118" i="2"/>
  <c r="F1118" i="2"/>
  <c r="E1118" i="2"/>
  <c r="D1118" i="2"/>
  <c r="C1118" i="2"/>
  <c r="B1117" i="2"/>
  <c r="A1119" i="2"/>
  <c r="K1120" i="2" a="1"/>
  <c r="L1119" i="2" a="1"/>
  <c r="J1119" i="2" a="1"/>
  <c r="I1119" i="2" a="1"/>
  <c r="H1119" i="2" a="1"/>
  <c r="G1119" i="2" a="1"/>
  <c r="F1119" i="2" a="1"/>
  <c r="E1119" i="2" a="1"/>
  <c r="D1119" i="2" a="1"/>
  <c r="C1119" i="2" a="1"/>
  <c r="B1118" i="2" a="1"/>
  <c r="K1120" i="2" l="1"/>
  <c r="L1119" i="2"/>
  <c r="J1119" i="2"/>
  <c r="I1119" i="2"/>
  <c r="H1119" i="2"/>
  <c r="G1119" i="2"/>
  <c r="F1119" i="2"/>
  <c r="E1119" i="2"/>
  <c r="D1119" i="2"/>
  <c r="C1119" i="2"/>
  <c r="B1118" i="2"/>
  <c r="A1120" i="2"/>
  <c r="K1121" i="2" a="1"/>
  <c r="L1120" i="2" a="1"/>
  <c r="J1120" i="2" a="1"/>
  <c r="I1120" i="2" a="1"/>
  <c r="H1120" i="2" a="1"/>
  <c r="G1120" i="2" a="1"/>
  <c r="F1120" i="2" a="1"/>
  <c r="E1120" i="2" a="1"/>
  <c r="D1120" i="2" a="1"/>
  <c r="C1120" i="2" a="1"/>
  <c r="B1119" i="2" a="1"/>
  <c r="K1121" i="2" l="1"/>
  <c r="L1120" i="2"/>
  <c r="J1120" i="2"/>
  <c r="I1120" i="2"/>
  <c r="H1120" i="2"/>
  <c r="G1120" i="2"/>
  <c r="F1120" i="2"/>
  <c r="E1120" i="2"/>
  <c r="D1120" i="2"/>
  <c r="C1120" i="2"/>
  <c r="B1119" i="2"/>
  <c r="A1121" i="2"/>
  <c r="K1122" i="2" a="1"/>
  <c r="L1121" i="2" a="1"/>
  <c r="J1121" i="2" a="1"/>
  <c r="I1121" i="2" a="1"/>
  <c r="H1121" i="2" a="1"/>
  <c r="G1121" i="2" a="1"/>
  <c r="F1121" i="2" a="1"/>
  <c r="E1121" i="2" a="1"/>
  <c r="D1121" i="2" a="1"/>
  <c r="C1121" i="2" a="1"/>
  <c r="B1120" i="2" a="1"/>
  <c r="K1122" i="2" l="1"/>
  <c r="L1121" i="2"/>
  <c r="J1121" i="2"/>
  <c r="I1121" i="2"/>
  <c r="H1121" i="2"/>
  <c r="G1121" i="2"/>
  <c r="F1121" i="2"/>
  <c r="E1121" i="2"/>
  <c r="D1121" i="2"/>
  <c r="C1121" i="2"/>
  <c r="B1120" i="2"/>
  <c r="A1122" i="2"/>
  <c r="K1123" i="2" a="1"/>
  <c r="L1122" i="2" a="1"/>
  <c r="J1122" i="2" a="1"/>
  <c r="I1122" i="2" a="1"/>
  <c r="H1122" i="2" a="1"/>
  <c r="G1122" i="2" a="1"/>
  <c r="F1122" i="2" a="1"/>
  <c r="E1122" i="2" a="1"/>
  <c r="D1122" i="2" a="1"/>
  <c r="C1122" i="2" a="1"/>
  <c r="B1121" i="2" a="1"/>
  <c r="K1123" i="2" l="1"/>
  <c r="L1122" i="2"/>
  <c r="J1122" i="2"/>
  <c r="I1122" i="2"/>
  <c r="H1122" i="2"/>
  <c r="G1122" i="2"/>
  <c r="F1122" i="2"/>
  <c r="E1122" i="2"/>
  <c r="D1122" i="2"/>
  <c r="C1122" i="2"/>
  <c r="B1121" i="2"/>
  <c r="A1123" i="2"/>
  <c r="K1124" i="2" a="1"/>
  <c r="L1123" i="2" a="1"/>
  <c r="J1123" i="2" a="1"/>
  <c r="I1123" i="2" a="1"/>
  <c r="H1123" i="2" a="1"/>
  <c r="G1123" i="2" a="1"/>
  <c r="F1123" i="2" a="1"/>
  <c r="E1123" i="2" a="1"/>
  <c r="D1123" i="2" a="1"/>
  <c r="C1123" i="2" a="1"/>
  <c r="B1122" i="2" a="1"/>
  <c r="K1124" i="2" l="1"/>
  <c r="L1123" i="2"/>
  <c r="J1123" i="2"/>
  <c r="I1123" i="2"/>
  <c r="H1123" i="2"/>
  <c r="G1123" i="2"/>
  <c r="F1123" i="2"/>
  <c r="E1123" i="2"/>
  <c r="D1123" i="2"/>
  <c r="C1123" i="2"/>
  <c r="B1122" i="2"/>
  <c r="A1124" i="2"/>
  <c r="K1125" i="2" a="1"/>
  <c r="L1124" i="2" a="1"/>
  <c r="J1124" i="2" a="1"/>
  <c r="I1124" i="2" a="1"/>
  <c r="H1124" i="2" a="1"/>
  <c r="G1124" i="2" a="1"/>
  <c r="F1124" i="2" a="1"/>
  <c r="E1124" i="2" a="1"/>
  <c r="D1124" i="2" a="1"/>
  <c r="C1124" i="2" a="1"/>
  <c r="B1123" i="2" a="1"/>
  <c r="K1125" i="2" l="1"/>
  <c r="L1124" i="2"/>
  <c r="J1124" i="2"/>
  <c r="I1124" i="2"/>
  <c r="H1124" i="2"/>
  <c r="G1124" i="2"/>
  <c r="F1124" i="2"/>
  <c r="E1124" i="2"/>
  <c r="D1124" i="2"/>
  <c r="C1124" i="2"/>
  <c r="B1123" i="2"/>
  <c r="A1125" i="2"/>
  <c r="K1126" i="2" a="1"/>
  <c r="L1125" i="2" a="1"/>
  <c r="J1125" i="2" a="1"/>
  <c r="I1125" i="2" a="1"/>
  <c r="H1125" i="2" a="1"/>
  <c r="G1125" i="2" a="1"/>
  <c r="F1125" i="2" a="1"/>
  <c r="E1125" i="2" a="1"/>
  <c r="D1125" i="2" a="1"/>
  <c r="C1125" i="2" a="1"/>
  <c r="B1124" i="2" a="1"/>
  <c r="K1126" i="2" l="1"/>
  <c r="L1125" i="2"/>
  <c r="J1125" i="2"/>
  <c r="I1125" i="2"/>
  <c r="H1125" i="2"/>
  <c r="G1125" i="2"/>
  <c r="F1125" i="2"/>
  <c r="E1125" i="2"/>
  <c r="D1125" i="2"/>
  <c r="C1125" i="2"/>
  <c r="B1124" i="2"/>
  <c r="A1126" i="2"/>
  <c r="K1127" i="2" a="1"/>
  <c r="L1126" i="2" a="1"/>
  <c r="J1126" i="2" a="1"/>
  <c r="I1126" i="2" a="1"/>
  <c r="H1126" i="2" a="1"/>
  <c r="G1126" i="2" a="1"/>
  <c r="F1126" i="2" a="1"/>
  <c r="E1126" i="2" a="1"/>
  <c r="D1126" i="2" a="1"/>
  <c r="C1126" i="2" a="1"/>
  <c r="B1125" i="2" a="1"/>
  <c r="K1127" i="2" l="1"/>
  <c r="L1126" i="2"/>
  <c r="J1126" i="2"/>
  <c r="I1126" i="2"/>
  <c r="H1126" i="2"/>
  <c r="G1126" i="2"/>
  <c r="F1126" i="2"/>
  <c r="E1126" i="2"/>
  <c r="D1126" i="2"/>
  <c r="C1126" i="2"/>
  <c r="B1125" i="2"/>
  <c r="A1127" i="2"/>
  <c r="K1128" i="2" a="1"/>
  <c r="L1127" i="2" a="1"/>
  <c r="J1127" i="2" a="1"/>
  <c r="I1127" i="2" a="1"/>
  <c r="H1127" i="2" a="1"/>
  <c r="G1127" i="2" a="1"/>
  <c r="F1127" i="2" a="1"/>
  <c r="E1127" i="2" a="1"/>
  <c r="D1127" i="2" a="1"/>
  <c r="C1127" i="2" a="1"/>
  <c r="B1126" i="2" a="1"/>
  <c r="K1128" i="2" l="1"/>
  <c r="L1127" i="2"/>
  <c r="J1127" i="2"/>
  <c r="I1127" i="2"/>
  <c r="H1127" i="2"/>
  <c r="G1127" i="2"/>
  <c r="F1127" i="2"/>
  <c r="E1127" i="2"/>
  <c r="D1127" i="2"/>
  <c r="C1127" i="2"/>
  <c r="B1126" i="2"/>
  <c r="A1128" i="2"/>
  <c r="K1129" i="2" a="1"/>
  <c r="L1128" i="2" a="1"/>
  <c r="J1128" i="2" a="1"/>
  <c r="I1128" i="2" a="1"/>
  <c r="H1128" i="2" a="1"/>
  <c r="G1128" i="2" a="1"/>
  <c r="F1128" i="2" a="1"/>
  <c r="E1128" i="2" a="1"/>
  <c r="D1128" i="2" a="1"/>
  <c r="C1128" i="2" a="1"/>
  <c r="B1127" i="2" a="1"/>
  <c r="K1129" i="2" l="1"/>
  <c r="L1128" i="2"/>
  <c r="J1128" i="2"/>
  <c r="I1128" i="2"/>
  <c r="H1128" i="2"/>
  <c r="G1128" i="2"/>
  <c r="F1128" i="2"/>
  <c r="E1128" i="2"/>
  <c r="D1128" i="2"/>
  <c r="C1128" i="2"/>
  <c r="B1127" i="2"/>
  <c r="A1129" i="2"/>
  <c r="K1130" i="2" a="1"/>
  <c r="L1129" i="2" a="1"/>
  <c r="J1129" i="2" a="1"/>
  <c r="I1129" i="2" a="1"/>
  <c r="H1129" i="2" a="1"/>
  <c r="G1129" i="2" a="1"/>
  <c r="F1129" i="2" a="1"/>
  <c r="E1129" i="2" a="1"/>
  <c r="D1129" i="2" a="1"/>
  <c r="C1129" i="2" a="1"/>
  <c r="B1128" i="2" a="1"/>
  <c r="K1130" i="2" l="1"/>
  <c r="L1129" i="2"/>
  <c r="J1129" i="2"/>
  <c r="I1129" i="2"/>
  <c r="H1129" i="2"/>
  <c r="G1129" i="2"/>
  <c r="F1129" i="2"/>
  <c r="E1129" i="2"/>
  <c r="D1129" i="2"/>
  <c r="C1129" i="2"/>
  <c r="B1128" i="2"/>
  <c r="A1130" i="2"/>
  <c r="K1131" i="2" a="1"/>
  <c r="L1130" i="2" a="1"/>
  <c r="J1130" i="2" a="1"/>
  <c r="I1130" i="2" a="1"/>
  <c r="H1130" i="2" a="1"/>
  <c r="G1130" i="2" a="1"/>
  <c r="F1130" i="2" a="1"/>
  <c r="E1130" i="2" a="1"/>
  <c r="D1130" i="2" a="1"/>
  <c r="C1130" i="2" a="1"/>
  <c r="B1129" i="2" a="1"/>
  <c r="K1131" i="2" l="1"/>
  <c r="L1130" i="2"/>
  <c r="J1130" i="2"/>
  <c r="I1130" i="2"/>
  <c r="H1130" i="2"/>
  <c r="G1130" i="2"/>
  <c r="F1130" i="2"/>
  <c r="E1130" i="2"/>
  <c r="D1130" i="2"/>
  <c r="C1130" i="2"/>
  <c r="B1129" i="2"/>
  <c r="A1131" i="2"/>
  <c r="K1132" i="2" a="1"/>
  <c r="L1131" i="2" a="1"/>
  <c r="J1131" i="2" a="1"/>
  <c r="I1131" i="2" a="1"/>
  <c r="H1131" i="2" a="1"/>
  <c r="G1131" i="2" a="1"/>
  <c r="F1131" i="2" a="1"/>
  <c r="E1131" i="2" a="1"/>
  <c r="D1131" i="2" a="1"/>
  <c r="C1131" i="2" a="1"/>
  <c r="B1130" i="2" a="1"/>
  <c r="K1132" i="2" l="1"/>
  <c r="L1131" i="2"/>
  <c r="J1131" i="2"/>
  <c r="I1131" i="2"/>
  <c r="H1131" i="2"/>
  <c r="G1131" i="2"/>
  <c r="F1131" i="2"/>
  <c r="E1131" i="2"/>
  <c r="D1131" i="2"/>
  <c r="C1131" i="2"/>
  <c r="B1130" i="2"/>
  <c r="A1132" i="2"/>
  <c r="K1133" i="2" a="1"/>
  <c r="L1132" i="2" a="1"/>
  <c r="J1132" i="2" a="1"/>
  <c r="I1132" i="2" a="1"/>
  <c r="H1132" i="2" a="1"/>
  <c r="G1132" i="2" a="1"/>
  <c r="F1132" i="2" a="1"/>
  <c r="E1132" i="2" a="1"/>
  <c r="D1132" i="2" a="1"/>
  <c r="C1132" i="2" a="1"/>
  <c r="B1131" i="2" a="1"/>
  <c r="K1133" i="2" l="1"/>
  <c r="L1132" i="2"/>
  <c r="J1132" i="2"/>
  <c r="I1132" i="2"/>
  <c r="H1132" i="2"/>
  <c r="G1132" i="2"/>
  <c r="F1132" i="2"/>
  <c r="E1132" i="2"/>
  <c r="D1132" i="2"/>
  <c r="C1132" i="2"/>
  <c r="B1131" i="2"/>
  <c r="A1133" i="2"/>
  <c r="K1134" i="2" a="1"/>
  <c r="L1133" i="2" a="1"/>
  <c r="J1133" i="2" a="1"/>
  <c r="I1133" i="2" a="1"/>
  <c r="H1133" i="2" a="1"/>
  <c r="G1133" i="2" a="1"/>
  <c r="F1133" i="2" a="1"/>
  <c r="E1133" i="2" a="1"/>
  <c r="D1133" i="2" a="1"/>
  <c r="C1133" i="2" a="1"/>
  <c r="B1132" i="2" a="1"/>
  <c r="K1134" i="2" l="1"/>
  <c r="L1133" i="2"/>
  <c r="J1133" i="2"/>
  <c r="I1133" i="2"/>
  <c r="H1133" i="2"/>
  <c r="G1133" i="2"/>
  <c r="F1133" i="2"/>
  <c r="E1133" i="2"/>
  <c r="D1133" i="2"/>
  <c r="C1133" i="2"/>
  <c r="B1132" i="2"/>
  <c r="A1134" i="2"/>
  <c r="K1135" i="2" a="1"/>
  <c r="L1134" i="2" a="1"/>
  <c r="J1134" i="2" a="1"/>
  <c r="I1134" i="2" a="1"/>
  <c r="H1134" i="2" a="1"/>
  <c r="G1134" i="2" a="1"/>
  <c r="F1134" i="2" a="1"/>
  <c r="E1134" i="2" a="1"/>
  <c r="D1134" i="2" a="1"/>
  <c r="C1134" i="2" a="1"/>
  <c r="B1133" i="2" a="1"/>
  <c r="K1135" i="2" l="1"/>
  <c r="L1134" i="2"/>
  <c r="J1134" i="2"/>
  <c r="I1134" i="2"/>
  <c r="H1134" i="2"/>
  <c r="G1134" i="2"/>
  <c r="F1134" i="2"/>
  <c r="E1134" i="2"/>
  <c r="D1134" i="2"/>
  <c r="C1134" i="2"/>
  <c r="B1133" i="2"/>
  <c r="A1135" i="2"/>
  <c r="K1136" i="2" a="1"/>
  <c r="L1135" i="2" a="1"/>
  <c r="J1135" i="2" a="1"/>
  <c r="I1135" i="2" a="1"/>
  <c r="H1135" i="2" a="1"/>
  <c r="G1135" i="2" a="1"/>
  <c r="F1135" i="2" a="1"/>
  <c r="E1135" i="2" a="1"/>
  <c r="D1135" i="2" a="1"/>
  <c r="C1135" i="2" a="1"/>
  <c r="B1134" i="2" a="1"/>
  <c r="K1136" i="2" l="1"/>
  <c r="L1135" i="2"/>
  <c r="J1135" i="2"/>
  <c r="I1135" i="2"/>
  <c r="H1135" i="2"/>
  <c r="G1135" i="2"/>
  <c r="F1135" i="2"/>
  <c r="E1135" i="2"/>
  <c r="D1135" i="2"/>
  <c r="C1135" i="2"/>
  <c r="B1134" i="2"/>
  <c r="A1136" i="2"/>
  <c r="K1137" i="2" a="1"/>
  <c r="L1136" i="2" a="1"/>
  <c r="J1136" i="2" a="1"/>
  <c r="I1136" i="2" a="1"/>
  <c r="H1136" i="2" a="1"/>
  <c r="G1136" i="2" a="1"/>
  <c r="F1136" i="2" a="1"/>
  <c r="E1136" i="2" a="1"/>
  <c r="D1136" i="2" a="1"/>
  <c r="C1136" i="2" a="1"/>
  <c r="B1135" i="2" a="1"/>
  <c r="K1137" i="2" l="1"/>
  <c r="L1136" i="2"/>
  <c r="J1136" i="2"/>
  <c r="I1136" i="2"/>
  <c r="H1136" i="2"/>
  <c r="G1136" i="2"/>
  <c r="F1136" i="2"/>
  <c r="E1136" i="2"/>
  <c r="D1136" i="2"/>
  <c r="C1136" i="2"/>
  <c r="B1135" i="2"/>
  <c r="A1137" i="2"/>
  <c r="K1138" i="2" a="1"/>
  <c r="L1137" i="2" a="1"/>
  <c r="J1137" i="2" a="1"/>
  <c r="I1137" i="2" a="1"/>
  <c r="H1137" i="2" a="1"/>
  <c r="G1137" i="2" a="1"/>
  <c r="F1137" i="2" a="1"/>
  <c r="E1137" i="2" a="1"/>
  <c r="D1137" i="2" a="1"/>
  <c r="C1137" i="2" a="1"/>
  <c r="B1136" i="2" a="1"/>
  <c r="K1138" i="2" l="1"/>
  <c r="L1137" i="2"/>
  <c r="J1137" i="2"/>
  <c r="I1137" i="2"/>
  <c r="H1137" i="2"/>
  <c r="G1137" i="2"/>
  <c r="F1137" i="2"/>
  <c r="E1137" i="2"/>
  <c r="D1137" i="2"/>
  <c r="C1137" i="2"/>
  <c r="B1136" i="2"/>
  <c r="A1138" i="2"/>
  <c r="K1139" i="2" a="1"/>
  <c r="L1138" i="2" a="1"/>
  <c r="J1138" i="2" a="1"/>
  <c r="I1138" i="2" a="1"/>
  <c r="H1138" i="2" a="1"/>
  <c r="G1138" i="2" a="1"/>
  <c r="F1138" i="2" a="1"/>
  <c r="E1138" i="2" a="1"/>
  <c r="D1138" i="2" a="1"/>
  <c r="C1138" i="2" a="1"/>
  <c r="B1137" i="2" a="1"/>
  <c r="K1139" i="2" l="1"/>
  <c r="L1138" i="2"/>
  <c r="J1138" i="2"/>
  <c r="I1138" i="2"/>
  <c r="H1138" i="2"/>
  <c r="G1138" i="2"/>
  <c r="F1138" i="2"/>
  <c r="E1138" i="2"/>
  <c r="D1138" i="2"/>
  <c r="C1138" i="2"/>
  <c r="B1137" i="2"/>
  <c r="A1139" i="2"/>
  <c r="K1140" i="2" a="1"/>
  <c r="L1139" i="2" a="1"/>
  <c r="J1139" i="2" a="1"/>
  <c r="I1139" i="2" a="1"/>
  <c r="H1139" i="2" a="1"/>
  <c r="G1139" i="2" a="1"/>
  <c r="F1139" i="2" a="1"/>
  <c r="E1139" i="2" a="1"/>
  <c r="D1139" i="2" a="1"/>
  <c r="C1139" i="2" a="1"/>
  <c r="B1138" i="2" a="1"/>
  <c r="K1140" i="2" l="1"/>
  <c r="L1139" i="2"/>
  <c r="J1139" i="2"/>
  <c r="I1139" i="2"/>
  <c r="H1139" i="2"/>
  <c r="G1139" i="2"/>
  <c r="F1139" i="2"/>
  <c r="E1139" i="2"/>
  <c r="D1139" i="2"/>
  <c r="C1139" i="2"/>
  <c r="B1138" i="2"/>
  <c r="A1140" i="2"/>
  <c r="K1141" i="2" a="1"/>
  <c r="L1140" i="2" a="1"/>
  <c r="J1140" i="2" a="1"/>
  <c r="I1140" i="2" a="1"/>
  <c r="H1140" i="2" a="1"/>
  <c r="G1140" i="2" a="1"/>
  <c r="F1140" i="2" a="1"/>
  <c r="E1140" i="2" a="1"/>
  <c r="D1140" i="2" a="1"/>
  <c r="C1140" i="2" a="1"/>
  <c r="B1139" i="2" a="1"/>
  <c r="K1141" i="2" l="1"/>
  <c r="L1140" i="2"/>
  <c r="J1140" i="2"/>
  <c r="I1140" i="2"/>
  <c r="H1140" i="2"/>
  <c r="G1140" i="2"/>
  <c r="F1140" i="2"/>
  <c r="E1140" i="2"/>
  <c r="D1140" i="2"/>
  <c r="C1140" i="2"/>
  <c r="B1139" i="2"/>
  <c r="A1141" i="2"/>
  <c r="K1142" i="2" a="1"/>
  <c r="L1141" i="2" a="1"/>
  <c r="J1141" i="2" a="1"/>
  <c r="I1141" i="2" a="1"/>
  <c r="H1141" i="2" a="1"/>
  <c r="G1141" i="2" a="1"/>
  <c r="F1141" i="2" a="1"/>
  <c r="E1141" i="2" a="1"/>
  <c r="D1141" i="2" a="1"/>
  <c r="C1141" i="2" a="1"/>
  <c r="B1140" i="2" a="1"/>
  <c r="K1142" i="2" l="1"/>
  <c r="L1141" i="2"/>
  <c r="J1141" i="2"/>
  <c r="I1141" i="2"/>
  <c r="H1141" i="2"/>
  <c r="G1141" i="2"/>
  <c r="F1141" i="2"/>
  <c r="E1141" i="2"/>
  <c r="D1141" i="2"/>
  <c r="C1141" i="2"/>
  <c r="B1140" i="2"/>
  <c r="A1142" i="2"/>
  <c r="K1143" i="2" a="1"/>
  <c r="L1142" i="2" a="1"/>
  <c r="J1142" i="2" a="1"/>
  <c r="I1142" i="2" a="1"/>
  <c r="H1142" i="2" a="1"/>
  <c r="G1142" i="2" a="1"/>
  <c r="F1142" i="2" a="1"/>
  <c r="E1142" i="2" a="1"/>
  <c r="D1142" i="2" a="1"/>
  <c r="C1142" i="2" a="1"/>
  <c r="B1142" i="2" a="1"/>
  <c r="B1141" i="2" a="1"/>
  <c r="K1143" i="2" l="1"/>
  <c r="L1142" i="2"/>
  <c r="J1142" i="2"/>
  <c r="I1142" i="2"/>
  <c r="H1142" i="2"/>
  <c r="G1142" i="2"/>
  <c r="F1142" i="2"/>
  <c r="E1142" i="2"/>
  <c r="D1142" i="2"/>
  <c r="C1142" i="2"/>
  <c r="B1142" i="2"/>
  <c r="B1141" i="2"/>
  <c r="A1143" i="2"/>
  <c r="K1144" i="2" a="1"/>
  <c r="L1143" i="2" a="1"/>
  <c r="J1143" i="2" a="1"/>
  <c r="I1143" i="2" a="1"/>
  <c r="H1143" i="2" a="1"/>
  <c r="G1143" i="2" a="1"/>
  <c r="F1143" i="2" a="1"/>
  <c r="E1143" i="2" a="1"/>
  <c r="D1143" i="2" a="1"/>
  <c r="C1143" i="2" a="1"/>
  <c r="K1144" i="2" l="1"/>
  <c r="L1143" i="2"/>
  <c r="J1143" i="2"/>
  <c r="I1143" i="2"/>
  <c r="H1143" i="2"/>
  <c r="G1143" i="2"/>
  <c r="F1143" i="2"/>
  <c r="E1143" i="2"/>
  <c r="D1143" i="2"/>
  <c r="C1143" i="2"/>
  <c r="A1144" i="2"/>
  <c r="K1145" i="2" a="1"/>
  <c r="L1144" i="2" a="1"/>
  <c r="J1144" i="2" a="1"/>
  <c r="I1144" i="2" a="1"/>
  <c r="H1144" i="2" a="1"/>
  <c r="G1144" i="2" a="1"/>
  <c r="F1144" i="2" a="1"/>
  <c r="E1144" i="2" a="1"/>
  <c r="D1144" i="2" a="1"/>
  <c r="C1144" i="2" a="1"/>
  <c r="B1143" i="2" a="1"/>
  <c r="K1145" i="2" l="1"/>
  <c r="L1144" i="2"/>
  <c r="J1144" i="2"/>
  <c r="I1144" i="2"/>
  <c r="H1144" i="2"/>
  <c r="G1144" i="2"/>
  <c r="F1144" i="2"/>
  <c r="E1144" i="2"/>
  <c r="D1144" i="2"/>
  <c r="C1144" i="2"/>
  <c r="B1143" i="2"/>
  <c r="A1145" i="2"/>
  <c r="K1146" i="2" a="1"/>
  <c r="L1145" i="2" a="1"/>
  <c r="J1145" i="2" a="1"/>
  <c r="I1145" i="2" a="1"/>
  <c r="H1145" i="2" a="1"/>
  <c r="G1145" i="2" a="1"/>
  <c r="F1145" i="2" a="1"/>
  <c r="E1145" i="2" a="1"/>
  <c r="D1145" i="2" a="1"/>
  <c r="C1145" i="2" a="1"/>
  <c r="B1144" i="2" a="1"/>
  <c r="K1146" i="2" l="1"/>
  <c r="L1145" i="2"/>
  <c r="J1145" i="2"/>
  <c r="I1145" i="2"/>
  <c r="H1145" i="2"/>
  <c r="G1145" i="2"/>
  <c r="F1145" i="2"/>
  <c r="E1145" i="2"/>
  <c r="D1145" i="2"/>
  <c r="C1145" i="2"/>
  <c r="B1144" i="2"/>
  <c r="A1146" i="2"/>
  <c r="K1147" i="2" a="1"/>
  <c r="L1146" i="2" a="1"/>
  <c r="J1146" i="2" a="1"/>
  <c r="I1146" i="2" a="1"/>
  <c r="H1146" i="2" a="1"/>
  <c r="G1146" i="2" a="1"/>
  <c r="F1146" i="2" a="1"/>
  <c r="E1146" i="2" a="1"/>
  <c r="D1146" i="2" a="1"/>
  <c r="C1146" i="2" a="1"/>
  <c r="B1145" i="2" a="1"/>
  <c r="K1147" i="2" l="1"/>
  <c r="L1146" i="2"/>
  <c r="J1146" i="2"/>
  <c r="I1146" i="2"/>
  <c r="H1146" i="2"/>
  <c r="G1146" i="2"/>
  <c r="F1146" i="2"/>
  <c r="E1146" i="2"/>
  <c r="D1146" i="2"/>
  <c r="C1146" i="2"/>
  <c r="B1145" i="2"/>
  <c r="A1147" i="2"/>
  <c r="K1148" i="2" a="1"/>
  <c r="L1147" i="2" a="1"/>
  <c r="J1147" i="2" a="1"/>
  <c r="I1147" i="2" a="1"/>
  <c r="H1147" i="2" a="1"/>
  <c r="G1147" i="2" a="1"/>
  <c r="F1147" i="2" a="1"/>
  <c r="E1147" i="2" a="1"/>
  <c r="D1147" i="2" a="1"/>
  <c r="C1147" i="2" a="1"/>
  <c r="B1146" i="2" a="1"/>
  <c r="K1148" i="2" l="1"/>
  <c r="L1147" i="2"/>
  <c r="J1147" i="2"/>
  <c r="I1147" i="2"/>
  <c r="H1147" i="2"/>
  <c r="G1147" i="2"/>
  <c r="F1147" i="2"/>
  <c r="E1147" i="2"/>
  <c r="D1147" i="2"/>
  <c r="C1147" i="2"/>
  <c r="B1146" i="2"/>
  <c r="A1148" i="2"/>
  <c r="K1149" i="2" a="1"/>
  <c r="L1148" i="2" a="1"/>
  <c r="J1148" i="2" a="1"/>
  <c r="I1148" i="2" a="1"/>
  <c r="H1148" i="2" a="1"/>
  <c r="G1148" i="2" a="1"/>
  <c r="F1148" i="2" a="1"/>
  <c r="E1148" i="2" a="1"/>
  <c r="D1148" i="2" a="1"/>
  <c r="C1148" i="2" a="1"/>
  <c r="B1147" i="2" a="1"/>
  <c r="K1149" i="2" l="1"/>
  <c r="L1148" i="2"/>
  <c r="J1148" i="2"/>
  <c r="I1148" i="2"/>
  <c r="H1148" i="2"/>
  <c r="G1148" i="2"/>
  <c r="F1148" i="2"/>
  <c r="E1148" i="2"/>
  <c r="D1148" i="2"/>
  <c r="C1148" i="2"/>
  <c r="B1147" i="2"/>
  <c r="A1149" i="2"/>
  <c r="K1150" i="2" a="1"/>
  <c r="L1149" i="2" a="1"/>
  <c r="J1149" i="2" a="1"/>
  <c r="I1149" i="2" a="1"/>
  <c r="H1149" i="2" a="1"/>
  <c r="G1149" i="2" a="1"/>
  <c r="F1149" i="2" a="1"/>
  <c r="E1149" i="2" a="1"/>
  <c r="D1149" i="2" a="1"/>
  <c r="C1149" i="2" a="1"/>
  <c r="B1148" i="2" a="1"/>
  <c r="K1150" i="2" l="1"/>
  <c r="L1149" i="2"/>
  <c r="J1149" i="2"/>
  <c r="I1149" i="2"/>
  <c r="H1149" i="2"/>
  <c r="G1149" i="2"/>
  <c r="F1149" i="2"/>
  <c r="E1149" i="2"/>
  <c r="D1149" i="2"/>
  <c r="C1149" i="2"/>
  <c r="B1148" i="2"/>
  <c r="A1150" i="2"/>
  <c r="K1151" i="2" a="1"/>
  <c r="L1150" i="2" a="1"/>
  <c r="J1150" i="2" a="1"/>
  <c r="I1150" i="2" a="1"/>
  <c r="H1150" i="2" a="1"/>
  <c r="G1150" i="2" a="1"/>
  <c r="F1150" i="2" a="1"/>
  <c r="E1150" i="2" a="1"/>
  <c r="D1150" i="2" a="1"/>
  <c r="C1150" i="2" a="1"/>
  <c r="B1149" i="2" a="1"/>
  <c r="K1151" i="2" l="1"/>
  <c r="L1150" i="2"/>
  <c r="J1150" i="2"/>
  <c r="I1150" i="2"/>
  <c r="H1150" i="2"/>
  <c r="G1150" i="2"/>
  <c r="F1150" i="2"/>
  <c r="E1150" i="2"/>
  <c r="D1150" i="2"/>
  <c r="C1150" i="2"/>
  <c r="B1149" i="2"/>
  <c r="A1151" i="2"/>
  <c r="K1152" i="2" a="1"/>
  <c r="L1151" i="2" a="1"/>
  <c r="J1151" i="2" a="1"/>
  <c r="I1151" i="2" a="1"/>
  <c r="H1151" i="2" a="1"/>
  <c r="G1151" i="2" a="1"/>
  <c r="F1151" i="2" a="1"/>
  <c r="E1151" i="2" a="1"/>
  <c r="D1151" i="2" a="1"/>
  <c r="C1151" i="2" a="1"/>
  <c r="B1150" i="2" a="1"/>
  <c r="K1152" i="2" l="1"/>
  <c r="L1151" i="2"/>
  <c r="J1151" i="2"/>
  <c r="I1151" i="2"/>
  <c r="H1151" i="2"/>
  <c r="G1151" i="2"/>
  <c r="F1151" i="2"/>
  <c r="E1151" i="2"/>
  <c r="D1151" i="2"/>
  <c r="C1151" i="2"/>
  <c r="B1150" i="2"/>
  <c r="A1152" i="2"/>
  <c r="K1153" i="2" a="1"/>
  <c r="L1152" i="2" a="1"/>
  <c r="J1152" i="2" a="1"/>
  <c r="I1152" i="2" a="1"/>
  <c r="H1152" i="2" a="1"/>
  <c r="G1152" i="2" a="1"/>
  <c r="F1152" i="2" a="1"/>
  <c r="E1152" i="2" a="1"/>
  <c r="D1152" i="2" a="1"/>
  <c r="C1152" i="2" a="1"/>
  <c r="B1151" i="2" a="1"/>
  <c r="K1153" i="2" l="1"/>
  <c r="L1152" i="2"/>
  <c r="J1152" i="2"/>
  <c r="I1152" i="2"/>
  <c r="H1152" i="2"/>
  <c r="G1152" i="2"/>
  <c r="F1152" i="2"/>
  <c r="E1152" i="2"/>
  <c r="D1152" i="2"/>
  <c r="C1152" i="2"/>
  <c r="B1151" i="2"/>
  <c r="A1153" i="2"/>
  <c r="K1154" i="2" a="1"/>
  <c r="L1153" i="2" a="1"/>
  <c r="J1153" i="2" a="1"/>
  <c r="I1153" i="2" a="1"/>
  <c r="H1153" i="2" a="1"/>
  <c r="G1153" i="2" a="1"/>
  <c r="F1153" i="2" a="1"/>
  <c r="E1153" i="2" a="1"/>
  <c r="D1153" i="2" a="1"/>
  <c r="C1153" i="2" a="1"/>
  <c r="B1152" i="2" a="1"/>
  <c r="K1154" i="2" l="1"/>
  <c r="L1153" i="2"/>
  <c r="J1153" i="2"/>
  <c r="I1153" i="2"/>
  <c r="H1153" i="2"/>
  <c r="G1153" i="2"/>
  <c r="F1153" i="2"/>
  <c r="E1153" i="2"/>
  <c r="D1153" i="2"/>
  <c r="C1153" i="2"/>
  <c r="B1152" i="2"/>
  <c r="A1154" i="2"/>
  <c r="K1155" i="2" a="1"/>
  <c r="L1154" i="2" a="1"/>
  <c r="J1154" i="2" a="1"/>
  <c r="I1154" i="2" a="1"/>
  <c r="H1154" i="2" a="1"/>
  <c r="G1154" i="2" a="1"/>
  <c r="F1154" i="2" a="1"/>
  <c r="E1154" i="2" a="1"/>
  <c r="D1154" i="2" a="1"/>
  <c r="C1154" i="2" a="1"/>
  <c r="B1153" i="2" a="1"/>
  <c r="K1155" i="2" l="1"/>
  <c r="L1154" i="2"/>
  <c r="J1154" i="2"/>
  <c r="I1154" i="2"/>
  <c r="H1154" i="2"/>
  <c r="G1154" i="2"/>
  <c r="F1154" i="2"/>
  <c r="E1154" i="2"/>
  <c r="D1154" i="2"/>
  <c r="C1154" i="2"/>
  <c r="B1153" i="2"/>
  <c r="A1155" i="2"/>
  <c r="K1156" i="2" a="1"/>
  <c r="L1155" i="2" a="1"/>
  <c r="J1155" i="2" a="1"/>
  <c r="I1155" i="2" a="1"/>
  <c r="H1155" i="2" a="1"/>
  <c r="G1155" i="2" a="1"/>
  <c r="F1155" i="2" a="1"/>
  <c r="E1155" i="2" a="1"/>
  <c r="D1155" i="2" a="1"/>
  <c r="C1155" i="2" a="1"/>
  <c r="B1154" i="2" a="1"/>
  <c r="K1156" i="2" l="1"/>
  <c r="L1155" i="2"/>
  <c r="J1155" i="2"/>
  <c r="I1155" i="2"/>
  <c r="H1155" i="2"/>
  <c r="G1155" i="2"/>
  <c r="F1155" i="2"/>
  <c r="E1155" i="2"/>
  <c r="D1155" i="2"/>
  <c r="C1155" i="2"/>
  <c r="B1154" i="2"/>
  <c r="A1156" i="2"/>
  <c r="K1157" i="2" a="1"/>
  <c r="L1156" i="2" a="1"/>
  <c r="J1156" i="2" a="1"/>
  <c r="I1156" i="2" a="1"/>
  <c r="H1156" i="2" a="1"/>
  <c r="G1156" i="2" a="1"/>
  <c r="F1156" i="2" a="1"/>
  <c r="E1156" i="2" a="1"/>
  <c r="D1156" i="2" a="1"/>
  <c r="C1156" i="2" a="1"/>
  <c r="B1155" i="2" a="1"/>
  <c r="K1157" i="2" l="1"/>
  <c r="L1156" i="2"/>
  <c r="J1156" i="2"/>
  <c r="I1156" i="2"/>
  <c r="H1156" i="2"/>
  <c r="G1156" i="2"/>
  <c r="F1156" i="2"/>
  <c r="E1156" i="2"/>
  <c r="D1156" i="2"/>
  <c r="C1156" i="2"/>
  <c r="B1155" i="2"/>
  <c r="A1157" i="2"/>
  <c r="K1158" i="2" a="1"/>
  <c r="L1157" i="2" a="1"/>
  <c r="J1157" i="2" a="1"/>
  <c r="I1157" i="2" a="1"/>
  <c r="H1157" i="2" a="1"/>
  <c r="G1157" i="2" a="1"/>
  <c r="F1157" i="2" a="1"/>
  <c r="E1157" i="2" a="1"/>
  <c r="D1157" i="2" a="1"/>
  <c r="C1157" i="2" a="1"/>
  <c r="B1156" i="2" a="1"/>
  <c r="K1158" i="2" l="1"/>
  <c r="L1157" i="2"/>
  <c r="J1157" i="2"/>
  <c r="I1157" i="2"/>
  <c r="H1157" i="2"/>
  <c r="G1157" i="2"/>
  <c r="F1157" i="2"/>
  <c r="E1157" i="2"/>
  <c r="D1157" i="2"/>
  <c r="C1157" i="2"/>
  <c r="B1156" i="2"/>
  <c r="A1158" i="2"/>
  <c r="K1159" i="2" a="1"/>
  <c r="L1158" i="2" a="1"/>
  <c r="J1158" i="2" a="1"/>
  <c r="I1158" i="2" a="1"/>
  <c r="H1158" i="2" a="1"/>
  <c r="G1158" i="2" a="1"/>
  <c r="F1158" i="2" a="1"/>
  <c r="E1158" i="2" a="1"/>
  <c r="D1158" i="2" a="1"/>
  <c r="C1158" i="2" a="1"/>
  <c r="B1157" i="2" a="1"/>
  <c r="K1159" i="2" l="1"/>
  <c r="L1158" i="2"/>
  <c r="J1158" i="2"/>
  <c r="I1158" i="2"/>
  <c r="H1158" i="2"/>
  <c r="G1158" i="2"/>
  <c r="F1158" i="2"/>
  <c r="E1158" i="2"/>
  <c r="D1158" i="2"/>
  <c r="C1158" i="2"/>
  <c r="B1157" i="2"/>
  <c r="A1159" i="2"/>
  <c r="K1160" i="2" a="1"/>
  <c r="L1159" i="2" a="1"/>
  <c r="J1159" i="2" a="1"/>
  <c r="I1159" i="2" a="1"/>
  <c r="H1159" i="2" a="1"/>
  <c r="G1159" i="2" a="1"/>
  <c r="F1159" i="2" a="1"/>
  <c r="E1159" i="2" a="1"/>
  <c r="D1159" i="2" a="1"/>
  <c r="C1159" i="2" a="1"/>
  <c r="B1159" i="2" a="1"/>
  <c r="B1158" i="2" a="1"/>
  <c r="K1160" i="2" l="1"/>
  <c r="L1159" i="2"/>
  <c r="J1159" i="2"/>
  <c r="I1159" i="2"/>
  <c r="H1159" i="2"/>
  <c r="G1159" i="2"/>
  <c r="F1159" i="2"/>
  <c r="E1159" i="2"/>
  <c r="D1159" i="2"/>
  <c r="C1159" i="2"/>
  <c r="B1159" i="2"/>
  <c r="B1158" i="2"/>
  <c r="A1160" i="2"/>
  <c r="K1161" i="2" a="1"/>
  <c r="L1160" i="2" a="1"/>
  <c r="J1160" i="2" a="1"/>
  <c r="I1160" i="2" a="1"/>
  <c r="H1160" i="2" a="1"/>
  <c r="G1160" i="2" a="1"/>
  <c r="F1160" i="2" a="1"/>
  <c r="E1160" i="2" a="1"/>
  <c r="D1160" i="2" a="1"/>
  <c r="C1160" i="2" a="1"/>
  <c r="K1161" i="2" l="1"/>
  <c r="L1160" i="2"/>
  <c r="J1160" i="2"/>
  <c r="I1160" i="2"/>
  <c r="H1160" i="2"/>
  <c r="G1160" i="2"/>
  <c r="F1160" i="2"/>
  <c r="E1160" i="2"/>
  <c r="D1160" i="2"/>
  <c r="C1160" i="2"/>
  <c r="A1161" i="2"/>
  <c r="K1162" i="2" a="1"/>
  <c r="L1161" i="2" a="1"/>
  <c r="J1161" i="2" a="1"/>
  <c r="I1161" i="2" a="1"/>
  <c r="H1161" i="2" a="1"/>
  <c r="G1161" i="2" a="1"/>
  <c r="F1161" i="2" a="1"/>
  <c r="E1161" i="2" a="1"/>
  <c r="D1161" i="2" a="1"/>
  <c r="C1161" i="2" a="1"/>
  <c r="B1160" i="2" a="1"/>
  <c r="K1162" i="2" l="1"/>
  <c r="L1161" i="2"/>
  <c r="J1161" i="2"/>
  <c r="I1161" i="2"/>
  <c r="H1161" i="2"/>
  <c r="G1161" i="2"/>
  <c r="F1161" i="2"/>
  <c r="E1161" i="2"/>
  <c r="D1161" i="2"/>
  <c r="C1161" i="2"/>
  <c r="B1160" i="2"/>
  <c r="A1162" i="2"/>
  <c r="K1163" i="2" a="1"/>
  <c r="L1162" i="2" a="1"/>
  <c r="J1162" i="2" a="1"/>
  <c r="I1162" i="2" a="1"/>
  <c r="H1162" i="2" a="1"/>
  <c r="G1162" i="2" a="1"/>
  <c r="F1162" i="2" a="1"/>
  <c r="E1162" i="2" a="1"/>
  <c r="D1162" i="2" a="1"/>
  <c r="C1162" i="2" a="1"/>
  <c r="B1161" i="2" a="1"/>
  <c r="K1163" i="2" l="1"/>
  <c r="L1162" i="2"/>
  <c r="J1162" i="2"/>
  <c r="I1162" i="2"/>
  <c r="H1162" i="2"/>
  <c r="G1162" i="2"/>
  <c r="F1162" i="2"/>
  <c r="E1162" i="2"/>
  <c r="D1162" i="2"/>
  <c r="C1162" i="2"/>
  <c r="B1161" i="2"/>
  <c r="A1163" i="2"/>
  <c r="K1164" i="2" a="1"/>
  <c r="L1163" i="2" a="1"/>
  <c r="J1163" i="2" a="1"/>
  <c r="I1163" i="2" a="1"/>
  <c r="H1163" i="2" a="1"/>
  <c r="G1163" i="2" a="1"/>
  <c r="F1163" i="2" a="1"/>
  <c r="E1163" i="2" a="1"/>
  <c r="D1163" i="2" a="1"/>
  <c r="C1163" i="2" a="1"/>
  <c r="B1162" i="2" a="1"/>
  <c r="K1164" i="2" l="1"/>
  <c r="L1163" i="2"/>
  <c r="J1163" i="2"/>
  <c r="I1163" i="2"/>
  <c r="H1163" i="2"/>
  <c r="G1163" i="2"/>
  <c r="F1163" i="2"/>
  <c r="E1163" i="2"/>
  <c r="D1163" i="2"/>
  <c r="C1163" i="2"/>
  <c r="B1162" i="2"/>
  <c r="A1164" i="2"/>
  <c r="K1165" i="2" a="1"/>
  <c r="L1164" i="2" a="1"/>
  <c r="J1164" i="2" a="1"/>
  <c r="I1164" i="2" a="1"/>
  <c r="H1164" i="2" a="1"/>
  <c r="G1164" i="2" a="1"/>
  <c r="F1164" i="2" a="1"/>
  <c r="E1164" i="2" a="1"/>
  <c r="D1164" i="2" a="1"/>
  <c r="C1164" i="2" a="1"/>
  <c r="B1163" i="2" a="1"/>
  <c r="K1165" i="2" l="1"/>
  <c r="L1164" i="2"/>
  <c r="J1164" i="2"/>
  <c r="I1164" i="2"/>
  <c r="H1164" i="2"/>
  <c r="G1164" i="2"/>
  <c r="F1164" i="2"/>
  <c r="E1164" i="2"/>
  <c r="D1164" i="2"/>
  <c r="C1164" i="2"/>
  <c r="B1163" i="2"/>
  <c r="A1165" i="2"/>
  <c r="K1166" i="2" a="1"/>
  <c r="L1165" i="2" a="1"/>
  <c r="J1165" i="2" a="1"/>
  <c r="I1165" i="2" a="1"/>
  <c r="H1165" i="2" a="1"/>
  <c r="G1165" i="2" a="1"/>
  <c r="F1165" i="2" a="1"/>
  <c r="E1165" i="2" a="1"/>
  <c r="D1165" i="2" a="1"/>
  <c r="C1165" i="2" a="1"/>
  <c r="B1164" i="2" a="1"/>
  <c r="K1166" i="2" l="1"/>
  <c r="L1165" i="2"/>
  <c r="J1165" i="2"/>
  <c r="I1165" i="2"/>
  <c r="H1165" i="2"/>
  <c r="G1165" i="2"/>
  <c r="F1165" i="2"/>
  <c r="E1165" i="2"/>
  <c r="D1165" i="2"/>
  <c r="C1165" i="2"/>
  <c r="B1164" i="2"/>
  <c r="A1166" i="2"/>
  <c r="K1167" i="2" a="1"/>
  <c r="L1166" i="2" a="1"/>
  <c r="J1166" i="2" a="1"/>
  <c r="I1166" i="2" a="1"/>
  <c r="H1166" i="2" a="1"/>
  <c r="G1166" i="2" a="1"/>
  <c r="F1166" i="2" a="1"/>
  <c r="E1166" i="2" a="1"/>
  <c r="D1166" i="2" a="1"/>
  <c r="C1166" i="2" a="1"/>
  <c r="B1165" i="2" a="1"/>
  <c r="K1167" i="2" l="1"/>
  <c r="L1166" i="2"/>
  <c r="J1166" i="2"/>
  <c r="I1166" i="2"/>
  <c r="H1166" i="2"/>
  <c r="G1166" i="2"/>
  <c r="F1166" i="2"/>
  <c r="E1166" i="2"/>
  <c r="D1166" i="2"/>
  <c r="C1166" i="2"/>
  <c r="B1165" i="2"/>
  <c r="A1167" i="2"/>
  <c r="K1168" i="2" a="1"/>
  <c r="L1167" i="2" a="1"/>
  <c r="J1167" i="2" a="1"/>
  <c r="I1167" i="2" a="1"/>
  <c r="H1167" i="2" a="1"/>
  <c r="G1167" i="2" a="1"/>
  <c r="F1167" i="2" a="1"/>
  <c r="E1167" i="2" a="1"/>
  <c r="D1167" i="2" a="1"/>
  <c r="C1167" i="2" a="1"/>
  <c r="B1166" i="2" a="1"/>
  <c r="K1168" i="2" l="1"/>
  <c r="L1167" i="2"/>
  <c r="J1167" i="2"/>
  <c r="I1167" i="2"/>
  <c r="H1167" i="2"/>
  <c r="G1167" i="2"/>
  <c r="F1167" i="2"/>
  <c r="E1167" i="2"/>
  <c r="D1167" i="2"/>
  <c r="C1167" i="2"/>
  <c r="B1166" i="2"/>
  <c r="A1168" i="2"/>
  <c r="K1169" i="2" a="1"/>
  <c r="L1168" i="2" a="1"/>
  <c r="J1168" i="2" a="1"/>
  <c r="I1168" i="2" a="1"/>
  <c r="H1168" i="2" a="1"/>
  <c r="G1168" i="2" a="1"/>
  <c r="F1168" i="2" a="1"/>
  <c r="E1168" i="2" a="1"/>
  <c r="D1168" i="2" a="1"/>
  <c r="C1168" i="2" a="1"/>
  <c r="B1167" i="2" a="1"/>
  <c r="K1169" i="2" l="1"/>
  <c r="L1168" i="2"/>
  <c r="J1168" i="2"/>
  <c r="I1168" i="2"/>
  <c r="H1168" i="2"/>
  <c r="G1168" i="2"/>
  <c r="F1168" i="2"/>
  <c r="E1168" i="2"/>
  <c r="D1168" i="2"/>
  <c r="C1168" i="2"/>
  <c r="B1167" i="2"/>
  <c r="A1169" i="2"/>
  <c r="K1170" i="2" a="1"/>
  <c r="L1169" i="2" a="1"/>
  <c r="J1169" i="2" a="1"/>
  <c r="I1169" i="2" a="1"/>
  <c r="H1169" i="2" a="1"/>
  <c r="G1169" i="2" a="1"/>
  <c r="F1169" i="2" a="1"/>
  <c r="E1169" i="2" a="1"/>
  <c r="D1169" i="2" a="1"/>
  <c r="C1169" i="2" a="1"/>
  <c r="B1168" i="2" a="1"/>
  <c r="K1170" i="2" l="1"/>
  <c r="L1169" i="2"/>
  <c r="J1169" i="2"/>
  <c r="I1169" i="2"/>
  <c r="H1169" i="2"/>
  <c r="G1169" i="2"/>
  <c r="F1169" i="2"/>
  <c r="E1169" i="2"/>
  <c r="D1169" i="2"/>
  <c r="C1169" i="2"/>
  <c r="B1168" i="2"/>
  <c r="A1170" i="2"/>
  <c r="K1171" i="2" a="1"/>
  <c r="L1170" i="2" a="1"/>
  <c r="J1170" i="2" a="1"/>
  <c r="I1170" i="2" a="1"/>
  <c r="H1170" i="2" a="1"/>
  <c r="G1170" i="2" a="1"/>
  <c r="F1170" i="2" a="1"/>
  <c r="E1170" i="2" a="1"/>
  <c r="D1170" i="2" a="1"/>
  <c r="C1170" i="2" a="1"/>
  <c r="B1169" i="2" a="1"/>
  <c r="K1171" i="2" l="1"/>
  <c r="L1170" i="2"/>
  <c r="J1170" i="2"/>
  <c r="I1170" i="2"/>
  <c r="H1170" i="2"/>
  <c r="G1170" i="2"/>
  <c r="F1170" i="2"/>
  <c r="E1170" i="2"/>
  <c r="D1170" i="2"/>
  <c r="C1170" i="2"/>
  <c r="B1169" i="2"/>
  <c r="A1171" i="2"/>
  <c r="K1172" i="2" a="1"/>
  <c r="L1171" i="2" a="1"/>
  <c r="J1171" i="2" a="1"/>
  <c r="I1171" i="2" a="1"/>
  <c r="H1171" i="2" a="1"/>
  <c r="G1171" i="2" a="1"/>
  <c r="F1171" i="2" a="1"/>
  <c r="E1171" i="2" a="1"/>
  <c r="D1171" i="2" a="1"/>
  <c r="C1171" i="2" a="1"/>
  <c r="B1170" i="2" a="1"/>
  <c r="K1172" i="2" l="1"/>
  <c r="L1171" i="2"/>
  <c r="J1171" i="2"/>
  <c r="I1171" i="2"/>
  <c r="H1171" i="2"/>
  <c r="G1171" i="2"/>
  <c r="F1171" i="2"/>
  <c r="E1171" i="2"/>
  <c r="D1171" i="2"/>
  <c r="C1171" i="2"/>
  <c r="B1170" i="2"/>
  <c r="A1172" i="2"/>
  <c r="K1173" i="2" a="1"/>
  <c r="L1172" i="2" a="1"/>
  <c r="J1172" i="2" a="1"/>
  <c r="I1172" i="2" a="1"/>
  <c r="H1172" i="2" a="1"/>
  <c r="G1172" i="2" a="1"/>
  <c r="F1172" i="2" a="1"/>
  <c r="E1172" i="2" a="1"/>
  <c r="D1172" i="2" a="1"/>
  <c r="C1172" i="2" a="1"/>
  <c r="B1171" i="2" a="1"/>
  <c r="K1173" i="2" l="1"/>
  <c r="L1172" i="2"/>
  <c r="J1172" i="2"/>
  <c r="I1172" i="2"/>
  <c r="H1172" i="2"/>
  <c r="G1172" i="2"/>
  <c r="F1172" i="2"/>
  <c r="E1172" i="2"/>
  <c r="D1172" i="2"/>
  <c r="C1172" i="2"/>
  <c r="B1171" i="2"/>
  <c r="A1173" i="2"/>
  <c r="K1174" i="2" a="1"/>
  <c r="L1173" i="2" a="1"/>
  <c r="J1173" i="2" a="1"/>
  <c r="I1173" i="2" a="1"/>
  <c r="H1173" i="2" a="1"/>
  <c r="G1173" i="2" a="1"/>
  <c r="F1173" i="2" a="1"/>
  <c r="E1173" i="2" a="1"/>
  <c r="D1173" i="2" a="1"/>
  <c r="C1173" i="2" a="1"/>
  <c r="B1172" i="2" a="1"/>
  <c r="K1174" i="2" l="1"/>
  <c r="L1173" i="2"/>
  <c r="J1173" i="2"/>
  <c r="I1173" i="2"/>
  <c r="H1173" i="2"/>
  <c r="G1173" i="2"/>
  <c r="F1173" i="2"/>
  <c r="E1173" i="2"/>
  <c r="D1173" i="2"/>
  <c r="C1173" i="2"/>
  <c r="B1172" i="2"/>
  <c r="A1174" i="2"/>
  <c r="K1175" i="2" a="1"/>
  <c r="L1174" i="2" a="1"/>
  <c r="J1174" i="2" a="1"/>
  <c r="I1174" i="2" a="1"/>
  <c r="H1174" i="2" a="1"/>
  <c r="G1174" i="2" a="1"/>
  <c r="F1174" i="2" a="1"/>
  <c r="E1174" i="2" a="1"/>
  <c r="D1174" i="2" a="1"/>
  <c r="C1174" i="2" a="1"/>
  <c r="B1173" i="2" a="1"/>
  <c r="K1175" i="2" l="1"/>
  <c r="L1174" i="2"/>
  <c r="J1174" i="2"/>
  <c r="I1174" i="2"/>
  <c r="H1174" i="2"/>
  <c r="G1174" i="2"/>
  <c r="F1174" i="2"/>
  <c r="E1174" i="2"/>
  <c r="D1174" i="2"/>
  <c r="C1174" i="2"/>
  <c r="B1173" i="2"/>
  <c r="A1175" i="2"/>
  <c r="K1176" i="2" a="1"/>
  <c r="L1175" i="2" a="1"/>
  <c r="J1175" i="2" a="1"/>
  <c r="I1175" i="2" a="1"/>
  <c r="H1175" i="2" a="1"/>
  <c r="G1175" i="2" a="1"/>
  <c r="F1175" i="2" a="1"/>
  <c r="E1175" i="2" a="1"/>
  <c r="D1175" i="2" a="1"/>
  <c r="C1175" i="2" a="1"/>
  <c r="B1174" i="2" a="1"/>
  <c r="K1176" i="2" l="1"/>
  <c r="L1175" i="2"/>
  <c r="J1175" i="2"/>
  <c r="I1175" i="2"/>
  <c r="H1175" i="2"/>
  <c r="G1175" i="2"/>
  <c r="F1175" i="2"/>
  <c r="E1175" i="2"/>
  <c r="D1175" i="2"/>
  <c r="C1175" i="2"/>
  <c r="B1174" i="2"/>
  <c r="A1176" i="2"/>
  <c r="K1177" i="2" a="1"/>
  <c r="L1176" i="2" a="1"/>
  <c r="J1176" i="2" a="1"/>
  <c r="I1176" i="2" a="1"/>
  <c r="H1176" i="2" a="1"/>
  <c r="G1176" i="2" a="1"/>
  <c r="F1176" i="2" a="1"/>
  <c r="E1176" i="2" a="1"/>
  <c r="D1176" i="2" a="1"/>
  <c r="C1176" i="2" a="1"/>
  <c r="B1175" i="2" a="1"/>
  <c r="K1177" i="2" l="1"/>
  <c r="L1176" i="2"/>
  <c r="J1176" i="2"/>
  <c r="I1176" i="2"/>
  <c r="H1176" i="2"/>
  <c r="G1176" i="2"/>
  <c r="F1176" i="2"/>
  <c r="E1176" i="2"/>
  <c r="D1176" i="2"/>
  <c r="C1176" i="2"/>
  <c r="B1175" i="2"/>
  <c r="A1177" i="2"/>
  <c r="K1178" i="2" a="1"/>
  <c r="L1177" i="2" a="1"/>
  <c r="J1177" i="2" a="1"/>
  <c r="I1177" i="2" a="1"/>
  <c r="H1177" i="2" a="1"/>
  <c r="G1177" i="2" a="1"/>
  <c r="F1177" i="2" a="1"/>
  <c r="E1177" i="2" a="1"/>
  <c r="D1177" i="2" a="1"/>
  <c r="C1177" i="2" a="1"/>
  <c r="B1176" i="2" a="1"/>
  <c r="K1178" i="2" l="1"/>
  <c r="L1177" i="2"/>
  <c r="J1177" i="2"/>
  <c r="I1177" i="2"/>
  <c r="H1177" i="2"/>
  <c r="G1177" i="2"/>
  <c r="F1177" i="2"/>
  <c r="E1177" i="2"/>
  <c r="D1177" i="2"/>
  <c r="C1177" i="2"/>
  <c r="B1176" i="2"/>
  <c r="A1178" i="2"/>
  <c r="K1179" i="2" a="1"/>
  <c r="L1178" i="2" a="1"/>
  <c r="J1178" i="2" a="1"/>
  <c r="I1178" i="2" a="1"/>
  <c r="H1178" i="2" a="1"/>
  <c r="G1178" i="2" a="1"/>
  <c r="F1178" i="2" a="1"/>
  <c r="E1178" i="2" a="1"/>
  <c r="D1178" i="2" a="1"/>
  <c r="C1178" i="2" a="1"/>
  <c r="B1177" i="2" a="1"/>
  <c r="K1179" i="2" l="1"/>
  <c r="L1178" i="2"/>
  <c r="J1178" i="2"/>
  <c r="I1178" i="2"/>
  <c r="H1178" i="2"/>
  <c r="G1178" i="2"/>
  <c r="F1178" i="2"/>
  <c r="E1178" i="2"/>
  <c r="D1178" i="2"/>
  <c r="C1178" i="2"/>
  <c r="B1177" i="2"/>
  <c r="A1179" i="2"/>
  <c r="K1180" i="2" a="1"/>
  <c r="L1179" i="2" a="1"/>
  <c r="J1179" i="2" a="1"/>
  <c r="I1179" i="2" a="1"/>
  <c r="H1179" i="2" a="1"/>
  <c r="G1179" i="2" a="1"/>
  <c r="F1179" i="2" a="1"/>
  <c r="E1179" i="2" a="1"/>
  <c r="D1179" i="2" a="1"/>
  <c r="C1179" i="2" a="1"/>
  <c r="B1178" i="2" a="1"/>
  <c r="K1180" i="2" l="1"/>
  <c r="L1179" i="2"/>
  <c r="J1179" i="2"/>
  <c r="I1179" i="2"/>
  <c r="H1179" i="2"/>
  <c r="G1179" i="2"/>
  <c r="F1179" i="2"/>
  <c r="E1179" i="2"/>
  <c r="D1179" i="2"/>
  <c r="C1179" i="2"/>
  <c r="B1178" i="2"/>
  <c r="A1180" i="2"/>
  <c r="K1181" i="2" a="1"/>
  <c r="L1180" i="2" a="1"/>
  <c r="J1180" i="2" a="1"/>
  <c r="I1180" i="2" a="1"/>
  <c r="H1180" i="2" a="1"/>
  <c r="G1180" i="2" a="1"/>
  <c r="F1180" i="2" a="1"/>
  <c r="E1180" i="2" a="1"/>
  <c r="D1180" i="2" a="1"/>
  <c r="C1180" i="2" a="1"/>
  <c r="B1179" i="2" a="1"/>
  <c r="K1181" i="2" l="1"/>
  <c r="L1180" i="2"/>
  <c r="J1180" i="2"/>
  <c r="I1180" i="2"/>
  <c r="H1180" i="2"/>
  <c r="G1180" i="2"/>
  <c r="F1180" i="2"/>
  <c r="E1180" i="2"/>
  <c r="D1180" i="2"/>
  <c r="C1180" i="2"/>
  <c r="B1179" i="2"/>
  <c r="A1181" i="2"/>
  <c r="K1182" i="2" a="1"/>
  <c r="L1181" i="2" a="1"/>
  <c r="J1181" i="2" a="1"/>
  <c r="I1181" i="2" a="1"/>
  <c r="H1181" i="2" a="1"/>
  <c r="G1181" i="2" a="1"/>
  <c r="F1181" i="2" a="1"/>
  <c r="E1181" i="2" a="1"/>
  <c r="D1181" i="2" a="1"/>
  <c r="C1181" i="2" a="1"/>
  <c r="B1180" i="2" a="1"/>
  <c r="K1182" i="2" l="1"/>
  <c r="L1181" i="2"/>
  <c r="J1181" i="2"/>
  <c r="I1181" i="2"/>
  <c r="H1181" i="2"/>
  <c r="G1181" i="2"/>
  <c r="F1181" i="2"/>
  <c r="E1181" i="2"/>
  <c r="D1181" i="2"/>
  <c r="C1181" i="2"/>
  <c r="B1180" i="2"/>
  <c r="A1182" i="2"/>
  <c r="K1183" i="2" a="1"/>
  <c r="L1182" i="2" a="1"/>
  <c r="J1182" i="2" a="1"/>
  <c r="I1182" i="2" a="1"/>
  <c r="H1182" i="2" a="1"/>
  <c r="G1182" i="2" a="1"/>
  <c r="F1182" i="2" a="1"/>
  <c r="E1182" i="2" a="1"/>
  <c r="D1182" i="2" a="1"/>
  <c r="C1182" i="2" a="1"/>
  <c r="B1181" i="2" a="1"/>
  <c r="K1183" i="2" l="1"/>
  <c r="L1182" i="2"/>
  <c r="J1182" i="2"/>
  <c r="I1182" i="2"/>
  <c r="H1182" i="2"/>
  <c r="G1182" i="2"/>
  <c r="F1182" i="2"/>
  <c r="E1182" i="2"/>
  <c r="D1182" i="2"/>
  <c r="C1182" i="2"/>
  <c r="B1181" i="2"/>
  <c r="A1183" i="2"/>
  <c r="K1184" i="2" a="1"/>
  <c r="L1183" i="2" a="1"/>
  <c r="J1183" i="2" a="1"/>
  <c r="I1183" i="2" a="1"/>
  <c r="H1183" i="2" a="1"/>
  <c r="G1183" i="2" a="1"/>
  <c r="F1183" i="2" a="1"/>
  <c r="E1183" i="2" a="1"/>
  <c r="D1183" i="2" a="1"/>
  <c r="C1183" i="2" a="1"/>
  <c r="B1182" i="2" a="1"/>
  <c r="K1184" i="2" l="1"/>
  <c r="L1183" i="2"/>
  <c r="J1183" i="2"/>
  <c r="I1183" i="2"/>
  <c r="H1183" i="2"/>
  <c r="G1183" i="2"/>
  <c r="F1183" i="2"/>
  <c r="E1183" i="2"/>
  <c r="D1183" i="2"/>
  <c r="C1183" i="2"/>
  <c r="B1182" i="2"/>
  <c r="A1184" i="2"/>
  <c r="K1185" i="2" a="1"/>
  <c r="L1184" i="2" a="1"/>
  <c r="J1184" i="2" a="1"/>
  <c r="I1184" i="2" a="1"/>
  <c r="H1184" i="2" a="1"/>
  <c r="G1184" i="2" a="1"/>
  <c r="F1184" i="2" a="1"/>
  <c r="E1184" i="2" a="1"/>
  <c r="D1184" i="2" a="1"/>
  <c r="C1184" i="2" a="1"/>
  <c r="B1183" i="2" a="1"/>
  <c r="K1185" i="2" l="1"/>
  <c r="L1184" i="2"/>
  <c r="J1184" i="2"/>
  <c r="I1184" i="2"/>
  <c r="H1184" i="2"/>
  <c r="G1184" i="2"/>
  <c r="F1184" i="2"/>
  <c r="E1184" i="2"/>
  <c r="D1184" i="2"/>
  <c r="C1184" i="2"/>
  <c r="B1183" i="2"/>
  <c r="A1185" i="2"/>
  <c r="K1186" i="2" a="1"/>
  <c r="L1185" i="2" a="1"/>
  <c r="J1185" i="2" a="1"/>
  <c r="I1185" i="2" a="1"/>
  <c r="H1185" i="2" a="1"/>
  <c r="G1185" i="2" a="1"/>
  <c r="F1185" i="2" a="1"/>
  <c r="E1185" i="2" a="1"/>
  <c r="D1185" i="2" a="1"/>
  <c r="C1185" i="2" a="1"/>
  <c r="B1184" i="2" a="1"/>
  <c r="K1186" i="2" l="1"/>
  <c r="L1185" i="2"/>
  <c r="J1185" i="2"/>
  <c r="I1185" i="2"/>
  <c r="H1185" i="2"/>
  <c r="G1185" i="2"/>
  <c r="F1185" i="2"/>
  <c r="E1185" i="2"/>
  <c r="D1185" i="2"/>
  <c r="C1185" i="2"/>
  <c r="B1184" i="2"/>
  <c r="A1186" i="2"/>
  <c r="K1187" i="2" a="1"/>
  <c r="L1186" i="2" a="1"/>
  <c r="J1186" i="2" a="1"/>
  <c r="I1186" i="2" a="1"/>
  <c r="H1186" i="2" a="1"/>
  <c r="G1186" i="2" a="1"/>
  <c r="F1186" i="2" a="1"/>
  <c r="E1186" i="2" a="1"/>
  <c r="D1186" i="2" a="1"/>
  <c r="C1186" i="2" a="1"/>
  <c r="B1185" i="2" a="1"/>
  <c r="K1187" i="2" l="1"/>
  <c r="L1186" i="2"/>
  <c r="J1186" i="2"/>
  <c r="I1186" i="2"/>
  <c r="H1186" i="2"/>
  <c r="G1186" i="2"/>
  <c r="F1186" i="2"/>
  <c r="E1186" i="2"/>
  <c r="D1186" i="2"/>
  <c r="C1186" i="2"/>
  <c r="B1185" i="2"/>
  <c r="A1187" i="2"/>
  <c r="K1188" i="2" a="1"/>
  <c r="L1187" i="2" a="1"/>
  <c r="J1187" i="2" a="1"/>
  <c r="I1187" i="2" a="1"/>
  <c r="H1187" i="2" a="1"/>
  <c r="G1187" i="2" a="1"/>
  <c r="F1187" i="2" a="1"/>
  <c r="E1187" i="2" a="1"/>
  <c r="D1187" i="2" a="1"/>
  <c r="C1187" i="2" a="1"/>
  <c r="B1186" i="2" a="1"/>
  <c r="K1188" i="2" l="1"/>
  <c r="L1187" i="2"/>
  <c r="J1187" i="2"/>
  <c r="I1187" i="2"/>
  <c r="H1187" i="2"/>
  <c r="G1187" i="2"/>
  <c r="F1187" i="2"/>
  <c r="E1187" i="2"/>
  <c r="D1187" i="2"/>
  <c r="C1187" i="2"/>
  <c r="B1186" i="2"/>
  <c r="A1188" i="2"/>
  <c r="K1189" i="2" a="1"/>
  <c r="L1188" i="2" a="1"/>
  <c r="J1188" i="2" a="1"/>
  <c r="I1188" i="2" a="1"/>
  <c r="H1188" i="2" a="1"/>
  <c r="G1188" i="2" a="1"/>
  <c r="F1188" i="2" a="1"/>
  <c r="E1188" i="2" a="1"/>
  <c r="D1188" i="2" a="1"/>
  <c r="C1188" i="2" a="1"/>
  <c r="B1187" i="2" a="1"/>
  <c r="K1189" i="2" l="1"/>
  <c r="L1188" i="2"/>
  <c r="J1188" i="2"/>
  <c r="I1188" i="2"/>
  <c r="H1188" i="2"/>
  <c r="G1188" i="2"/>
  <c r="F1188" i="2"/>
  <c r="E1188" i="2"/>
  <c r="D1188" i="2"/>
  <c r="C1188" i="2"/>
  <c r="B1187" i="2"/>
  <c r="A1189" i="2"/>
  <c r="K1190" i="2" a="1"/>
  <c r="L1189" i="2" a="1"/>
  <c r="J1189" i="2" a="1"/>
  <c r="I1189" i="2" a="1"/>
  <c r="H1189" i="2" a="1"/>
  <c r="G1189" i="2" a="1"/>
  <c r="F1189" i="2" a="1"/>
  <c r="E1189" i="2" a="1"/>
  <c r="D1189" i="2" a="1"/>
  <c r="C1189" i="2" a="1"/>
  <c r="B1188" i="2" a="1"/>
  <c r="K1190" i="2" l="1"/>
  <c r="L1189" i="2"/>
  <c r="J1189" i="2"/>
  <c r="I1189" i="2"/>
  <c r="H1189" i="2"/>
  <c r="G1189" i="2"/>
  <c r="F1189" i="2"/>
  <c r="E1189" i="2"/>
  <c r="D1189" i="2"/>
  <c r="C1189" i="2"/>
  <c r="B1188" i="2"/>
  <c r="A1190" i="2"/>
  <c r="K1191" i="2" a="1"/>
  <c r="L1190" i="2" a="1"/>
  <c r="J1190" i="2" a="1"/>
  <c r="I1190" i="2" a="1"/>
  <c r="H1190" i="2" a="1"/>
  <c r="G1190" i="2" a="1"/>
  <c r="F1190" i="2" a="1"/>
  <c r="E1190" i="2" a="1"/>
  <c r="D1190" i="2" a="1"/>
  <c r="C1190" i="2" a="1"/>
  <c r="B1189" i="2" a="1"/>
  <c r="K1191" i="2" l="1"/>
  <c r="L1190" i="2"/>
  <c r="J1190" i="2"/>
  <c r="I1190" i="2"/>
  <c r="H1190" i="2"/>
  <c r="G1190" i="2"/>
  <c r="F1190" i="2"/>
  <c r="E1190" i="2"/>
  <c r="D1190" i="2"/>
  <c r="C1190" i="2"/>
  <c r="B1189" i="2"/>
  <c r="A1191" i="2"/>
  <c r="K1192" i="2" a="1"/>
  <c r="L1191" i="2" a="1"/>
  <c r="J1191" i="2" a="1"/>
  <c r="I1191" i="2" a="1"/>
  <c r="H1191" i="2" a="1"/>
  <c r="G1191" i="2" a="1"/>
  <c r="F1191" i="2" a="1"/>
  <c r="E1191" i="2" a="1"/>
  <c r="D1191" i="2" a="1"/>
  <c r="C1191" i="2" a="1"/>
  <c r="B1190" i="2" a="1"/>
  <c r="K1192" i="2" l="1"/>
  <c r="L1191" i="2"/>
  <c r="J1191" i="2"/>
  <c r="I1191" i="2"/>
  <c r="H1191" i="2"/>
  <c r="G1191" i="2"/>
  <c r="F1191" i="2"/>
  <c r="E1191" i="2"/>
  <c r="D1191" i="2"/>
  <c r="C1191" i="2"/>
  <c r="B1190" i="2"/>
  <c r="A1192" i="2"/>
  <c r="K1193" i="2" a="1"/>
  <c r="L1192" i="2" a="1"/>
  <c r="J1192" i="2" a="1"/>
  <c r="I1192" i="2" a="1"/>
  <c r="H1192" i="2" a="1"/>
  <c r="G1192" i="2" a="1"/>
  <c r="F1192" i="2" a="1"/>
  <c r="E1192" i="2" a="1"/>
  <c r="D1192" i="2" a="1"/>
  <c r="C1192" i="2" a="1"/>
  <c r="B1191" i="2" a="1"/>
  <c r="K1193" i="2" l="1"/>
  <c r="L1192" i="2"/>
  <c r="J1192" i="2"/>
  <c r="I1192" i="2"/>
  <c r="H1192" i="2"/>
  <c r="G1192" i="2"/>
  <c r="F1192" i="2"/>
  <c r="E1192" i="2"/>
  <c r="D1192" i="2"/>
  <c r="C1192" i="2"/>
  <c r="B1191" i="2"/>
  <c r="A1193" i="2"/>
  <c r="K1194" i="2" a="1"/>
  <c r="L1193" i="2" a="1"/>
  <c r="J1193" i="2" a="1"/>
  <c r="I1193" i="2" a="1"/>
  <c r="H1193" i="2" a="1"/>
  <c r="G1193" i="2" a="1"/>
  <c r="F1193" i="2" a="1"/>
  <c r="E1193" i="2" a="1"/>
  <c r="D1193" i="2" a="1"/>
  <c r="C1193" i="2" a="1"/>
  <c r="B1192" i="2" a="1"/>
  <c r="K1194" i="2" l="1"/>
  <c r="L1193" i="2"/>
  <c r="J1193" i="2"/>
  <c r="I1193" i="2"/>
  <c r="H1193" i="2"/>
  <c r="G1193" i="2"/>
  <c r="F1193" i="2"/>
  <c r="E1193" i="2"/>
  <c r="D1193" i="2"/>
  <c r="C1193" i="2"/>
  <c r="B1192" i="2"/>
  <c r="A1194" i="2"/>
  <c r="K1195" i="2" a="1"/>
  <c r="L1194" i="2" a="1"/>
  <c r="J1194" i="2" a="1"/>
  <c r="I1194" i="2" a="1"/>
  <c r="H1194" i="2" a="1"/>
  <c r="G1194" i="2" a="1"/>
  <c r="F1194" i="2" a="1"/>
  <c r="E1194" i="2" a="1"/>
  <c r="D1194" i="2" a="1"/>
  <c r="C1194" i="2" a="1"/>
  <c r="B1193" i="2" a="1"/>
  <c r="K1195" i="2" l="1"/>
  <c r="L1194" i="2"/>
  <c r="J1194" i="2"/>
  <c r="I1194" i="2"/>
  <c r="H1194" i="2"/>
  <c r="G1194" i="2"/>
  <c r="F1194" i="2"/>
  <c r="E1194" i="2"/>
  <c r="D1194" i="2"/>
  <c r="C1194" i="2"/>
  <c r="B1193" i="2"/>
  <c r="A1195" i="2"/>
  <c r="K1196" i="2" a="1"/>
  <c r="L1195" i="2" a="1"/>
  <c r="J1195" i="2" a="1"/>
  <c r="I1195" i="2" a="1"/>
  <c r="H1195" i="2" a="1"/>
  <c r="G1195" i="2" a="1"/>
  <c r="F1195" i="2" a="1"/>
  <c r="E1195" i="2" a="1"/>
  <c r="D1195" i="2" a="1"/>
  <c r="C1195" i="2" a="1"/>
  <c r="B1194" i="2" a="1"/>
  <c r="K1196" i="2" l="1"/>
  <c r="L1195" i="2"/>
  <c r="J1195" i="2"/>
  <c r="I1195" i="2"/>
  <c r="H1195" i="2"/>
  <c r="G1195" i="2"/>
  <c r="F1195" i="2"/>
  <c r="E1195" i="2"/>
  <c r="D1195" i="2"/>
  <c r="C1195" i="2"/>
  <c r="B1194" i="2"/>
  <c r="A1196" i="2"/>
  <c r="K1197" i="2" a="1"/>
  <c r="L1196" i="2" a="1"/>
  <c r="J1196" i="2" a="1"/>
  <c r="I1196" i="2" a="1"/>
  <c r="H1196" i="2" a="1"/>
  <c r="G1196" i="2" a="1"/>
  <c r="F1196" i="2" a="1"/>
  <c r="E1196" i="2" a="1"/>
  <c r="D1196" i="2" a="1"/>
  <c r="C1196" i="2" a="1"/>
  <c r="B1195" i="2" a="1"/>
  <c r="K1197" i="2" l="1"/>
  <c r="L1196" i="2"/>
  <c r="J1196" i="2"/>
  <c r="I1196" i="2"/>
  <c r="H1196" i="2"/>
  <c r="G1196" i="2"/>
  <c r="F1196" i="2"/>
  <c r="E1196" i="2"/>
  <c r="D1196" i="2"/>
  <c r="C1196" i="2"/>
  <c r="B1195" i="2"/>
  <c r="A1197" i="2"/>
  <c r="K1198" i="2" a="1"/>
  <c r="L1197" i="2" a="1"/>
  <c r="J1197" i="2" a="1"/>
  <c r="I1197" i="2" a="1"/>
  <c r="H1197" i="2" a="1"/>
  <c r="G1197" i="2" a="1"/>
  <c r="F1197" i="2" a="1"/>
  <c r="E1197" i="2" a="1"/>
  <c r="D1197" i="2" a="1"/>
  <c r="C1197" i="2" a="1"/>
  <c r="B1196" i="2" a="1"/>
  <c r="K1198" i="2" l="1"/>
  <c r="L1197" i="2"/>
  <c r="J1197" i="2"/>
  <c r="I1197" i="2"/>
  <c r="H1197" i="2"/>
  <c r="G1197" i="2"/>
  <c r="F1197" i="2"/>
  <c r="E1197" i="2"/>
  <c r="D1197" i="2"/>
  <c r="C1197" i="2"/>
  <c r="B1196" i="2"/>
  <c r="A1198" i="2"/>
  <c r="K1199" i="2" a="1"/>
  <c r="L1198" i="2" a="1"/>
  <c r="J1198" i="2" a="1"/>
  <c r="I1198" i="2" a="1"/>
  <c r="H1198" i="2" a="1"/>
  <c r="G1198" i="2" a="1"/>
  <c r="F1198" i="2" a="1"/>
  <c r="E1198" i="2" a="1"/>
  <c r="D1198" i="2" a="1"/>
  <c r="C1198" i="2" a="1"/>
  <c r="B1197" i="2" a="1"/>
  <c r="K1199" i="2" l="1"/>
  <c r="L1198" i="2"/>
  <c r="J1198" i="2"/>
  <c r="I1198" i="2"/>
  <c r="H1198" i="2"/>
  <c r="G1198" i="2"/>
  <c r="F1198" i="2"/>
  <c r="E1198" i="2"/>
  <c r="D1198" i="2"/>
  <c r="C1198" i="2"/>
  <c r="B1197" i="2"/>
  <c r="A1199" i="2"/>
  <c r="K1200" i="2" a="1"/>
  <c r="L1199" i="2" a="1"/>
  <c r="J1199" i="2" a="1"/>
  <c r="I1199" i="2" a="1"/>
  <c r="H1199" i="2" a="1"/>
  <c r="G1199" i="2" a="1"/>
  <c r="F1199" i="2" a="1"/>
  <c r="E1199" i="2" a="1"/>
  <c r="D1199" i="2" a="1"/>
  <c r="C1199" i="2" a="1"/>
  <c r="B1198" i="2" a="1"/>
  <c r="K1200" i="2" l="1"/>
  <c r="L1199" i="2"/>
  <c r="J1199" i="2"/>
  <c r="I1199" i="2"/>
  <c r="H1199" i="2"/>
  <c r="G1199" i="2"/>
  <c r="F1199" i="2"/>
  <c r="E1199" i="2"/>
  <c r="D1199" i="2"/>
  <c r="C1199" i="2"/>
  <c r="B1198" i="2"/>
  <c r="A1200" i="2"/>
  <c r="K1201" i="2" a="1"/>
  <c r="L1200" i="2" a="1"/>
  <c r="J1200" i="2" a="1"/>
  <c r="I1200" i="2" a="1"/>
  <c r="H1200" i="2" a="1"/>
  <c r="G1200" i="2" a="1"/>
  <c r="F1200" i="2" a="1"/>
  <c r="E1200" i="2" a="1"/>
  <c r="D1200" i="2" a="1"/>
  <c r="C1200" i="2" a="1"/>
  <c r="B1199" i="2" a="1"/>
  <c r="K1201" i="2" l="1"/>
  <c r="L1200" i="2"/>
  <c r="J1200" i="2"/>
  <c r="I1200" i="2"/>
  <c r="H1200" i="2"/>
  <c r="G1200" i="2"/>
  <c r="F1200" i="2"/>
  <c r="E1200" i="2"/>
  <c r="D1200" i="2"/>
  <c r="C1200" i="2"/>
  <c r="B1199" i="2"/>
  <c r="A1201" i="2"/>
  <c r="K1202" i="2" a="1"/>
  <c r="L1201" i="2" a="1"/>
  <c r="J1201" i="2" a="1"/>
  <c r="I1201" i="2" a="1"/>
  <c r="H1201" i="2" a="1"/>
  <c r="G1201" i="2" a="1"/>
  <c r="F1201" i="2" a="1"/>
  <c r="E1201" i="2" a="1"/>
  <c r="D1201" i="2" a="1"/>
  <c r="C1201" i="2" a="1"/>
  <c r="B1200" i="2" a="1"/>
  <c r="K1202" i="2" l="1"/>
  <c r="L1201" i="2"/>
  <c r="J1201" i="2"/>
  <c r="I1201" i="2"/>
  <c r="H1201" i="2"/>
  <c r="G1201" i="2"/>
  <c r="F1201" i="2"/>
  <c r="E1201" i="2"/>
  <c r="D1201" i="2"/>
  <c r="C1201" i="2"/>
  <c r="B1200" i="2"/>
  <c r="A1202" i="2"/>
  <c r="K1203" i="2" a="1"/>
  <c r="L1202" i="2" a="1"/>
  <c r="J1202" i="2" a="1"/>
  <c r="I1202" i="2" a="1"/>
  <c r="H1202" i="2" a="1"/>
  <c r="G1202" i="2" a="1"/>
  <c r="F1202" i="2" a="1"/>
  <c r="E1202" i="2" a="1"/>
  <c r="D1202" i="2" a="1"/>
  <c r="C1202" i="2" a="1"/>
  <c r="B1201" i="2" a="1"/>
  <c r="K1203" i="2" l="1"/>
  <c r="L1202" i="2"/>
  <c r="J1202" i="2"/>
  <c r="I1202" i="2"/>
  <c r="H1202" i="2"/>
  <c r="G1202" i="2"/>
  <c r="F1202" i="2"/>
  <c r="E1202" i="2"/>
  <c r="D1202" i="2"/>
  <c r="C1202" i="2"/>
  <c r="B1201" i="2"/>
  <c r="A1203" i="2"/>
  <c r="K1204" i="2" a="1"/>
  <c r="L1203" i="2" a="1"/>
  <c r="J1203" i="2" a="1"/>
  <c r="I1203" i="2" a="1"/>
  <c r="H1203" i="2" a="1"/>
  <c r="G1203" i="2" a="1"/>
  <c r="F1203" i="2" a="1"/>
  <c r="E1203" i="2" a="1"/>
  <c r="D1203" i="2" a="1"/>
  <c r="C1203" i="2" a="1"/>
  <c r="B1202" i="2" a="1"/>
  <c r="K1204" i="2" l="1"/>
  <c r="L1203" i="2"/>
  <c r="J1203" i="2"/>
  <c r="I1203" i="2"/>
  <c r="H1203" i="2"/>
  <c r="G1203" i="2"/>
  <c r="F1203" i="2"/>
  <c r="E1203" i="2"/>
  <c r="D1203" i="2"/>
  <c r="C1203" i="2"/>
  <c r="B1202" i="2"/>
  <c r="A1204" i="2"/>
  <c r="K1205" i="2" a="1"/>
  <c r="L1204" i="2" a="1"/>
  <c r="J1204" i="2" a="1"/>
  <c r="I1204" i="2" a="1"/>
  <c r="H1204" i="2" a="1"/>
  <c r="G1204" i="2" a="1"/>
  <c r="F1204" i="2" a="1"/>
  <c r="E1204" i="2" a="1"/>
  <c r="D1204" i="2" a="1"/>
  <c r="C1204" i="2" a="1"/>
  <c r="B1203" i="2" a="1"/>
  <c r="K1205" i="2" l="1"/>
  <c r="L1204" i="2"/>
  <c r="J1204" i="2"/>
  <c r="I1204" i="2"/>
  <c r="H1204" i="2"/>
  <c r="G1204" i="2"/>
  <c r="F1204" i="2"/>
  <c r="E1204" i="2"/>
  <c r="D1204" i="2"/>
  <c r="C1204" i="2"/>
  <c r="B1203" i="2"/>
  <c r="A1205" i="2"/>
  <c r="K1206" i="2" a="1"/>
  <c r="L1205" i="2" a="1"/>
  <c r="J1205" i="2" a="1"/>
  <c r="I1205" i="2" a="1"/>
  <c r="H1205" i="2" a="1"/>
  <c r="G1205" i="2" a="1"/>
  <c r="F1205" i="2" a="1"/>
  <c r="E1205" i="2" a="1"/>
  <c r="D1205" i="2" a="1"/>
  <c r="C1205" i="2" a="1"/>
  <c r="B1204" i="2" a="1"/>
  <c r="K1206" i="2" l="1"/>
  <c r="L1205" i="2"/>
  <c r="J1205" i="2"/>
  <c r="I1205" i="2"/>
  <c r="H1205" i="2"/>
  <c r="G1205" i="2"/>
  <c r="F1205" i="2"/>
  <c r="E1205" i="2"/>
  <c r="D1205" i="2"/>
  <c r="C1205" i="2"/>
  <c r="B1204" i="2"/>
  <c r="A1206" i="2"/>
  <c r="K1207" i="2" a="1"/>
  <c r="L1206" i="2" a="1"/>
  <c r="J1206" i="2" a="1"/>
  <c r="I1206" i="2" a="1"/>
  <c r="H1206" i="2" a="1"/>
  <c r="G1206" i="2" a="1"/>
  <c r="F1206" i="2" a="1"/>
  <c r="E1206" i="2" a="1"/>
  <c r="D1206" i="2" a="1"/>
  <c r="C1206" i="2" a="1"/>
  <c r="B1205" i="2" a="1"/>
  <c r="K1207" i="2" l="1"/>
  <c r="L1206" i="2"/>
  <c r="J1206" i="2"/>
  <c r="I1206" i="2"/>
  <c r="H1206" i="2"/>
  <c r="G1206" i="2"/>
  <c r="F1206" i="2"/>
  <c r="E1206" i="2"/>
  <c r="D1206" i="2"/>
  <c r="C1206" i="2"/>
  <c r="B1205" i="2"/>
  <c r="A1207" i="2"/>
  <c r="K1208" i="2" a="1"/>
  <c r="L1207" i="2" a="1"/>
  <c r="J1207" i="2" a="1"/>
  <c r="I1207" i="2" a="1"/>
  <c r="H1207" i="2" a="1"/>
  <c r="G1207" i="2" a="1"/>
  <c r="F1207" i="2" a="1"/>
  <c r="E1207" i="2" a="1"/>
  <c r="D1207" i="2" a="1"/>
  <c r="C1207" i="2" a="1"/>
  <c r="B1206" i="2" a="1"/>
  <c r="K1208" i="2" l="1"/>
  <c r="L1207" i="2"/>
  <c r="J1207" i="2"/>
  <c r="I1207" i="2"/>
  <c r="H1207" i="2"/>
  <c r="G1207" i="2"/>
  <c r="F1207" i="2"/>
  <c r="E1207" i="2"/>
  <c r="D1207" i="2"/>
  <c r="C1207" i="2"/>
  <c r="B1206" i="2"/>
  <c r="A1208" i="2"/>
  <c r="K1209" i="2" a="1"/>
  <c r="L1208" i="2" a="1"/>
  <c r="J1208" i="2" a="1"/>
  <c r="I1208" i="2" a="1"/>
  <c r="H1208" i="2" a="1"/>
  <c r="G1208" i="2" a="1"/>
  <c r="F1208" i="2" a="1"/>
  <c r="E1208" i="2" a="1"/>
  <c r="D1208" i="2" a="1"/>
  <c r="C1208" i="2" a="1"/>
  <c r="B1207" i="2" a="1"/>
  <c r="K1209" i="2" l="1"/>
  <c r="L1208" i="2"/>
  <c r="J1208" i="2"/>
  <c r="I1208" i="2"/>
  <c r="H1208" i="2"/>
  <c r="G1208" i="2"/>
  <c r="F1208" i="2"/>
  <c r="E1208" i="2"/>
  <c r="D1208" i="2"/>
  <c r="C1208" i="2"/>
  <c r="B1207" i="2"/>
  <c r="A1209" i="2"/>
  <c r="K1210" i="2" a="1"/>
  <c r="L1209" i="2" a="1"/>
  <c r="J1209" i="2" a="1"/>
  <c r="I1209" i="2" a="1"/>
  <c r="H1209" i="2" a="1"/>
  <c r="G1209" i="2" a="1"/>
  <c r="F1209" i="2" a="1"/>
  <c r="E1209" i="2" a="1"/>
  <c r="D1209" i="2" a="1"/>
  <c r="C1209" i="2" a="1"/>
  <c r="B1208" i="2" a="1"/>
  <c r="K1210" i="2" l="1"/>
  <c r="L1209" i="2"/>
  <c r="J1209" i="2"/>
  <c r="I1209" i="2"/>
  <c r="H1209" i="2"/>
  <c r="G1209" i="2"/>
  <c r="F1209" i="2"/>
  <c r="E1209" i="2"/>
  <c r="D1209" i="2"/>
  <c r="C1209" i="2"/>
  <c r="B1208" i="2"/>
  <c r="A1210" i="2"/>
  <c r="K1211" i="2" a="1"/>
  <c r="L1210" i="2" a="1"/>
  <c r="J1210" i="2" a="1"/>
  <c r="I1210" i="2" a="1"/>
  <c r="H1210" i="2" a="1"/>
  <c r="G1210" i="2" a="1"/>
  <c r="F1210" i="2" a="1"/>
  <c r="E1210" i="2" a="1"/>
  <c r="D1210" i="2" a="1"/>
  <c r="C1210" i="2" a="1"/>
  <c r="B1209" i="2" a="1"/>
  <c r="K1211" i="2" l="1"/>
  <c r="L1210" i="2"/>
  <c r="J1210" i="2"/>
  <c r="I1210" i="2"/>
  <c r="H1210" i="2"/>
  <c r="G1210" i="2"/>
  <c r="F1210" i="2"/>
  <c r="E1210" i="2"/>
  <c r="D1210" i="2"/>
  <c r="C1210" i="2"/>
  <c r="B1209" i="2"/>
  <c r="A1211" i="2"/>
  <c r="K1212" i="2" a="1"/>
  <c r="L1211" i="2" a="1"/>
  <c r="J1211" i="2" a="1"/>
  <c r="I1211" i="2" a="1"/>
  <c r="H1211" i="2" a="1"/>
  <c r="G1211" i="2" a="1"/>
  <c r="F1211" i="2" a="1"/>
  <c r="E1211" i="2" a="1"/>
  <c r="D1211" i="2" a="1"/>
  <c r="C1211" i="2" a="1"/>
  <c r="B1210" i="2" a="1"/>
  <c r="K1212" i="2" l="1"/>
  <c r="L1211" i="2"/>
  <c r="J1211" i="2"/>
  <c r="I1211" i="2"/>
  <c r="H1211" i="2"/>
  <c r="G1211" i="2"/>
  <c r="F1211" i="2"/>
  <c r="E1211" i="2"/>
  <c r="D1211" i="2"/>
  <c r="C1211" i="2"/>
  <c r="B1210" i="2"/>
  <c r="A1212" i="2"/>
  <c r="K1213" i="2" a="1"/>
  <c r="L1212" i="2" a="1"/>
  <c r="J1212" i="2" a="1"/>
  <c r="I1212" i="2" a="1"/>
  <c r="H1212" i="2" a="1"/>
  <c r="G1212" i="2" a="1"/>
  <c r="F1212" i="2" a="1"/>
  <c r="E1212" i="2" a="1"/>
  <c r="D1212" i="2" a="1"/>
  <c r="C1212" i="2" a="1"/>
  <c r="B1211" i="2" a="1"/>
  <c r="K1213" i="2" l="1"/>
  <c r="L1212" i="2"/>
  <c r="J1212" i="2"/>
  <c r="I1212" i="2"/>
  <c r="H1212" i="2"/>
  <c r="G1212" i="2"/>
  <c r="F1212" i="2"/>
  <c r="E1212" i="2"/>
  <c r="D1212" i="2"/>
  <c r="C1212" i="2"/>
  <c r="B1211" i="2"/>
  <c r="A1213" i="2"/>
  <c r="K1214" i="2" a="1"/>
  <c r="L1213" i="2" a="1"/>
  <c r="J1213" i="2" a="1"/>
  <c r="I1213" i="2" a="1"/>
  <c r="H1213" i="2" a="1"/>
  <c r="G1213" i="2" a="1"/>
  <c r="F1213" i="2" a="1"/>
  <c r="E1213" i="2" a="1"/>
  <c r="D1213" i="2" a="1"/>
  <c r="C1213" i="2" a="1"/>
  <c r="B1212" i="2" a="1"/>
  <c r="K1214" i="2" l="1"/>
  <c r="L1213" i="2"/>
  <c r="J1213" i="2"/>
  <c r="I1213" i="2"/>
  <c r="H1213" i="2"/>
  <c r="G1213" i="2"/>
  <c r="F1213" i="2"/>
  <c r="E1213" i="2"/>
  <c r="D1213" i="2"/>
  <c r="C1213" i="2"/>
  <c r="B1212" i="2"/>
  <c r="A1214" i="2"/>
  <c r="K1215" i="2" a="1"/>
  <c r="L1214" i="2" a="1"/>
  <c r="J1214" i="2" a="1"/>
  <c r="I1214" i="2" a="1"/>
  <c r="H1214" i="2" a="1"/>
  <c r="G1214" i="2" a="1"/>
  <c r="F1214" i="2" a="1"/>
  <c r="E1214" i="2" a="1"/>
  <c r="D1214" i="2" a="1"/>
  <c r="C1214" i="2" a="1"/>
  <c r="B1213" i="2" a="1"/>
  <c r="K1215" i="2" l="1"/>
  <c r="L1214" i="2"/>
  <c r="J1214" i="2"/>
  <c r="I1214" i="2"/>
  <c r="H1214" i="2"/>
  <c r="G1214" i="2"/>
  <c r="F1214" i="2"/>
  <c r="E1214" i="2"/>
  <c r="D1214" i="2"/>
  <c r="C1214" i="2"/>
  <c r="B1213" i="2"/>
  <c r="A1215" i="2"/>
  <c r="K1216" i="2" a="1"/>
  <c r="L1215" i="2" a="1"/>
  <c r="J1215" i="2" a="1"/>
  <c r="I1215" i="2" a="1"/>
  <c r="H1215" i="2" a="1"/>
  <c r="G1215" i="2" a="1"/>
  <c r="F1215" i="2" a="1"/>
  <c r="E1215" i="2" a="1"/>
  <c r="D1215" i="2" a="1"/>
  <c r="C1215" i="2" a="1"/>
  <c r="B1214" i="2" a="1"/>
  <c r="K1216" i="2" l="1"/>
  <c r="L1215" i="2"/>
  <c r="J1215" i="2"/>
  <c r="I1215" i="2"/>
  <c r="H1215" i="2"/>
  <c r="G1215" i="2"/>
  <c r="F1215" i="2"/>
  <c r="E1215" i="2"/>
  <c r="D1215" i="2"/>
  <c r="C1215" i="2"/>
  <c r="B1214" i="2"/>
  <c r="A1216" i="2"/>
  <c r="K1217" i="2" a="1"/>
  <c r="L1216" i="2" a="1"/>
  <c r="J1216" i="2" a="1"/>
  <c r="I1216" i="2" a="1"/>
  <c r="H1216" i="2" a="1"/>
  <c r="G1216" i="2" a="1"/>
  <c r="F1216" i="2" a="1"/>
  <c r="E1216" i="2" a="1"/>
  <c r="D1216" i="2" a="1"/>
  <c r="C1216" i="2" a="1"/>
  <c r="B1215" i="2" a="1"/>
  <c r="K1217" i="2" l="1"/>
  <c r="L1216" i="2"/>
  <c r="J1216" i="2"/>
  <c r="I1216" i="2"/>
  <c r="H1216" i="2"/>
  <c r="G1216" i="2"/>
  <c r="F1216" i="2"/>
  <c r="E1216" i="2"/>
  <c r="D1216" i="2"/>
  <c r="C1216" i="2"/>
  <c r="B1215" i="2"/>
  <c r="A1217" i="2"/>
  <c r="K1218" i="2" a="1"/>
  <c r="L1217" i="2" a="1"/>
  <c r="J1217" i="2" a="1"/>
  <c r="I1217" i="2" a="1"/>
  <c r="H1217" i="2" a="1"/>
  <c r="G1217" i="2" a="1"/>
  <c r="F1217" i="2" a="1"/>
  <c r="E1217" i="2" a="1"/>
  <c r="D1217" i="2" a="1"/>
  <c r="C1217" i="2" a="1"/>
  <c r="B1216" i="2" a="1"/>
  <c r="K1218" i="2" l="1"/>
  <c r="L1217" i="2"/>
  <c r="J1217" i="2"/>
  <c r="I1217" i="2"/>
  <c r="H1217" i="2"/>
  <c r="G1217" i="2"/>
  <c r="F1217" i="2"/>
  <c r="E1217" i="2"/>
  <c r="D1217" i="2"/>
  <c r="C1217" i="2"/>
  <c r="B1216" i="2"/>
  <c r="A1218" i="2"/>
  <c r="K1219" i="2" a="1"/>
  <c r="L1218" i="2" a="1"/>
  <c r="J1218" i="2" a="1"/>
  <c r="I1218" i="2" a="1"/>
  <c r="H1218" i="2" a="1"/>
  <c r="G1218" i="2" a="1"/>
  <c r="F1218" i="2" a="1"/>
  <c r="E1218" i="2" a="1"/>
  <c r="D1218" i="2" a="1"/>
  <c r="C1218" i="2" a="1"/>
  <c r="B1217" i="2" a="1"/>
  <c r="K1219" i="2" l="1"/>
  <c r="L1218" i="2"/>
  <c r="J1218" i="2"/>
  <c r="I1218" i="2"/>
  <c r="H1218" i="2"/>
  <c r="G1218" i="2"/>
  <c r="F1218" i="2"/>
  <c r="E1218" i="2"/>
  <c r="D1218" i="2"/>
  <c r="C1218" i="2"/>
  <c r="B1217" i="2"/>
  <c r="A1219" i="2"/>
  <c r="K1220" i="2" a="1"/>
  <c r="L1219" i="2" a="1"/>
  <c r="J1219" i="2" a="1"/>
  <c r="I1219" i="2" a="1"/>
  <c r="H1219" i="2" a="1"/>
  <c r="G1219" i="2" a="1"/>
  <c r="F1219" i="2" a="1"/>
  <c r="E1219" i="2" a="1"/>
  <c r="D1219" i="2" a="1"/>
  <c r="C1219" i="2" a="1"/>
  <c r="B1218" i="2" a="1"/>
  <c r="K1220" i="2" l="1"/>
  <c r="L1219" i="2"/>
  <c r="J1219" i="2"/>
  <c r="I1219" i="2"/>
  <c r="H1219" i="2"/>
  <c r="G1219" i="2"/>
  <c r="F1219" i="2"/>
  <c r="E1219" i="2"/>
  <c r="D1219" i="2"/>
  <c r="C1219" i="2"/>
  <c r="B1218" i="2"/>
  <c r="A1220" i="2"/>
  <c r="K1221" i="2" a="1"/>
  <c r="L1220" i="2" a="1"/>
  <c r="J1220" i="2" a="1"/>
  <c r="I1220" i="2" a="1"/>
  <c r="H1220" i="2" a="1"/>
  <c r="G1220" i="2" a="1"/>
  <c r="F1220" i="2" a="1"/>
  <c r="E1220" i="2" a="1"/>
  <c r="D1220" i="2" a="1"/>
  <c r="C1220" i="2" a="1"/>
  <c r="B1219" i="2" a="1"/>
  <c r="K1221" i="2" l="1"/>
  <c r="L1220" i="2"/>
  <c r="J1220" i="2"/>
  <c r="I1220" i="2"/>
  <c r="H1220" i="2"/>
  <c r="G1220" i="2"/>
  <c r="F1220" i="2"/>
  <c r="E1220" i="2"/>
  <c r="D1220" i="2"/>
  <c r="C1220" i="2"/>
  <c r="B1219" i="2"/>
  <c r="A1221" i="2"/>
  <c r="K1222" i="2" a="1"/>
  <c r="L1221" i="2" a="1"/>
  <c r="J1221" i="2" a="1"/>
  <c r="I1221" i="2" a="1"/>
  <c r="H1221" i="2" a="1"/>
  <c r="G1221" i="2" a="1"/>
  <c r="F1221" i="2" a="1"/>
  <c r="E1221" i="2" a="1"/>
  <c r="D1221" i="2" a="1"/>
  <c r="C1221" i="2" a="1"/>
  <c r="B1220" i="2" a="1"/>
  <c r="K1222" i="2" l="1"/>
  <c r="L1221" i="2"/>
  <c r="J1221" i="2"/>
  <c r="I1221" i="2"/>
  <c r="H1221" i="2"/>
  <c r="G1221" i="2"/>
  <c r="F1221" i="2"/>
  <c r="E1221" i="2"/>
  <c r="D1221" i="2"/>
  <c r="C1221" i="2"/>
  <c r="B1220" i="2"/>
  <c r="A1222" i="2"/>
  <c r="K1223" i="2" a="1"/>
  <c r="L1222" i="2" a="1"/>
  <c r="J1222" i="2" a="1"/>
  <c r="I1222" i="2" a="1"/>
  <c r="H1222" i="2" a="1"/>
  <c r="G1222" i="2" a="1"/>
  <c r="F1222" i="2" a="1"/>
  <c r="E1222" i="2" a="1"/>
  <c r="D1222" i="2" a="1"/>
  <c r="C1222" i="2" a="1"/>
  <c r="B1221" i="2" a="1"/>
  <c r="K1223" i="2" l="1"/>
  <c r="L1222" i="2"/>
  <c r="J1222" i="2"/>
  <c r="I1222" i="2"/>
  <c r="H1222" i="2"/>
  <c r="G1222" i="2"/>
  <c r="F1222" i="2"/>
  <c r="E1222" i="2"/>
  <c r="D1222" i="2"/>
  <c r="C1222" i="2"/>
  <c r="B1221" i="2"/>
  <c r="A1223" i="2"/>
  <c r="K1224" i="2" a="1"/>
  <c r="L1223" i="2" a="1"/>
  <c r="J1223" i="2" a="1"/>
  <c r="I1223" i="2" a="1"/>
  <c r="H1223" i="2" a="1"/>
  <c r="G1223" i="2" a="1"/>
  <c r="F1223" i="2" a="1"/>
  <c r="E1223" i="2" a="1"/>
  <c r="D1223" i="2" a="1"/>
  <c r="C1223" i="2" a="1"/>
  <c r="B1222" i="2" a="1"/>
  <c r="K1224" i="2" l="1"/>
  <c r="L1223" i="2"/>
  <c r="J1223" i="2"/>
  <c r="I1223" i="2"/>
  <c r="H1223" i="2"/>
  <c r="G1223" i="2"/>
  <c r="F1223" i="2"/>
  <c r="E1223" i="2"/>
  <c r="D1223" i="2"/>
  <c r="C1223" i="2"/>
  <c r="B1222" i="2"/>
  <c r="A1224" i="2"/>
  <c r="K1225" i="2" a="1"/>
  <c r="L1224" i="2" a="1"/>
  <c r="J1224" i="2" a="1"/>
  <c r="I1224" i="2" a="1"/>
  <c r="H1224" i="2" a="1"/>
  <c r="G1224" i="2" a="1"/>
  <c r="F1224" i="2" a="1"/>
  <c r="E1224" i="2" a="1"/>
  <c r="D1224" i="2" a="1"/>
  <c r="C1224" i="2" a="1"/>
  <c r="B1223" i="2" a="1"/>
  <c r="K1225" i="2" l="1"/>
  <c r="L1224" i="2"/>
  <c r="J1224" i="2"/>
  <c r="I1224" i="2"/>
  <c r="H1224" i="2"/>
  <c r="G1224" i="2"/>
  <c r="F1224" i="2"/>
  <c r="E1224" i="2"/>
  <c r="D1224" i="2"/>
  <c r="C1224" i="2"/>
  <c r="B1223" i="2"/>
  <c r="A1225" i="2"/>
  <c r="K1226" i="2" a="1"/>
  <c r="L1225" i="2" a="1"/>
  <c r="J1225" i="2" a="1"/>
  <c r="I1225" i="2" a="1"/>
  <c r="H1225" i="2" a="1"/>
  <c r="G1225" i="2" a="1"/>
  <c r="F1225" i="2" a="1"/>
  <c r="E1225" i="2" a="1"/>
  <c r="D1225" i="2" a="1"/>
  <c r="C1225" i="2" a="1"/>
  <c r="B1224" i="2" a="1"/>
  <c r="K1226" i="2" l="1"/>
  <c r="L1225" i="2"/>
  <c r="J1225" i="2"/>
  <c r="I1225" i="2"/>
  <c r="H1225" i="2"/>
  <c r="G1225" i="2"/>
  <c r="F1225" i="2"/>
  <c r="E1225" i="2"/>
  <c r="D1225" i="2"/>
  <c r="C1225" i="2"/>
  <c r="B1224" i="2"/>
  <c r="A1226" i="2"/>
  <c r="K1227" i="2" a="1"/>
  <c r="L1226" i="2" a="1"/>
  <c r="J1226" i="2" a="1"/>
  <c r="I1226" i="2" a="1"/>
  <c r="H1226" i="2" a="1"/>
  <c r="G1226" i="2" a="1"/>
  <c r="F1226" i="2" a="1"/>
  <c r="E1226" i="2" a="1"/>
  <c r="D1226" i="2" a="1"/>
  <c r="C1226" i="2" a="1"/>
  <c r="B1225" i="2" a="1"/>
  <c r="K1227" i="2" l="1"/>
  <c r="L1226" i="2"/>
  <c r="J1226" i="2"/>
  <c r="I1226" i="2"/>
  <c r="H1226" i="2"/>
  <c r="G1226" i="2"/>
  <c r="F1226" i="2"/>
  <c r="E1226" i="2"/>
  <c r="D1226" i="2"/>
  <c r="C1226" i="2"/>
  <c r="B1225" i="2"/>
  <c r="A1227" i="2"/>
  <c r="K1228" i="2" a="1"/>
  <c r="L1227" i="2" a="1"/>
  <c r="J1227" i="2" a="1"/>
  <c r="I1227" i="2" a="1"/>
  <c r="H1227" i="2" a="1"/>
  <c r="G1227" i="2" a="1"/>
  <c r="F1227" i="2" a="1"/>
  <c r="E1227" i="2" a="1"/>
  <c r="D1227" i="2" a="1"/>
  <c r="C1227" i="2" a="1"/>
  <c r="B1226" i="2" a="1"/>
  <c r="K1228" i="2" l="1"/>
  <c r="L1227" i="2"/>
  <c r="J1227" i="2"/>
  <c r="I1227" i="2"/>
  <c r="H1227" i="2"/>
  <c r="G1227" i="2"/>
  <c r="F1227" i="2"/>
  <c r="E1227" i="2"/>
  <c r="D1227" i="2"/>
  <c r="C1227" i="2"/>
  <c r="B1226" i="2"/>
  <c r="A1228" i="2"/>
  <c r="K1229" i="2" a="1"/>
  <c r="L1228" i="2" a="1"/>
  <c r="J1228" i="2" a="1"/>
  <c r="I1228" i="2" a="1"/>
  <c r="H1228" i="2" a="1"/>
  <c r="G1228" i="2" a="1"/>
  <c r="F1228" i="2" a="1"/>
  <c r="E1228" i="2" a="1"/>
  <c r="D1228" i="2" a="1"/>
  <c r="C1228" i="2" a="1"/>
  <c r="B1227" i="2" a="1"/>
  <c r="K1229" i="2" l="1"/>
  <c r="L1228" i="2"/>
  <c r="J1228" i="2"/>
  <c r="I1228" i="2"/>
  <c r="H1228" i="2"/>
  <c r="G1228" i="2"/>
  <c r="F1228" i="2"/>
  <c r="E1228" i="2"/>
  <c r="D1228" i="2"/>
  <c r="C1228" i="2"/>
  <c r="B1227" i="2"/>
  <c r="A1229" i="2"/>
  <c r="K1230" i="2" a="1"/>
  <c r="L1229" i="2" a="1"/>
  <c r="J1229" i="2" a="1"/>
  <c r="I1229" i="2" a="1"/>
  <c r="H1229" i="2" a="1"/>
  <c r="G1229" i="2" a="1"/>
  <c r="F1229" i="2" a="1"/>
  <c r="E1229" i="2" a="1"/>
  <c r="D1229" i="2" a="1"/>
  <c r="C1229" i="2" a="1"/>
  <c r="B1228" i="2" a="1"/>
  <c r="K1230" i="2" l="1"/>
  <c r="L1229" i="2"/>
  <c r="J1229" i="2"/>
  <c r="I1229" i="2"/>
  <c r="H1229" i="2"/>
  <c r="G1229" i="2"/>
  <c r="F1229" i="2"/>
  <c r="E1229" i="2"/>
  <c r="D1229" i="2"/>
  <c r="C1229" i="2"/>
  <c r="B1228" i="2"/>
  <c r="A1230" i="2"/>
  <c r="K1231" i="2" a="1"/>
  <c r="L1230" i="2" a="1"/>
  <c r="J1230" i="2" a="1"/>
  <c r="I1230" i="2" a="1"/>
  <c r="H1230" i="2" a="1"/>
  <c r="G1230" i="2" a="1"/>
  <c r="F1230" i="2" a="1"/>
  <c r="E1230" i="2" a="1"/>
  <c r="D1230" i="2" a="1"/>
  <c r="C1230" i="2" a="1"/>
  <c r="B1229" i="2" a="1"/>
  <c r="K1231" i="2" l="1"/>
  <c r="L1230" i="2"/>
  <c r="J1230" i="2"/>
  <c r="I1230" i="2"/>
  <c r="H1230" i="2"/>
  <c r="G1230" i="2"/>
  <c r="F1230" i="2"/>
  <c r="E1230" i="2"/>
  <c r="D1230" i="2"/>
  <c r="C1230" i="2"/>
  <c r="B1229" i="2"/>
  <c r="A1231" i="2"/>
  <c r="K1232" i="2" a="1"/>
  <c r="L1231" i="2" a="1"/>
  <c r="J1231" i="2" a="1"/>
  <c r="I1231" i="2" a="1"/>
  <c r="H1231" i="2" a="1"/>
  <c r="G1231" i="2" a="1"/>
  <c r="F1231" i="2" a="1"/>
  <c r="E1231" i="2" a="1"/>
  <c r="D1231" i="2" a="1"/>
  <c r="C1231" i="2" a="1"/>
  <c r="B1230" i="2" a="1"/>
  <c r="K1232" i="2" l="1"/>
  <c r="L1231" i="2"/>
  <c r="J1231" i="2"/>
  <c r="I1231" i="2"/>
  <c r="H1231" i="2"/>
  <c r="G1231" i="2"/>
  <c r="F1231" i="2"/>
  <c r="E1231" i="2"/>
  <c r="D1231" i="2"/>
  <c r="C1231" i="2"/>
  <c r="B1230" i="2"/>
  <c r="A1232" i="2"/>
  <c r="K1233" i="2" a="1"/>
  <c r="L1232" i="2" a="1"/>
  <c r="J1232" i="2" a="1"/>
  <c r="I1232" i="2" a="1"/>
  <c r="H1232" i="2" a="1"/>
  <c r="G1232" i="2" a="1"/>
  <c r="F1232" i="2" a="1"/>
  <c r="E1232" i="2" a="1"/>
  <c r="D1232" i="2" a="1"/>
  <c r="C1232" i="2" a="1"/>
  <c r="B1231" i="2" a="1"/>
  <c r="K1233" i="2" l="1"/>
  <c r="L1232" i="2"/>
  <c r="J1232" i="2"/>
  <c r="I1232" i="2"/>
  <c r="H1232" i="2"/>
  <c r="G1232" i="2"/>
  <c r="F1232" i="2"/>
  <c r="E1232" i="2"/>
  <c r="D1232" i="2"/>
  <c r="C1232" i="2"/>
  <c r="B1231" i="2"/>
  <c r="A1233" i="2"/>
  <c r="K1234" i="2" a="1"/>
  <c r="L1233" i="2" a="1"/>
  <c r="J1233" i="2" a="1"/>
  <c r="I1233" i="2" a="1"/>
  <c r="H1233" i="2" a="1"/>
  <c r="G1233" i="2" a="1"/>
  <c r="F1233" i="2" a="1"/>
  <c r="E1233" i="2" a="1"/>
  <c r="D1233" i="2" a="1"/>
  <c r="C1233" i="2" a="1"/>
  <c r="B1232" i="2" a="1"/>
  <c r="K1234" i="2" l="1"/>
  <c r="L1233" i="2"/>
  <c r="J1233" i="2"/>
  <c r="I1233" i="2"/>
  <c r="H1233" i="2"/>
  <c r="G1233" i="2"/>
  <c r="F1233" i="2"/>
  <c r="E1233" i="2"/>
  <c r="D1233" i="2"/>
  <c r="C1233" i="2"/>
  <c r="B1232" i="2"/>
  <c r="A1234" i="2"/>
  <c r="K1235" i="2" a="1"/>
  <c r="L1234" i="2" a="1"/>
  <c r="J1234" i="2" a="1"/>
  <c r="I1234" i="2" a="1"/>
  <c r="H1234" i="2" a="1"/>
  <c r="G1234" i="2" a="1"/>
  <c r="F1234" i="2" a="1"/>
  <c r="E1234" i="2" a="1"/>
  <c r="D1234" i="2" a="1"/>
  <c r="C1234" i="2" a="1"/>
  <c r="B1233" i="2" a="1"/>
  <c r="K1235" i="2" l="1"/>
  <c r="L1234" i="2"/>
  <c r="J1234" i="2"/>
  <c r="I1234" i="2"/>
  <c r="H1234" i="2"/>
  <c r="G1234" i="2"/>
  <c r="F1234" i="2"/>
  <c r="E1234" i="2"/>
  <c r="D1234" i="2"/>
  <c r="C1234" i="2"/>
  <c r="B1233" i="2"/>
  <c r="A1235" i="2"/>
  <c r="K1236" i="2" a="1"/>
  <c r="L1235" i="2" a="1"/>
  <c r="J1235" i="2" a="1"/>
  <c r="I1235" i="2" a="1"/>
  <c r="H1235" i="2" a="1"/>
  <c r="G1235" i="2" a="1"/>
  <c r="F1235" i="2" a="1"/>
  <c r="E1235" i="2" a="1"/>
  <c r="D1235" i="2" a="1"/>
  <c r="C1235" i="2" a="1"/>
  <c r="B1234" i="2" a="1"/>
  <c r="K1236" i="2" l="1"/>
  <c r="L1235" i="2"/>
  <c r="J1235" i="2"/>
  <c r="I1235" i="2"/>
  <c r="H1235" i="2"/>
  <c r="G1235" i="2"/>
  <c r="F1235" i="2"/>
  <c r="E1235" i="2"/>
  <c r="D1235" i="2"/>
  <c r="C1235" i="2"/>
  <c r="B1234" i="2"/>
  <c r="A1236" i="2"/>
  <c r="K1237" i="2" a="1"/>
  <c r="L1236" i="2" a="1"/>
  <c r="J1236" i="2" a="1"/>
  <c r="I1236" i="2" a="1"/>
  <c r="H1236" i="2" a="1"/>
  <c r="G1236" i="2" a="1"/>
  <c r="F1236" i="2" a="1"/>
  <c r="E1236" i="2" a="1"/>
  <c r="D1236" i="2" a="1"/>
  <c r="C1236" i="2" a="1"/>
  <c r="B1235" i="2" a="1"/>
  <c r="K1237" i="2" l="1"/>
  <c r="L1236" i="2"/>
  <c r="J1236" i="2"/>
  <c r="I1236" i="2"/>
  <c r="H1236" i="2"/>
  <c r="G1236" i="2"/>
  <c r="F1236" i="2"/>
  <c r="E1236" i="2"/>
  <c r="D1236" i="2"/>
  <c r="C1236" i="2"/>
  <c r="B1235" i="2"/>
  <c r="A1237" i="2"/>
  <c r="K1238" i="2" a="1"/>
  <c r="L1237" i="2" a="1"/>
  <c r="J1237" i="2" a="1"/>
  <c r="I1237" i="2" a="1"/>
  <c r="H1237" i="2" a="1"/>
  <c r="G1237" i="2" a="1"/>
  <c r="F1237" i="2" a="1"/>
  <c r="E1237" i="2" a="1"/>
  <c r="D1237" i="2" a="1"/>
  <c r="C1237" i="2" a="1"/>
  <c r="B1236" i="2" a="1"/>
  <c r="K1238" i="2" l="1"/>
  <c r="L1237" i="2"/>
  <c r="J1237" i="2"/>
  <c r="I1237" i="2"/>
  <c r="H1237" i="2"/>
  <c r="G1237" i="2"/>
  <c r="F1237" i="2"/>
  <c r="E1237" i="2"/>
  <c r="D1237" i="2"/>
  <c r="C1237" i="2"/>
  <c r="B1236" i="2"/>
  <c r="A1238" i="2"/>
  <c r="K1239" i="2" a="1"/>
  <c r="L1238" i="2" a="1"/>
  <c r="J1238" i="2" a="1"/>
  <c r="I1238" i="2" a="1"/>
  <c r="H1238" i="2" a="1"/>
  <c r="G1238" i="2" a="1"/>
  <c r="F1238" i="2" a="1"/>
  <c r="E1238" i="2" a="1"/>
  <c r="D1238" i="2" a="1"/>
  <c r="C1238" i="2" a="1"/>
  <c r="B1237" i="2" a="1"/>
  <c r="K1239" i="2" l="1"/>
  <c r="L1238" i="2"/>
  <c r="J1238" i="2"/>
  <c r="I1238" i="2"/>
  <c r="H1238" i="2"/>
  <c r="G1238" i="2"/>
  <c r="F1238" i="2"/>
  <c r="E1238" i="2"/>
  <c r="D1238" i="2"/>
  <c r="C1238" i="2"/>
  <c r="B1237" i="2"/>
  <c r="A1239" i="2"/>
  <c r="K1240" i="2" a="1"/>
  <c r="L1239" i="2" a="1"/>
  <c r="J1239" i="2" a="1"/>
  <c r="I1239" i="2" a="1"/>
  <c r="H1239" i="2" a="1"/>
  <c r="G1239" i="2" a="1"/>
  <c r="F1239" i="2" a="1"/>
  <c r="E1239" i="2" a="1"/>
  <c r="D1239" i="2" a="1"/>
  <c r="C1239" i="2" a="1"/>
  <c r="B1238" i="2" a="1"/>
  <c r="K1240" i="2" l="1"/>
  <c r="L1239" i="2"/>
  <c r="J1239" i="2"/>
  <c r="I1239" i="2"/>
  <c r="H1239" i="2"/>
  <c r="G1239" i="2"/>
  <c r="F1239" i="2"/>
  <c r="E1239" i="2"/>
  <c r="D1239" i="2"/>
  <c r="C1239" i="2"/>
  <c r="B1238" i="2"/>
  <c r="A1240" i="2"/>
  <c r="K1241" i="2" a="1"/>
  <c r="L1240" i="2" a="1"/>
  <c r="J1240" i="2" a="1"/>
  <c r="I1240" i="2" a="1"/>
  <c r="H1240" i="2" a="1"/>
  <c r="G1240" i="2" a="1"/>
  <c r="F1240" i="2" a="1"/>
  <c r="E1240" i="2" a="1"/>
  <c r="D1240" i="2" a="1"/>
  <c r="C1240" i="2" a="1"/>
  <c r="B1239" i="2" a="1"/>
  <c r="K1241" i="2" l="1"/>
  <c r="L1240" i="2"/>
  <c r="J1240" i="2"/>
  <c r="I1240" i="2"/>
  <c r="H1240" i="2"/>
  <c r="G1240" i="2"/>
  <c r="F1240" i="2"/>
  <c r="E1240" i="2"/>
  <c r="D1240" i="2"/>
  <c r="C1240" i="2"/>
  <c r="B1239" i="2"/>
  <c r="A1241" i="2"/>
  <c r="K1242" i="2" a="1"/>
  <c r="L1241" i="2" a="1"/>
  <c r="J1241" i="2" a="1"/>
  <c r="I1241" i="2" a="1"/>
  <c r="H1241" i="2" a="1"/>
  <c r="G1241" i="2" a="1"/>
  <c r="F1241" i="2" a="1"/>
  <c r="E1241" i="2" a="1"/>
  <c r="D1241" i="2" a="1"/>
  <c r="C1241" i="2" a="1"/>
  <c r="B1240" i="2" a="1"/>
  <c r="K1242" i="2" l="1"/>
  <c r="L1241" i="2"/>
  <c r="J1241" i="2"/>
  <c r="I1241" i="2"/>
  <c r="H1241" i="2"/>
  <c r="G1241" i="2"/>
  <c r="F1241" i="2"/>
  <c r="E1241" i="2"/>
  <c r="D1241" i="2"/>
  <c r="C1241" i="2"/>
  <c r="B1240" i="2"/>
  <c r="A1242" i="2"/>
  <c r="K1243" i="2" a="1"/>
  <c r="L1242" i="2" a="1"/>
  <c r="J1242" i="2" a="1"/>
  <c r="I1242" i="2" a="1"/>
  <c r="H1242" i="2" a="1"/>
  <c r="G1242" i="2" a="1"/>
  <c r="F1242" i="2" a="1"/>
  <c r="E1242" i="2" a="1"/>
  <c r="D1242" i="2" a="1"/>
  <c r="C1242" i="2" a="1"/>
  <c r="B1241" i="2" a="1"/>
  <c r="K1243" i="2" l="1"/>
  <c r="L1242" i="2"/>
  <c r="J1242" i="2"/>
  <c r="I1242" i="2"/>
  <c r="H1242" i="2"/>
  <c r="G1242" i="2"/>
  <c r="F1242" i="2"/>
  <c r="E1242" i="2"/>
  <c r="D1242" i="2"/>
  <c r="C1242" i="2"/>
  <c r="B1241" i="2"/>
  <c r="A1243" i="2"/>
  <c r="K1244" i="2" a="1"/>
  <c r="L1243" i="2" a="1"/>
  <c r="J1243" i="2" a="1"/>
  <c r="I1243" i="2" a="1"/>
  <c r="H1243" i="2" a="1"/>
  <c r="G1243" i="2" a="1"/>
  <c r="F1243" i="2" a="1"/>
  <c r="E1243" i="2" a="1"/>
  <c r="D1243" i="2" a="1"/>
  <c r="C1243" i="2" a="1"/>
  <c r="B1242" i="2" a="1"/>
  <c r="K1244" i="2" l="1"/>
  <c r="L1243" i="2"/>
  <c r="J1243" i="2"/>
  <c r="I1243" i="2"/>
  <c r="H1243" i="2"/>
  <c r="G1243" i="2"/>
  <c r="F1243" i="2"/>
  <c r="E1243" i="2"/>
  <c r="D1243" i="2"/>
  <c r="C1243" i="2"/>
  <c r="B1242" i="2"/>
  <c r="A1244" i="2"/>
  <c r="K1245" i="2" a="1"/>
  <c r="L1244" i="2" a="1"/>
  <c r="J1244" i="2" a="1"/>
  <c r="I1244" i="2" a="1"/>
  <c r="H1244" i="2" a="1"/>
  <c r="G1244" i="2" a="1"/>
  <c r="F1244" i="2" a="1"/>
  <c r="E1244" i="2" a="1"/>
  <c r="D1244" i="2" a="1"/>
  <c r="C1244" i="2" a="1"/>
  <c r="B1243" i="2" a="1"/>
  <c r="K1245" i="2" l="1"/>
  <c r="L1244" i="2"/>
  <c r="J1244" i="2"/>
  <c r="I1244" i="2"/>
  <c r="H1244" i="2"/>
  <c r="G1244" i="2"/>
  <c r="F1244" i="2"/>
  <c r="E1244" i="2"/>
  <c r="D1244" i="2"/>
  <c r="C1244" i="2"/>
  <c r="B1243" i="2"/>
  <c r="A1245" i="2"/>
  <c r="K1246" i="2" a="1"/>
  <c r="L1245" i="2" a="1"/>
  <c r="J1245" i="2" a="1"/>
  <c r="I1245" i="2" a="1"/>
  <c r="H1245" i="2" a="1"/>
  <c r="G1245" i="2" a="1"/>
  <c r="F1245" i="2" a="1"/>
  <c r="E1245" i="2" a="1"/>
  <c r="D1245" i="2" a="1"/>
  <c r="C1245" i="2" a="1"/>
  <c r="B1244" i="2" a="1"/>
  <c r="K1246" i="2" l="1"/>
  <c r="L1245" i="2"/>
  <c r="J1245" i="2"/>
  <c r="I1245" i="2"/>
  <c r="H1245" i="2"/>
  <c r="G1245" i="2"/>
  <c r="F1245" i="2"/>
  <c r="E1245" i="2"/>
  <c r="D1245" i="2"/>
  <c r="C1245" i="2"/>
  <c r="B1244" i="2"/>
  <c r="A1246" i="2"/>
  <c r="K1247" i="2" a="1"/>
  <c r="L1246" i="2" a="1"/>
  <c r="J1246" i="2" a="1"/>
  <c r="I1246" i="2" a="1"/>
  <c r="H1246" i="2" a="1"/>
  <c r="G1246" i="2" a="1"/>
  <c r="F1246" i="2" a="1"/>
  <c r="E1246" i="2" a="1"/>
  <c r="D1246" i="2" a="1"/>
  <c r="C1246" i="2" a="1"/>
  <c r="B1245" i="2" a="1"/>
  <c r="K1247" i="2" l="1"/>
  <c r="L1246" i="2"/>
  <c r="J1246" i="2"/>
  <c r="I1246" i="2"/>
  <c r="H1246" i="2"/>
  <c r="G1246" i="2"/>
  <c r="F1246" i="2"/>
  <c r="E1246" i="2"/>
  <c r="D1246" i="2"/>
  <c r="C1246" i="2"/>
  <c r="B1245" i="2"/>
  <c r="A1247" i="2"/>
  <c r="K1248" i="2" a="1"/>
  <c r="L1247" i="2" a="1"/>
  <c r="J1247" i="2" a="1"/>
  <c r="I1247" i="2" a="1"/>
  <c r="H1247" i="2" a="1"/>
  <c r="G1247" i="2" a="1"/>
  <c r="F1247" i="2" a="1"/>
  <c r="E1247" i="2" a="1"/>
  <c r="D1247" i="2" a="1"/>
  <c r="C1247" i="2" a="1"/>
  <c r="B1246" i="2" a="1"/>
  <c r="K1248" i="2" l="1"/>
  <c r="L1247" i="2"/>
  <c r="J1247" i="2"/>
  <c r="I1247" i="2"/>
  <c r="H1247" i="2"/>
  <c r="G1247" i="2"/>
  <c r="F1247" i="2"/>
  <c r="E1247" i="2"/>
  <c r="D1247" i="2"/>
  <c r="C1247" i="2"/>
  <c r="B1246" i="2"/>
  <c r="A1248" i="2"/>
  <c r="K1249" i="2" a="1"/>
  <c r="L1248" i="2" a="1"/>
  <c r="J1248" i="2" a="1"/>
  <c r="I1248" i="2" a="1"/>
  <c r="H1248" i="2" a="1"/>
  <c r="G1248" i="2" a="1"/>
  <c r="F1248" i="2" a="1"/>
  <c r="E1248" i="2" a="1"/>
  <c r="D1248" i="2" a="1"/>
  <c r="C1248" i="2" a="1"/>
  <c r="B1247" i="2" a="1"/>
  <c r="K1249" i="2" l="1"/>
  <c r="L1248" i="2"/>
  <c r="J1248" i="2"/>
  <c r="I1248" i="2"/>
  <c r="H1248" i="2"/>
  <c r="G1248" i="2"/>
  <c r="F1248" i="2"/>
  <c r="E1248" i="2"/>
  <c r="D1248" i="2"/>
  <c r="C1248" i="2"/>
  <c r="B1247" i="2"/>
  <c r="A1249" i="2"/>
  <c r="K1250" i="2" a="1"/>
  <c r="L1249" i="2" a="1"/>
  <c r="J1249" i="2" a="1"/>
  <c r="I1249" i="2" a="1"/>
  <c r="H1249" i="2" a="1"/>
  <c r="G1249" i="2" a="1"/>
  <c r="F1249" i="2" a="1"/>
  <c r="E1249" i="2" a="1"/>
  <c r="D1249" i="2" a="1"/>
  <c r="C1249" i="2" a="1"/>
  <c r="B1248" i="2" a="1"/>
  <c r="K1250" i="2" l="1"/>
  <c r="L1249" i="2"/>
  <c r="J1249" i="2"/>
  <c r="I1249" i="2"/>
  <c r="H1249" i="2"/>
  <c r="G1249" i="2"/>
  <c r="F1249" i="2"/>
  <c r="E1249" i="2"/>
  <c r="D1249" i="2"/>
  <c r="C1249" i="2"/>
  <c r="B1248" i="2"/>
  <c r="A1250" i="2"/>
  <c r="K1251" i="2" a="1"/>
  <c r="L1250" i="2" a="1"/>
  <c r="J1250" i="2" a="1"/>
  <c r="I1250" i="2" a="1"/>
  <c r="H1250" i="2" a="1"/>
  <c r="G1250" i="2" a="1"/>
  <c r="F1250" i="2" a="1"/>
  <c r="E1250" i="2" a="1"/>
  <c r="D1250" i="2" a="1"/>
  <c r="C1250" i="2" a="1"/>
  <c r="B1249" i="2" a="1"/>
  <c r="K1251" i="2" l="1"/>
  <c r="L1250" i="2"/>
  <c r="J1250" i="2"/>
  <c r="I1250" i="2"/>
  <c r="H1250" i="2"/>
  <c r="G1250" i="2"/>
  <c r="F1250" i="2"/>
  <c r="E1250" i="2"/>
  <c r="D1250" i="2"/>
  <c r="C1250" i="2"/>
  <c r="B1249" i="2"/>
  <c r="A1251" i="2"/>
  <c r="K1252" i="2" a="1"/>
  <c r="L1251" i="2" a="1"/>
  <c r="J1251" i="2" a="1"/>
  <c r="I1251" i="2" a="1"/>
  <c r="H1251" i="2" a="1"/>
  <c r="G1251" i="2" a="1"/>
  <c r="F1251" i="2" a="1"/>
  <c r="E1251" i="2" a="1"/>
  <c r="D1251" i="2" a="1"/>
  <c r="C1251" i="2" a="1"/>
  <c r="B1250" i="2" a="1"/>
  <c r="K1252" i="2" l="1"/>
  <c r="L1251" i="2"/>
  <c r="J1251" i="2"/>
  <c r="I1251" i="2"/>
  <c r="H1251" i="2"/>
  <c r="G1251" i="2"/>
  <c r="F1251" i="2"/>
  <c r="E1251" i="2"/>
  <c r="D1251" i="2"/>
  <c r="C1251" i="2"/>
  <c r="B1250" i="2"/>
  <c r="A1252" i="2"/>
  <c r="K1253" i="2" a="1"/>
  <c r="L1252" i="2" a="1"/>
  <c r="J1252" i="2" a="1"/>
  <c r="I1252" i="2" a="1"/>
  <c r="H1252" i="2" a="1"/>
  <c r="G1252" i="2" a="1"/>
  <c r="F1252" i="2" a="1"/>
  <c r="E1252" i="2" a="1"/>
  <c r="D1252" i="2" a="1"/>
  <c r="C1252" i="2" a="1"/>
  <c r="B1251" i="2" a="1"/>
  <c r="K1253" i="2" l="1"/>
  <c r="L1252" i="2"/>
  <c r="J1252" i="2"/>
  <c r="I1252" i="2"/>
  <c r="H1252" i="2"/>
  <c r="G1252" i="2"/>
  <c r="F1252" i="2"/>
  <c r="E1252" i="2"/>
  <c r="D1252" i="2"/>
  <c r="C1252" i="2"/>
  <c r="B1251" i="2"/>
  <c r="A1253" i="2"/>
  <c r="K1254" i="2" a="1"/>
  <c r="L1253" i="2" a="1"/>
  <c r="J1253" i="2" a="1"/>
  <c r="I1253" i="2" a="1"/>
  <c r="H1253" i="2" a="1"/>
  <c r="G1253" i="2" a="1"/>
  <c r="F1253" i="2" a="1"/>
  <c r="E1253" i="2" a="1"/>
  <c r="D1253" i="2" a="1"/>
  <c r="C1253" i="2" a="1"/>
  <c r="B1252" i="2" a="1"/>
  <c r="K1254" i="2" l="1"/>
  <c r="L1253" i="2"/>
  <c r="J1253" i="2"/>
  <c r="I1253" i="2"/>
  <c r="H1253" i="2"/>
  <c r="G1253" i="2"/>
  <c r="F1253" i="2"/>
  <c r="E1253" i="2"/>
  <c r="D1253" i="2"/>
  <c r="C1253" i="2"/>
  <c r="B1252" i="2"/>
  <c r="A1254" i="2"/>
  <c r="K1255" i="2" a="1"/>
  <c r="L1254" i="2" a="1"/>
  <c r="J1254" i="2" a="1"/>
  <c r="I1254" i="2" a="1"/>
  <c r="H1254" i="2" a="1"/>
  <c r="G1254" i="2" a="1"/>
  <c r="F1254" i="2" a="1"/>
  <c r="E1254" i="2" a="1"/>
  <c r="D1254" i="2" a="1"/>
  <c r="C1254" i="2" a="1"/>
  <c r="B1253" i="2" a="1"/>
  <c r="K1255" i="2" l="1"/>
  <c r="L1254" i="2"/>
  <c r="J1254" i="2"/>
  <c r="I1254" i="2"/>
  <c r="H1254" i="2"/>
  <c r="G1254" i="2"/>
  <c r="F1254" i="2"/>
  <c r="E1254" i="2"/>
  <c r="D1254" i="2"/>
  <c r="C1254" i="2"/>
  <c r="B1253" i="2"/>
  <c r="A1255" i="2"/>
  <c r="K1256" i="2" a="1"/>
  <c r="L1255" i="2" a="1"/>
  <c r="J1255" i="2" a="1"/>
  <c r="I1255" i="2" a="1"/>
  <c r="H1255" i="2" a="1"/>
  <c r="G1255" i="2" a="1"/>
  <c r="F1255" i="2" a="1"/>
  <c r="E1255" i="2" a="1"/>
  <c r="D1255" i="2" a="1"/>
  <c r="C1255" i="2" a="1"/>
  <c r="B1254" i="2" a="1"/>
  <c r="K1256" i="2" l="1"/>
  <c r="L1255" i="2"/>
  <c r="J1255" i="2"/>
  <c r="I1255" i="2"/>
  <c r="H1255" i="2"/>
  <c r="G1255" i="2"/>
  <c r="F1255" i="2"/>
  <c r="E1255" i="2"/>
  <c r="D1255" i="2"/>
  <c r="C1255" i="2"/>
  <c r="B1254" i="2"/>
  <c r="A1256" i="2"/>
  <c r="K1257" i="2" a="1"/>
  <c r="L1256" i="2" a="1"/>
  <c r="J1256" i="2" a="1"/>
  <c r="I1256" i="2" a="1"/>
  <c r="H1256" i="2" a="1"/>
  <c r="G1256" i="2" a="1"/>
  <c r="F1256" i="2" a="1"/>
  <c r="E1256" i="2" a="1"/>
  <c r="D1256" i="2" a="1"/>
  <c r="C1256" i="2" a="1"/>
  <c r="B1255" i="2" a="1"/>
  <c r="K1257" i="2" l="1"/>
  <c r="L1256" i="2"/>
  <c r="J1256" i="2"/>
  <c r="I1256" i="2"/>
  <c r="H1256" i="2"/>
  <c r="G1256" i="2"/>
  <c r="F1256" i="2"/>
  <c r="E1256" i="2"/>
  <c r="D1256" i="2"/>
  <c r="C1256" i="2"/>
  <c r="B1255" i="2"/>
  <c r="A1257" i="2"/>
  <c r="K1258" i="2" a="1"/>
  <c r="L1257" i="2" a="1"/>
  <c r="J1257" i="2" a="1"/>
  <c r="I1257" i="2" a="1"/>
  <c r="H1257" i="2" a="1"/>
  <c r="G1257" i="2" a="1"/>
  <c r="F1257" i="2" a="1"/>
  <c r="E1257" i="2" a="1"/>
  <c r="D1257" i="2" a="1"/>
  <c r="C1257" i="2" a="1"/>
  <c r="B1256" i="2" a="1"/>
  <c r="K1258" i="2" l="1"/>
  <c r="L1257" i="2"/>
  <c r="J1257" i="2"/>
  <c r="I1257" i="2"/>
  <c r="H1257" i="2"/>
  <c r="G1257" i="2"/>
  <c r="F1257" i="2"/>
  <c r="E1257" i="2"/>
  <c r="D1257" i="2"/>
  <c r="C1257" i="2"/>
  <c r="B1256" i="2"/>
  <c r="A1258" i="2"/>
  <c r="K1259" i="2" a="1"/>
  <c r="L1258" i="2" a="1"/>
  <c r="J1258" i="2" a="1"/>
  <c r="I1258" i="2" a="1"/>
  <c r="H1258" i="2" a="1"/>
  <c r="G1258" i="2" a="1"/>
  <c r="F1258" i="2" a="1"/>
  <c r="E1258" i="2" a="1"/>
  <c r="D1258" i="2" a="1"/>
  <c r="C1258" i="2" a="1"/>
  <c r="B1257" i="2" a="1"/>
  <c r="K1259" i="2" l="1"/>
  <c r="L1258" i="2"/>
  <c r="J1258" i="2"/>
  <c r="I1258" i="2"/>
  <c r="H1258" i="2"/>
  <c r="G1258" i="2"/>
  <c r="F1258" i="2"/>
  <c r="E1258" i="2"/>
  <c r="D1258" i="2"/>
  <c r="C1258" i="2"/>
  <c r="B1257" i="2"/>
  <c r="A1259" i="2"/>
  <c r="K1260" i="2" a="1"/>
  <c r="L1259" i="2" a="1"/>
  <c r="J1259" i="2" a="1"/>
  <c r="I1259" i="2" a="1"/>
  <c r="H1259" i="2" a="1"/>
  <c r="G1259" i="2" a="1"/>
  <c r="F1259" i="2" a="1"/>
  <c r="E1259" i="2" a="1"/>
  <c r="D1259" i="2" a="1"/>
  <c r="C1259" i="2" a="1"/>
  <c r="B1258" i="2" a="1"/>
  <c r="K1260" i="2" l="1"/>
  <c r="L1259" i="2"/>
  <c r="J1259" i="2"/>
  <c r="I1259" i="2"/>
  <c r="H1259" i="2"/>
  <c r="G1259" i="2"/>
  <c r="F1259" i="2"/>
  <c r="E1259" i="2"/>
  <c r="D1259" i="2"/>
  <c r="C1259" i="2"/>
  <c r="B1258" i="2"/>
  <c r="A1260" i="2"/>
  <c r="K1261" i="2" a="1"/>
  <c r="L1260" i="2" a="1"/>
  <c r="J1260" i="2" a="1"/>
  <c r="I1260" i="2" a="1"/>
  <c r="H1260" i="2" a="1"/>
  <c r="G1260" i="2" a="1"/>
  <c r="F1260" i="2" a="1"/>
  <c r="E1260" i="2" a="1"/>
  <c r="D1260" i="2" a="1"/>
  <c r="C1260" i="2" a="1"/>
  <c r="B1259" i="2" a="1"/>
  <c r="K1261" i="2" l="1"/>
  <c r="L1260" i="2"/>
  <c r="J1260" i="2"/>
  <c r="I1260" i="2"/>
  <c r="H1260" i="2"/>
  <c r="G1260" i="2"/>
  <c r="F1260" i="2"/>
  <c r="E1260" i="2"/>
  <c r="D1260" i="2"/>
  <c r="C1260" i="2"/>
  <c r="B1259" i="2"/>
  <c r="A1261" i="2"/>
  <c r="K1262" i="2" a="1"/>
  <c r="L1261" i="2" a="1"/>
  <c r="J1261" i="2" a="1"/>
  <c r="I1261" i="2" a="1"/>
  <c r="H1261" i="2" a="1"/>
  <c r="G1261" i="2" a="1"/>
  <c r="F1261" i="2" a="1"/>
  <c r="E1261" i="2" a="1"/>
  <c r="D1261" i="2" a="1"/>
  <c r="C1261" i="2" a="1"/>
  <c r="B1260" i="2" a="1"/>
  <c r="K1262" i="2" l="1"/>
  <c r="L1261" i="2"/>
  <c r="J1261" i="2"/>
  <c r="I1261" i="2"/>
  <c r="H1261" i="2"/>
  <c r="G1261" i="2"/>
  <c r="F1261" i="2"/>
  <c r="E1261" i="2"/>
  <c r="D1261" i="2"/>
  <c r="C1261" i="2"/>
  <c r="B1260" i="2"/>
  <c r="A1262" i="2"/>
  <c r="K1263" i="2" a="1"/>
  <c r="L1262" i="2" a="1"/>
  <c r="J1262" i="2" a="1"/>
  <c r="I1262" i="2" a="1"/>
  <c r="H1262" i="2" a="1"/>
  <c r="G1262" i="2" a="1"/>
  <c r="F1262" i="2" a="1"/>
  <c r="E1262" i="2" a="1"/>
  <c r="D1262" i="2" a="1"/>
  <c r="C1262" i="2" a="1"/>
  <c r="B1261" i="2" a="1"/>
  <c r="K1263" i="2" l="1"/>
  <c r="L1262" i="2"/>
  <c r="J1262" i="2"/>
  <c r="I1262" i="2"/>
  <c r="H1262" i="2"/>
  <c r="G1262" i="2"/>
  <c r="F1262" i="2"/>
  <c r="E1262" i="2"/>
  <c r="D1262" i="2"/>
  <c r="C1262" i="2"/>
  <c r="B1261" i="2"/>
  <c r="A1263" i="2"/>
  <c r="K1264" i="2" a="1"/>
  <c r="L1263" i="2" a="1"/>
  <c r="J1263" i="2" a="1"/>
  <c r="I1263" i="2" a="1"/>
  <c r="H1263" i="2" a="1"/>
  <c r="G1263" i="2" a="1"/>
  <c r="F1263" i="2" a="1"/>
  <c r="E1263" i="2" a="1"/>
  <c r="D1263" i="2" a="1"/>
  <c r="C1263" i="2" a="1"/>
  <c r="B1262" i="2" a="1"/>
  <c r="K1264" i="2" l="1"/>
  <c r="L1263" i="2"/>
  <c r="J1263" i="2"/>
  <c r="I1263" i="2"/>
  <c r="H1263" i="2"/>
  <c r="G1263" i="2"/>
  <c r="F1263" i="2"/>
  <c r="E1263" i="2"/>
  <c r="D1263" i="2"/>
  <c r="C1263" i="2"/>
  <c r="B1262" i="2"/>
  <c r="A1264" i="2"/>
  <c r="K1265" i="2" a="1"/>
  <c r="L1264" i="2" a="1"/>
  <c r="J1264" i="2" a="1"/>
  <c r="I1264" i="2" a="1"/>
  <c r="H1264" i="2" a="1"/>
  <c r="G1264" i="2" a="1"/>
  <c r="F1264" i="2" a="1"/>
  <c r="E1264" i="2" a="1"/>
  <c r="D1264" i="2" a="1"/>
  <c r="C1264" i="2" a="1"/>
  <c r="B1263" i="2" a="1"/>
  <c r="K1265" i="2" l="1"/>
  <c r="L1264" i="2"/>
  <c r="J1264" i="2"/>
  <c r="I1264" i="2"/>
  <c r="H1264" i="2"/>
  <c r="G1264" i="2"/>
  <c r="F1264" i="2"/>
  <c r="E1264" i="2"/>
  <c r="D1264" i="2"/>
  <c r="C1264" i="2"/>
  <c r="B1263" i="2"/>
  <c r="A1265" i="2"/>
  <c r="K1266" i="2" a="1"/>
  <c r="L1265" i="2" a="1"/>
  <c r="J1265" i="2" a="1"/>
  <c r="I1265" i="2" a="1"/>
  <c r="H1265" i="2" a="1"/>
  <c r="G1265" i="2" a="1"/>
  <c r="F1265" i="2" a="1"/>
  <c r="E1265" i="2" a="1"/>
  <c r="D1265" i="2" a="1"/>
  <c r="C1265" i="2" a="1"/>
  <c r="B1264" i="2" a="1"/>
  <c r="K1266" i="2" l="1"/>
  <c r="L1265" i="2"/>
  <c r="J1265" i="2"/>
  <c r="I1265" i="2"/>
  <c r="H1265" i="2"/>
  <c r="G1265" i="2"/>
  <c r="F1265" i="2"/>
  <c r="E1265" i="2"/>
  <c r="D1265" i="2"/>
  <c r="C1265" i="2"/>
  <c r="B1264" i="2"/>
  <c r="A1266" i="2"/>
  <c r="K1267" i="2" a="1"/>
  <c r="L1266" i="2" a="1"/>
  <c r="J1266" i="2" a="1"/>
  <c r="I1266" i="2" a="1"/>
  <c r="H1266" i="2" a="1"/>
  <c r="G1266" i="2" a="1"/>
  <c r="F1266" i="2" a="1"/>
  <c r="E1266" i="2" a="1"/>
  <c r="D1266" i="2" a="1"/>
  <c r="C1266" i="2" a="1"/>
  <c r="B1265" i="2" a="1"/>
  <c r="K1267" i="2" l="1"/>
  <c r="L1266" i="2"/>
  <c r="J1266" i="2"/>
  <c r="I1266" i="2"/>
  <c r="H1266" i="2"/>
  <c r="G1266" i="2"/>
  <c r="F1266" i="2"/>
  <c r="E1266" i="2"/>
  <c r="D1266" i="2"/>
  <c r="C1266" i="2"/>
  <c r="B1265" i="2"/>
  <c r="A1267" i="2"/>
  <c r="K1268" i="2" a="1"/>
  <c r="L1267" i="2" a="1"/>
  <c r="J1267" i="2" a="1"/>
  <c r="I1267" i="2" a="1"/>
  <c r="H1267" i="2" a="1"/>
  <c r="G1267" i="2" a="1"/>
  <c r="F1267" i="2" a="1"/>
  <c r="E1267" i="2" a="1"/>
  <c r="D1267" i="2" a="1"/>
  <c r="C1267" i="2" a="1"/>
  <c r="B1266" i="2" a="1"/>
  <c r="K1268" i="2" l="1"/>
  <c r="L1267" i="2"/>
  <c r="J1267" i="2"/>
  <c r="I1267" i="2"/>
  <c r="H1267" i="2"/>
  <c r="G1267" i="2"/>
  <c r="F1267" i="2"/>
  <c r="E1267" i="2"/>
  <c r="D1267" i="2"/>
  <c r="C1267" i="2"/>
  <c r="B1266" i="2"/>
  <c r="A1268" i="2"/>
  <c r="K1269" i="2" a="1"/>
  <c r="L1268" i="2" a="1"/>
  <c r="J1268" i="2" a="1"/>
  <c r="I1268" i="2" a="1"/>
  <c r="H1268" i="2" a="1"/>
  <c r="G1268" i="2" a="1"/>
  <c r="F1268" i="2" a="1"/>
  <c r="E1268" i="2" a="1"/>
  <c r="D1268" i="2" a="1"/>
  <c r="C1268" i="2" a="1"/>
  <c r="B1267" i="2" a="1"/>
  <c r="K1269" i="2" l="1"/>
  <c r="L1268" i="2"/>
  <c r="J1268" i="2"/>
  <c r="I1268" i="2"/>
  <c r="H1268" i="2"/>
  <c r="G1268" i="2"/>
  <c r="F1268" i="2"/>
  <c r="E1268" i="2"/>
  <c r="D1268" i="2"/>
  <c r="C1268" i="2"/>
  <c r="B1267" i="2"/>
  <c r="A1269" i="2"/>
  <c r="K1270" i="2" a="1"/>
  <c r="L1269" i="2" a="1"/>
  <c r="J1269" i="2" a="1"/>
  <c r="I1269" i="2" a="1"/>
  <c r="H1269" i="2" a="1"/>
  <c r="G1269" i="2" a="1"/>
  <c r="F1269" i="2" a="1"/>
  <c r="E1269" i="2" a="1"/>
  <c r="D1269" i="2" a="1"/>
  <c r="C1269" i="2" a="1"/>
  <c r="B1268" i="2" a="1"/>
  <c r="K1270" i="2" l="1"/>
  <c r="L1269" i="2"/>
  <c r="J1269" i="2"/>
  <c r="I1269" i="2"/>
  <c r="H1269" i="2"/>
  <c r="G1269" i="2"/>
  <c r="F1269" i="2"/>
  <c r="E1269" i="2"/>
  <c r="D1269" i="2"/>
  <c r="C1269" i="2"/>
  <c r="B1268" i="2"/>
  <c r="A1270" i="2"/>
  <c r="K1271" i="2" a="1"/>
  <c r="L1270" i="2" a="1"/>
  <c r="J1270" i="2" a="1"/>
  <c r="I1270" i="2" a="1"/>
  <c r="H1270" i="2" a="1"/>
  <c r="G1270" i="2" a="1"/>
  <c r="F1270" i="2" a="1"/>
  <c r="E1270" i="2" a="1"/>
  <c r="D1270" i="2" a="1"/>
  <c r="C1270" i="2" a="1"/>
  <c r="B1269" i="2" a="1"/>
  <c r="K1271" i="2" l="1"/>
  <c r="L1270" i="2"/>
  <c r="J1270" i="2"/>
  <c r="I1270" i="2"/>
  <c r="H1270" i="2"/>
  <c r="G1270" i="2"/>
  <c r="F1270" i="2"/>
  <c r="E1270" i="2"/>
  <c r="D1270" i="2"/>
  <c r="C1270" i="2"/>
  <c r="B1269" i="2"/>
  <c r="A1271" i="2"/>
  <c r="K1272" i="2" a="1"/>
  <c r="L1271" i="2" a="1"/>
  <c r="J1271" i="2" a="1"/>
  <c r="I1271" i="2" a="1"/>
  <c r="H1271" i="2" a="1"/>
  <c r="G1271" i="2" a="1"/>
  <c r="F1271" i="2" a="1"/>
  <c r="E1271" i="2" a="1"/>
  <c r="D1271" i="2" a="1"/>
  <c r="C1271" i="2" a="1"/>
  <c r="B1270" i="2" a="1"/>
  <c r="K1272" i="2" l="1"/>
  <c r="L1271" i="2"/>
  <c r="J1271" i="2"/>
  <c r="I1271" i="2"/>
  <c r="H1271" i="2"/>
  <c r="G1271" i="2"/>
  <c r="F1271" i="2"/>
  <c r="E1271" i="2"/>
  <c r="D1271" i="2"/>
  <c r="C1271" i="2"/>
  <c r="B1270" i="2"/>
  <c r="A1272" i="2"/>
  <c r="K1273" i="2" a="1"/>
  <c r="L1272" i="2" a="1"/>
  <c r="J1272" i="2" a="1"/>
  <c r="I1272" i="2" a="1"/>
  <c r="H1272" i="2" a="1"/>
  <c r="G1272" i="2" a="1"/>
  <c r="F1272" i="2" a="1"/>
  <c r="E1272" i="2" a="1"/>
  <c r="D1272" i="2" a="1"/>
  <c r="C1272" i="2" a="1"/>
  <c r="B1271" i="2" a="1"/>
  <c r="K1273" i="2" l="1"/>
  <c r="L1272" i="2"/>
  <c r="J1272" i="2"/>
  <c r="I1272" i="2"/>
  <c r="H1272" i="2"/>
  <c r="G1272" i="2"/>
  <c r="F1272" i="2"/>
  <c r="E1272" i="2"/>
  <c r="D1272" i="2"/>
  <c r="C1272" i="2"/>
  <c r="B1271" i="2"/>
  <c r="A1273" i="2"/>
  <c r="K1274" i="2" a="1"/>
  <c r="L1273" i="2" a="1"/>
  <c r="J1273" i="2" a="1"/>
  <c r="I1273" i="2" a="1"/>
  <c r="H1273" i="2" a="1"/>
  <c r="G1273" i="2" a="1"/>
  <c r="F1273" i="2" a="1"/>
  <c r="E1273" i="2" a="1"/>
  <c r="D1273" i="2" a="1"/>
  <c r="C1273" i="2" a="1"/>
  <c r="B1272" i="2" a="1"/>
  <c r="K1274" i="2" l="1"/>
  <c r="L1273" i="2"/>
  <c r="J1273" i="2"/>
  <c r="I1273" i="2"/>
  <c r="H1273" i="2"/>
  <c r="G1273" i="2"/>
  <c r="F1273" i="2"/>
  <c r="E1273" i="2"/>
  <c r="D1273" i="2"/>
  <c r="C1273" i="2"/>
  <c r="B1272" i="2"/>
  <c r="A1274" i="2"/>
  <c r="K1275" i="2" a="1"/>
  <c r="L1274" i="2" a="1"/>
  <c r="J1274" i="2" a="1"/>
  <c r="I1274" i="2" a="1"/>
  <c r="H1274" i="2" a="1"/>
  <c r="G1274" i="2" a="1"/>
  <c r="F1274" i="2" a="1"/>
  <c r="E1274" i="2" a="1"/>
  <c r="D1274" i="2" a="1"/>
  <c r="C1274" i="2" a="1"/>
  <c r="B1273" i="2" a="1"/>
  <c r="K1275" i="2" l="1"/>
  <c r="L1274" i="2"/>
  <c r="J1274" i="2"/>
  <c r="I1274" i="2"/>
  <c r="H1274" i="2"/>
  <c r="G1274" i="2"/>
  <c r="F1274" i="2"/>
  <c r="E1274" i="2"/>
  <c r="D1274" i="2"/>
  <c r="C1274" i="2"/>
  <c r="B1273" i="2"/>
  <c r="A1275" i="2"/>
  <c r="K1276" i="2" a="1"/>
  <c r="L1275" i="2" a="1"/>
  <c r="J1275" i="2" a="1"/>
  <c r="I1275" i="2" a="1"/>
  <c r="H1275" i="2" a="1"/>
  <c r="G1275" i="2" a="1"/>
  <c r="F1275" i="2" a="1"/>
  <c r="E1275" i="2" a="1"/>
  <c r="D1275" i="2" a="1"/>
  <c r="C1275" i="2" a="1"/>
  <c r="B1274" i="2" a="1"/>
  <c r="K1276" i="2" l="1"/>
  <c r="L1275" i="2"/>
  <c r="J1275" i="2"/>
  <c r="I1275" i="2"/>
  <c r="H1275" i="2"/>
  <c r="G1275" i="2"/>
  <c r="F1275" i="2"/>
  <c r="E1275" i="2"/>
  <c r="D1275" i="2"/>
  <c r="C1275" i="2"/>
  <c r="B1274" i="2"/>
  <c r="A1276" i="2"/>
  <c r="K1277" i="2" a="1"/>
  <c r="L1276" i="2" a="1"/>
  <c r="J1276" i="2" a="1"/>
  <c r="I1276" i="2" a="1"/>
  <c r="H1276" i="2" a="1"/>
  <c r="G1276" i="2" a="1"/>
  <c r="F1276" i="2" a="1"/>
  <c r="E1276" i="2" a="1"/>
  <c r="D1276" i="2" a="1"/>
  <c r="C1276" i="2" a="1"/>
  <c r="B1275" i="2" a="1"/>
  <c r="K1277" i="2" l="1"/>
  <c r="L1276" i="2"/>
  <c r="J1276" i="2"/>
  <c r="I1276" i="2"/>
  <c r="H1276" i="2"/>
  <c r="G1276" i="2"/>
  <c r="F1276" i="2"/>
  <c r="E1276" i="2"/>
  <c r="D1276" i="2"/>
  <c r="C1276" i="2"/>
  <c r="B1275" i="2"/>
  <c r="A1277" i="2"/>
  <c r="K1278" i="2" a="1"/>
  <c r="L1277" i="2" a="1"/>
  <c r="J1277" i="2" a="1"/>
  <c r="I1277" i="2" a="1"/>
  <c r="H1277" i="2" a="1"/>
  <c r="G1277" i="2" a="1"/>
  <c r="F1277" i="2" a="1"/>
  <c r="E1277" i="2" a="1"/>
  <c r="D1277" i="2" a="1"/>
  <c r="C1277" i="2" a="1"/>
  <c r="B1276" i="2" a="1"/>
  <c r="K1278" i="2" l="1"/>
  <c r="L1277" i="2"/>
  <c r="J1277" i="2"/>
  <c r="I1277" i="2"/>
  <c r="H1277" i="2"/>
  <c r="G1277" i="2"/>
  <c r="F1277" i="2"/>
  <c r="E1277" i="2"/>
  <c r="D1277" i="2"/>
  <c r="C1277" i="2"/>
  <c r="B1276" i="2"/>
  <c r="A1278" i="2"/>
  <c r="K1279" i="2" a="1"/>
  <c r="L1278" i="2" a="1"/>
  <c r="J1278" i="2" a="1"/>
  <c r="I1278" i="2" a="1"/>
  <c r="H1278" i="2" a="1"/>
  <c r="G1278" i="2" a="1"/>
  <c r="F1278" i="2" a="1"/>
  <c r="E1278" i="2" a="1"/>
  <c r="D1278" i="2" a="1"/>
  <c r="C1278" i="2" a="1"/>
  <c r="B1277" i="2" a="1"/>
  <c r="K1279" i="2" l="1"/>
  <c r="L1278" i="2"/>
  <c r="J1278" i="2"/>
  <c r="I1278" i="2"/>
  <c r="H1278" i="2"/>
  <c r="G1278" i="2"/>
  <c r="F1278" i="2"/>
  <c r="E1278" i="2"/>
  <c r="D1278" i="2"/>
  <c r="C1278" i="2"/>
  <c r="B1277" i="2"/>
  <c r="A1279" i="2"/>
  <c r="K1280" i="2" a="1"/>
  <c r="L1279" i="2" a="1"/>
  <c r="J1279" i="2" a="1"/>
  <c r="I1279" i="2" a="1"/>
  <c r="H1279" i="2" a="1"/>
  <c r="G1279" i="2" a="1"/>
  <c r="F1279" i="2" a="1"/>
  <c r="E1279" i="2" a="1"/>
  <c r="D1279" i="2" a="1"/>
  <c r="C1279" i="2" a="1"/>
  <c r="B1278" i="2" a="1"/>
  <c r="K1280" i="2" l="1"/>
  <c r="L1279" i="2"/>
  <c r="J1279" i="2"/>
  <c r="I1279" i="2"/>
  <c r="H1279" i="2"/>
  <c r="G1279" i="2"/>
  <c r="F1279" i="2"/>
  <c r="E1279" i="2"/>
  <c r="D1279" i="2"/>
  <c r="C1279" i="2"/>
  <c r="B1278" i="2"/>
  <c r="A1280" i="2"/>
  <c r="K1281" i="2" a="1"/>
  <c r="L1280" i="2" a="1"/>
  <c r="J1280" i="2" a="1"/>
  <c r="I1280" i="2" a="1"/>
  <c r="H1280" i="2" a="1"/>
  <c r="G1280" i="2" a="1"/>
  <c r="F1280" i="2" a="1"/>
  <c r="E1280" i="2" a="1"/>
  <c r="D1280" i="2" a="1"/>
  <c r="C1280" i="2" a="1"/>
  <c r="B1279" i="2" a="1"/>
  <c r="K1281" i="2" l="1"/>
  <c r="L1280" i="2"/>
  <c r="J1280" i="2"/>
  <c r="I1280" i="2"/>
  <c r="H1280" i="2"/>
  <c r="G1280" i="2"/>
  <c r="F1280" i="2"/>
  <c r="E1280" i="2"/>
  <c r="D1280" i="2"/>
  <c r="C1280" i="2"/>
  <c r="B1279" i="2"/>
  <c r="A1281" i="2"/>
  <c r="K1282" i="2" a="1"/>
  <c r="L1281" i="2" a="1"/>
  <c r="J1281" i="2" a="1"/>
  <c r="I1281" i="2" a="1"/>
  <c r="H1281" i="2" a="1"/>
  <c r="G1281" i="2" a="1"/>
  <c r="F1281" i="2" a="1"/>
  <c r="E1281" i="2" a="1"/>
  <c r="D1281" i="2" a="1"/>
  <c r="C1281" i="2" a="1"/>
  <c r="B1280" i="2" a="1"/>
  <c r="K1282" i="2" l="1"/>
  <c r="L1281" i="2"/>
  <c r="J1281" i="2"/>
  <c r="I1281" i="2"/>
  <c r="H1281" i="2"/>
  <c r="G1281" i="2"/>
  <c r="F1281" i="2"/>
  <c r="E1281" i="2"/>
  <c r="D1281" i="2"/>
  <c r="C1281" i="2"/>
  <c r="B1280" i="2"/>
  <c r="A1282" i="2"/>
  <c r="K1283" i="2" a="1"/>
  <c r="L1282" i="2" a="1"/>
  <c r="J1282" i="2" a="1"/>
  <c r="I1282" i="2" a="1"/>
  <c r="H1282" i="2" a="1"/>
  <c r="G1282" i="2" a="1"/>
  <c r="F1282" i="2" a="1"/>
  <c r="E1282" i="2" a="1"/>
  <c r="D1282" i="2" a="1"/>
  <c r="C1282" i="2" a="1"/>
  <c r="B1281" i="2" a="1"/>
  <c r="K1283" i="2" l="1"/>
  <c r="L1282" i="2"/>
  <c r="J1282" i="2"/>
  <c r="I1282" i="2"/>
  <c r="H1282" i="2"/>
  <c r="G1282" i="2"/>
  <c r="F1282" i="2"/>
  <c r="E1282" i="2"/>
  <c r="D1282" i="2"/>
  <c r="C1282" i="2"/>
  <c r="B1281" i="2"/>
  <c r="A1283" i="2"/>
  <c r="K1284" i="2" a="1"/>
  <c r="L1283" i="2" a="1"/>
  <c r="J1283" i="2" a="1"/>
  <c r="I1283" i="2" a="1"/>
  <c r="H1283" i="2" a="1"/>
  <c r="G1283" i="2" a="1"/>
  <c r="F1283" i="2" a="1"/>
  <c r="E1283" i="2" a="1"/>
  <c r="D1283" i="2" a="1"/>
  <c r="C1283" i="2" a="1"/>
  <c r="B1282" i="2" a="1"/>
  <c r="K1284" i="2" l="1"/>
  <c r="L1283" i="2"/>
  <c r="J1283" i="2"/>
  <c r="I1283" i="2"/>
  <c r="H1283" i="2"/>
  <c r="G1283" i="2"/>
  <c r="F1283" i="2"/>
  <c r="E1283" i="2"/>
  <c r="D1283" i="2"/>
  <c r="C1283" i="2"/>
  <c r="B1282" i="2"/>
  <c r="A1284" i="2"/>
  <c r="K1285" i="2" a="1"/>
  <c r="L1284" i="2" a="1"/>
  <c r="J1284" i="2" a="1"/>
  <c r="I1284" i="2" a="1"/>
  <c r="H1284" i="2" a="1"/>
  <c r="G1284" i="2" a="1"/>
  <c r="F1284" i="2" a="1"/>
  <c r="E1284" i="2" a="1"/>
  <c r="D1284" i="2" a="1"/>
  <c r="C1284" i="2" a="1"/>
  <c r="B1283" i="2" a="1"/>
  <c r="K1285" i="2" l="1"/>
  <c r="L1284" i="2"/>
  <c r="J1284" i="2"/>
  <c r="I1284" i="2"/>
  <c r="H1284" i="2"/>
  <c r="G1284" i="2"/>
  <c r="F1284" i="2"/>
  <c r="E1284" i="2"/>
  <c r="D1284" i="2"/>
  <c r="C1284" i="2"/>
  <c r="B1283" i="2"/>
  <c r="A1285" i="2"/>
  <c r="K1286" i="2" a="1"/>
  <c r="L1285" i="2" a="1"/>
  <c r="J1285" i="2" a="1"/>
  <c r="I1285" i="2" a="1"/>
  <c r="H1285" i="2" a="1"/>
  <c r="G1285" i="2" a="1"/>
  <c r="F1285" i="2" a="1"/>
  <c r="E1285" i="2" a="1"/>
  <c r="D1285" i="2" a="1"/>
  <c r="C1285" i="2" a="1"/>
  <c r="B1284" i="2" a="1"/>
  <c r="K1286" i="2" l="1"/>
  <c r="L1285" i="2"/>
  <c r="J1285" i="2"/>
  <c r="I1285" i="2"/>
  <c r="H1285" i="2"/>
  <c r="G1285" i="2"/>
  <c r="F1285" i="2"/>
  <c r="E1285" i="2"/>
  <c r="D1285" i="2"/>
  <c r="C1285" i="2"/>
  <c r="B1284" i="2"/>
  <c r="A1286" i="2"/>
  <c r="K1287" i="2" a="1"/>
  <c r="L1286" i="2" a="1"/>
  <c r="J1286" i="2" a="1"/>
  <c r="I1286" i="2" a="1"/>
  <c r="H1286" i="2" a="1"/>
  <c r="G1286" i="2" a="1"/>
  <c r="F1286" i="2" a="1"/>
  <c r="E1286" i="2" a="1"/>
  <c r="D1286" i="2" a="1"/>
  <c r="C1286" i="2" a="1"/>
  <c r="B1285" i="2" a="1"/>
  <c r="K1287" i="2" l="1"/>
  <c r="L1286" i="2"/>
  <c r="J1286" i="2"/>
  <c r="I1286" i="2"/>
  <c r="H1286" i="2"/>
  <c r="G1286" i="2"/>
  <c r="F1286" i="2"/>
  <c r="E1286" i="2"/>
  <c r="D1286" i="2"/>
  <c r="C1286" i="2"/>
  <c r="B1285" i="2"/>
  <c r="A1287" i="2"/>
  <c r="K1288" i="2" a="1"/>
  <c r="L1287" i="2" a="1"/>
  <c r="J1287" i="2" a="1"/>
  <c r="I1287" i="2" a="1"/>
  <c r="H1287" i="2" a="1"/>
  <c r="G1287" i="2" a="1"/>
  <c r="F1287" i="2" a="1"/>
  <c r="E1287" i="2" a="1"/>
  <c r="D1287" i="2" a="1"/>
  <c r="C1287" i="2" a="1"/>
  <c r="B1286" i="2" a="1"/>
  <c r="K1288" i="2" l="1"/>
  <c r="L1287" i="2"/>
  <c r="J1287" i="2"/>
  <c r="I1287" i="2"/>
  <c r="H1287" i="2"/>
  <c r="G1287" i="2"/>
  <c r="F1287" i="2"/>
  <c r="E1287" i="2"/>
  <c r="D1287" i="2"/>
  <c r="C1287" i="2"/>
  <c r="B1286" i="2"/>
  <c r="A1288" i="2"/>
  <c r="K1289" i="2" a="1"/>
  <c r="L1288" i="2" a="1"/>
  <c r="J1288" i="2" a="1"/>
  <c r="I1288" i="2" a="1"/>
  <c r="H1288" i="2" a="1"/>
  <c r="G1288" i="2" a="1"/>
  <c r="F1288" i="2" a="1"/>
  <c r="E1288" i="2" a="1"/>
  <c r="D1288" i="2" a="1"/>
  <c r="C1288" i="2" a="1"/>
  <c r="B1287" i="2" a="1"/>
  <c r="K1289" i="2" l="1"/>
  <c r="L1288" i="2"/>
  <c r="J1288" i="2"/>
  <c r="I1288" i="2"/>
  <c r="H1288" i="2"/>
  <c r="G1288" i="2"/>
  <c r="F1288" i="2"/>
  <c r="E1288" i="2"/>
  <c r="D1288" i="2"/>
  <c r="C1288" i="2"/>
  <c r="B1287" i="2"/>
  <c r="A1289" i="2"/>
  <c r="K1290" i="2" a="1"/>
  <c r="L1289" i="2" a="1"/>
  <c r="J1289" i="2" a="1"/>
  <c r="I1289" i="2" a="1"/>
  <c r="H1289" i="2" a="1"/>
  <c r="G1289" i="2" a="1"/>
  <c r="F1289" i="2" a="1"/>
  <c r="E1289" i="2" a="1"/>
  <c r="D1289" i="2" a="1"/>
  <c r="C1289" i="2" a="1"/>
  <c r="B1288" i="2" a="1"/>
  <c r="K1290" i="2" l="1"/>
  <c r="L1289" i="2"/>
  <c r="J1289" i="2"/>
  <c r="I1289" i="2"/>
  <c r="H1289" i="2"/>
  <c r="G1289" i="2"/>
  <c r="F1289" i="2"/>
  <c r="E1289" i="2"/>
  <c r="D1289" i="2"/>
  <c r="C1289" i="2"/>
  <c r="B1288" i="2"/>
  <c r="A1290" i="2"/>
  <c r="K1291" i="2" a="1"/>
  <c r="L1290" i="2" a="1"/>
  <c r="J1290" i="2" a="1"/>
  <c r="I1290" i="2" a="1"/>
  <c r="H1290" i="2" a="1"/>
  <c r="G1290" i="2" a="1"/>
  <c r="F1290" i="2" a="1"/>
  <c r="E1290" i="2" a="1"/>
  <c r="D1290" i="2" a="1"/>
  <c r="C1290" i="2" a="1"/>
  <c r="B1289" i="2" a="1"/>
  <c r="K1291" i="2" l="1"/>
  <c r="L1290" i="2"/>
  <c r="J1290" i="2"/>
  <c r="I1290" i="2"/>
  <c r="H1290" i="2"/>
  <c r="G1290" i="2"/>
  <c r="F1290" i="2"/>
  <c r="E1290" i="2"/>
  <c r="D1290" i="2"/>
  <c r="C1290" i="2"/>
  <c r="B1289" i="2"/>
  <c r="A1291" i="2"/>
  <c r="K1292" i="2" a="1"/>
  <c r="L1291" i="2" a="1"/>
  <c r="J1291" i="2" a="1"/>
  <c r="I1291" i="2" a="1"/>
  <c r="H1291" i="2" a="1"/>
  <c r="G1291" i="2" a="1"/>
  <c r="F1291" i="2" a="1"/>
  <c r="E1291" i="2" a="1"/>
  <c r="D1291" i="2" a="1"/>
  <c r="C1291" i="2" a="1"/>
  <c r="B1290" i="2" a="1"/>
  <c r="K1292" i="2" l="1"/>
  <c r="L1291" i="2"/>
  <c r="J1291" i="2"/>
  <c r="I1291" i="2"/>
  <c r="H1291" i="2"/>
  <c r="G1291" i="2"/>
  <c r="F1291" i="2"/>
  <c r="E1291" i="2"/>
  <c r="D1291" i="2"/>
  <c r="C1291" i="2"/>
  <c r="B1290" i="2"/>
  <c r="A1292" i="2"/>
  <c r="K1293" i="2" a="1"/>
  <c r="L1292" i="2" a="1"/>
  <c r="J1292" i="2" a="1"/>
  <c r="I1292" i="2" a="1"/>
  <c r="H1292" i="2" a="1"/>
  <c r="G1292" i="2" a="1"/>
  <c r="F1292" i="2" a="1"/>
  <c r="E1292" i="2" a="1"/>
  <c r="D1292" i="2" a="1"/>
  <c r="C1292" i="2" a="1"/>
  <c r="B1291" i="2" a="1"/>
  <c r="K1293" i="2" l="1"/>
  <c r="L1292" i="2"/>
  <c r="J1292" i="2"/>
  <c r="I1292" i="2"/>
  <c r="H1292" i="2"/>
  <c r="G1292" i="2"/>
  <c r="F1292" i="2"/>
  <c r="E1292" i="2"/>
  <c r="D1292" i="2"/>
  <c r="C1292" i="2"/>
  <c r="B1291" i="2"/>
  <c r="A1293" i="2"/>
  <c r="K1294" i="2" a="1"/>
  <c r="L1293" i="2" a="1"/>
  <c r="J1293" i="2" a="1"/>
  <c r="I1293" i="2" a="1"/>
  <c r="H1293" i="2" a="1"/>
  <c r="G1293" i="2" a="1"/>
  <c r="F1293" i="2" a="1"/>
  <c r="E1293" i="2" a="1"/>
  <c r="D1293" i="2" a="1"/>
  <c r="C1293" i="2" a="1"/>
  <c r="B1292" i="2" a="1"/>
  <c r="K1294" i="2" l="1"/>
  <c r="L1293" i="2"/>
  <c r="J1293" i="2"/>
  <c r="I1293" i="2"/>
  <c r="H1293" i="2"/>
  <c r="G1293" i="2"/>
  <c r="F1293" i="2"/>
  <c r="E1293" i="2"/>
  <c r="D1293" i="2"/>
  <c r="C1293" i="2"/>
  <c r="B1292" i="2"/>
  <c r="A1294" i="2"/>
  <c r="K1295" i="2" a="1"/>
  <c r="L1294" i="2" a="1"/>
  <c r="J1294" i="2" a="1"/>
  <c r="I1294" i="2" a="1"/>
  <c r="H1294" i="2" a="1"/>
  <c r="G1294" i="2" a="1"/>
  <c r="F1294" i="2" a="1"/>
  <c r="E1294" i="2" a="1"/>
  <c r="D1294" i="2" a="1"/>
  <c r="C1294" i="2" a="1"/>
  <c r="B1293" i="2" a="1"/>
  <c r="K1295" i="2" l="1"/>
  <c r="L1294" i="2"/>
  <c r="J1294" i="2"/>
  <c r="I1294" i="2"/>
  <c r="H1294" i="2"/>
  <c r="G1294" i="2"/>
  <c r="F1294" i="2"/>
  <c r="E1294" i="2"/>
  <c r="D1294" i="2"/>
  <c r="C1294" i="2"/>
  <c r="B1293" i="2"/>
  <c r="A1295" i="2"/>
  <c r="K1296" i="2" a="1"/>
  <c r="L1295" i="2" a="1"/>
  <c r="J1295" i="2" a="1"/>
  <c r="I1295" i="2" a="1"/>
  <c r="H1295" i="2" a="1"/>
  <c r="G1295" i="2" a="1"/>
  <c r="F1295" i="2" a="1"/>
  <c r="E1295" i="2" a="1"/>
  <c r="D1295" i="2" a="1"/>
  <c r="C1295" i="2" a="1"/>
  <c r="B1294" i="2" a="1"/>
  <c r="K1296" i="2" l="1"/>
  <c r="L1295" i="2"/>
  <c r="J1295" i="2"/>
  <c r="I1295" i="2"/>
  <c r="H1295" i="2"/>
  <c r="G1295" i="2"/>
  <c r="F1295" i="2"/>
  <c r="E1295" i="2"/>
  <c r="D1295" i="2"/>
  <c r="C1295" i="2"/>
  <c r="B1294" i="2"/>
  <c r="A1296" i="2"/>
  <c r="K1297" i="2" a="1"/>
  <c r="L1296" i="2" a="1"/>
  <c r="J1296" i="2" a="1"/>
  <c r="I1296" i="2" a="1"/>
  <c r="H1296" i="2" a="1"/>
  <c r="G1296" i="2" a="1"/>
  <c r="F1296" i="2" a="1"/>
  <c r="E1296" i="2" a="1"/>
  <c r="D1296" i="2" a="1"/>
  <c r="C1296" i="2" a="1"/>
  <c r="B1295" i="2" a="1"/>
  <c r="K1297" i="2" l="1"/>
  <c r="L1296" i="2"/>
  <c r="J1296" i="2"/>
  <c r="I1296" i="2"/>
  <c r="H1296" i="2"/>
  <c r="G1296" i="2"/>
  <c r="F1296" i="2"/>
  <c r="E1296" i="2"/>
  <c r="D1296" i="2"/>
  <c r="C1296" i="2"/>
  <c r="B1295" i="2"/>
  <c r="A1297" i="2"/>
  <c r="K1298" i="2" a="1"/>
  <c r="L1297" i="2" a="1"/>
  <c r="J1297" i="2" a="1"/>
  <c r="I1297" i="2" a="1"/>
  <c r="H1297" i="2" a="1"/>
  <c r="G1297" i="2" a="1"/>
  <c r="F1297" i="2" a="1"/>
  <c r="E1297" i="2" a="1"/>
  <c r="D1297" i="2" a="1"/>
  <c r="C1297" i="2" a="1"/>
  <c r="B1296" i="2" a="1"/>
  <c r="K1298" i="2" l="1"/>
  <c r="L1297" i="2"/>
  <c r="J1297" i="2"/>
  <c r="I1297" i="2"/>
  <c r="H1297" i="2"/>
  <c r="G1297" i="2"/>
  <c r="F1297" i="2"/>
  <c r="E1297" i="2"/>
  <c r="D1297" i="2"/>
  <c r="C1297" i="2"/>
  <c r="B1296" i="2"/>
  <c r="A1298" i="2"/>
  <c r="K1299" i="2" a="1"/>
  <c r="L1298" i="2" a="1"/>
  <c r="J1298" i="2" a="1"/>
  <c r="I1298" i="2" a="1"/>
  <c r="H1298" i="2" a="1"/>
  <c r="G1298" i="2" a="1"/>
  <c r="F1298" i="2" a="1"/>
  <c r="E1298" i="2" a="1"/>
  <c r="D1298" i="2" a="1"/>
  <c r="C1298" i="2" a="1"/>
  <c r="B1297" i="2" a="1"/>
  <c r="K1299" i="2" l="1"/>
  <c r="L1298" i="2"/>
  <c r="J1298" i="2"/>
  <c r="I1298" i="2"/>
  <c r="H1298" i="2"/>
  <c r="G1298" i="2"/>
  <c r="F1298" i="2"/>
  <c r="E1298" i="2"/>
  <c r="D1298" i="2"/>
  <c r="C1298" i="2"/>
  <c r="B1297" i="2"/>
  <c r="A1299" i="2"/>
  <c r="K1300" i="2" a="1"/>
  <c r="L1299" i="2" a="1"/>
  <c r="J1299" i="2" a="1"/>
  <c r="I1299" i="2" a="1"/>
  <c r="H1299" i="2" a="1"/>
  <c r="G1299" i="2" a="1"/>
  <c r="F1299" i="2" a="1"/>
  <c r="E1299" i="2" a="1"/>
  <c r="D1299" i="2" a="1"/>
  <c r="C1299" i="2" a="1"/>
  <c r="B1298" i="2" a="1"/>
  <c r="K1300" i="2" l="1"/>
  <c r="L1299" i="2"/>
  <c r="J1299" i="2"/>
  <c r="I1299" i="2"/>
  <c r="H1299" i="2"/>
  <c r="G1299" i="2"/>
  <c r="F1299" i="2"/>
  <c r="E1299" i="2"/>
  <c r="D1299" i="2"/>
  <c r="C1299" i="2"/>
  <c r="B1298" i="2"/>
  <c r="A1300" i="2"/>
  <c r="K1301" i="2" a="1"/>
  <c r="L1300" i="2" a="1"/>
  <c r="J1300" i="2" a="1"/>
  <c r="I1300" i="2" a="1"/>
  <c r="H1300" i="2" a="1"/>
  <c r="G1300" i="2" a="1"/>
  <c r="F1300" i="2" a="1"/>
  <c r="E1300" i="2" a="1"/>
  <c r="D1300" i="2" a="1"/>
  <c r="C1300" i="2" a="1"/>
  <c r="B1299" i="2" a="1"/>
  <c r="K1301" i="2" l="1"/>
  <c r="L1300" i="2"/>
  <c r="J1300" i="2"/>
  <c r="I1300" i="2"/>
  <c r="H1300" i="2"/>
  <c r="G1300" i="2"/>
  <c r="F1300" i="2"/>
  <c r="E1300" i="2"/>
  <c r="D1300" i="2"/>
  <c r="C1300" i="2"/>
  <c r="B1299" i="2"/>
  <c r="A1301" i="2"/>
  <c r="K1302" i="2" a="1"/>
  <c r="L1301" i="2" a="1"/>
  <c r="J1301" i="2" a="1"/>
  <c r="I1301" i="2" a="1"/>
  <c r="H1301" i="2" a="1"/>
  <c r="G1301" i="2" a="1"/>
  <c r="F1301" i="2" a="1"/>
  <c r="E1301" i="2" a="1"/>
  <c r="D1301" i="2" a="1"/>
  <c r="C1301" i="2" a="1"/>
  <c r="B1300" i="2" a="1"/>
  <c r="K1302" i="2" l="1"/>
  <c r="L1301" i="2"/>
  <c r="J1301" i="2"/>
  <c r="I1301" i="2"/>
  <c r="H1301" i="2"/>
  <c r="G1301" i="2"/>
  <c r="F1301" i="2"/>
  <c r="E1301" i="2"/>
  <c r="D1301" i="2"/>
  <c r="C1301" i="2"/>
  <c r="B1300" i="2"/>
  <c r="A1302" i="2"/>
  <c r="K1303" i="2" a="1"/>
  <c r="L1302" i="2" a="1"/>
  <c r="J1302" i="2" a="1"/>
  <c r="I1302" i="2" a="1"/>
  <c r="H1302" i="2" a="1"/>
  <c r="G1302" i="2" a="1"/>
  <c r="F1302" i="2" a="1"/>
  <c r="E1302" i="2" a="1"/>
  <c r="D1302" i="2" a="1"/>
  <c r="C1302" i="2" a="1"/>
  <c r="B1301" i="2" a="1"/>
  <c r="K1303" i="2" l="1"/>
  <c r="L1302" i="2"/>
  <c r="J1302" i="2"/>
  <c r="I1302" i="2"/>
  <c r="H1302" i="2"/>
  <c r="G1302" i="2"/>
  <c r="F1302" i="2"/>
  <c r="E1302" i="2"/>
  <c r="D1302" i="2"/>
  <c r="C1302" i="2"/>
  <c r="B1301" i="2"/>
  <c r="A1303" i="2"/>
  <c r="K1304" i="2" a="1"/>
  <c r="L1303" i="2" a="1"/>
  <c r="J1303" i="2" a="1"/>
  <c r="I1303" i="2" a="1"/>
  <c r="H1303" i="2" a="1"/>
  <c r="G1303" i="2" a="1"/>
  <c r="F1303" i="2" a="1"/>
  <c r="E1303" i="2" a="1"/>
  <c r="D1303" i="2" a="1"/>
  <c r="C1303" i="2" a="1"/>
  <c r="B1302" i="2" a="1"/>
  <c r="K1304" i="2" l="1"/>
  <c r="L1303" i="2"/>
  <c r="J1303" i="2"/>
  <c r="I1303" i="2"/>
  <c r="H1303" i="2"/>
  <c r="G1303" i="2"/>
  <c r="F1303" i="2"/>
  <c r="E1303" i="2"/>
  <c r="D1303" i="2"/>
  <c r="C1303" i="2"/>
  <c r="B1302" i="2"/>
  <c r="A1304" i="2"/>
  <c r="K1305" i="2" a="1"/>
  <c r="L1304" i="2" a="1"/>
  <c r="J1304" i="2" a="1"/>
  <c r="I1304" i="2" a="1"/>
  <c r="H1304" i="2" a="1"/>
  <c r="G1304" i="2" a="1"/>
  <c r="F1304" i="2" a="1"/>
  <c r="E1304" i="2" a="1"/>
  <c r="D1304" i="2" a="1"/>
  <c r="C1304" i="2" a="1"/>
  <c r="B1303" i="2" a="1"/>
  <c r="K1305" i="2" l="1"/>
  <c r="L1304" i="2"/>
  <c r="J1304" i="2"/>
  <c r="I1304" i="2"/>
  <c r="H1304" i="2"/>
  <c r="G1304" i="2"/>
  <c r="F1304" i="2"/>
  <c r="E1304" i="2"/>
  <c r="D1304" i="2"/>
  <c r="C1304" i="2"/>
  <c r="B1303" i="2"/>
  <c r="A1305" i="2"/>
  <c r="K1306" i="2" a="1"/>
  <c r="L1305" i="2" a="1"/>
  <c r="J1305" i="2" a="1"/>
  <c r="I1305" i="2" a="1"/>
  <c r="H1305" i="2" a="1"/>
  <c r="G1305" i="2" a="1"/>
  <c r="F1305" i="2" a="1"/>
  <c r="E1305" i="2" a="1"/>
  <c r="D1305" i="2" a="1"/>
  <c r="C1305" i="2" a="1"/>
  <c r="B1304" i="2" a="1"/>
  <c r="K1306" i="2" l="1"/>
  <c r="L1305" i="2"/>
  <c r="J1305" i="2"/>
  <c r="I1305" i="2"/>
  <c r="H1305" i="2"/>
  <c r="G1305" i="2"/>
  <c r="F1305" i="2"/>
  <c r="E1305" i="2"/>
  <c r="D1305" i="2"/>
  <c r="C1305" i="2"/>
  <c r="B1304" i="2"/>
  <c r="A1306" i="2"/>
  <c r="K1307" i="2" a="1"/>
  <c r="L1306" i="2" a="1"/>
  <c r="J1306" i="2" a="1"/>
  <c r="I1306" i="2" a="1"/>
  <c r="H1306" i="2" a="1"/>
  <c r="G1306" i="2" a="1"/>
  <c r="F1306" i="2" a="1"/>
  <c r="E1306" i="2" a="1"/>
  <c r="D1306" i="2" a="1"/>
  <c r="C1306" i="2" a="1"/>
  <c r="B1305" i="2" a="1"/>
  <c r="K1307" i="2" l="1"/>
  <c r="L1306" i="2"/>
  <c r="J1306" i="2"/>
  <c r="I1306" i="2"/>
  <c r="H1306" i="2"/>
  <c r="G1306" i="2"/>
  <c r="F1306" i="2"/>
  <c r="E1306" i="2"/>
  <c r="D1306" i="2"/>
  <c r="C1306" i="2"/>
  <c r="B1305" i="2"/>
  <c r="A1307" i="2"/>
  <c r="K1308" i="2" a="1"/>
  <c r="L1307" i="2" a="1"/>
  <c r="J1307" i="2" a="1"/>
  <c r="I1307" i="2" a="1"/>
  <c r="H1307" i="2" a="1"/>
  <c r="G1307" i="2" a="1"/>
  <c r="F1307" i="2" a="1"/>
  <c r="E1307" i="2" a="1"/>
  <c r="D1307" i="2" a="1"/>
  <c r="C1307" i="2" a="1"/>
  <c r="B1306" i="2" a="1"/>
  <c r="K1308" i="2" l="1"/>
  <c r="L1307" i="2"/>
  <c r="J1307" i="2"/>
  <c r="I1307" i="2"/>
  <c r="H1307" i="2"/>
  <c r="G1307" i="2"/>
  <c r="F1307" i="2"/>
  <c r="E1307" i="2"/>
  <c r="D1307" i="2"/>
  <c r="C1307" i="2"/>
  <c r="B1306" i="2"/>
  <c r="A1308" i="2"/>
  <c r="K1309" i="2" a="1"/>
  <c r="L1308" i="2" a="1"/>
  <c r="J1308" i="2" a="1"/>
  <c r="I1308" i="2" a="1"/>
  <c r="H1308" i="2" a="1"/>
  <c r="G1308" i="2" a="1"/>
  <c r="F1308" i="2" a="1"/>
  <c r="E1308" i="2" a="1"/>
  <c r="D1308" i="2" a="1"/>
  <c r="C1308" i="2" a="1"/>
  <c r="B1307" i="2" a="1"/>
  <c r="K1309" i="2" l="1"/>
  <c r="L1308" i="2"/>
  <c r="J1308" i="2"/>
  <c r="I1308" i="2"/>
  <c r="H1308" i="2"/>
  <c r="G1308" i="2"/>
  <c r="F1308" i="2"/>
  <c r="E1308" i="2"/>
  <c r="D1308" i="2"/>
  <c r="C1308" i="2"/>
  <c r="B1307" i="2"/>
  <c r="A1309" i="2"/>
  <c r="K1310" i="2" a="1"/>
  <c r="L1309" i="2" a="1"/>
  <c r="J1309" i="2" a="1"/>
  <c r="I1309" i="2" a="1"/>
  <c r="H1309" i="2" a="1"/>
  <c r="G1309" i="2" a="1"/>
  <c r="F1309" i="2" a="1"/>
  <c r="E1309" i="2" a="1"/>
  <c r="D1309" i="2" a="1"/>
  <c r="C1309" i="2" a="1"/>
  <c r="B1308" i="2" a="1"/>
  <c r="K1310" i="2" l="1"/>
  <c r="L1309" i="2"/>
  <c r="J1309" i="2"/>
  <c r="I1309" i="2"/>
  <c r="H1309" i="2"/>
  <c r="G1309" i="2"/>
  <c r="F1309" i="2"/>
  <c r="E1309" i="2"/>
  <c r="D1309" i="2"/>
  <c r="C1309" i="2"/>
  <c r="B1308" i="2"/>
  <c r="A1310" i="2"/>
  <c r="K1311" i="2" a="1"/>
  <c r="L1310" i="2" a="1"/>
  <c r="J1310" i="2" a="1"/>
  <c r="I1310" i="2" a="1"/>
  <c r="H1310" i="2" a="1"/>
  <c r="G1310" i="2" a="1"/>
  <c r="F1310" i="2" a="1"/>
  <c r="E1310" i="2" a="1"/>
  <c r="D1310" i="2" a="1"/>
  <c r="C1310" i="2" a="1"/>
  <c r="B1309" i="2" a="1"/>
  <c r="K1311" i="2" l="1"/>
  <c r="L1310" i="2"/>
  <c r="J1310" i="2"/>
  <c r="I1310" i="2"/>
  <c r="H1310" i="2"/>
  <c r="G1310" i="2"/>
  <c r="F1310" i="2"/>
  <c r="E1310" i="2"/>
  <c r="D1310" i="2"/>
  <c r="C1310" i="2"/>
  <c r="B1309" i="2"/>
  <c r="A1311" i="2"/>
  <c r="K1312" i="2" a="1"/>
  <c r="L1311" i="2" a="1"/>
  <c r="J1311" i="2" a="1"/>
  <c r="I1311" i="2" a="1"/>
  <c r="H1311" i="2" a="1"/>
  <c r="G1311" i="2" a="1"/>
  <c r="F1311" i="2" a="1"/>
  <c r="E1311" i="2" a="1"/>
  <c r="D1311" i="2" a="1"/>
  <c r="C1311" i="2" a="1"/>
  <c r="B1310" i="2" a="1"/>
  <c r="K1312" i="2" l="1"/>
  <c r="L1311" i="2"/>
  <c r="J1311" i="2"/>
  <c r="I1311" i="2"/>
  <c r="H1311" i="2"/>
  <c r="G1311" i="2"/>
  <c r="F1311" i="2"/>
  <c r="E1311" i="2"/>
  <c r="D1311" i="2"/>
  <c r="C1311" i="2"/>
  <c r="B1310" i="2"/>
  <c r="A1312" i="2"/>
  <c r="K1313" i="2" a="1"/>
  <c r="L1312" i="2" a="1"/>
  <c r="J1312" i="2" a="1"/>
  <c r="I1312" i="2" a="1"/>
  <c r="H1312" i="2" a="1"/>
  <c r="G1312" i="2" a="1"/>
  <c r="F1312" i="2" a="1"/>
  <c r="E1312" i="2" a="1"/>
  <c r="D1312" i="2" a="1"/>
  <c r="C1312" i="2" a="1"/>
  <c r="B1311" i="2" a="1"/>
  <c r="K1313" i="2" l="1"/>
  <c r="L1312" i="2"/>
  <c r="J1312" i="2"/>
  <c r="I1312" i="2"/>
  <c r="H1312" i="2"/>
  <c r="G1312" i="2"/>
  <c r="F1312" i="2"/>
  <c r="E1312" i="2"/>
  <c r="D1312" i="2"/>
  <c r="C1312" i="2"/>
  <c r="B1311" i="2"/>
  <c r="A1313" i="2"/>
  <c r="K1314" i="2" a="1"/>
  <c r="L1313" i="2" a="1"/>
  <c r="J1313" i="2" a="1"/>
  <c r="I1313" i="2" a="1"/>
  <c r="H1313" i="2" a="1"/>
  <c r="G1313" i="2" a="1"/>
  <c r="F1313" i="2" a="1"/>
  <c r="E1313" i="2" a="1"/>
  <c r="D1313" i="2" a="1"/>
  <c r="C1313" i="2" a="1"/>
  <c r="B1312" i="2" a="1"/>
  <c r="K1314" i="2" l="1"/>
  <c r="L1313" i="2"/>
  <c r="J1313" i="2"/>
  <c r="I1313" i="2"/>
  <c r="H1313" i="2"/>
  <c r="G1313" i="2"/>
  <c r="F1313" i="2"/>
  <c r="E1313" i="2"/>
  <c r="D1313" i="2"/>
  <c r="C1313" i="2"/>
  <c r="B1312" i="2"/>
  <c r="A1314" i="2"/>
  <c r="K1315" i="2" a="1"/>
  <c r="L1314" i="2" a="1"/>
  <c r="J1314" i="2" a="1"/>
  <c r="I1314" i="2" a="1"/>
  <c r="H1314" i="2" a="1"/>
  <c r="G1314" i="2" a="1"/>
  <c r="F1314" i="2" a="1"/>
  <c r="E1314" i="2" a="1"/>
  <c r="D1314" i="2" a="1"/>
  <c r="C1314" i="2" a="1"/>
  <c r="B1313" i="2" a="1"/>
  <c r="K1315" i="2" l="1"/>
  <c r="L1314" i="2"/>
  <c r="J1314" i="2"/>
  <c r="I1314" i="2"/>
  <c r="H1314" i="2"/>
  <c r="G1314" i="2"/>
  <c r="F1314" i="2"/>
  <c r="E1314" i="2"/>
  <c r="D1314" i="2"/>
  <c r="C1314" i="2"/>
  <c r="B1313" i="2"/>
  <c r="A1315" i="2"/>
  <c r="K1316" i="2" a="1"/>
  <c r="L1315" i="2" a="1"/>
  <c r="J1315" i="2" a="1"/>
  <c r="I1315" i="2" a="1"/>
  <c r="H1315" i="2" a="1"/>
  <c r="G1315" i="2" a="1"/>
  <c r="F1315" i="2" a="1"/>
  <c r="E1315" i="2" a="1"/>
  <c r="D1315" i="2" a="1"/>
  <c r="C1315" i="2" a="1"/>
  <c r="B1314" i="2" a="1"/>
  <c r="K1316" i="2" l="1"/>
  <c r="L1315" i="2"/>
  <c r="J1315" i="2"/>
  <c r="I1315" i="2"/>
  <c r="H1315" i="2"/>
  <c r="G1315" i="2"/>
  <c r="F1315" i="2"/>
  <c r="E1315" i="2"/>
  <c r="D1315" i="2"/>
  <c r="C1315" i="2"/>
  <c r="B1314" i="2"/>
  <c r="A1316" i="2"/>
  <c r="K1317" i="2" a="1"/>
  <c r="L1316" i="2" a="1"/>
  <c r="J1316" i="2" a="1"/>
  <c r="I1316" i="2" a="1"/>
  <c r="H1316" i="2" a="1"/>
  <c r="G1316" i="2" a="1"/>
  <c r="F1316" i="2" a="1"/>
  <c r="E1316" i="2" a="1"/>
  <c r="D1316" i="2" a="1"/>
  <c r="C1316" i="2" a="1"/>
  <c r="B1315" i="2" a="1"/>
  <c r="K1317" i="2" l="1"/>
  <c r="L1316" i="2"/>
  <c r="J1316" i="2"/>
  <c r="I1316" i="2"/>
  <c r="H1316" i="2"/>
  <c r="G1316" i="2"/>
  <c r="F1316" i="2"/>
  <c r="E1316" i="2"/>
  <c r="D1316" i="2"/>
  <c r="C1316" i="2"/>
  <c r="B1315" i="2"/>
  <c r="A1317" i="2"/>
  <c r="K1318" i="2" a="1"/>
  <c r="L1317" i="2" a="1"/>
  <c r="J1317" i="2" a="1"/>
  <c r="I1317" i="2" a="1"/>
  <c r="H1317" i="2" a="1"/>
  <c r="G1317" i="2" a="1"/>
  <c r="F1317" i="2" a="1"/>
  <c r="E1317" i="2" a="1"/>
  <c r="D1317" i="2" a="1"/>
  <c r="C1317" i="2" a="1"/>
  <c r="B1316" i="2" a="1"/>
  <c r="K1318" i="2" l="1"/>
  <c r="L1317" i="2"/>
  <c r="J1317" i="2"/>
  <c r="I1317" i="2"/>
  <c r="H1317" i="2"/>
  <c r="G1317" i="2"/>
  <c r="F1317" i="2"/>
  <c r="E1317" i="2"/>
  <c r="D1317" i="2"/>
  <c r="C1317" i="2"/>
  <c r="B1316" i="2"/>
  <c r="A1318" i="2"/>
  <c r="K1319" i="2" a="1"/>
  <c r="L1318" i="2" a="1"/>
  <c r="J1318" i="2" a="1"/>
  <c r="I1318" i="2" a="1"/>
  <c r="H1318" i="2" a="1"/>
  <c r="G1318" i="2" a="1"/>
  <c r="F1318" i="2" a="1"/>
  <c r="E1318" i="2" a="1"/>
  <c r="D1318" i="2" a="1"/>
  <c r="C1318" i="2" a="1"/>
  <c r="B1317" i="2" a="1"/>
  <c r="K1319" i="2" l="1"/>
  <c r="L1318" i="2"/>
  <c r="J1318" i="2"/>
  <c r="I1318" i="2"/>
  <c r="H1318" i="2"/>
  <c r="G1318" i="2"/>
  <c r="F1318" i="2"/>
  <c r="E1318" i="2"/>
  <c r="D1318" i="2"/>
  <c r="C1318" i="2"/>
  <c r="B1317" i="2"/>
  <c r="A1319" i="2"/>
  <c r="K1320" i="2" a="1"/>
  <c r="L1319" i="2" a="1"/>
  <c r="J1319" i="2" a="1"/>
  <c r="I1319" i="2" a="1"/>
  <c r="H1319" i="2" a="1"/>
  <c r="G1319" i="2" a="1"/>
  <c r="F1319" i="2" a="1"/>
  <c r="E1319" i="2" a="1"/>
  <c r="D1319" i="2" a="1"/>
  <c r="C1319" i="2" a="1"/>
  <c r="B1318" i="2" a="1"/>
  <c r="K1320" i="2" l="1"/>
  <c r="L1319" i="2"/>
  <c r="J1319" i="2"/>
  <c r="I1319" i="2"/>
  <c r="H1319" i="2"/>
  <c r="G1319" i="2"/>
  <c r="F1319" i="2"/>
  <c r="E1319" i="2"/>
  <c r="D1319" i="2"/>
  <c r="C1319" i="2"/>
  <c r="B1318" i="2"/>
  <c r="A1320" i="2"/>
  <c r="K1321" i="2" a="1"/>
  <c r="L1320" i="2" a="1"/>
  <c r="J1320" i="2" a="1"/>
  <c r="I1320" i="2" a="1"/>
  <c r="H1320" i="2" a="1"/>
  <c r="G1320" i="2" a="1"/>
  <c r="F1320" i="2" a="1"/>
  <c r="E1320" i="2" a="1"/>
  <c r="D1320" i="2" a="1"/>
  <c r="C1320" i="2" a="1"/>
  <c r="B1319" i="2" a="1"/>
  <c r="K1321" i="2" l="1"/>
  <c r="L1320" i="2"/>
  <c r="J1320" i="2"/>
  <c r="I1320" i="2"/>
  <c r="H1320" i="2"/>
  <c r="G1320" i="2"/>
  <c r="F1320" i="2"/>
  <c r="E1320" i="2"/>
  <c r="D1320" i="2"/>
  <c r="C1320" i="2"/>
  <c r="B1319" i="2"/>
  <c r="A1321" i="2"/>
  <c r="K1322" i="2" a="1"/>
  <c r="L1321" i="2" a="1"/>
  <c r="J1321" i="2" a="1"/>
  <c r="I1321" i="2" a="1"/>
  <c r="H1321" i="2" a="1"/>
  <c r="G1321" i="2" a="1"/>
  <c r="F1321" i="2" a="1"/>
  <c r="E1321" i="2" a="1"/>
  <c r="D1321" i="2" a="1"/>
  <c r="C1321" i="2" a="1"/>
  <c r="B1320" i="2" a="1"/>
  <c r="K1322" i="2" l="1"/>
  <c r="L1321" i="2"/>
  <c r="J1321" i="2"/>
  <c r="I1321" i="2"/>
  <c r="H1321" i="2"/>
  <c r="G1321" i="2"/>
  <c r="F1321" i="2"/>
  <c r="E1321" i="2"/>
  <c r="D1321" i="2"/>
  <c r="C1321" i="2"/>
  <c r="B1320" i="2"/>
  <c r="A1322" i="2"/>
  <c r="K1323" i="2" a="1"/>
  <c r="L1322" i="2" a="1"/>
  <c r="J1322" i="2" a="1"/>
  <c r="I1322" i="2" a="1"/>
  <c r="H1322" i="2" a="1"/>
  <c r="G1322" i="2" a="1"/>
  <c r="F1322" i="2" a="1"/>
  <c r="E1322" i="2" a="1"/>
  <c r="D1322" i="2" a="1"/>
  <c r="C1322" i="2" a="1"/>
  <c r="B1321" i="2" a="1"/>
  <c r="K1323" i="2" l="1"/>
  <c r="L1322" i="2"/>
  <c r="J1322" i="2"/>
  <c r="I1322" i="2"/>
  <c r="H1322" i="2"/>
  <c r="G1322" i="2"/>
  <c r="F1322" i="2"/>
  <c r="E1322" i="2"/>
  <c r="D1322" i="2"/>
  <c r="C1322" i="2"/>
  <c r="B1321" i="2"/>
  <c r="A1323" i="2"/>
  <c r="K1324" i="2" a="1"/>
  <c r="L1323" i="2" a="1"/>
  <c r="J1323" i="2" a="1"/>
  <c r="I1323" i="2" a="1"/>
  <c r="H1323" i="2" a="1"/>
  <c r="G1323" i="2" a="1"/>
  <c r="F1323" i="2" a="1"/>
  <c r="E1323" i="2" a="1"/>
  <c r="D1323" i="2" a="1"/>
  <c r="C1323" i="2" a="1"/>
  <c r="B1322" i="2" a="1"/>
  <c r="K1324" i="2" l="1"/>
  <c r="L1323" i="2"/>
  <c r="J1323" i="2"/>
  <c r="I1323" i="2"/>
  <c r="H1323" i="2"/>
  <c r="G1323" i="2"/>
  <c r="F1323" i="2"/>
  <c r="E1323" i="2"/>
  <c r="D1323" i="2"/>
  <c r="C1323" i="2"/>
  <c r="B1322" i="2"/>
  <c r="A1324" i="2"/>
  <c r="K1325" i="2" a="1"/>
  <c r="L1324" i="2" a="1"/>
  <c r="J1324" i="2" a="1"/>
  <c r="I1324" i="2" a="1"/>
  <c r="H1324" i="2" a="1"/>
  <c r="G1324" i="2" a="1"/>
  <c r="F1324" i="2" a="1"/>
  <c r="E1324" i="2" a="1"/>
  <c r="D1324" i="2" a="1"/>
  <c r="C1324" i="2" a="1"/>
  <c r="B1323" i="2" a="1"/>
  <c r="K1325" i="2" l="1"/>
  <c r="L1324" i="2"/>
  <c r="J1324" i="2"/>
  <c r="I1324" i="2"/>
  <c r="H1324" i="2"/>
  <c r="G1324" i="2"/>
  <c r="F1324" i="2"/>
  <c r="E1324" i="2"/>
  <c r="D1324" i="2"/>
  <c r="C1324" i="2"/>
  <c r="B1323" i="2"/>
  <c r="A1325" i="2"/>
  <c r="K1326" i="2" a="1"/>
  <c r="L1325" i="2" a="1"/>
  <c r="J1325" i="2" a="1"/>
  <c r="I1325" i="2" a="1"/>
  <c r="H1325" i="2" a="1"/>
  <c r="G1325" i="2" a="1"/>
  <c r="F1325" i="2" a="1"/>
  <c r="E1325" i="2" a="1"/>
  <c r="D1325" i="2" a="1"/>
  <c r="C1325" i="2" a="1"/>
  <c r="B1324" i="2" a="1"/>
  <c r="K1326" i="2" l="1"/>
  <c r="L1325" i="2"/>
  <c r="J1325" i="2"/>
  <c r="I1325" i="2"/>
  <c r="H1325" i="2"/>
  <c r="G1325" i="2"/>
  <c r="F1325" i="2"/>
  <c r="E1325" i="2"/>
  <c r="D1325" i="2"/>
  <c r="C1325" i="2"/>
  <c r="B1324" i="2"/>
  <c r="A1326" i="2"/>
  <c r="K1327" i="2" a="1"/>
  <c r="L1326" i="2" a="1"/>
  <c r="J1326" i="2" a="1"/>
  <c r="I1326" i="2" a="1"/>
  <c r="H1326" i="2" a="1"/>
  <c r="G1326" i="2" a="1"/>
  <c r="F1326" i="2" a="1"/>
  <c r="E1326" i="2" a="1"/>
  <c r="D1326" i="2" a="1"/>
  <c r="C1326" i="2" a="1"/>
  <c r="B1325" i="2" a="1"/>
  <c r="K1327" i="2" l="1"/>
  <c r="L1326" i="2"/>
  <c r="J1326" i="2"/>
  <c r="I1326" i="2"/>
  <c r="H1326" i="2"/>
  <c r="G1326" i="2"/>
  <c r="F1326" i="2"/>
  <c r="E1326" i="2"/>
  <c r="D1326" i="2"/>
  <c r="C1326" i="2"/>
  <c r="B1325" i="2"/>
  <c r="A1327" i="2"/>
  <c r="K1328" i="2" a="1"/>
  <c r="L1327" i="2" a="1"/>
  <c r="J1327" i="2" a="1"/>
  <c r="I1327" i="2" a="1"/>
  <c r="H1327" i="2" a="1"/>
  <c r="G1327" i="2" a="1"/>
  <c r="F1327" i="2" a="1"/>
  <c r="E1327" i="2" a="1"/>
  <c r="D1327" i="2" a="1"/>
  <c r="C1327" i="2" a="1"/>
  <c r="B1326" i="2" a="1"/>
  <c r="K1328" i="2" l="1"/>
  <c r="L1327" i="2"/>
  <c r="J1327" i="2"/>
  <c r="I1327" i="2"/>
  <c r="H1327" i="2"/>
  <c r="G1327" i="2"/>
  <c r="F1327" i="2"/>
  <c r="E1327" i="2"/>
  <c r="D1327" i="2"/>
  <c r="C1327" i="2"/>
  <c r="B1326" i="2"/>
  <c r="A1328" i="2"/>
  <c r="K1329" i="2" a="1"/>
  <c r="L1328" i="2" a="1"/>
  <c r="J1328" i="2" a="1"/>
  <c r="I1328" i="2" a="1"/>
  <c r="H1328" i="2" a="1"/>
  <c r="G1328" i="2" a="1"/>
  <c r="F1328" i="2" a="1"/>
  <c r="E1328" i="2" a="1"/>
  <c r="D1328" i="2" a="1"/>
  <c r="C1328" i="2" a="1"/>
  <c r="B1327" i="2" a="1"/>
  <c r="K1329" i="2" l="1"/>
  <c r="L1328" i="2"/>
  <c r="J1328" i="2"/>
  <c r="I1328" i="2"/>
  <c r="H1328" i="2"/>
  <c r="G1328" i="2"/>
  <c r="F1328" i="2"/>
  <c r="E1328" i="2"/>
  <c r="D1328" i="2"/>
  <c r="C1328" i="2"/>
  <c r="B1327" i="2"/>
  <c r="A1329" i="2"/>
  <c r="K1330" i="2" a="1"/>
  <c r="L1329" i="2" a="1"/>
  <c r="J1329" i="2" a="1"/>
  <c r="I1329" i="2" a="1"/>
  <c r="H1329" i="2" a="1"/>
  <c r="G1329" i="2" a="1"/>
  <c r="F1329" i="2" a="1"/>
  <c r="E1329" i="2" a="1"/>
  <c r="D1329" i="2" a="1"/>
  <c r="C1329" i="2" a="1"/>
  <c r="B1328" i="2" a="1"/>
  <c r="K1330" i="2" l="1"/>
  <c r="L1329" i="2"/>
  <c r="J1329" i="2"/>
  <c r="I1329" i="2"/>
  <c r="H1329" i="2"/>
  <c r="G1329" i="2"/>
  <c r="F1329" i="2"/>
  <c r="E1329" i="2"/>
  <c r="D1329" i="2"/>
  <c r="C1329" i="2"/>
  <c r="B1328" i="2"/>
  <c r="A1330" i="2"/>
  <c r="K1331" i="2" a="1"/>
  <c r="L1330" i="2" a="1"/>
  <c r="J1330" i="2" a="1"/>
  <c r="I1330" i="2" a="1"/>
  <c r="H1330" i="2" a="1"/>
  <c r="G1330" i="2" a="1"/>
  <c r="F1330" i="2" a="1"/>
  <c r="E1330" i="2" a="1"/>
  <c r="D1330" i="2" a="1"/>
  <c r="C1330" i="2" a="1"/>
  <c r="B1329" i="2" a="1"/>
  <c r="K1331" i="2" l="1"/>
  <c r="L1330" i="2"/>
  <c r="J1330" i="2"/>
  <c r="I1330" i="2"/>
  <c r="H1330" i="2"/>
  <c r="G1330" i="2"/>
  <c r="F1330" i="2"/>
  <c r="E1330" i="2"/>
  <c r="D1330" i="2"/>
  <c r="C1330" i="2"/>
  <c r="B1329" i="2"/>
  <c r="A1331" i="2"/>
  <c r="K1332" i="2" a="1"/>
  <c r="L1331" i="2" a="1"/>
  <c r="J1331" i="2" a="1"/>
  <c r="I1331" i="2" a="1"/>
  <c r="H1331" i="2" a="1"/>
  <c r="G1331" i="2" a="1"/>
  <c r="F1331" i="2" a="1"/>
  <c r="E1331" i="2" a="1"/>
  <c r="D1331" i="2" a="1"/>
  <c r="C1331" i="2" a="1"/>
  <c r="B1330" i="2" a="1"/>
  <c r="K1332" i="2" l="1"/>
  <c r="L1331" i="2"/>
  <c r="J1331" i="2"/>
  <c r="I1331" i="2"/>
  <c r="H1331" i="2"/>
  <c r="G1331" i="2"/>
  <c r="F1331" i="2"/>
  <c r="E1331" i="2"/>
  <c r="D1331" i="2"/>
  <c r="C1331" i="2"/>
  <c r="B1330" i="2"/>
  <c r="A1332" i="2"/>
  <c r="K1333" i="2" a="1"/>
  <c r="L1332" i="2" a="1"/>
  <c r="J1332" i="2" a="1"/>
  <c r="I1332" i="2" a="1"/>
  <c r="H1332" i="2" a="1"/>
  <c r="G1332" i="2" a="1"/>
  <c r="F1332" i="2" a="1"/>
  <c r="E1332" i="2" a="1"/>
  <c r="D1332" i="2" a="1"/>
  <c r="C1332" i="2" a="1"/>
  <c r="B1331" i="2" a="1"/>
  <c r="K1333" i="2" l="1"/>
  <c r="L1332" i="2"/>
  <c r="J1332" i="2"/>
  <c r="I1332" i="2"/>
  <c r="H1332" i="2"/>
  <c r="G1332" i="2"/>
  <c r="F1332" i="2"/>
  <c r="E1332" i="2"/>
  <c r="D1332" i="2"/>
  <c r="C1332" i="2"/>
  <c r="B1331" i="2"/>
  <c r="A1333" i="2"/>
  <c r="K1334" i="2" a="1"/>
  <c r="L1333" i="2" a="1"/>
  <c r="J1333" i="2" a="1"/>
  <c r="I1333" i="2" a="1"/>
  <c r="H1333" i="2" a="1"/>
  <c r="G1333" i="2" a="1"/>
  <c r="F1333" i="2" a="1"/>
  <c r="E1333" i="2" a="1"/>
  <c r="D1333" i="2" a="1"/>
  <c r="C1333" i="2" a="1"/>
  <c r="B1332" i="2" a="1"/>
  <c r="K1334" i="2" l="1"/>
  <c r="L1333" i="2"/>
  <c r="J1333" i="2"/>
  <c r="I1333" i="2"/>
  <c r="H1333" i="2"/>
  <c r="G1333" i="2"/>
  <c r="F1333" i="2"/>
  <c r="E1333" i="2"/>
  <c r="D1333" i="2"/>
  <c r="C1333" i="2"/>
  <c r="B1332" i="2"/>
  <c r="A1334" i="2"/>
  <c r="K1335" i="2" a="1"/>
  <c r="L1334" i="2" a="1"/>
  <c r="J1334" i="2" a="1"/>
  <c r="I1334" i="2" a="1"/>
  <c r="H1334" i="2" a="1"/>
  <c r="G1334" i="2" a="1"/>
  <c r="F1334" i="2" a="1"/>
  <c r="E1334" i="2" a="1"/>
  <c r="D1334" i="2" a="1"/>
  <c r="C1334" i="2" a="1"/>
  <c r="B1333" i="2" a="1"/>
  <c r="K1335" i="2" l="1"/>
  <c r="L1334" i="2"/>
  <c r="J1334" i="2"/>
  <c r="I1334" i="2"/>
  <c r="H1334" i="2"/>
  <c r="G1334" i="2"/>
  <c r="F1334" i="2"/>
  <c r="E1334" i="2"/>
  <c r="D1334" i="2"/>
  <c r="C1334" i="2"/>
  <c r="B1333" i="2"/>
  <c r="A1335" i="2"/>
  <c r="K1336" i="2" a="1"/>
  <c r="L1335" i="2" a="1"/>
  <c r="J1335" i="2" a="1"/>
  <c r="I1335" i="2" a="1"/>
  <c r="H1335" i="2" a="1"/>
  <c r="G1335" i="2" a="1"/>
  <c r="F1335" i="2" a="1"/>
  <c r="E1335" i="2" a="1"/>
  <c r="D1335" i="2" a="1"/>
  <c r="C1335" i="2" a="1"/>
  <c r="B1334" i="2" a="1"/>
  <c r="K1336" i="2" l="1"/>
  <c r="L1335" i="2"/>
  <c r="J1335" i="2"/>
  <c r="I1335" i="2"/>
  <c r="H1335" i="2"/>
  <c r="G1335" i="2"/>
  <c r="F1335" i="2"/>
  <c r="E1335" i="2"/>
  <c r="D1335" i="2"/>
  <c r="C1335" i="2"/>
  <c r="B1334" i="2"/>
  <c r="A1336" i="2"/>
  <c r="K1337" i="2" a="1"/>
  <c r="L1336" i="2" a="1"/>
  <c r="J1336" i="2" a="1"/>
  <c r="I1336" i="2" a="1"/>
  <c r="H1336" i="2" a="1"/>
  <c r="G1336" i="2" a="1"/>
  <c r="F1336" i="2" a="1"/>
  <c r="E1336" i="2" a="1"/>
  <c r="D1336" i="2" a="1"/>
  <c r="C1336" i="2" a="1"/>
  <c r="B1335" i="2" a="1"/>
  <c r="K1337" i="2" l="1"/>
  <c r="L1336" i="2"/>
  <c r="J1336" i="2"/>
  <c r="I1336" i="2"/>
  <c r="H1336" i="2"/>
  <c r="G1336" i="2"/>
  <c r="F1336" i="2"/>
  <c r="E1336" i="2"/>
  <c r="D1336" i="2"/>
  <c r="C1336" i="2"/>
  <c r="B1335" i="2"/>
  <c r="A1337" i="2"/>
  <c r="K1338" i="2" a="1"/>
  <c r="L1337" i="2" a="1"/>
  <c r="J1337" i="2" a="1"/>
  <c r="I1337" i="2" a="1"/>
  <c r="H1337" i="2" a="1"/>
  <c r="G1337" i="2" a="1"/>
  <c r="F1337" i="2" a="1"/>
  <c r="E1337" i="2" a="1"/>
  <c r="D1337" i="2" a="1"/>
  <c r="C1337" i="2" a="1"/>
  <c r="B1336" i="2" a="1"/>
  <c r="K1338" i="2" l="1"/>
  <c r="L1337" i="2"/>
  <c r="J1337" i="2"/>
  <c r="I1337" i="2"/>
  <c r="H1337" i="2"/>
  <c r="G1337" i="2"/>
  <c r="F1337" i="2"/>
  <c r="E1337" i="2"/>
  <c r="D1337" i="2"/>
  <c r="C1337" i="2"/>
  <c r="B1336" i="2"/>
  <c r="A1338" i="2"/>
  <c r="K1339" i="2" a="1"/>
  <c r="L1338" i="2" a="1"/>
  <c r="J1338" i="2" a="1"/>
  <c r="I1338" i="2" a="1"/>
  <c r="H1338" i="2" a="1"/>
  <c r="G1338" i="2" a="1"/>
  <c r="F1338" i="2" a="1"/>
  <c r="E1338" i="2" a="1"/>
  <c r="D1338" i="2" a="1"/>
  <c r="C1338" i="2" a="1"/>
  <c r="B1337" i="2" a="1"/>
  <c r="K1339" i="2" l="1"/>
  <c r="L1338" i="2"/>
  <c r="J1338" i="2"/>
  <c r="I1338" i="2"/>
  <c r="H1338" i="2"/>
  <c r="G1338" i="2"/>
  <c r="F1338" i="2"/>
  <c r="E1338" i="2"/>
  <c r="D1338" i="2"/>
  <c r="C1338" i="2"/>
  <c r="B1337" i="2"/>
  <c r="A1339" i="2"/>
  <c r="K1340" i="2" a="1"/>
  <c r="L1339" i="2" a="1"/>
  <c r="J1339" i="2" a="1"/>
  <c r="I1339" i="2" a="1"/>
  <c r="H1339" i="2" a="1"/>
  <c r="G1339" i="2" a="1"/>
  <c r="F1339" i="2" a="1"/>
  <c r="E1339" i="2" a="1"/>
  <c r="D1339" i="2" a="1"/>
  <c r="C1339" i="2" a="1"/>
  <c r="B1338" i="2" a="1"/>
  <c r="K1340" i="2" l="1"/>
  <c r="L1339" i="2"/>
  <c r="J1339" i="2"/>
  <c r="I1339" i="2"/>
  <c r="H1339" i="2"/>
  <c r="G1339" i="2"/>
  <c r="F1339" i="2"/>
  <c r="E1339" i="2"/>
  <c r="D1339" i="2"/>
  <c r="C1339" i="2"/>
  <c r="B1338" i="2"/>
  <c r="A1340" i="2"/>
  <c r="K1341" i="2" a="1"/>
  <c r="L1340" i="2" a="1"/>
  <c r="J1340" i="2" a="1"/>
  <c r="I1340" i="2" a="1"/>
  <c r="H1340" i="2" a="1"/>
  <c r="G1340" i="2" a="1"/>
  <c r="F1340" i="2" a="1"/>
  <c r="E1340" i="2" a="1"/>
  <c r="D1340" i="2" a="1"/>
  <c r="C1340" i="2" a="1"/>
  <c r="B1339" i="2" a="1"/>
  <c r="K1341" i="2" l="1"/>
  <c r="L1340" i="2"/>
  <c r="J1340" i="2"/>
  <c r="I1340" i="2"/>
  <c r="H1340" i="2"/>
  <c r="G1340" i="2"/>
  <c r="F1340" i="2"/>
  <c r="E1340" i="2"/>
  <c r="D1340" i="2"/>
  <c r="C1340" i="2"/>
  <c r="B1339" i="2"/>
  <c r="A1341" i="2"/>
  <c r="K1342" i="2" a="1"/>
  <c r="L1341" i="2" a="1"/>
  <c r="J1341" i="2" a="1"/>
  <c r="I1341" i="2" a="1"/>
  <c r="H1341" i="2" a="1"/>
  <c r="G1341" i="2" a="1"/>
  <c r="F1341" i="2" a="1"/>
  <c r="E1341" i="2" a="1"/>
  <c r="D1341" i="2" a="1"/>
  <c r="C1341" i="2" a="1"/>
  <c r="B1340" i="2" a="1"/>
  <c r="K1342" i="2" l="1"/>
  <c r="L1341" i="2"/>
  <c r="J1341" i="2"/>
  <c r="I1341" i="2"/>
  <c r="H1341" i="2"/>
  <c r="G1341" i="2"/>
  <c r="F1341" i="2"/>
  <c r="E1341" i="2"/>
  <c r="D1341" i="2"/>
  <c r="C1341" i="2"/>
  <c r="B1340" i="2"/>
  <c r="A1342" i="2"/>
  <c r="K1343" i="2" a="1"/>
  <c r="L1342" i="2" a="1"/>
  <c r="J1342" i="2" a="1"/>
  <c r="I1342" i="2" a="1"/>
  <c r="H1342" i="2" a="1"/>
  <c r="G1342" i="2" a="1"/>
  <c r="F1342" i="2" a="1"/>
  <c r="E1342" i="2" a="1"/>
  <c r="D1342" i="2" a="1"/>
  <c r="C1342" i="2" a="1"/>
  <c r="B1341" i="2" a="1"/>
  <c r="K1343" i="2" l="1"/>
  <c r="L1342" i="2"/>
  <c r="J1342" i="2"/>
  <c r="I1342" i="2"/>
  <c r="H1342" i="2"/>
  <c r="G1342" i="2"/>
  <c r="F1342" i="2"/>
  <c r="E1342" i="2"/>
  <c r="D1342" i="2"/>
  <c r="C1342" i="2"/>
  <c r="B1341" i="2"/>
  <c r="A1343" i="2"/>
  <c r="K1344" i="2" a="1"/>
  <c r="L1343" i="2" a="1"/>
  <c r="J1343" i="2" a="1"/>
  <c r="I1343" i="2" a="1"/>
  <c r="H1343" i="2" a="1"/>
  <c r="G1343" i="2" a="1"/>
  <c r="F1343" i="2" a="1"/>
  <c r="E1343" i="2" a="1"/>
  <c r="D1343" i="2" a="1"/>
  <c r="C1343" i="2" a="1"/>
  <c r="B1342" i="2" a="1"/>
  <c r="K1344" i="2" l="1"/>
  <c r="L1343" i="2"/>
  <c r="J1343" i="2"/>
  <c r="I1343" i="2"/>
  <c r="H1343" i="2"/>
  <c r="G1343" i="2"/>
  <c r="F1343" i="2"/>
  <c r="E1343" i="2"/>
  <c r="D1343" i="2"/>
  <c r="C1343" i="2"/>
  <c r="B1342" i="2"/>
  <c r="A1344" i="2"/>
  <c r="K1345" i="2" a="1"/>
  <c r="L1344" i="2" a="1"/>
  <c r="J1344" i="2" a="1"/>
  <c r="I1344" i="2" a="1"/>
  <c r="H1344" i="2" a="1"/>
  <c r="G1344" i="2" a="1"/>
  <c r="F1344" i="2" a="1"/>
  <c r="E1344" i="2" a="1"/>
  <c r="D1344" i="2" a="1"/>
  <c r="C1344" i="2" a="1"/>
  <c r="B1343" i="2" a="1"/>
  <c r="K1345" i="2" l="1"/>
  <c r="L1344" i="2"/>
  <c r="J1344" i="2"/>
  <c r="I1344" i="2"/>
  <c r="H1344" i="2"/>
  <c r="G1344" i="2"/>
  <c r="F1344" i="2"/>
  <c r="E1344" i="2"/>
  <c r="D1344" i="2"/>
  <c r="C1344" i="2"/>
  <c r="B1343" i="2"/>
  <c r="A1345" i="2"/>
  <c r="K1346" i="2" a="1"/>
  <c r="L1345" i="2" a="1"/>
  <c r="J1345" i="2" a="1"/>
  <c r="I1345" i="2" a="1"/>
  <c r="H1345" i="2" a="1"/>
  <c r="G1345" i="2" a="1"/>
  <c r="F1345" i="2" a="1"/>
  <c r="E1345" i="2" a="1"/>
  <c r="D1345" i="2" a="1"/>
  <c r="C1345" i="2" a="1"/>
  <c r="B1344" i="2" a="1"/>
  <c r="K1346" i="2" l="1"/>
  <c r="L1345" i="2"/>
  <c r="J1345" i="2"/>
  <c r="I1345" i="2"/>
  <c r="H1345" i="2"/>
  <c r="G1345" i="2"/>
  <c r="F1345" i="2"/>
  <c r="E1345" i="2"/>
  <c r="D1345" i="2"/>
  <c r="C1345" i="2"/>
  <c r="B1344" i="2"/>
  <c r="A1346" i="2"/>
  <c r="K1347" i="2" a="1"/>
  <c r="L1346" i="2" a="1"/>
  <c r="J1346" i="2" a="1"/>
  <c r="I1346" i="2" a="1"/>
  <c r="H1346" i="2" a="1"/>
  <c r="G1346" i="2" a="1"/>
  <c r="F1346" i="2" a="1"/>
  <c r="E1346" i="2" a="1"/>
  <c r="D1346" i="2" a="1"/>
  <c r="C1346" i="2" a="1"/>
  <c r="B1345" i="2" a="1"/>
  <c r="K1347" i="2" l="1"/>
  <c r="L1346" i="2"/>
  <c r="J1346" i="2"/>
  <c r="I1346" i="2"/>
  <c r="H1346" i="2"/>
  <c r="G1346" i="2"/>
  <c r="F1346" i="2"/>
  <c r="E1346" i="2"/>
  <c r="D1346" i="2"/>
  <c r="C1346" i="2"/>
  <c r="B1345" i="2"/>
  <c r="A1347" i="2"/>
  <c r="K1348" i="2" a="1"/>
  <c r="L1347" i="2" a="1"/>
  <c r="J1347" i="2" a="1"/>
  <c r="I1347" i="2" a="1"/>
  <c r="H1347" i="2" a="1"/>
  <c r="G1347" i="2" a="1"/>
  <c r="F1347" i="2" a="1"/>
  <c r="E1347" i="2" a="1"/>
  <c r="D1347" i="2" a="1"/>
  <c r="C1347" i="2" a="1"/>
  <c r="B1346" i="2" a="1"/>
  <c r="K1348" i="2" l="1"/>
  <c r="L1347" i="2"/>
  <c r="J1347" i="2"/>
  <c r="I1347" i="2"/>
  <c r="H1347" i="2"/>
  <c r="G1347" i="2"/>
  <c r="F1347" i="2"/>
  <c r="E1347" i="2"/>
  <c r="D1347" i="2"/>
  <c r="C1347" i="2"/>
  <c r="B1346" i="2"/>
  <c r="A1348" i="2"/>
  <c r="K1349" i="2" a="1"/>
  <c r="L1348" i="2" a="1"/>
  <c r="J1348" i="2" a="1"/>
  <c r="I1348" i="2" a="1"/>
  <c r="H1348" i="2" a="1"/>
  <c r="G1348" i="2" a="1"/>
  <c r="F1348" i="2" a="1"/>
  <c r="E1348" i="2" a="1"/>
  <c r="D1348" i="2" a="1"/>
  <c r="C1348" i="2" a="1"/>
  <c r="B1347" i="2" a="1"/>
  <c r="K1349" i="2" l="1"/>
  <c r="L1348" i="2"/>
  <c r="J1348" i="2"/>
  <c r="I1348" i="2"/>
  <c r="H1348" i="2"/>
  <c r="G1348" i="2"/>
  <c r="F1348" i="2"/>
  <c r="E1348" i="2"/>
  <c r="D1348" i="2"/>
  <c r="C1348" i="2"/>
  <c r="B1347" i="2"/>
  <c r="A1349" i="2"/>
  <c r="K1350" i="2" a="1"/>
  <c r="L1349" i="2" a="1"/>
  <c r="J1349" i="2" a="1"/>
  <c r="I1349" i="2" a="1"/>
  <c r="H1349" i="2" a="1"/>
  <c r="G1349" i="2" a="1"/>
  <c r="F1349" i="2" a="1"/>
  <c r="E1349" i="2" a="1"/>
  <c r="D1349" i="2" a="1"/>
  <c r="C1349" i="2" a="1"/>
  <c r="B1348" i="2" a="1"/>
  <c r="K1350" i="2" l="1"/>
  <c r="L1349" i="2"/>
  <c r="J1349" i="2"/>
  <c r="I1349" i="2"/>
  <c r="H1349" i="2"/>
  <c r="G1349" i="2"/>
  <c r="F1349" i="2"/>
  <c r="E1349" i="2"/>
  <c r="D1349" i="2"/>
  <c r="C1349" i="2"/>
  <c r="B1348" i="2"/>
  <c r="A1350" i="2"/>
  <c r="K1351" i="2" a="1"/>
  <c r="L1350" i="2" a="1"/>
  <c r="J1350" i="2" a="1"/>
  <c r="I1350" i="2" a="1"/>
  <c r="H1350" i="2" a="1"/>
  <c r="G1350" i="2" a="1"/>
  <c r="F1350" i="2" a="1"/>
  <c r="E1350" i="2" a="1"/>
  <c r="D1350" i="2" a="1"/>
  <c r="C1350" i="2" a="1"/>
  <c r="B1349" i="2" a="1"/>
  <c r="K1351" i="2" l="1"/>
  <c r="L1350" i="2"/>
  <c r="J1350" i="2"/>
  <c r="I1350" i="2"/>
  <c r="H1350" i="2"/>
  <c r="G1350" i="2"/>
  <c r="F1350" i="2"/>
  <c r="E1350" i="2"/>
  <c r="D1350" i="2"/>
  <c r="C1350" i="2"/>
  <c r="B1349" i="2"/>
  <c r="A1351" i="2"/>
  <c r="K1352" i="2" a="1"/>
  <c r="L1351" i="2" a="1"/>
  <c r="J1351" i="2" a="1"/>
  <c r="I1351" i="2" a="1"/>
  <c r="H1351" i="2" a="1"/>
  <c r="G1351" i="2" a="1"/>
  <c r="F1351" i="2" a="1"/>
  <c r="E1351" i="2" a="1"/>
  <c r="D1351" i="2" a="1"/>
  <c r="C1351" i="2" a="1"/>
  <c r="B1350" i="2" a="1"/>
  <c r="K1352" i="2" l="1"/>
  <c r="L1351" i="2"/>
  <c r="J1351" i="2"/>
  <c r="I1351" i="2"/>
  <c r="H1351" i="2"/>
  <c r="G1351" i="2"/>
  <c r="F1351" i="2"/>
  <c r="E1351" i="2"/>
  <c r="D1351" i="2"/>
  <c r="C1351" i="2"/>
  <c r="B1350" i="2"/>
  <c r="A1352" i="2"/>
  <c r="K1353" i="2" a="1"/>
  <c r="L1352" i="2" a="1"/>
  <c r="J1352" i="2" a="1"/>
  <c r="I1352" i="2" a="1"/>
  <c r="H1352" i="2" a="1"/>
  <c r="G1352" i="2" a="1"/>
  <c r="F1352" i="2" a="1"/>
  <c r="E1352" i="2" a="1"/>
  <c r="D1352" i="2" a="1"/>
  <c r="C1352" i="2" a="1"/>
  <c r="B1351" i="2" a="1"/>
  <c r="K1353" i="2" l="1"/>
  <c r="L1352" i="2"/>
  <c r="J1352" i="2"/>
  <c r="I1352" i="2"/>
  <c r="H1352" i="2"/>
  <c r="G1352" i="2"/>
  <c r="F1352" i="2"/>
  <c r="E1352" i="2"/>
  <c r="D1352" i="2"/>
  <c r="C1352" i="2"/>
  <c r="B1351" i="2"/>
  <c r="A1353" i="2"/>
  <c r="K1354" i="2" a="1"/>
  <c r="L1353" i="2" a="1"/>
  <c r="J1353" i="2" a="1"/>
  <c r="I1353" i="2" a="1"/>
  <c r="H1353" i="2" a="1"/>
  <c r="G1353" i="2" a="1"/>
  <c r="F1353" i="2" a="1"/>
  <c r="E1353" i="2" a="1"/>
  <c r="D1353" i="2" a="1"/>
  <c r="C1353" i="2" a="1"/>
  <c r="B1352" i="2" a="1"/>
  <c r="K1354" i="2" l="1"/>
  <c r="L1353" i="2"/>
  <c r="J1353" i="2"/>
  <c r="I1353" i="2"/>
  <c r="H1353" i="2"/>
  <c r="G1353" i="2"/>
  <c r="F1353" i="2"/>
  <c r="E1353" i="2"/>
  <c r="D1353" i="2"/>
  <c r="C1353" i="2"/>
  <c r="B1352" i="2"/>
  <c r="A1354" i="2"/>
  <c r="K1355" i="2" a="1"/>
  <c r="L1354" i="2" a="1"/>
  <c r="J1354" i="2" a="1"/>
  <c r="I1354" i="2" a="1"/>
  <c r="H1354" i="2" a="1"/>
  <c r="G1354" i="2" a="1"/>
  <c r="F1354" i="2" a="1"/>
  <c r="E1354" i="2" a="1"/>
  <c r="D1354" i="2" a="1"/>
  <c r="C1354" i="2" a="1"/>
  <c r="B1353" i="2" a="1"/>
  <c r="K1355" i="2" l="1"/>
  <c r="L1354" i="2"/>
  <c r="J1354" i="2"/>
  <c r="I1354" i="2"/>
  <c r="H1354" i="2"/>
  <c r="G1354" i="2"/>
  <c r="F1354" i="2"/>
  <c r="E1354" i="2"/>
  <c r="D1354" i="2"/>
  <c r="C1354" i="2"/>
  <c r="B1353" i="2"/>
  <c r="A1355" i="2"/>
  <c r="K1356" i="2" a="1"/>
  <c r="L1355" i="2" a="1"/>
  <c r="J1355" i="2" a="1"/>
  <c r="I1355" i="2" a="1"/>
  <c r="H1355" i="2" a="1"/>
  <c r="G1355" i="2" a="1"/>
  <c r="F1355" i="2" a="1"/>
  <c r="E1355" i="2" a="1"/>
  <c r="D1355" i="2" a="1"/>
  <c r="C1355" i="2" a="1"/>
  <c r="B1354" i="2" a="1"/>
  <c r="K1356" i="2" l="1"/>
  <c r="L1355" i="2"/>
  <c r="J1355" i="2"/>
  <c r="I1355" i="2"/>
  <c r="H1355" i="2"/>
  <c r="G1355" i="2"/>
  <c r="F1355" i="2"/>
  <c r="E1355" i="2"/>
  <c r="D1355" i="2"/>
  <c r="C1355" i="2"/>
  <c r="B1354" i="2"/>
  <c r="A1356" i="2"/>
  <c r="K1357" i="2" a="1"/>
  <c r="L1356" i="2" a="1"/>
  <c r="J1356" i="2" a="1"/>
  <c r="I1356" i="2" a="1"/>
  <c r="H1356" i="2" a="1"/>
  <c r="G1356" i="2" a="1"/>
  <c r="F1356" i="2" a="1"/>
  <c r="E1356" i="2" a="1"/>
  <c r="D1356" i="2" a="1"/>
  <c r="C1356" i="2" a="1"/>
  <c r="B1355" i="2" a="1"/>
  <c r="K1357" i="2" l="1"/>
  <c r="L1356" i="2"/>
  <c r="J1356" i="2"/>
  <c r="I1356" i="2"/>
  <c r="H1356" i="2"/>
  <c r="G1356" i="2"/>
  <c r="F1356" i="2"/>
  <c r="E1356" i="2"/>
  <c r="D1356" i="2"/>
  <c r="C1356" i="2"/>
  <c r="B1355" i="2"/>
  <c r="A1357" i="2"/>
  <c r="K1358" i="2" a="1"/>
  <c r="L1357" i="2" a="1"/>
  <c r="J1357" i="2" a="1"/>
  <c r="I1357" i="2" a="1"/>
  <c r="H1357" i="2" a="1"/>
  <c r="G1357" i="2" a="1"/>
  <c r="F1357" i="2" a="1"/>
  <c r="E1357" i="2" a="1"/>
  <c r="D1357" i="2" a="1"/>
  <c r="C1357" i="2" a="1"/>
  <c r="B1356" i="2" a="1"/>
  <c r="K1358" i="2" l="1"/>
  <c r="L1357" i="2"/>
  <c r="J1357" i="2"/>
  <c r="I1357" i="2"/>
  <c r="H1357" i="2"/>
  <c r="G1357" i="2"/>
  <c r="F1357" i="2"/>
  <c r="E1357" i="2"/>
  <c r="D1357" i="2"/>
  <c r="C1357" i="2"/>
  <c r="B1356" i="2"/>
  <c r="A1358" i="2"/>
  <c r="K1359" i="2" a="1"/>
  <c r="L1358" i="2" a="1"/>
  <c r="J1358" i="2" a="1"/>
  <c r="I1358" i="2" a="1"/>
  <c r="H1358" i="2" a="1"/>
  <c r="G1358" i="2" a="1"/>
  <c r="F1358" i="2" a="1"/>
  <c r="E1358" i="2" a="1"/>
  <c r="D1358" i="2" a="1"/>
  <c r="C1358" i="2" a="1"/>
  <c r="B1357" i="2" a="1"/>
  <c r="K1359" i="2" l="1"/>
  <c r="L1358" i="2"/>
  <c r="J1358" i="2"/>
  <c r="I1358" i="2"/>
  <c r="H1358" i="2"/>
  <c r="G1358" i="2"/>
  <c r="F1358" i="2"/>
  <c r="E1358" i="2"/>
  <c r="D1358" i="2"/>
  <c r="C1358" i="2"/>
  <c r="B1357" i="2"/>
  <c r="A1359" i="2"/>
  <c r="K1360" i="2" a="1"/>
  <c r="L1359" i="2" a="1"/>
  <c r="J1359" i="2" a="1"/>
  <c r="I1359" i="2" a="1"/>
  <c r="H1359" i="2" a="1"/>
  <c r="G1359" i="2" a="1"/>
  <c r="F1359" i="2" a="1"/>
  <c r="E1359" i="2" a="1"/>
  <c r="D1359" i="2" a="1"/>
  <c r="C1359" i="2" a="1"/>
  <c r="B1358" i="2" a="1"/>
  <c r="K1360" i="2" l="1"/>
  <c r="L1359" i="2"/>
  <c r="J1359" i="2"/>
  <c r="I1359" i="2"/>
  <c r="H1359" i="2"/>
  <c r="G1359" i="2"/>
  <c r="F1359" i="2"/>
  <c r="E1359" i="2"/>
  <c r="D1359" i="2"/>
  <c r="C1359" i="2"/>
  <c r="B1358" i="2"/>
  <c r="A1360" i="2"/>
  <c r="K1361" i="2" a="1"/>
  <c r="L1360" i="2" a="1"/>
  <c r="J1360" i="2" a="1"/>
  <c r="I1360" i="2" a="1"/>
  <c r="H1360" i="2" a="1"/>
  <c r="G1360" i="2" a="1"/>
  <c r="F1360" i="2" a="1"/>
  <c r="E1360" i="2" a="1"/>
  <c r="D1360" i="2" a="1"/>
  <c r="C1360" i="2" a="1"/>
  <c r="B1359" i="2" a="1"/>
  <c r="K1361" i="2" l="1"/>
  <c r="L1360" i="2"/>
  <c r="J1360" i="2"/>
  <c r="I1360" i="2"/>
  <c r="H1360" i="2"/>
  <c r="G1360" i="2"/>
  <c r="F1360" i="2"/>
  <c r="E1360" i="2"/>
  <c r="D1360" i="2"/>
  <c r="C1360" i="2"/>
  <c r="B1359" i="2"/>
  <c r="A1361" i="2"/>
  <c r="K1362" i="2" a="1"/>
  <c r="L1361" i="2" a="1"/>
  <c r="J1361" i="2" a="1"/>
  <c r="I1361" i="2" a="1"/>
  <c r="H1361" i="2" a="1"/>
  <c r="G1361" i="2" a="1"/>
  <c r="F1361" i="2" a="1"/>
  <c r="E1361" i="2" a="1"/>
  <c r="D1361" i="2" a="1"/>
  <c r="C1361" i="2" a="1"/>
  <c r="B1360" i="2" a="1"/>
  <c r="K1362" i="2" l="1"/>
  <c r="L1361" i="2"/>
  <c r="J1361" i="2"/>
  <c r="I1361" i="2"/>
  <c r="H1361" i="2"/>
  <c r="G1361" i="2"/>
  <c r="F1361" i="2"/>
  <c r="E1361" i="2"/>
  <c r="D1361" i="2"/>
  <c r="C1361" i="2"/>
  <c r="B1360" i="2"/>
  <c r="A1362" i="2"/>
  <c r="K1363" i="2" a="1"/>
  <c r="L1362" i="2" a="1"/>
  <c r="J1362" i="2" a="1"/>
  <c r="I1362" i="2" a="1"/>
  <c r="H1362" i="2" a="1"/>
  <c r="G1362" i="2" a="1"/>
  <c r="F1362" i="2" a="1"/>
  <c r="E1362" i="2" a="1"/>
  <c r="D1362" i="2" a="1"/>
  <c r="C1362" i="2" a="1"/>
  <c r="B1361" i="2" a="1"/>
  <c r="K1363" i="2" l="1"/>
  <c r="L1362" i="2"/>
  <c r="J1362" i="2"/>
  <c r="I1362" i="2"/>
  <c r="H1362" i="2"/>
  <c r="G1362" i="2"/>
  <c r="F1362" i="2"/>
  <c r="E1362" i="2"/>
  <c r="D1362" i="2"/>
  <c r="C1362" i="2"/>
  <c r="B1361" i="2"/>
  <c r="A1363" i="2"/>
  <c r="K1364" i="2" a="1"/>
  <c r="L1363" i="2" a="1"/>
  <c r="J1363" i="2" a="1"/>
  <c r="I1363" i="2" a="1"/>
  <c r="H1363" i="2" a="1"/>
  <c r="G1363" i="2" a="1"/>
  <c r="F1363" i="2" a="1"/>
  <c r="E1363" i="2" a="1"/>
  <c r="D1363" i="2" a="1"/>
  <c r="C1363" i="2" a="1"/>
  <c r="B1362" i="2" a="1"/>
  <c r="K1364" i="2" l="1"/>
  <c r="L1363" i="2"/>
  <c r="J1363" i="2"/>
  <c r="I1363" i="2"/>
  <c r="H1363" i="2"/>
  <c r="G1363" i="2"/>
  <c r="F1363" i="2"/>
  <c r="E1363" i="2"/>
  <c r="D1363" i="2"/>
  <c r="C1363" i="2"/>
  <c r="B1362" i="2"/>
  <c r="A1364" i="2"/>
  <c r="K1365" i="2" a="1"/>
  <c r="L1364" i="2" a="1"/>
  <c r="J1364" i="2" a="1"/>
  <c r="I1364" i="2" a="1"/>
  <c r="H1364" i="2" a="1"/>
  <c r="G1364" i="2" a="1"/>
  <c r="F1364" i="2" a="1"/>
  <c r="E1364" i="2" a="1"/>
  <c r="D1364" i="2" a="1"/>
  <c r="C1364" i="2" a="1"/>
  <c r="B1364" i="2" a="1"/>
  <c r="B1363" i="2" a="1"/>
  <c r="K1365" i="2" l="1"/>
  <c r="L1364" i="2"/>
  <c r="J1364" i="2"/>
  <c r="I1364" i="2"/>
  <c r="H1364" i="2"/>
  <c r="G1364" i="2"/>
  <c r="F1364" i="2"/>
  <c r="E1364" i="2"/>
  <c r="D1364" i="2"/>
  <c r="C1364" i="2"/>
  <c r="B1363" i="2"/>
  <c r="B1364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<sst xmlns="http://schemas.openxmlformats.org/spreadsheetml/2006/main" count="244" uniqueCount="238">
  <si>
    <r>
      <rPr>
        <b/>
        <sz val="14"/>
        <color theme="1"/>
        <rFont val="宋体"/>
        <family val="3"/>
        <charset val="134"/>
      </rPr>
      <t>一致预期</t>
    </r>
  </si>
  <si>
    <r>
      <rPr>
        <sz val="14"/>
        <color theme="1"/>
        <rFont val="宋体"/>
        <family val="3"/>
        <charset val="134"/>
      </rPr>
      <t>净利润预测机构家数</t>
    </r>
    <r>
      <rPr>
        <sz val="14"/>
        <color theme="1"/>
        <rFont val="Times New Roman"/>
        <family val="1"/>
      </rPr>
      <t>(</t>
    </r>
    <r>
      <rPr>
        <sz val="14"/>
        <color theme="1"/>
        <rFont val="宋体"/>
        <family val="3"/>
        <charset val="134"/>
      </rPr>
      <t>可选类型</t>
    </r>
    <r>
      <rPr>
        <sz val="14"/>
        <color theme="1"/>
        <rFont val="Times New Roman"/>
        <family val="1"/>
      </rPr>
      <t>)</t>
    </r>
  </si>
  <si>
    <r>
      <rPr>
        <sz val="14"/>
        <color theme="1"/>
        <rFont val="宋体"/>
        <family val="3"/>
        <charset val="134"/>
      </rPr>
      <t>预测净利润平均值</t>
    </r>
    <r>
      <rPr>
        <sz val="14"/>
        <color theme="1"/>
        <rFont val="Times New Roman"/>
        <family val="1"/>
      </rPr>
      <t>(</t>
    </r>
    <r>
      <rPr>
        <sz val="14"/>
        <color theme="1"/>
        <rFont val="宋体"/>
        <family val="3"/>
        <charset val="134"/>
      </rPr>
      <t>可选类型</t>
    </r>
    <r>
      <rPr>
        <sz val="14"/>
        <color theme="1"/>
        <rFont val="Times New Roman"/>
        <family val="1"/>
      </rPr>
      <t>)</t>
    </r>
  </si>
  <si>
    <r>
      <rPr>
        <sz val="14"/>
        <color theme="1"/>
        <rFont val="宋体"/>
        <family val="3"/>
        <charset val="134"/>
      </rPr>
      <t>预测净利润最大值</t>
    </r>
    <r>
      <rPr>
        <sz val="14"/>
        <color theme="1"/>
        <rFont val="Times New Roman"/>
        <family val="1"/>
      </rPr>
      <t>(</t>
    </r>
    <r>
      <rPr>
        <sz val="14"/>
        <color theme="1"/>
        <rFont val="宋体"/>
        <family val="3"/>
        <charset val="134"/>
      </rPr>
      <t>可选类型</t>
    </r>
    <r>
      <rPr>
        <sz val="14"/>
        <color theme="1"/>
        <rFont val="Times New Roman"/>
        <family val="1"/>
      </rPr>
      <t>)</t>
    </r>
  </si>
  <si>
    <r>
      <rPr>
        <sz val="14"/>
        <color theme="1"/>
        <rFont val="宋体"/>
        <family val="3"/>
        <charset val="134"/>
      </rPr>
      <t>预测净利润最小值</t>
    </r>
    <r>
      <rPr>
        <sz val="14"/>
        <color theme="1"/>
        <rFont val="Times New Roman"/>
        <family val="1"/>
      </rPr>
      <t>(</t>
    </r>
    <r>
      <rPr>
        <sz val="14"/>
        <color theme="1"/>
        <rFont val="宋体"/>
        <family val="3"/>
        <charset val="134"/>
      </rPr>
      <t>可选类型</t>
    </r>
    <r>
      <rPr>
        <sz val="14"/>
        <color theme="1"/>
        <rFont val="Times New Roman"/>
        <family val="1"/>
      </rPr>
      <t>)(</t>
    </r>
    <r>
      <rPr>
        <sz val="14"/>
        <color theme="1"/>
        <rFont val="宋体"/>
        <family val="3"/>
        <charset val="134"/>
      </rPr>
      <t>百万元</t>
    </r>
    <r>
      <rPr>
        <sz val="14"/>
        <color theme="1"/>
        <rFont val="Times New Roman"/>
        <family val="1"/>
      </rPr>
      <t>)</t>
    </r>
  </si>
  <si>
    <r>
      <rPr>
        <sz val="14"/>
        <color theme="1"/>
        <rFont val="Times New Roman"/>
        <family val="1"/>
      </rPr>
      <t xml:space="preserve"> </t>
    </r>
    <r>
      <rPr>
        <sz val="14"/>
        <color theme="1"/>
        <rFont val="宋体"/>
        <family val="3"/>
        <charset val="134"/>
      </rPr>
      <t>预测净利润中值</t>
    </r>
    <r>
      <rPr>
        <sz val="14"/>
        <color theme="1"/>
        <rFont val="Times New Roman"/>
        <family val="1"/>
      </rPr>
      <t>(</t>
    </r>
    <r>
      <rPr>
        <sz val="14"/>
        <color theme="1"/>
        <rFont val="宋体"/>
        <family val="3"/>
        <charset val="134"/>
      </rPr>
      <t>可选类型</t>
    </r>
    <r>
      <rPr>
        <sz val="14"/>
        <color theme="1"/>
        <rFont val="Times New Roman"/>
        <family val="1"/>
      </rPr>
      <t>)</t>
    </r>
  </si>
  <si>
    <r>
      <rPr>
        <sz val="14"/>
        <color theme="1"/>
        <rFont val="Times New Roman"/>
        <family val="1"/>
      </rPr>
      <t xml:space="preserve"> </t>
    </r>
    <r>
      <rPr>
        <sz val="14"/>
        <color theme="1"/>
        <rFont val="宋体"/>
        <family val="3"/>
        <charset val="134"/>
      </rPr>
      <t>预测净利润标准差</t>
    </r>
    <r>
      <rPr>
        <sz val="14"/>
        <color theme="1"/>
        <rFont val="Times New Roman"/>
        <family val="1"/>
      </rPr>
      <t>(</t>
    </r>
    <r>
      <rPr>
        <sz val="14"/>
        <color theme="1"/>
        <rFont val="宋体"/>
        <family val="3"/>
        <charset val="134"/>
      </rPr>
      <t>可选类型</t>
    </r>
    <r>
      <rPr>
        <sz val="14"/>
        <color theme="1"/>
        <rFont val="Times New Roman"/>
        <family val="1"/>
      </rPr>
      <t>)</t>
    </r>
  </si>
  <si>
    <t>日期</t>
  </si>
  <si>
    <t>预测净利润平均值(可选类型)</t>
  </si>
  <si>
    <t>股价（HKD)</t>
  </si>
  <si>
    <t>今天</t>
  </si>
  <si>
    <t>0013.HK</t>
    <phoneticPr fontId="7" type="noConversion"/>
  </si>
  <si>
    <t>FY2 EPS</t>
    <phoneticPr fontId="7" type="noConversion"/>
  </si>
  <si>
    <t>日收盘 (HKD)</t>
    <phoneticPr fontId="7" type="noConversion"/>
  </si>
  <si>
    <t>日成交量</t>
  </si>
  <si>
    <t>日成交额</t>
  </si>
  <si>
    <t>日换手率 (%)</t>
  </si>
  <si>
    <t>滚动 PE</t>
  </si>
  <si>
    <t>日期</t>
    <phoneticPr fontId="7" type="noConversion"/>
  </si>
  <si>
    <t>恒生科技指数 close</t>
    <phoneticPr fontId="7" type="noConversion"/>
  </si>
  <si>
    <t>恒生指数 close</t>
    <phoneticPr fontId="7" type="noConversion"/>
  </si>
  <si>
    <t>wind_code</t>
    <phoneticPr fontId="7" type="noConversion"/>
  </si>
  <si>
    <t xml:space="preserve">name </t>
  </si>
  <si>
    <t>和黄医药</t>
  </si>
  <si>
    <t>0013.HK</t>
  </si>
  <si>
    <t>商汤</t>
  </si>
  <si>
    <t>0020.HK</t>
  </si>
  <si>
    <t>中国儒意</t>
  </si>
  <si>
    <t>0136.HK</t>
  </si>
  <si>
    <t>建滔集团</t>
  </si>
  <si>
    <t>0148.HK</t>
  </si>
  <si>
    <t>德昌电机</t>
  </si>
  <si>
    <t>0179.HK</t>
  </si>
  <si>
    <t>阿里健康</t>
  </si>
  <si>
    <t>0241.HK</t>
  </si>
  <si>
    <t>金蝶国际</t>
  </si>
  <si>
    <t>0268.HK</t>
  </si>
  <si>
    <t>比亚迪电子</t>
  </si>
  <si>
    <t>0285.HK</t>
  </si>
  <si>
    <t>VTECH</t>
  </si>
  <si>
    <t>0303.HK</t>
  </si>
  <si>
    <t>中软国际</t>
  </si>
  <si>
    <t>0354.HK</t>
  </si>
  <si>
    <t>四环医药</t>
  </si>
  <si>
    <t>0460.HK</t>
  </si>
  <si>
    <t>远大医药</t>
  </si>
  <si>
    <t>0512.HK</t>
  </si>
  <si>
    <t>ASMPT</t>
  </si>
  <si>
    <t>0522.HK</t>
  </si>
  <si>
    <t>中通服</t>
  </si>
  <si>
    <t>0552.HK</t>
  </si>
  <si>
    <t>中国民航信息网络</t>
  </si>
  <si>
    <t>0696.HK</t>
  </si>
  <si>
    <t>腾讯</t>
  </si>
  <si>
    <t>0700.HK</t>
  </si>
  <si>
    <t>中兴通讯</t>
  </si>
  <si>
    <t>0763.HK</t>
  </si>
  <si>
    <t>阅文集团</t>
  </si>
  <si>
    <t>0772.HK</t>
  </si>
  <si>
    <t>同程旅行</t>
  </si>
  <si>
    <t>0780.HK</t>
  </si>
  <si>
    <t>微创医疗</t>
  </si>
  <si>
    <t>0853.HK</t>
  </si>
  <si>
    <t>康哲药业</t>
  </si>
  <si>
    <t>0867.HK</t>
  </si>
  <si>
    <t>趣致集团</t>
  </si>
  <si>
    <t>0917.HK</t>
  </si>
  <si>
    <t>中芯国际</t>
  </si>
  <si>
    <t>0981.HK</t>
  </si>
  <si>
    <t>联想集团</t>
  </si>
  <si>
    <t>0992.HK</t>
  </si>
  <si>
    <t>快手</t>
  </si>
  <si>
    <t>1024.HK</t>
  </si>
  <si>
    <t>威高股份</t>
  </si>
  <si>
    <t>1066.HK</t>
  </si>
  <si>
    <t>石药集团</t>
  </si>
  <si>
    <t>1093.HK</t>
  </si>
  <si>
    <t>中生制药</t>
  </si>
  <si>
    <t>1177.HK</t>
  </si>
  <si>
    <t>比亚迪</t>
  </si>
  <si>
    <t>1211.HK</t>
  </si>
  <si>
    <t>耐世特</t>
  </si>
  <si>
    <t>1316.HK</t>
  </si>
  <si>
    <t>华虹半导体</t>
  </si>
  <si>
    <t>1347.HK</t>
  </si>
  <si>
    <t>美图</t>
  </si>
  <si>
    <t>1357.HK</t>
  </si>
  <si>
    <t>高伟电子</t>
  </si>
  <si>
    <t>1415.HK</t>
  </si>
  <si>
    <t>丽珠医药</t>
  </si>
  <si>
    <t>1513.HK</t>
  </si>
  <si>
    <t>三生制药</t>
  </si>
  <si>
    <t>1530.HK</t>
  </si>
  <si>
    <t>金斯瑞生物科技</t>
  </si>
  <si>
    <t>1548.HK</t>
  </si>
  <si>
    <t>雅迪控股</t>
  </si>
  <si>
    <t>1585.HK</t>
  </si>
  <si>
    <t>新意网</t>
  </si>
  <si>
    <t>1686.HK</t>
  </si>
  <si>
    <t>赣锋锂业</t>
  </si>
  <si>
    <t>1772.HK</t>
  </si>
  <si>
    <t>东方甄选</t>
  </si>
  <si>
    <t>1797.HK</t>
  </si>
  <si>
    <t>信达生物</t>
  </si>
  <si>
    <t>1801.HK</t>
  </si>
  <si>
    <t>小米集团</t>
  </si>
  <si>
    <t>1810.HK</t>
  </si>
  <si>
    <t>平安好医生</t>
  </si>
  <si>
    <t>1833.HK</t>
  </si>
  <si>
    <t>汇量科技</t>
  </si>
  <si>
    <t>1860.HK</t>
  </si>
  <si>
    <t>建滔积层板</t>
  </si>
  <si>
    <t>1888.HK</t>
  </si>
  <si>
    <t>猫眼娱乐</t>
  </si>
  <si>
    <t>1896.HK</t>
  </si>
  <si>
    <t>云顶新耀</t>
  </si>
  <si>
    <t>1952.HK</t>
  </si>
  <si>
    <t>理想汽车</t>
  </si>
  <si>
    <t>2015.HK</t>
  </si>
  <si>
    <t>瑞声科技</t>
  </si>
  <si>
    <t>2018.HK</t>
  </si>
  <si>
    <t>先声药业</t>
  </si>
  <si>
    <t>2096.HK</t>
  </si>
  <si>
    <t>康诺亚</t>
  </si>
  <si>
    <t>2162.HK</t>
  </si>
  <si>
    <t>绿叶制药</t>
  </si>
  <si>
    <t>2186.HK</t>
  </si>
  <si>
    <t>复星医药</t>
  </si>
  <si>
    <t>2196.HK</t>
  </si>
  <si>
    <t>晶泰控股</t>
  </si>
  <si>
    <t>2228.HK</t>
  </si>
  <si>
    <t>微创机器人</t>
  </si>
  <si>
    <t>2252.HK</t>
  </si>
  <si>
    <t>药明合联</t>
  </si>
  <si>
    <t>2268.HK</t>
  </si>
  <si>
    <t>药明生物</t>
  </si>
  <si>
    <t>2269.HK</t>
  </si>
  <si>
    <t>中航科工</t>
  </si>
  <si>
    <t>2357.HK</t>
  </si>
  <si>
    <t>药明康德</t>
  </si>
  <si>
    <t>2359.HK</t>
  </si>
  <si>
    <t>巨子生物</t>
  </si>
  <si>
    <t>2367.HK</t>
  </si>
  <si>
    <t>舜宇光学</t>
  </si>
  <si>
    <t>2382.HK</t>
  </si>
  <si>
    <t>心动公司</t>
  </si>
  <si>
    <t>2400.HK</t>
  </si>
  <si>
    <t>越疆</t>
  </si>
  <si>
    <t>2432.HK</t>
  </si>
  <si>
    <t>速腾聚创</t>
  </si>
  <si>
    <t>2498.HK</t>
  </si>
  <si>
    <t>黑芝麻智能</t>
  </si>
  <si>
    <t>2533.HK</t>
  </si>
  <si>
    <t>迈富时</t>
  </si>
  <si>
    <t>2556.HK</t>
  </si>
  <si>
    <t>英诺赛科</t>
  </si>
  <si>
    <t>2577.HK</t>
  </si>
  <si>
    <t>健康之路</t>
  </si>
  <si>
    <t>2587.HK</t>
  </si>
  <si>
    <t>易鑫集团</t>
  </si>
  <si>
    <t>2858.HK</t>
  </si>
  <si>
    <t>华润医药</t>
  </si>
  <si>
    <t>3320.HK</t>
  </si>
  <si>
    <t>正力新能</t>
  </si>
  <si>
    <t>3677.HK</t>
  </si>
  <si>
    <t>美团</t>
  </si>
  <si>
    <t>3690.HK</t>
  </si>
  <si>
    <t>翰森制药</t>
  </si>
  <si>
    <t>3692.HK</t>
  </si>
  <si>
    <t>阜博集团</t>
  </si>
  <si>
    <t>3738.HK</t>
  </si>
  <si>
    <t>宁德时代</t>
  </si>
  <si>
    <t>3750.HK</t>
  </si>
  <si>
    <t>金山软件</t>
  </si>
  <si>
    <t>3888.HK</t>
  </si>
  <si>
    <t>金山云</t>
  </si>
  <si>
    <t>3896.HK</t>
  </si>
  <si>
    <t>联邦制药</t>
  </si>
  <si>
    <t>3933.HK</t>
  </si>
  <si>
    <t>众安在线</t>
  </si>
  <si>
    <t>6060.HK</t>
  </si>
  <si>
    <t>盛业</t>
  </si>
  <si>
    <t>6069.HK</t>
  </si>
  <si>
    <t>海吉亚医疗</t>
  </si>
  <si>
    <t>6078.HK</t>
  </si>
  <si>
    <t>鸿腾精密</t>
  </si>
  <si>
    <t>6088.HK</t>
  </si>
  <si>
    <t>百济神州</t>
  </si>
  <si>
    <t>6160.HK</t>
  </si>
  <si>
    <t>京东健康</t>
  </si>
  <si>
    <t>6618.HK</t>
  </si>
  <si>
    <t>第四范式</t>
  </si>
  <si>
    <t>6682.HK</t>
  </si>
  <si>
    <t>时代天使</t>
  </si>
  <si>
    <t>6699.HK</t>
  </si>
  <si>
    <t>亚盛医药</t>
  </si>
  <si>
    <t>6855.HK</t>
  </si>
  <si>
    <t>科伦博泰生物</t>
  </si>
  <si>
    <t>6990.HK</t>
  </si>
  <si>
    <t>映恩生物</t>
  </si>
  <si>
    <t>9606.HK</t>
  </si>
  <si>
    <t>哔哩哔哩</t>
  </si>
  <si>
    <t>9626.HK</t>
  </si>
  <si>
    <t>九方智投</t>
  </si>
  <si>
    <t>9636.HK</t>
  </si>
  <si>
    <t>地平线机器人</t>
  </si>
  <si>
    <t>9660.HK</t>
  </si>
  <si>
    <t>再鼎医药</t>
  </si>
  <si>
    <t>9688.HK</t>
  </si>
  <si>
    <t>零跑汽车</t>
  </si>
  <si>
    <t>9863.HK</t>
  </si>
  <si>
    <t>京东集团</t>
  </si>
  <si>
    <t>9868.HK</t>
  </si>
  <si>
    <t>优必选</t>
  </si>
  <si>
    <t>9880.HK</t>
  </si>
  <si>
    <t>网易云音乐</t>
  </si>
  <si>
    <t>9899.HK</t>
  </si>
  <si>
    <t>康方生物</t>
  </si>
  <si>
    <t>9926.HK</t>
  </si>
  <si>
    <t>诺诚健华</t>
  </si>
  <si>
    <t>9969.HK</t>
  </si>
  <si>
    <t>阿里巴巴</t>
  </si>
  <si>
    <t>9988.HK</t>
  </si>
  <si>
    <r>
      <t xml:space="preserve">FY1 </t>
    </r>
    <r>
      <rPr>
        <sz val="9"/>
        <color theme="1"/>
        <rFont val="宋体"/>
        <family val="3"/>
        <charset val="134"/>
      </rPr>
      <t>净利润均值</t>
    </r>
    <phoneticPr fontId="7" type="noConversion"/>
  </si>
  <si>
    <r>
      <t>FY1</t>
    </r>
    <r>
      <rPr>
        <sz val="9"/>
        <color rgb="FF4C4F69"/>
        <rFont val="Times New Roman"/>
        <family val="1"/>
      </rPr>
      <t> EPS</t>
    </r>
    <phoneticPr fontId="7" type="noConversion"/>
  </si>
  <si>
    <r>
      <t>FY1</t>
    </r>
    <r>
      <rPr>
        <sz val="9"/>
        <color rgb="FF4C4F69"/>
        <rFont val="Times New Roman"/>
        <family val="1"/>
      </rPr>
      <t> </t>
    </r>
    <r>
      <rPr>
        <sz val="9"/>
        <color rgb="FF4C4F69"/>
        <rFont val="Arial"/>
        <family val="2"/>
      </rPr>
      <t>覆盖机构数</t>
    </r>
    <phoneticPr fontId="7" type="noConversion"/>
  </si>
  <si>
    <r>
      <t xml:space="preserve">FY1 </t>
    </r>
    <r>
      <rPr>
        <sz val="9"/>
        <color theme="1"/>
        <rFont val="宋体"/>
        <family val="3"/>
        <charset val="134"/>
      </rPr>
      <t xml:space="preserve">净利润标准差（百万）	</t>
    </r>
    <phoneticPr fontId="7" type="noConversion"/>
  </si>
  <si>
    <r>
      <t xml:space="preserve">FY1 </t>
    </r>
    <r>
      <rPr>
        <sz val="9"/>
        <color theme="1"/>
        <rFont val="宋体"/>
        <family val="3"/>
        <charset val="134"/>
      </rPr>
      <t>净利润中值（百万）</t>
    </r>
    <phoneticPr fontId="7" type="noConversion"/>
  </si>
  <si>
    <r>
      <t xml:space="preserve">FY2 </t>
    </r>
    <r>
      <rPr>
        <sz val="9"/>
        <color theme="1"/>
        <rFont val="宋体"/>
        <family val="3"/>
        <charset val="134"/>
      </rPr>
      <t>净利润均值（百万）</t>
    </r>
    <phoneticPr fontId="7" type="noConversion"/>
  </si>
  <si>
    <r>
      <t>FY2</t>
    </r>
    <r>
      <rPr>
        <sz val="9"/>
        <color rgb="FF4C4F69"/>
        <rFont val="Times New Roman"/>
        <family val="1"/>
      </rPr>
      <t> </t>
    </r>
    <r>
      <rPr>
        <sz val="9"/>
        <color rgb="FF4C4F69"/>
        <rFont val="Microsoft YaHei"/>
        <family val="2"/>
        <charset val="134"/>
      </rPr>
      <t>覆盖机构数</t>
    </r>
    <phoneticPr fontId="7" type="noConversion"/>
  </si>
  <si>
    <r>
      <t>FY2</t>
    </r>
    <r>
      <rPr>
        <sz val="9"/>
        <color rgb="FF4C4F69"/>
        <rFont val="Times New Roman"/>
        <family val="1"/>
      </rPr>
      <t> </t>
    </r>
    <r>
      <rPr>
        <sz val="9"/>
        <color rgb="FF4C4F69"/>
        <rFont val="Arial"/>
        <family val="2"/>
      </rPr>
      <t>净利润标准差（百万）</t>
    </r>
    <phoneticPr fontId="7" type="noConversion"/>
  </si>
  <si>
    <r>
      <t>FY2</t>
    </r>
    <r>
      <rPr>
        <sz val="9"/>
        <color rgb="FF4C4F69"/>
        <rFont val="Times New Roman"/>
        <family val="1"/>
      </rPr>
      <t> </t>
    </r>
    <r>
      <rPr>
        <sz val="9"/>
        <color rgb="FF4C4F69"/>
        <rFont val="Arial"/>
        <family val="2"/>
      </rPr>
      <t>净利润中值（百万）</t>
    </r>
    <phoneticPr fontId="7" type="noConversion"/>
  </si>
  <si>
    <r>
      <rPr>
        <sz val="9"/>
        <color theme="1"/>
        <rFont val="宋体"/>
        <family val="3"/>
        <charset val="134"/>
      </rPr>
      <t>日收盘价（</t>
    </r>
    <r>
      <rPr>
        <sz val="9"/>
        <color theme="1"/>
        <rFont val="Times New Roman"/>
        <family val="1"/>
      </rPr>
      <t>HKD</t>
    </r>
    <r>
      <rPr>
        <sz val="9"/>
        <color theme="1"/>
        <rFont val="宋体"/>
        <family val="3"/>
        <charset val="134"/>
      </rPr>
      <t>）</t>
    </r>
    <phoneticPr fontId="7" type="noConversion"/>
  </si>
  <si>
    <t>公司名称</t>
    <phoneticPr fontId="7" type="noConversion"/>
  </si>
  <si>
    <t>申万一级行</t>
    <phoneticPr fontId="7" type="noConversion"/>
  </si>
  <si>
    <t>申万二级行业</t>
  </si>
  <si>
    <t xml:space="preserve">总市值 (亿港币)	</t>
    <phoneticPr fontId="7" type="noConversion"/>
  </si>
  <si>
    <t>上市日期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</si>
</sst>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###,###,##0"/>
    <numFmt numFmtId="177" formatCode="###,###,##0.00"/>
    <numFmt numFmtId="182" formatCode="###,###,##0.0000"/>
  </numFmts>
  <fonts count="20">
    <font>
      <sz val="11"/>
      <color theme="1"/>
      <name val="宋体"/>
      <charset val="134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rgb="FF000000"/>
      <name val="Times New Roman"/>
      <family val="1"/>
    </font>
    <font>
      <sz val="14"/>
      <color theme="1"/>
      <name val="宋体"/>
      <family val="3"/>
      <charset val="134"/>
    </font>
    <font>
      <b/>
      <sz val="14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theme="1"/>
      <name val="Courier New"/>
      <family val="1"/>
    </font>
    <font>
      <sz val="11"/>
      <color rgb="FF61FFCA"/>
      <name val="Courier New"/>
      <family val="1"/>
    </font>
    <font>
      <sz val="11"/>
      <color rgb="FFFF6767"/>
      <name val="Courier New"/>
      <family val="1"/>
    </font>
    <font>
      <sz val="14"/>
      <color rgb="FF4C4F69"/>
      <name val="Arial"/>
      <family val="2"/>
    </font>
    <font>
      <sz val="11"/>
      <color rgb="FF4C4F69"/>
      <name val="Menlo"/>
      <family val="2"/>
    </font>
    <font>
      <sz val="9"/>
      <color rgb="FFFF6767"/>
      <name val="Times New Roman"/>
      <family val="1"/>
    </font>
    <font>
      <sz val="9"/>
      <color theme="1"/>
      <name val="Times New Roman"/>
      <family val="1"/>
    </font>
    <font>
      <sz val="9"/>
      <color theme="1"/>
      <name val="宋体"/>
      <family val="3"/>
      <charset val="134"/>
    </font>
    <font>
      <sz val="9"/>
      <color rgb="FF4C4F69"/>
      <name val="Times New Roman"/>
      <family val="1"/>
    </font>
    <font>
      <sz val="9"/>
      <color rgb="FF4C4F69"/>
      <name val="Arial"/>
      <family val="2"/>
    </font>
    <font>
      <sz val="9"/>
      <color rgb="FF4C4F69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0.79992065187536243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2" fillId="0" borderId="5" xfId="1" applyFont="1" applyBorder="1" applyAlignment="1">
      <alignment horizontal="center"/>
    </xf>
    <xf numFmtId="176" fontId="2" fillId="0" borderId="0" xfId="1" applyNumberFormat="1" applyFont="1" applyAlignment="1">
      <alignment horizontal="center"/>
    </xf>
    <xf numFmtId="176" fontId="2" fillId="0" borderId="5" xfId="1" applyNumberFormat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176" fontId="2" fillId="0" borderId="7" xfId="1" applyNumberFormat="1" applyFont="1" applyBorder="1" applyAlignment="1">
      <alignment horizontal="center"/>
    </xf>
    <xf numFmtId="176" fontId="2" fillId="0" borderId="8" xfId="1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2" fillId="2" borderId="4" xfId="1" applyNumberFormat="1" applyFont="1" applyFill="1" applyBorder="1"/>
    <xf numFmtId="176" fontId="2" fillId="0" borderId="0" xfId="1" applyNumberFormat="1" applyFont="1"/>
    <xf numFmtId="177" fontId="2" fillId="0" borderId="5" xfId="1" applyNumberFormat="1" applyFont="1" applyBorder="1"/>
    <xf numFmtId="14" fontId="2" fillId="0" borderId="4" xfId="1" applyNumberFormat="1" applyFont="1" applyBorder="1"/>
    <xf numFmtId="14" fontId="2" fillId="0" borderId="6" xfId="1" applyNumberFormat="1" applyFont="1" applyBorder="1"/>
    <xf numFmtId="176" fontId="2" fillId="0" borderId="7" xfId="1" applyNumberFormat="1" applyFont="1" applyBorder="1"/>
    <xf numFmtId="177" fontId="2" fillId="0" borderId="8" xfId="1" applyNumberFormat="1" applyFont="1" applyBorder="1"/>
    <xf numFmtId="14" fontId="0" fillId="0" borderId="0" xfId="0" applyNumberFormat="1">
      <alignment vertical="center"/>
    </xf>
    <xf numFmtId="0" fontId="8" fillId="0" borderId="0" xfId="0" applyFont="1" applyAlignment="1"/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14" fontId="9" fillId="0" borderId="0" xfId="0" applyNumberFormat="1" applyFont="1">
      <alignment vertical="center"/>
    </xf>
    <xf numFmtId="0" fontId="6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182" fontId="0" fillId="0" borderId="0" xfId="0" applyNumberFormat="1">
      <alignment vertical="center"/>
    </xf>
  </cellXfs>
  <cellStyles count="2">
    <cellStyle name="Normal 7" xfId="1" xr:uid="{00000000-0005-0000-0000-000031000000}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Library/WindFunc/windfunc.xlam" TargetMode="External"/><Relationship Id="rId2" Type="http://schemas.openxmlformats.org/officeDocument/2006/relationships/externalLinkPath" Target="/Library/WindFunc/windfunc.xlam" TargetMode="External"/><Relationship Id="rId1" Type="http://schemas.openxmlformats.org/officeDocument/2006/relationships/externalLinkPath" Target="/Library/WindFunc/windfunc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definedNames>
      <definedName name="hks_info_industry_sw_2021"/>
      <definedName name="s_dq_amount"/>
      <definedName name="s_dq_close"/>
      <definedName name="s_dq_turn"/>
      <definedName name="s_dq_volume"/>
      <definedName name="S_INFO_NAME"/>
      <definedName name="s_ipo_listeddate"/>
      <definedName name="S_VAL_MV"/>
      <definedName name="s_val_pe_ttm"/>
      <definedName name="s_west_eps"/>
      <definedName name="s_west_instnum_np"/>
      <definedName name="s_west_maxnetprofit"/>
      <definedName name="s_west_mediannetprofit"/>
      <definedName name="s_west_minnetprofit"/>
      <definedName name="s_west_netprofit"/>
      <definedName name="s_west_stdnetprofit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0"/>
  <sheetViews>
    <sheetView workbookViewId="0"/>
  </sheetViews>
  <sheetFormatPr baseColWidth="10" defaultColWidth="9.1640625" defaultRowHeight="14"/>
  <cols>
    <col min="1" max="1" width="36.33203125" customWidth="1"/>
    <col min="2" max="2" width="26" customWidth="1"/>
    <col min="3" max="3" width="40" customWidth="1"/>
    <col min="4" max="4" width="11" bestFit="1" customWidth="1"/>
  </cols>
  <sheetData>
    <row r="1" spans="1:4" ht="15" thickBot="1">
      <c r="A1" t="str">
        <f>[1]!S_INFO_NAME($B$1)</f>
        <v>和黄医药</v>
      </c>
      <c r="B1" s="24" t="s">
        <v>11</v>
      </c>
      <c r="C1" t="s">
        <v>10</v>
      </c>
      <c r="D1" s="23">
        <f ca="1">TODAY()</f>
        <v>46164</v>
      </c>
    </row>
    <row r="2" spans="1:4" s="1" customFormat="1" ht="18">
      <c r="A2" s="2" t="s">
        <v>0</v>
      </c>
      <c r="B2" s="3">
        <v>2025</v>
      </c>
      <c r="C2" s="4">
        <v>2026</v>
      </c>
    </row>
    <row r="3" spans="1:4" s="1" customFormat="1" ht="18">
      <c r="A3" s="5" t="s">
        <v>1</v>
      </c>
      <c r="B3" s="6">
        <f ca="1">[1]!s_west_instnum_np($B$1,2025,$D$1,180)</f>
        <v>0</v>
      </c>
      <c r="C3" s="7">
        <f ca="1">[1]!s_west_instnum_np($B$1,2026,$D$1,180)</f>
        <v>19</v>
      </c>
    </row>
    <row r="4" spans="1:4" s="1" customFormat="1" ht="18">
      <c r="A4" s="5" t="s">
        <v>2</v>
      </c>
      <c r="B4" s="8">
        <f ca="1">[1]!s_west_instnum_np($B$1,2025,$D$1,180)</f>
        <v>0</v>
      </c>
      <c r="C4" s="9">
        <f ca="1">[1]!s_west_netprofit($B$1,2026,$D$1,180,1000000)</f>
        <v>58.476947000000003</v>
      </c>
    </row>
    <row r="5" spans="1:4" s="1" customFormat="1" ht="18">
      <c r="A5" s="5" t="s">
        <v>3</v>
      </c>
      <c r="B5" s="8">
        <f ca="1">[1]!s_west_maxnetprofit($B$1,2025,$D$1,180,1000000)</f>
        <v>0</v>
      </c>
      <c r="C5" s="9">
        <f ca="1">[1]!s_west_maxnetprofit($B$1,2026,$D$1,180,1000000)</f>
        <v>171.33</v>
      </c>
    </row>
    <row r="6" spans="1:4" s="1" customFormat="1" ht="18">
      <c r="A6" s="5" t="s">
        <v>4</v>
      </c>
      <c r="B6" s="8">
        <f ca="1">[1]!s_west_minnetprofit($B$1,2025,$D$1,180,1000000)</f>
        <v>0</v>
      </c>
      <c r="C6" s="9">
        <f ca="1">[1]!s_west_minnetprofit($B$1,2026,$D$1,180,1000000)</f>
        <v>4.0199999999999996</v>
      </c>
    </row>
    <row r="7" spans="1:4" s="1" customFormat="1" ht="18">
      <c r="A7" s="5" t="s">
        <v>5</v>
      </c>
      <c r="B7" s="8">
        <f ca="1">[1]!s_west_mediannetprofit($B$1,2025,$D$1,180,1000000)</f>
        <v>0</v>
      </c>
      <c r="C7" s="9">
        <f ca="1">[1]!s_west_mediannetprofit($B$1,2026,$D$1,180,1000000)</f>
        <v>56</v>
      </c>
    </row>
    <row r="8" spans="1:4" s="1" customFormat="1" ht="18">
      <c r="A8" s="10" t="s">
        <v>6</v>
      </c>
      <c r="B8" s="11">
        <f ca="1">[1]!s_west_stdnetprofit($B$1,2025,$D$1,180,1000000)</f>
        <v>0</v>
      </c>
      <c r="C8" s="12">
        <f ca="1">[1]!s_west_stdnetprofit($B$1,2026,$D$1,180,1000000)</f>
        <v>38.669663999999997</v>
      </c>
    </row>
    <row r="10" spans="1:4" ht="16">
      <c r="A10" s="13" t="s">
        <v>7</v>
      </c>
      <c r="B10" s="14" t="s">
        <v>8</v>
      </c>
      <c r="C10" s="15" t="s">
        <v>9</v>
      </c>
    </row>
    <row r="11" spans="1:4" ht="18">
      <c r="A11" s="16">
        <f ca="1">TODAY()-IF(WEEKDAY(TODAY(),2)=6,1,IF(WEEKDAY(TODAY(),2)=7,2,0))</f>
        <v>46164</v>
      </c>
      <c r="B11" s="17" cm="1">
        <f t="array" aca="1" ref="B11" ca="1">[1]!s_west_netprofit($B$1,2026,$A11,180,1000000)</f>
        <v>58.476947000000003</v>
      </c>
      <c r="C11" s="18" cm="1">
        <f t="array" aca="1" ref="C11" ca="1">[1]!s_dq_close($B$1,$A11,3)</f>
        <v>18.87</v>
      </c>
      <c r="D11">
        <f ca="1">[1]!s_west_instnum_np($B$1,2026,A11,180)</f>
        <v>19</v>
      </c>
    </row>
    <row r="12" spans="1:4" ht="18">
      <c r="A12" s="19">
        <f t="shared" ref="A12:A75" ca="1" si="0">A11-7</f>
        <v>46157</v>
      </c>
      <c r="B12" s="17" cm="1">
        <f t="array" aca="1" ref="B12" ca="1">[1]!s_west_netprofit($B$1,2026,$A12,180,1000000)</f>
        <v>58.476947000000003</v>
      </c>
      <c r="C12" s="18" cm="1">
        <f t="array" aca="1" ref="C12" ca="1">[1]!s_dq_close($B$1,$A12,3)</f>
        <v>19.89</v>
      </c>
      <c r="D12">
        <f ca="1">[1]!s_west_instnum_np($B$1,2026,A12,180)</f>
        <v>19</v>
      </c>
    </row>
    <row r="13" spans="1:4" ht="18">
      <c r="A13" s="19">
        <f t="shared" ca="1" si="0"/>
        <v>46150</v>
      </c>
      <c r="B13" s="17" cm="1">
        <f t="array" aca="1" ref="B13" ca="1">[1]!s_west_netprofit($B$1,2026,$A13,180,1000000)</f>
        <v>58.476947000000003</v>
      </c>
      <c r="C13" s="18" cm="1">
        <f t="array" aca="1" ref="C13" ca="1">[1]!s_dq_close($B$1,$A13,3)</f>
        <v>21</v>
      </c>
      <c r="D13">
        <f ca="1">[1]!s_west_instnum_np($B$1,2026,A13,180)</f>
        <v>19</v>
      </c>
    </row>
    <row r="14" spans="1:4" ht="18">
      <c r="A14" s="19">
        <f t="shared" ca="1" si="0"/>
        <v>46143</v>
      </c>
      <c r="B14" s="17" cm="1">
        <f t="array" aca="1" ref="B14" ca="1">[1]!s_west_netprofit($B$1,2026,$A14,180,1000000)</f>
        <v>58.476947000000003</v>
      </c>
      <c r="C14" s="18" cm="1">
        <f t="array" aca="1" ref="C14" ca="1">[1]!s_dq_close($B$1,$A14,3)</f>
        <v>21.14</v>
      </c>
      <c r="D14">
        <f ca="1">[1]!s_west_instnum_np($B$1,2026,A14,180)</f>
        <v>19</v>
      </c>
    </row>
    <row r="15" spans="1:4" ht="18">
      <c r="A15" s="19">
        <f t="shared" ca="1" si="0"/>
        <v>46136</v>
      </c>
      <c r="B15" s="17" cm="1">
        <f t="array" aca="1" ref="B15" ca="1">[1]!s_west_netprofit($B$1,2026,$A15,180,1000000)</f>
        <v>58.476947000000003</v>
      </c>
      <c r="C15" s="18" cm="1">
        <f t="array" aca="1" ref="C15" ca="1">[1]!s_dq_close($B$1,$A15,3)</f>
        <v>21.88</v>
      </c>
      <c r="D15">
        <f ca="1">[1]!s_west_instnum_np($B$1,2026,A15,180)</f>
        <v>19</v>
      </c>
    </row>
    <row r="16" spans="1:4" ht="18">
      <c r="A16" s="19">
        <f t="shared" ca="1" si="0"/>
        <v>46129</v>
      </c>
      <c r="B16" s="17" cm="1">
        <f t="array" aca="1" ref="B16" ca="1">[1]!s_west_netprofit($B$1,2026,$A16,180,1000000)</f>
        <v>58.476947000000003</v>
      </c>
      <c r="C16" s="18" cm="1">
        <f t="array" aca="1" ref="C16" ca="1">[1]!s_dq_close($B$1,$A16,3)</f>
        <v>24.72</v>
      </c>
      <c r="D16">
        <f ca="1">[1]!s_west_instnum_np($B$1,2026,A16,180)</f>
        <v>19</v>
      </c>
    </row>
    <row r="17" spans="1:4" ht="18">
      <c r="A17" s="19">
        <f t="shared" ca="1" si="0"/>
        <v>46122</v>
      </c>
      <c r="B17" s="17" cm="1">
        <f t="array" aca="1" ref="B17" ca="1">[1]!s_west_netprofit($B$1,2026,$A17,180,1000000)</f>
        <v>58.476947000000003</v>
      </c>
      <c r="C17" s="18" cm="1">
        <f t="array" aca="1" ref="C17" ca="1">[1]!s_dq_close($B$1,$A17,3)</f>
        <v>23.52</v>
      </c>
      <c r="D17">
        <f ca="1">[1]!s_west_instnum_np($B$1,2026,A17,180)</f>
        <v>19</v>
      </c>
    </row>
    <row r="18" spans="1:4" ht="18">
      <c r="A18" s="19">
        <f t="shared" ca="1" si="0"/>
        <v>46115</v>
      </c>
      <c r="B18" s="17" cm="1">
        <f t="array" aca="1" ref="B18" ca="1">[1]!s_west_netprofit($B$1,2026,$A18,180,1000000)</f>
        <v>59.503444000000002</v>
      </c>
      <c r="C18" s="18" cm="1">
        <f t="array" aca="1" ref="C18" ca="1">[1]!s_dq_close($B$1,$A18,3)</f>
        <v>23.56</v>
      </c>
      <c r="D18">
        <f ca="1">[1]!s_west_instnum_np($B$1,2026,A18,180)</f>
        <v>18</v>
      </c>
    </row>
    <row r="19" spans="1:4" ht="18">
      <c r="A19" s="19">
        <f t="shared" ca="1" si="0"/>
        <v>46108</v>
      </c>
      <c r="B19" s="17" cm="1">
        <f t="array" aca="1" ref="B19" ca="1">[1]!s_west_netprofit($B$1,2026,$A19,180,1000000)</f>
        <v>61.259529000000001</v>
      </c>
      <c r="C19" s="18" cm="1">
        <f t="array" aca="1" ref="C19" ca="1">[1]!s_dq_close($B$1,$A19,3)</f>
        <v>21.88</v>
      </c>
      <c r="D19">
        <f ca="1">[1]!s_west_instnum_np($B$1,2026,A19,180)</f>
        <v>17</v>
      </c>
    </row>
    <row r="20" spans="1:4" ht="18">
      <c r="A20" s="19">
        <f t="shared" ca="1" si="0"/>
        <v>46101</v>
      </c>
      <c r="B20" s="17" cm="1">
        <f t="array" aca="1" ref="B20" ca="1">[1]!s_west_netprofit($B$1,2026,$A20,180,1000000)</f>
        <v>61.614429000000001</v>
      </c>
      <c r="C20" s="18" cm="1">
        <f t="array" aca="1" ref="C20" ca="1">[1]!s_dq_close($B$1,$A20,3)</f>
        <v>21.98</v>
      </c>
      <c r="D20">
        <f ca="1">[1]!s_west_instnum_np($B$1,2026,A20,180)</f>
        <v>14</v>
      </c>
    </row>
    <row r="21" spans="1:4" ht="18">
      <c r="A21" s="19">
        <f t="shared" ca="1" si="0"/>
        <v>46094</v>
      </c>
      <c r="B21" s="17" cm="1">
        <f t="array" aca="1" ref="B21" ca="1">[1]!s_west_netprofit($B$1,2026,$A21,180,1000000)</f>
        <v>61.969385000000003</v>
      </c>
      <c r="C21" s="18" cm="1">
        <f t="array" aca="1" ref="C21" ca="1">[1]!s_dq_close($B$1,$A21,3)</f>
        <v>22.08</v>
      </c>
      <c r="D21">
        <f ca="1">[1]!s_west_instnum_np($B$1,2026,A21,180)</f>
        <v>13</v>
      </c>
    </row>
    <row r="22" spans="1:4" ht="18">
      <c r="A22" s="19">
        <f t="shared" ca="1" si="0"/>
        <v>46087</v>
      </c>
      <c r="B22" s="17" cm="1">
        <f t="array" aca="1" ref="B22" ca="1">[1]!s_west_netprofit($B$1,2026,$A22,180,1000000)</f>
        <v>68.552999999999997</v>
      </c>
      <c r="C22" s="18" cm="1">
        <f t="array" aca="1" ref="C22" ca="1">[1]!s_dq_close($B$1,$A22,3)</f>
        <v>22.18</v>
      </c>
      <c r="D22">
        <f ca="1">[1]!s_west_instnum_np($B$1,2026,A22,180)</f>
        <v>10</v>
      </c>
    </row>
    <row r="23" spans="1:4" ht="18">
      <c r="A23" s="19">
        <f t="shared" ca="1" si="0"/>
        <v>46080</v>
      </c>
      <c r="B23" s="17" cm="1">
        <f t="array" aca="1" ref="B23" ca="1">[1]!s_west_netprofit($B$1,2026,$A23,180,1000000)</f>
        <v>73.666250000000005</v>
      </c>
      <c r="C23" s="18" cm="1">
        <f t="array" aca="1" ref="C23" ca="1">[1]!s_dq_close($B$1,$A23,3)</f>
        <v>22.7</v>
      </c>
      <c r="D23">
        <f ca="1">[1]!s_west_instnum_np($B$1,2026,A23,180)</f>
        <v>8</v>
      </c>
    </row>
    <row r="24" spans="1:4" ht="18">
      <c r="A24" s="19">
        <f t="shared" ca="1" si="0"/>
        <v>46073</v>
      </c>
      <c r="B24" s="17" cm="1">
        <f t="array" aca="1" ref="B24" ca="1">[1]!s_west_netprofit($B$1,2026,$A24,180,1000000)</f>
        <v>73.666250000000005</v>
      </c>
      <c r="C24" s="18" cm="1">
        <f t="array" aca="1" ref="C24" ca="1">[1]!s_dq_close($B$1,$A24,3)</f>
        <v>23.46</v>
      </c>
      <c r="D24">
        <f ca="1">[1]!s_west_instnum_np($B$1,2026,A24,180)</f>
        <v>8</v>
      </c>
    </row>
    <row r="25" spans="1:4" ht="18">
      <c r="A25" s="19">
        <f t="shared" ca="1" si="0"/>
        <v>46066</v>
      </c>
      <c r="B25" s="17" cm="1">
        <f t="array" aca="1" ref="B25" ca="1">[1]!s_west_netprofit($B$1,2026,$A25,180,1000000)</f>
        <v>68.027500000000003</v>
      </c>
      <c r="C25" s="18" cm="1">
        <f t="array" aca="1" ref="C25" ca="1">[1]!s_dq_close($B$1,$A25,3)</f>
        <v>23.26</v>
      </c>
      <c r="D25">
        <f ca="1">[1]!s_west_instnum_np($B$1,2026,A25,180)</f>
        <v>12</v>
      </c>
    </row>
    <row r="26" spans="1:4" ht="18">
      <c r="A26" s="19">
        <f t="shared" ca="1" si="0"/>
        <v>46059</v>
      </c>
      <c r="B26" s="17" cm="1">
        <f t="array" aca="1" ref="B26" ca="1">[1]!s_west_netprofit($B$1,2026,$A26,180,1000000)</f>
        <v>63.989375000000003</v>
      </c>
      <c r="C26" s="18" cm="1">
        <f t="array" aca="1" ref="C26" ca="1">[1]!s_dq_close($B$1,$A26,3)</f>
        <v>23.38</v>
      </c>
      <c r="D26">
        <f ca="1">[1]!s_west_instnum_np($B$1,2026,A26,180)</f>
        <v>16</v>
      </c>
    </row>
    <row r="27" spans="1:4" ht="18">
      <c r="A27" s="19">
        <f t="shared" ca="1" si="0"/>
        <v>46052</v>
      </c>
      <c r="B27" s="17" cm="1">
        <f t="array" aca="1" ref="B27" ca="1">[1]!s_west_netprofit($B$1,2026,$A27,180,1000000)</f>
        <v>67.224525999999997</v>
      </c>
      <c r="C27" s="18" cm="1">
        <f t="array" aca="1" ref="C27" ca="1">[1]!s_dq_close($B$1,$A27,3)</f>
        <v>23.38</v>
      </c>
      <c r="D27">
        <f ca="1">[1]!s_west_instnum_np($B$1,2026,A27,180)</f>
        <v>19</v>
      </c>
    </row>
    <row r="28" spans="1:4" ht="18">
      <c r="A28" s="19">
        <f t="shared" ca="1" si="0"/>
        <v>46045</v>
      </c>
      <c r="B28" s="17" cm="1">
        <f t="array" aca="1" ref="B28" ca="1">[1]!s_west_netprofit($B$1,2026,$A28,180,1000000)</f>
        <v>66.750842000000006</v>
      </c>
      <c r="C28" s="18" cm="1">
        <f t="array" aca="1" ref="C28" ca="1">[1]!s_dq_close($B$1,$A28,3)</f>
        <v>24.32</v>
      </c>
      <c r="D28">
        <f ca="1">[1]!s_west_instnum_np($B$1,2026,A28,180)</f>
        <v>19</v>
      </c>
    </row>
    <row r="29" spans="1:4" ht="18">
      <c r="A29" s="19">
        <f t="shared" ca="1" si="0"/>
        <v>46038</v>
      </c>
      <c r="B29" s="17" cm="1">
        <f t="array" aca="1" ref="B29" ca="1">[1]!s_west_netprofit($B$1,2026,$A29,180,1000000)</f>
        <v>65.171895000000006</v>
      </c>
      <c r="C29" s="18" cm="1">
        <f t="array" aca="1" ref="C29" ca="1">[1]!s_dq_close($B$1,$A29,3)</f>
        <v>25.44</v>
      </c>
      <c r="D29">
        <f ca="1">[1]!s_west_instnum_np($B$1,2026,A29,180)</f>
        <v>19</v>
      </c>
    </row>
    <row r="30" spans="1:4" ht="18">
      <c r="A30" s="19">
        <f t="shared" ca="1" si="0"/>
        <v>46031</v>
      </c>
      <c r="B30" s="17" cm="1">
        <f t="array" aca="1" ref="B30" ca="1">[1]!s_west_netprofit($B$1,2026,$A30,180,1000000)</f>
        <v>65.171895000000006</v>
      </c>
      <c r="C30" s="18" cm="1">
        <f t="array" aca="1" ref="C30" ca="1">[1]!s_dq_close($B$1,$A30,3)</f>
        <v>23.24</v>
      </c>
      <c r="D30">
        <f ca="1">[1]!s_west_instnum_np($B$1,2026,A30,180)</f>
        <v>19</v>
      </c>
    </row>
    <row r="31" spans="1:4" ht="18">
      <c r="A31" s="19">
        <f t="shared" ca="1" si="0"/>
        <v>46024</v>
      </c>
      <c r="B31" s="17" cm="1">
        <f t="array" aca="1" ref="B31" ca="1">[1]!s_west_netprofit($B$1,2026,$A31,180,1000000)</f>
        <v>65.171895000000006</v>
      </c>
      <c r="C31" s="18" cm="1">
        <f t="array" aca="1" ref="C31" ca="1">[1]!s_dq_close($B$1,$A31,3)</f>
        <v>20.94</v>
      </c>
      <c r="D31">
        <f ca="1">[1]!s_west_instnum_np($B$1,2026,A31,180)</f>
        <v>19</v>
      </c>
    </row>
    <row r="32" spans="1:4" ht="18">
      <c r="A32" s="19">
        <f t="shared" ca="1" si="0"/>
        <v>46017</v>
      </c>
      <c r="B32" s="17" cm="1">
        <f t="array" aca="1" ref="B32" ca="1">[1]!s_west_netprofit($B$1,2026,$A32,180,1000000)</f>
        <v>65.171895000000006</v>
      </c>
      <c r="C32" s="18" cm="1">
        <f t="array" aca="1" ref="C32" ca="1">[1]!s_dq_close($B$1,$A32,3)</f>
        <v>20.72</v>
      </c>
      <c r="D32">
        <f ca="1">[1]!s_west_instnum_np($B$1,2026,A32,180)</f>
        <v>19</v>
      </c>
    </row>
    <row r="33" spans="1:4" ht="18">
      <c r="A33" s="19">
        <f t="shared" ca="1" si="0"/>
        <v>46010</v>
      </c>
      <c r="B33" s="17" cm="1">
        <f t="array" aca="1" ref="B33" ca="1">[1]!s_west_netprofit($B$1,2026,$A33,180,1000000)</f>
        <v>65.171895000000006</v>
      </c>
      <c r="C33" s="18" cm="1">
        <f t="array" aca="1" ref="C33" ca="1">[1]!s_dq_close($B$1,$A33,3)</f>
        <v>20.8</v>
      </c>
      <c r="D33">
        <f ca="1">[1]!s_west_instnum_np($B$1,2026,A33,180)</f>
        <v>19</v>
      </c>
    </row>
    <row r="34" spans="1:4" ht="18">
      <c r="A34" s="19">
        <f t="shared" ca="1" si="0"/>
        <v>46003</v>
      </c>
      <c r="B34" s="17" cm="1">
        <f t="array" aca="1" ref="B34" ca="1">[1]!s_west_netprofit($B$1,2026,$A34,180,1000000)</f>
        <v>65.171895000000006</v>
      </c>
      <c r="C34" s="18" cm="1">
        <f t="array" aca="1" ref="C34" ca="1">[1]!s_dq_close($B$1,$A34,3)</f>
        <v>21.48</v>
      </c>
      <c r="D34">
        <f ca="1">[1]!s_west_instnum_np($B$1,2026,A34,180)</f>
        <v>19</v>
      </c>
    </row>
    <row r="35" spans="1:4" ht="18">
      <c r="A35" s="19">
        <f t="shared" ca="1" si="0"/>
        <v>45996</v>
      </c>
      <c r="B35" s="17" cm="1">
        <f t="array" aca="1" ref="B35" ca="1">[1]!s_west_netprofit($B$1,2026,$A35,180,1000000)</f>
        <v>65.171895000000006</v>
      </c>
      <c r="C35" s="18" cm="1">
        <f t="array" aca="1" ref="C35" ca="1">[1]!s_dq_close($B$1,$A35,3)</f>
        <v>22</v>
      </c>
      <c r="D35">
        <f ca="1">[1]!s_west_instnum_np($B$1,2026,A35,180)</f>
        <v>19</v>
      </c>
    </row>
    <row r="36" spans="1:4" ht="18">
      <c r="A36" s="19">
        <f t="shared" ca="1" si="0"/>
        <v>45989</v>
      </c>
      <c r="B36" s="17" cm="1">
        <f t="array" aca="1" ref="B36" ca="1">[1]!s_west_netprofit($B$1,2026,$A36,180,1000000)</f>
        <v>65.171895000000006</v>
      </c>
      <c r="C36" s="18" cm="1">
        <f t="array" aca="1" ref="C36" ca="1">[1]!s_dq_close($B$1,$A36,3)</f>
        <v>22.48</v>
      </c>
      <c r="D36">
        <f ca="1">[1]!s_west_instnum_np($B$1,2026,A36,180)</f>
        <v>19</v>
      </c>
    </row>
    <row r="37" spans="1:4" ht="18">
      <c r="A37" s="19">
        <f t="shared" ca="1" si="0"/>
        <v>45982</v>
      </c>
      <c r="B37" s="17" cm="1">
        <f t="array" aca="1" ref="B37" ca="1">[1]!s_west_netprofit($B$1,2026,$A37,180,1000000)</f>
        <v>65.171895000000006</v>
      </c>
      <c r="C37" s="18" cm="1">
        <f t="array" aca="1" ref="C37" ca="1">[1]!s_dq_close($B$1,$A37,3)</f>
        <v>21.92</v>
      </c>
      <c r="D37">
        <f ca="1">[1]!s_west_instnum_np($B$1,2026,A37,180)</f>
        <v>19</v>
      </c>
    </row>
    <row r="38" spans="1:4" ht="18">
      <c r="A38" s="19">
        <f t="shared" ca="1" si="0"/>
        <v>45975</v>
      </c>
      <c r="B38" s="17" cm="1">
        <f t="array" aca="1" ref="B38" ca="1">[1]!s_west_netprofit($B$1,2026,$A38,180,1000000)</f>
        <v>65.171895000000006</v>
      </c>
      <c r="C38" s="18" cm="1">
        <f t="array" aca="1" ref="C38" ca="1">[1]!s_dq_close($B$1,$A38,3)</f>
        <v>23.78</v>
      </c>
      <c r="D38">
        <f ca="1">[1]!s_west_instnum_np($B$1,2026,A38,180)</f>
        <v>19</v>
      </c>
    </row>
    <row r="39" spans="1:4" ht="18">
      <c r="A39" s="19">
        <f t="shared" ca="1" si="0"/>
        <v>45968</v>
      </c>
      <c r="B39" s="17" cm="1">
        <f t="array" aca="1" ref="B39" ca="1">[1]!s_west_netprofit($B$1,2026,$A39,180,1000000)</f>
        <v>66.908737000000002</v>
      </c>
      <c r="C39" s="18" cm="1">
        <f t="array" aca="1" ref="C39" ca="1">[1]!s_dq_close($B$1,$A39,3)</f>
        <v>23.62</v>
      </c>
      <c r="D39">
        <f ca="1">[1]!s_west_instnum_np($B$1,2026,A39,180)</f>
        <v>19</v>
      </c>
    </row>
    <row r="40" spans="1:4" ht="18">
      <c r="A40" s="19">
        <f t="shared" ca="1" si="0"/>
        <v>45961</v>
      </c>
      <c r="B40" s="17" cm="1">
        <f t="array" aca="1" ref="B40" ca="1">[1]!s_west_netprofit($B$1,2026,$A40,180,1000000)</f>
        <v>66.908737000000002</v>
      </c>
      <c r="C40" s="18" cm="1">
        <f t="array" aca="1" ref="C40" ca="1">[1]!s_dq_close($B$1,$A40,3)</f>
        <v>23.26</v>
      </c>
      <c r="D40">
        <f ca="1">[1]!s_west_instnum_np($B$1,2026,A40,180)</f>
        <v>19</v>
      </c>
    </row>
    <row r="41" spans="1:4" ht="18">
      <c r="A41" s="19">
        <f t="shared" ca="1" si="0"/>
        <v>45954</v>
      </c>
      <c r="B41" s="17" cm="1">
        <f t="array" aca="1" ref="B41" ca="1">[1]!s_west_netprofit($B$1,2026,$A41,180,1000000)</f>
        <v>66.908737000000002</v>
      </c>
      <c r="C41" s="18" cm="1">
        <f t="array" aca="1" ref="C41" ca="1">[1]!s_dq_close($B$1,$A41,3)</f>
        <v>23.22</v>
      </c>
      <c r="D41">
        <f ca="1">[1]!s_west_instnum_np($B$1,2026,A41,180)</f>
        <v>19</v>
      </c>
    </row>
    <row r="42" spans="1:4" ht="18">
      <c r="A42" s="19">
        <f t="shared" ca="1" si="0"/>
        <v>45947</v>
      </c>
      <c r="B42" s="17" cm="1">
        <f t="array" aca="1" ref="B42" ca="1">[1]!s_west_netprofit($B$1,2026,$A42,180,1000000)</f>
        <v>66.908737000000002</v>
      </c>
      <c r="C42" s="18" cm="1">
        <f t="array" aca="1" ref="C42" ca="1">[1]!s_dq_close($B$1,$A42,3)</f>
        <v>23.76</v>
      </c>
      <c r="D42">
        <f ca="1">[1]!s_west_instnum_np($B$1,2026,A42,180)</f>
        <v>19</v>
      </c>
    </row>
    <row r="43" spans="1:4" ht="18">
      <c r="A43" s="19">
        <f t="shared" ca="1" si="0"/>
        <v>45940</v>
      </c>
      <c r="B43" s="17" cm="1">
        <f t="array" aca="1" ref="B43" ca="1">[1]!s_west_netprofit($B$1,2026,$A43,180,1000000)</f>
        <v>66.908737000000002</v>
      </c>
      <c r="C43" s="18" cm="1">
        <f t="array" aca="1" ref="C43" ca="1">[1]!s_dq_close($B$1,$A43,3)</f>
        <v>24.74</v>
      </c>
      <c r="D43">
        <f ca="1">[1]!s_west_instnum_np($B$1,2026,A43,180)</f>
        <v>19</v>
      </c>
    </row>
    <row r="44" spans="1:4" ht="18">
      <c r="A44" s="19">
        <f t="shared" ca="1" si="0"/>
        <v>45933</v>
      </c>
      <c r="B44" s="17" cm="1">
        <f t="array" aca="1" ref="B44" ca="1">[1]!s_west_netprofit($B$1,2026,$A44,180,1000000)</f>
        <v>66.908737000000002</v>
      </c>
      <c r="C44" s="18" cm="1">
        <f t="array" aca="1" ref="C44" ca="1">[1]!s_dq_close($B$1,$A44,3)</f>
        <v>25.64</v>
      </c>
      <c r="D44">
        <f ca="1">[1]!s_west_instnum_np($B$1,2026,A44,180)</f>
        <v>19</v>
      </c>
    </row>
    <row r="45" spans="1:4" ht="18">
      <c r="A45" s="19">
        <f t="shared" ca="1" si="0"/>
        <v>45926</v>
      </c>
      <c r="B45" s="17" cm="1">
        <f t="array" aca="1" ref="B45" ca="1">[1]!s_west_netprofit($B$1,2026,$A45,180,1000000)</f>
        <v>66.908737000000002</v>
      </c>
      <c r="C45" s="18" cm="1">
        <f t="array" aca="1" ref="C45" ca="1">[1]!s_dq_close($B$1,$A45,3)</f>
        <v>24.54</v>
      </c>
      <c r="D45">
        <f ca="1">[1]!s_west_instnum_np($B$1,2026,A45,180)</f>
        <v>19</v>
      </c>
    </row>
    <row r="46" spans="1:4" ht="18">
      <c r="A46" s="19">
        <f t="shared" ca="1" si="0"/>
        <v>45919</v>
      </c>
      <c r="B46" s="17" cm="1">
        <f t="array" aca="1" ref="B46" ca="1">[1]!s_west_netprofit($B$1,2026,$A46,180,1000000)</f>
        <v>79.025727000000003</v>
      </c>
      <c r="C46" s="18" cm="1">
        <f t="array" aca="1" ref="C46" ca="1">[1]!s_dq_close($B$1,$A46,3)</f>
        <v>26.76</v>
      </c>
      <c r="D46">
        <f ca="1">[1]!s_west_instnum_np($B$1,2026,A46,180)</f>
        <v>22</v>
      </c>
    </row>
    <row r="47" spans="1:4" ht="18">
      <c r="A47" s="19">
        <f t="shared" ca="1" si="0"/>
        <v>45912</v>
      </c>
      <c r="B47" s="17" cm="1">
        <f t="array" aca="1" ref="B47" ca="1">[1]!s_west_netprofit($B$1,2026,$A47,180,1000000)</f>
        <v>88.481916999999996</v>
      </c>
      <c r="C47" s="18" cm="1">
        <f t="array" aca="1" ref="C47" ca="1">[1]!s_dq_close($B$1,$A47,3)</f>
        <v>28</v>
      </c>
      <c r="D47">
        <f ca="1">[1]!s_west_instnum_np($B$1,2026,A47,180)</f>
        <v>24</v>
      </c>
    </row>
    <row r="48" spans="1:4" ht="18">
      <c r="A48" s="19">
        <f t="shared" ca="1" si="0"/>
        <v>45905</v>
      </c>
      <c r="B48" s="17" cm="1">
        <f t="array" aca="1" ref="B48" ca="1">[1]!s_west_netprofit($B$1,2026,$A48,180,1000000)</f>
        <v>88.481916999999996</v>
      </c>
      <c r="C48" s="18" cm="1">
        <f t="array" aca="1" ref="C48" ca="1">[1]!s_dq_close($B$1,$A48,3)</f>
        <v>25.02</v>
      </c>
      <c r="D48">
        <f ca="1">[1]!s_west_instnum_np($B$1,2026,A48,180)</f>
        <v>24</v>
      </c>
    </row>
    <row r="49" spans="1:4" ht="18">
      <c r="A49" s="19">
        <f t="shared" ca="1" si="0"/>
        <v>45898</v>
      </c>
      <c r="B49" s="17" cm="1">
        <f t="array" aca="1" ref="B49" ca="1">[1]!s_west_netprofit($B$1,2026,$A49,180,1000000)</f>
        <v>88.481916999999996</v>
      </c>
      <c r="C49" s="18" cm="1">
        <f t="array" aca="1" ref="C49" ca="1">[1]!s_dq_close($B$1,$A49,3)</f>
        <v>23.7</v>
      </c>
      <c r="D49">
        <f ca="1">[1]!s_west_instnum_np($B$1,2026,A49,180)</f>
        <v>24</v>
      </c>
    </row>
    <row r="50" spans="1:4" ht="18">
      <c r="A50" s="19">
        <f t="shared" ca="1" si="0"/>
        <v>45891</v>
      </c>
      <c r="B50" s="17" cm="1">
        <f t="array" aca="1" ref="B50" ca="1">[1]!s_west_netprofit($B$1,2026,$A50,180,1000000)</f>
        <v>91.023583000000002</v>
      </c>
      <c r="C50" s="18" cm="1">
        <f t="array" aca="1" ref="C50" ca="1">[1]!s_dq_close($B$1,$A50,3)</f>
        <v>25.4</v>
      </c>
      <c r="D50">
        <f ca="1">[1]!s_west_instnum_np($B$1,2026,A50,180)</f>
        <v>24</v>
      </c>
    </row>
    <row r="51" spans="1:4" ht="18">
      <c r="A51" s="19">
        <f t="shared" ca="1" si="0"/>
        <v>45884</v>
      </c>
      <c r="B51" s="17" cm="1">
        <f t="array" aca="1" ref="B51" ca="1">[1]!s_west_netprofit($B$1,2026,$A51,180,1000000)</f>
        <v>101.53765199999999</v>
      </c>
      <c r="C51" s="18" cm="1">
        <f t="array" aca="1" ref="C51" ca="1">[1]!s_dq_close($B$1,$A51,3)</f>
        <v>25.7</v>
      </c>
      <c r="D51">
        <f ca="1">[1]!s_west_instnum_np($B$1,2026,A51,180)</f>
        <v>23</v>
      </c>
    </row>
    <row r="52" spans="1:4" ht="18">
      <c r="A52" s="19">
        <f t="shared" ca="1" si="0"/>
        <v>45877</v>
      </c>
      <c r="B52" s="17" cm="1">
        <f t="array" aca="1" ref="B52" ca="1">[1]!s_west_netprofit($B$1,2026,$A52,180,1000000)</f>
        <v>125.153739</v>
      </c>
      <c r="C52" s="18" cm="1">
        <f t="array" aca="1" ref="C52" ca="1">[1]!s_dq_close($B$1,$A52,3)</f>
        <v>23.54</v>
      </c>
      <c r="D52">
        <f ca="1">[1]!s_west_instnum_np($B$1,2026,A52,180)</f>
        <v>23</v>
      </c>
    </row>
    <row r="53" spans="1:4" ht="18">
      <c r="A53" s="19">
        <f t="shared" ca="1" si="0"/>
        <v>45870</v>
      </c>
      <c r="B53" s="17" cm="1">
        <f t="array" aca="1" ref="B53" ca="1">[1]!s_west_netprofit($B$1,2026,$A53,180,1000000)</f>
        <v>132.42595700000001</v>
      </c>
      <c r="C53" s="18" cm="1">
        <f t="array" aca="1" ref="C53" ca="1">[1]!s_dq_close($B$1,$A53,3)</f>
        <v>27.3</v>
      </c>
      <c r="D53">
        <f ca="1">[1]!s_west_instnum_np($B$1,2026,A53,180)</f>
        <v>23</v>
      </c>
    </row>
    <row r="54" spans="1:4" ht="18">
      <c r="A54" s="19">
        <f t="shared" ca="1" si="0"/>
        <v>45863</v>
      </c>
      <c r="B54" s="17" cm="1">
        <f t="array" aca="1" ref="B54" ca="1">[1]!s_west_netprofit($B$1,2026,$A54,180,1000000)</f>
        <v>132.42595700000001</v>
      </c>
      <c r="C54" s="18" cm="1">
        <f t="array" aca="1" ref="C54" ca="1">[1]!s_dq_close($B$1,$A54,3)</f>
        <v>28</v>
      </c>
      <c r="D54">
        <f ca="1">[1]!s_west_instnum_np($B$1,2026,A54,180)</f>
        <v>23</v>
      </c>
    </row>
    <row r="55" spans="1:4" ht="18">
      <c r="A55" s="19">
        <f t="shared" ca="1" si="0"/>
        <v>45856</v>
      </c>
      <c r="B55" s="17" cm="1">
        <f t="array" aca="1" ref="B55" ca="1">[1]!s_west_netprofit($B$1,2026,$A55,180,1000000)</f>
        <v>132.42595700000001</v>
      </c>
      <c r="C55" s="18" cm="1">
        <f t="array" aca="1" ref="C55" ca="1">[1]!s_dq_close($B$1,$A55,3)</f>
        <v>27.9</v>
      </c>
      <c r="D55">
        <f ca="1">[1]!s_west_instnum_np($B$1,2026,A55,180)</f>
        <v>23</v>
      </c>
    </row>
    <row r="56" spans="1:4" ht="18">
      <c r="A56" s="19">
        <f t="shared" ca="1" si="0"/>
        <v>45849</v>
      </c>
      <c r="B56" s="17" cm="1">
        <f t="array" aca="1" ref="B56" ca="1">[1]!s_west_netprofit($B$1,2026,$A56,180,1000000)</f>
        <v>132.42595700000001</v>
      </c>
      <c r="C56" s="18" cm="1">
        <f t="array" aca="1" ref="C56" ca="1">[1]!s_dq_close($B$1,$A56,3)</f>
        <v>25.55</v>
      </c>
      <c r="D56">
        <f ca="1">[1]!s_west_instnum_np($B$1,2026,A56,180)</f>
        <v>23</v>
      </c>
    </row>
    <row r="57" spans="1:4" ht="18">
      <c r="A57" s="19">
        <f t="shared" ca="1" si="0"/>
        <v>45842</v>
      </c>
      <c r="B57" s="17" cm="1">
        <f t="array" aca="1" ref="B57" ca="1">[1]!s_west_netprofit($B$1,2026,$A57,180,1000000)</f>
        <v>132.42595700000001</v>
      </c>
      <c r="C57" s="18" cm="1">
        <f t="array" aca="1" ref="C57" ca="1">[1]!s_dq_close($B$1,$A57,3)</f>
        <v>24.95</v>
      </c>
      <c r="D57">
        <f ca="1">[1]!s_west_instnum_np($B$1,2026,A57,180)</f>
        <v>23</v>
      </c>
    </row>
    <row r="58" spans="1:4" ht="18">
      <c r="A58" s="19">
        <f t="shared" ca="1" si="0"/>
        <v>45835</v>
      </c>
      <c r="B58" s="17" cm="1">
        <f t="array" aca="1" ref="B58" ca="1">[1]!s_west_netprofit($B$1,2026,$A58,180,1000000)</f>
        <v>132.67259100000001</v>
      </c>
      <c r="C58" s="18" cm="1">
        <f t="array" aca="1" ref="C58" ca="1">[1]!s_dq_close($B$1,$A58,3)</f>
        <v>23.75</v>
      </c>
      <c r="D58">
        <f ca="1">[1]!s_west_instnum_np($B$1,2026,A58,180)</f>
        <v>22</v>
      </c>
    </row>
    <row r="59" spans="1:4" ht="18">
      <c r="A59" s="19">
        <f t="shared" ca="1" si="0"/>
        <v>45828</v>
      </c>
      <c r="B59" s="17" cm="1">
        <f t="array" aca="1" ref="B59" ca="1">[1]!s_west_netprofit($B$1,2026,$A59,180,1000000)</f>
        <v>132.67259100000001</v>
      </c>
      <c r="C59" s="18" cm="1">
        <f t="array" aca="1" ref="C59" ca="1">[1]!s_dq_close($B$1,$A59,3)</f>
        <v>23.65</v>
      </c>
      <c r="D59">
        <f ca="1">[1]!s_west_instnum_np($B$1,2026,A59,180)</f>
        <v>22</v>
      </c>
    </row>
    <row r="60" spans="1:4" ht="18">
      <c r="A60" s="19">
        <f t="shared" ca="1" si="0"/>
        <v>45821</v>
      </c>
      <c r="B60" s="17" cm="1">
        <f t="array" aca="1" ref="B60" ca="1">[1]!s_west_netprofit($B$1,2026,$A60,180,1000000)</f>
        <v>132.67259100000001</v>
      </c>
      <c r="C60" s="18" cm="1">
        <f t="array" aca="1" ref="C60" ca="1">[1]!s_dq_close($B$1,$A60,3)</f>
        <v>27.2</v>
      </c>
      <c r="D60">
        <f ca="1">[1]!s_west_instnum_np($B$1,2026,A60,180)</f>
        <v>22</v>
      </c>
    </row>
    <row r="61" spans="1:4" ht="18">
      <c r="A61" s="19">
        <f t="shared" ca="1" si="0"/>
        <v>45814</v>
      </c>
      <c r="B61" s="17" cm="1">
        <f t="array" aca="1" ref="B61" ca="1">[1]!s_west_netprofit($B$1,2026,$A61,180,1000000)</f>
        <v>132.67259100000001</v>
      </c>
      <c r="C61" s="18" cm="1">
        <f t="array" aca="1" ref="C61" ca="1">[1]!s_dq_close($B$1,$A61,3)</f>
        <v>24.1</v>
      </c>
      <c r="D61">
        <f ca="1">[1]!s_west_instnum_np($B$1,2026,A61,180)</f>
        <v>22</v>
      </c>
    </row>
    <row r="62" spans="1:4" ht="18">
      <c r="A62" s="19">
        <f t="shared" ca="1" si="0"/>
        <v>45807</v>
      </c>
      <c r="B62" s="17" cm="1">
        <f t="array" aca="1" ref="B62" ca="1">[1]!s_west_netprofit($B$1,2026,$A62,180,1000000)</f>
        <v>132.67259100000001</v>
      </c>
      <c r="C62" s="18" cm="1">
        <f t="array" aca="1" ref="C62" ca="1">[1]!s_dq_close($B$1,$A62,3)</f>
        <v>22.45</v>
      </c>
      <c r="D62">
        <f ca="1">[1]!s_west_instnum_np($B$1,2026,A62,180)</f>
        <v>22</v>
      </c>
    </row>
    <row r="63" spans="1:4" ht="18">
      <c r="A63" s="19">
        <f t="shared" ca="1" si="0"/>
        <v>45800</v>
      </c>
      <c r="B63" s="17" cm="1">
        <f t="array" aca="1" ref="B63" ca="1">[1]!s_west_netprofit($B$1,2026,$A63,180,1000000)</f>
        <v>132.67259100000001</v>
      </c>
      <c r="C63" s="18" cm="1">
        <f t="array" aca="1" ref="C63" ca="1">[1]!s_dq_close($B$1,$A63,3)</f>
        <v>21.3</v>
      </c>
      <c r="D63">
        <f ca="1">[1]!s_west_instnum_np($B$1,2026,A63,180)</f>
        <v>22</v>
      </c>
    </row>
    <row r="64" spans="1:4" ht="18">
      <c r="A64" s="19">
        <f t="shared" ca="1" si="0"/>
        <v>45793</v>
      </c>
      <c r="B64" s="17" cm="1">
        <f t="array" aca="1" ref="B64" ca="1">[1]!s_west_netprofit($B$1,2026,$A64,180,1000000)</f>
        <v>132.67259100000001</v>
      </c>
      <c r="C64" s="18" cm="1">
        <f t="array" aca="1" ref="C64" ca="1">[1]!s_dq_close($B$1,$A64,3)</f>
        <v>21.2</v>
      </c>
      <c r="D64">
        <f ca="1">[1]!s_west_instnum_np($B$1,2026,A64,180)</f>
        <v>22</v>
      </c>
    </row>
    <row r="65" spans="1:4" ht="18">
      <c r="A65" s="19">
        <f t="shared" ca="1" si="0"/>
        <v>45786</v>
      </c>
      <c r="B65" s="17" cm="1">
        <f t="array" aca="1" ref="B65" ca="1">[1]!s_west_netprofit($B$1,2026,$A65,180,1000000)</f>
        <v>132.67259100000001</v>
      </c>
      <c r="C65" s="18" cm="1">
        <f t="array" aca="1" ref="C65" ca="1">[1]!s_dq_close($B$1,$A65,3)</f>
        <v>22.5</v>
      </c>
      <c r="D65">
        <f ca="1">[1]!s_west_instnum_np($B$1,2026,A65,180)</f>
        <v>22</v>
      </c>
    </row>
    <row r="66" spans="1:4" ht="18">
      <c r="A66" s="19">
        <f t="shared" ca="1" si="0"/>
        <v>45779</v>
      </c>
      <c r="B66" s="17" cm="1">
        <f t="array" aca="1" ref="B66" ca="1">[1]!s_west_netprofit($B$1,2026,$A66,180,1000000)</f>
        <v>132.67259100000001</v>
      </c>
      <c r="C66" s="18" cm="1">
        <f t="array" aca="1" ref="C66" ca="1">[1]!s_dq_close($B$1,$A66,3)</f>
        <v>24</v>
      </c>
      <c r="D66">
        <f ca="1">[1]!s_west_instnum_np($B$1,2026,A66,180)</f>
        <v>22</v>
      </c>
    </row>
    <row r="67" spans="1:4" ht="18">
      <c r="A67" s="19">
        <f t="shared" ca="1" si="0"/>
        <v>45772</v>
      </c>
      <c r="B67" s="17" cm="1">
        <f t="array" aca="1" ref="B67" ca="1">[1]!s_west_netprofit($B$1,2026,$A67,180,1000000)</f>
        <v>132.67259100000001</v>
      </c>
      <c r="C67" s="18" cm="1">
        <f t="array" aca="1" ref="C67" ca="1">[1]!s_dq_close($B$1,$A67,3)</f>
        <v>23.4</v>
      </c>
      <c r="D67">
        <f ca="1">[1]!s_west_instnum_np($B$1,2026,A67,180)</f>
        <v>22</v>
      </c>
    </row>
    <row r="68" spans="1:4" ht="18">
      <c r="A68" s="19">
        <f t="shared" ca="1" si="0"/>
        <v>45765</v>
      </c>
      <c r="B68" s="17" cm="1">
        <f t="array" aca="1" ref="B68" ca="1">[1]!s_west_netprofit($B$1,2026,$A68,180,1000000)</f>
        <v>132.67259100000001</v>
      </c>
      <c r="C68" s="18" cm="1">
        <f t="array" aca="1" ref="C68" ca="1">[1]!s_dq_close($B$1,$A68,3)</f>
        <v>22.1</v>
      </c>
      <c r="D68">
        <f ca="1">[1]!s_west_instnum_np($B$1,2026,A68,180)</f>
        <v>22</v>
      </c>
    </row>
    <row r="69" spans="1:4" ht="18">
      <c r="A69" s="19">
        <f t="shared" ca="1" si="0"/>
        <v>45758</v>
      </c>
      <c r="B69" s="17" cm="1">
        <f t="array" aca="1" ref="B69" ca="1">[1]!s_west_netprofit($B$1,2026,$A69,180,1000000)</f>
        <v>133.73030399999999</v>
      </c>
      <c r="C69" s="18" cm="1">
        <f t="array" aca="1" ref="C69" ca="1">[1]!s_dq_close($B$1,$A69,3)</f>
        <v>21.5</v>
      </c>
      <c r="D69">
        <f ca="1">[1]!s_west_instnum_np($B$1,2026,A69,180)</f>
        <v>23</v>
      </c>
    </row>
    <row r="70" spans="1:4" ht="18">
      <c r="A70" s="19">
        <f t="shared" ca="1" si="0"/>
        <v>45751</v>
      </c>
      <c r="B70" s="17" cm="1">
        <f t="array" aca="1" ref="B70" ca="1">[1]!s_west_netprofit($B$1,2026,$A70,180,1000000)</f>
        <v>133.62713600000001</v>
      </c>
      <c r="C70" s="18" cm="1">
        <f t="array" aca="1" ref="C70" ca="1">[1]!s_dq_close($B$1,$A70,3)</f>
        <v>24.5</v>
      </c>
      <c r="D70">
        <f ca="1">[1]!s_west_instnum_np($B$1,2026,A70,180)</f>
        <v>22</v>
      </c>
    </row>
    <row r="71" spans="1:4" ht="18">
      <c r="A71" s="19">
        <f t="shared" ca="1" si="0"/>
        <v>45744</v>
      </c>
      <c r="B71" s="17" cm="1">
        <f t="array" aca="1" ref="B71" ca="1">[1]!s_west_netprofit($B$1,2026,$A71,180,1000000)</f>
        <v>133.99033299999999</v>
      </c>
      <c r="C71" s="18" cm="1">
        <f t="array" aca="1" ref="C71" ca="1">[1]!s_dq_close($B$1,$A71,3)</f>
        <v>24.4</v>
      </c>
      <c r="D71">
        <f ca="1">[1]!s_west_instnum_np($B$1,2026,A71,180)</f>
        <v>21</v>
      </c>
    </row>
    <row r="72" spans="1:4" ht="18">
      <c r="A72" s="19">
        <f t="shared" ca="1" si="0"/>
        <v>45737</v>
      </c>
      <c r="B72" s="17" cm="1">
        <f t="array" aca="1" ref="B72" ca="1">[1]!s_west_netprofit($B$1,2026,$A72,180,1000000)</f>
        <v>132.16913299999999</v>
      </c>
      <c r="C72" s="18" cm="1">
        <f t="array" aca="1" ref="C72" ca="1">[1]!s_dq_close($B$1,$A72,3)</f>
        <v>24.35</v>
      </c>
      <c r="D72">
        <f ca="1">[1]!s_west_instnum_np($B$1,2026,A72,180)</f>
        <v>15</v>
      </c>
    </row>
    <row r="73" spans="1:4" ht="18">
      <c r="A73" s="19">
        <f t="shared" ca="1" si="0"/>
        <v>45730</v>
      </c>
      <c r="B73" s="17" cm="1">
        <f t="array" aca="1" ref="B73" ca="1">[1]!s_west_netprofit($B$1,2026,$A73,180,1000000)</f>
        <v>129.96330800000001</v>
      </c>
      <c r="C73" s="18" cm="1">
        <f t="array" aca="1" ref="C73" ca="1">[1]!s_dq_close($B$1,$A73,3)</f>
        <v>24.35</v>
      </c>
      <c r="D73">
        <f ca="1">[1]!s_west_instnum_np($B$1,2026,A73,180)</f>
        <v>13</v>
      </c>
    </row>
    <row r="74" spans="1:4" ht="18">
      <c r="A74" s="19">
        <f t="shared" ca="1" si="0"/>
        <v>45723</v>
      </c>
      <c r="B74" s="17" cm="1">
        <f t="array" aca="1" ref="B74" ca="1">[1]!s_west_netprofit($B$1,2026,$A74,180,1000000)</f>
        <v>129.96330800000001</v>
      </c>
      <c r="C74" s="18" cm="1">
        <f t="array" aca="1" ref="C74" ca="1">[1]!s_dq_close($B$1,$A74,3)</f>
        <v>25.8</v>
      </c>
      <c r="D74">
        <f ca="1">[1]!s_west_instnum_np($B$1,2026,A74,180)</f>
        <v>13</v>
      </c>
    </row>
    <row r="75" spans="1:4" ht="18">
      <c r="A75" s="19">
        <f t="shared" ca="1" si="0"/>
        <v>45716</v>
      </c>
      <c r="B75" s="17" cm="1">
        <f t="array" aca="1" ref="B75" ca="1">[1]!s_west_netprofit($B$1,2026,$A75,180,1000000)</f>
        <v>129.96330800000001</v>
      </c>
      <c r="C75" s="18" cm="1">
        <f t="array" aca="1" ref="C75" ca="1">[1]!s_dq_close($B$1,$A75,3)</f>
        <v>25.75</v>
      </c>
      <c r="D75">
        <f ca="1">[1]!s_west_instnum_np($B$1,2026,A75,180)</f>
        <v>13</v>
      </c>
    </row>
    <row r="76" spans="1:4" ht="18">
      <c r="A76" s="19">
        <f t="shared" ref="A76:A139" ca="1" si="1">A75-7</f>
        <v>45709</v>
      </c>
      <c r="B76" s="17" cm="1">
        <f t="array" aca="1" ref="B76" ca="1">[1]!s_west_netprofit($B$1,2026,$A76,180,1000000)</f>
        <v>129.96330800000001</v>
      </c>
      <c r="C76" s="18" cm="1">
        <f t="array" aca="1" ref="C76" ca="1">[1]!s_dq_close($B$1,$A76,3)</f>
        <v>25.45</v>
      </c>
      <c r="D76">
        <f ca="1">[1]!s_west_instnum_np($B$1,2026,A76,180)</f>
        <v>13</v>
      </c>
    </row>
    <row r="77" spans="1:4" ht="18">
      <c r="A77" s="19">
        <f t="shared" ca="1" si="1"/>
        <v>45702</v>
      </c>
      <c r="B77" s="17" cm="1">
        <f t="array" aca="1" ref="B77" ca="1">[1]!s_west_netprofit($B$1,2026,$A77,180,1000000)</f>
        <v>124.44450000000001</v>
      </c>
      <c r="C77" s="18" cm="1">
        <f t="array" aca="1" ref="C77" ca="1">[1]!s_dq_close($B$1,$A77,3)</f>
        <v>21.3</v>
      </c>
      <c r="D77">
        <f ca="1">[1]!s_west_instnum_np($B$1,2026,A77,180)</f>
        <v>14</v>
      </c>
    </row>
    <row r="78" spans="1:4" ht="18">
      <c r="A78" s="19">
        <f t="shared" ca="1" si="1"/>
        <v>45695</v>
      </c>
      <c r="B78" s="17" cm="1">
        <f t="array" aca="1" ref="B78" ca="1">[1]!s_west_netprofit($B$1,2026,$A78,180,1000000)</f>
        <v>124.44450000000001</v>
      </c>
      <c r="C78" s="18" cm="1">
        <f t="array" aca="1" ref="C78" ca="1">[1]!s_dq_close($B$1,$A78,3)</f>
        <v>20.95</v>
      </c>
      <c r="D78">
        <f ca="1">[1]!s_west_instnum_np($B$1,2026,A78,180)</f>
        <v>14</v>
      </c>
    </row>
    <row r="79" spans="1:4" ht="18">
      <c r="A79" s="19">
        <f t="shared" ca="1" si="1"/>
        <v>45688</v>
      </c>
      <c r="B79" s="17" cm="1">
        <f t="array" aca="1" ref="B79" ca="1">[1]!s_west_netprofit($B$1,2026,$A79,180,1000000)</f>
        <v>126.287688</v>
      </c>
      <c r="C79" s="18" cm="1">
        <f t="array" aca="1" ref="C79" ca="1">[1]!s_dq_close($B$1,$A79,3)</f>
        <v>20.9</v>
      </c>
      <c r="D79">
        <f ca="1">[1]!s_west_instnum_np($B$1,2026,A79,180)</f>
        <v>16</v>
      </c>
    </row>
    <row r="80" spans="1:4" ht="18">
      <c r="A80" s="19">
        <f t="shared" ca="1" si="1"/>
        <v>45681</v>
      </c>
      <c r="B80" s="17" cm="1">
        <f t="array" aca="1" ref="B80" ca="1">[1]!s_west_netprofit($B$1,2026,$A80,180,1000000)</f>
        <v>139.09831800000001</v>
      </c>
      <c r="C80" s="18" cm="1">
        <f t="array" aca="1" ref="C80" ca="1">[1]!s_dq_close($B$1,$A80,3)</f>
        <v>20.95</v>
      </c>
      <c r="D80">
        <f ca="1">[1]!s_west_instnum_np($B$1,2026,A80,180)</f>
        <v>22</v>
      </c>
    </row>
    <row r="81" spans="1:4" ht="18">
      <c r="A81" s="19">
        <f t="shared" ca="1" si="1"/>
        <v>45674</v>
      </c>
      <c r="B81" s="17" cm="1">
        <f t="array" aca="1" ref="B81" ca="1">[1]!s_west_netprofit($B$1,2026,$A81,180,1000000)</f>
        <v>140.293476</v>
      </c>
      <c r="C81" s="18" cm="1">
        <f t="array" aca="1" ref="C81" ca="1">[1]!s_dq_close($B$1,$A81,3)</f>
        <v>22</v>
      </c>
      <c r="D81">
        <f ca="1">[1]!s_west_instnum_np($B$1,2026,A81,180)</f>
        <v>21</v>
      </c>
    </row>
    <row r="82" spans="1:4" ht="18">
      <c r="A82" s="19">
        <f t="shared" ca="1" si="1"/>
        <v>45667</v>
      </c>
      <c r="B82" s="17" cm="1">
        <f t="array" aca="1" ref="B82" ca="1">[1]!s_west_netprofit($B$1,2026,$A82,180,1000000)</f>
        <v>140.293476</v>
      </c>
      <c r="C82" s="18" cm="1">
        <f t="array" aca="1" ref="C82" ca="1">[1]!s_dq_close($B$1,$A82,3)</f>
        <v>23.75</v>
      </c>
      <c r="D82">
        <f ca="1">[1]!s_west_instnum_np($B$1,2026,A82,180)</f>
        <v>21</v>
      </c>
    </row>
    <row r="83" spans="1:4" ht="18">
      <c r="A83" s="19">
        <f t="shared" ca="1" si="1"/>
        <v>45660</v>
      </c>
      <c r="B83" s="17" cm="1">
        <f t="array" aca="1" ref="B83" ca="1">[1]!s_west_netprofit($B$1,2026,$A83,180,1000000)</f>
        <v>140.86328599999999</v>
      </c>
      <c r="C83" s="18" cm="1">
        <f t="array" aca="1" ref="C83" ca="1">[1]!s_dq_close($B$1,$A83,3)</f>
        <v>23.25</v>
      </c>
      <c r="D83">
        <f ca="1">[1]!s_west_instnum_np($B$1,2026,A83,180)</f>
        <v>21</v>
      </c>
    </row>
    <row r="84" spans="1:4" ht="18">
      <c r="A84" s="19">
        <f t="shared" ca="1" si="1"/>
        <v>45653</v>
      </c>
      <c r="B84" s="17" cm="1">
        <f t="array" aca="1" ref="B84" ca="1">[1]!s_west_netprofit($B$1,2026,$A84,180,1000000)</f>
        <v>142.479421</v>
      </c>
      <c r="C84" s="18" cm="1">
        <f t="array" aca="1" ref="C84" ca="1">[1]!s_dq_close($B$1,$A84,3)</f>
        <v>22.3</v>
      </c>
      <c r="D84">
        <f ca="1">[1]!s_west_instnum_np($B$1,2026,A84,180)</f>
        <v>19</v>
      </c>
    </row>
    <row r="85" spans="1:4" ht="18">
      <c r="A85" s="19">
        <f t="shared" ca="1" si="1"/>
        <v>45646</v>
      </c>
      <c r="B85" s="17" cm="1">
        <f t="array" aca="1" ref="B85" ca="1">[1]!s_west_netprofit($B$1,2026,$A85,180,1000000)</f>
        <v>135.453802</v>
      </c>
      <c r="C85" s="18" cm="1">
        <f t="array" aca="1" ref="C85" ca="1">[1]!s_dq_close($B$1,$A85,3)</f>
        <v>22.15</v>
      </c>
      <c r="D85">
        <f ca="1">[1]!s_west_instnum_np($B$1,2026,A85,180)</f>
        <v>18</v>
      </c>
    </row>
    <row r="86" spans="1:4" ht="18">
      <c r="A86" s="19">
        <f t="shared" ca="1" si="1"/>
        <v>45639</v>
      </c>
      <c r="B86" s="17" cm="1">
        <f t="array" aca="1" ref="B86" ca="1">[1]!s_west_netprofit($B$1,2026,$A86,180,1000000)</f>
        <v>135.453802</v>
      </c>
      <c r="C86" s="18" cm="1">
        <f t="array" aca="1" ref="C86" ca="1">[1]!s_dq_close($B$1,$A86,3)</f>
        <v>24.55</v>
      </c>
      <c r="D86">
        <f ca="1">[1]!s_west_instnum_np($B$1,2026,A86,180)</f>
        <v>18</v>
      </c>
    </row>
    <row r="87" spans="1:4" ht="18">
      <c r="A87" s="19">
        <f t="shared" ca="1" si="1"/>
        <v>45632</v>
      </c>
      <c r="B87" s="17" cm="1">
        <f t="array" aca="1" ref="B87" ca="1">[1]!s_west_netprofit($B$1,2026,$A87,180,1000000)</f>
        <v>137.66432800000001</v>
      </c>
      <c r="C87" s="18" cm="1">
        <f t="array" aca="1" ref="C87" ca="1">[1]!s_dq_close($B$1,$A87,3)</f>
        <v>26.65</v>
      </c>
      <c r="D87">
        <f ca="1">[1]!s_west_instnum_np($B$1,2026,A87,180)</f>
        <v>18</v>
      </c>
    </row>
    <row r="88" spans="1:4" ht="18">
      <c r="A88" s="19">
        <f t="shared" ca="1" si="1"/>
        <v>45625</v>
      </c>
      <c r="B88" s="17" cm="1">
        <f t="array" aca="1" ref="B88" ca="1">[1]!s_west_netprofit($B$1,2026,$A88,180,1000000)</f>
        <v>137.66432800000001</v>
      </c>
      <c r="C88" s="18" cm="1">
        <f t="array" aca="1" ref="C88" ca="1">[1]!s_dq_close($B$1,$A88,3)</f>
        <v>26.5</v>
      </c>
      <c r="D88">
        <f ca="1">[1]!s_west_instnum_np($B$1,2026,A88,180)</f>
        <v>18</v>
      </c>
    </row>
    <row r="89" spans="1:4" ht="18">
      <c r="A89" s="19">
        <f t="shared" ca="1" si="1"/>
        <v>45618</v>
      </c>
      <c r="B89" s="17" cm="1">
        <f t="array" aca="1" ref="B89" ca="1">[1]!s_west_netprofit($B$1,2026,$A89,180,1000000)</f>
        <v>137.66432800000001</v>
      </c>
      <c r="C89" s="18" cm="1">
        <f t="array" aca="1" ref="C89" ca="1">[1]!s_dq_close($B$1,$A89,3)</f>
        <v>27.3</v>
      </c>
      <c r="D89">
        <f ca="1">[1]!s_west_instnum_np($B$1,2026,A89,180)</f>
        <v>18</v>
      </c>
    </row>
    <row r="90" spans="1:4" ht="18">
      <c r="A90" s="19">
        <f t="shared" ca="1" si="1"/>
        <v>45611</v>
      </c>
      <c r="B90" s="17" cm="1">
        <f t="array" aca="1" ref="B90" ca="1">[1]!s_west_netprofit($B$1,2026,$A90,180,1000000)</f>
        <v>137.66432800000001</v>
      </c>
      <c r="C90" s="18" cm="1">
        <f t="array" aca="1" ref="C90" ca="1">[1]!s_dq_close($B$1,$A90,3)</f>
        <v>26.55</v>
      </c>
      <c r="D90">
        <f ca="1">[1]!s_west_instnum_np($B$1,2026,A90,180)</f>
        <v>18</v>
      </c>
    </row>
    <row r="91" spans="1:4" ht="18">
      <c r="A91" s="19">
        <f t="shared" ca="1" si="1"/>
        <v>45604</v>
      </c>
      <c r="B91" s="17" cm="1">
        <f t="array" aca="1" ref="B91" ca="1">[1]!s_west_netprofit($B$1,2026,$A91,180,1000000)</f>
        <v>137.66432800000001</v>
      </c>
      <c r="C91" s="18" cm="1">
        <f t="array" aca="1" ref="C91" ca="1">[1]!s_dq_close($B$1,$A91,3)</f>
        <v>28.35</v>
      </c>
      <c r="D91">
        <f ca="1">[1]!s_west_instnum_np($B$1,2026,A91,180)</f>
        <v>18</v>
      </c>
    </row>
    <row r="92" spans="1:4" ht="18">
      <c r="A92" s="19">
        <f t="shared" ca="1" si="1"/>
        <v>45597</v>
      </c>
      <c r="B92" s="17" cm="1">
        <f t="array" aca="1" ref="B92" ca="1">[1]!s_west_netprofit($B$1,2026,$A92,180,1000000)</f>
        <v>137.66432800000001</v>
      </c>
      <c r="C92" s="18" cm="1">
        <f t="array" aca="1" ref="C92" ca="1">[1]!s_dq_close($B$1,$A92,3)</f>
        <v>29.25</v>
      </c>
      <c r="D92">
        <f ca="1">[1]!s_west_instnum_np($B$1,2026,A92,180)</f>
        <v>18</v>
      </c>
    </row>
    <row r="93" spans="1:4" ht="18">
      <c r="A93" s="19">
        <f t="shared" ca="1" si="1"/>
        <v>45590</v>
      </c>
      <c r="B93" s="17" cm="1">
        <f t="array" aca="1" ref="B93" ca="1">[1]!s_west_netprofit($B$1,2026,$A93,180,1000000)</f>
        <v>137.66432800000001</v>
      </c>
      <c r="C93" s="18" cm="1">
        <f t="array" aca="1" ref="C93" ca="1">[1]!s_dq_close($B$1,$A93,3)</f>
        <v>32.950000000000003</v>
      </c>
      <c r="D93">
        <f ca="1">[1]!s_west_instnum_np($B$1,2026,A93,180)</f>
        <v>18</v>
      </c>
    </row>
    <row r="94" spans="1:4" ht="18">
      <c r="A94" s="19">
        <f t="shared" ca="1" si="1"/>
        <v>45583</v>
      </c>
      <c r="B94" s="17" cm="1">
        <f t="array" aca="1" ref="B94" ca="1">[1]!s_west_netprofit($B$1,2026,$A94,180,1000000)</f>
        <v>137.66432800000001</v>
      </c>
      <c r="C94" s="18" cm="1">
        <f t="array" aca="1" ref="C94" ca="1">[1]!s_dq_close($B$1,$A94,3)</f>
        <v>33.049999999999997</v>
      </c>
      <c r="D94">
        <f ca="1">[1]!s_west_instnum_np($B$1,2026,A94,180)</f>
        <v>18</v>
      </c>
    </row>
    <row r="95" spans="1:4" ht="18">
      <c r="A95" s="19">
        <f t="shared" ca="1" si="1"/>
        <v>45576</v>
      </c>
      <c r="B95" s="17" cm="1">
        <f t="array" aca="1" ref="B95" ca="1">[1]!s_west_netprofit($B$1,2026,$A95,180,1000000)</f>
        <v>137.66432800000001</v>
      </c>
      <c r="C95" s="18" cm="1">
        <f t="array" aca="1" ref="C95" ca="1">[1]!s_dq_close($B$1,$A95,3)</f>
        <v>31.35</v>
      </c>
      <c r="D95">
        <f ca="1">[1]!s_west_instnum_np($B$1,2026,A95,180)</f>
        <v>18</v>
      </c>
    </row>
    <row r="96" spans="1:4" ht="18">
      <c r="A96" s="19">
        <f t="shared" ca="1" si="1"/>
        <v>45569</v>
      </c>
      <c r="B96" s="17" cm="1">
        <f t="array" aca="1" ref="B96" ca="1">[1]!s_west_netprofit($B$1,2026,$A96,180,1000000)</f>
        <v>137.66432800000001</v>
      </c>
      <c r="C96" s="18" cm="1">
        <f t="array" aca="1" ref="C96" ca="1">[1]!s_dq_close($B$1,$A96,3)</f>
        <v>33.549999999999997</v>
      </c>
      <c r="D96">
        <f ca="1">[1]!s_west_instnum_np($B$1,2026,A96,180)</f>
        <v>18</v>
      </c>
    </row>
    <row r="97" spans="1:4" ht="18">
      <c r="A97" s="19">
        <f t="shared" ca="1" si="1"/>
        <v>45562</v>
      </c>
      <c r="B97" s="17" cm="1">
        <f t="array" aca="1" ref="B97" ca="1">[1]!s_west_netprofit($B$1,2026,$A97,180,1000000)</f>
        <v>137.66432800000001</v>
      </c>
      <c r="C97" s="18" cm="1">
        <f t="array" aca="1" ref="C97" ca="1">[1]!s_dq_close($B$1,$A97,3)</f>
        <v>30.2</v>
      </c>
      <c r="D97">
        <f ca="1">[1]!s_west_instnum_np($B$1,2026,A97,180)</f>
        <v>18</v>
      </c>
    </row>
    <row r="98" spans="1:4" ht="18">
      <c r="A98" s="19">
        <f t="shared" ca="1" si="1"/>
        <v>45555</v>
      </c>
      <c r="B98" s="17" cm="1">
        <f t="array" aca="1" ref="B98" ca="1">[1]!s_west_netprofit($B$1,2026,$A98,180,1000000)</f>
        <v>139.47901300000001</v>
      </c>
      <c r="C98" s="18" cm="1">
        <f t="array" aca="1" ref="C98" ca="1">[1]!s_dq_close($B$1,$A98,3)</f>
        <v>27.2</v>
      </c>
      <c r="D98">
        <f ca="1">[1]!s_west_instnum_np($B$1,2026,A98,180)</f>
        <v>17</v>
      </c>
    </row>
    <row r="99" spans="1:4" ht="19" thickBot="1">
      <c r="A99" s="20">
        <f t="shared" ca="1" si="1"/>
        <v>45548</v>
      </c>
      <c r="B99" s="21" cm="1">
        <f t="array" aca="1" ref="B99" ca="1">[1]!s_west_netprofit($B$1,2026,$A99,180,1000000)</f>
        <v>139.47901300000001</v>
      </c>
      <c r="C99" s="22" cm="1">
        <f t="array" aca="1" ref="C99" ca="1">[1]!s_dq_close($B$1,$A99,3)</f>
        <v>27</v>
      </c>
      <c r="D99">
        <f ca="1">[1]!s_west_instnum_np($B$1,2026,A99,180)</f>
        <v>17</v>
      </c>
    </row>
    <row r="100" spans="1:4" ht="19" thickBot="1">
      <c r="A100" s="19">
        <f t="shared" ca="1" si="1"/>
        <v>45541</v>
      </c>
      <c r="B100" s="21" cm="1">
        <f t="array" aca="1" ref="B100" ca="1">[1]!s_west_netprofit($B$1,2026,$A100,180,1000000)</f>
        <v>139.47901300000001</v>
      </c>
      <c r="C100" s="22" cm="1">
        <f t="array" aca="1" ref="C100" ca="1">[1]!s_dq_close($B$1,$A100,3)</f>
        <v>27.9</v>
      </c>
      <c r="D100">
        <f ca="1">[1]!s_west_instnum_np($B$1,2026,A100,180)</f>
        <v>17</v>
      </c>
    </row>
    <row r="101" spans="1:4" ht="19" thickBot="1">
      <c r="A101" s="20">
        <f t="shared" ca="1" si="1"/>
        <v>45534</v>
      </c>
      <c r="B101" s="21" cm="1">
        <f t="array" aca="1" ref="B101" ca="1">[1]!s_west_netprofit($B$1,2026,$A101,180,1000000)</f>
        <v>139.47901300000001</v>
      </c>
      <c r="C101" s="22" cm="1">
        <f t="array" aca="1" ref="C101" ca="1">[1]!s_dq_close($B$1,$A101,3)</f>
        <v>27.75</v>
      </c>
      <c r="D101">
        <f ca="1">[1]!s_west_instnum_np($B$1,2026,A101,180)</f>
        <v>17</v>
      </c>
    </row>
    <row r="102" spans="1:4" ht="19" thickBot="1">
      <c r="A102" s="19">
        <f t="shared" ca="1" si="1"/>
        <v>45527</v>
      </c>
      <c r="B102" s="21" cm="1">
        <f t="array" aca="1" ref="B102" ca="1">[1]!s_west_netprofit($B$1,2026,$A102,180,1000000)</f>
        <v>139.47901300000001</v>
      </c>
      <c r="C102" s="22" cm="1">
        <f t="array" aca="1" ref="C102" ca="1">[1]!s_dq_close($B$1,$A102,3)</f>
        <v>26.95</v>
      </c>
      <c r="D102">
        <f ca="1">[1]!s_west_instnum_np($B$1,2026,A102,180)</f>
        <v>17</v>
      </c>
    </row>
    <row r="103" spans="1:4" ht="19" thickBot="1">
      <c r="A103" s="20">
        <f t="shared" ca="1" si="1"/>
        <v>45520</v>
      </c>
      <c r="B103" s="21" cm="1">
        <f t="array" aca="1" ref="B103" ca="1">[1]!s_west_netprofit($B$1,2026,$A103,180,1000000)</f>
        <v>144.58366100000001</v>
      </c>
      <c r="C103" s="22" cm="1">
        <f t="array" aca="1" ref="C103" ca="1">[1]!s_dq_close($B$1,$A103,3)</f>
        <v>29.2</v>
      </c>
      <c r="D103">
        <f ca="1">[1]!s_west_instnum_np($B$1,2026,A103,180)</f>
        <v>16</v>
      </c>
    </row>
    <row r="104" spans="1:4" ht="19" thickBot="1">
      <c r="A104" s="19">
        <f t="shared" ca="1" si="1"/>
        <v>45513</v>
      </c>
      <c r="B104" s="21" cm="1">
        <f t="array" aca="1" ref="B104" ca="1">[1]!s_west_netprofit($B$1,2026,$A104,180,1000000)</f>
        <v>144.58366100000001</v>
      </c>
      <c r="C104" s="22" cm="1">
        <f t="array" aca="1" ref="C104" ca="1">[1]!s_dq_close($B$1,$A104,3)</f>
        <v>31.15</v>
      </c>
      <c r="D104">
        <f ca="1">[1]!s_west_instnum_np($B$1,2026,A104,180)</f>
        <v>16</v>
      </c>
    </row>
    <row r="105" spans="1:4" ht="19" thickBot="1">
      <c r="A105" s="20">
        <f t="shared" ca="1" si="1"/>
        <v>45506</v>
      </c>
      <c r="B105" s="21" cm="1">
        <f t="array" aca="1" ref="B105" ca="1">[1]!s_west_netprofit($B$1,2026,$A105,180,1000000)</f>
        <v>143.217015</v>
      </c>
      <c r="C105" s="22" cm="1">
        <f t="array" aca="1" ref="C105" ca="1">[1]!s_dq_close($B$1,$A105,3)</f>
        <v>28.8</v>
      </c>
      <c r="D105">
        <f ca="1">[1]!s_west_instnum_np($B$1,2026,A105,180)</f>
        <v>15</v>
      </c>
    </row>
    <row r="106" spans="1:4" ht="19" thickBot="1">
      <c r="A106" s="19">
        <f t="shared" ca="1" si="1"/>
        <v>45499</v>
      </c>
      <c r="B106" s="21" cm="1">
        <f t="array" aca="1" ref="B106" ca="1">[1]!s_west_netprofit($B$1,2026,$A106,180,1000000)</f>
        <v>128.838416</v>
      </c>
      <c r="C106" s="22" cm="1">
        <f t="array" aca="1" ref="C106" ca="1">[1]!s_dq_close($B$1,$A106,3)</f>
        <v>29.05</v>
      </c>
      <c r="D106">
        <f ca="1">[1]!s_west_instnum_np($B$1,2026,A106,180)</f>
        <v>14</v>
      </c>
    </row>
    <row r="107" spans="1:4" ht="19" thickBot="1">
      <c r="A107" s="20">
        <f t="shared" ca="1" si="1"/>
        <v>45492</v>
      </c>
      <c r="B107" s="21" cm="1">
        <f t="array" aca="1" ref="B107" ca="1">[1]!s_west_netprofit($B$1,2026,$A107,180,1000000)</f>
        <v>128.838416</v>
      </c>
      <c r="C107" s="22" cm="1">
        <f t="array" aca="1" ref="C107" ca="1">[1]!s_dq_close($B$1,$A107,3)</f>
        <v>29.6</v>
      </c>
      <c r="D107">
        <f ca="1">[1]!s_west_instnum_np($B$1,2026,A107,180)</f>
        <v>14</v>
      </c>
    </row>
    <row r="108" spans="1:4" ht="19" thickBot="1">
      <c r="A108" s="19">
        <f t="shared" ca="1" si="1"/>
        <v>45485</v>
      </c>
      <c r="B108" s="21" cm="1">
        <f t="array" aca="1" ref="B108" ca="1">[1]!s_west_netprofit($B$1,2026,$A108,180,1000000)</f>
        <v>128.838416</v>
      </c>
      <c r="C108" s="22" cm="1">
        <f t="array" aca="1" ref="C108" ca="1">[1]!s_dq_close($B$1,$A108,3)</f>
        <v>29.75</v>
      </c>
      <c r="D108">
        <f ca="1">[1]!s_west_instnum_np($B$1,2026,A108,180)</f>
        <v>14</v>
      </c>
    </row>
    <row r="109" spans="1:4" ht="19" thickBot="1">
      <c r="A109" s="20">
        <f t="shared" ca="1" si="1"/>
        <v>45478</v>
      </c>
      <c r="B109" s="21" cm="1">
        <f t="array" aca="1" ref="B109" ca="1">[1]!s_west_netprofit($B$1,2026,$A109,180,1000000)</f>
        <v>128.53147999999999</v>
      </c>
      <c r="C109" s="22" cm="1">
        <f t="array" aca="1" ref="C109" ca="1">[1]!s_dq_close($B$1,$A109,3)</f>
        <v>28.85</v>
      </c>
      <c r="D109">
        <f ca="1">[1]!s_west_instnum_np($B$1,2026,A109,180)</f>
        <v>12</v>
      </c>
    </row>
    <row r="110" spans="1:4" ht="19" thickBot="1">
      <c r="A110" s="19">
        <f t="shared" ca="1" si="1"/>
        <v>45471</v>
      </c>
      <c r="B110" s="21" cm="1">
        <f t="array" aca="1" ref="B110" ca="1">[1]!s_west_netprofit($B$1,2026,$A110,180,1000000)</f>
        <v>128.53147999999999</v>
      </c>
      <c r="C110" s="22" cm="1">
        <f t="array" aca="1" ref="C110" ca="1">[1]!s_dq_close($B$1,$A110,3)</f>
        <v>27.5</v>
      </c>
      <c r="D110">
        <f ca="1">[1]!s_west_instnum_np($B$1,2026,A110,180)</f>
        <v>12</v>
      </c>
    </row>
    <row r="111" spans="1:4" ht="19" thickBot="1">
      <c r="A111" s="20">
        <f t="shared" ca="1" si="1"/>
        <v>45464</v>
      </c>
      <c r="B111" s="21" cm="1">
        <f t="array" aca="1" ref="B111" ca="1">[1]!s_west_netprofit($B$1,2026,$A111,180,1000000)</f>
        <v>127.53148</v>
      </c>
      <c r="C111" s="22" cm="1">
        <f t="array" aca="1" ref="C111" ca="1">[1]!s_dq_close($B$1,$A111,3)</f>
        <v>28.2</v>
      </c>
      <c r="D111">
        <f ca="1">[1]!s_west_instnum_np($B$1,2026,A111,180)</f>
        <v>12</v>
      </c>
    </row>
    <row r="112" spans="1:4" ht="19" thickBot="1">
      <c r="A112" s="19">
        <f t="shared" ca="1" si="1"/>
        <v>45457</v>
      </c>
      <c r="B112" s="21" cm="1">
        <f t="array" aca="1" ref="B112" ca="1">[1]!s_west_netprofit($B$1,2026,$A112,180,1000000)</f>
        <v>127.53148</v>
      </c>
      <c r="C112" s="22" cm="1">
        <f t="array" aca="1" ref="C112" ca="1">[1]!s_dq_close($B$1,$A112,3)</f>
        <v>28.75</v>
      </c>
      <c r="D112">
        <f ca="1">[1]!s_west_instnum_np($B$1,2026,A112,180)</f>
        <v>12</v>
      </c>
    </row>
    <row r="113" spans="1:4" ht="19" thickBot="1">
      <c r="A113" s="20">
        <f t="shared" ca="1" si="1"/>
        <v>45450</v>
      </c>
      <c r="B113" s="21" cm="1">
        <f t="array" aca="1" ref="B113" ca="1">[1]!s_west_netprofit($B$1,2026,$A113,180,1000000)</f>
        <v>134.52883299999999</v>
      </c>
      <c r="C113" s="22" cm="1">
        <f t="array" aca="1" ref="C113" ca="1">[1]!s_dq_close($B$1,$A113,3)</f>
        <v>28.8</v>
      </c>
      <c r="D113">
        <f ca="1">[1]!s_west_instnum_np($B$1,2026,A113,180)</f>
        <v>12</v>
      </c>
    </row>
    <row r="114" spans="1:4" ht="19" thickBot="1">
      <c r="A114" s="19">
        <f t="shared" ca="1" si="1"/>
        <v>45443</v>
      </c>
      <c r="B114" s="21" cm="1">
        <f t="array" aca="1" ref="B114" ca="1">[1]!s_west_netprofit($B$1,2026,$A114,180,1000000)</f>
        <v>134.52883299999999</v>
      </c>
      <c r="C114" s="22" cm="1">
        <f t="array" aca="1" ref="C114" ca="1">[1]!s_dq_close($B$1,$A114,3)</f>
        <v>29.45</v>
      </c>
      <c r="D114">
        <f ca="1">[1]!s_west_instnum_np($B$1,2026,A114,180)</f>
        <v>12</v>
      </c>
    </row>
    <row r="115" spans="1:4" ht="19" thickBot="1">
      <c r="A115" s="20">
        <f t="shared" ca="1" si="1"/>
        <v>45436</v>
      </c>
      <c r="B115" s="21" cm="1">
        <f t="array" aca="1" ref="B115" ca="1">[1]!s_west_netprofit($B$1,2026,$A115,180,1000000)</f>
        <v>134.52883299999999</v>
      </c>
      <c r="C115" s="22" cm="1">
        <f t="array" aca="1" ref="C115" ca="1">[1]!s_dq_close($B$1,$A115,3)</f>
        <v>29.7</v>
      </c>
      <c r="D115">
        <f ca="1">[1]!s_west_instnum_np($B$1,2026,A115,180)</f>
        <v>12</v>
      </c>
    </row>
    <row r="116" spans="1:4" ht="19" thickBot="1">
      <c r="A116" s="19">
        <f t="shared" ca="1" si="1"/>
        <v>45429</v>
      </c>
      <c r="B116" s="21" cm="1">
        <f t="array" aca="1" ref="B116" ca="1">[1]!s_west_netprofit($B$1,2026,$A116,180,1000000)</f>
        <v>137.304182</v>
      </c>
      <c r="C116" s="22" cm="1">
        <f t="array" aca="1" ref="C116" ca="1">[1]!s_dq_close($B$1,$A116,3)</f>
        <v>31.7</v>
      </c>
      <c r="D116">
        <f ca="1">[1]!s_west_instnum_np($B$1,2026,A116,180)</f>
        <v>11</v>
      </c>
    </row>
    <row r="117" spans="1:4" ht="19" thickBot="1">
      <c r="A117" s="20">
        <f t="shared" ca="1" si="1"/>
        <v>45422</v>
      </c>
      <c r="B117" s="21" cm="1">
        <f t="array" aca="1" ref="B117" ca="1">[1]!s_west_netprofit($B$1,2026,$A117,180,1000000)</f>
        <v>132.122364</v>
      </c>
      <c r="C117" s="22" cm="1">
        <f t="array" aca="1" ref="C117" ca="1">[1]!s_dq_close($B$1,$A117,3)</f>
        <v>34.65</v>
      </c>
      <c r="D117">
        <f ca="1">[1]!s_west_instnum_np($B$1,2026,A117,180)</f>
        <v>11</v>
      </c>
    </row>
    <row r="118" spans="1:4" ht="19" thickBot="1">
      <c r="A118" s="19">
        <f t="shared" ca="1" si="1"/>
        <v>45415</v>
      </c>
      <c r="B118" s="21" cm="1">
        <f t="array" aca="1" ref="B118" ca="1">[1]!s_west_netprofit($B$1,2026,$A118,180,1000000)</f>
        <v>126.597818</v>
      </c>
      <c r="C118" s="22" cm="1">
        <f t="array" aca="1" ref="C118" ca="1">[1]!s_dq_close($B$1,$A118,3)</f>
        <v>30.7</v>
      </c>
      <c r="D118">
        <f ca="1">[1]!s_west_instnum_np($B$1,2026,A118,180)</f>
        <v>11</v>
      </c>
    </row>
    <row r="119" spans="1:4" ht="19" thickBot="1">
      <c r="A119" s="20">
        <f t="shared" ca="1" si="1"/>
        <v>45408</v>
      </c>
      <c r="B119" s="21" cm="1">
        <f t="array" aca="1" ref="B119" ca="1">[1]!s_west_netprofit($B$1,2026,$A119,180,1000000)</f>
        <v>118.7576</v>
      </c>
      <c r="C119" s="22" cm="1">
        <f t="array" aca="1" ref="C119" ca="1">[1]!s_dq_close($B$1,$A119,3)</f>
        <v>30.35</v>
      </c>
      <c r="D119">
        <f ca="1">[1]!s_west_instnum_np($B$1,2026,A119,180)</f>
        <v>10</v>
      </c>
    </row>
    <row r="120" spans="1:4" ht="19" thickBot="1">
      <c r="A120" s="19">
        <f t="shared" ca="1" si="1"/>
        <v>45401</v>
      </c>
      <c r="B120" s="21" cm="1">
        <f t="array" aca="1" ref="B120" ca="1">[1]!s_west_netprofit($B$1,2026,$A120,180,1000000)</f>
        <v>118.7576</v>
      </c>
      <c r="C120" s="22" cm="1">
        <f t="array" aca="1" ref="C120" ca="1">[1]!s_dq_close($B$1,$A120,3)</f>
        <v>26</v>
      </c>
      <c r="D120">
        <f ca="1">[1]!s_west_instnum_np($B$1,2026,A120,180)</f>
        <v>10</v>
      </c>
    </row>
    <row r="121" spans="1:4" ht="19" thickBot="1">
      <c r="A121" s="20">
        <f t="shared" ca="1" si="1"/>
        <v>45394</v>
      </c>
      <c r="B121" s="21" cm="1">
        <f t="array" aca="1" ref="B121" ca="1">[1]!s_west_netprofit($B$1,2026,$A121,180,1000000)</f>
        <v>118.7576</v>
      </c>
      <c r="C121" s="22" cm="1">
        <f t="array" aca="1" ref="C121" ca="1">[1]!s_dq_close($B$1,$A121,3)</f>
        <v>28.95</v>
      </c>
      <c r="D121">
        <f ca="1">[1]!s_west_instnum_np($B$1,2026,A121,180)</f>
        <v>10</v>
      </c>
    </row>
    <row r="122" spans="1:4" ht="19" thickBot="1">
      <c r="A122" s="19">
        <f t="shared" ca="1" si="1"/>
        <v>45387</v>
      </c>
      <c r="B122" s="21" cm="1">
        <f t="array" aca="1" ref="B122" ca="1">[1]!s_west_netprofit($B$1,2026,$A122,180,1000000)</f>
        <v>121.397333</v>
      </c>
      <c r="C122" s="22" cm="1">
        <f t="array" aca="1" ref="C122" ca="1">[1]!s_dq_close($B$1,$A122,3)</f>
        <v>26.15</v>
      </c>
      <c r="D122">
        <f ca="1">[1]!s_west_instnum_np($B$1,2026,A122,180)</f>
        <v>9</v>
      </c>
    </row>
    <row r="123" spans="1:4" ht="19" thickBot="1">
      <c r="A123" s="20">
        <f t="shared" ca="1" si="1"/>
        <v>45380</v>
      </c>
      <c r="B123" s="21" cm="1">
        <f t="array" aca="1" ref="B123" ca="1">[1]!s_west_netprofit($B$1,2026,$A123,180,1000000)</f>
        <v>121.397333</v>
      </c>
      <c r="C123" s="22" cm="1">
        <f t="array" aca="1" ref="C123" ca="1">[1]!s_dq_close($B$1,$A123,3)</f>
        <v>26.75</v>
      </c>
      <c r="D123">
        <f ca="1">[1]!s_west_instnum_np($B$1,2026,A123,180)</f>
        <v>9</v>
      </c>
    </row>
    <row r="124" spans="1:4" ht="19" thickBot="1">
      <c r="A124" s="19">
        <f t="shared" ca="1" si="1"/>
        <v>45373</v>
      </c>
      <c r="B124" s="21" cm="1">
        <f t="array" aca="1" ref="B124" ca="1">[1]!s_west_netprofit($B$1,2026,$A124,180,1000000)</f>
        <v>122.197</v>
      </c>
      <c r="C124" s="22" cm="1">
        <f t="array" aca="1" ref="C124" ca="1">[1]!s_dq_close($B$1,$A124,3)</f>
        <v>26.15</v>
      </c>
      <c r="D124">
        <f ca="1">[1]!s_west_instnum_np($B$1,2026,A124,180)</f>
        <v>8</v>
      </c>
    </row>
    <row r="125" spans="1:4" ht="19" thickBot="1">
      <c r="A125" s="20">
        <f t="shared" ca="1" si="1"/>
        <v>45366</v>
      </c>
      <c r="B125" s="21" cm="1">
        <f t="array" aca="1" ref="B125" ca="1">[1]!s_west_netprofit($B$1,2026,$A125,180,1000000)</f>
        <v>122.197</v>
      </c>
      <c r="C125" s="22" cm="1">
        <f t="array" aca="1" ref="C125" ca="1">[1]!s_dq_close($B$1,$A125,3)</f>
        <v>28.1</v>
      </c>
      <c r="D125">
        <f ca="1">[1]!s_west_instnum_np($B$1,2026,A125,180)</f>
        <v>8</v>
      </c>
    </row>
    <row r="126" spans="1:4" ht="19" thickBot="1">
      <c r="A126" s="19">
        <f t="shared" ca="1" si="1"/>
        <v>45359</v>
      </c>
      <c r="B126" s="21" cm="1">
        <f t="array" aca="1" ref="B126" ca="1">[1]!s_west_netprofit($B$1,2024,$A126,180,1000000)</f>
        <v>-89.505008000000004</v>
      </c>
      <c r="C126" s="22" cm="1">
        <f t="array" aca="1" ref="C126" ca="1">[1]!s_dq_close($B$1,$A126,3)</f>
        <v>23.65</v>
      </c>
      <c r="D126">
        <f ca="1">[1]!s_west_instnum_np($B$1,2026,A126,180)</f>
        <v>8</v>
      </c>
    </row>
    <row r="127" spans="1:4" ht="19" thickBot="1">
      <c r="A127" s="20">
        <f t="shared" ca="1" si="1"/>
        <v>45352</v>
      </c>
      <c r="B127" s="21" cm="1">
        <f t="array" aca="1" ref="B127" ca="1">[1]!s_west_netprofit($B$1,2024,$A127,180,1000000)</f>
        <v>-72.780868999999996</v>
      </c>
      <c r="C127" s="22" cm="1">
        <f t="array" aca="1" ref="C127" ca="1">[1]!s_dq_close($B$1,$A127,3)</f>
        <v>24.1</v>
      </c>
      <c r="D127">
        <f ca="1">[1]!s_west_instnum_np($B$1,2026,A127,180)</f>
        <v>4</v>
      </c>
    </row>
    <row r="128" spans="1:4" ht="19" thickBot="1">
      <c r="A128" s="19">
        <f t="shared" ca="1" si="1"/>
        <v>45345</v>
      </c>
      <c r="B128" s="21" cm="1">
        <f t="array" aca="1" ref="B128" ca="1">[1]!s_west_netprofit($B$1,2024,$A128,180,1000000)</f>
        <v>-50.302408</v>
      </c>
      <c r="C128" s="22" cm="1">
        <f t="array" aca="1" ref="C128" ca="1">[1]!s_dq_close($B$1,$A128,3)</f>
        <v>24.75</v>
      </c>
      <c r="D128">
        <f ca="1">[1]!s_west_instnum_np($B$1,2026,A128,180)</f>
        <v>0</v>
      </c>
    </row>
    <row r="129" spans="1:4" ht="19" thickBot="1">
      <c r="A129" s="20">
        <f t="shared" ca="1" si="1"/>
        <v>45338</v>
      </c>
      <c r="B129" s="21" cm="1">
        <f t="array" aca="1" ref="B129" ca="1">[1]!s_west_netprofit($B$1,2024,$A129,180,1000000)</f>
        <v>-43.612932999999998</v>
      </c>
      <c r="C129" s="22" cm="1">
        <f t="array" aca="1" ref="C129" ca="1">[1]!s_dq_close($B$1,$A129,3)</f>
        <v>22.65</v>
      </c>
      <c r="D129">
        <f ca="1">[1]!s_west_instnum_np($B$1,2026,A129,180)</f>
        <v>0</v>
      </c>
    </row>
    <row r="130" spans="1:4" ht="19" thickBot="1">
      <c r="A130" s="19">
        <f t="shared" ca="1" si="1"/>
        <v>45331</v>
      </c>
      <c r="B130" s="21" cm="1">
        <f t="array" aca="1" ref="B130" ca="1">[1]!s_west_netprofit($B$1,2024,$A130,180,1000000)</f>
        <v>-42.565784999999998</v>
      </c>
      <c r="C130" s="22" cm="1">
        <f t="array" aca="1" ref="C130" ca="1">[1]!s_dq_close($B$1,$A130,3)</f>
        <v>21.95</v>
      </c>
      <c r="D130">
        <f ca="1">[1]!s_west_instnum_np($B$1,2026,A130,180)</f>
        <v>0</v>
      </c>
    </row>
    <row r="131" spans="1:4" ht="19" thickBot="1">
      <c r="A131" s="20">
        <f t="shared" ca="1" si="1"/>
        <v>45324</v>
      </c>
      <c r="B131" s="21" cm="1">
        <f t="array" aca="1" ref="B131" ca="1">[1]!s_west_netprofit($B$1,2024,$A131,180,1000000)</f>
        <v>-42.565784999999998</v>
      </c>
      <c r="C131" s="22" cm="1">
        <f t="array" aca="1" ref="C131" ca="1">[1]!s_dq_close($B$1,$A131,3)</f>
        <v>19.62</v>
      </c>
      <c r="D131">
        <f ca="1">[1]!s_west_instnum_np($B$1,2026,A131,180)</f>
        <v>0</v>
      </c>
    </row>
    <row r="132" spans="1:4" ht="19" thickBot="1">
      <c r="A132" s="19">
        <f t="shared" ca="1" si="1"/>
        <v>45317</v>
      </c>
      <c r="B132" s="21" cm="1">
        <f t="array" aca="1" ref="B132" ca="1">[1]!s_west_netprofit($B$1,2024,$A132,180,1000000)</f>
        <v>-69.193196</v>
      </c>
      <c r="C132" s="22" cm="1">
        <f t="array" aca="1" ref="C132" ca="1">[1]!s_dq_close($B$1,$A132,3)</f>
        <v>20.6</v>
      </c>
      <c r="D132">
        <f ca="1">[1]!s_west_instnum_np($B$1,2026,A132,180)</f>
        <v>0</v>
      </c>
    </row>
    <row r="133" spans="1:4" ht="19" thickBot="1">
      <c r="A133" s="20">
        <f t="shared" ca="1" si="1"/>
        <v>45310</v>
      </c>
      <c r="B133" s="21" cm="1">
        <f t="array" aca="1" ref="B133" ca="1">[1]!s_west_netprofit($B$1,2024,$A133,180,1000000)</f>
        <v>-69.183560999999997</v>
      </c>
      <c r="C133" s="22" cm="1">
        <f t="array" aca="1" ref="C133" ca="1">[1]!s_dq_close($B$1,$A133,3)</f>
        <v>22.55</v>
      </c>
      <c r="D133">
        <f ca="1">[1]!s_west_instnum_np($B$1,2026,A133,180)</f>
        <v>0</v>
      </c>
    </row>
    <row r="134" spans="1:4" ht="19" thickBot="1">
      <c r="A134" s="19">
        <f t="shared" ca="1" si="1"/>
        <v>45303</v>
      </c>
      <c r="B134" s="21" cm="1">
        <f t="array" aca="1" ref="B134" ca="1">[1]!s_west_netprofit($B$1,2024,$A134,180,1000000)</f>
        <v>-67.900255000000001</v>
      </c>
      <c r="C134" s="22" cm="1">
        <f t="array" aca="1" ref="C134" ca="1">[1]!s_dq_close($B$1,$A134,3)</f>
        <v>25.65</v>
      </c>
      <c r="D134">
        <f ca="1">[1]!s_west_instnum_np($B$1,2026,A134,180)</f>
        <v>0</v>
      </c>
    </row>
    <row r="135" spans="1:4" ht="19" thickBot="1">
      <c r="A135" s="20">
        <f t="shared" ca="1" si="1"/>
        <v>45296</v>
      </c>
      <c r="B135" s="21" cm="1">
        <f t="array" aca="1" ref="B135" ca="1">[1]!s_west_netprofit($B$1,2024,$A135,180,1000000)</f>
        <v>-67.905073000000002</v>
      </c>
      <c r="C135" s="22" cm="1">
        <f t="array" aca="1" ref="C135" ca="1">[1]!s_dq_close($B$1,$A135,3)</f>
        <v>26.55</v>
      </c>
      <c r="D135">
        <f ca="1">[1]!s_west_instnum_np($B$1,2026,A135,180)</f>
        <v>0</v>
      </c>
    </row>
    <row r="136" spans="1:4" ht="19" thickBot="1">
      <c r="A136" s="19">
        <f t="shared" ca="1" si="1"/>
        <v>45289</v>
      </c>
      <c r="B136" s="21" cm="1">
        <f t="array" aca="1" ref="B136" ca="1">[1]!s_west_netprofit($B$1,2024,$A136,180,1000000)</f>
        <v>-67.924342999999993</v>
      </c>
      <c r="C136" s="22" cm="1">
        <f t="array" aca="1" ref="C136" ca="1">[1]!s_dq_close($B$1,$A136,3)</f>
        <v>28.7</v>
      </c>
      <c r="D136">
        <f ca="1">[1]!s_west_instnum_np($B$1,2026,A136,180)</f>
        <v>0</v>
      </c>
    </row>
    <row r="137" spans="1:4" ht="19" thickBot="1">
      <c r="A137" s="20">
        <f t="shared" ca="1" si="1"/>
        <v>45282</v>
      </c>
      <c r="B137" s="21" cm="1">
        <f t="array" aca="1" ref="B137" ca="1">[1]!s_west_netprofit($B$1,2024,$A137,180,1000000)</f>
        <v>-67.909890000000004</v>
      </c>
      <c r="C137" s="22" cm="1">
        <f t="array" aca="1" ref="C137" ca="1">[1]!s_dq_close($B$1,$A137,3)</f>
        <v>26.35</v>
      </c>
      <c r="D137">
        <f ca="1">[1]!s_west_instnum_np($B$1,2026,A137,180)</f>
        <v>0</v>
      </c>
    </row>
    <row r="138" spans="1:4" ht="19" thickBot="1">
      <c r="A138" s="19">
        <f t="shared" ca="1" si="1"/>
        <v>45275</v>
      </c>
      <c r="B138" s="21" cm="1">
        <f t="array" aca="1" ref="B138" ca="1">[1]!s_west_netprofit($B$1,2024,$A138,180,1000000)</f>
        <v>-67.909890000000004</v>
      </c>
      <c r="C138" s="22" cm="1">
        <f t="array" aca="1" ref="C138" ca="1">[1]!s_dq_close($B$1,$A138,3)</f>
        <v>30.95</v>
      </c>
      <c r="D138">
        <f ca="1">[1]!s_west_instnum_np($B$1,2026,A138,180)</f>
        <v>0</v>
      </c>
    </row>
    <row r="139" spans="1:4" ht="19" thickBot="1">
      <c r="A139" s="20">
        <f t="shared" ca="1" si="1"/>
        <v>45268</v>
      </c>
      <c r="B139" s="21" cm="1">
        <f t="array" aca="1" ref="B139" ca="1">[1]!s_west_netprofit($B$1,2024,$A139,180,1000000)</f>
        <v>-67.138902000000002</v>
      </c>
      <c r="C139" s="22" cm="1">
        <f t="array" aca="1" ref="C139" ca="1">[1]!s_dq_close($B$1,$A139,3)</f>
        <v>29.95</v>
      </c>
      <c r="D139">
        <f ca="1">[1]!s_west_instnum_np($B$1,2026,A139,180)</f>
        <v>0</v>
      </c>
    </row>
    <row r="140" spans="1:4" ht="19" thickBot="1">
      <c r="A140" s="19">
        <f t="shared" ref="A140:A203" ca="1" si="2">A139-7</f>
        <v>45261</v>
      </c>
      <c r="B140" s="21" cm="1">
        <f t="array" aca="1" ref="B140" ca="1">[1]!s_west_netprofit($B$1,2024,$A140,180,1000000)</f>
        <v>-67.138902000000002</v>
      </c>
      <c r="C140" s="22" cm="1">
        <f t="array" aca="1" ref="C140" ca="1">[1]!s_dq_close($B$1,$A140,3)</f>
        <v>29.35</v>
      </c>
      <c r="D140">
        <f ca="1">[1]!s_west_instnum_np($B$1,2026,A140,180)</f>
        <v>0</v>
      </c>
    </row>
    <row r="141" spans="1:4" ht="19" thickBot="1">
      <c r="A141" s="20">
        <f t="shared" ca="1" si="2"/>
        <v>45254</v>
      </c>
      <c r="B141" s="21" cm="1">
        <f t="array" aca="1" ref="B141" ca="1">[1]!s_west_netprofit($B$1,2024,$A141,180,1000000)</f>
        <v>-67.133784000000006</v>
      </c>
      <c r="C141" s="22" cm="1">
        <f t="array" aca="1" ref="C141" ca="1">[1]!s_dq_close($B$1,$A141,3)</f>
        <v>30.4</v>
      </c>
      <c r="D141">
        <f ca="1">[1]!s_west_instnum_np($B$1,2026,A141,180)</f>
        <v>0</v>
      </c>
    </row>
    <row r="142" spans="1:4" ht="19" thickBot="1">
      <c r="A142" s="19">
        <f t="shared" ca="1" si="2"/>
        <v>45247</v>
      </c>
      <c r="B142" s="21" cm="1">
        <f t="array" aca="1" ref="B142" ca="1">[1]!s_west_netprofit($B$1,2024,$A142,180,1000000)</f>
        <v>-67.077477000000002</v>
      </c>
      <c r="C142" s="22" cm="1">
        <f t="array" aca="1" ref="C142" ca="1">[1]!s_dq_close($B$1,$A142,3)</f>
        <v>29.15</v>
      </c>
      <c r="D142">
        <f ca="1">[1]!s_west_instnum_np($B$1,2026,A142,180)</f>
        <v>0</v>
      </c>
    </row>
    <row r="143" spans="1:4" ht="19" thickBot="1">
      <c r="A143" s="20">
        <f t="shared" ca="1" si="2"/>
        <v>45240</v>
      </c>
      <c r="B143" s="21" cm="1">
        <f t="array" aca="1" ref="B143" ca="1">[1]!s_west_netprofit($B$1,2024,$A143,180,1000000)</f>
        <v>-68.218808999999993</v>
      </c>
      <c r="C143" s="22" cm="1">
        <f t="array" aca="1" ref="C143" ca="1">[1]!s_dq_close($B$1,$A143,3)</f>
        <v>29.5</v>
      </c>
      <c r="D143">
        <f ca="1">[1]!s_west_instnum_np($B$1,2026,A143,180)</f>
        <v>0</v>
      </c>
    </row>
    <row r="144" spans="1:4" ht="19" thickBot="1">
      <c r="A144" s="19">
        <f t="shared" ca="1" si="2"/>
        <v>45233</v>
      </c>
      <c r="B144" s="21" cm="1">
        <f t="array" aca="1" ref="B144" ca="1">[1]!s_west_netprofit($B$1,2024,$A144,180,1000000)</f>
        <v>-69.642062999999993</v>
      </c>
      <c r="C144" s="22" cm="1">
        <f t="array" aca="1" ref="C144" ca="1">[1]!s_dq_close($B$1,$A144,3)</f>
        <v>31.65</v>
      </c>
      <c r="D144">
        <f ca="1">[1]!s_west_instnum_np($B$1,2026,A144,180)</f>
        <v>0</v>
      </c>
    </row>
    <row r="145" spans="1:4" ht="19" thickBot="1">
      <c r="A145" s="20">
        <f t="shared" ca="1" si="2"/>
        <v>45226</v>
      </c>
      <c r="B145" s="21" cm="1">
        <f t="array" aca="1" ref="B145" ca="1">[1]!s_west_netprofit($B$1,2024,$A145,180,1000000)</f>
        <v>-71.687923999999995</v>
      </c>
      <c r="C145" s="22" cm="1">
        <f t="array" aca="1" ref="C145" ca="1">[1]!s_dq_close($B$1,$A145,3)</f>
        <v>29.45</v>
      </c>
      <c r="D145">
        <f ca="1">[1]!s_west_instnum_np($B$1,2026,A145,180)</f>
        <v>0</v>
      </c>
    </row>
    <row r="146" spans="1:4" ht="19" thickBot="1">
      <c r="A146" s="19">
        <f t="shared" ca="1" si="2"/>
        <v>45219</v>
      </c>
      <c r="B146" s="21" cm="1">
        <f t="array" aca="1" ref="B146" ca="1">[1]!s_west_netprofit($B$1,2024,$A146,180,1000000)</f>
        <v>-76.586995000000002</v>
      </c>
      <c r="C146" s="22" cm="1">
        <f t="array" aca="1" ref="C146" ca="1">[1]!s_dq_close($B$1,$A146,3)</f>
        <v>27.05</v>
      </c>
      <c r="D146">
        <f ca="1">[1]!s_west_instnum_np($B$1,2026,A146,180)</f>
        <v>0</v>
      </c>
    </row>
    <row r="147" spans="1:4" ht="19" thickBot="1">
      <c r="A147" s="20">
        <f t="shared" ca="1" si="2"/>
        <v>45212</v>
      </c>
      <c r="B147" s="21" cm="1">
        <f t="array" aca="1" ref="B147" ca="1">[1]!s_west_netprofit($B$1,2024,$A147,180,1000000)</f>
        <v>-83.036225999999999</v>
      </c>
      <c r="C147" s="22" cm="1">
        <f t="array" aca="1" ref="C147" ca="1">[1]!s_dq_close($B$1,$A147,3)</f>
        <v>28.6</v>
      </c>
      <c r="D147">
        <f ca="1">[1]!s_west_instnum_np($B$1,2026,A147,180)</f>
        <v>0</v>
      </c>
    </row>
    <row r="148" spans="1:4" ht="19" thickBot="1">
      <c r="A148" s="19">
        <f t="shared" ca="1" si="2"/>
        <v>45205</v>
      </c>
      <c r="B148" s="21" cm="1">
        <f t="array" aca="1" ref="B148" ca="1">[1]!s_west_netprofit($B$1,2024,$A148,180,1000000)</f>
        <v>-83.036225999999999</v>
      </c>
      <c r="C148" s="22" cm="1">
        <f t="array" aca="1" ref="C148" ca="1">[1]!s_dq_close($B$1,$A148,3)</f>
        <v>25.7</v>
      </c>
      <c r="D148">
        <f ca="1">[1]!s_west_instnum_np($B$1,2026,A148,180)</f>
        <v>0</v>
      </c>
    </row>
    <row r="149" spans="1:4" ht="19" thickBot="1">
      <c r="A149" s="20">
        <f t="shared" ca="1" si="2"/>
        <v>45198</v>
      </c>
      <c r="B149" s="21" cm="1">
        <f t="array" aca="1" ref="B149" ca="1">[1]!s_west_netprofit($B$1,2024,$A149,180,1000000)</f>
        <v>-83.036225999999999</v>
      </c>
      <c r="C149" s="22" cm="1">
        <f t="array" aca="1" ref="C149" ca="1">[1]!s_dq_close($B$1,$A149,3)</f>
        <v>26.65</v>
      </c>
      <c r="D149">
        <f ca="1">[1]!s_west_instnum_np($B$1,2026,A149,180)</f>
        <v>0</v>
      </c>
    </row>
    <row r="150" spans="1:4" ht="19" thickBot="1">
      <c r="A150" s="19">
        <f t="shared" ca="1" si="2"/>
        <v>45191</v>
      </c>
      <c r="B150" s="21" cm="1">
        <f t="array" aca="1" ref="B150" ca="1">[1]!s_west_netprofit($B$1,2024,$A150,180,1000000)</f>
        <v>-83.042710999999997</v>
      </c>
      <c r="C150" s="22" cm="1">
        <f t="array" aca="1" ref="C150" ca="1">[1]!s_dq_close($B$1,$A150,3)</f>
        <v>25.05</v>
      </c>
      <c r="D150">
        <f ca="1">[1]!s_west_instnum_np($B$1,2026,A150,180)</f>
        <v>0</v>
      </c>
    </row>
    <row r="151" spans="1:4" ht="19" thickBot="1">
      <c r="A151" s="20">
        <f t="shared" ca="1" si="2"/>
        <v>45184</v>
      </c>
      <c r="B151" s="21" cm="1">
        <f t="array" aca="1" ref="B151" ca="1">[1]!s_west_netprofit($B$1,2024,$A151,180,1000000)</f>
        <v>-83.036225999999999</v>
      </c>
      <c r="C151" s="22" cm="1">
        <f t="array" aca="1" ref="C151" ca="1">[1]!s_dq_close($B$1,$A151,3)</f>
        <v>23.55</v>
      </c>
      <c r="D151">
        <f ca="1">[1]!s_west_instnum_np($B$1,2026,A151,180)</f>
        <v>0</v>
      </c>
    </row>
    <row r="152" spans="1:4" ht="19" thickBot="1">
      <c r="A152" s="19">
        <f t="shared" ca="1" si="2"/>
        <v>45177</v>
      </c>
      <c r="B152" s="21" cm="1">
        <f t="array" aca="1" ref="B152" ca="1">[1]!s_west_netprofit($B$1,2024,$A152,180,1000000)</f>
        <v>-82.990834000000007</v>
      </c>
      <c r="C152" s="22" cm="1">
        <f t="array" aca="1" ref="C152" ca="1">[1]!s_dq_close($B$1,$A152,3)</f>
        <v>22.75</v>
      </c>
      <c r="D152">
        <f ca="1">[1]!s_west_instnum_np($B$1,2026,A152,180)</f>
        <v>0</v>
      </c>
    </row>
    <row r="153" spans="1:4" ht="19" thickBot="1">
      <c r="A153" s="20">
        <f t="shared" ca="1" si="2"/>
        <v>45170</v>
      </c>
      <c r="B153" s="21" cm="1">
        <f t="array" aca="1" ref="B153" ca="1">[1]!s_west_netprofit($B$1,2024,$A153,180,1000000)</f>
        <v>-83.036225999999999</v>
      </c>
      <c r="C153" s="22" cm="1">
        <f t="array" aca="1" ref="C153" ca="1">[1]!s_dq_close($B$1,$A153,3)</f>
        <v>24.1</v>
      </c>
      <c r="D153">
        <f ca="1">[1]!s_west_instnum_np($B$1,2026,A153,180)</f>
        <v>0</v>
      </c>
    </row>
    <row r="154" spans="1:4" ht="19" thickBot="1">
      <c r="A154" s="19">
        <f t="shared" ca="1" si="2"/>
        <v>45163</v>
      </c>
      <c r="B154" s="21" cm="1">
        <f t="array" aca="1" ref="B154" ca="1">[1]!s_west_netprofit($B$1,2024,$A154,180,1000000)</f>
        <v>-83.023257000000001</v>
      </c>
      <c r="C154" s="22" cm="1">
        <f t="array" aca="1" ref="C154" ca="1">[1]!s_dq_close($B$1,$A154,3)</f>
        <v>22.6</v>
      </c>
      <c r="D154">
        <f ca="1">[1]!s_west_instnum_np($B$1,2026,A154,180)</f>
        <v>0</v>
      </c>
    </row>
    <row r="155" spans="1:4" ht="19" thickBot="1">
      <c r="A155" s="20">
        <f t="shared" ca="1" si="2"/>
        <v>45156</v>
      </c>
      <c r="B155" s="21" cm="1">
        <f t="array" aca="1" ref="B155" ca="1">[1]!s_west_netprofit($B$1,2024,$A155,180,1000000)</f>
        <v>-83.010288000000003</v>
      </c>
      <c r="C155" s="22" cm="1">
        <f t="array" aca="1" ref="C155" ca="1">[1]!s_dq_close($B$1,$A155,3)</f>
        <v>21.35</v>
      </c>
      <c r="D155">
        <f ca="1">[1]!s_west_instnum_np($B$1,2026,A155,180)</f>
        <v>0</v>
      </c>
    </row>
    <row r="156" spans="1:4" ht="19" thickBot="1">
      <c r="A156" s="19">
        <f t="shared" ca="1" si="2"/>
        <v>45149</v>
      </c>
      <c r="B156" s="21" cm="1">
        <f t="array" aca="1" ref="B156" ca="1">[1]!s_west_netprofit($B$1,2024,$A156,180,1000000)</f>
        <v>-87.484012000000007</v>
      </c>
      <c r="C156" s="22" cm="1">
        <f t="array" aca="1" ref="C156" ca="1">[1]!s_dq_close($B$1,$A156,3)</f>
        <v>21.85</v>
      </c>
      <c r="D156">
        <f ca="1">[1]!s_west_instnum_np($B$1,2026,A156,180)</f>
        <v>0</v>
      </c>
    </row>
    <row r="157" spans="1:4" ht="19" thickBot="1">
      <c r="A157" s="20">
        <f t="shared" ca="1" si="2"/>
        <v>45142</v>
      </c>
      <c r="B157" s="21" cm="1">
        <f t="array" aca="1" ref="B157" ca="1">[1]!s_west_netprofit($B$1,2024,$A157,180,1000000)</f>
        <v>-84.731003000000001</v>
      </c>
      <c r="C157" s="22" cm="1">
        <f t="array" aca="1" ref="C157" ca="1">[1]!s_dq_close($B$1,$A157,3)</f>
        <v>24.5</v>
      </c>
      <c r="D157">
        <f ca="1">[1]!s_west_instnum_np($B$1,2026,A157,180)</f>
        <v>0</v>
      </c>
    </row>
    <row r="158" spans="1:4" ht="19" thickBot="1">
      <c r="A158" s="19">
        <f t="shared" ca="1" si="2"/>
        <v>45135</v>
      </c>
      <c r="B158" s="21" cm="1">
        <f t="array" aca="1" ref="B158" ca="1">[1]!s_west_netprofit($B$1,2024,$A158,180,1000000)</f>
        <v>-74.992000000000004</v>
      </c>
      <c r="C158" s="22" cm="1">
        <f t="array" aca="1" ref="C158" ca="1">[1]!s_dq_close($B$1,$A158,3)</f>
        <v>23.4</v>
      </c>
      <c r="D158">
        <f ca="1">[1]!s_west_instnum_np($B$1,2026,A158,180)</f>
        <v>0</v>
      </c>
    </row>
    <row r="159" spans="1:4" ht="19" thickBot="1">
      <c r="A159" s="20">
        <f t="shared" ca="1" si="2"/>
        <v>45128</v>
      </c>
      <c r="B159" s="21" cm="1">
        <f t="array" aca="1" ref="B159" ca="1">[1]!s_west_netprofit($B$1,2024,$A159,180,1000000)</f>
        <v>-74.992000000000004</v>
      </c>
      <c r="C159" s="22" cm="1">
        <f t="array" aca="1" ref="C159" ca="1">[1]!s_dq_close($B$1,$A159,3)</f>
        <v>20.2</v>
      </c>
      <c r="D159">
        <f ca="1">[1]!s_west_instnum_np($B$1,2026,A159,180)</f>
        <v>0</v>
      </c>
    </row>
    <row r="160" spans="1:4" ht="19" thickBot="1">
      <c r="A160" s="19">
        <f t="shared" ca="1" si="2"/>
        <v>45121</v>
      </c>
      <c r="B160" s="21" cm="1">
        <f t="array" aca="1" ref="B160" ca="1">[1]!s_west_netprofit($B$1,2024,$A160,180,1000000)</f>
        <v>-74.992000000000004</v>
      </c>
      <c r="C160" s="22" cm="1">
        <f t="array" aca="1" ref="C160" ca="1">[1]!s_dq_close($B$1,$A160,3)</f>
        <v>20.75</v>
      </c>
      <c r="D160">
        <f ca="1">[1]!s_west_instnum_np($B$1,2026,A160,180)</f>
        <v>0</v>
      </c>
    </row>
    <row r="161" spans="1:4" ht="19" thickBot="1">
      <c r="A161" s="20">
        <f t="shared" ca="1" si="2"/>
        <v>45114</v>
      </c>
      <c r="B161" s="21" cm="1">
        <f t="array" aca="1" ref="B161" ca="1">[1]!s_west_netprofit($B$1,2024,$A161,180,1000000)</f>
        <v>-74.992000000000004</v>
      </c>
      <c r="C161" s="22" cm="1">
        <f t="array" aca="1" ref="C161" ca="1">[1]!s_dq_close($B$1,$A161,3)</f>
        <v>18.86</v>
      </c>
      <c r="D161">
        <f ca="1">[1]!s_west_instnum_np($B$1,2026,A161,180)</f>
        <v>0</v>
      </c>
    </row>
    <row r="162" spans="1:4" ht="19" thickBot="1">
      <c r="A162" s="19">
        <f t="shared" ca="1" si="2"/>
        <v>45107</v>
      </c>
      <c r="B162" s="21" cm="1">
        <f t="array" aca="1" ref="B162" ca="1">[1]!s_west_netprofit($B$1,2024,$A162,180,1000000)</f>
        <v>-74.992000000000004</v>
      </c>
      <c r="C162" s="22" cm="1">
        <f t="array" aca="1" ref="C162" ca="1">[1]!s_dq_close($B$1,$A162,3)</f>
        <v>18.440000000000001</v>
      </c>
      <c r="D162">
        <f ca="1">[1]!s_west_instnum_np($B$1,2026,A162,180)</f>
        <v>0</v>
      </c>
    </row>
    <row r="163" spans="1:4" ht="19" thickBot="1">
      <c r="A163" s="20">
        <f t="shared" ca="1" si="2"/>
        <v>45100</v>
      </c>
      <c r="B163" s="21" cm="1">
        <f t="array" aca="1" ref="B163" ca="1">[1]!s_west_netprofit($B$1,2024,$A163,180,1000000)</f>
        <v>-74.992000000000004</v>
      </c>
      <c r="C163" s="22" cm="1">
        <f t="array" aca="1" ref="C163" ca="1">[1]!s_dq_close($B$1,$A163,3)</f>
        <v>17.68</v>
      </c>
      <c r="D163">
        <f ca="1">[1]!s_west_instnum_np($B$1,2026,A163,180)</f>
        <v>0</v>
      </c>
    </row>
    <row r="164" spans="1:4" ht="19" thickBot="1">
      <c r="A164" s="19">
        <f t="shared" ca="1" si="2"/>
        <v>45093</v>
      </c>
      <c r="B164" s="21" cm="1">
        <f t="array" aca="1" ref="B164" ca="1">[1]!s_west_netprofit($B$1,2024,$A164,180,1000000)</f>
        <v>-74.992000000000004</v>
      </c>
      <c r="C164" s="22" cm="1">
        <f t="array" aca="1" ref="C164" ca="1">[1]!s_dq_close($B$1,$A164,3)</f>
        <v>21.1</v>
      </c>
      <c r="D164">
        <f ca="1">[1]!s_west_instnum_np($B$1,2026,A164,180)</f>
        <v>0</v>
      </c>
    </row>
    <row r="165" spans="1:4" ht="19" thickBot="1">
      <c r="A165" s="20">
        <f t="shared" ca="1" si="2"/>
        <v>45086</v>
      </c>
      <c r="B165" s="21" cm="1">
        <f t="array" aca="1" ref="B165" ca="1">[1]!s_west_netprofit($B$1,2024,$A165,180,1000000)</f>
        <v>-74.992000000000004</v>
      </c>
      <c r="C165" s="22" cm="1">
        <f t="array" aca="1" ref="C165" ca="1">[1]!s_dq_close($B$1,$A165,3)</f>
        <v>19.100000000000001</v>
      </c>
      <c r="D165">
        <f ca="1">[1]!s_west_instnum_np($B$1,2026,A165,180)</f>
        <v>0</v>
      </c>
    </row>
    <row r="166" spans="1:4" ht="19" thickBot="1">
      <c r="A166" s="19">
        <f t="shared" ca="1" si="2"/>
        <v>45079</v>
      </c>
      <c r="B166" s="21" cm="1">
        <f t="array" aca="1" ref="B166" ca="1">[1]!s_west_netprofit($B$1,2024,$A166,180,1000000)</f>
        <v>-74.992000000000004</v>
      </c>
      <c r="C166" s="22" cm="1">
        <f t="array" aca="1" ref="C166" ca="1">[1]!s_dq_close($B$1,$A166,3)</f>
        <v>19.760000000000002</v>
      </c>
      <c r="D166">
        <f ca="1">[1]!s_west_instnum_np($B$1,2026,A166,180)</f>
        <v>0</v>
      </c>
    </row>
    <row r="167" spans="1:4" ht="19" thickBot="1">
      <c r="A167" s="20">
        <f t="shared" ca="1" si="2"/>
        <v>45072</v>
      </c>
      <c r="B167" s="21" cm="1">
        <f t="array" aca="1" ref="B167" ca="1">[1]!s_west_netprofit($B$1,2024,$A167,180,1000000)</f>
        <v>-75.224000000000004</v>
      </c>
      <c r="C167" s="22" cm="1">
        <f t="array" aca="1" ref="C167" ca="1">[1]!s_dq_close($B$1,$A167,3)</f>
        <v>20.149999999999999</v>
      </c>
      <c r="D167">
        <f ca="1">[1]!s_west_instnum_np($B$1,2026,A167,180)</f>
        <v>0</v>
      </c>
    </row>
    <row r="168" spans="1:4" ht="19" thickBot="1">
      <c r="A168" s="19">
        <f t="shared" ca="1" si="2"/>
        <v>45065</v>
      </c>
      <c r="B168" s="21" cm="1">
        <f t="array" aca="1" ref="B168" ca="1">[1]!s_west_netprofit($B$1,2024,$A168,180,1000000)</f>
        <v>-75.224000000000004</v>
      </c>
      <c r="C168" s="22" cm="1">
        <f t="array" aca="1" ref="C168" ca="1">[1]!s_dq_close($B$1,$A168,3)</f>
        <v>20.25</v>
      </c>
      <c r="D168">
        <f ca="1">[1]!s_west_instnum_np($B$1,2026,A168,180)</f>
        <v>0</v>
      </c>
    </row>
    <row r="169" spans="1:4" ht="19" thickBot="1">
      <c r="A169" s="20">
        <f t="shared" ca="1" si="2"/>
        <v>45058</v>
      </c>
      <c r="B169" s="21" cm="1">
        <f t="array" aca="1" ref="B169" ca="1">[1]!s_west_netprofit($B$1,2024,$A169,180,1000000)</f>
        <v>-75.224000000000004</v>
      </c>
      <c r="C169" s="22" cm="1">
        <f t="array" aca="1" ref="C169" ca="1">[1]!s_dq_close($B$1,$A169,3)</f>
        <v>21.6</v>
      </c>
      <c r="D169">
        <f ca="1">[1]!s_west_instnum_np($B$1,2026,A169,180)</f>
        <v>0</v>
      </c>
    </row>
    <row r="170" spans="1:4" ht="19" thickBot="1">
      <c r="A170" s="19">
        <f t="shared" ca="1" si="2"/>
        <v>45051</v>
      </c>
      <c r="B170" s="21" cm="1">
        <f t="array" aca="1" ref="B170" ca="1">[1]!s_west_netprofit($B$1,2024,$A170,180,1000000)</f>
        <v>-82.120455000000007</v>
      </c>
      <c r="C170" s="22" cm="1">
        <f t="array" aca="1" ref="C170" ca="1">[1]!s_dq_close($B$1,$A170,3)</f>
        <v>25.15</v>
      </c>
      <c r="D170">
        <f ca="1">[1]!s_west_instnum_np($B$1,2026,A170,180)</f>
        <v>0</v>
      </c>
    </row>
    <row r="171" spans="1:4" ht="19" thickBot="1">
      <c r="A171" s="20">
        <f t="shared" ca="1" si="2"/>
        <v>45044</v>
      </c>
      <c r="B171" s="21" cm="1">
        <f t="array" aca="1" ref="B171" ca="1">[1]!s_west_netprofit($B$1,2024,$A171,180,1000000)</f>
        <v>-82.120455000000007</v>
      </c>
      <c r="C171" s="22" cm="1">
        <f t="array" aca="1" ref="C171" ca="1">[1]!s_dq_close($B$1,$A171,3)</f>
        <v>24.05</v>
      </c>
      <c r="D171">
        <f ca="1">[1]!s_west_instnum_np($B$1,2026,A171,180)</f>
        <v>0</v>
      </c>
    </row>
    <row r="172" spans="1:4" ht="19" thickBot="1">
      <c r="A172" s="19">
        <f t="shared" ca="1" si="2"/>
        <v>45037</v>
      </c>
      <c r="B172" s="21" cm="1">
        <f t="array" aca="1" ref="B172" ca="1">[1]!s_west_netprofit($B$1,2024,$A172,180,1000000)</f>
        <v>-82.120455000000007</v>
      </c>
      <c r="C172" s="22" cm="1">
        <f t="array" aca="1" ref="C172" ca="1">[1]!s_dq_close($B$1,$A172,3)</f>
        <v>26.1</v>
      </c>
      <c r="D172">
        <f ca="1">[1]!s_west_instnum_np($B$1,2026,A172,180)</f>
        <v>0</v>
      </c>
    </row>
    <row r="173" spans="1:4" ht="19" thickBot="1">
      <c r="A173" s="20">
        <f t="shared" ca="1" si="2"/>
        <v>45030</v>
      </c>
      <c r="B173" s="21" cm="1">
        <f t="array" aca="1" ref="B173" ca="1">[1]!s_west_netprofit($B$1,2024,$A173,180,1000000)</f>
        <v>-84.480556000000007</v>
      </c>
      <c r="C173" s="22" cm="1">
        <f t="array" aca="1" ref="C173" ca="1">[1]!s_dq_close($B$1,$A173,3)</f>
        <v>28.65</v>
      </c>
      <c r="D173">
        <f ca="1">[1]!s_west_instnum_np($B$1,2026,A173,180)</f>
        <v>0</v>
      </c>
    </row>
    <row r="174" spans="1:4" ht="19" thickBot="1">
      <c r="A174" s="19">
        <f t="shared" ca="1" si="2"/>
        <v>45023</v>
      </c>
      <c r="B174" s="21" cm="1">
        <f t="array" aca="1" ref="B174" ca="1">[1]!s_west_netprofit($B$1,2024,$A174,180,1000000)</f>
        <v>-84.480556000000007</v>
      </c>
      <c r="C174" s="22" cm="1">
        <f t="array" aca="1" ref="C174" ca="1">[1]!s_dq_close($B$1,$A174,3)</f>
        <v>22.4</v>
      </c>
      <c r="D174">
        <f ca="1">[1]!s_west_instnum_np($B$1,2026,A174,180)</f>
        <v>0</v>
      </c>
    </row>
    <row r="175" spans="1:4" ht="19" thickBot="1">
      <c r="A175" s="20">
        <f t="shared" ca="1" si="2"/>
        <v>45016</v>
      </c>
      <c r="B175" s="21" cm="1">
        <f t="array" aca="1" ref="B175" ca="1">[1]!s_west_netprofit($B$1,2024,$A175,180,1000000)</f>
        <v>-84.480556000000007</v>
      </c>
      <c r="C175" s="22" cm="1">
        <f t="array" aca="1" ref="C175" ca="1">[1]!s_dq_close($B$1,$A175,3)</f>
        <v>20.65</v>
      </c>
      <c r="D175">
        <f ca="1">[1]!s_west_instnum_np($B$1,2026,A175,180)</f>
        <v>0</v>
      </c>
    </row>
    <row r="176" spans="1:4" ht="19" thickBot="1">
      <c r="A176" s="19">
        <f t="shared" ca="1" si="2"/>
        <v>45009</v>
      </c>
      <c r="B176" s="21" cm="1">
        <f t="array" aca="1" ref="B176" ca="1">[1]!s_west_netprofit($B$1,2024,$A176,180,1000000)</f>
        <v>-84.480556000000007</v>
      </c>
      <c r="C176" s="22" cm="1">
        <f t="array" aca="1" ref="C176" ca="1">[1]!s_dq_close($B$1,$A176,3)</f>
        <v>22.1</v>
      </c>
      <c r="D176">
        <f ca="1">[1]!s_west_instnum_np($B$1,2026,A176,180)</f>
        <v>0</v>
      </c>
    </row>
    <row r="177" spans="1:4" ht="19" thickBot="1">
      <c r="A177" s="20">
        <f t="shared" ca="1" si="2"/>
        <v>45002</v>
      </c>
      <c r="B177" s="21" cm="1">
        <f t="array" aca="1" ref="B177" ca="1">[1]!s_west_netprofit($B$1,2024,$A177,180,1000000)</f>
        <v>-84.480556000000007</v>
      </c>
      <c r="C177" s="22" cm="1">
        <f t="array" aca="1" ref="C177" ca="1">[1]!s_dq_close($B$1,$A177,3)</f>
        <v>22.8</v>
      </c>
      <c r="D177">
        <f ca="1">[1]!s_west_instnum_np($B$1,2026,A177,180)</f>
        <v>0</v>
      </c>
    </row>
    <row r="178" spans="1:4" ht="19" thickBot="1">
      <c r="A178" s="19">
        <f t="shared" ca="1" si="2"/>
        <v>44995</v>
      </c>
      <c r="B178" s="21" cm="1">
        <f t="array" aca="1" ref="B178" ca="1">[1]!s_west_netprofit($B$1,2024,$A178,180,1000000)</f>
        <v>-84.480556000000007</v>
      </c>
      <c r="C178" s="22" cm="1">
        <f t="array" aca="1" ref="C178" ca="1">[1]!s_dq_close($B$1,$A178,3)</f>
        <v>22.85</v>
      </c>
      <c r="D178">
        <f ca="1">[1]!s_west_instnum_np($B$1,2026,A178,180)</f>
        <v>0</v>
      </c>
    </row>
    <row r="179" spans="1:4" ht="19" thickBot="1">
      <c r="A179" s="20">
        <f t="shared" ca="1" si="2"/>
        <v>44988</v>
      </c>
      <c r="B179" s="21" cm="1">
        <f t="array" aca="1" ref="B179" ca="1">[1]!s_west_netprofit($B$1,2024,$A179,180,1000000)</f>
        <v>-81.077222000000006</v>
      </c>
      <c r="C179" s="22" cm="1">
        <f t="array" aca="1" ref="C179" ca="1">[1]!s_dq_close($B$1,$A179,3)</f>
        <v>27.1</v>
      </c>
      <c r="D179">
        <f ca="1">[1]!s_west_instnum_np($B$1,2026,A179,180)</f>
        <v>0</v>
      </c>
    </row>
    <row r="180" spans="1:4" ht="19" thickBot="1">
      <c r="A180" s="19">
        <f t="shared" ca="1" si="2"/>
        <v>44981</v>
      </c>
      <c r="B180" s="21" cm="1">
        <f t="array" aca="1" ref="B180" ca="1">[1]!s_west_netprofit($B$1,2024,$A180,180,1000000)</f>
        <v>-122.909375</v>
      </c>
      <c r="C180" s="22" cm="1">
        <f t="array" aca="1" ref="C180" ca="1">[1]!s_dq_close($B$1,$A180,3)</f>
        <v>25.25</v>
      </c>
      <c r="D180">
        <f ca="1">[1]!s_west_instnum_np($B$1,2026,A180,180)</f>
        <v>0</v>
      </c>
    </row>
    <row r="181" spans="1:4" ht="19" thickBot="1">
      <c r="A181" s="20">
        <f t="shared" ca="1" si="2"/>
        <v>44974</v>
      </c>
      <c r="B181" s="21" cm="1">
        <f t="array" aca="1" ref="B181" ca="1">[1]!s_west_netprofit($B$1,2024,$A181,180,1000000)</f>
        <v>-122.909375</v>
      </c>
      <c r="C181" s="22" cm="1">
        <f t="array" aca="1" ref="C181" ca="1">[1]!s_dq_close($B$1,$A181,3)</f>
        <v>25.9</v>
      </c>
      <c r="D181">
        <f ca="1">[1]!s_west_instnum_np($B$1,2026,A181,180)</f>
        <v>0</v>
      </c>
    </row>
    <row r="182" spans="1:4" ht="19" thickBot="1">
      <c r="A182" s="19">
        <f t="shared" ca="1" si="2"/>
        <v>44967</v>
      </c>
      <c r="B182" s="21" cm="1">
        <f t="array" aca="1" ref="B182" ca="1">[1]!s_west_netprofit($B$1,2024,$A182,180,1000000)</f>
        <v>-122.909375</v>
      </c>
      <c r="C182" s="22" cm="1">
        <f t="array" aca="1" ref="C182" ca="1">[1]!s_dq_close($B$1,$A182,3)</f>
        <v>27</v>
      </c>
      <c r="D182">
        <f ca="1">[1]!s_west_instnum_np($B$1,2026,A182,180)</f>
        <v>0</v>
      </c>
    </row>
    <row r="183" spans="1:4" ht="19" thickBot="1">
      <c r="A183" s="20">
        <f t="shared" ca="1" si="2"/>
        <v>44960</v>
      </c>
      <c r="B183" s="21" cm="1">
        <f t="array" aca="1" ref="B183" ca="1">[1]!s_west_netprofit($B$1,2024,$A183,180,1000000)</f>
        <v>-122.909375</v>
      </c>
      <c r="C183" s="22" cm="1">
        <f t="array" aca="1" ref="C183" ca="1">[1]!s_dq_close($B$1,$A183,3)</f>
        <v>31</v>
      </c>
      <c r="D183">
        <f ca="1">[1]!s_west_instnum_np($B$1,2026,A183,180)</f>
        <v>0</v>
      </c>
    </row>
    <row r="184" spans="1:4" ht="19" thickBot="1">
      <c r="A184" s="19">
        <f t="shared" ca="1" si="2"/>
        <v>44953</v>
      </c>
      <c r="B184" s="21" cm="1">
        <f t="array" aca="1" ref="B184" ca="1">[1]!s_west_netprofit($B$1,2024,$A184,180,1000000)</f>
        <v>-122.379167</v>
      </c>
      <c r="C184" s="22" cm="1">
        <f t="array" aca="1" ref="C184" ca="1">[1]!s_dq_close($B$1,$A184,3)</f>
        <v>31.75</v>
      </c>
      <c r="D184">
        <f ca="1">[1]!s_west_instnum_np($B$1,2026,A184,180)</f>
        <v>0</v>
      </c>
    </row>
    <row r="185" spans="1:4" ht="19" thickBot="1">
      <c r="A185" s="20">
        <f t="shared" ca="1" si="2"/>
        <v>44946</v>
      </c>
      <c r="B185" s="21" cm="1">
        <f t="array" aca="1" ref="B185" ca="1">[1]!s_west_netprofit($B$1,2024,$A185,180,1000000)</f>
        <v>-77.529167000000001</v>
      </c>
      <c r="C185" s="22" cm="1">
        <f t="array" aca="1" ref="C185" ca="1">[1]!s_dq_close($B$1,$A185,3)</f>
        <v>27.6</v>
      </c>
      <c r="D185">
        <f ca="1">[1]!s_west_instnum_np($B$1,2026,A185,180)</f>
        <v>0</v>
      </c>
    </row>
    <row r="186" spans="1:4" ht="19" thickBot="1">
      <c r="A186" s="19">
        <f t="shared" ca="1" si="2"/>
        <v>44939</v>
      </c>
      <c r="B186" s="21" cm="1">
        <f t="array" aca="1" ref="B186" ca="1">[1]!s_west_netprofit($B$1,2024,$A186,180,1000000)</f>
        <v>-81.029167000000001</v>
      </c>
      <c r="C186" s="22" cm="1">
        <f t="array" aca="1" ref="C186" ca="1">[1]!s_dq_close($B$1,$A186,3)</f>
        <v>28.65</v>
      </c>
      <c r="D186">
        <f ca="1">[1]!s_west_instnum_np($B$1,2026,A186,180)</f>
        <v>0</v>
      </c>
    </row>
    <row r="187" spans="1:4" ht="19" thickBot="1">
      <c r="A187" s="20">
        <f t="shared" ca="1" si="2"/>
        <v>44932</v>
      </c>
      <c r="B187" s="21" cm="1">
        <f t="array" aca="1" ref="B187" ca="1">[1]!s_west_netprofit($B$1,2024,$A187,180,1000000)</f>
        <v>-81.029167000000001</v>
      </c>
      <c r="C187" s="22" cm="1">
        <f t="array" aca="1" ref="C187" ca="1">[1]!s_dq_close($B$1,$A187,3)</f>
        <v>26.4</v>
      </c>
      <c r="D187">
        <f ca="1">[1]!s_west_instnum_np($B$1,2026,A187,180)</f>
        <v>0</v>
      </c>
    </row>
    <row r="188" spans="1:4" ht="19" thickBot="1">
      <c r="A188" s="19">
        <f t="shared" ca="1" si="2"/>
        <v>44925</v>
      </c>
      <c r="B188" s="21" cm="1">
        <f t="array" aca="1" ref="B188" ca="1">[1]!s_west_netprofit($B$1,2024,$A188,180,1000000)</f>
        <v>-81.029167000000001</v>
      </c>
      <c r="C188" s="22" cm="1">
        <f t="array" aca="1" ref="C188" ca="1">[1]!s_dq_close($B$1,$A188,3)</f>
        <v>24</v>
      </c>
      <c r="D188">
        <f ca="1">[1]!s_west_instnum_np($B$1,2026,A188,180)</f>
        <v>0</v>
      </c>
    </row>
    <row r="189" spans="1:4" ht="19" thickBot="1">
      <c r="A189" s="20">
        <f t="shared" ca="1" si="2"/>
        <v>44918</v>
      </c>
      <c r="B189" s="21" cm="1">
        <f t="array" aca="1" ref="B189" ca="1">[1]!s_west_netprofit($B$1,2024,$A189,180,1000000)</f>
        <v>-81.029167000000001</v>
      </c>
      <c r="C189" s="22" cm="1">
        <f t="array" aca="1" ref="C189" ca="1">[1]!s_dq_close($B$1,$A189,3)</f>
        <v>23.85</v>
      </c>
      <c r="D189">
        <f ca="1">[1]!s_west_instnum_np($B$1,2026,A189,180)</f>
        <v>0</v>
      </c>
    </row>
    <row r="190" spans="1:4" ht="19" thickBot="1">
      <c r="A190" s="19">
        <f t="shared" ca="1" si="2"/>
        <v>44911</v>
      </c>
      <c r="B190" s="21" cm="1">
        <f t="array" aca="1" ref="B190" ca="1">[1]!s_west_netprofit($B$1,2024,$A190,180,1000000)</f>
        <v>-84.529167000000001</v>
      </c>
      <c r="C190" s="22" cm="1">
        <f t="array" aca="1" ref="C190" ca="1">[1]!s_dq_close($B$1,$A190,3)</f>
        <v>22.3</v>
      </c>
      <c r="D190">
        <f ca="1">[1]!s_west_instnum_np($B$1,2026,A190,180)</f>
        <v>0</v>
      </c>
    </row>
    <row r="191" spans="1:4" ht="19" thickBot="1">
      <c r="A191" s="20">
        <f t="shared" ca="1" si="2"/>
        <v>44904</v>
      </c>
      <c r="B191" s="21" cm="1">
        <f t="array" aca="1" ref="B191" ca="1">[1]!s_west_netprofit($B$1,2024,$A191,180,1000000)</f>
        <v>-84.529167000000001</v>
      </c>
      <c r="C191" s="22" cm="1">
        <f t="array" aca="1" ref="C191" ca="1">[1]!s_dq_close($B$1,$A191,3)</f>
        <v>22.3</v>
      </c>
      <c r="D191">
        <f ca="1">[1]!s_west_instnum_np($B$1,2026,A191,180)</f>
        <v>0</v>
      </c>
    </row>
    <row r="192" spans="1:4" ht="19" thickBot="1">
      <c r="A192" s="19">
        <f t="shared" ca="1" si="2"/>
        <v>44897</v>
      </c>
      <c r="B192" s="21" cm="1">
        <f t="array" aca="1" ref="B192" ca="1">[1]!s_west_netprofit($B$1,2024,$A192,180,1000000)</f>
        <v>-84.529167000000001</v>
      </c>
      <c r="C192" s="22" cm="1">
        <f t="array" aca="1" ref="C192" ca="1">[1]!s_dq_close($B$1,$A192,3)</f>
        <v>21.8</v>
      </c>
      <c r="D192">
        <f ca="1">[1]!s_west_instnum_np($B$1,2026,A192,180)</f>
        <v>0</v>
      </c>
    </row>
    <row r="193" spans="1:4" ht="19" thickBot="1">
      <c r="A193" s="20">
        <f t="shared" ca="1" si="2"/>
        <v>44890</v>
      </c>
      <c r="B193" s="21" cm="1">
        <f t="array" aca="1" ref="B193" ca="1">[1]!s_west_netprofit($B$1,2024,$A193,180,1000000)</f>
        <v>-54.034999999999997</v>
      </c>
      <c r="C193" s="22" cm="1">
        <f t="array" aca="1" ref="C193" ca="1">[1]!s_dq_close($B$1,$A193,3)</f>
        <v>16.88</v>
      </c>
      <c r="D193">
        <f ca="1">[1]!s_west_instnum_np($B$1,2026,A193,180)</f>
        <v>0</v>
      </c>
    </row>
    <row r="194" spans="1:4" ht="19" thickBot="1">
      <c r="A194" s="19">
        <f t="shared" ca="1" si="2"/>
        <v>44883</v>
      </c>
      <c r="B194" s="21" cm="1">
        <f t="array" aca="1" ref="B194" ca="1">[1]!s_west_netprofit($B$1,2024,$A194,180,1000000)</f>
        <v>-59.695</v>
      </c>
      <c r="C194" s="22" cm="1">
        <f t="array" aca="1" ref="C194" ca="1">[1]!s_dq_close($B$1,$A194,3)</f>
        <v>17.36</v>
      </c>
      <c r="D194">
        <f ca="1">[1]!s_west_instnum_np($B$1,2026,A194,180)</f>
        <v>0</v>
      </c>
    </row>
    <row r="195" spans="1:4" ht="19" thickBot="1">
      <c r="A195" s="20">
        <f t="shared" ca="1" si="2"/>
        <v>44876</v>
      </c>
      <c r="B195" s="21" cm="1">
        <f t="array" aca="1" ref="B195" ca="1">[1]!s_west_netprofit($B$1,2024,$A195,180,1000000)</f>
        <v>-59.695</v>
      </c>
      <c r="C195" s="22" cm="1">
        <f t="array" aca="1" ref="C195" ca="1">[1]!s_dq_close($B$1,$A195,3)</f>
        <v>15.86</v>
      </c>
      <c r="D195">
        <f ca="1">[1]!s_west_instnum_np($B$1,2026,A195,180)</f>
        <v>0</v>
      </c>
    </row>
    <row r="196" spans="1:4" ht="19" thickBot="1">
      <c r="A196" s="19">
        <f t="shared" ca="1" si="2"/>
        <v>44869</v>
      </c>
      <c r="B196" s="21" cm="1">
        <f t="array" aca="1" ref="B196" ca="1">[1]!s_west_netprofit($B$1,2024,$A196,180,1000000)</f>
        <v>-14</v>
      </c>
      <c r="C196" s="22" cm="1">
        <f t="array" aca="1" ref="C196" ca="1">[1]!s_dq_close($B$1,$A196,3)</f>
        <v>13.96</v>
      </c>
      <c r="D196">
        <f ca="1">[1]!s_west_instnum_np($B$1,2026,A196,180)</f>
        <v>0</v>
      </c>
    </row>
    <row r="197" spans="1:4" ht="19" thickBot="1">
      <c r="A197" s="20">
        <f t="shared" ca="1" si="2"/>
        <v>44862</v>
      </c>
      <c r="B197" s="21" cm="1">
        <f t="array" aca="1" ref="B197" ca="1">[1]!s_west_netprofit($B$1,2024,$A197,180,1000000)</f>
        <v>-81.5</v>
      </c>
      <c r="C197" s="22" cm="1">
        <f t="array" aca="1" ref="C197" ca="1">[1]!s_dq_close($B$1,$A197,3)</f>
        <v>12.46</v>
      </c>
      <c r="D197">
        <f ca="1">[1]!s_west_instnum_np($B$1,2026,A197,180)</f>
        <v>0</v>
      </c>
    </row>
    <row r="198" spans="1:4" ht="19" thickBot="1">
      <c r="A198" s="19">
        <f t="shared" ca="1" si="2"/>
        <v>44855</v>
      </c>
      <c r="B198" s="21" cm="1">
        <f t="array" aca="1" ref="B198" ca="1">[1]!s_west_netprofit($B$1,2024,$A198,180,1000000)</f>
        <v>-81.5</v>
      </c>
      <c r="C198" s="22" cm="1">
        <f t="array" aca="1" ref="C198" ca="1">[1]!s_dq_close($B$1,$A198,3)</f>
        <v>13.38</v>
      </c>
      <c r="D198">
        <f ca="1">[1]!s_west_instnum_np($B$1,2026,A198,180)</f>
        <v>0</v>
      </c>
    </row>
    <row r="199" spans="1:4" ht="19" thickBot="1">
      <c r="A199" s="20">
        <f t="shared" ca="1" si="2"/>
        <v>44848</v>
      </c>
      <c r="B199" s="21" cm="1">
        <f t="array" aca="1" ref="B199" ca="1">[1]!s_west_netprofit($B$1,2024,$A199,180,1000000)</f>
        <v>-81.5</v>
      </c>
      <c r="C199" s="22" cm="1">
        <f t="array" aca="1" ref="C199" ca="1">[1]!s_dq_close($B$1,$A199,3)</f>
        <v>13.18</v>
      </c>
      <c r="D199">
        <f ca="1">[1]!s_west_instnum_np($B$1,2026,A199,180)</f>
        <v>0</v>
      </c>
    </row>
    <row r="200" spans="1:4" ht="19" thickBot="1">
      <c r="A200" s="19">
        <f t="shared" ca="1" si="2"/>
        <v>44841</v>
      </c>
      <c r="B200" s="21" cm="1">
        <f t="array" aca="1" ref="B200" ca="1">[1]!s_west_netprofit($B$1,2024,$A200,180,1000000)</f>
        <v>-81.5</v>
      </c>
      <c r="C200" s="22" cm="1">
        <f t="array" aca="1" ref="C200" ca="1">[1]!s_dq_close($B$1,$A200,3)</f>
        <v>13.62</v>
      </c>
      <c r="D200">
        <f ca="1">[1]!s_west_instnum_np($B$1,2026,A200,180)</f>
        <v>0</v>
      </c>
    </row>
    <row r="201" spans="1:4" ht="19" thickBot="1">
      <c r="A201" s="20">
        <f t="shared" ca="1" si="2"/>
        <v>44834</v>
      </c>
      <c r="B201" s="21" cm="1">
        <f t="array" aca="1" ref="B201" ca="1">[1]!s_west_netprofit($B$1,2024,$A201,180,1000000)</f>
        <v>-81.5</v>
      </c>
      <c r="C201" s="22" cm="1">
        <f t="array" aca="1" ref="C201" ca="1">[1]!s_dq_close($B$1,$A201,3)</f>
        <v>13.22</v>
      </c>
      <c r="D201">
        <f ca="1">[1]!s_west_instnum_np($B$1,2026,A201,180)</f>
        <v>0</v>
      </c>
    </row>
    <row r="202" spans="1:4" ht="19" thickBot="1">
      <c r="A202" s="19">
        <f t="shared" ca="1" si="2"/>
        <v>44827</v>
      </c>
      <c r="B202" s="21" cm="1">
        <f t="array" aca="1" ref="B202" ca="1">[1]!s_west_netprofit($B$1,2024,$A202,180,1000000)</f>
        <v>-81.5</v>
      </c>
      <c r="C202" s="22" cm="1">
        <f t="array" aca="1" ref="C202" ca="1">[1]!s_dq_close($B$1,$A202,3)</f>
        <v>13.8</v>
      </c>
      <c r="D202">
        <f ca="1">[1]!s_west_instnum_np($B$1,2026,A202,180)</f>
        <v>0</v>
      </c>
    </row>
    <row r="203" spans="1:4" ht="19" thickBot="1">
      <c r="A203" s="20">
        <f t="shared" ca="1" si="2"/>
        <v>44820</v>
      </c>
      <c r="B203" s="21" cm="1">
        <f t="array" aca="1" ref="B203" ca="1">[1]!s_west_netprofit($B$1,2024,$A203,180,1000000)</f>
        <v>-81.5</v>
      </c>
      <c r="C203" s="22" cm="1">
        <f t="array" aca="1" ref="C203" ca="1">[1]!s_dq_close($B$1,$A203,3)</f>
        <v>18.7</v>
      </c>
      <c r="D203">
        <f ca="1">[1]!s_west_instnum_np($B$1,2026,A203,180)</f>
        <v>0</v>
      </c>
    </row>
    <row r="204" spans="1:4" ht="19" thickBot="1">
      <c r="A204" s="19">
        <f t="shared" ref="A204:A260" ca="1" si="3">A203-7</f>
        <v>44813</v>
      </c>
      <c r="B204" s="21" cm="1">
        <f t="array" aca="1" ref="B204" ca="1">[1]!s_west_netprofit($B$1,2024,$A204,180,1000000)</f>
        <v>-81.166667000000004</v>
      </c>
      <c r="C204" s="22" cm="1">
        <f t="array" aca="1" ref="C204" ca="1">[1]!s_dq_close($B$1,$A204,3)</f>
        <v>20.399999999999999</v>
      </c>
      <c r="D204">
        <f ca="1">[1]!s_west_instnum_np($B$1,2026,A204,180)</f>
        <v>0</v>
      </c>
    </row>
    <row r="205" spans="1:4" ht="19" thickBot="1">
      <c r="A205" s="20">
        <f t="shared" ca="1" si="3"/>
        <v>44806</v>
      </c>
      <c r="B205" s="21" cm="1">
        <f t="array" aca="1" ref="B205" ca="1">[1]!s_west_netprofit($B$1,2024,$A205,180,1000000)</f>
        <v>-81.166667000000004</v>
      </c>
      <c r="C205" s="22" cm="1">
        <f t="array" aca="1" ref="C205" ca="1">[1]!s_dq_close($B$1,$A205,3)</f>
        <v>19.68</v>
      </c>
      <c r="D205">
        <f ca="1">[1]!s_west_instnum_np($B$1,2026,A205,180)</f>
        <v>0</v>
      </c>
    </row>
    <row r="206" spans="1:4" ht="19" thickBot="1">
      <c r="A206" s="19">
        <f t="shared" ca="1" si="3"/>
        <v>44799</v>
      </c>
      <c r="B206" s="21" cm="1">
        <f t="array" aca="1" ref="B206" ca="1">[1]!s_west_netprofit($B$1,2024,$A206,180,1000000)</f>
        <v>-81.166667000000004</v>
      </c>
      <c r="C206" s="22" cm="1">
        <f t="array" aca="1" ref="C206" ca="1">[1]!s_dq_close($B$1,$A206,3)</f>
        <v>20.2</v>
      </c>
      <c r="D206">
        <f ca="1">[1]!s_west_instnum_np($B$1,2026,A206,180)</f>
        <v>0</v>
      </c>
    </row>
    <row r="207" spans="1:4" ht="19" thickBot="1">
      <c r="A207" s="20">
        <f t="shared" ca="1" si="3"/>
        <v>44792</v>
      </c>
      <c r="B207" s="21" cm="1">
        <f t="array" aca="1" ref="B207" ca="1">[1]!s_west_netprofit($B$1,2024,$A207,180,1000000)</f>
        <v>-81.166667000000004</v>
      </c>
      <c r="C207" s="22" cm="1">
        <f t="array" aca="1" ref="C207" ca="1">[1]!s_dq_close($B$1,$A207,3)</f>
        <v>21.1</v>
      </c>
      <c r="D207">
        <f ca="1">[1]!s_west_instnum_np($B$1,2026,A207,180)</f>
        <v>0</v>
      </c>
    </row>
    <row r="208" spans="1:4" ht="19" thickBot="1">
      <c r="A208" s="19">
        <f t="shared" ca="1" si="3"/>
        <v>44785</v>
      </c>
      <c r="B208" s="21" cm="1">
        <f t="array" aca="1" ref="B208" ca="1">[1]!s_west_netprofit($B$1,2024,$A208,180,1000000)</f>
        <v>-81.166667000000004</v>
      </c>
      <c r="C208" s="22" cm="1">
        <f t="array" aca="1" ref="C208" ca="1">[1]!s_dq_close($B$1,$A208,3)</f>
        <v>21.75</v>
      </c>
      <c r="D208">
        <f ca="1">[1]!s_west_instnum_np($B$1,2026,A208,180)</f>
        <v>0</v>
      </c>
    </row>
    <row r="209" spans="1:4" ht="19" thickBot="1">
      <c r="A209" s="20">
        <f t="shared" ca="1" si="3"/>
        <v>44778</v>
      </c>
      <c r="B209" s="21" cm="1">
        <f t="array" aca="1" ref="B209" ca="1">[1]!s_west_netprofit($B$1,2024,$A209,180,1000000)</f>
        <v>-81.166667000000004</v>
      </c>
      <c r="C209" s="22" cm="1">
        <f t="array" aca="1" ref="C209" ca="1">[1]!s_dq_close($B$1,$A209,3)</f>
        <v>21.45</v>
      </c>
      <c r="D209">
        <f ca="1">[1]!s_west_instnum_np($B$1,2026,A209,180)</f>
        <v>0</v>
      </c>
    </row>
    <row r="210" spans="1:4" ht="19" thickBot="1">
      <c r="A210" s="19">
        <f t="shared" ca="1" si="3"/>
        <v>44771</v>
      </c>
      <c r="B210" s="21" cm="1">
        <f t="array" aca="1" ref="B210" ca="1">[1]!s_west_netprofit($B$1,2024,$A210,180,1000000)</f>
        <v>-62.25</v>
      </c>
      <c r="C210" s="22" cm="1">
        <f t="array" aca="1" ref="C210" ca="1">[1]!s_dq_close($B$1,$A210,3)</f>
        <v>19.84</v>
      </c>
      <c r="D210">
        <f ca="1">[1]!s_west_instnum_np($B$1,2026,A210,180)</f>
        <v>0</v>
      </c>
    </row>
    <row r="211" spans="1:4" ht="19" thickBot="1">
      <c r="A211" s="20">
        <f t="shared" ca="1" si="3"/>
        <v>44764</v>
      </c>
      <c r="B211" s="21" cm="1">
        <f t="array" aca="1" ref="B211" ca="1">[1]!s_west_netprofit($B$1,2024,$A211,180,1000000)</f>
        <v>-216.5</v>
      </c>
      <c r="C211" s="22" cm="1">
        <f t="array" aca="1" ref="C211" ca="1">[1]!s_dq_close($B$1,$A211,3)</f>
        <v>20.7</v>
      </c>
      <c r="D211">
        <f ca="1">[1]!s_west_instnum_np($B$1,2026,A211,180)</f>
        <v>0</v>
      </c>
    </row>
    <row r="212" spans="1:4" ht="19" thickBot="1">
      <c r="A212" s="19">
        <f t="shared" ca="1" si="3"/>
        <v>44757</v>
      </c>
      <c r="B212" s="21" cm="1">
        <f t="array" aca="1" ref="B212" ca="1">[1]!s_west_netprofit($B$1,2024,$A212,180,1000000)</f>
        <v>-216.5</v>
      </c>
      <c r="C212" s="22" cm="1">
        <f t="array" aca="1" ref="C212" ca="1">[1]!s_dq_close($B$1,$A212,3)</f>
        <v>20.2</v>
      </c>
      <c r="D212">
        <f ca="1">[1]!s_west_instnum_np($B$1,2026,A212,180)</f>
        <v>0</v>
      </c>
    </row>
    <row r="213" spans="1:4" ht="19" thickBot="1">
      <c r="A213" s="20">
        <f t="shared" ca="1" si="3"/>
        <v>44750</v>
      </c>
      <c r="B213" s="21" cm="1">
        <f t="array" aca="1" ref="B213" ca="1">[1]!s_west_netprofit($B$1,2024,$A213,180,1000000)</f>
        <v>-216.5</v>
      </c>
      <c r="C213" s="22" cm="1">
        <f t="array" aca="1" ref="C213" ca="1">[1]!s_dq_close($B$1,$A213,3)</f>
        <v>23.15</v>
      </c>
      <c r="D213">
        <f ca="1">[1]!s_west_instnum_np($B$1,2026,A213,180)</f>
        <v>0</v>
      </c>
    </row>
    <row r="214" spans="1:4" ht="19" thickBot="1">
      <c r="A214" s="19">
        <f t="shared" ca="1" si="3"/>
        <v>44743</v>
      </c>
      <c r="B214" s="21" cm="1">
        <f t="array" aca="1" ref="B214" ca="1">[1]!s_west_netprofit($B$1,2024,$A214,180,1000000)</f>
        <v>-216.5</v>
      </c>
      <c r="C214" s="22" cm="1">
        <f t="array" aca="1" ref="C214" ca="1">[1]!s_dq_close($B$1,$A214,3)</f>
        <v>19.34</v>
      </c>
      <c r="D214">
        <f ca="1">[1]!s_west_instnum_np($B$1,2026,A214,180)</f>
        <v>0</v>
      </c>
    </row>
    <row r="215" spans="1:4" ht="19" thickBot="1">
      <c r="A215" s="20">
        <f t="shared" ca="1" si="3"/>
        <v>44736</v>
      </c>
      <c r="B215" s="21" cm="1">
        <f t="array" aca="1" ref="B215" ca="1">[1]!s_west_netprofit($B$1,2024,$A215,180,1000000)</f>
        <v>-216.5</v>
      </c>
      <c r="C215" s="22" cm="1">
        <f t="array" aca="1" ref="C215" ca="1">[1]!s_dq_close($B$1,$A215,3)</f>
        <v>20.85</v>
      </c>
      <c r="D215">
        <f ca="1">[1]!s_west_instnum_np($B$1,2026,A215,180)</f>
        <v>0</v>
      </c>
    </row>
    <row r="216" spans="1:4" ht="19" thickBot="1">
      <c r="A216" s="19">
        <f t="shared" ca="1" si="3"/>
        <v>44729</v>
      </c>
      <c r="B216" s="21" cm="1">
        <f t="array" aca="1" ref="B216" ca="1">[1]!s_west_netprofit($B$1,2024,$A216,180,1000000)</f>
        <v>-216.5</v>
      </c>
      <c r="C216" s="22" cm="1">
        <f t="array" aca="1" ref="C216" ca="1">[1]!s_dq_close($B$1,$A216,3)</f>
        <v>18.2</v>
      </c>
      <c r="D216">
        <f ca="1">[1]!s_west_instnum_np($B$1,2026,A216,180)</f>
        <v>0</v>
      </c>
    </row>
    <row r="217" spans="1:4" ht="19" thickBot="1">
      <c r="A217" s="20">
        <f t="shared" ca="1" si="3"/>
        <v>44722</v>
      </c>
      <c r="B217" s="21" cm="1">
        <f t="array" aca="1" ref="B217" ca="1">[1]!s_west_netprofit($B$1,2024,$A217,180,1000000)</f>
        <v>-216.5</v>
      </c>
      <c r="C217" s="22" cm="1">
        <f t="array" aca="1" ref="C217" ca="1">[1]!s_dq_close($B$1,$A217,3)</f>
        <v>17.78</v>
      </c>
      <c r="D217">
        <f ca="1">[1]!s_west_instnum_np($B$1,2026,A217,180)</f>
        <v>0</v>
      </c>
    </row>
    <row r="218" spans="1:4" ht="19" thickBot="1">
      <c r="A218" s="19">
        <f t="shared" ca="1" si="3"/>
        <v>44715</v>
      </c>
      <c r="B218" s="21" cm="1">
        <f t="array" aca="1" ref="B218" ca="1">[1]!s_west_netprofit($B$1,2024,$A218,180,1000000)</f>
        <v>-216.5</v>
      </c>
      <c r="C218" s="22" cm="1">
        <f t="array" aca="1" ref="C218" ca="1">[1]!s_dq_close($B$1,$A218,3)</f>
        <v>16.5</v>
      </c>
      <c r="D218">
        <f ca="1">[1]!s_west_instnum_np($B$1,2026,A218,180)</f>
        <v>0</v>
      </c>
    </row>
    <row r="219" spans="1:4" ht="19" thickBot="1">
      <c r="A219" s="20">
        <f t="shared" ca="1" si="3"/>
        <v>44708</v>
      </c>
      <c r="B219" s="21" cm="1">
        <f t="array" aca="1" ref="B219" ca="1">[1]!s_west_netprofit($B$1,2024,$A219,180,1000000)</f>
        <v>-216.5</v>
      </c>
      <c r="C219" s="22" cm="1">
        <f t="array" aca="1" ref="C219" ca="1">[1]!s_dq_close($B$1,$A219,3)</f>
        <v>15.34</v>
      </c>
      <c r="D219">
        <f ca="1">[1]!s_west_instnum_np($B$1,2026,A219,180)</f>
        <v>0</v>
      </c>
    </row>
    <row r="220" spans="1:4" ht="19" thickBot="1">
      <c r="A220" s="19">
        <f t="shared" ca="1" si="3"/>
        <v>44701</v>
      </c>
      <c r="B220" s="21" cm="1">
        <f t="array" aca="1" ref="B220" ca="1">[1]!s_west_netprofit($B$1,2024,$A220,180,1000000)</f>
        <v>-216.5</v>
      </c>
      <c r="C220" s="22" cm="1">
        <f t="array" aca="1" ref="C220" ca="1">[1]!s_dq_close($B$1,$A220,3)</f>
        <v>17.02</v>
      </c>
      <c r="D220">
        <f ca="1">[1]!s_west_instnum_np($B$1,2026,A220,180)</f>
        <v>0</v>
      </c>
    </row>
    <row r="221" spans="1:4" ht="19" thickBot="1">
      <c r="A221" s="20">
        <f t="shared" ca="1" si="3"/>
        <v>44694</v>
      </c>
      <c r="B221" s="21" cm="1">
        <f t="array" aca="1" ref="B221" ca="1">[1]!s_west_netprofit($B$1,2024,$A221,180,1000000)</f>
        <v>-216.5</v>
      </c>
      <c r="C221" s="22" cm="1">
        <f t="array" aca="1" ref="C221" ca="1">[1]!s_dq_close($B$1,$A221,3)</f>
        <v>16.399999999999999</v>
      </c>
      <c r="D221">
        <f ca="1">[1]!s_west_instnum_np($B$1,2026,A221,180)</f>
        <v>0</v>
      </c>
    </row>
    <row r="222" spans="1:4" ht="19" thickBot="1">
      <c r="A222" s="19">
        <f t="shared" ca="1" si="3"/>
        <v>44687</v>
      </c>
      <c r="B222" s="21" cm="1">
        <f t="array" aca="1" ref="B222" ca="1">[1]!s_west_netprofit($B$1,2024,$A222,180,1000000)</f>
        <v>-216.5</v>
      </c>
      <c r="C222" s="22" cm="1">
        <f t="array" aca="1" ref="C222" ca="1">[1]!s_dq_close($B$1,$A222,3)</f>
        <v>17.940000000000001</v>
      </c>
      <c r="D222">
        <f ca="1">[1]!s_west_instnum_np($B$1,2026,A222,180)</f>
        <v>0</v>
      </c>
    </row>
    <row r="223" spans="1:4" ht="19" thickBot="1">
      <c r="A223" s="20">
        <f t="shared" ca="1" si="3"/>
        <v>44680</v>
      </c>
      <c r="B223" s="21" cm="1">
        <f t="array" aca="1" ref="B223" ca="1">[1]!s_west_netprofit($B$1,2024,$A223,180,1000000)</f>
        <v>-216.9</v>
      </c>
      <c r="C223" s="22" cm="1">
        <f t="array" aca="1" ref="C223" ca="1">[1]!s_dq_close($B$1,$A223,3)</f>
        <v>25.7</v>
      </c>
      <c r="D223">
        <f ca="1">[1]!s_west_instnum_np($B$1,2026,A223,180)</f>
        <v>0</v>
      </c>
    </row>
    <row r="224" spans="1:4" ht="19" thickBot="1">
      <c r="A224" s="19">
        <f t="shared" ca="1" si="3"/>
        <v>44673</v>
      </c>
      <c r="B224" s="21" cm="1">
        <f t="array" aca="1" ref="B224" ca="1">[1]!s_west_netprofit($B$1,2024,$A224,180,1000000)</f>
        <v>-216.9</v>
      </c>
      <c r="C224" s="22" cm="1">
        <f t="array" aca="1" ref="C224" ca="1">[1]!s_dq_close($B$1,$A224,3)</f>
        <v>26.05</v>
      </c>
      <c r="D224">
        <f ca="1">[1]!s_west_instnum_np($B$1,2026,A224,180)</f>
        <v>0</v>
      </c>
    </row>
    <row r="225" spans="1:4" ht="19" thickBot="1">
      <c r="A225" s="20">
        <f t="shared" ca="1" si="3"/>
        <v>44666</v>
      </c>
      <c r="B225" s="21" cm="1">
        <f t="array" aca="1" ref="B225" ca="1">[1]!s_west_netprofit($B$1,2024,$A225,180,1000000)</f>
        <v>-216.9</v>
      </c>
      <c r="C225" s="22" cm="1">
        <f t="array" aca="1" ref="C225" ca="1">[1]!s_dq_close($B$1,$A225,3)</f>
        <v>27.5</v>
      </c>
      <c r="D225">
        <f ca="1">[1]!s_west_instnum_np($B$1,2026,A225,180)</f>
        <v>0</v>
      </c>
    </row>
    <row r="226" spans="1:4" ht="19" thickBot="1">
      <c r="A226" s="19">
        <f t="shared" ca="1" si="3"/>
        <v>44659</v>
      </c>
      <c r="B226" s="21" cm="1">
        <f t="array" aca="1" ref="B226" ca="1">[1]!s_west_netprofit($B$1,2024,$A226,180,1000000)</f>
        <v>-216.9</v>
      </c>
      <c r="C226" s="22" cm="1">
        <f t="array" aca="1" ref="C226" ca="1">[1]!s_dq_close($B$1,$A226,3)</f>
        <v>28.8</v>
      </c>
      <c r="D226">
        <f ca="1">[1]!s_west_instnum_np($B$1,2026,A226,180)</f>
        <v>0</v>
      </c>
    </row>
    <row r="227" spans="1:4" ht="19" thickBot="1">
      <c r="A227" s="20">
        <f t="shared" ca="1" si="3"/>
        <v>44652</v>
      </c>
      <c r="B227" s="21" cm="1">
        <f t="array" aca="1" ref="B227" ca="1">[1]!s_west_netprofit($B$1,2024,$A227,180,1000000)</f>
        <v>-216.9</v>
      </c>
      <c r="C227" s="22" cm="1">
        <f t="array" aca="1" ref="C227" ca="1">[1]!s_dq_close($B$1,$A227,3)</f>
        <v>29.6</v>
      </c>
      <c r="D227">
        <f ca="1">[1]!s_west_instnum_np($B$1,2026,A227,180)</f>
        <v>0</v>
      </c>
    </row>
    <row r="228" spans="1:4" ht="19" thickBot="1">
      <c r="A228" s="19">
        <f t="shared" ca="1" si="3"/>
        <v>44645</v>
      </c>
      <c r="B228" s="21" cm="1">
        <f t="array" aca="1" ref="B228" ca="1">[1]!s_west_netprofit($B$1,2024,$A228,180,1000000)</f>
        <v>-216.9</v>
      </c>
      <c r="C228" s="22" cm="1">
        <f t="array" aca="1" ref="C228" ca="1">[1]!s_dq_close($B$1,$A228,3)</f>
        <v>31.1</v>
      </c>
      <c r="D228">
        <f ca="1">[1]!s_west_instnum_np($B$1,2026,A228,180)</f>
        <v>0</v>
      </c>
    </row>
    <row r="229" spans="1:4" ht="19" thickBot="1">
      <c r="A229" s="20">
        <f t="shared" ca="1" si="3"/>
        <v>44638</v>
      </c>
      <c r="B229" s="21" cm="1">
        <f t="array" aca="1" ref="B229" ca="1">[1]!s_west_netprofit($B$1,2024,$A229,180,1000000)</f>
        <v>-216.9</v>
      </c>
      <c r="C229" s="22" cm="1">
        <f t="array" aca="1" ref="C229" ca="1">[1]!s_dq_close($B$1,$A229,3)</f>
        <v>30.3</v>
      </c>
      <c r="D229">
        <f ca="1">[1]!s_west_instnum_np($B$1,2026,A229,180)</f>
        <v>0</v>
      </c>
    </row>
    <row r="230" spans="1:4" ht="19" thickBot="1">
      <c r="A230" s="19">
        <f t="shared" ca="1" si="3"/>
        <v>44631</v>
      </c>
      <c r="B230" s="21" cm="1">
        <f t="array" aca="1" ref="B230" ca="1">[1]!s_west_netprofit($B$1,2024,$A230,180,1000000)</f>
        <v>-216.9</v>
      </c>
      <c r="C230" s="22" cm="1">
        <f t="array" aca="1" ref="C230" ca="1">[1]!s_dq_close($B$1,$A230,3)</f>
        <v>26.3</v>
      </c>
      <c r="D230">
        <f ca="1">[1]!s_west_instnum_np($B$1,2026,A230,180)</f>
        <v>0</v>
      </c>
    </row>
    <row r="231" spans="1:4" ht="19" thickBot="1">
      <c r="A231" s="20">
        <f t="shared" ca="1" si="3"/>
        <v>44624</v>
      </c>
      <c r="B231" s="21" cm="1">
        <f t="array" aca="1" ref="B231" ca="1">[1]!s_west_netprofit($B$1,2024,$A231,180,1000000)</f>
        <v>-216.9</v>
      </c>
      <c r="C231" s="22" cm="1">
        <f t="array" aca="1" ref="C231" ca="1">[1]!s_dq_close($B$1,$A231,3)</f>
        <v>35.1</v>
      </c>
      <c r="D231">
        <f ca="1">[1]!s_west_instnum_np($B$1,2026,A231,180)</f>
        <v>0</v>
      </c>
    </row>
    <row r="232" spans="1:4" ht="19" thickBot="1">
      <c r="A232" s="19">
        <f t="shared" ca="1" si="3"/>
        <v>44617</v>
      </c>
      <c r="B232" s="21" cm="1">
        <f t="array" aca="1" ref="B232" ca="1">[1]!s_west_netprofit($B$1,2024,$A232,180,1000000)</f>
        <v>0</v>
      </c>
      <c r="C232" s="22" cm="1">
        <f t="array" aca="1" ref="C232" ca="1">[1]!s_dq_close($B$1,$A232,3)</f>
        <v>42</v>
      </c>
      <c r="D232">
        <f ca="1">[1]!s_west_instnum_np($B$1,2026,A232,180)</f>
        <v>0</v>
      </c>
    </row>
    <row r="233" spans="1:4" ht="19" thickBot="1">
      <c r="A233" s="20">
        <f t="shared" ca="1" si="3"/>
        <v>44610</v>
      </c>
      <c r="B233" s="21" cm="1">
        <f t="array" aca="1" ref="B233" ca="1">[1]!s_west_netprofit($B$1,2024,$A233,180,1000000)</f>
        <v>0</v>
      </c>
      <c r="C233" s="22" cm="1">
        <f t="array" aca="1" ref="C233" ca="1">[1]!s_dq_close($B$1,$A233,3)</f>
        <v>41.5</v>
      </c>
      <c r="D233">
        <f ca="1">[1]!s_west_instnum_np($B$1,2026,A233,180)</f>
        <v>0</v>
      </c>
    </row>
    <row r="234" spans="1:4" ht="19" thickBot="1">
      <c r="A234" s="19">
        <f t="shared" ca="1" si="3"/>
        <v>44603</v>
      </c>
      <c r="B234" s="21" cm="1">
        <f t="array" aca="1" ref="B234" ca="1">[1]!s_west_netprofit($B$1,2024,$A234,180,1000000)</f>
        <v>0</v>
      </c>
      <c r="C234" s="22" cm="1">
        <f t="array" aca="1" ref="C234" ca="1">[1]!s_dq_close($B$1,$A234,3)</f>
        <v>42.15</v>
      </c>
      <c r="D234">
        <f ca="1">[1]!s_west_instnum_np($B$1,2026,A234,180)</f>
        <v>0</v>
      </c>
    </row>
    <row r="235" spans="1:4" ht="19" thickBot="1">
      <c r="A235" s="20">
        <f t="shared" ca="1" si="3"/>
        <v>44596</v>
      </c>
      <c r="B235" s="21" cm="1">
        <f t="array" aca="1" ref="B235" ca="1">[1]!s_west_netprofit($B$1,2024,$A235,180,1000000)</f>
        <v>0</v>
      </c>
      <c r="C235" s="22" cm="1">
        <f t="array" aca="1" ref="C235" ca="1">[1]!s_dq_close($B$1,$A235,3)</f>
        <v>41.1</v>
      </c>
      <c r="D235">
        <f ca="1">[1]!s_west_instnum_np($B$1,2026,A235,180)</f>
        <v>0</v>
      </c>
    </row>
    <row r="236" spans="1:4" ht="19" thickBot="1">
      <c r="A236" s="19">
        <f t="shared" ca="1" si="3"/>
        <v>44589</v>
      </c>
      <c r="B236" s="21" cm="1">
        <f t="array" aca="1" ref="B236" ca="1">[1]!s_west_netprofit($B$1,2024,$A236,180,1000000)</f>
        <v>0</v>
      </c>
      <c r="C236" s="22" cm="1">
        <f t="array" aca="1" ref="C236" ca="1">[1]!s_dq_close($B$1,$A236,3)</f>
        <v>40.85</v>
      </c>
      <c r="D236">
        <f ca="1">[1]!s_west_instnum_np($B$1,2026,A236,180)</f>
        <v>0</v>
      </c>
    </row>
    <row r="237" spans="1:4" ht="19" thickBot="1">
      <c r="A237" s="20">
        <f t="shared" ca="1" si="3"/>
        <v>44582</v>
      </c>
      <c r="B237" s="21" cm="1">
        <f t="array" aca="1" ref="B237" ca="1">[1]!s_west_netprofit($B$1,2024,$A237,180,1000000)</f>
        <v>0</v>
      </c>
      <c r="C237" s="22" cm="1">
        <f t="array" aca="1" ref="C237" ca="1">[1]!s_dq_close($B$1,$A237,3)</f>
        <v>48.4</v>
      </c>
      <c r="D237">
        <f ca="1">[1]!s_west_instnum_np($B$1,2026,A237,180)</f>
        <v>0</v>
      </c>
    </row>
    <row r="238" spans="1:4" ht="19" thickBot="1">
      <c r="A238" s="19">
        <f t="shared" ca="1" si="3"/>
        <v>44575</v>
      </c>
      <c r="B238" s="21" cm="1">
        <f t="array" aca="1" ref="B238" ca="1">[1]!s_west_netprofit($B$1,2024,$A238,180,1000000)</f>
        <v>0</v>
      </c>
      <c r="C238" s="22" cm="1">
        <f t="array" aca="1" ref="C238" ca="1">[1]!s_dq_close($B$1,$A238,3)</f>
        <v>50.8</v>
      </c>
      <c r="D238">
        <f ca="1">[1]!s_west_instnum_np($B$1,2026,A238,180)</f>
        <v>0</v>
      </c>
    </row>
    <row r="239" spans="1:4" ht="19" thickBot="1">
      <c r="A239" s="20">
        <f t="shared" ca="1" si="3"/>
        <v>44568</v>
      </c>
      <c r="B239" s="21" cm="1">
        <f t="array" aca="1" ref="B239" ca="1">[1]!s_west_netprofit($B$1,2024,$A239,180,1000000)</f>
        <v>0</v>
      </c>
      <c r="C239" s="22" cm="1">
        <f t="array" aca="1" ref="C239" ca="1">[1]!s_dq_close($B$1,$A239,3)</f>
        <v>54.4</v>
      </c>
      <c r="D239">
        <f ca="1">[1]!s_west_instnum_np($B$1,2026,A239,180)</f>
        <v>0</v>
      </c>
    </row>
    <row r="240" spans="1:4" ht="19" thickBot="1">
      <c r="A240" s="19">
        <f t="shared" ca="1" si="3"/>
        <v>44561</v>
      </c>
      <c r="B240" s="21" cm="1">
        <f t="array" aca="1" ref="B240" ca="1">[1]!s_west_netprofit($B$1,2024,$A240,180,1000000)</f>
        <v>0</v>
      </c>
      <c r="C240" s="22" cm="1">
        <f t="array" aca="1" ref="C240" ca="1">[1]!s_dq_close($B$1,$A240,3)</f>
        <v>56.7</v>
      </c>
      <c r="D240">
        <f ca="1">[1]!s_west_instnum_np($B$1,2026,A240,180)</f>
        <v>0</v>
      </c>
    </row>
    <row r="241" spans="1:4" ht="19" thickBot="1">
      <c r="A241" s="20">
        <f t="shared" ca="1" si="3"/>
        <v>44554</v>
      </c>
      <c r="B241" s="21" cm="1">
        <f t="array" aca="1" ref="B241" ca="1">[1]!s_west_netprofit($B$1,2024,$A241,180,1000000)</f>
        <v>0</v>
      </c>
      <c r="C241" s="22" cm="1">
        <f t="array" aca="1" ref="C241" ca="1">[1]!s_dq_close($B$1,$A241,3)</f>
        <v>57.3</v>
      </c>
      <c r="D241">
        <f ca="1">[1]!s_west_instnum_np($B$1,2026,A241,180)</f>
        <v>0</v>
      </c>
    </row>
    <row r="242" spans="1:4" ht="19" thickBot="1">
      <c r="A242" s="19">
        <f t="shared" ca="1" si="3"/>
        <v>44547</v>
      </c>
      <c r="B242" s="21" cm="1">
        <f t="array" aca="1" ref="B242" ca="1">[1]!s_west_netprofit($B$1,2024,$A242,180,1000000)</f>
        <v>0</v>
      </c>
      <c r="C242" s="22" cm="1">
        <f t="array" aca="1" ref="C242" ca="1">[1]!s_dq_close($B$1,$A242,3)</f>
        <v>56.5</v>
      </c>
      <c r="D242">
        <f ca="1">[1]!s_west_instnum_np($B$1,2026,A242,180)</f>
        <v>0</v>
      </c>
    </row>
    <row r="243" spans="1:4" ht="19" thickBot="1">
      <c r="A243" s="20">
        <f t="shared" ca="1" si="3"/>
        <v>44540</v>
      </c>
      <c r="B243" s="21" cm="1">
        <f t="array" aca="1" ref="B243" ca="1">[1]!s_west_netprofit($B$1,2024,$A243,180,1000000)</f>
        <v>0</v>
      </c>
      <c r="C243" s="22" cm="1">
        <f t="array" aca="1" ref="C243" ca="1">[1]!s_dq_close($B$1,$A243,3)</f>
        <v>54.3</v>
      </c>
      <c r="D243">
        <f ca="1">[1]!s_west_instnum_np($B$1,2026,A243,180)</f>
        <v>0</v>
      </c>
    </row>
    <row r="244" spans="1:4" ht="19" thickBot="1">
      <c r="A244" s="19">
        <f t="shared" ca="1" si="3"/>
        <v>44533</v>
      </c>
      <c r="B244" s="21" cm="1">
        <f t="array" aca="1" ref="B244" ca="1">[1]!s_west_netprofit($B$1,2024,$A244,180,1000000)</f>
        <v>0</v>
      </c>
      <c r="C244" s="22" cm="1">
        <f t="array" aca="1" ref="C244" ca="1">[1]!s_dq_close($B$1,$A244,3)</f>
        <v>54.8</v>
      </c>
      <c r="D244">
        <f ca="1">[1]!s_west_instnum_np($B$1,2026,A244,180)</f>
        <v>0</v>
      </c>
    </row>
    <row r="245" spans="1:4" ht="19" thickBot="1">
      <c r="A245" s="20">
        <f t="shared" ca="1" si="3"/>
        <v>44526</v>
      </c>
      <c r="B245" s="21" cm="1">
        <f t="array" aca="1" ref="B245" ca="1">[1]!s_west_netprofit($B$1,2024,$A245,180,1000000)</f>
        <v>0</v>
      </c>
      <c r="C245" s="22" cm="1">
        <f t="array" aca="1" ref="C245" ca="1">[1]!s_dq_close($B$1,$A245,3)</f>
        <v>57.25</v>
      </c>
      <c r="D245">
        <f ca="1">[1]!s_west_instnum_np($B$1,2026,A245,180)</f>
        <v>0</v>
      </c>
    </row>
    <row r="246" spans="1:4" ht="19" thickBot="1">
      <c r="A246" s="19">
        <f t="shared" ca="1" si="3"/>
        <v>44519</v>
      </c>
      <c r="B246" s="21" cm="1">
        <f t="array" aca="1" ref="B246" ca="1">[1]!s_west_netprofit($B$1,2024,$A246,180,1000000)</f>
        <v>0</v>
      </c>
      <c r="C246" s="22" cm="1">
        <f t="array" aca="1" ref="C246" ca="1">[1]!s_dq_close($B$1,$A246,3)</f>
        <v>48.4</v>
      </c>
      <c r="D246">
        <f ca="1">[1]!s_west_instnum_np($B$1,2026,A246,180)</f>
        <v>0</v>
      </c>
    </row>
    <row r="247" spans="1:4" ht="19" thickBot="1">
      <c r="A247" s="20">
        <f t="shared" ca="1" si="3"/>
        <v>44512</v>
      </c>
      <c r="B247" s="21" cm="1">
        <f t="array" aca="1" ref="B247" ca="1">[1]!s_west_netprofit($B$1,2024,$A247,180,1000000)</f>
        <v>0</v>
      </c>
      <c r="C247" s="22" cm="1">
        <f t="array" aca="1" ref="C247" ca="1">[1]!s_dq_close($B$1,$A247,3)</f>
        <v>47.6</v>
      </c>
      <c r="D247">
        <f ca="1">[1]!s_west_instnum_np($B$1,2026,A247,180)</f>
        <v>0</v>
      </c>
    </row>
    <row r="248" spans="1:4" ht="19" thickBot="1">
      <c r="A248" s="19">
        <f t="shared" ca="1" si="3"/>
        <v>44505</v>
      </c>
      <c r="B248" s="21" cm="1">
        <f t="array" aca="1" ref="B248" ca="1">[1]!s_west_netprofit($B$1,2024,$A248,180,1000000)</f>
        <v>0</v>
      </c>
      <c r="C248" s="22" cm="1">
        <f t="array" aca="1" ref="C248" ca="1">[1]!s_dq_close($B$1,$A248,3)</f>
        <v>47.45</v>
      </c>
      <c r="D248">
        <f ca="1">[1]!s_west_instnum_np($B$1,2026,A248,180)</f>
        <v>0</v>
      </c>
    </row>
    <row r="249" spans="1:4" ht="19" thickBot="1">
      <c r="A249" s="20">
        <f t="shared" ca="1" si="3"/>
        <v>44498</v>
      </c>
      <c r="B249" s="21" cm="1">
        <f t="array" aca="1" ref="B249" ca="1">[1]!s_west_netprofit($B$1,2024,$A249,180,1000000)</f>
        <v>0</v>
      </c>
      <c r="C249" s="22" cm="1">
        <f t="array" aca="1" ref="C249" ca="1">[1]!s_dq_close($B$1,$A249,3)</f>
        <v>46.3</v>
      </c>
      <c r="D249">
        <f ca="1">[1]!s_west_instnum_np($B$1,2026,A249,180)</f>
        <v>0</v>
      </c>
    </row>
    <row r="250" spans="1:4" ht="19" thickBot="1">
      <c r="A250" s="19">
        <f t="shared" ca="1" si="3"/>
        <v>44491</v>
      </c>
      <c r="B250" s="21" cm="1">
        <f t="array" aca="1" ref="B250" ca="1">[1]!s_west_netprofit($B$1,2024,$A250,180,1000000)</f>
        <v>0</v>
      </c>
      <c r="C250" s="22" cm="1">
        <f t="array" aca="1" ref="C250" ca="1">[1]!s_dq_close($B$1,$A250,3)</f>
        <v>50.4</v>
      </c>
      <c r="D250">
        <f ca="1">[1]!s_west_instnum_np($B$1,2026,A250,180)</f>
        <v>0</v>
      </c>
    </row>
    <row r="251" spans="1:4" ht="19" thickBot="1">
      <c r="A251" s="20">
        <f t="shared" ca="1" si="3"/>
        <v>44484</v>
      </c>
      <c r="B251" s="21" cm="1">
        <f t="array" aca="1" ref="B251" ca="1">[1]!s_west_netprofit($B$1,2024,$A251,180,1000000)</f>
        <v>0</v>
      </c>
      <c r="C251" s="22" cm="1">
        <f t="array" aca="1" ref="C251" ca="1">[1]!s_dq_close($B$1,$A251,3)</f>
        <v>49.55</v>
      </c>
      <c r="D251">
        <f ca="1">[1]!s_west_instnum_np($B$1,2026,A251,180)</f>
        <v>0</v>
      </c>
    </row>
    <row r="252" spans="1:4" ht="19" thickBot="1">
      <c r="A252" s="19">
        <f t="shared" ca="1" si="3"/>
        <v>44477</v>
      </c>
      <c r="B252" s="21" cm="1">
        <f t="array" aca="1" ref="B252" ca="1">[1]!s_west_netprofit($B$1,2024,$A252,180,1000000)</f>
        <v>0</v>
      </c>
      <c r="C252" s="22" cm="1">
        <f t="array" aca="1" ref="C252" ca="1">[1]!s_dq_close($B$1,$A252,3)</f>
        <v>52.95</v>
      </c>
      <c r="D252">
        <f ca="1">[1]!s_west_instnum_np($B$1,2026,A252,180)</f>
        <v>0</v>
      </c>
    </row>
    <row r="253" spans="1:4" ht="19" thickBot="1">
      <c r="A253" s="20">
        <f t="shared" ca="1" si="3"/>
        <v>44470</v>
      </c>
      <c r="B253" s="21" cm="1">
        <f t="array" aca="1" ref="B253" ca="1">[1]!s_west_netprofit($B$1,2024,$A253,180,1000000)</f>
        <v>0</v>
      </c>
      <c r="C253" s="22" cm="1">
        <f t="array" aca="1" ref="C253" ca="1">[1]!s_dq_close($B$1,$A253,3)</f>
        <v>57</v>
      </c>
      <c r="D253">
        <f ca="1">[1]!s_west_instnum_np($B$1,2026,A253,180)</f>
        <v>0</v>
      </c>
    </row>
    <row r="254" spans="1:4" ht="19" thickBot="1">
      <c r="A254" s="19">
        <f t="shared" ca="1" si="3"/>
        <v>44463</v>
      </c>
      <c r="B254" s="21" cm="1">
        <f t="array" aca="1" ref="B254" ca="1">[1]!s_west_netprofit($B$1,2024,$A254,180,1000000)</f>
        <v>0</v>
      </c>
      <c r="C254" s="22" cm="1">
        <f t="array" aca="1" ref="C254" ca="1">[1]!s_dq_close($B$1,$A254,3)</f>
        <v>58.7</v>
      </c>
      <c r="D254">
        <f ca="1">[1]!s_west_instnum_np($B$1,2026,A254,180)</f>
        <v>0</v>
      </c>
    </row>
    <row r="255" spans="1:4" ht="19" thickBot="1">
      <c r="A255" s="20">
        <f t="shared" ca="1" si="3"/>
        <v>44456</v>
      </c>
      <c r="B255" s="21" cm="1">
        <f t="array" aca="1" ref="B255" ca="1">[1]!s_west_netprofit($B$1,2024,$A255,180,1000000)</f>
        <v>0</v>
      </c>
      <c r="C255" s="22" cm="1">
        <f t="array" aca="1" ref="C255" ca="1">[1]!s_dq_close($B$1,$A255,3)</f>
        <v>60.1</v>
      </c>
      <c r="D255">
        <f ca="1">[1]!s_west_instnum_np($B$1,2026,A255,180)</f>
        <v>0</v>
      </c>
    </row>
    <row r="256" spans="1:4" ht="19" thickBot="1">
      <c r="A256" s="19">
        <f t="shared" ca="1" si="3"/>
        <v>44449</v>
      </c>
      <c r="B256" s="21" cm="1">
        <f t="array" aca="1" ref="B256" ca="1">[1]!s_west_netprofit($B$1,2024,$A256,180,1000000)</f>
        <v>0</v>
      </c>
      <c r="C256" s="22" cm="1">
        <f t="array" aca="1" ref="C256" ca="1">[1]!s_dq_close($B$1,$A256,3)</f>
        <v>61.1</v>
      </c>
      <c r="D256">
        <f ca="1">[1]!s_west_instnum_np($B$1,2026,A256,180)</f>
        <v>0</v>
      </c>
    </row>
    <row r="257" spans="1:4" ht="19" thickBot="1">
      <c r="A257" s="20">
        <f t="shared" ca="1" si="3"/>
        <v>44442</v>
      </c>
      <c r="B257" s="21" cm="1">
        <f t="array" aca="1" ref="B257" ca="1">[1]!s_west_netprofit($B$1,2024,$A257,180,1000000)</f>
        <v>0</v>
      </c>
      <c r="C257" s="22" cm="1">
        <f t="array" aca="1" ref="C257" ca="1">[1]!s_dq_close($B$1,$A257,3)</f>
        <v>65.7</v>
      </c>
      <c r="D257">
        <f ca="1">[1]!s_west_instnum_np($B$1,2026,A257,180)</f>
        <v>0</v>
      </c>
    </row>
    <row r="258" spans="1:4" ht="19" thickBot="1">
      <c r="A258" s="19">
        <f t="shared" ca="1" si="3"/>
        <v>44435</v>
      </c>
      <c r="B258" s="21" cm="1">
        <f t="array" aca="1" ref="B258" ca="1">[1]!s_west_netprofit($B$1,2024,$A258,180,1000000)</f>
        <v>0</v>
      </c>
      <c r="C258" s="22" cm="1">
        <f t="array" aca="1" ref="C258" ca="1">[1]!s_dq_close($B$1,$A258,3)</f>
        <v>57.65</v>
      </c>
      <c r="D258">
        <f ca="1">[1]!s_west_instnum_np($B$1,2026,A258,180)</f>
        <v>0</v>
      </c>
    </row>
    <row r="259" spans="1:4" ht="19" thickBot="1">
      <c r="A259" s="20">
        <f t="shared" ca="1" si="3"/>
        <v>44428</v>
      </c>
      <c r="B259" s="21" cm="1">
        <f t="array" aca="1" ref="B259" ca="1">[1]!s_west_netprofit($B$1,2024,$A259,180,1000000)</f>
        <v>0</v>
      </c>
      <c r="C259" s="22" cm="1">
        <f t="array" aca="1" ref="C259" ca="1">[1]!s_dq_close($B$1,$A259,3)</f>
        <v>57.6</v>
      </c>
      <c r="D259">
        <f ca="1">[1]!s_west_instnum_np($B$1,2026,A259,180)</f>
        <v>0</v>
      </c>
    </row>
    <row r="260" spans="1:4" ht="19" thickBot="1">
      <c r="A260" s="19">
        <f t="shared" ca="1" si="3"/>
        <v>44421</v>
      </c>
      <c r="B260" s="21" cm="1">
        <f t="array" aca="1" ref="B260" ca="1">[1]!s_west_netprofit($B$1,2024,$A260,180,1000000)</f>
        <v>0</v>
      </c>
      <c r="C260" s="22" cm="1">
        <f t="array" aca="1" ref="C260" ca="1">[1]!s_dq_close($B$1,$A260,3)</f>
        <v>64.150000000000006</v>
      </c>
      <c r="D260">
        <f ca="1">[1]!s_west_instnum_np($B$1,2026,A260,180)</f>
        <v>0</v>
      </c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0E4C6-416C-8F46-B694-DD45599D755A}">
  <dimension ref="A1:B101"/>
  <sheetViews>
    <sheetView workbookViewId="0">
      <selection activeCell="C1" sqref="C1:C1048576"/>
    </sheetView>
  </sheetViews>
  <sheetFormatPr baseColWidth="10" defaultRowHeight="14"/>
  <sheetData>
    <row r="1" spans="1:2" ht="15">
      <c r="A1" s="29" t="s">
        <v>21</v>
      </c>
      <c r="B1" s="31" t="s">
        <v>22</v>
      </c>
    </row>
    <row r="2" spans="1:2">
      <c r="A2" s="24" t="s">
        <v>24</v>
      </c>
      <c r="B2" s="24" t="s">
        <v>23</v>
      </c>
    </row>
    <row r="3" spans="1:2">
      <c r="A3" s="24" t="s">
        <v>26</v>
      </c>
      <c r="B3" s="24" t="s">
        <v>25</v>
      </c>
    </row>
    <row r="4" spans="1:2">
      <c r="A4" s="24" t="s">
        <v>28</v>
      </c>
      <c r="B4" s="24" t="s">
        <v>27</v>
      </c>
    </row>
    <row r="5" spans="1:2">
      <c r="A5" s="24" t="s">
        <v>30</v>
      </c>
      <c r="B5" s="24" t="s">
        <v>29</v>
      </c>
    </row>
    <row r="6" spans="1:2">
      <c r="A6" s="24" t="s">
        <v>32</v>
      </c>
      <c r="B6" s="24" t="s">
        <v>31</v>
      </c>
    </row>
    <row r="7" spans="1:2">
      <c r="A7" s="24" t="s">
        <v>34</v>
      </c>
      <c r="B7" s="24" t="s">
        <v>33</v>
      </c>
    </row>
    <row r="8" spans="1:2">
      <c r="A8" s="24" t="s">
        <v>36</v>
      </c>
      <c r="B8" s="24" t="s">
        <v>35</v>
      </c>
    </row>
    <row r="9" spans="1:2">
      <c r="A9" s="24" t="s">
        <v>38</v>
      </c>
      <c r="B9" s="24" t="s">
        <v>37</v>
      </c>
    </row>
    <row r="10" spans="1:2">
      <c r="A10" s="24" t="s">
        <v>40</v>
      </c>
      <c r="B10" s="24" t="s">
        <v>39</v>
      </c>
    </row>
    <row r="11" spans="1:2">
      <c r="A11" s="24" t="s">
        <v>42</v>
      </c>
      <c r="B11" s="24" t="s">
        <v>41</v>
      </c>
    </row>
    <row r="12" spans="1:2">
      <c r="A12" s="24" t="s">
        <v>44</v>
      </c>
      <c r="B12" s="24" t="s">
        <v>43</v>
      </c>
    </row>
    <row r="13" spans="1:2">
      <c r="A13" s="24" t="s">
        <v>46</v>
      </c>
      <c r="B13" s="24" t="s">
        <v>45</v>
      </c>
    </row>
    <row r="14" spans="1:2">
      <c r="A14" s="24" t="s">
        <v>48</v>
      </c>
      <c r="B14" s="24" t="s">
        <v>47</v>
      </c>
    </row>
    <row r="15" spans="1:2">
      <c r="A15" s="24" t="s">
        <v>50</v>
      </c>
      <c r="B15" s="24" t="s">
        <v>49</v>
      </c>
    </row>
    <row r="16" spans="1:2">
      <c r="A16" s="24" t="s">
        <v>52</v>
      </c>
      <c r="B16" s="24" t="s">
        <v>51</v>
      </c>
    </row>
    <row r="17" spans="1:2">
      <c r="A17" s="24" t="s">
        <v>54</v>
      </c>
      <c r="B17" s="24" t="s">
        <v>53</v>
      </c>
    </row>
    <row r="18" spans="1:2">
      <c r="A18" s="24" t="s">
        <v>56</v>
      </c>
      <c r="B18" s="24" t="s">
        <v>55</v>
      </c>
    </row>
    <row r="19" spans="1:2">
      <c r="A19" s="24" t="s">
        <v>58</v>
      </c>
      <c r="B19" s="24" t="s">
        <v>57</v>
      </c>
    </row>
    <row r="20" spans="1:2">
      <c r="A20" s="24" t="s">
        <v>60</v>
      </c>
      <c r="B20" s="24" t="s">
        <v>59</v>
      </c>
    </row>
    <row r="21" spans="1:2">
      <c r="A21" s="24" t="s">
        <v>62</v>
      </c>
      <c r="B21" s="24" t="s">
        <v>61</v>
      </c>
    </row>
    <row r="22" spans="1:2">
      <c r="A22" s="24" t="s">
        <v>64</v>
      </c>
      <c r="B22" s="24" t="s">
        <v>63</v>
      </c>
    </row>
    <row r="23" spans="1:2">
      <c r="A23" s="24" t="s">
        <v>66</v>
      </c>
      <c r="B23" s="24" t="s">
        <v>65</v>
      </c>
    </row>
    <row r="24" spans="1:2">
      <c r="A24" s="24" t="s">
        <v>68</v>
      </c>
      <c r="B24" s="24" t="s">
        <v>67</v>
      </c>
    </row>
    <row r="25" spans="1:2">
      <c r="A25" s="24" t="s">
        <v>70</v>
      </c>
      <c r="B25" s="24" t="s">
        <v>69</v>
      </c>
    </row>
    <row r="26" spans="1:2">
      <c r="A26" s="24" t="s">
        <v>72</v>
      </c>
      <c r="B26" s="24" t="s">
        <v>71</v>
      </c>
    </row>
    <row r="27" spans="1:2">
      <c r="A27" s="24" t="s">
        <v>74</v>
      </c>
      <c r="B27" s="24" t="s">
        <v>73</v>
      </c>
    </row>
    <row r="28" spans="1:2">
      <c r="A28" s="24" t="s">
        <v>76</v>
      </c>
      <c r="B28" s="24" t="s">
        <v>75</v>
      </c>
    </row>
    <row r="29" spans="1:2">
      <c r="A29" s="24" t="s">
        <v>78</v>
      </c>
      <c r="B29" s="24" t="s">
        <v>77</v>
      </c>
    </row>
    <row r="30" spans="1:2">
      <c r="A30" s="24" t="s">
        <v>80</v>
      </c>
      <c r="B30" s="24" t="s">
        <v>79</v>
      </c>
    </row>
    <row r="31" spans="1:2">
      <c r="A31" s="24" t="s">
        <v>82</v>
      </c>
      <c r="B31" s="24" t="s">
        <v>81</v>
      </c>
    </row>
    <row r="32" spans="1:2">
      <c r="A32" s="24" t="s">
        <v>84</v>
      </c>
      <c r="B32" s="24" t="s">
        <v>83</v>
      </c>
    </row>
    <row r="33" spans="1:2">
      <c r="A33" s="24" t="s">
        <v>86</v>
      </c>
      <c r="B33" s="24" t="s">
        <v>85</v>
      </c>
    </row>
    <row r="34" spans="1:2">
      <c r="A34" s="24" t="s">
        <v>88</v>
      </c>
      <c r="B34" s="24" t="s">
        <v>87</v>
      </c>
    </row>
    <row r="35" spans="1:2">
      <c r="A35" s="24" t="s">
        <v>90</v>
      </c>
      <c r="B35" s="24" t="s">
        <v>89</v>
      </c>
    </row>
    <row r="36" spans="1:2">
      <c r="A36" s="24" t="s">
        <v>92</v>
      </c>
      <c r="B36" s="24" t="s">
        <v>91</v>
      </c>
    </row>
    <row r="37" spans="1:2">
      <c r="A37" s="24" t="s">
        <v>94</v>
      </c>
      <c r="B37" s="24" t="s">
        <v>93</v>
      </c>
    </row>
    <row r="38" spans="1:2">
      <c r="A38" s="24" t="s">
        <v>96</v>
      </c>
      <c r="B38" s="24" t="s">
        <v>95</v>
      </c>
    </row>
    <row r="39" spans="1:2">
      <c r="A39" s="24" t="s">
        <v>98</v>
      </c>
      <c r="B39" s="24" t="s">
        <v>97</v>
      </c>
    </row>
    <row r="40" spans="1:2">
      <c r="A40" s="24" t="s">
        <v>100</v>
      </c>
      <c r="B40" s="24" t="s">
        <v>99</v>
      </c>
    </row>
    <row r="41" spans="1:2">
      <c r="A41" s="24" t="s">
        <v>102</v>
      </c>
      <c r="B41" s="24" t="s">
        <v>101</v>
      </c>
    </row>
    <row r="42" spans="1:2">
      <c r="A42" s="24" t="s">
        <v>104</v>
      </c>
      <c r="B42" s="24" t="s">
        <v>103</v>
      </c>
    </row>
    <row r="43" spans="1:2">
      <c r="A43" s="24" t="s">
        <v>106</v>
      </c>
      <c r="B43" s="24" t="s">
        <v>105</v>
      </c>
    </row>
    <row r="44" spans="1:2">
      <c r="A44" s="24" t="s">
        <v>108</v>
      </c>
      <c r="B44" s="24" t="s">
        <v>107</v>
      </c>
    </row>
    <row r="45" spans="1:2">
      <c r="A45" s="24" t="s">
        <v>110</v>
      </c>
      <c r="B45" s="24" t="s">
        <v>109</v>
      </c>
    </row>
    <row r="46" spans="1:2">
      <c r="A46" s="24" t="s">
        <v>112</v>
      </c>
      <c r="B46" s="24" t="s">
        <v>111</v>
      </c>
    </row>
    <row r="47" spans="1:2">
      <c r="A47" s="24" t="s">
        <v>114</v>
      </c>
      <c r="B47" s="24" t="s">
        <v>113</v>
      </c>
    </row>
    <row r="48" spans="1:2">
      <c r="A48" s="24" t="s">
        <v>116</v>
      </c>
      <c r="B48" s="24" t="s">
        <v>115</v>
      </c>
    </row>
    <row r="49" spans="1:2">
      <c r="A49" s="24" t="s">
        <v>118</v>
      </c>
      <c r="B49" s="24" t="s">
        <v>117</v>
      </c>
    </row>
    <row r="50" spans="1:2">
      <c r="A50" s="24" t="s">
        <v>120</v>
      </c>
      <c r="B50" s="24" t="s">
        <v>119</v>
      </c>
    </row>
    <row r="51" spans="1:2">
      <c r="A51" s="24" t="s">
        <v>122</v>
      </c>
      <c r="B51" s="24" t="s">
        <v>121</v>
      </c>
    </row>
    <row r="52" spans="1:2">
      <c r="A52" s="24" t="s">
        <v>124</v>
      </c>
      <c r="B52" s="24" t="s">
        <v>123</v>
      </c>
    </row>
    <row r="53" spans="1:2">
      <c r="A53" s="24" t="s">
        <v>126</v>
      </c>
      <c r="B53" s="24" t="s">
        <v>125</v>
      </c>
    </row>
    <row r="54" spans="1:2">
      <c r="A54" s="24" t="s">
        <v>128</v>
      </c>
      <c r="B54" s="24" t="s">
        <v>127</v>
      </c>
    </row>
    <row r="55" spans="1:2">
      <c r="A55" s="24" t="s">
        <v>130</v>
      </c>
      <c r="B55" s="24" t="s">
        <v>129</v>
      </c>
    </row>
    <row r="56" spans="1:2">
      <c r="A56" s="24" t="s">
        <v>132</v>
      </c>
      <c r="B56" s="24" t="s">
        <v>131</v>
      </c>
    </row>
    <row r="57" spans="1:2">
      <c r="A57" s="24" t="s">
        <v>134</v>
      </c>
      <c r="B57" s="24" t="s">
        <v>133</v>
      </c>
    </row>
    <row r="58" spans="1:2">
      <c r="A58" s="24" t="s">
        <v>136</v>
      </c>
      <c r="B58" s="24" t="s">
        <v>135</v>
      </c>
    </row>
    <row r="59" spans="1:2">
      <c r="A59" s="24" t="s">
        <v>138</v>
      </c>
      <c r="B59" s="24" t="s">
        <v>137</v>
      </c>
    </row>
    <row r="60" spans="1:2">
      <c r="A60" s="24" t="s">
        <v>140</v>
      </c>
      <c r="B60" s="24" t="s">
        <v>139</v>
      </c>
    </row>
    <row r="61" spans="1:2">
      <c r="A61" s="24" t="s">
        <v>142</v>
      </c>
      <c r="B61" s="24" t="s">
        <v>141</v>
      </c>
    </row>
    <row r="62" spans="1:2">
      <c r="A62" s="24" t="s">
        <v>144</v>
      </c>
      <c r="B62" s="24" t="s">
        <v>143</v>
      </c>
    </row>
    <row r="63" spans="1:2">
      <c r="A63" s="24" t="s">
        <v>146</v>
      </c>
      <c r="B63" s="24" t="s">
        <v>145</v>
      </c>
    </row>
    <row r="64" spans="1:2">
      <c r="A64" s="24" t="s">
        <v>148</v>
      </c>
      <c r="B64" s="24" t="s">
        <v>147</v>
      </c>
    </row>
    <row r="65" spans="1:2">
      <c r="A65" s="24" t="s">
        <v>150</v>
      </c>
      <c r="B65" s="24" t="s">
        <v>149</v>
      </c>
    </row>
    <row r="66" spans="1:2">
      <c r="A66" s="24" t="s">
        <v>152</v>
      </c>
      <c r="B66" s="24" t="s">
        <v>151</v>
      </c>
    </row>
    <row r="67" spans="1:2">
      <c r="A67" s="24" t="s">
        <v>154</v>
      </c>
      <c r="B67" s="24" t="s">
        <v>153</v>
      </c>
    </row>
    <row r="68" spans="1:2">
      <c r="A68" s="24" t="s">
        <v>156</v>
      </c>
      <c r="B68" s="24" t="s">
        <v>155</v>
      </c>
    </row>
    <row r="69" spans="1:2">
      <c r="A69" s="24" t="s">
        <v>158</v>
      </c>
      <c r="B69" s="24" t="s">
        <v>157</v>
      </c>
    </row>
    <row r="70" spans="1:2">
      <c r="A70" s="24" t="s">
        <v>160</v>
      </c>
      <c r="B70" s="24" t="s">
        <v>159</v>
      </c>
    </row>
    <row r="71" spans="1:2">
      <c r="A71" s="24" t="s">
        <v>162</v>
      </c>
      <c r="B71" s="24" t="s">
        <v>161</v>
      </c>
    </row>
    <row r="72" spans="1:2">
      <c r="A72" s="24" t="s">
        <v>164</v>
      </c>
      <c r="B72" s="24" t="s">
        <v>163</v>
      </c>
    </row>
    <row r="73" spans="1:2">
      <c r="A73" s="24" t="s">
        <v>166</v>
      </c>
      <c r="B73" s="24" t="s">
        <v>165</v>
      </c>
    </row>
    <row r="74" spans="1:2">
      <c r="A74" s="24" t="s">
        <v>168</v>
      </c>
      <c r="B74" s="24" t="s">
        <v>167</v>
      </c>
    </row>
    <row r="75" spans="1:2">
      <c r="A75" s="24" t="s">
        <v>170</v>
      </c>
      <c r="B75" s="24" t="s">
        <v>169</v>
      </c>
    </row>
    <row r="76" spans="1:2">
      <c r="A76" s="24" t="s">
        <v>172</v>
      </c>
      <c r="B76" s="24" t="s">
        <v>171</v>
      </c>
    </row>
    <row r="77" spans="1:2">
      <c r="A77" s="24" t="s">
        <v>174</v>
      </c>
      <c r="B77" s="24" t="s">
        <v>173</v>
      </c>
    </row>
    <row r="78" spans="1:2">
      <c r="A78" s="24" t="s">
        <v>176</v>
      </c>
      <c r="B78" s="24" t="s">
        <v>175</v>
      </c>
    </row>
    <row r="79" spans="1:2">
      <c r="A79" s="24" t="s">
        <v>178</v>
      </c>
      <c r="B79" s="24" t="s">
        <v>177</v>
      </c>
    </row>
    <row r="80" spans="1:2">
      <c r="A80" s="24" t="s">
        <v>180</v>
      </c>
      <c r="B80" s="24" t="s">
        <v>179</v>
      </c>
    </row>
    <row r="81" spans="1:2">
      <c r="A81" s="24" t="s">
        <v>182</v>
      </c>
      <c r="B81" s="24" t="s">
        <v>181</v>
      </c>
    </row>
    <row r="82" spans="1:2">
      <c r="A82" s="24" t="s">
        <v>184</v>
      </c>
      <c r="B82" s="24" t="s">
        <v>183</v>
      </c>
    </row>
    <row r="83" spans="1:2">
      <c r="A83" s="24" t="s">
        <v>186</v>
      </c>
      <c r="B83" s="24" t="s">
        <v>185</v>
      </c>
    </row>
    <row r="84" spans="1:2">
      <c r="A84" s="24" t="s">
        <v>188</v>
      </c>
      <c r="B84" s="24" t="s">
        <v>187</v>
      </c>
    </row>
    <row r="85" spans="1:2">
      <c r="A85" s="24" t="s">
        <v>190</v>
      </c>
      <c r="B85" s="24" t="s">
        <v>189</v>
      </c>
    </row>
    <row r="86" spans="1:2">
      <c r="A86" s="24" t="s">
        <v>192</v>
      </c>
      <c r="B86" s="24" t="s">
        <v>191</v>
      </c>
    </row>
    <row r="87" spans="1:2">
      <c r="A87" s="24" t="s">
        <v>194</v>
      </c>
      <c r="B87" s="24" t="s">
        <v>193</v>
      </c>
    </row>
    <row r="88" spans="1:2">
      <c r="A88" s="24" t="s">
        <v>196</v>
      </c>
      <c r="B88" s="24" t="s">
        <v>195</v>
      </c>
    </row>
    <row r="89" spans="1:2">
      <c r="A89" s="24" t="s">
        <v>198</v>
      </c>
      <c r="B89" s="24" t="s">
        <v>197</v>
      </c>
    </row>
    <row r="90" spans="1:2">
      <c r="A90" s="24" t="s">
        <v>200</v>
      </c>
      <c r="B90" s="24" t="s">
        <v>199</v>
      </c>
    </row>
    <row r="91" spans="1:2">
      <c r="A91" s="24" t="s">
        <v>202</v>
      </c>
      <c r="B91" s="24" t="s">
        <v>201</v>
      </c>
    </row>
    <row r="92" spans="1:2">
      <c r="A92" s="24" t="s">
        <v>204</v>
      </c>
      <c r="B92" s="24" t="s">
        <v>203</v>
      </c>
    </row>
    <row r="93" spans="1:2">
      <c r="A93" s="24" t="s">
        <v>206</v>
      </c>
      <c r="B93" s="24" t="s">
        <v>205</v>
      </c>
    </row>
    <row r="94" spans="1:2">
      <c r="A94" s="24" t="s">
        <v>208</v>
      </c>
      <c r="B94" s="24" t="s">
        <v>207</v>
      </c>
    </row>
    <row r="95" spans="1:2">
      <c r="A95" s="24" t="s">
        <v>210</v>
      </c>
      <c r="B95" s="24" t="s">
        <v>209</v>
      </c>
    </row>
    <row r="96" spans="1:2">
      <c r="A96" s="24" t="s">
        <v>212</v>
      </c>
      <c r="B96" s="24" t="s">
        <v>211</v>
      </c>
    </row>
    <row r="97" spans="1:2">
      <c r="A97" s="24" t="s">
        <v>214</v>
      </c>
      <c r="B97" s="24" t="s">
        <v>213</v>
      </c>
    </row>
    <row r="98" spans="1:2">
      <c r="A98" s="24" t="s">
        <v>216</v>
      </c>
      <c r="B98" s="24" t="s">
        <v>215</v>
      </c>
    </row>
    <row r="99" spans="1:2">
      <c r="A99" s="24" t="s">
        <v>218</v>
      </c>
      <c r="B99" s="24" t="s">
        <v>217</v>
      </c>
    </row>
    <row r="100" spans="1:2">
      <c r="A100" s="24" t="s">
        <v>220</v>
      </c>
      <c r="B100" s="24" t="s">
        <v>219</v>
      </c>
    </row>
    <row r="101" spans="1:2">
      <c r="A101" s="24" t="s">
        <v>222</v>
      </c>
      <c r="B101" s="24" t="s">
        <v>221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37DE0-1401-6641-94D2-B22064CEC4EF}">
  <dimension ref="A1:L1365"/>
  <sheetViews>
    <sheetView topLeftCell="C1" zoomScale="160" zoomScaleNormal="160" workbookViewId="0">
      <selection activeCell="L1" sqref="L1:L1048576"/>
    </sheetView>
  </sheetViews>
  <sheetFormatPr baseColWidth="10" defaultRowHeight="14"/>
  <cols>
    <col min="1" max="1" width="12.5" bestFit="1" customWidth="1"/>
    <col min="2" max="2" width="14.5" customWidth="1"/>
    <col min="7" max="7" width="26.83203125" customWidth="1"/>
  </cols>
  <sheetData>
    <row r="1" spans="1:12">
      <c r="A1" t="str">
        <f>[1]!S_INFO_NAME($B$1)</f>
        <v>和黄医药</v>
      </c>
      <c r="B1" s="24" t="s">
        <v>11</v>
      </c>
      <c r="C1" t="s">
        <v>10</v>
      </c>
      <c r="D1" s="23">
        <f ca="1">TODAY()</f>
        <v>46164</v>
      </c>
    </row>
    <row r="2" spans="1:12" ht="15">
      <c r="A2" s="26"/>
    </row>
    <row r="3" spans="1:12" ht="15">
      <c r="A3" s="25"/>
    </row>
    <row r="4" spans="1:12" ht="15">
      <c r="A4" s="27"/>
    </row>
    <row r="5" spans="1:12" ht="15">
      <c r="A5" s="25"/>
    </row>
    <row r="6" spans="1:12" ht="15">
      <c r="A6" s="27"/>
    </row>
    <row r="7" spans="1:12" ht="15">
      <c r="A7" s="25"/>
    </row>
    <row r="8" spans="1:12" ht="15">
      <c r="A8" s="27"/>
    </row>
    <row r="9" spans="1:12" ht="15">
      <c r="A9" s="25"/>
    </row>
    <row r="10" spans="1:12" s="33" customFormat="1">
      <c r="A10" s="32"/>
      <c r="B10" s="33" t="s">
        <v>223</v>
      </c>
      <c r="C10" s="33" t="s">
        <v>224</v>
      </c>
      <c r="D10" s="33" t="s">
        <v>225</v>
      </c>
      <c r="E10" s="33" t="s">
        <v>226</v>
      </c>
      <c r="F10" s="33" t="s">
        <v>227</v>
      </c>
      <c r="G10" s="33" t="s">
        <v>228</v>
      </c>
      <c r="H10" s="33" t="s">
        <v>12</v>
      </c>
      <c r="I10" s="33" t="s">
        <v>229</v>
      </c>
      <c r="J10" s="33" t="s">
        <v>230</v>
      </c>
      <c r="K10" s="33" t="s">
        <v>231</v>
      </c>
      <c r="L10" s="33" t="s">
        <v>232</v>
      </c>
    </row>
    <row r="11" spans="1:12" ht="15">
      <c r="A11" s="28">
        <f ca="1">TODAY()-IF(WEEKDAY(TODAY(),2)=6,1,IF(WEEKDAY(TODAY(),2)=7,2,0))</f>
        <v>46164</v>
      </c>
      <c r="B11" cm="1">
        <f t="array" aca="1" ref="B11" ca="1">[1]!s_west_netprofit($B$1,YEAR($A11),$A11,180,1000000)</f>
        <v>58.476947000000003</v>
      </c>
      <c r="C11" cm="1">
        <f t="array" aca="1" ref="C11" ca="1">[1]!s_west_eps($B$1,YEAR($A11),$A11,180)</f>
        <v>6.6799999999999998E-2</v>
      </c>
      <c r="D11" cm="1">
        <f t="array" aca="1" ref="D11" ca="1">[1]!s_west_instnum_np($B$1,YEAR($A11),$A11,180)</f>
        <v>19</v>
      </c>
      <c r="E11" cm="1">
        <f t="array" aca="1" ref="E11" ca="1">[1]!s_west_stdnetprofit($B$1,YEAR($A11),$A11,180,1000000)</f>
        <v>38.669663999999997</v>
      </c>
      <c r="F11" cm="1">
        <f t="array" aca="1" ref="F11" ca="1">[1]!s_west_mediannetprofit($B$1,YEAR($A11),$A11,180,1000000)</f>
        <v>56</v>
      </c>
      <c r="G11" cm="1">
        <f t="array" aca="1" ref="G11" ca="1">[1]!s_west_netprofit($B$1,YEAR($A11)+1,$A11,180,1000000)</f>
        <v>83.181263000000001</v>
      </c>
      <c r="H11" cm="1">
        <f t="array" aca="1" ref="H11" ca="1">[1]!s_west_eps($B$1,YEAR($A11)+1,$A11,180)</f>
        <v>9.5200000000000007E-2</v>
      </c>
      <c r="I11" cm="1">
        <f t="array" aca="1" ref="I11" ca="1">[1]!s_west_instnum_np($B$1,YEAR($A11)+1,$A11,180)</f>
        <v>19</v>
      </c>
      <c r="J11" cm="1">
        <f t="array" aca="1" ref="J11" ca="1">[1]!s_west_stdnetprofit($B$1,YEAR($A11)+1,$A11,180,1000000)</f>
        <v>41.033203999999998</v>
      </c>
      <c r="K11" cm="1">
        <f t="array" ref="K11">[1]!s_west_mediannetprofit($B$1,YEAR($A10)+1,$A10,180,1000000)</f>
        <v>0</v>
      </c>
      <c r="L11" cm="1">
        <f t="array" aca="1" ref="L11" ca="1">[1]!s_dq_close($B$1,$A11,3)</f>
        <v>18.87</v>
      </c>
    </row>
    <row r="12" spans="1:12">
      <c r="A12" s="23">
        <f ca="1">A11-1</f>
        <v>46163</v>
      </c>
      <c r="B12" cm="1">
        <f t="array" aca="1" ref="B12" ca="1">[1]!s_west_netprofit($B$1,YEAR($A12),$A12,180,1000000)</f>
        <v>58.476947000000003</v>
      </c>
      <c r="C12" cm="1">
        <f t="array" aca="1" ref="C12" ca="1">[1]!s_west_eps($B$1,YEAR($A12),$A12,180)</f>
        <v>6.6799999999999998E-2</v>
      </c>
      <c r="D12" cm="1">
        <f t="array" aca="1" ref="D12" ca="1">[1]!s_west_instnum_np($B$1,YEAR($A12),$A12,180)</f>
        <v>19</v>
      </c>
      <c r="E12" cm="1">
        <f t="array" aca="1" ref="E12" ca="1">[1]!s_west_stdnetprofit($B$1,YEAR($A12),$A12,180,1000000)</f>
        <v>38.669663999999997</v>
      </c>
      <c r="F12" cm="1">
        <f t="array" aca="1" ref="F12" ca="1">[1]!s_west_mediannetprofit($B$1,YEAR($A12),$A12,180,1000000)</f>
        <v>56</v>
      </c>
      <c r="G12" cm="1">
        <f t="array" aca="1" ref="G12" ca="1">[1]!s_west_netprofit($B$1,YEAR($A12)+1,$A12,180,1000000)</f>
        <v>83.181263000000001</v>
      </c>
      <c r="H12" cm="1">
        <f t="array" aca="1" ref="H12" ca="1">[1]!s_west_eps($B$1,YEAR($A12)+1,$A12,180)</f>
        <v>9.5200000000000007E-2</v>
      </c>
      <c r="I12" cm="1">
        <f t="array" aca="1" ref="I12" ca="1">[1]!s_west_instnum_np($B$1,YEAR($A12)+1,$A12,180)</f>
        <v>19</v>
      </c>
      <c r="J12" cm="1">
        <f t="array" aca="1" ref="J12" ca="1">[1]!s_west_stdnetprofit($B$1,YEAR($A12)+1,$A12,180,1000000)</f>
        <v>41.033203999999998</v>
      </c>
      <c r="K12" cm="1">
        <f t="array" aca="1" ref="K12" ca="1">[1]!s_west_mediannetprofit($B$1,YEAR($A11)+1,$A11,180,1000000)</f>
        <v>76</v>
      </c>
      <c r="L12" cm="1">
        <f t="array" aca="1" ref="L12" ca="1">[1]!s_dq_close($B$1,$A12,3)</f>
        <v>18.87</v>
      </c>
    </row>
    <row r="13" spans="1:12">
      <c r="A13" s="23">
        <f t="shared" ref="A13:A76" ca="1" si="0">A12-1</f>
        <v>46162</v>
      </c>
      <c r="B13" cm="1">
        <f t="array" aca="1" ref="B13" ca="1">[1]!s_west_netprofit($B$1,YEAR($A13),$A13,180,1000000)</f>
        <v>58.476947000000003</v>
      </c>
      <c r="C13" cm="1">
        <f t="array" aca="1" ref="C13" ca="1">[1]!s_west_eps($B$1,YEAR($A13),$A13,180)</f>
        <v>6.6799999999999998E-2</v>
      </c>
      <c r="D13" cm="1">
        <f t="array" aca="1" ref="D13" ca="1">[1]!s_west_instnum_np($B$1,YEAR($A13),$A13,180)</f>
        <v>19</v>
      </c>
      <c r="E13" cm="1">
        <f t="array" aca="1" ref="E13" ca="1">[1]!s_west_stdnetprofit($B$1,YEAR($A13),$A13,180,1000000)</f>
        <v>38.669663999999997</v>
      </c>
      <c r="F13" cm="1">
        <f t="array" aca="1" ref="F13" ca="1">[1]!s_west_mediannetprofit($B$1,YEAR($A13),$A13,180,1000000)</f>
        <v>56</v>
      </c>
      <c r="G13" cm="1">
        <f t="array" aca="1" ref="G13" ca="1">[1]!s_west_netprofit($B$1,YEAR($A13)+1,$A13,180,1000000)</f>
        <v>83.181263000000001</v>
      </c>
      <c r="H13" cm="1">
        <f t="array" aca="1" ref="H13" ca="1">[1]!s_west_eps($B$1,YEAR($A13)+1,$A13,180)</f>
        <v>9.5200000000000007E-2</v>
      </c>
      <c r="I13" cm="1">
        <f t="array" aca="1" ref="I13" ca="1">[1]!s_west_instnum_np($B$1,YEAR($A13)+1,$A13,180)</f>
        <v>19</v>
      </c>
      <c r="J13" cm="1">
        <f t="array" aca="1" ref="J13" ca="1">[1]!s_west_stdnetprofit($B$1,YEAR($A13)+1,$A13,180,1000000)</f>
        <v>41.033203999999998</v>
      </c>
      <c r="K13" cm="1">
        <f t="array" aca="1" ref="K13" ca="1">[1]!s_west_mediannetprofit($B$1,YEAR($A12)+1,$A12,180,1000000)</f>
        <v>76</v>
      </c>
      <c r="L13" cm="1">
        <f t="array" aca="1" ref="L13" ca="1">[1]!s_dq_close($B$1,$A13,3)</f>
        <v>18.82</v>
      </c>
    </row>
    <row r="14" spans="1:12">
      <c r="A14" s="23">
        <f t="shared" ca="1" si="0"/>
        <v>46161</v>
      </c>
      <c r="B14" cm="1">
        <f t="array" aca="1" ref="B14" ca="1">[1]!s_west_netprofit($B$1,YEAR($A14),$A14,180,1000000)</f>
        <v>58.476947000000003</v>
      </c>
      <c r="C14" cm="1">
        <f t="array" aca="1" ref="C14" ca="1">[1]!s_west_eps($B$1,YEAR($A14),$A14,180)</f>
        <v>6.6799999999999998E-2</v>
      </c>
      <c r="D14" cm="1">
        <f t="array" aca="1" ref="D14" ca="1">[1]!s_west_instnum_np($B$1,YEAR($A14),$A14,180)</f>
        <v>19</v>
      </c>
      <c r="E14" cm="1">
        <f t="array" aca="1" ref="E14" ca="1">[1]!s_west_stdnetprofit($B$1,YEAR($A14),$A14,180,1000000)</f>
        <v>38.669663999999997</v>
      </c>
      <c r="F14" cm="1">
        <f t="array" aca="1" ref="F14" ca="1">[1]!s_west_mediannetprofit($B$1,YEAR($A14),$A14,180,1000000)</f>
        <v>56</v>
      </c>
      <c r="G14" cm="1">
        <f t="array" aca="1" ref="G14" ca="1">[1]!s_west_netprofit($B$1,YEAR($A14)+1,$A14,180,1000000)</f>
        <v>83.181263000000001</v>
      </c>
      <c r="H14" cm="1">
        <f t="array" aca="1" ref="H14" ca="1">[1]!s_west_eps($B$1,YEAR($A14)+1,$A14,180)</f>
        <v>9.5200000000000007E-2</v>
      </c>
      <c r="I14" cm="1">
        <f t="array" aca="1" ref="I14" ca="1">[1]!s_west_instnum_np($B$1,YEAR($A14)+1,$A14,180)</f>
        <v>19</v>
      </c>
      <c r="J14" cm="1">
        <f t="array" aca="1" ref="J14" ca="1">[1]!s_west_stdnetprofit($B$1,YEAR($A14)+1,$A14,180,1000000)</f>
        <v>41.033203999999998</v>
      </c>
      <c r="K14" cm="1">
        <f t="array" aca="1" ref="K14" ca="1">[1]!s_west_mediannetprofit($B$1,YEAR($A13)+1,$A13,180,1000000)</f>
        <v>76</v>
      </c>
      <c r="L14" cm="1">
        <f t="array" aca="1" ref="L14" ca="1">[1]!s_dq_close($B$1,$A14,3)</f>
        <v>19</v>
      </c>
    </row>
    <row r="15" spans="1:12">
      <c r="A15" s="23">
        <f t="shared" ca="1" si="0"/>
        <v>46160</v>
      </c>
      <c r="B15" cm="1">
        <f t="array" aca="1" ref="B15" ca="1">[1]!s_west_netprofit($B$1,YEAR($A15),$A15,180,1000000)</f>
        <v>58.476947000000003</v>
      </c>
      <c r="C15" cm="1">
        <f t="array" aca="1" ref="C15" ca="1">[1]!s_west_eps($B$1,YEAR($A15),$A15,180)</f>
        <v>6.6799999999999998E-2</v>
      </c>
      <c r="D15" cm="1">
        <f t="array" aca="1" ref="D15" ca="1">[1]!s_west_instnum_np($B$1,YEAR($A15),$A15,180)</f>
        <v>19</v>
      </c>
      <c r="E15" cm="1">
        <f t="array" aca="1" ref="E15" ca="1">[1]!s_west_stdnetprofit($B$1,YEAR($A15),$A15,180,1000000)</f>
        <v>38.669663999999997</v>
      </c>
      <c r="F15" cm="1">
        <f t="array" aca="1" ref="F15" ca="1">[1]!s_west_mediannetprofit($B$1,YEAR($A15),$A15,180,1000000)</f>
        <v>56</v>
      </c>
      <c r="G15" cm="1">
        <f t="array" aca="1" ref="G15" ca="1">[1]!s_west_netprofit($B$1,YEAR($A15)+1,$A15,180,1000000)</f>
        <v>83.181263000000001</v>
      </c>
      <c r="H15" cm="1">
        <f t="array" aca="1" ref="H15" ca="1">[1]!s_west_eps($B$1,YEAR($A15)+1,$A15,180)</f>
        <v>9.5200000000000007E-2</v>
      </c>
      <c r="I15" cm="1">
        <f t="array" aca="1" ref="I15" ca="1">[1]!s_west_instnum_np($B$1,YEAR($A15)+1,$A15,180)</f>
        <v>19</v>
      </c>
      <c r="J15" cm="1">
        <f t="array" aca="1" ref="J15" ca="1">[1]!s_west_stdnetprofit($B$1,YEAR($A15)+1,$A15,180,1000000)</f>
        <v>41.033203999999998</v>
      </c>
      <c r="K15" cm="1">
        <f t="array" aca="1" ref="K15" ca="1">[1]!s_west_mediannetprofit($B$1,YEAR($A14)+1,$A14,180,1000000)</f>
        <v>76</v>
      </c>
      <c r="L15" cm="1">
        <f t="array" aca="1" ref="L15" ca="1">[1]!s_dq_close($B$1,$A15,3)</f>
        <v>19.13</v>
      </c>
    </row>
    <row r="16" spans="1:12">
      <c r="A16" s="23">
        <f t="shared" ca="1" si="0"/>
        <v>46159</v>
      </c>
      <c r="B16" cm="1">
        <f t="array" aca="1" ref="B16" ca="1">[1]!s_west_netprofit($B$1,YEAR($A16),$A16,180,1000000)</f>
        <v>58.476947000000003</v>
      </c>
      <c r="C16" cm="1">
        <f t="array" aca="1" ref="C16" ca="1">[1]!s_west_eps($B$1,YEAR($A16),$A16,180)</f>
        <v>6.6799999999999998E-2</v>
      </c>
      <c r="D16" cm="1">
        <f t="array" aca="1" ref="D16" ca="1">[1]!s_west_instnum_np($B$1,YEAR($A16),$A16,180)</f>
        <v>19</v>
      </c>
      <c r="E16" cm="1">
        <f t="array" aca="1" ref="E16" ca="1">[1]!s_west_stdnetprofit($B$1,YEAR($A16),$A16,180,1000000)</f>
        <v>38.669663999999997</v>
      </c>
      <c r="F16" cm="1">
        <f t="array" aca="1" ref="F16" ca="1">[1]!s_west_mediannetprofit($B$1,YEAR($A16),$A16,180,1000000)</f>
        <v>56</v>
      </c>
      <c r="G16" cm="1">
        <f t="array" aca="1" ref="G16" ca="1">[1]!s_west_netprofit($B$1,YEAR($A16)+1,$A16,180,1000000)</f>
        <v>83.181263000000001</v>
      </c>
      <c r="H16" cm="1">
        <f t="array" aca="1" ref="H16" ca="1">[1]!s_west_eps($B$1,YEAR($A16)+1,$A16,180)</f>
        <v>9.5200000000000007E-2</v>
      </c>
      <c r="I16" cm="1">
        <f t="array" aca="1" ref="I16" ca="1">[1]!s_west_instnum_np($B$1,YEAR($A16)+1,$A16,180)</f>
        <v>19</v>
      </c>
      <c r="J16" cm="1">
        <f t="array" aca="1" ref="J16" ca="1">[1]!s_west_stdnetprofit($B$1,YEAR($A16)+1,$A16,180,1000000)</f>
        <v>41.033203999999998</v>
      </c>
      <c r="K16" cm="1">
        <f t="array" aca="1" ref="K16" ca="1">[1]!s_west_mediannetprofit($B$1,YEAR($A15)+1,$A15,180,1000000)</f>
        <v>76</v>
      </c>
      <c r="L16" cm="1">
        <f t="array" aca="1" ref="L16" ca="1">[1]!s_dq_close($B$1,$A16,3)</f>
        <v>19.89</v>
      </c>
    </row>
    <row r="17" spans="1:12">
      <c r="A17" s="23">
        <f t="shared" ca="1" si="0"/>
        <v>46158</v>
      </c>
      <c r="B17" cm="1">
        <f t="array" aca="1" ref="B17" ca="1">[1]!s_west_netprofit($B$1,YEAR($A17),$A17,180,1000000)</f>
        <v>58.476947000000003</v>
      </c>
      <c r="C17" cm="1">
        <f t="array" aca="1" ref="C17" ca="1">[1]!s_west_eps($B$1,YEAR($A17),$A17,180)</f>
        <v>6.6799999999999998E-2</v>
      </c>
      <c r="D17" cm="1">
        <f t="array" aca="1" ref="D17" ca="1">[1]!s_west_instnum_np($B$1,YEAR($A17),$A17,180)</f>
        <v>19</v>
      </c>
      <c r="E17" cm="1">
        <f t="array" aca="1" ref="E17" ca="1">[1]!s_west_stdnetprofit($B$1,YEAR($A17),$A17,180,1000000)</f>
        <v>38.669663999999997</v>
      </c>
      <c r="F17" cm="1">
        <f t="array" aca="1" ref="F17" ca="1">[1]!s_west_mediannetprofit($B$1,YEAR($A17),$A17,180,1000000)</f>
        <v>56</v>
      </c>
      <c r="G17" cm="1">
        <f t="array" aca="1" ref="G17" ca="1">[1]!s_west_netprofit($B$1,YEAR($A17)+1,$A17,180,1000000)</f>
        <v>83.181263000000001</v>
      </c>
      <c r="H17" cm="1">
        <f t="array" aca="1" ref="H17" ca="1">[1]!s_west_eps($B$1,YEAR($A17)+1,$A17,180)</f>
        <v>9.5200000000000007E-2</v>
      </c>
      <c r="I17" cm="1">
        <f t="array" aca="1" ref="I17" ca="1">[1]!s_west_instnum_np($B$1,YEAR($A17)+1,$A17,180)</f>
        <v>19</v>
      </c>
      <c r="J17" cm="1">
        <f t="array" aca="1" ref="J17" ca="1">[1]!s_west_stdnetprofit($B$1,YEAR($A17)+1,$A17,180,1000000)</f>
        <v>41.033203999999998</v>
      </c>
      <c r="K17" cm="1">
        <f t="array" aca="1" ref="K17" ca="1">[1]!s_west_mediannetprofit($B$1,YEAR($A16)+1,$A16,180,1000000)</f>
        <v>76</v>
      </c>
      <c r="L17" cm="1">
        <f t="array" aca="1" ref="L17" ca="1">[1]!s_dq_close($B$1,$A17,3)</f>
        <v>19.89</v>
      </c>
    </row>
    <row r="18" spans="1:12">
      <c r="A18" s="23">
        <f t="shared" ca="1" si="0"/>
        <v>46157</v>
      </c>
      <c r="B18" cm="1">
        <f t="array" aca="1" ref="B18" ca="1">[1]!s_west_netprofit($B$1,YEAR($A18),$A18,180,1000000)</f>
        <v>58.476947000000003</v>
      </c>
      <c r="C18" cm="1">
        <f t="array" aca="1" ref="C18" ca="1">[1]!s_west_eps($B$1,YEAR($A18),$A18,180)</f>
        <v>6.6799999999999998E-2</v>
      </c>
      <c r="D18" cm="1">
        <f t="array" aca="1" ref="D18" ca="1">[1]!s_west_instnum_np($B$1,YEAR($A18),$A18,180)</f>
        <v>19</v>
      </c>
      <c r="E18" cm="1">
        <f t="array" aca="1" ref="E18" ca="1">[1]!s_west_stdnetprofit($B$1,YEAR($A18),$A18,180,1000000)</f>
        <v>38.669663999999997</v>
      </c>
      <c r="F18" cm="1">
        <f t="array" aca="1" ref="F18" ca="1">[1]!s_west_mediannetprofit($B$1,YEAR($A18),$A18,180,1000000)</f>
        <v>56</v>
      </c>
      <c r="G18" cm="1">
        <f t="array" aca="1" ref="G18" ca="1">[1]!s_west_netprofit($B$1,YEAR($A18)+1,$A18,180,1000000)</f>
        <v>83.181263000000001</v>
      </c>
      <c r="H18" cm="1">
        <f t="array" aca="1" ref="H18" ca="1">[1]!s_west_eps($B$1,YEAR($A18)+1,$A18,180)</f>
        <v>9.5200000000000007E-2</v>
      </c>
      <c r="I18" cm="1">
        <f t="array" aca="1" ref="I18" ca="1">[1]!s_west_instnum_np($B$1,YEAR($A18)+1,$A18,180)</f>
        <v>19</v>
      </c>
      <c r="J18" cm="1">
        <f t="array" aca="1" ref="J18" ca="1">[1]!s_west_stdnetprofit($B$1,YEAR($A18)+1,$A18,180,1000000)</f>
        <v>41.033203999999998</v>
      </c>
      <c r="K18" cm="1">
        <f t="array" aca="1" ref="K18" ca="1">[1]!s_west_mediannetprofit($B$1,YEAR($A17)+1,$A17,180,1000000)</f>
        <v>76</v>
      </c>
      <c r="L18" cm="1">
        <f t="array" aca="1" ref="L18" ca="1">[1]!s_dq_close($B$1,$A18,3)</f>
        <v>19.89</v>
      </c>
    </row>
    <row r="19" spans="1:12">
      <c r="A19" s="23">
        <f t="shared" ca="1" si="0"/>
        <v>46156</v>
      </c>
      <c r="B19" cm="1">
        <f t="array" aca="1" ref="B19" ca="1">[1]!s_west_netprofit($B$1,YEAR($A19),$A19,180,1000000)</f>
        <v>58.476947000000003</v>
      </c>
      <c r="C19" cm="1">
        <f t="array" aca="1" ref="C19" ca="1">[1]!s_west_eps($B$1,YEAR($A19),$A19,180)</f>
        <v>6.6799999999999998E-2</v>
      </c>
      <c r="D19" cm="1">
        <f t="array" aca="1" ref="D19" ca="1">[1]!s_west_instnum_np($B$1,YEAR($A19),$A19,180)</f>
        <v>19</v>
      </c>
      <c r="E19" cm="1">
        <f t="array" aca="1" ref="E19" ca="1">[1]!s_west_stdnetprofit($B$1,YEAR($A19),$A19,180,1000000)</f>
        <v>38.669663999999997</v>
      </c>
      <c r="F19" cm="1">
        <f t="array" aca="1" ref="F19" ca="1">[1]!s_west_mediannetprofit($B$1,YEAR($A19),$A19,180,1000000)</f>
        <v>56</v>
      </c>
      <c r="G19" cm="1">
        <f t="array" aca="1" ref="G19" ca="1">[1]!s_west_netprofit($B$1,YEAR($A19)+1,$A19,180,1000000)</f>
        <v>83.181263000000001</v>
      </c>
      <c r="H19" cm="1">
        <f t="array" aca="1" ref="H19" ca="1">[1]!s_west_eps($B$1,YEAR($A19)+1,$A19,180)</f>
        <v>9.5200000000000007E-2</v>
      </c>
      <c r="I19" cm="1">
        <f t="array" aca="1" ref="I19" ca="1">[1]!s_west_instnum_np($B$1,YEAR($A19)+1,$A19,180)</f>
        <v>19</v>
      </c>
      <c r="J19" cm="1">
        <f t="array" aca="1" ref="J19" ca="1">[1]!s_west_stdnetprofit($B$1,YEAR($A19)+1,$A19,180,1000000)</f>
        <v>41.033203999999998</v>
      </c>
      <c r="K19" cm="1">
        <f t="array" aca="1" ref="K19" ca="1">[1]!s_west_mediannetprofit($B$1,YEAR($A18)+1,$A18,180,1000000)</f>
        <v>76</v>
      </c>
      <c r="L19" cm="1">
        <f t="array" aca="1" ref="L19" ca="1">[1]!s_dq_close($B$1,$A19,3)</f>
        <v>19.93</v>
      </c>
    </row>
    <row r="20" spans="1:12">
      <c r="A20" s="23">
        <f t="shared" ca="1" si="0"/>
        <v>46155</v>
      </c>
      <c r="B20" cm="1">
        <f t="array" aca="1" ref="B20" ca="1">[1]!s_west_netprofit($B$1,YEAR($A20),$A20,180,1000000)</f>
        <v>58.476947000000003</v>
      </c>
      <c r="C20" cm="1">
        <f t="array" aca="1" ref="C20" ca="1">[1]!s_west_eps($B$1,YEAR($A20),$A20,180)</f>
        <v>6.6799999999999998E-2</v>
      </c>
      <c r="D20" cm="1">
        <f t="array" aca="1" ref="D20" ca="1">[1]!s_west_instnum_np($B$1,YEAR($A20),$A20,180)</f>
        <v>19</v>
      </c>
      <c r="E20" cm="1">
        <f t="array" aca="1" ref="E20" ca="1">[1]!s_west_stdnetprofit($B$1,YEAR($A20),$A20,180,1000000)</f>
        <v>38.669663999999997</v>
      </c>
      <c r="F20" cm="1">
        <f t="array" aca="1" ref="F20" ca="1">[1]!s_west_mediannetprofit($B$1,YEAR($A20),$A20,180,1000000)</f>
        <v>56</v>
      </c>
      <c r="G20" cm="1">
        <f t="array" aca="1" ref="G20" ca="1">[1]!s_west_netprofit($B$1,YEAR($A20)+1,$A20,180,1000000)</f>
        <v>83.181263000000001</v>
      </c>
      <c r="H20" cm="1">
        <f t="array" aca="1" ref="H20" ca="1">[1]!s_west_eps($B$1,YEAR($A20)+1,$A20,180)</f>
        <v>9.5200000000000007E-2</v>
      </c>
      <c r="I20" cm="1">
        <f t="array" aca="1" ref="I20" ca="1">[1]!s_west_instnum_np($B$1,YEAR($A20)+1,$A20,180)</f>
        <v>19</v>
      </c>
      <c r="J20" cm="1">
        <f t="array" aca="1" ref="J20" ca="1">[1]!s_west_stdnetprofit($B$1,YEAR($A20)+1,$A20,180,1000000)</f>
        <v>41.033203999999998</v>
      </c>
      <c r="K20" cm="1">
        <f t="array" aca="1" ref="K20" ca="1">[1]!s_west_mediannetprofit($B$1,YEAR($A19)+1,$A19,180,1000000)</f>
        <v>76</v>
      </c>
      <c r="L20" cm="1">
        <f t="array" aca="1" ref="L20" ca="1">[1]!s_dq_close($B$1,$A20,3)</f>
        <v>19.84</v>
      </c>
    </row>
    <row r="21" spans="1:12">
      <c r="A21" s="23">
        <f t="shared" ca="1" si="0"/>
        <v>46154</v>
      </c>
      <c r="B21" cm="1">
        <f t="array" aca="1" ref="B21" ca="1">[1]!s_west_netprofit($B$1,YEAR($A21),$A21,180,1000000)</f>
        <v>58.476947000000003</v>
      </c>
      <c r="C21" cm="1">
        <f t="array" aca="1" ref="C21" ca="1">[1]!s_west_eps($B$1,YEAR($A21),$A21,180)</f>
        <v>6.6799999999999998E-2</v>
      </c>
      <c r="D21" cm="1">
        <f t="array" aca="1" ref="D21" ca="1">[1]!s_west_instnum_np($B$1,YEAR($A21),$A21,180)</f>
        <v>19</v>
      </c>
      <c r="E21" cm="1">
        <f t="array" aca="1" ref="E21" ca="1">[1]!s_west_stdnetprofit($B$1,YEAR($A21),$A21,180,1000000)</f>
        <v>38.669663999999997</v>
      </c>
      <c r="F21" cm="1">
        <f t="array" aca="1" ref="F21" ca="1">[1]!s_west_mediannetprofit($B$1,YEAR($A21),$A21,180,1000000)</f>
        <v>56</v>
      </c>
      <c r="G21" cm="1">
        <f t="array" aca="1" ref="G21" ca="1">[1]!s_west_netprofit($B$1,YEAR($A21)+1,$A21,180,1000000)</f>
        <v>83.181263000000001</v>
      </c>
      <c r="H21" cm="1">
        <f t="array" aca="1" ref="H21" ca="1">[1]!s_west_eps($B$1,YEAR($A21)+1,$A21,180)</f>
        <v>9.5200000000000007E-2</v>
      </c>
      <c r="I21" cm="1">
        <f t="array" aca="1" ref="I21" ca="1">[1]!s_west_instnum_np($B$1,YEAR($A21)+1,$A21,180)</f>
        <v>19</v>
      </c>
      <c r="J21" cm="1">
        <f t="array" aca="1" ref="J21" ca="1">[1]!s_west_stdnetprofit($B$1,YEAR($A21)+1,$A21,180,1000000)</f>
        <v>41.033203999999998</v>
      </c>
      <c r="K21" cm="1">
        <f t="array" aca="1" ref="K21" ca="1">[1]!s_west_mediannetprofit($B$1,YEAR($A20)+1,$A20,180,1000000)</f>
        <v>76</v>
      </c>
      <c r="L21" cm="1">
        <f t="array" aca="1" ref="L21" ca="1">[1]!s_dq_close($B$1,$A21,3)</f>
        <v>20.100000000000001</v>
      </c>
    </row>
    <row r="22" spans="1:12">
      <c r="A22" s="23">
        <f t="shared" ca="1" si="0"/>
        <v>46153</v>
      </c>
      <c r="B22" cm="1">
        <f t="array" aca="1" ref="B22" ca="1">[1]!s_west_netprofit($B$1,YEAR($A22),$A22,180,1000000)</f>
        <v>58.476947000000003</v>
      </c>
      <c r="C22" cm="1">
        <f t="array" aca="1" ref="C22" ca="1">[1]!s_west_eps($B$1,YEAR($A22),$A22,180)</f>
        <v>6.6799999999999998E-2</v>
      </c>
      <c r="D22" cm="1">
        <f t="array" aca="1" ref="D22" ca="1">[1]!s_west_instnum_np($B$1,YEAR($A22),$A22,180)</f>
        <v>19</v>
      </c>
      <c r="E22" cm="1">
        <f t="array" aca="1" ref="E22" ca="1">[1]!s_west_stdnetprofit($B$1,YEAR($A22),$A22,180,1000000)</f>
        <v>38.669663999999997</v>
      </c>
      <c r="F22" cm="1">
        <f t="array" aca="1" ref="F22" ca="1">[1]!s_west_mediannetprofit($B$1,YEAR($A22),$A22,180,1000000)</f>
        <v>56</v>
      </c>
      <c r="G22" cm="1">
        <f t="array" aca="1" ref="G22" ca="1">[1]!s_west_netprofit($B$1,YEAR($A22)+1,$A22,180,1000000)</f>
        <v>83.181263000000001</v>
      </c>
      <c r="H22" cm="1">
        <f t="array" aca="1" ref="H22" ca="1">[1]!s_west_eps($B$1,YEAR($A22)+1,$A22,180)</f>
        <v>9.5200000000000007E-2</v>
      </c>
      <c r="I22" cm="1">
        <f t="array" aca="1" ref="I22" ca="1">[1]!s_west_instnum_np($B$1,YEAR($A22)+1,$A22,180)</f>
        <v>19</v>
      </c>
      <c r="J22" cm="1">
        <f t="array" aca="1" ref="J22" ca="1">[1]!s_west_stdnetprofit($B$1,YEAR($A22)+1,$A22,180,1000000)</f>
        <v>41.033203999999998</v>
      </c>
      <c r="K22" cm="1">
        <f t="array" aca="1" ref="K22" ca="1">[1]!s_west_mediannetprofit($B$1,YEAR($A21)+1,$A21,180,1000000)</f>
        <v>76</v>
      </c>
      <c r="L22" cm="1">
        <f t="array" aca="1" ref="L22" ca="1">[1]!s_dq_close($B$1,$A22,3)</f>
        <v>20.32</v>
      </c>
    </row>
    <row r="23" spans="1:12">
      <c r="A23" s="23">
        <f t="shared" ca="1" si="0"/>
        <v>46152</v>
      </c>
      <c r="B23" cm="1">
        <f t="array" aca="1" ref="B23" ca="1">[1]!s_west_netprofit($B$1,YEAR($A23),$A23,180,1000000)</f>
        <v>58.476947000000003</v>
      </c>
      <c r="C23" cm="1">
        <f t="array" aca="1" ref="C23" ca="1">[1]!s_west_eps($B$1,YEAR($A23),$A23,180)</f>
        <v>6.6799999999999998E-2</v>
      </c>
      <c r="D23" cm="1">
        <f t="array" aca="1" ref="D23" ca="1">[1]!s_west_instnum_np($B$1,YEAR($A23),$A23,180)</f>
        <v>19</v>
      </c>
      <c r="E23" cm="1">
        <f t="array" aca="1" ref="E23" ca="1">[1]!s_west_stdnetprofit($B$1,YEAR($A23),$A23,180,1000000)</f>
        <v>38.669663999999997</v>
      </c>
      <c r="F23" cm="1">
        <f t="array" aca="1" ref="F23" ca="1">[1]!s_west_mediannetprofit($B$1,YEAR($A23),$A23,180,1000000)</f>
        <v>56</v>
      </c>
      <c r="G23" cm="1">
        <f t="array" aca="1" ref="G23" ca="1">[1]!s_west_netprofit($B$1,YEAR($A23)+1,$A23,180,1000000)</f>
        <v>83.181263000000001</v>
      </c>
      <c r="H23" cm="1">
        <f t="array" aca="1" ref="H23" ca="1">[1]!s_west_eps($B$1,YEAR($A23)+1,$A23,180)</f>
        <v>9.5200000000000007E-2</v>
      </c>
      <c r="I23" cm="1">
        <f t="array" aca="1" ref="I23" ca="1">[1]!s_west_instnum_np($B$1,YEAR($A23)+1,$A23,180)</f>
        <v>19</v>
      </c>
      <c r="J23" cm="1">
        <f t="array" aca="1" ref="J23" ca="1">[1]!s_west_stdnetprofit($B$1,YEAR($A23)+1,$A23,180,1000000)</f>
        <v>41.033203999999998</v>
      </c>
      <c r="K23" cm="1">
        <f t="array" aca="1" ref="K23" ca="1">[1]!s_west_mediannetprofit($B$1,YEAR($A22)+1,$A22,180,1000000)</f>
        <v>76</v>
      </c>
      <c r="L23" cm="1">
        <f t="array" aca="1" ref="L23" ca="1">[1]!s_dq_close($B$1,$A23,3)</f>
        <v>21</v>
      </c>
    </row>
    <row r="24" spans="1:12">
      <c r="A24" s="23">
        <f t="shared" ca="1" si="0"/>
        <v>46151</v>
      </c>
      <c r="B24" cm="1">
        <f t="array" aca="1" ref="B24" ca="1">[1]!s_west_netprofit($B$1,YEAR($A24),$A24,180,1000000)</f>
        <v>58.476947000000003</v>
      </c>
      <c r="C24" cm="1">
        <f t="array" aca="1" ref="C24" ca="1">[1]!s_west_eps($B$1,YEAR($A24),$A24,180)</f>
        <v>6.6799999999999998E-2</v>
      </c>
      <c r="D24" cm="1">
        <f t="array" aca="1" ref="D24" ca="1">[1]!s_west_instnum_np($B$1,YEAR($A24),$A24,180)</f>
        <v>19</v>
      </c>
      <c r="E24" cm="1">
        <f t="array" aca="1" ref="E24" ca="1">[1]!s_west_stdnetprofit($B$1,YEAR($A24),$A24,180,1000000)</f>
        <v>38.669663999999997</v>
      </c>
      <c r="F24" cm="1">
        <f t="array" aca="1" ref="F24" ca="1">[1]!s_west_mediannetprofit($B$1,YEAR($A24),$A24,180,1000000)</f>
        <v>56</v>
      </c>
      <c r="G24" cm="1">
        <f t="array" aca="1" ref="G24" ca="1">[1]!s_west_netprofit($B$1,YEAR($A24)+1,$A24,180,1000000)</f>
        <v>83.181263000000001</v>
      </c>
      <c r="H24" cm="1">
        <f t="array" aca="1" ref="H24" ca="1">[1]!s_west_eps($B$1,YEAR($A24)+1,$A24,180)</f>
        <v>9.5200000000000007E-2</v>
      </c>
      <c r="I24" cm="1">
        <f t="array" aca="1" ref="I24" ca="1">[1]!s_west_instnum_np($B$1,YEAR($A24)+1,$A24,180)</f>
        <v>19</v>
      </c>
      <c r="J24" cm="1">
        <f t="array" aca="1" ref="J24" ca="1">[1]!s_west_stdnetprofit($B$1,YEAR($A24)+1,$A24,180,1000000)</f>
        <v>41.033203999999998</v>
      </c>
      <c r="K24" cm="1">
        <f t="array" aca="1" ref="K24" ca="1">[1]!s_west_mediannetprofit($B$1,YEAR($A23)+1,$A23,180,1000000)</f>
        <v>76</v>
      </c>
      <c r="L24" cm="1">
        <f t="array" aca="1" ref="L24" ca="1">[1]!s_dq_close($B$1,$A24,3)</f>
        <v>21</v>
      </c>
    </row>
    <row r="25" spans="1:12">
      <c r="A25" s="23">
        <f t="shared" ca="1" si="0"/>
        <v>46150</v>
      </c>
      <c r="B25" cm="1">
        <f t="array" aca="1" ref="B25" ca="1">[1]!s_west_netprofit($B$1,YEAR($A25),$A25,180,1000000)</f>
        <v>58.476947000000003</v>
      </c>
      <c r="C25" cm="1">
        <f t="array" aca="1" ref="C25" ca="1">[1]!s_west_eps($B$1,YEAR($A25),$A25,180)</f>
        <v>6.6799999999999998E-2</v>
      </c>
      <c r="D25" cm="1">
        <f t="array" aca="1" ref="D25" ca="1">[1]!s_west_instnum_np($B$1,YEAR($A25),$A25,180)</f>
        <v>19</v>
      </c>
      <c r="E25" cm="1">
        <f t="array" aca="1" ref="E25" ca="1">[1]!s_west_stdnetprofit($B$1,YEAR($A25),$A25,180,1000000)</f>
        <v>38.669663999999997</v>
      </c>
      <c r="F25" cm="1">
        <f t="array" aca="1" ref="F25" ca="1">[1]!s_west_mediannetprofit($B$1,YEAR($A25),$A25,180,1000000)</f>
        <v>56</v>
      </c>
      <c r="G25" cm="1">
        <f t="array" aca="1" ref="G25" ca="1">[1]!s_west_netprofit($B$1,YEAR($A25)+1,$A25,180,1000000)</f>
        <v>83.181263000000001</v>
      </c>
      <c r="H25" cm="1">
        <f t="array" aca="1" ref="H25" ca="1">[1]!s_west_eps($B$1,YEAR($A25)+1,$A25,180)</f>
        <v>9.5200000000000007E-2</v>
      </c>
      <c r="I25" cm="1">
        <f t="array" aca="1" ref="I25" ca="1">[1]!s_west_instnum_np($B$1,YEAR($A25)+1,$A25,180)</f>
        <v>19</v>
      </c>
      <c r="J25" cm="1">
        <f t="array" aca="1" ref="J25" ca="1">[1]!s_west_stdnetprofit($B$1,YEAR($A25)+1,$A25,180,1000000)</f>
        <v>41.033203999999998</v>
      </c>
      <c r="K25" cm="1">
        <f t="array" aca="1" ref="K25" ca="1">[1]!s_west_mediannetprofit($B$1,YEAR($A24)+1,$A24,180,1000000)</f>
        <v>76</v>
      </c>
      <c r="L25" cm="1">
        <f t="array" aca="1" ref="L25" ca="1">[1]!s_dq_close($B$1,$A25,3)</f>
        <v>21</v>
      </c>
    </row>
    <row r="26" spans="1:12">
      <c r="A26" s="23">
        <f t="shared" ca="1" si="0"/>
        <v>46149</v>
      </c>
      <c r="B26" cm="1">
        <f t="array" aca="1" ref="B26" ca="1">[1]!s_west_netprofit($B$1,YEAR($A26),$A26,180,1000000)</f>
        <v>58.476947000000003</v>
      </c>
      <c r="C26" cm="1">
        <f t="array" aca="1" ref="C26" ca="1">[1]!s_west_eps($B$1,YEAR($A26),$A26,180)</f>
        <v>6.6799999999999998E-2</v>
      </c>
      <c r="D26" cm="1">
        <f t="array" aca="1" ref="D26" ca="1">[1]!s_west_instnum_np($B$1,YEAR($A26),$A26,180)</f>
        <v>19</v>
      </c>
      <c r="E26" cm="1">
        <f t="array" aca="1" ref="E26" ca="1">[1]!s_west_stdnetprofit($B$1,YEAR($A26),$A26,180,1000000)</f>
        <v>38.669663999999997</v>
      </c>
      <c r="F26" cm="1">
        <f t="array" aca="1" ref="F26" ca="1">[1]!s_west_mediannetprofit($B$1,YEAR($A26),$A26,180,1000000)</f>
        <v>56</v>
      </c>
      <c r="G26" cm="1">
        <f t="array" aca="1" ref="G26" ca="1">[1]!s_west_netprofit($B$1,YEAR($A26)+1,$A26,180,1000000)</f>
        <v>83.181263000000001</v>
      </c>
      <c r="H26" cm="1">
        <f t="array" aca="1" ref="H26" ca="1">[1]!s_west_eps($B$1,YEAR($A26)+1,$A26,180)</f>
        <v>9.5200000000000007E-2</v>
      </c>
      <c r="I26" cm="1">
        <f t="array" aca="1" ref="I26" ca="1">[1]!s_west_instnum_np($B$1,YEAR($A26)+1,$A26,180)</f>
        <v>19</v>
      </c>
      <c r="J26" cm="1">
        <f t="array" aca="1" ref="J26" ca="1">[1]!s_west_stdnetprofit($B$1,YEAR($A26)+1,$A26,180,1000000)</f>
        <v>41.033203999999998</v>
      </c>
      <c r="K26" cm="1">
        <f t="array" aca="1" ref="K26" ca="1">[1]!s_west_mediannetprofit($B$1,YEAR($A25)+1,$A25,180,1000000)</f>
        <v>76</v>
      </c>
      <c r="L26" cm="1">
        <f t="array" aca="1" ref="L26" ca="1">[1]!s_dq_close($B$1,$A26,3)</f>
        <v>21.26</v>
      </c>
    </row>
    <row r="27" spans="1:12">
      <c r="A27" s="23">
        <f t="shared" ca="1" si="0"/>
        <v>46148</v>
      </c>
      <c r="B27" cm="1">
        <f t="array" aca="1" ref="B27" ca="1">[1]!s_west_netprofit($B$1,YEAR($A27),$A27,180,1000000)</f>
        <v>58.476947000000003</v>
      </c>
      <c r="C27" cm="1">
        <f t="array" aca="1" ref="C27" ca="1">[1]!s_west_eps($B$1,YEAR($A27),$A27,180)</f>
        <v>6.6799999999999998E-2</v>
      </c>
      <c r="D27" cm="1">
        <f t="array" aca="1" ref="D27" ca="1">[1]!s_west_instnum_np($B$1,YEAR($A27),$A27,180)</f>
        <v>19</v>
      </c>
      <c r="E27" cm="1">
        <f t="array" aca="1" ref="E27" ca="1">[1]!s_west_stdnetprofit($B$1,YEAR($A27),$A27,180,1000000)</f>
        <v>38.669663999999997</v>
      </c>
      <c r="F27" cm="1">
        <f t="array" aca="1" ref="F27" ca="1">[1]!s_west_mediannetprofit($B$1,YEAR($A27),$A27,180,1000000)</f>
        <v>56</v>
      </c>
      <c r="G27" cm="1">
        <f t="array" aca="1" ref="G27" ca="1">[1]!s_west_netprofit($B$1,YEAR($A27)+1,$A27,180,1000000)</f>
        <v>83.181263000000001</v>
      </c>
      <c r="H27" cm="1">
        <f t="array" aca="1" ref="H27" ca="1">[1]!s_west_eps($B$1,YEAR($A27)+1,$A27,180)</f>
        <v>9.5200000000000007E-2</v>
      </c>
      <c r="I27" cm="1">
        <f t="array" aca="1" ref="I27" ca="1">[1]!s_west_instnum_np($B$1,YEAR($A27)+1,$A27,180)</f>
        <v>19</v>
      </c>
      <c r="J27" cm="1">
        <f t="array" aca="1" ref="J27" ca="1">[1]!s_west_stdnetprofit($B$1,YEAR($A27)+1,$A27,180,1000000)</f>
        <v>41.033203999999998</v>
      </c>
      <c r="K27" cm="1">
        <f t="array" aca="1" ref="K27" ca="1">[1]!s_west_mediannetprofit($B$1,YEAR($A26)+1,$A26,180,1000000)</f>
        <v>76</v>
      </c>
      <c r="L27" cm="1">
        <f t="array" aca="1" ref="L27" ca="1">[1]!s_dq_close($B$1,$A27,3)</f>
        <v>20.78</v>
      </c>
    </row>
    <row r="28" spans="1:12">
      <c r="A28" s="23">
        <f t="shared" ca="1" si="0"/>
        <v>46147</v>
      </c>
      <c r="B28" cm="1">
        <f t="array" aca="1" ref="B28" ca="1">[1]!s_west_netprofit($B$1,YEAR($A28),$A28,180,1000000)</f>
        <v>58.476947000000003</v>
      </c>
      <c r="C28" cm="1">
        <f t="array" aca="1" ref="C28" ca="1">[1]!s_west_eps($B$1,YEAR($A28),$A28,180)</f>
        <v>6.6799999999999998E-2</v>
      </c>
      <c r="D28" cm="1">
        <f t="array" aca="1" ref="D28" ca="1">[1]!s_west_instnum_np($B$1,YEAR($A28),$A28,180)</f>
        <v>19</v>
      </c>
      <c r="E28" cm="1">
        <f t="array" aca="1" ref="E28" ca="1">[1]!s_west_stdnetprofit($B$1,YEAR($A28),$A28,180,1000000)</f>
        <v>38.669663999999997</v>
      </c>
      <c r="F28" cm="1">
        <f t="array" aca="1" ref="F28" ca="1">[1]!s_west_mediannetprofit($B$1,YEAR($A28),$A28,180,1000000)</f>
        <v>56</v>
      </c>
      <c r="G28" cm="1">
        <f t="array" aca="1" ref="G28" ca="1">[1]!s_west_netprofit($B$1,YEAR($A28)+1,$A28,180,1000000)</f>
        <v>83.181263000000001</v>
      </c>
      <c r="H28" cm="1">
        <f t="array" aca="1" ref="H28" ca="1">[1]!s_west_eps($B$1,YEAR($A28)+1,$A28,180)</f>
        <v>9.5200000000000007E-2</v>
      </c>
      <c r="I28" cm="1">
        <f t="array" aca="1" ref="I28" ca="1">[1]!s_west_instnum_np($B$1,YEAR($A28)+1,$A28,180)</f>
        <v>19</v>
      </c>
      <c r="J28" cm="1">
        <f t="array" aca="1" ref="J28" ca="1">[1]!s_west_stdnetprofit($B$1,YEAR($A28)+1,$A28,180,1000000)</f>
        <v>41.033203999999998</v>
      </c>
      <c r="K28" cm="1">
        <f t="array" aca="1" ref="K28" ca="1">[1]!s_west_mediannetprofit($B$1,YEAR($A27)+1,$A27,180,1000000)</f>
        <v>76</v>
      </c>
      <c r="L28" cm="1">
        <f t="array" aca="1" ref="L28" ca="1">[1]!s_dq_close($B$1,$A28,3)</f>
        <v>20.78</v>
      </c>
    </row>
    <row r="29" spans="1:12">
      <c r="A29" s="23">
        <f t="shared" ca="1" si="0"/>
        <v>46146</v>
      </c>
      <c r="B29" cm="1">
        <f t="array" aca="1" ref="B29" ca="1">[1]!s_west_netprofit($B$1,YEAR($A29),$A29,180,1000000)</f>
        <v>58.476947000000003</v>
      </c>
      <c r="C29" cm="1">
        <f t="array" aca="1" ref="C29" ca="1">[1]!s_west_eps($B$1,YEAR($A29),$A29,180)</f>
        <v>6.6799999999999998E-2</v>
      </c>
      <c r="D29" cm="1">
        <f t="array" aca="1" ref="D29" ca="1">[1]!s_west_instnum_np($B$1,YEAR($A29),$A29,180)</f>
        <v>19</v>
      </c>
      <c r="E29" cm="1">
        <f t="array" aca="1" ref="E29" ca="1">[1]!s_west_stdnetprofit($B$1,YEAR($A29),$A29,180,1000000)</f>
        <v>38.669663999999997</v>
      </c>
      <c r="F29" cm="1">
        <f t="array" aca="1" ref="F29" ca="1">[1]!s_west_mediannetprofit($B$1,YEAR($A29),$A29,180,1000000)</f>
        <v>56</v>
      </c>
      <c r="G29" cm="1">
        <f t="array" aca="1" ref="G29" ca="1">[1]!s_west_netprofit($B$1,YEAR($A29)+1,$A29,180,1000000)</f>
        <v>83.181263000000001</v>
      </c>
      <c r="H29" cm="1">
        <f t="array" aca="1" ref="H29" ca="1">[1]!s_west_eps($B$1,YEAR($A29)+1,$A29,180)</f>
        <v>9.5200000000000007E-2</v>
      </c>
      <c r="I29" cm="1">
        <f t="array" aca="1" ref="I29" ca="1">[1]!s_west_instnum_np($B$1,YEAR($A29)+1,$A29,180)</f>
        <v>19</v>
      </c>
      <c r="J29" cm="1">
        <f t="array" aca="1" ref="J29" ca="1">[1]!s_west_stdnetprofit($B$1,YEAR($A29)+1,$A29,180,1000000)</f>
        <v>41.033203999999998</v>
      </c>
      <c r="K29" cm="1">
        <f t="array" aca="1" ref="K29" ca="1">[1]!s_west_mediannetprofit($B$1,YEAR($A28)+1,$A28,180,1000000)</f>
        <v>76</v>
      </c>
      <c r="L29" cm="1">
        <f t="array" aca="1" ref="L29" ca="1">[1]!s_dq_close($B$1,$A29,3)</f>
        <v>21.04</v>
      </c>
    </row>
    <row r="30" spans="1:12">
      <c r="A30" s="23">
        <f t="shared" ca="1" si="0"/>
        <v>46145</v>
      </c>
      <c r="B30" cm="1">
        <f t="array" aca="1" ref="B30" ca="1">[1]!s_west_netprofit($B$1,YEAR($A30),$A30,180,1000000)</f>
        <v>58.476947000000003</v>
      </c>
      <c r="C30" cm="1">
        <f t="array" aca="1" ref="C30" ca="1">[1]!s_west_eps($B$1,YEAR($A30),$A30,180)</f>
        <v>6.6799999999999998E-2</v>
      </c>
      <c r="D30" cm="1">
        <f t="array" aca="1" ref="D30" ca="1">[1]!s_west_instnum_np($B$1,YEAR($A30),$A30,180)</f>
        <v>19</v>
      </c>
      <c r="E30" cm="1">
        <f t="array" aca="1" ref="E30" ca="1">[1]!s_west_stdnetprofit($B$1,YEAR($A30),$A30,180,1000000)</f>
        <v>38.669663999999997</v>
      </c>
      <c r="F30" cm="1">
        <f t="array" aca="1" ref="F30" ca="1">[1]!s_west_mediannetprofit($B$1,YEAR($A30),$A30,180,1000000)</f>
        <v>56</v>
      </c>
      <c r="G30" cm="1">
        <f t="array" aca="1" ref="G30" ca="1">[1]!s_west_netprofit($B$1,YEAR($A30)+1,$A30,180,1000000)</f>
        <v>83.181263000000001</v>
      </c>
      <c r="H30" cm="1">
        <f t="array" aca="1" ref="H30" ca="1">[1]!s_west_eps($B$1,YEAR($A30)+1,$A30,180)</f>
        <v>9.5200000000000007E-2</v>
      </c>
      <c r="I30" cm="1">
        <f t="array" aca="1" ref="I30" ca="1">[1]!s_west_instnum_np($B$1,YEAR($A30)+1,$A30,180)</f>
        <v>19</v>
      </c>
      <c r="J30" cm="1">
        <f t="array" aca="1" ref="J30" ca="1">[1]!s_west_stdnetprofit($B$1,YEAR($A30)+1,$A30,180,1000000)</f>
        <v>41.033203999999998</v>
      </c>
      <c r="K30" cm="1">
        <f t="array" aca="1" ref="K30" ca="1">[1]!s_west_mediannetprofit($B$1,YEAR($A29)+1,$A29,180,1000000)</f>
        <v>76</v>
      </c>
      <c r="L30" cm="1">
        <f t="array" aca="1" ref="L30" ca="1">[1]!s_dq_close($B$1,$A30,3)</f>
        <v>21.14</v>
      </c>
    </row>
    <row r="31" spans="1:12">
      <c r="A31" s="23">
        <f t="shared" ca="1" si="0"/>
        <v>46144</v>
      </c>
      <c r="B31" cm="1">
        <f t="array" aca="1" ref="B31" ca="1">[1]!s_west_netprofit($B$1,YEAR($A31),$A31,180,1000000)</f>
        <v>58.476947000000003</v>
      </c>
      <c r="C31" cm="1">
        <f t="array" aca="1" ref="C31" ca="1">[1]!s_west_eps($B$1,YEAR($A31),$A31,180)</f>
        <v>6.6799999999999998E-2</v>
      </c>
      <c r="D31" cm="1">
        <f t="array" aca="1" ref="D31" ca="1">[1]!s_west_instnum_np($B$1,YEAR($A31),$A31,180)</f>
        <v>19</v>
      </c>
      <c r="E31" cm="1">
        <f t="array" aca="1" ref="E31" ca="1">[1]!s_west_stdnetprofit($B$1,YEAR($A31),$A31,180,1000000)</f>
        <v>38.669663999999997</v>
      </c>
      <c r="F31" cm="1">
        <f t="array" aca="1" ref="F31" ca="1">[1]!s_west_mediannetprofit($B$1,YEAR($A31),$A31,180,1000000)</f>
        <v>56</v>
      </c>
      <c r="G31" cm="1">
        <f t="array" aca="1" ref="G31" ca="1">[1]!s_west_netprofit($B$1,YEAR($A31)+1,$A31,180,1000000)</f>
        <v>83.181263000000001</v>
      </c>
      <c r="H31" cm="1">
        <f t="array" aca="1" ref="H31" ca="1">[1]!s_west_eps($B$1,YEAR($A31)+1,$A31,180)</f>
        <v>9.5200000000000007E-2</v>
      </c>
      <c r="I31" cm="1">
        <f t="array" aca="1" ref="I31" ca="1">[1]!s_west_instnum_np($B$1,YEAR($A31)+1,$A31,180)</f>
        <v>19</v>
      </c>
      <c r="J31" cm="1">
        <f t="array" aca="1" ref="J31" ca="1">[1]!s_west_stdnetprofit($B$1,YEAR($A31)+1,$A31,180,1000000)</f>
        <v>41.033203999999998</v>
      </c>
      <c r="K31" cm="1">
        <f t="array" aca="1" ref="K31" ca="1">[1]!s_west_mediannetprofit($B$1,YEAR($A30)+1,$A30,180,1000000)</f>
        <v>76</v>
      </c>
      <c r="L31" cm="1">
        <f t="array" aca="1" ref="L31" ca="1">[1]!s_dq_close($B$1,$A31,3)</f>
        <v>21.14</v>
      </c>
    </row>
    <row r="32" spans="1:12">
      <c r="A32" s="23">
        <f t="shared" ca="1" si="0"/>
        <v>46143</v>
      </c>
      <c r="B32" cm="1">
        <f t="array" aca="1" ref="B32" ca="1">[1]!s_west_netprofit($B$1,YEAR($A32),$A32,180,1000000)</f>
        <v>58.476947000000003</v>
      </c>
      <c r="C32" cm="1">
        <f t="array" aca="1" ref="C32" ca="1">[1]!s_west_eps($B$1,YEAR($A32),$A32,180)</f>
        <v>6.6799999999999998E-2</v>
      </c>
      <c r="D32" cm="1">
        <f t="array" aca="1" ref="D32" ca="1">[1]!s_west_instnum_np($B$1,YEAR($A32),$A32,180)</f>
        <v>19</v>
      </c>
      <c r="E32" cm="1">
        <f t="array" aca="1" ref="E32" ca="1">[1]!s_west_stdnetprofit($B$1,YEAR($A32),$A32,180,1000000)</f>
        <v>38.669663999999997</v>
      </c>
      <c r="F32" cm="1">
        <f t="array" aca="1" ref="F32" ca="1">[1]!s_west_mediannetprofit($B$1,YEAR($A32),$A32,180,1000000)</f>
        <v>56</v>
      </c>
      <c r="G32" cm="1">
        <f t="array" aca="1" ref="G32" ca="1">[1]!s_west_netprofit($B$1,YEAR($A32)+1,$A32,180,1000000)</f>
        <v>83.181263000000001</v>
      </c>
      <c r="H32" cm="1">
        <f t="array" aca="1" ref="H32" ca="1">[1]!s_west_eps($B$1,YEAR($A32)+1,$A32,180)</f>
        <v>9.5200000000000007E-2</v>
      </c>
      <c r="I32" cm="1">
        <f t="array" aca="1" ref="I32" ca="1">[1]!s_west_instnum_np($B$1,YEAR($A32)+1,$A32,180)</f>
        <v>19</v>
      </c>
      <c r="J32" cm="1">
        <f t="array" aca="1" ref="J32" ca="1">[1]!s_west_stdnetprofit($B$1,YEAR($A32)+1,$A32,180,1000000)</f>
        <v>41.033203999999998</v>
      </c>
      <c r="K32" cm="1">
        <f t="array" aca="1" ref="K32" ca="1">[1]!s_west_mediannetprofit($B$1,YEAR($A31)+1,$A31,180,1000000)</f>
        <v>76</v>
      </c>
      <c r="L32" cm="1">
        <f t="array" aca="1" ref="L32" ca="1">[1]!s_dq_close($B$1,$A32,3)</f>
        <v>21.14</v>
      </c>
    </row>
    <row r="33" spans="1:12">
      <c r="A33" s="23">
        <f t="shared" ca="1" si="0"/>
        <v>46142</v>
      </c>
      <c r="B33" cm="1">
        <f t="array" aca="1" ref="B33" ca="1">[1]!s_west_netprofit($B$1,YEAR($A33),$A33,180,1000000)</f>
        <v>58.476947000000003</v>
      </c>
      <c r="C33" cm="1">
        <f t="array" aca="1" ref="C33" ca="1">[1]!s_west_eps($B$1,YEAR($A33),$A33,180)</f>
        <v>6.6799999999999998E-2</v>
      </c>
      <c r="D33" cm="1">
        <f t="array" aca="1" ref="D33" ca="1">[1]!s_west_instnum_np($B$1,YEAR($A33),$A33,180)</f>
        <v>19</v>
      </c>
      <c r="E33" cm="1">
        <f t="array" aca="1" ref="E33" ca="1">[1]!s_west_stdnetprofit($B$1,YEAR($A33),$A33,180,1000000)</f>
        <v>38.669663999999997</v>
      </c>
      <c r="F33" cm="1">
        <f t="array" aca="1" ref="F33" ca="1">[1]!s_west_mediannetprofit($B$1,YEAR($A33),$A33,180,1000000)</f>
        <v>56</v>
      </c>
      <c r="G33" cm="1">
        <f t="array" aca="1" ref="G33" ca="1">[1]!s_west_netprofit($B$1,YEAR($A33)+1,$A33,180,1000000)</f>
        <v>83.181263000000001</v>
      </c>
      <c r="H33" cm="1">
        <f t="array" aca="1" ref="H33" ca="1">[1]!s_west_eps($B$1,YEAR($A33)+1,$A33,180)</f>
        <v>9.5200000000000007E-2</v>
      </c>
      <c r="I33" cm="1">
        <f t="array" aca="1" ref="I33" ca="1">[1]!s_west_instnum_np($B$1,YEAR($A33)+1,$A33,180)</f>
        <v>19</v>
      </c>
      <c r="J33" cm="1">
        <f t="array" aca="1" ref="J33" ca="1">[1]!s_west_stdnetprofit($B$1,YEAR($A33)+1,$A33,180,1000000)</f>
        <v>41.033203999999998</v>
      </c>
      <c r="K33" cm="1">
        <f t="array" aca="1" ref="K33" ca="1">[1]!s_west_mediannetprofit($B$1,YEAR($A32)+1,$A32,180,1000000)</f>
        <v>76</v>
      </c>
      <c r="L33" cm="1">
        <f t="array" aca="1" ref="L33" ca="1">[1]!s_dq_close($B$1,$A33,3)</f>
        <v>21.14</v>
      </c>
    </row>
    <row r="34" spans="1:12">
      <c r="A34" s="23">
        <f t="shared" ca="1" si="0"/>
        <v>46141</v>
      </c>
      <c r="B34" cm="1">
        <f t="array" aca="1" ref="B34" ca="1">[1]!s_west_netprofit($B$1,YEAR($A34),$A34,180,1000000)</f>
        <v>58.476947000000003</v>
      </c>
      <c r="C34" cm="1">
        <f t="array" aca="1" ref="C34" ca="1">[1]!s_west_eps($B$1,YEAR($A34),$A34,180)</f>
        <v>6.6799999999999998E-2</v>
      </c>
      <c r="D34" cm="1">
        <f t="array" aca="1" ref="D34" ca="1">[1]!s_west_instnum_np($B$1,YEAR($A34),$A34,180)</f>
        <v>19</v>
      </c>
      <c r="E34" cm="1">
        <f t="array" aca="1" ref="E34" ca="1">[1]!s_west_stdnetprofit($B$1,YEAR($A34),$A34,180,1000000)</f>
        <v>38.669663999999997</v>
      </c>
      <c r="F34" cm="1">
        <f t="array" aca="1" ref="F34" ca="1">[1]!s_west_mediannetprofit($B$1,YEAR($A34),$A34,180,1000000)</f>
        <v>56</v>
      </c>
      <c r="G34" cm="1">
        <f t="array" aca="1" ref="G34" ca="1">[1]!s_west_netprofit($B$1,YEAR($A34)+1,$A34,180,1000000)</f>
        <v>83.181263000000001</v>
      </c>
      <c r="H34" cm="1">
        <f t="array" aca="1" ref="H34" ca="1">[1]!s_west_eps($B$1,YEAR($A34)+1,$A34,180)</f>
        <v>9.5200000000000007E-2</v>
      </c>
      <c r="I34" cm="1">
        <f t="array" aca="1" ref="I34" ca="1">[1]!s_west_instnum_np($B$1,YEAR($A34)+1,$A34,180)</f>
        <v>19</v>
      </c>
      <c r="J34" cm="1">
        <f t="array" aca="1" ref="J34" ca="1">[1]!s_west_stdnetprofit($B$1,YEAR($A34)+1,$A34,180,1000000)</f>
        <v>41.033203999999998</v>
      </c>
      <c r="K34" cm="1">
        <f t="array" aca="1" ref="K34" ca="1">[1]!s_west_mediannetprofit($B$1,YEAR($A33)+1,$A33,180,1000000)</f>
        <v>76</v>
      </c>
      <c r="L34" cm="1">
        <f t="array" aca="1" ref="L34" ca="1">[1]!s_dq_close($B$1,$A34,3)</f>
        <v>21.3</v>
      </c>
    </row>
    <row r="35" spans="1:12">
      <c r="A35" s="23">
        <f t="shared" ca="1" si="0"/>
        <v>46140</v>
      </c>
      <c r="B35" cm="1">
        <f t="array" aca="1" ref="B35" ca="1">[1]!s_west_netprofit($B$1,YEAR($A35),$A35,180,1000000)</f>
        <v>58.476947000000003</v>
      </c>
      <c r="C35" cm="1">
        <f t="array" aca="1" ref="C35" ca="1">[1]!s_west_eps($B$1,YEAR($A35),$A35,180)</f>
        <v>6.6799999999999998E-2</v>
      </c>
      <c r="D35" cm="1">
        <f t="array" aca="1" ref="D35" ca="1">[1]!s_west_instnum_np($B$1,YEAR($A35),$A35,180)</f>
        <v>19</v>
      </c>
      <c r="E35" cm="1">
        <f t="array" aca="1" ref="E35" ca="1">[1]!s_west_stdnetprofit($B$1,YEAR($A35),$A35,180,1000000)</f>
        <v>38.669663999999997</v>
      </c>
      <c r="F35" cm="1">
        <f t="array" aca="1" ref="F35" ca="1">[1]!s_west_mediannetprofit($B$1,YEAR($A35),$A35,180,1000000)</f>
        <v>56</v>
      </c>
      <c r="G35" cm="1">
        <f t="array" aca="1" ref="G35" ca="1">[1]!s_west_netprofit($B$1,YEAR($A35)+1,$A35,180,1000000)</f>
        <v>83.181263000000001</v>
      </c>
      <c r="H35" cm="1">
        <f t="array" aca="1" ref="H35" ca="1">[1]!s_west_eps($B$1,YEAR($A35)+1,$A35,180)</f>
        <v>9.5200000000000007E-2</v>
      </c>
      <c r="I35" cm="1">
        <f t="array" aca="1" ref="I35" ca="1">[1]!s_west_instnum_np($B$1,YEAR($A35)+1,$A35,180)</f>
        <v>19</v>
      </c>
      <c r="J35" cm="1">
        <f t="array" aca="1" ref="J35" ca="1">[1]!s_west_stdnetprofit($B$1,YEAR($A35)+1,$A35,180,1000000)</f>
        <v>41.033203999999998</v>
      </c>
      <c r="K35" cm="1">
        <f t="array" aca="1" ref="K35" ca="1">[1]!s_west_mediannetprofit($B$1,YEAR($A34)+1,$A34,180,1000000)</f>
        <v>76</v>
      </c>
      <c r="L35" cm="1">
        <f t="array" aca="1" ref="L35" ca="1">[1]!s_dq_close($B$1,$A35,3)</f>
        <v>21.2</v>
      </c>
    </row>
    <row r="36" spans="1:12">
      <c r="A36" s="23">
        <f t="shared" ca="1" si="0"/>
        <v>46139</v>
      </c>
      <c r="B36" cm="1">
        <f t="array" aca="1" ref="B36" ca="1">[1]!s_west_netprofit($B$1,YEAR($A36),$A36,180,1000000)</f>
        <v>58.476947000000003</v>
      </c>
      <c r="C36" cm="1">
        <f t="array" aca="1" ref="C36" ca="1">[1]!s_west_eps($B$1,YEAR($A36),$A36,180)</f>
        <v>6.6799999999999998E-2</v>
      </c>
      <c r="D36" cm="1">
        <f t="array" aca="1" ref="D36" ca="1">[1]!s_west_instnum_np($B$1,YEAR($A36),$A36,180)</f>
        <v>19</v>
      </c>
      <c r="E36" cm="1">
        <f t="array" aca="1" ref="E36" ca="1">[1]!s_west_stdnetprofit($B$1,YEAR($A36),$A36,180,1000000)</f>
        <v>38.669663999999997</v>
      </c>
      <c r="F36" cm="1">
        <f t="array" aca="1" ref="F36" ca="1">[1]!s_west_mediannetprofit($B$1,YEAR($A36),$A36,180,1000000)</f>
        <v>56</v>
      </c>
      <c r="G36" cm="1">
        <f t="array" aca="1" ref="G36" ca="1">[1]!s_west_netprofit($B$1,YEAR($A36)+1,$A36,180,1000000)</f>
        <v>83.181263000000001</v>
      </c>
      <c r="H36" cm="1">
        <f t="array" aca="1" ref="H36" ca="1">[1]!s_west_eps($B$1,YEAR($A36)+1,$A36,180)</f>
        <v>9.5200000000000007E-2</v>
      </c>
      <c r="I36" cm="1">
        <f t="array" aca="1" ref="I36" ca="1">[1]!s_west_instnum_np($B$1,YEAR($A36)+1,$A36,180)</f>
        <v>19</v>
      </c>
      <c r="J36" cm="1">
        <f t="array" aca="1" ref="J36" ca="1">[1]!s_west_stdnetprofit($B$1,YEAR($A36)+1,$A36,180,1000000)</f>
        <v>41.033203999999998</v>
      </c>
      <c r="K36" cm="1">
        <f t="array" aca="1" ref="K36" ca="1">[1]!s_west_mediannetprofit($B$1,YEAR($A35)+1,$A35,180,1000000)</f>
        <v>76</v>
      </c>
      <c r="L36" cm="1">
        <f t="array" aca="1" ref="L36" ca="1">[1]!s_dq_close($B$1,$A36,3)</f>
        <v>21.28</v>
      </c>
    </row>
    <row r="37" spans="1:12">
      <c r="A37" s="23">
        <f t="shared" ca="1" si="0"/>
        <v>46138</v>
      </c>
      <c r="B37" cm="1">
        <f t="array" aca="1" ref="B37" ca="1">[1]!s_west_netprofit($B$1,YEAR($A37),$A37,180,1000000)</f>
        <v>58.476947000000003</v>
      </c>
      <c r="C37" cm="1">
        <f t="array" aca="1" ref="C37" ca="1">[1]!s_west_eps($B$1,YEAR($A37),$A37,180)</f>
        <v>6.6799999999999998E-2</v>
      </c>
      <c r="D37" cm="1">
        <f t="array" aca="1" ref="D37" ca="1">[1]!s_west_instnum_np($B$1,YEAR($A37),$A37,180)</f>
        <v>19</v>
      </c>
      <c r="E37" cm="1">
        <f t="array" aca="1" ref="E37" ca="1">[1]!s_west_stdnetprofit($B$1,YEAR($A37),$A37,180,1000000)</f>
        <v>38.669663999999997</v>
      </c>
      <c r="F37" cm="1">
        <f t="array" aca="1" ref="F37" ca="1">[1]!s_west_mediannetprofit($B$1,YEAR($A37),$A37,180,1000000)</f>
        <v>56</v>
      </c>
      <c r="G37" cm="1">
        <f t="array" aca="1" ref="G37" ca="1">[1]!s_west_netprofit($B$1,YEAR($A37)+1,$A37,180,1000000)</f>
        <v>83.181263000000001</v>
      </c>
      <c r="H37" cm="1">
        <f t="array" aca="1" ref="H37" ca="1">[1]!s_west_eps($B$1,YEAR($A37)+1,$A37,180)</f>
        <v>9.5200000000000007E-2</v>
      </c>
      <c r="I37" cm="1">
        <f t="array" aca="1" ref="I37" ca="1">[1]!s_west_instnum_np($B$1,YEAR($A37)+1,$A37,180)</f>
        <v>19</v>
      </c>
      <c r="J37" cm="1">
        <f t="array" aca="1" ref="J37" ca="1">[1]!s_west_stdnetprofit($B$1,YEAR($A37)+1,$A37,180,1000000)</f>
        <v>41.033203999999998</v>
      </c>
      <c r="K37" cm="1">
        <f t="array" aca="1" ref="K37" ca="1">[1]!s_west_mediannetprofit($B$1,YEAR($A36)+1,$A36,180,1000000)</f>
        <v>76</v>
      </c>
      <c r="L37" cm="1">
        <f t="array" aca="1" ref="L37" ca="1">[1]!s_dq_close($B$1,$A37,3)</f>
        <v>21.88</v>
      </c>
    </row>
    <row r="38" spans="1:12">
      <c r="A38" s="23">
        <f t="shared" ca="1" si="0"/>
        <v>46137</v>
      </c>
      <c r="B38" cm="1">
        <f t="array" aca="1" ref="B38" ca="1">[1]!s_west_netprofit($B$1,YEAR($A38),$A38,180,1000000)</f>
        <v>58.476947000000003</v>
      </c>
      <c r="C38" cm="1">
        <f t="array" aca="1" ref="C38" ca="1">[1]!s_west_eps($B$1,YEAR($A38),$A38,180)</f>
        <v>6.6799999999999998E-2</v>
      </c>
      <c r="D38" cm="1">
        <f t="array" aca="1" ref="D38" ca="1">[1]!s_west_instnum_np($B$1,YEAR($A38),$A38,180)</f>
        <v>19</v>
      </c>
      <c r="E38" cm="1">
        <f t="array" aca="1" ref="E38" ca="1">[1]!s_west_stdnetprofit($B$1,YEAR($A38),$A38,180,1000000)</f>
        <v>38.669663999999997</v>
      </c>
      <c r="F38" cm="1">
        <f t="array" aca="1" ref="F38" ca="1">[1]!s_west_mediannetprofit($B$1,YEAR($A38),$A38,180,1000000)</f>
        <v>56</v>
      </c>
      <c r="G38" cm="1">
        <f t="array" aca="1" ref="G38" ca="1">[1]!s_west_netprofit($B$1,YEAR($A38)+1,$A38,180,1000000)</f>
        <v>83.181263000000001</v>
      </c>
      <c r="H38" cm="1">
        <f t="array" aca="1" ref="H38" ca="1">[1]!s_west_eps($B$1,YEAR($A38)+1,$A38,180)</f>
        <v>9.5200000000000007E-2</v>
      </c>
      <c r="I38" cm="1">
        <f t="array" aca="1" ref="I38" ca="1">[1]!s_west_instnum_np($B$1,YEAR($A38)+1,$A38,180)</f>
        <v>19</v>
      </c>
      <c r="J38" cm="1">
        <f t="array" aca="1" ref="J38" ca="1">[1]!s_west_stdnetprofit($B$1,YEAR($A38)+1,$A38,180,1000000)</f>
        <v>41.033203999999998</v>
      </c>
      <c r="K38" cm="1">
        <f t="array" aca="1" ref="K38" ca="1">[1]!s_west_mediannetprofit($B$1,YEAR($A37)+1,$A37,180,1000000)</f>
        <v>76</v>
      </c>
      <c r="L38" cm="1">
        <f t="array" aca="1" ref="L38" ca="1">[1]!s_dq_close($B$1,$A38,3)</f>
        <v>21.88</v>
      </c>
    </row>
    <row r="39" spans="1:12">
      <c r="A39" s="23">
        <f t="shared" ca="1" si="0"/>
        <v>46136</v>
      </c>
      <c r="B39" cm="1">
        <f t="array" aca="1" ref="B39" ca="1">[1]!s_west_netprofit($B$1,YEAR($A39),$A39,180,1000000)</f>
        <v>58.476947000000003</v>
      </c>
      <c r="C39" cm="1">
        <f t="array" aca="1" ref="C39" ca="1">[1]!s_west_eps($B$1,YEAR($A39),$A39,180)</f>
        <v>6.6799999999999998E-2</v>
      </c>
      <c r="D39" cm="1">
        <f t="array" aca="1" ref="D39" ca="1">[1]!s_west_instnum_np($B$1,YEAR($A39),$A39,180)</f>
        <v>19</v>
      </c>
      <c r="E39" cm="1">
        <f t="array" aca="1" ref="E39" ca="1">[1]!s_west_stdnetprofit($B$1,YEAR($A39),$A39,180,1000000)</f>
        <v>38.669663999999997</v>
      </c>
      <c r="F39" cm="1">
        <f t="array" aca="1" ref="F39" ca="1">[1]!s_west_mediannetprofit($B$1,YEAR($A39),$A39,180,1000000)</f>
        <v>56</v>
      </c>
      <c r="G39" cm="1">
        <f t="array" aca="1" ref="G39" ca="1">[1]!s_west_netprofit($B$1,YEAR($A39)+1,$A39,180,1000000)</f>
        <v>83.181263000000001</v>
      </c>
      <c r="H39" cm="1">
        <f t="array" aca="1" ref="H39" ca="1">[1]!s_west_eps($B$1,YEAR($A39)+1,$A39,180)</f>
        <v>9.5200000000000007E-2</v>
      </c>
      <c r="I39" cm="1">
        <f t="array" aca="1" ref="I39" ca="1">[1]!s_west_instnum_np($B$1,YEAR($A39)+1,$A39,180)</f>
        <v>19</v>
      </c>
      <c r="J39" cm="1">
        <f t="array" aca="1" ref="J39" ca="1">[1]!s_west_stdnetprofit($B$1,YEAR($A39)+1,$A39,180,1000000)</f>
        <v>41.033203999999998</v>
      </c>
      <c r="K39" cm="1">
        <f t="array" aca="1" ref="K39" ca="1">[1]!s_west_mediannetprofit($B$1,YEAR($A38)+1,$A38,180,1000000)</f>
        <v>76</v>
      </c>
      <c r="L39" cm="1">
        <f t="array" aca="1" ref="L39" ca="1">[1]!s_dq_close($B$1,$A39,3)</f>
        <v>21.88</v>
      </c>
    </row>
    <row r="40" spans="1:12">
      <c r="A40" s="23">
        <f t="shared" ca="1" si="0"/>
        <v>46135</v>
      </c>
      <c r="B40" cm="1">
        <f t="array" aca="1" ref="B40" ca="1">[1]!s_west_netprofit($B$1,YEAR($A40),$A40,180,1000000)</f>
        <v>58.476947000000003</v>
      </c>
      <c r="C40" cm="1">
        <f t="array" aca="1" ref="C40" ca="1">[1]!s_west_eps($B$1,YEAR($A40),$A40,180)</f>
        <v>6.6799999999999998E-2</v>
      </c>
      <c r="D40" cm="1">
        <f t="array" aca="1" ref="D40" ca="1">[1]!s_west_instnum_np($B$1,YEAR($A40),$A40,180)</f>
        <v>19</v>
      </c>
      <c r="E40" cm="1">
        <f t="array" aca="1" ref="E40" ca="1">[1]!s_west_stdnetprofit($B$1,YEAR($A40),$A40,180,1000000)</f>
        <v>38.669663999999997</v>
      </c>
      <c r="F40" cm="1">
        <f t="array" aca="1" ref="F40" ca="1">[1]!s_west_mediannetprofit($B$1,YEAR($A40),$A40,180,1000000)</f>
        <v>56</v>
      </c>
      <c r="G40" cm="1">
        <f t="array" aca="1" ref="G40" ca="1">[1]!s_west_netprofit($B$1,YEAR($A40)+1,$A40,180,1000000)</f>
        <v>83.181263000000001</v>
      </c>
      <c r="H40" cm="1">
        <f t="array" aca="1" ref="H40" ca="1">[1]!s_west_eps($B$1,YEAR($A40)+1,$A40,180)</f>
        <v>9.5200000000000007E-2</v>
      </c>
      <c r="I40" cm="1">
        <f t="array" aca="1" ref="I40" ca="1">[1]!s_west_instnum_np($B$1,YEAR($A40)+1,$A40,180)</f>
        <v>19</v>
      </c>
      <c r="J40" cm="1">
        <f t="array" aca="1" ref="J40" ca="1">[1]!s_west_stdnetprofit($B$1,YEAR($A40)+1,$A40,180,1000000)</f>
        <v>41.033203999999998</v>
      </c>
      <c r="K40" cm="1">
        <f t="array" aca="1" ref="K40" ca="1">[1]!s_west_mediannetprofit($B$1,YEAR($A39)+1,$A39,180,1000000)</f>
        <v>76</v>
      </c>
      <c r="L40" cm="1">
        <f t="array" aca="1" ref="L40" ca="1">[1]!s_dq_close($B$1,$A40,3)</f>
        <v>21.92</v>
      </c>
    </row>
    <row r="41" spans="1:12">
      <c r="A41" s="23">
        <f t="shared" ca="1" si="0"/>
        <v>46134</v>
      </c>
      <c r="B41" cm="1">
        <f t="array" aca="1" ref="B41" ca="1">[1]!s_west_netprofit($B$1,YEAR($A41),$A41,180,1000000)</f>
        <v>58.476947000000003</v>
      </c>
      <c r="C41" cm="1">
        <f t="array" aca="1" ref="C41" ca="1">[1]!s_west_eps($B$1,YEAR($A41),$A41,180)</f>
        <v>6.6799999999999998E-2</v>
      </c>
      <c r="D41" cm="1">
        <f t="array" aca="1" ref="D41" ca="1">[1]!s_west_instnum_np($B$1,YEAR($A41),$A41,180)</f>
        <v>19</v>
      </c>
      <c r="E41" cm="1">
        <f t="array" aca="1" ref="E41" ca="1">[1]!s_west_stdnetprofit($B$1,YEAR($A41),$A41,180,1000000)</f>
        <v>38.669663999999997</v>
      </c>
      <c r="F41" cm="1">
        <f t="array" aca="1" ref="F41" ca="1">[1]!s_west_mediannetprofit($B$1,YEAR($A41),$A41,180,1000000)</f>
        <v>56</v>
      </c>
      <c r="G41" cm="1">
        <f t="array" aca="1" ref="G41" ca="1">[1]!s_west_netprofit($B$1,YEAR($A41)+1,$A41,180,1000000)</f>
        <v>83.181263000000001</v>
      </c>
      <c r="H41" cm="1">
        <f t="array" aca="1" ref="H41" ca="1">[1]!s_west_eps($B$1,YEAR($A41)+1,$A41,180)</f>
        <v>9.5200000000000007E-2</v>
      </c>
      <c r="I41" cm="1">
        <f t="array" aca="1" ref="I41" ca="1">[1]!s_west_instnum_np($B$1,YEAR($A41)+1,$A41,180)</f>
        <v>19</v>
      </c>
      <c r="J41" cm="1">
        <f t="array" aca="1" ref="J41" ca="1">[1]!s_west_stdnetprofit($B$1,YEAR($A41)+1,$A41,180,1000000)</f>
        <v>41.033203999999998</v>
      </c>
      <c r="K41" cm="1">
        <f t="array" aca="1" ref="K41" ca="1">[1]!s_west_mediannetprofit($B$1,YEAR($A40)+1,$A40,180,1000000)</f>
        <v>76</v>
      </c>
      <c r="L41" cm="1">
        <f t="array" aca="1" ref="L41" ca="1">[1]!s_dq_close($B$1,$A41,3)</f>
        <v>22.74</v>
      </c>
    </row>
    <row r="42" spans="1:12">
      <c r="A42" s="23">
        <f t="shared" ca="1" si="0"/>
        <v>46133</v>
      </c>
      <c r="B42" cm="1">
        <f t="array" aca="1" ref="B42" ca="1">[1]!s_west_netprofit($B$1,YEAR($A42),$A42,180,1000000)</f>
        <v>58.476947000000003</v>
      </c>
      <c r="C42" cm="1">
        <f t="array" aca="1" ref="C42" ca="1">[1]!s_west_eps($B$1,YEAR($A42),$A42,180)</f>
        <v>6.6799999999999998E-2</v>
      </c>
      <c r="D42" cm="1">
        <f t="array" aca="1" ref="D42" ca="1">[1]!s_west_instnum_np($B$1,YEAR($A42),$A42,180)</f>
        <v>19</v>
      </c>
      <c r="E42" cm="1">
        <f t="array" aca="1" ref="E42" ca="1">[1]!s_west_stdnetprofit($B$1,YEAR($A42),$A42,180,1000000)</f>
        <v>38.669663999999997</v>
      </c>
      <c r="F42" cm="1">
        <f t="array" aca="1" ref="F42" ca="1">[1]!s_west_mediannetprofit($B$1,YEAR($A42),$A42,180,1000000)</f>
        <v>56</v>
      </c>
      <c r="G42" cm="1">
        <f t="array" aca="1" ref="G42" ca="1">[1]!s_west_netprofit($B$1,YEAR($A42)+1,$A42,180,1000000)</f>
        <v>83.181263000000001</v>
      </c>
      <c r="H42" cm="1">
        <f t="array" aca="1" ref="H42" ca="1">[1]!s_west_eps($B$1,YEAR($A42)+1,$A42,180)</f>
        <v>9.5200000000000007E-2</v>
      </c>
      <c r="I42" cm="1">
        <f t="array" aca="1" ref="I42" ca="1">[1]!s_west_instnum_np($B$1,YEAR($A42)+1,$A42,180)</f>
        <v>19</v>
      </c>
      <c r="J42" cm="1">
        <f t="array" aca="1" ref="J42" ca="1">[1]!s_west_stdnetprofit($B$1,YEAR($A42)+1,$A42,180,1000000)</f>
        <v>41.033203999999998</v>
      </c>
      <c r="K42" cm="1">
        <f t="array" aca="1" ref="K42" ca="1">[1]!s_west_mediannetprofit($B$1,YEAR($A41)+1,$A41,180,1000000)</f>
        <v>76</v>
      </c>
      <c r="L42" cm="1">
        <f t="array" aca="1" ref="L42" ca="1">[1]!s_dq_close($B$1,$A42,3)</f>
        <v>23.6</v>
      </c>
    </row>
    <row r="43" spans="1:12">
      <c r="A43" s="23">
        <f t="shared" ca="1" si="0"/>
        <v>46132</v>
      </c>
      <c r="B43" cm="1">
        <f t="array" aca="1" ref="B43" ca="1">[1]!s_west_netprofit($B$1,YEAR($A43),$A43,180,1000000)</f>
        <v>58.476947000000003</v>
      </c>
      <c r="C43" cm="1">
        <f t="array" aca="1" ref="C43" ca="1">[1]!s_west_eps($B$1,YEAR($A43),$A43,180)</f>
        <v>6.6799999999999998E-2</v>
      </c>
      <c r="D43" cm="1">
        <f t="array" aca="1" ref="D43" ca="1">[1]!s_west_instnum_np($B$1,YEAR($A43),$A43,180)</f>
        <v>19</v>
      </c>
      <c r="E43" cm="1">
        <f t="array" aca="1" ref="E43" ca="1">[1]!s_west_stdnetprofit($B$1,YEAR($A43),$A43,180,1000000)</f>
        <v>38.669663999999997</v>
      </c>
      <c r="F43" cm="1">
        <f t="array" aca="1" ref="F43" ca="1">[1]!s_west_mediannetprofit($B$1,YEAR($A43),$A43,180,1000000)</f>
        <v>56</v>
      </c>
      <c r="G43" cm="1">
        <f t="array" aca="1" ref="G43" ca="1">[1]!s_west_netprofit($B$1,YEAR($A43)+1,$A43,180,1000000)</f>
        <v>83.181263000000001</v>
      </c>
      <c r="H43" cm="1">
        <f t="array" aca="1" ref="H43" ca="1">[1]!s_west_eps($B$1,YEAR($A43)+1,$A43,180)</f>
        <v>9.5200000000000007E-2</v>
      </c>
      <c r="I43" cm="1">
        <f t="array" aca="1" ref="I43" ca="1">[1]!s_west_instnum_np($B$1,YEAR($A43)+1,$A43,180)</f>
        <v>19</v>
      </c>
      <c r="J43" cm="1">
        <f t="array" aca="1" ref="J43" ca="1">[1]!s_west_stdnetprofit($B$1,YEAR($A43)+1,$A43,180,1000000)</f>
        <v>41.033203999999998</v>
      </c>
      <c r="K43" cm="1">
        <f t="array" aca="1" ref="K43" ca="1">[1]!s_west_mediannetprofit($B$1,YEAR($A42)+1,$A42,180,1000000)</f>
        <v>76</v>
      </c>
      <c r="L43" cm="1">
        <f t="array" aca="1" ref="L43" ca="1">[1]!s_dq_close($B$1,$A43,3)</f>
        <v>23.92</v>
      </c>
    </row>
    <row r="44" spans="1:12">
      <c r="A44" s="23">
        <f t="shared" ca="1" si="0"/>
        <v>46131</v>
      </c>
      <c r="B44" cm="1">
        <f t="array" aca="1" ref="B44" ca="1">[1]!s_west_netprofit($B$1,YEAR($A44),$A44,180,1000000)</f>
        <v>58.476947000000003</v>
      </c>
      <c r="C44" cm="1">
        <f t="array" aca="1" ref="C44" ca="1">[1]!s_west_eps($B$1,YEAR($A44),$A44,180)</f>
        <v>6.6799999999999998E-2</v>
      </c>
      <c r="D44" cm="1">
        <f t="array" aca="1" ref="D44" ca="1">[1]!s_west_instnum_np($B$1,YEAR($A44),$A44,180)</f>
        <v>19</v>
      </c>
      <c r="E44" cm="1">
        <f t="array" aca="1" ref="E44" ca="1">[1]!s_west_stdnetprofit($B$1,YEAR($A44),$A44,180,1000000)</f>
        <v>38.669663999999997</v>
      </c>
      <c r="F44" cm="1">
        <f t="array" aca="1" ref="F44" ca="1">[1]!s_west_mediannetprofit($B$1,YEAR($A44),$A44,180,1000000)</f>
        <v>56</v>
      </c>
      <c r="G44" cm="1">
        <f t="array" aca="1" ref="G44" ca="1">[1]!s_west_netprofit($B$1,YEAR($A44)+1,$A44,180,1000000)</f>
        <v>83.181263000000001</v>
      </c>
      <c r="H44" cm="1">
        <f t="array" aca="1" ref="H44" ca="1">[1]!s_west_eps($B$1,YEAR($A44)+1,$A44,180)</f>
        <v>9.5200000000000007E-2</v>
      </c>
      <c r="I44" cm="1">
        <f t="array" aca="1" ref="I44" ca="1">[1]!s_west_instnum_np($B$1,YEAR($A44)+1,$A44,180)</f>
        <v>19</v>
      </c>
      <c r="J44" cm="1">
        <f t="array" aca="1" ref="J44" ca="1">[1]!s_west_stdnetprofit($B$1,YEAR($A44)+1,$A44,180,1000000)</f>
        <v>41.033203999999998</v>
      </c>
      <c r="K44" cm="1">
        <f t="array" aca="1" ref="K44" ca="1">[1]!s_west_mediannetprofit($B$1,YEAR($A43)+1,$A43,180,1000000)</f>
        <v>76</v>
      </c>
      <c r="L44" cm="1">
        <f t="array" aca="1" ref="L44" ca="1">[1]!s_dq_close($B$1,$A44,3)</f>
        <v>24.72</v>
      </c>
    </row>
    <row r="45" spans="1:12">
      <c r="A45" s="23">
        <f t="shared" ca="1" si="0"/>
        <v>46130</v>
      </c>
      <c r="B45" cm="1">
        <f t="array" aca="1" ref="B45" ca="1">[1]!s_west_netprofit($B$1,YEAR($A45),$A45,180,1000000)</f>
        <v>58.476947000000003</v>
      </c>
      <c r="C45" cm="1">
        <f t="array" aca="1" ref="C45" ca="1">[1]!s_west_eps($B$1,YEAR($A45),$A45,180)</f>
        <v>6.6799999999999998E-2</v>
      </c>
      <c r="D45" cm="1">
        <f t="array" aca="1" ref="D45" ca="1">[1]!s_west_instnum_np($B$1,YEAR($A45),$A45,180)</f>
        <v>19</v>
      </c>
      <c r="E45" cm="1">
        <f t="array" aca="1" ref="E45" ca="1">[1]!s_west_stdnetprofit($B$1,YEAR($A45),$A45,180,1000000)</f>
        <v>38.669663999999997</v>
      </c>
      <c r="F45" cm="1">
        <f t="array" aca="1" ref="F45" ca="1">[1]!s_west_mediannetprofit($B$1,YEAR($A45),$A45,180,1000000)</f>
        <v>56</v>
      </c>
      <c r="G45" cm="1">
        <f t="array" aca="1" ref="G45" ca="1">[1]!s_west_netprofit($B$1,YEAR($A45)+1,$A45,180,1000000)</f>
        <v>83.181263000000001</v>
      </c>
      <c r="H45" cm="1">
        <f t="array" aca="1" ref="H45" ca="1">[1]!s_west_eps($B$1,YEAR($A45)+1,$A45,180)</f>
        <v>9.5200000000000007E-2</v>
      </c>
      <c r="I45" cm="1">
        <f t="array" aca="1" ref="I45" ca="1">[1]!s_west_instnum_np($B$1,YEAR($A45)+1,$A45,180)</f>
        <v>19</v>
      </c>
      <c r="J45" cm="1">
        <f t="array" aca="1" ref="J45" ca="1">[1]!s_west_stdnetprofit($B$1,YEAR($A45)+1,$A45,180,1000000)</f>
        <v>41.033203999999998</v>
      </c>
      <c r="K45" cm="1">
        <f t="array" aca="1" ref="K45" ca="1">[1]!s_west_mediannetprofit($B$1,YEAR($A44)+1,$A44,180,1000000)</f>
        <v>76</v>
      </c>
      <c r="L45" cm="1">
        <f t="array" aca="1" ref="L45" ca="1">[1]!s_dq_close($B$1,$A45,3)</f>
        <v>24.72</v>
      </c>
    </row>
    <row r="46" spans="1:12">
      <c r="A46" s="23">
        <f t="shared" ca="1" si="0"/>
        <v>46129</v>
      </c>
      <c r="B46" cm="1">
        <f t="array" aca="1" ref="B46" ca="1">[1]!s_west_netprofit($B$1,YEAR($A46),$A46,180,1000000)</f>
        <v>58.476947000000003</v>
      </c>
      <c r="C46" cm="1">
        <f t="array" aca="1" ref="C46" ca="1">[1]!s_west_eps($B$1,YEAR($A46),$A46,180)</f>
        <v>6.6799999999999998E-2</v>
      </c>
      <c r="D46" cm="1">
        <f t="array" aca="1" ref="D46" ca="1">[1]!s_west_instnum_np($B$1,YEAR($A46),$A46,180)</f>
        <v>19</v>
      </c>
      <c r="E46" cm="1">
        <f t="array" aca="1" ref="E46" ca="1">[1]!s_west_stdnetprofit($B$1,YEAR($A46),$A46,180,1000000)</f>
        <v>38.669663999999997</v>
      </c>
      <c r="F46" cm="1">
        <f t="array" aca="1" ref="F46" ca="1">[1]!s_west_mediannetprofit($B$1,YEAR($A46),$A46,180,1000000)</f>
        <v>56</v>
      </c>
      <c r="G46" cm="1">
        <f t="array" aca="1" ref="G46" ca="1">[1]!s_west_netprofit($B$1,YEAR($A46)+1,$A46,180,1000000)</f>
        <v>83.181263000000001</v>
      </c>
      <c r="H46" cm="1">
        <f t="array" aca="1" ref="H46" ca="1">[1]!s_west_eps($B$1,YEAR($A46)+1,$A46,180)</f>
        <v>9.5200000000000007E-2</v>
      </c>
      <c r="I46" cm="1">
        <f t="array" aca="1" ref="I46" ca="1">[1]!s_west_instnum_np($B$1,YEAR($A46)+1,$A46,180)</f>
        <v>19</v>
      </c>
      <c r="J46" cm="1">
        <f t="array" aca="1" ref="J46" ca="1">[1]!s_west_stdnetprofit($B$1,YEAR($A46)+1,$A46,180,1000000)</f>
        <v>41.033203999999998</v>
      </c>
      <c r="K46" cm="1">
        <f t="array" aca="1" ref="K46" ca="1">[1]!s_west_mediannetprofit($B$1,YEAR($A45)+1,$A45,180,1000000)</f>
        <v>76</v>
      </c>
      <c r="L46" cm="1">
        <f t="array" aca="1" ref="L46" ca="1">[1]!s_dq_close($B$1,$A46,3)</f>
        <v>24.72</v>
      </c>
    </row>
    <row r="47" spans="1:12">
      <c r="A47" s="23">
        <f t="shared" ca="1" si="0"/>
        <v>46128</v>
      </c>
      <c r="B47" cm="1">
        <f t="array" aca="1" ref="B47" ca="1">[1]!s_west_netprofit($B$1,YEAR($A47),$A47,180,1000000)</f>
        <v>58.476947000000003</v>
      </c>
      <c r="C47" cm="1">
        <f t="array" aca="1" ref="C47" ca="1">[1]!s_west_eps($B$1,YEAR($A47),$A47,180)</f>
        <v>6.6799999999999998E-2</v>
      </c>
      <c r="D47" cm="1">
        <f t="array" aca="1" ref="D47" ca="1">[1]!s_west_instnum_np($B$1,YEAR($A47),$A47,180)</f>
        <v>19</v>
      </c>
      <c r="E47" cm="1">
        <f t="array" aca="1" ref="E47" ca="1">[1]!s_west_stdnetprofit($B$1,YEAR($A47),$A47,180,1000000)</f>
        <v>38.669663999999997</v>
      </c>
      <c r="F47" cm="1">
        <f t="array" aca="1" ref="F47" ca="1">[1]!s_west_mediannetprofit($B$1,YEAR($A47),$A47,180,1000000)</f>
        <v>56</v>
      </c>
      <c r="G47" cm="1">
        <f t="array" aca="1" ref="G47" ca="1">[1]!s_west_netprofit($B$1,YEAR($A47)+1,$A47,180,1000000)</f>
        <v>83.181263000000001</v>
      </c>
      <c r="H47" cm="1">
        <f t="array" aca="1" ref="H47" ca="1">[1]!s_west_eps($B$1,YEAR($A47)+1,$A47,180)</f>
        <v>9.5200000000000007E-2</v>
      </c>
      <c r="I47" cm="1">
        <f t="array" aca="1" ref="I47" ca="1">[1]!s_west_instnum_np($B$1,YEAR($A47)+1,$A47,180)</f>
        <v>19</v>
      </c>
      <c r="J47" cm="1">
        <f t="array" aca="1" ref="J47" ca="1">[1]!s_west_stdnetprofit($B$1,YEAR($A47)+1,$A47,180,1000000)</f>
        <v>41.033203999999998</v>
      </c>
      <c r="K47" cm="1">
        <f t="array" aca="1" ref="K47" ca="1">[1]!s_west_mediannetprofit($B$1,YEAR($A46)+1,$A46,180,1000000)</f>
        <v>76</v>
      </c>
      <c r="L47" cm="1">
        <f t="array" aca="1" ref="L47" ca="1">[1]!s_dq_close($B$1,$A47,3)</f>
        <v>24.5</v>
      </c>
    </row>
    <row r="48" spans="1:12">
      <c r="A48" s="23">
        <f t="shared" ca="1" si="0"/>
        <v>46127</v>
      </c>
      <c r="B48" cm="1">
        <f t="array" aca="1" ref="B48" ca="1">[1]!s_west_netprofit($B$1,YEAR($A48),$A48,180,1000000)</f>
        <v>58.476947000000003</v>
      </c>
      <c r="C48" cm="1">
        <f t="array" aca="1" ref="C48" ca="1">[1]!s_west_eps($B$1,YEAR($A48),$A48,180)</f>
        <v>6.6799999999999998E-2</v>
      </c>
      <c r="D48" cm="1">
        <f t="array" aca="1" ref="D48" ca="1">[1]!s_west_instnum_np($B$1,YEAR($A48),$A48,180)</f>
        <v>19</v>
      </c>
      <c r="E48" cm="1">
        <f t="array" aca="1" ref="E48" ca="1">[1]!s_west_stdnetprofit($B$1,YEAR($A48),$A48,180,1000000)</f>
        <v>38.669663999999997</v>
      </c>
      <c r="F48" cm="1">
        <f t="array" aca="1" ref="F48" ca="1">[1]!s_west_mediannetprofit($B$1,YEAR($A48),$A48,180,1000000)</f>
        <v>56</v>
      </c>
      <c r="G48" cm="1">
        <f t="array" aca="1" ref="G48" ca="1">[1]!s_west_netprofit($B$1,YEAR($A48)+1,$A48,180,1000000)</f>
        <v>83.181263000000001</v>
      </c>
      <c r="H48" cm="1">
        <f t="array" aca="1" ref="H48" ca="1">[1]!s_west_eps($B$1,YEAR($A48)+1,$A48,180)</f>
        <v>9.5200000000000007E-2</v>
      </c>
      <c r="I48" cm="1">
        <f t="array" aca="1" ref="I48" ca="1">[1]!s_west_instnum_np($B$1,YEAR($A48)+1,$A48,180)</f>
        <v>19</v>
      </c>
      <c r="J48" cm="1">
        <f t="array" aca="1" ref="J48" ca="1">[1]!s_west_stdnetprofit($B$1,YEAR($A48)+1,$A48,180,1000000)</f>
        <v>41.033203999999998</v>
      </c>
      <c r="K48" cm="1">
        <f t="array" aca="1" ref="K48" ca="1">[1]!s_west_mediannetprofit($B$1,YEAR($A47)+1,$A47,180,1000000)</f>
        <v>76</v>
      </c>
      <c r="L48" cm="1">
        <f t="array" aca="1" ref="L48" ca="1">[1]!s_dq_close($B$1,$A48,3)</f>
        <v>24.3</v>
      </c>
    </row>
    <row r="49" spans="1:12">
      <c r="A49" s="23">
        <f t="shared" ca="1" si="0"/>
        <v>46126</v>
      </c>
      <c r="B49" cm="1">
        <f t="array" aca="1" ref="B49" ca="1">[1]!s_west_netprofit($B$1,YEAR($A49),$A49,180,1000000)</f>
        <v>58.476947000000003</v>
      </c>
      <c r="C49" cm="1">
        <f t="array" aca="1" ref="C49" ca="1">[1]!s_west_eps($B$1,YEAR($A49),$A49,180)</f>
        <v>6.6799999999999998E-2</v>
      </c>
      <c r="D49" cm="1">
        <f t="array" aca="1" ref="D49" ca="1">[1]!s_west_instnum_np($B$1,YEAR($A49),$A49,180)</f>
        <v>19</v>
      </c>
      <c r="E49" cm="1">
        <f t="array" aca="1" ref="E49" ca="1">[1]!s_west_stdnetprofit($B$1,YEAR($A49),$A49,180,1000000)</f>
        <v>38.669663999999997</v>
      </c>
      <c r="F49" cm="1">
        <f t="array" aca="1" ref="F49" ca="1">[1]!s_west_mediannetprofit($B$1,YEAR($A49),$A49,180,1000000)</f>
        <v>56</v>
      </c>
      <c r="G49" cm="1">
        <f t="array" aca="1" ref="G49" ca="1">[1]!s_west_netprofit($B$1,YEAR($A49)+1,$A49,180,1000000)</f>
        <v>83.181263000000001</v>
      </c>
      <c r="H49" cm="1">
        <f t="array" aca="1" ref="H49" ca="1">[1]!s_west_eps($B$1,YEAR($A49)+1,$A49,180)</f>
        <v>9.5200000000000007E-2</v>
      </c>
      <c r="I49" cm="1">
        <f t="array" aca="1" ref="I49" ca="1">[1]!s_west_instnum_np($B$1,YEAR($A49)+1,$A49,180)</f>
        <v>19</v>
      </c>
      <c r="J49" cm="1">
        <f t="array" aca="1" ref="J49" ca="1">[1]!s_west_stdnetprofit($B$1,YEAR($A49)+1,$A49,180,1000000)</f>
        <v>41.033203999999998</v>
      </c>
      <c r="K49" cm="1">
        <f t="array" aca="1" ref="K49" ca="1">[1]!s_west_mediannetprofit($B$1,YEAR($A48)+1,$A48,180,1000000)</f>
        <v>76</v>
      </c>
      <c r="L49" cm="1">
        <f t="array" aca="1" ref="L49" ca="1">[1]!s_dq_close($B$1,$A49,3)</f>
        <v>23.64</v>
      </c>
    </row>
    <row r="50" spans="1:12">
      <c r="A50" s="23">
        <f t="shared" ca="1" si="0"/>
        <v>46125</v>
      </c>
      <c r="B50" cm="1">
        <f t="array" aca="1" ref="B50" ca="1">[1]!s_west_netprofit($B$1,YEAR($A50),$A50,180,1000000)</f>
        <v>58.476947000000003</v>
      </c>
      <c r="C50" cm="1">
        <f t="array" aca="1" ref="C50" ca="1">[1]!s_west_eps($B$1,YEAR($A50),$A50,180)</f>
        <v>6.6799999999999998E-2</v>
      </c>
      <c r="D50" cm="1">
        <f t="array" aca="1" ref="D50" ca="1">[1]!s_west_instnum_np($B$1,YEAR($A50),$A50,180)</f>
        <v>19</v>
      </c>
      <c r="E50" cm="1">
        <f t="array" aca="1" ref="E50" ca="1">[1]!s_west_stdnetprofit($B$1,YEAR($A50),$A50,180,1000000)</f>
        <v>38.669663999999997</v>
      </c>
      <c r="F50" cm="1">
        <f t="array" aca="1" ref="F50" ca="1">[1]!s_west_mediannetprofit($B$1,YEAR($A50),$A50,180,1000000)</f>
        <v>56</v>
      </c>
      <c r="G50" cm="1">
        <f t="array" aca="1" ref="G50" ca="1">[1]!s_west_netprofit($B$1,YEAR($A50)+1,$A50,180,1000000)</f>
        <v>83.181263000000001</v>
      </c>
      <c r="H50" cm="1">
        <f t="array" aca="1" ref="H50" ca="1">[1]!s_west_eps($B$1,YEAR($A50)+1,$A50,180)</f>
        <v>9.5200000000000007E-2</v>
      </c>
      <c r="I50" cm="1">
        <f t="array" aca="1" ref="I50" ca="1">[1]!s_west_instnum_np($B$1,YEAR($A50)+1,$A50,180)</f>
        <v>19</v>
      </c>
      <c r="J50" cm="1">
        <f t="array" aca="1" ref="J50" ca="1">[1]!s_west_stdnetprofit($B$1,YEAR($A50)+1,$A50,180,1000000)</f>
        <v>41.033203999999998</v>
      </c>
      <c r="K50" cm="1">
        <f t="array" aca="1" ref="K50" ca="1">[1]!s_west_mediannetprofit($B$1,YEAR($A49)+1,$A49,180,1000000)</f>
        <v>76</v>
      </c>
      <c r="L50" cm="1">
        <f t="array" aca="1" ref="L50" ca="1">[1]!s_dq_close($B$1,$A50,3)</f>
        <v>23.56</v>
      </c>
    </row>
    <row r="51" spans="1:12">
      <c r="A51" s="23">
        <f t="shared" ca="1" si="0"/>
        <v>46124</v>
      </c>
      <c r="B51" cm="1">
        <f t="array" aca="1" ref="B51" ca="1">[1]!s_west_netprofit($B$1,YEAR($A51),$A51,180,1000000)</f>
        <v>58.476947000000003</v>
      </c>
      <c r="C51" cm="1">
        <f t="array" aca="1" ref="C51" ca="1">[1]!s_west_eps($B$1,YEAR($A51),$A51,180)</f>
        <v>6.6799999999999998E-2</v>
      </c>
      <c r="D51" cm="1">
        <f t="array" aca="1" ref="D51" ca="1">[1]!s_west_instnum_np($B$1,YEAR($A51),$A51,180)</f>
        <v>19</v>
      </c>
      <c r="E51" cm="1">
        <f t="array" aca="1" ref="E51" ca="1">[1]!s_west_stdnetprofit($B$1,YEAR($A51),$A51,180,1000000)</f>
        <v>38.669663999999997</v>
      </c>
      <c r="F51" cm="1">
        <f t="array" aca="1" ref="F51" ca="1">[1]!s_west_mediannetprofit($B$1,YEAR($A51),$A51,180,1000000)</f>
        <v>56</v>
      </c>
      <c r="G51" cm="1">
        <f t="array" aca="1" ref="G51" ca="1">[1]!s_west_netprofit($B$1,YEAR($A51)+1,$A51,180,1000000)</f>
        <v>83.181263000000001</v>
      </c>
      <c r="H51" cm="1">
        <f t="array" aca="1" ref="H51" ca="1">[1]!s_west_eps($B$1,YEAR($A51)+1,$A51,180)</f>
        <v>9.5200000000000007E-2</v>
      </c>
      <c r="I51" cm="1">
        <f t="array" aca="1" ref="I51" ca="1">[1]!s_west_instnum_np($B$1,YEAR($A51)+1,$A51,180)</f>
        <v>19</v>
      </c>
      <c r="J51" cm="1">
        <f t="array" aca="1" ref="J51" ca="1">[1]!s_west_stdnetprofit($B$1,YEAR($A51)+1,$A51,180,1000000)</f>
        <v>41.033203999999998</v>
      </c>
      <c r="K51" cm="1">
        <f t="array" aca="1" ref="K51" ca="1">[1]!s_west_mediannetprofit($B$1,YEAR($A50)+1,$A50,180,1000000)</f>
        <v>76</v>
      </c>
      <c r="L51" cm="1">
        <f t="array" aca="1" ref="L51" ca="1">[1]!s_dq_close($B$1,$A51,3)</f>
        <v>23.52</v>
      </c>
    </row>
    <row r="52" spans="1:12">
      <c r="A52" s="23">
        <f t="shared" ca="1" si="0"/>
        <v>46123</v>
      </c>
      <c r="B52" cm="1">
        <f t="array" aca="1" ref="B52" ca="1">[1]!s_west_netprofit($B$1,YEAR($A52),$A52,180,1000000)</f>
        <v>58.476947000000003</v>
      </c>
      <c r="C52" cm="1">
        <f t="array" aca="1" ref="C52" ca="1">[1]!s_west_eps($B$1,YEAR($A52),$A52,180)</f>
        <v>6.6799999999999998E-2</v>
      </c>
      <c r="D52" cm="1">
        <f t="array" aca="1" ref="D52" ca="1">[1]!s_west_instnum_np($B$1,YEAR($A52),$A52,180)</f>
        <v>19</v>
      </c>
      <c r="E52" cm="1">
        <f t="array" aca="1" ref="E52" ca="1">[1]!s_west_stdnetprofit($B$1,YEAR($A52),$A52,180,1000000)</f>
        <v>38.669663999999997</v>
      </c>
      <c r="F52" cm="1">
        <f t="array" aca="1" ref="F52" ca="1">[1]!s_west_mediannetprofit($B$1,YEAR($A52),$A52,180,1000000)</f>
        <v>56</v>
      </c>
      <c r="G52" cm="1">
        <f t="array" aca="1" ref="G52" ca="1">[1]!s_west_netprofit($B$1,YEAR($A52)+1,$A52,180,1000000)</f>
        <v>83.181263000000001</v>
      </c>
      <c r="H52" cm="1">
        <f t="array" aca="1" ref="H52" ca="1">[1]!s_west_eps($B$1,YEAR($A52)+1,$A52,180)</f>
        <v>9.5200000000000007E-2</v>
      </c>
      <c r="I52" cm="1">
        <f t="array" aca="1" ref="I52" ca="1">[1]!s_west_instnum_np($B$1,YEAR($A52)+1,$A52,180)</f>
        <v>19</v>
      </c>
      <c r="J52" cm="1">
        <f t="array" aca="1" ref="J52" ca="1">[1]!s_west_stdnetprofit($B$1,YEAR($A52)+1,$A52,180,1000000)</f>
        <v>41.033203999999998</v>
      </c>
      <c r="K52" cm="1">
        <f t="array" aca="1" ref="K52" ca="1">[1]!s_west_mediannetprofit($B$1,YEAR($A51)+1,$A51,180,1000000)</f>
        <v>76</v>
      </c>
      <c r="L52" cm="1">
        <f t="array" aca="1" ref="L52" ca="1">[1]!s_dq_close($B$1,$A52,3)</f>
        <v>23.52</v>
      </c>
    </row>
    <row r="53" spans="1:12">
      <c r="A53" s="23">
        <f t="shared" ca="1" si="0"/>
        <v>46122</v>
      </c>
      <c r="B53" cm="1">
        <f t="array" aca="1" ref="B53" ca="1">[1]!s_west_netprofit($B$1,YEAR($A53),$A53,180,1000000)</f>
        <v>58.476947000000003</v>
      </c>
      <c r="C53" cm="1">
        <f t="array" aca="1" ref="C53" ca="1">[1]!s_west_eps($B$1,YEAR($A53),$A53,180)</f>
        <v>6.6799999999999998E-2</v>
      </c>
      <c r="D53" cm="1">
        <f t="array" aca="1" ref="D53" ca="1">[1]!s_west_instnum_np($B$1,YEAR($A53),$A53,180)</f>
        <v>19</v>
      </c>
      <c r="E53" cm="1">
        <f t="array" aca="1" ref="E53" ca="1">[1]!s_west_stdnetprofit($B$1,YEAR($A53),$A53,180,1000000)</f>
        <v>38.669663999999997</v>
      </c>
      <c r="F53" cm="1">
        <f t="array" aca="1" ref="F53" ca="1">[1]!s_west_mediannetprofit($B$1,YEAR($A53),$A53,180,1000000)</f>
        <v>56</v>
      </c>
      <c r="G53" cm="1">
        <f t="array" aca="1" ref="G53" ca="1">[1]!s_west_netprofit($B$1,YEAR($A53)+1,$A53,180,1000000)</f>
        <v>83.181263000000001</v>
      </c>
      <c r="H53" cm="1">
        <f t="array" aca="1" ref="H53" ca="1">[1]!s_west_eps($B$1,YEAR($A53)+1,$A53,180)</f>
        <v>9.5200000000000007E-2</v>
      </c>
      <c r="I53" cm="1">
        <f t="array" aca="1" ref="I53" ca="1">[1]!s_west_instnum_np($B$1,YEAR($A53)+1,$A53,180)</f>
        <v>19</v>
      </c>
      <c r="J53" cm="1">
        <f t="array" aca="1" ref="J53" ca="1">[1]!s_west_stdnetprofit($B$1,YEAR($A53)+1,$A53,180,1000000)</f>
        <v>41.033203999999998</v>
      </c>
      <c r="K53" cm="1">
        <f t="array" aca="1" ref="K53" ca="1">[1]!s_west_mediannetprofit($B$1,YEAR($A52)+1,$A52,180,1000000)</f>
        <v>76</v>
      </c>
      <c r="L53" cm="1">
        <f t="array" aca="1" ref="L53" ca="1">[1]!s_dq_close($B$1,$A53,3)</f>
        <v>23.52</v>
      </c>
    </row>
    <row r="54" spans="1:12">
      <c r="A54" s="23">
        <f t="shared" ca="1" si="0"/>
        <v>46121</v>
      </c>
      <c r="B54" cm="1">
        <f t="array" aca="1" ref="B54" ca="1">[1]!s_west_netprofit($B$1,YEAR($A54),$A54,180,1000000)</f>
        <v>58.476947000000003</v>
      </c>
      <c r="C54" cm="1">
        <f t="array" aca="1" ref="C54" ca="1">[1]!s_west_eps($B$1,YEAR($A54),$A54,180)</f>
        <v>6.6799999999999998E-2</v>
      </c>
      <c r="D54" cm="1">
        <f t="array" aca="1" ref="D54" ca="1">[1]!s_west_instnum_np($B$1,YEAR($A54),$A54,180)</f>
        <v>19</v>
      </c>
      <c r="E54" cm="1">
        <f t="array" aca="1" ref="E54" ca="1">[1]!s_west_stdnetprofit($B$1,YEAR($A54),$A54,180,1000000)</f>
        <v>38.669663999999997</v>
      </c>
      <c r="F54" cm="1">
        <f t="array" aca="1" ref="F54" ca="1">[1]!s_west_mediannetprofit($B$1,YEAR($A54),$A54,180,1000000)</f>
        <v>56</v>
      </c>
      <c r="G54" cm="1">
        <f t="array" aca="1" ref="G54" ca="1">[1]!s_west_netprofit($B$1,YEAR($A54)+1,$A54,180,1000000)</f>
        <v>83.181263000000001</v>
      </c>
      <c r="H54" cm="1">
        <f t="array" aca="1" ref="H54" ca="1">[1]!s_west_eps($B$1,YEAR($A54)+1,$A54,180)</f>
        <v>9.5200000000000007E-2</v>
      </c>
      <c r="I54" cm="1">
        <f t="array" aca="1" ref="I54" ca="1">[1]!s_west_instnum_np($B$1,YEAR($A54)+1,$A54,180)</f>
        <v>19</v>
      </c>
      <c r="J54" cm="1">
        <f t="array" aca="1" ref="J54" ca="1">[1]!s_west_stdnetprofit($B$1,YEAR($A54)+1,$A54,180,1000000)</f>
        <v>41.033203999999998</v>
      </c>
      <c r="K54" cm="1">
        <f t="array" aca="1" ref="K54" ca="1">[1]!s_west_mediannetprofit($B$1,YEAR($A53)+1,$A53,180,1000000)</f>
        <v>76</v>
      </c>
      <c r="L54" cm="1">
        <f t="array" aca="1" ref="L54" ca="1">[1]!s_dq_close($B$1,$A54,3)</f>
        <v>23.6</v>
      </c>
    </row>
    <row r="55" spans="1:12">
      <c r="A55" s="23">
        <f t="shared" ca="1" si="0"/>
        <v>46120</v>
      </c>
      <c r="B55" cm="1">
        <f t="array" aca="1" ref="B55" ca="1">[1]!s_west_netprofit($B$1,YEAR($A55),$A55,180,1000000)</f>
        <v>58.476947000000003</v>
      </c>
      <c r="C55" cm="1">
        <f t="array" aca="1" ref="C55" ca="1">[1]!s_west_eps($B$1,YEAR($A55),$A55,180)</f>
        <v>6.6799999999999998E-2</v>
      </c>
      <c r="D55" cm="1">
        <f t="array" aca="1" ref="D55" ca="1">[1]!s_west_instnum_np($B$1,YEAR($A55),$A55,180)</f>
        <v>19</v>
      </c>
      <c r="E55" cm="1">
        <f t="array" aca="1" ref="E55" ca="1">[1]!s_west_stdnetprofit($B$1,YEAR($A55),$A55,180,1000000)</f>
        <v>38.669663999999997</v>
      </c>
      <c r="F55" cm="1">
        <f t="array" aca="1" ref="F55" ca="1">[1]!s_west_mediannetprofit($B$1,YEAR($A55),$A55,180,1000000)</f>
        <v>56</v>
      </c>
      <c r="G55" cm="1">
        <f t="array" aca="1" ref="G55" ca="1">[1]!s_west_netprofit($B$1,YEAR($A55)+1,$A55,180,1000000)</f>
        <v>83.181263000000001</v>
      </c>
      <c r="H55" cm="1">
        <f t="array" aca="1" ref="H55" ca="1">[1]!s_west_eps($B$1,YEAR($A55)+1,$A55,180)</f>
        <v>9.5200000000000007E-2</v>
      </c>
      <c r="I55" cm="1">
        <f t="array" aca="1" ref="I55" ca="1">[1]!s_west_instnum_np($B$1,YEAR($A55)+1,$A55,180)</f>
        <v>19</v>
      </c>
      <c r="J55" cm="1">
        <f t="array" aca="1" ref="J55" ca="1">[1]!s_west_stdnetprofit($B$1,YEAR($A55)+1,$A55,180,1000000)</f>
        <v>41.033203999999998</v>
      </c>
      <c r="K55" cm="1">
        <f t="array" aca="1" ref="K55" ca="1">[1]!s_west_mediannetprofit($B$1,YEAR($A54)+1,$A54,180,1000000)</f>
        <v>76</v>
      </c>
      <c r="L55" cm="1">
        <f t="array" aca="1" ref="L55" ca="1">[1]!s_dq_close($B$1,$A55,3)</f>
        <v>23.26</v>
      </c>
    </row>
    <row r="56" spans="1:12">
      <c r="A56" s="23">
        <f t="shared" ca="1" si="0"/>
        <v>46119</v>
      </c>
      <c r="B56" cm="1">
        <f t="array" aca="1" ref="B56" ca="1">[1]!s_west_netprofit($B$1,YEAR($A56),$A56,180,1000000)</f>
        <v>59.503444000000002</v>
      </c>
      <c r="C56" cm="1">
        <f t="array" aca="1" ref="C56" ca="1">[1]!s_west_eps($B$1,YEAR($A56),$A56,180)</f>
        <v>6.7699999999999996E-2</v>
      </c>
      <c r="D56" cm="1">
        <f t="array" aca="1" ref="D56" ca="1">[1]!s_west_instnum_np($B$1,YEAR($A56),$A56,180)</f>
        <v>18</v>
      </c>
      <c r="E56" cm="1">
        <f t="array" aca="1" ref="E56" ca="1">[1]!s_west_stdnetprofit($B$1,YEAR($A56),$A56,180,1000000)</f>
        <v>39.523491</v>
      </c>
      <c r="F56" cm="1">
        <f t="array" aca="1" ref="F56" ca="1">[1]!s_west_mediannetprofit($B$1,YEAR($A56),$A56,180,1000000)</f>
        <v>56.5</v>
      </c>
      <c r="G56" cm="1">
        <f t="array" aca="1" ref="G56" ca="1">[1]!s_west_netprofit($B$1,YEAR($A56)+1,$A56,180,1000000)</f>
        <v>84.524666999999994</v>
      </c>
      <c r="H56" cm="1">
        <f t="array" aca="1" ref="H56" ca="1">[1]!s_west_eps($B$1,YEAR($A56)+1,$A56,180)</f>
        <v>9.6500000000000002E-2</v>
      </c>
      <c r="I56" cm="1">
        <f t="array" aca="1" ref="I56" ca="1">[1]!s_west_instnum_np($B$1,YEAR($A56)+1,$A56,180)</f>
        <v>18</v>
      </c>
      <c r="J56" cm="1">
        <f t="array" aca="1" ref="J56" ca="1">[1]!s_west_stdnetprofit($B$1,YEAR($A56)+1,$A56,180,1000000)</f>
        <v>41.790661999999998</v>
      </c>
      <c r="K56" cm="1">
        <f t="array" aca="1" ref="K56" ca="1">[1]!s_west_mediannetprofit($B$1,YEAR($A55)+1,$A55,180,1000000)</f>
        <v>76</v>
      </c>
      <c r="L56" cm="1">
        <f t="array" aca="1" ref="L56" ca="1">[1]!s_dq_close($B$1,$A56,3)</f>
        <v>23.56</v>
      </c>
    </row>
    <row r="57" spans="1:12">
      <c r="A57" s="23">
        <f t="shared" ca="1" si="0"/>
        <v>46118</v>
      </c>
      <c r="B57" cm="1">
        <f t="array" aca="1" ref="B57" ca="1">[1]!s_west_netprofit($B$1,YEAR($A57),$A57,180,1000000)</f>
        <v>59.503444000000002</v>
      </c>
      <c r="C57" cm="1">
        <f t="array" aca="1" ref="C57" ca="1">[1]!s_west_eps($B$1,YEAR($A57),$A57,180)</f>
        <v>6.7699999999999996E-2</v>
      </c>
      <c r="D57" cm="1">
        <f t="array" aca="1" ref="D57" ca="1">[1]!s_west_instnum_np($B$1,YEAR($A57),$A57,180)</f>
        <v>18</v>
      </c>
      <c r="E57" cm="1">
        <f t="array" aca="1" ref="E57" ca="1">[1]!s_west_stdnetprofit($B$1,YEAR($A57),$A57,180,1000000)</f>
        <v>39.523491</v>
      </c>
      <c r="F57" cm="1">
        <f t="array" aca="1" ref="F57" ca="1">[1]!s_west_mediannetprofit($B$1,YEAR($A57),$A57,180,1000000)</f>
        <v>56.5</v>
      </c>
      <c r="G57" cm="1">
        <f t="array" aca="1" ref="G57" ca="1">[1]!s_west_netprofit($B$1,YEAR($A57)+1,$A57,180,1000000)</f>
        <v>84.524666999999994</v>
      </c>
      <c r="H57" cm="1">
        <f t="array" aca="1" ref="H57" ca="1">[1]!s_west_eps($B$1,YEAR($A57)+1,$A57,180)</f>
        <v>9.6500000000000002E-2</v>
      </c>
      <c r="I57" cm="1">
        <f t="array" aca="1" ref="I57" ca="1">[1]!s_west_instnum_np($B$1,YEAR($A57)+1,$A57,180)</f>
        <v>18</v>
      </c>
      <c r="J57" cm="1">
        <f t="array" aca="1" ref="J57" ca="1">[1]!s_west_stdnetprofit($B$1,YEAR($A57)+1,$A57,180,1000000)</f>
        <v>41.790661999999998</v>
      </c>
      <c r="K57" cm="1">
        <f t="array" aca="1" ref="K57" ca="1">[1]!s_west_mediannetprofit($B$1,YEAR($A56)+1,$A56,180,1000000)</f>
        <v>81.03</v>
      </c>
      <c r="L57" cm="1">
        <f t="array" aca="1" ref="L57" ca="1">[1]!s_dq_close($B$1,$A57,3)</f>
        <v>23.56</v>
      </c>
    </row>
    <row r="58" spans="1:12">
      <c r="A58" s="23">
        <f t="shared" ca="1" si="0"/>
        <v>46117</v>
      </c>
      <c r="B58" cm="1">
        <f t="array" aca="1" ref="B58" ca="1">[1]!s_west_netprofit($B$1,YEAR($A58),$A58,180,1000000)</f>
        <v>59.503444000000002</v>
      </c>
      <c r="C58" cm="1">
        <f t="array" aca="1" ref="C58" ca="1">[1]!s_west_eps($B$1,YEAR($A58),$A58,180)</f>
        <v>6.7699999999999996E-2</v>
      </c>
      <c r="D58" cm="1">
        <f t="array" aca="1" ref="D58" ca="1">[1]!s_west_instnum_np($B$1,YEAR($A58),$A58,180)</f>
        <v>18</v>
      </c>
      <c r="E58" cm="1">
        <f t="array" aca="1" ref="E58" ca="1">[1]!s_west_stdnetprofit($B$1,YEAR($A58),$A58,180,1000000)</f>
        <v>39.523491</v>
      </c>
      <c r="F58" cm="1">
        <f t="array" aca="1" ref="F58" ca="1">[1]!s_west_mediannetprofit($B$1,YEAR($A58),$A58,180,1000000)</f>
        <v>56.5</v>
      </c>
      <c r="G58" cm="1">
        <f t="array" aca="1" ref="G58" ca="1">[1]!s_west_netprofit($B$1,YEAR($A58)+1,$A58,180,1000000)</f>
        <v>84.524666999999994</v>
      </c>
      <c r="H58" cm="1">
        <f t="array" aca="1" ref="H58" ca="1">[1]!s_west_eps($B$1,YEAR($A58)+1,$A58,180)</f>
        <v>9.6500000000000002E-2</v>
      </c>
      <c r="I58" cm="1">
        <f t="array" aca="1" ref="I58" ca="1">[1]!s_west_instnum_np($B$1,YEAR($A58)+1,$A58,180)</f>
        <v>18</v>
      </c>
      <c r="J58" cm="1">
        <f t="array" aca="1" ref="J58" ca="1">[1]!s_west_stdnetprofit($B$1,YEAR($A58)+1,$A58,180,1000000)</f>
        <v>41.790661999999998</v>
      </c>
      <c r="K58" cm="1">
        <f t="array" aca="1" ref="K58" ca="1">[1]!s_west_mediannetprofit($B$1,YEAR($A57)+1,$A57,180,1000000)</f>
        <v>81.03</v>
      </c>
      <c r="L58" cm="1">
        <f t="array" aca="1" ref="L58" ca="1">[1]!s_dq_close($B$1,$A58,3)</f>
        <v>23.56</v>
      </c>
    </row>
    <row r="59" spans="1:12">
      <c r="A59" s="23">
        <f t="shared" ca="1" si="0"/>
        <v>46116</v>
      </c>
      <c r="B59" cm="1">
        <f t="array" aca="1" ref="B59" ca="1">[1]!s_west_netprofit($B$1,YEAR($A59),$A59,180,1000000)</f>
        <v>59.503444000000002</v>
      </c>
      <c r="C59" cm="1">
        <f t="array" aca="1" ref="C59" ca="1">[1]!s_west_eps($B$1,YEAR($A59),$A59,180)</f>
        <v>6.7699999999999996E-2</v>
      </c>
      <c r="D59" cm="1">
        <f t="array" aca="1" ref="D59" ca="1">[1]!s_west_instnum_np($B$1,YEAR($A59),$A59,180)</f>
        <v>18</v>
      </c>
      <c r="E59" cm="1">
        <f t="array" aca="1" ref="E59" ca="1">[1]!s_west_stdnetprofit($B$1,YEAR($A59),$A59,180,1000000)</f>
        <v>39.523491</v>
      </c>
      <c r="F59" cm="1">
        <f t="array" aca="1" ref="F59" ca="1">[1]!s_west_mediannetprofit($B$1,YEAR($A59),$A59,180,1000000)</f>
        <v>56.5</v>
      </c>
      <c r="G59" cm="1">
        <f t="array" aca="1" ref="G59" ca="1">[1]!s_west_netprofit($B$1,YEAR($A59)+1,$A59,180,1000000)</f>
        <v>84.524666999999994</v>
      </c>
      <c r="H59" cm="1">
        <f t="array" aca="1" ref="H59" ca="1">[1]!s_west_eps($B$1,YEAR($A59)+1,$A59,180)</f>
        <v>9.6500000000000002E-2</v>
      </c>
      <c r="I59" cm="1">
        <f t="array" aca="1" ref="I59" ca="1">[1]!s_west_instnum_np($B$1,YEAR($A59)+1,$A59,180)</f>
        <v>18</v>
      </c>
      <c r="J59" cm="1">
        <f t="array" aca="1" ref="J59" ca="1">[1]!s_west_stdnetprofit($B$1,YEAR($A59)+1,$A59,180,1000000)</f>
        <v>41.790661999999998</v>
      </c>
      <c r="K59" cm="1">
        <f t="array" aca="1" ref="K59" ca="1">[1]!s_west_mediannetprofit($B$1,YEAR($A58)+1,$A58,180,1000000)</f>
        <v>81.03</v>
      </c>
      <c r="L59" cm="1">
        <f t="array" aca="1" ref="L59" ca="1">[1]!s_dq_close($B$1,$A59,3)</f>
        <v>23.56</v>
      </c>
    </row>
    <row r="60" spans="1:12">
      <c r="A60" s="23">
        <f t="shared" ca="1" si="0"/>
        <v>46115</v>
      </c>
      <c r="B60" cm="1">
        <f t="array" aca="1" ref="B60" ca="1">[1]!s_west_netprofit($B$1,YEAR($A60),$A60,180,1000000)</f>
        <v>59.503444000000002</v>
      </c>
      <c r="C60" cm="1">
        <f t="array" aca="1" ref="C60" ca="1">[1]!s_west_eps($B$1,YEAR($A60),$A60,180)</f>
        <v>6.7699999999999996E-2</v>
      </c>
      <c r="D60" cm="1">
        <f t="array" aca="1" ref="D60" ca="1">[1]!s_west_instnum_np($B$1,YEAR($A60),$A60,180)</f>
        <v>18</v>
      </c>
      <c r="E60" cm="1">
        <f t="array" aca="1" ref="E60" ca="1">[1]!s_west_stdnetprofit($B$1,YEAR($A60),$A60,180,1000000)</f>
        <v>39.523491</v>
      </c>
      <c r="F60" cm="1">
        <f t="array" aca="1" ref="F60" ca="1">[1]!s_west_mediannetprofit($B$1,YEAR($A60),$A60,180,1000000)</f>
        <v>56.5</v>
      </c>
      <c r="G60" cm="1">
        <f t="array" aca="1" ref="G60" ca="1">[1]!s_west_netprofit($B$1,YEAR($A60)+1,$A60,180,1000000)</f>
        <v>84.524666999999994</v>
      </c>
      <c r="H60" cm="1">
        <f t="array" aca="1" ref="H60" ca="1">[1]!s_west_eps($B$1,YEAR($A60)+1,$A60,180)</f>
        <v>9.6500000000000002E-2</v>
      </c>
      <c r="I60" cm="1">
        <f t="array" aca="1" ref="I60" ca="1">[1]!s_west_instnum_np($B$1,YEAR($A60)+1,$A60,180)</f>
        <v>18</v>
      </c>
      <c r="J60" cm="1">
        <f t="array" aca="1" ref="J60" ca="1">[1]!s_west_stdnetprofit($B$1,YEAR($A60)+1,$A60,180,1000000)</f>
        <v>41.790661999999998</v>
      </c>
      <c r="K60" cm="1">
        <f t="array" aca="1" ref="K60" ca="1">[1]!s_west_mediannetprofit($B$1,YEAR($A59)+1,$A59,180,1000000)</f>
        <v>81.03</v>
      </c>
      <c r="L60" cm="1">
        <f t="array" aca="1" ref="L60" ca="1">[1]!s_dq_close($B$1,$A60,3)</f>
        <v>23.56</v>
      </c>
    </row>
    <row r="61" spans="1:12">
      <c r="A61" s="23">
        <f t="shared" ca="1" si="0"/>
        <v>46114</v>
      </c>
      <c r="B61" cm="1">
        <f t="array" aca="1" ref="B61" ca="1">[1]!s_west_netprofit($B$1,YEAR($A61),$A61,180,1000000)</f>
        <v>59.503444000000002</v>
      </c>
      <c r="C61" cm="1">
        <f t="array" aca="1" ref="C61" ca="1">[1]!s_west_eps($B$1,YEAR($A61),$A61,180)</f>
        <v>6.7699999999999996E-2</v>
      </c>
      <c r="D61" cm="1">
        <f t="array" aca="1" ref="D61" ca="1">[1]!s_west_instnum_np($B$1,YEAR($A61),$A61,180)</f>
        <v>18</v>
      </c>
      <c r="E61" cm="1">
        <f t="array" aca="1" ref="E61" ca="1">[1]!s_west_stdnetprofit($B$1,YEAR($A61),$A61,180,1000000)</f>
        <v>39.523491</v>
      </c>
      <c r="F61" cm="1">
        <f t="array" aca="1" ref="F61" ca="1">[1]!s_west_mediannetprofit($B$1,YEAR($A61),$A61,180,1000000)</f>
        <v>56.5</v>
      </c>
      <c r="G61" cm="1">
        <f t="array" aca="1" ref="G61" ca="1">[1]!s_west_netprofit($B$1,YEAR($A61)+1,$A61,180,1000000)</f>
        <v>84.524666999999994</v>
      </c>
      <c r="H61" cm="1">
        <f t="array" aca="1" ref="H61" ca="1">[1]!s_west_eps($B$1,YEAR($A61)+1,$A61,180)</f>
        <v>9.6500000000000002E-2</v>
      </c>
      <c r="I61" cm="1">
        <f t="array" aca="1" ref="I61" ca="1">[1]!s_west_instnum_np($B$1,YEAR($A61)+1,$A61,180)</f>
        <v>18</v>
      </c>
      <c r="J61" cm="1">
        <f t="array" aca="1" ref="J61" ca="1">[1]!s_west_stdnetprofit($B$1,YEAR($A61)+1,$A61,180,1000000)</f>
        <v>41.790661999999998</v>
      </c>
      <c r="K61" cm="1">
        <f t="array" aca="1" ref="K61" ca="1">[1]!s_west_mediannetprofit($B$1,YEAR($A60)+1,$A60,180,1000000)</f>
        <v>81.03</v>
      </c>
      <c r="L61" cm="1">
        <f t="array" aca="1" ref="L61" ca="1">[1]!s_dq_close($B$1,$A61,3)</f>
        <v>23.56</v>
      </c>
    </row>
    <row r="62" spans="1:12">
      <c r="A62" s="23">
        <f t="shared" ca="1" si="0"/>
        <v>46113</v>
      </c>
      <c r="B62" cm="1">
        <f t="array" aca="1" ref="B62" ca="1">[1]!s_west_netprofit($B$1,YEAR($A62),$A62,180,1000000)</f>
        <v>59.503444000000002</v>
      </c>
      <c r="C62" cm="1">
        <f t="array" aca="1" ref="C62" ca="1">[1]!s_west_eps($B$1,YEAR($A62),$A62,180)</f>
        <v>6.7699999999999996E-2</v>
      </c>
      <c r="D62" cm="1">
        <f t="array" aca="1" ref="D62" ca="1">[1]!s_west_instnum_np($B$1,YEAR($A62),$A62,180)</f>
        <v>18</v>
      </c>
      <c r="E62" cm="1">
        <f t="array" aca="1" ref="E62" ca="1">[1]!s_west_stdnetprofit($B$1,YEAR($A62),$A62,180,1000000)</f>
        <v>39.523491</v>
      </c>
      <c r="F62" cm="1">
        <f t="array" aca="1" ref="F62" ca="1">[1]!s_west_mediannetprofit($B$1,YEAR($A62),$A62,180,1000000)</f>
        <v>56.5</v>
      </c>
      <c r="G62" cm="1">
        <f t="array" aca="1" ref="G62" ca="1">[1]!s_west_netprofit($B$1,YEAR($A62)+1,$A62,180,1000000)</f>
        <v>84.524666999999994</v>
      </c>
      <c r="H62" cm="1">
        <f t="array" aca="1" ref="H62" ca="1">[1]!s_west_eps($B$1,YEAR($A62)+1,$A62,180)</f>
        <v>9.6500000000000002E-2</v>
      </c>
      <c r="I62" cm="1">
        <f t="array" aca="1" ref="I62" ca="1">[1]!s_west_instnum_np($B$1,YEAR($A62)+1,$A62,180)</f>
        <v>18</v>
      </c>
      <c r="J62" cm="1">
        <f t="array" aca="1" ref="J62" ca="1">[1]!s_west_stdnetprofit($B$1,YEAR($A62)+1,$A62,180,1000000)</f>
        <v>41.790661999999998</v>
      </c>
      <c r="K62" cm="1">
        <f t="array" aca="1" ref="K62" ca="1">[1]!s_west_mediannetprofit($B$1,YEAR($A61)+1,$A61,180,1000000)</f>
        <v>81.03</v>
      </c>
      <c r="L62" cm="1">
        <f t="array" aca="1" ref="L62" ca="1">[1]!s_dq_close($B$1,$A62,3)</f>
        <v>23.88</v>
      </c>
    </row>
    <row r="63" spans="1:12">
      <c r="A63" s="23">
        <f t="shared" ca="1" si="0"/>
        <v>46112</v>
      </c>
      <c r="B63" cm="1">
        <f t="array" aca="1" ref="B63" ca="1">[1]!s_west_netprofit($B$1,YEAR($A63),$A63,180,1000000)</f>
        <v>59.503444000000002</v>
      </c>
      <c r="C63" cm="1">
        <f t="array" aca="1" ref="C63" ca="1">[1]!s_west_eps($B$1,YEAR($A63),$A63,180)</f>
        <v>6.7699999999999996E-2</v>
      </c>
      <c r="D63" cm="1">
        <f t="array" aca="1" ref="D63" ca="1">[1]!s_west_instnum_np($B$1,YEAR($A63),$A63,180)</f>
        <v>18</v>
      </c>
      <c r="E63" cm="1">
        <f t="array" aca="1" ref="E63" ca="1">[1]!s_west_stdnetprofit($B$1,YEAR($A63),$A63,180,1000000)</f>
        <v>39.523491</v>
      </c>
      <c r="F63" cm="1">
        <f t="array" aca="1" ref="F63" ca="1">[1]!s_west_mediannetprofit($B$1,YEAR($A63),$A63,180,1000000)</f>
        <v>56.5</v>
      </c>
      <c r="G63" cm="1">
        <f t="array" aca="1" ref="G63" ca="1">[1]!s_west_netprofit($B$1,YEAR($A63)+1,$A63,180,1000000)</f>
        <v>84.524666999999994</v>
      </c>
      <c r="H63" cm="1">
        <f t="array" aca="1" ref="H63" ca="1">[1]!s_west_eps($B$1,YEAR($A63)+1,$A63,180)</f>
        <v>9.6500000000000002E-2</v>
      </c>
      <c r="I63" cm="1">
        <f t="array" aca="1" ref="I63" ca="1">[1]!s_west_instnum_np($B$1,YEAR($A63)+1,$A63,180)</f>
        <v>18</v>
      </c>
      <c r="J63" cm="1">
        <f t="array" aca="1" ref="J63" ca="1">[1]!s_west_stdnetprofit($B$1,YEAR($A63)+1,$A63,180,1000000)</f>
        <v>41.790661999999998</v>
      </c>
      <c r="K63" cm="1">
        <f t="array" aca="1" ref="K63" ca="1">[1]!s_west_mediannetprofit($B$1,YEAR($A62)+1,$A62,180,1000000)</f>
        <v>81.03</v>
      </c>
      <c r="L63" cm="1">
        <f t="array" aca="1" ref="L63" ca="1">[1]!s_dq_close($B$1,$A63,3)</f>
        <v>22.68</v>
      </c>
    </row>
    <row r="64" spans="1:12">
      <c r="A64" s="23">
        <f t="shared" ca="1" si="0"/>
        <v>46111</v>
      </c>
      <c r="B64" cm="1">
        <f t="array" aca="1" ref="B64" ca="1">[1]!s_west_netprofit($B$1,YEAR($A64),$A64,180,1000000)</f>
        <v>59.503444000000002</v>
      </c>
      <c r="C64" cm="1">
        <f t="array" aca="1" ref="C64" ca="1">[1]!s_west_eps($B$1,YEAR($A64),$A64,180)</f>
        <v>6.7699999999999996E-2</v>
      </c>
      <c r="D64" cm="1">
        <f t="array" aca="1" ref="D64" ca="1">[1]!s_west_instnum_np($B$1,YEAR($A64),$A64,180)</f>
        <v>18</v>
      </c>
      <c r="E64" cm="1">
        <f t="array" aca="1" ref="E64" ca="1">[1]!s_west_stdnetprofit($B$1,YEAR($A64),$A64,180,1000000)</f>
        <v>39.523491</v>
      </c>
      <c r="F64" cm="1">
        <f t="array" aca="1" ref="F64" ca="1">[1]!s_west_mediannetprofit($B$1,YEAR($A64),$A64,180,1000000)</f>
        <v>56.5</v>
      </c>
      <c r="G64" cm="1">
        <f t="array" aca="1" ref="G64" ca="1">[1]!s_west_netprofit($B$1,YEAR($A64)+1,$A64,180,1000000)</f>
        <v>84.524666999999994</v>
      </c>
      <c r="H64" cm="1">
        <f t="array" aca="1" ref="H64" ca="1">[1]!s_west_eps($B$1,YEAR($A64)+1,$A64,180)</f>
        <v>9.6500000000000002E-2</v>
      </c>
      <c r="I64" cm="1">
        <f t="array" aca="1" ref="I64" ca="1">[1]!s_west_instnum_np($B$1,YEAR($A64)+1,$A64,180)</f>
        <v>18</v>
      </c>
      <c r="J64" cm="1">
        <f t="array" aca="1" ref="J64" ca="1">[1]!s_west_stdnetprofit($B$1,YEAR($A64)+1,$A64,180,1000000)</f>
        <v>41.790661999999998</v>
      </c>
      <c r="K64" cm="1">
        <f t="array" aca="1" ref="K64" ca="1">[1]!s_west_mediannetprofit($B$1,YEAR($A63)+1,$A63,180,1000000)</f>
        <v>81.03</v>
      </c>
      <c r="L64" cm="1">
        <f t="array" aca="1" ref="L64" ca="1">[1]!s_dq_close($B$1,$A64,3)</f>
        <v>22.96</v>
      </c>
    </row>
    <row r="65" spans="1:12">
      <c r="A65" s="23">
        <f t="shared" ca="1" si="0"/>
        <v>46110</v>
      </c>
      <c r="B65" cm="1">
        <f t="array" aca="1" ref="B65" ca="1">[1]!s_west_netprofit($B$1,YEAR($A65),$A65,180,1000000)</f>
        <v>59.503444000000002</v>
      </c>
      <c r="C65" cm="1">
        <f t="array" aca="1" ref="C65" ca="1">[1]!s_west_eps($B$1,YEAR($A65),$A65,180)</f>
        <v>6.7699999999999996E-2</v>
      </c>
      <c r="D65" cm="1">
        <f t="array" aca="1" ref="D65" ca="1">[1]!s_west_instnum_np($B$1,YEAR($A65),$A65,180)</f>
        <v>18</v>
      </c>
      <c r="E65" cm="1">
        <f t="array" aca="1" ref="E65" ca="1">[1]!s_west_stdnetprofit($B$1,YEAR($A65),$A65,180,1000000)</f>
        <v>39.523491</v>
      </c>
      <c r="F65" cm="1">
        <f t="array" aca="1" ref="F65" ca="1">[1]!s_west_mediannetprofit($B$1,YEAR($A65),$A65,180,1000000)</f>
        <v>56.5</v>
      </c>
      <c r="G65" cm="1">
        <f t="array" aca="1" ref="G65" ca="1">[1]!s_west_netprofit($B$1,YEAR($A65)+1,$A65,180,1000000)</f>
        <v>84.524666999999994</v>
      </c>
      <c r="H65" cm="1">
        <f t="array" aca="1" ref="H65" ca="1">[1]!s_west_eps($B$1,YEAR($A65)+1,$A65,180)</f>
        <v>9.6500000000000002E-2</v>
      </c>
      <c r="I65" cm="1">
        <f t="array" aca="1" ref="I65" ca="1">[1]!s_west_instnum_np($B$1,YEAR($A65)+1,$A65,180)</f>
        <v>18</v>
      </c>
      <c r="J65" cm="1">
        <f t="array" aca="1" ref="J65" ca="1">[1]!s_west_stdnetprofit($B$1,YEAR($A65)+1,$A65,180,1000000)</f>
        <v>41.790661999999998</v>
      </c>
      <c r="K65" cm="1">
        <f t="array" aca="1" ref="K65" ca="1">[1]!s_west_mediannetprofit($B$1,YEAR($A64)+1,$A64,180,1000000)</f>
        <v>81.03</v>
      </c>
      <c r="L65" cm="1">
        <f t="array" aca="1" ref="L65" ca="1">[1]!s_dq_close($B$1,$A65,3)</f>
        <v>21.88</v>
      </c>
    </row>
    <row r="66" spans="1:12">
      <c r="A66" s="23">
        <f t="shared" ca="1" si="0"/>
        <v>46109</v>
      </c>
      <c r="B66" cm="1">
        <f t="array" aca="1" ref="B66" ca="1">[1]!s_west_netprofit($B$1,YEAR($A66),$A66,180,1000000)</f>
        <v>61.259529000000001</v>
      </c>
      <c r="C66" cm="1">
        <f t="array" aca="1" ref="C66" ca="1">[1]!s_west_eps($B$1,YEAR($A66),$A66,180)</f>
        <v>6.93E-2</v>
      </c>
      <c r="D66" cm="1">
        <f t="array" aca="1" ref="D66" ca="1">[1]!s_west_instnum_np($B$1,YEAR($A66),$A66,180)</f>
        <v>17</v>
      </c>
      <c r="E66" cm="1">
        <f t="array" aca="1" ref="E66" ca="1">[1]!s_west_stdnetprofit($B$1,YEAR($A66),$A66,180,1000000)</f>
        <v>41.379294999999999</v>
      </c>
      <c r="F66" cm="1">
        <f t="array" aca="1" ref="F66" ca="1">[1]!s_west_mediannetprofit($B$1,YEAR($A66),$A66,180,1000000)</f>
        <v>56</v>
      </c>
      <c r="G66" cm="1">
        <f t="array" aca="1" ref="G66" ca="1">[1]!s_west_netprofit($B$1,YEAR($A66)+1,$A66,180,1000000)</f>
        <v>87.528470999999996</v>
      </c>
      <c r="H66" cm="1">
        <f t="array" aca="1" ref="H66" ca="1">[1]!s_west_eps($B$1,YEAR($A66)+1,$A66,180)</f>
        <v>9.9900000000000003E-2</v>
      </c>
      <c r="I66" cm="1">
        <f t="array" aca="1" ref="I66" ca="1">[1]!s_west_instnum_np($B$1,YEAR($A66)+1,$A66,180)</f>
        <v>17</v>
      </c>
      <c r="J66" cm="1">
        <f t="array" aca="1" ref="J66" ca="1">[1]!s_west_stdnetprofit($B$1,YEAR($A66)+1,$A66,180,1000000)</f>
        <v>45.329923000000001</v>
      </c>
      <c r="K66" cm="1">
        <f t="array" aca="1" ref="K66" ca="1">[1]!s_west_mediannetprofit($B$1,YEAR($A65)+1,$A65,180,1000000)</f>
        <v>81.03</v>
      </c>
      <c r="L66" cm="1">
        <f t="array" aca="1" ref="L66" ca="1">[1]!s_dq_close($B$1,$A66,3)</f>
        <v>21.88</v>
      </c>
    </row>
    <row r="67" spans="1:12">
      <c r="A67" s="23">
        <f t="shared" ca="1" si="0"/>
        <v>46108</v>
      </c>
      <c r="B67" cm="1">
        <f t="array" aca="1" ref="B67" ca="1">[1]!s_west_netprofit($B$1,YEAR($A67),$A67,180,1000000)</f>
        <v>61.259529000000001</v>
      </c>
      <c r="C67" cm="1">
        <f t="array" aca="1" ref="C67" ca="1">[1]!s_west_eps($B$1,YEAR($A67),$A67,180)</f>
        <v>6.93E-2</v>
      </c>
      <c r="D67" cm="1">
        <f t="array" aca="1" ref="D67" ca="1">[1]!s_west_instnum_np($B$1,YEAR($A67),$A67,180)</f>
        <v>17</v>
      </c>
      <c r="E67" cm="1">
        <f t="array" aca="1" ref="E67" ca="1">[1]!s_west_stdnetprofit($B$1,YEAR($A67),$A67,180,1000000)</f>
        <v>41.379294999999999</v>
      </c>
      <c r="F67" cm="1">
        <f t="array" aca="1" ref="F67" ca="1">[1]!s_west_mediannetprofit($B$1,YEAR($A67),$A67,180,1000000)</f>
        <v>56</v>
      </c>
      <c r="G67" cm="1">
        <f t="array" aca="1" ref="G67" ca="1">[1]!s_west_netprofit($B$1,YEAR($A67)+1,$A67,180,1000000)</f>
        <v>87.528470999999996</v>
      </c>
      <c r="H67" cm="1">
        <f t="array" aca="1" ref="H67" ca="1">[1]!s_west_eps($B$1,YEAR($A67)+1,$A67,180)</f>
        <v>9.9900000000000003E-2</v>
      </c>
      <c r="I67" cm="1">
        <f t="array" aca="1" ref="I67" ca="1">[1]!s_west_instnum_np($B$1,YEAR($A67)+1,$A67,180)</f>
        <v>17</v>
      </c>
      <c r="J67" cm="1">
        <f t="array" aca="1" ref="J67" ca="1">[1]!s_west_stdnetprofit($B$1,YEAR($A67)+1,$A67,180,1000000)</f>
        <v>45.329923000000001</v>
      </c>
      <c r="K67" cm="1">
        <f t="array" aca="1" ref="K67" ca="1">[1]!s_west_mediannetprofit($B$1,YEAR($A66)+1,$A66,180,1000000)</f>
        <v>76</v>
      </c>
      <c r="L67" cm="1">
        <f t="array" aca="1" ref="L67" ca="1">[1]!s_dq_close($B$1,$A67,3)</f>
        <v>21.88</v>
      </c>
    </row>
    <row r="68" spans="1:12">
      <c r="A68" s="23">
        <f t="shared" ca="1" si="0"/>
        <v>46107</v>
      </c>
      <c r="B68" cm="1">
        <f t="array" aca="1" ref="B68" ca="1">[1]!s_west_netprofit($B$1,YEAR($A68),$A68,180,1000000)</f>
        <v>61.259529000000001</v>
      </c>
      <c r="C68" cm="1">
        <f t="array" aca="1" ref="C68" ca="1">[1]!s_west_eps($B$1,YEAR($A68),$A68,180)</f>
        <v>6.93E-2</v>
      </c>
      <c r="D68" cm="1">
        <f t="array" aca="1" ref="D68" ca="1">[1]!s_west_instnum_np($B$1,YEAR($A68),$A68,180)</f>
        <v>17</v>
      </c>
      <c r="E68" cm="1">
        <f t="array" aca="1" ref="E68" ca="1">[1]!s_west_stdnetprofit($B$1,YEAR($A68),$A68,180,1000000)</f>
        <v>41.379294999999999</v>
      </c>
      <c r="F68" cm="1">
        <f t="array" aca="1" ref="F68" ca="1">[1]!s_west_mediannetprofit($B$1,YEAR($A68),$A68,180,1000000)</f>
        <v>56</v>
      </c>
      <c r="G68" cm="1">
        <f t="array" aca="1" ref="G68" ca="1">[1]!s_west_netprofit($B$1,YEAR($A68)+1,$A68,180,1000000)</f>
        <v>87.528470999999996</v>
      </c>
      <c r="H68" cm="1">
        <f t="array" aca="1" ref="H68" ca="1">[1]!s_west_eps($B$1,YEAR($A68)+1,$A68,180)</f>
        <v>9.9900000000000003E-2</v>
      </c>
      <c r="I68" cm="1">
        <f t="array" aca="1" ref="I68" ca="1">[1]!s_west_instnum_np($B$1,YEAR($A68)+1,$A68,180)</f>
        <v>17</v>
      </c>
      <c r="J68" cm="1">
        <f t="array" aca="1" ref="J68" ca="1">[1]!s_west_stdnetprofit($B$1,YEAR($A68)+1,$A68,180,1000000)</f>
        <v>45.329923000000001</v>
      </c>
      <c r="K68" cm="1">
        <f t="array" aca="1" ref="K68" ca="1">[1]!s_west_mediannetprofit($B$1,YEAR($A67)+1,$A67,180,1000000)</f>
        <v>76</v>
      </c>
      <c r="L68" cm="1">
        <f t="array" aca="1" ref="L68" ca="1">[1]!s_dq_close($B$1,$A68,3)</f>
        <v>21.52</v>
      </c>
    </row>
    <row r="69" spans="1:12">
      <c r="A69" s="23">
        <f t="shared" ca="1" si="0"/>
        <v>46106</v>
      </c>
      <c r="B69" cm="1">
        <f t="array" aca="1" ref="B69" ca="1">[1]!s_west_netprofit($B$1,YEAR($A69),$A69,180,1000000)</f>
        <v>61.259529000000001</v>
      </c>
      <c r="C69" cm="1">
        <f t="array" aca="1" ref="C69" ca="1">[1]!s_west_eps($B$1,YEAR($A69),$A69,180)</f>
        <v>6.93E-2</v>
      </c>
      <c r="D69" cm="1">
        <f t="array" aca="1" ref="D69" ca="1">[1]!s_west_instnum_np($B$1,YEAR($A69),$A69,180)</f>
        <v>17</v>
      </c>
      <c r="E69" cm="1">
        <f t="array" aca="1" ref="E69" ca="1">[1]!s_west_stdnetprofit($B$1,YEAR($A69),$A69,180,1000000)</f>
        <v>41.379294999999999</v>
      </c>
      <c r="F69" cm="1">
        <f t="array" aca="1" ref="F69" ca="1">[1]!s_west_mediannetprofit($B$1,YEAR($A69),$A69,180,1000000)</f>
        <v>56</v>
      </c>
      <c r="G69" cm="1">
        <f t="array" aca="1" ref="G69" ca="1">[1]!s_west_netprofit($B$1,YEAR($A69)+1,$A69,180,1000000)</f>
        <v>87.528470999999996</v>
      </c>
      <c r="H69" cm="1">
        <f t="array" aca="1" ref="H69" ca="1">[1]!s_west_eps($B$1,YEAR($A69)+1,$A69,180)</f>
        <v>9.9900000000000003E-2</v>
      </c>
      <c r="I69" cm="1">
        <f t="array" aca="1" ref="I69" ca="1">[1]!s_west_instnum_np($B$1,YEAR($A69)+1,$A69,180)</f>
        <v>17</v>
      </c>
      <c r="J69" cm="1">
        <f t="array" aca="1" ref="J69" ca="1">[1]!s_west_stdnetprofit($B$1,YEAR($A69)+1,$A69,180,1000000)</f>
        <v>45.329923000000001</v>
      </c>
      <c r="K69" cm="1">
        <f t="array" aca="1" ref="K69" ca="1">[1]!s_west_mediannetprofit($B$1,YEAR($A68)+1,$A68,180,1000000)</f>
        <v>76</v>
      </c>
      <c r="L69" cm="1">
        <f t="array" aca="1" ref="L69" ca="1">[1]!s_dq_close($B$1,$A69,3)</f>
        <v>22</v>
      </c>
    </row>
    <row r="70" spans="1:12">
      <c r="A70" s="23">
        <f t="shared" ca="1" si="0"/>
        <v>46105</v>
      </c>
      <c r="B70" cm="1">
        <f t="array" aca="1" ref="B70" ca="1">[1]!s_west_netprofit($B$1,YEAR($A70),$A70,180,1000000)</f>
        <v>63.412624999999998</v>
      </c>
      <c r="C70" cm="1">
        <f t="array" aca="1" ref="C70" ca="1">[1]!s_west_eps($B$1,YEAR($A70),$A70,180)</f>
        <v>7.17E-2</v>
      </c>
      <c r="D70" cm="1">
        <f t="array" aca="1" ref="D70" ca="1">[1]!s_west_instnum_np($B$1,YEAR($A70),$A70,180)</f>
        <v>16</v>
      </c>
      <c r="E70" cm="1">
        <f t="array" aca="1" ref="E70" ca="1">[1]!s_west_stdnetprofit($B$1,YEAR($A70),$A70,180,1000000)</f>
        <v>41.741261000000002</v>
      </c>
      <c r="F70" cm="1">
        <f t="array" aca="1" ref="F70" ca="1">[1]!s_west_mediannetprofit($B$1,YEAR($A70),$A70,180,1000000)</f>
        <v>56.5</v>
      </c>
      <c r="G70" cm="1">
        <f t="array" aca="1" ref="G70" ca="1">[1]!s_west_netprofit($B$1,YEAR($A70)+1,$A70,180,1000000)</f>
        <v>89.072125</v>
      </c>
      <c r="H70" cm="1">
        <f t="array" aca="1" ref="H70" ca="1">[1]!s_west_eps($B$1,YEAR($A70)+1,$A70,180)</f>
        <v>0.1016</v>
      </c>
      <c r="I70" cm="1">
        <f t="array" aca="1" ref="I70" ca="1">[1]!s_west_instnum_np($B$1,YEAR($A70)+1,$A70,180)</f>
        <v>16</v>
      </c>
      <c r="J70" cm="1">
        <f t="array" aca="1" ref="J70" ca="1">[1]!s_west_stdnetprofit($B$1,YEAR($A70)+1,$A70,180,1000000)</f>
        <v>46.352770999999997</v>
      </c>
      <c r="K70" cm="1">
        <f t="array" aca="1" ref="K70" ca="1">[1]!s_west_mediannetprofit($B$1,YEAR($A69)+1,$A69,180,1000000)</f>
        <v>76</v>
      </c>
      <c r="L70" cm="1">
        <f t="array" aca="1" ref="L70" ca="1">[1]!s_dq_close($B$1,$A70,3)</f>
        <v>21.82</v>
      </c>
    </row>
    <row r="71" spans="1:12">
      <c r="A71" s="23">
        <f t="shared" ca="1" si="0"/>
        <v>46104</v>
      </c>
      <c r="B71" cm="1">
        <f t="array" aca="1" ref="B71" ca="1">[1]!s_west_netprofit($B$1,YEAR($A71),$A71,180,1000000)</f>
        <v>61.306800000000003</v>
      </c>
      <c r="C71" cm="1">
        <f t="array" aca="1" ref="C71" ca="1">[1]!s_west_eps($B$1,YEAR($A71),$A71,180)</f>
        <v>6.93E-2</v>
      </c>
      <c r="D71" cm="1">
        <f t="array" aca="1" ref="D71" ca="1">[1]!s_west_instnum_np($B$1,YEAR($A71),$A71,180)</f>
        <v>15</v>
      </c>
      <c r="E71" cm="1">
        <f t="array" aca="1" ref="E71" ca="1">[1]!s_west_stdnetprofit($B$1,YEAR($A71),$A71,180,1000000)</f>
        <v>42.317433999999999</v>
      </c>
      <c r="F71" cm="1">
        <f t="array" aca="1" ref="F71" ca="1">[1]!s_west_mediannetprofit($B$1,YEAR($A71),$A71,180,1000000)</f>
        <v>56</v>
      </c>
      <c r="G71" cm="1">
        <f t="array" aca="1" ref="G71" ca="1">[1]!s_west_netprofit($B$1,YEAR($A71)+1,$A71,180,1000000)</f>
        <v>87.343599999999995</v>
      </c>
      <c r="H71" cm="1">
        <f t="array" aca="1" ref="H71" ca="1">[1]!s_west_eps($B$1,YEAR($A71)+1,$A71,180)</f>
        <v>9.9599999999999994E-2</v>
      </c>
      <c r="I71" cm="1">
        <f t="array" aca="1" ref="I71" ca="1">[1]!s_west_instnum_np($B$1,YEAR($A71)+1,$A71,180)</f>
        <v>15</v>
      </c>
      <c r="J71" cm="1">
        <f t="array" aca="1" ref="J71" ca="1">[1]!s_west_stdnetprofit($B$1,YEAR($A71)+1,$A71,180,1000000)</f>
        <v>47.442912</v>
      </c>
      <c r="K71" cm="1">
        <f t="array" aca="1" ref="K71" ca="1">[1]!s_west_mediannetprofit($B$1,YEAR($A70)+1,$A70,180,1000000)</f>
        <v>82.5</v>
      </c>
      <c r="L71" cm="1">
        <f t="array" aca="1" ref="L71" ca="1">[1]!s_dq_close($B$1,$A71,3)</f>
        <v>21.7</v>
      </c>
    </row>
    <row r="72" spans="1:12">
      <c r="A72" s="23">
        <f t="shared" ca="1" si="0"/>
        <v>46103</v>
      </c>
      <c r="B72" cm="1">
        <f t="array" aca="1" ref="B72" ca="1">[1]!s_west_netprofit($B$1,YEAR($A72),$A72,180,1000000)</f>
        <v>61.614429000000001</v>
      </c>
      <c r="C72" cm="1">
        <f t="array" aca="1" ref="C72" ca="1">[1]!s_west_eps($B$1,YEAR($A72),$A72,180)</f>
        <v>6.9199999999999998E-2</v>
      </c>
      <c r="D72" cm="1">
        <f t="array" aca="1" ref="D72" ca="1">[1]!s_west_instnum_np($B$1,YEAR($A72),$A72,180)</f>
        <v>14</v>
      </c>
      <c r="E72" cm="1">
        <f t="array" aca="1" ref="E72" ca="1">[1]!s_west_stdnetprofit($B$1,YEAR($A72),$A72,180,1000000)</f>
        <v>43.897468000000003</v>
      </c>
      <c r="F72" cm="1">
        <f t="array" aca="1" ref="F72" ca="1">[1]!s_west_mediannetprofit($B$1,YEAR($A72),$A72,180,1000000)</f>
        <v>55.5</v>
      </c>
      <c r="G72" cm="1">
        <f t="array" aca="1" ref="G72" ca="1">[1]!s_west_netprofit($B$1,YEAR($A72)+1,$A72,180,1000000)</f>
        <v>88.653857000000002</v>
      </c>
      <c r="H72" cm="1">
        <f t="array" aca="1" ref="H72" ca="1">[1]!s_west_eps($B$1,YEAR($A72)+1,$A72,180)</f>
        <v>0.10100000000000001</v>
      </c>
      <c r="I72" cm="1">
        <f t="array" aca="1" ref="I72" ca="1">[1]!s_west_instnum_np($B$1,YEAR($A72)+1,$A72,180)</f>
        <v>14</v>
      </c>
      <c r="J72" cm="1">
        <f t="array" aca="1" ref="J72" ca="1">[1]!s_west_stdnetprofit($B$1,YEAR($A72)+1,$A72,180,1000000)</f>
        <v>48.951385999999999</v>
      </c>
      <c r="K72" cm="1">
        <f t="array" aca="1" ref="K72" ca="1">[1]!s_west_mediannetprofit($B$1,YEAR($A71)+1,$A71,180,1000000)</f>
        <v>76</v>
      </c>
      <c r="L72" cm="1">
        <f t="array" aca="1" ref="L72" ca="1">[1]!s_dq_close($B$1,$A72,3)</f>
        <v>21.98</v>
      </c>
    </row>
    <row r="73" spans="1:12">
      <c r="A73" s="23">
        <f t="shared" ca="1" si="0"/>
        <v>46102</v>
      </c>
      <c r="B73" cm="1">
        <f t="array" aca="1" ref="B73" ca="1">[1]!s_west_netprofit($B$1,YEAR($A73),$A73,180,1000000)</f>
        <v>61.614429000000001</v>
      </c>
      <c r="C73" cm="1">
        <f t="array" aca="1" ref="C73" ca="1">[1]!s_west_eps($B$1,YEAR($A73),$A73,180)</f>
        <v>6.9199999999999998E-2</v>
      </c>
      <c r="D73" cm="1">
        <f t="array" aca="1" ref="D73" ca="1">[1]!s_west_instnum_np($B$1,YEAR($A73),$A73,180)</f>
        <v>14</v>
      </c>
      <c r="E73" cm="1">
        <f t="array" aca="1" ref="E73" ca="1">[1]!s_west_stdnetprofit($B$1,YEAR($A73),$A73,180,1000000)</f>
        <v>43.897468000000003</v>
      </c>
      <c r="F73" cm="1">
        <f t="array" aca="1" ref="F73" ca="1">[1]!s_west_mediannetprofit($B$1,YEAR($A73),$A73,180,1000000)</f>
        <v>55.5</v>
      </c>
      <c r="G73" cm="1">
        <f t="array" aca="1" ref="G73" ca="1">[1]!s_west_netprofit($B$1,YEAR($A73)+1,$A73,180,1000000)</f>
        <v>88.653857000000002</v>
      </c>
      <c r="H73" cm="1">
        <f t="array" aca="1" ref="H73" ca="1">[1]!s_west_eps($B$1,YEAR($A73)+1,$A73,180)</f>
        <v>0.10100000000000001</v>
      </c>
      <c r="I73" cm="1">
        <f t="array" aca="1" ref="I73" ca="1">[1]!s_west_instnum_np($B$1,YEAR($A73)+1,$A73,180)</f>
        <v>14</v>
      </c>
      <c r="J73" cm="1">
        <f t="array" aca="1" ref="J73" ca="1">[1]!s_west_stdnetprofit($B$1,YEAR($A73)+1,$A73,180,1000000)</f>
        <v>48.951385999999999</v>
      </c>
      <c r="K73" cm="1">
        <f t="array" aca="1" ref="K73" ca="1">[1]!s_west_mediannetprofit($B$1,YEAR($A72)+1,$A72,180,1000000)</f>
        <v>82.5</v>
      </c>
      <c r="L73" cm="1">
        <f t="array" aca="1" ref="L73" ca="1">[1]!s_dq_close($B$1,$A73,3)</f>
        <v>21.98</v>
      </c>
    </row>
    <row r="74" spans="1:12">
      <c r="A74" s="23">
        <f t="shared" ca="1" si="0"/>
        <v>46101</v>
      </c>
      <c r="B74" cm="1">
        <f t="array" aca="1" ref="B74" ca="1">[1]!s_west_netprofit($B$1,YEAR($A74),$A74,180,1000000)</f>
        <v>61.614429000000001</v>
      </c>
      <c r="C74" cm="1">
        <f t="array" aca="1" ref="C74" ca="1">[1]!s_west_eps($B$1,YEAR($A74),$A74,180)</f>
        <v>6.9199999999999998E-2</v>
      </c>
      <c r="D74" cm="1">
        <f t="array" aca="1" ref="D74" ca="1">[1]!s_west_instnum_np($B$1,YEAR($A74),$A74,180)</f>
        <v>14</v>
      </c>
      <c r="E74" cm="1">
        <f t="array" aca="1" ref="E74" ca="1">[1]!s_west_stdnetprofit($B$1,YEAR($A74),$A74,180,1000000)</f>
        <v>43.897468000000003</v>
      </c>
      <c r="F74" cm="1">
        <f t="array" aca="1" ref="F74" ca="1">[1]!s_west_mediannetprofit($B$1,YEAR($A74),$A74,180,1000000)</f>
        <v>55.5</v>
      </c>
      <c r="G74" cm="1">
        <f t="array" aca="1" ref="G74" ca="1">[1]!s_west_netprofit($B$1,YEAR($A74)+1,$A74,180,1000000)</f>
        <v>88.653857000000002</v>
      </c>
      <c r="H74" cm="1">
        <f t="array" aca="1" ref="H74" ca="1">[1]!s_west_eps($B$1,YEAR($A74)+1,$A74,180)</f>
        <v>0.10100000000000001</v>
      </c>
      <c r="I74" cm="1">
        <f t="array" aca="1" ref="I74" ca="1">[1]!s_west_instnum_np($B$1,YEAR($A74)+1,$A74,180)</f>
        <v>14</v>
      </c>
      <c r="J74" cm="1">
        <f t="array" aca="1" ref="J74" ca="1">[1]!s_west_stdnetprofit($B$1,YEAR($A74)+1,$A74,180,1000000)</f>
        <v>48.951385999999999</v>
      </c>
      <c r="K74" cm="1">
        <f t="array" aca="1" ref="K74" ca="1">[1]!s_west_mediannetprofit($B$1,YEAR($A73)+1,$A73,180,1000000)</f>
        <v>82.5</v>
      </c>
      <c r="L74" cm="1">
        <f t="array" aca="1" ref="L74" ca="1">[1]!s_dq_close($B$1,$A74,3)</f>
        <v>21.98</v>
      </c>
    </row>
    <row r="75" spans="1:12">
      <c r="A75" s="23">
        <f t="shared" ca="1" si="0"/>
        <v>46100</v>
      </c>
      <c r="B75" cm="1">
        <f t="array" aca="1" ref="B75" ca="1">[1]!s_west_netprofit($B$1,YEAR($A75),$A75,180,1000000)</f>
        <v>61.614429000000001</v>
      </c>
      <c r="C75" cm="1">
        <f t="array" aca="1" ref="C75" ca="1">[1]!s_west_eps($B$1,YEAR($A75),$A75,180)</f>
        <v>6.9199999999999998E-2</v>
      </c>
      <c r="D75" cm="1">
        <f t="array" aca="1" ref="D75" ca="1">[1]!s_west_instnum_np($B$1,YEAR($A75),$A75,180)</f>
        <v>14</v>
      </c>
      <c r="E75" cm="1">
        <f t="array" aca="1" ref="E75" ca="1">[1]!s_west_stdnetprofit($B$1,YEAR($A75),$A75,180,1000000)</f>
        <v>43.897468000000003</v>
      </c>
      <c r="F75" cm="1">
        <f t="array" aca="1" ref="F75" ca="1">[1]!s_west_mediannetprofit($B$1,YEAR($A75),$A75,180,1000000)</f>
        <v>55.5</v>
      </c>
      <c r="G75" cm="1">
        <f t="array" aca="1" ref="G75" ca="1">[1]!s_west_netprofit($B$1,YEAR($A75)+1,$A75,180,1000000)</f>
        <v>88.653857000000002</v>
      </c>
      <c r="H75" cm="1">
        <f t="array" aca="1" ref="H75" ca="1">[1]!s_west_eps($B$1,YEAR($A75)+1,$A75,180)</f>
        <v>0.10100000000000001</v>
      </c>
      <c r="I75" cm="1">
        <f t="array" aca="1" ref="I75" ca="1">[1]!s_west_instnum_np($B$1,YEAR($A75)+1,$A75,180)</f>
        <v>14</v>
      </c>
      <c r="J75" cm="1">
        <f t="array" aca="1" ref="J75" ca="1">[1]!s_west_stdnetprofit($B$1,YEAR($A75)+1,$A75,180,1000000)</f>
        <v>48.951385999999999</v>
      </c>
      <c r="K75" cm="1">
        <f t="array" aca="1" ref="K75" ca="1">[1]!s_west_mediannetprofit($B$1,YEAR($A74)+1,$A74,180,1000000)</f>
        <v>82.5</v>
      </c>
      <c r="L75" cm="1">
        <f t="array" aca="1" ref="L75" ca="1">[1]!s_dq_close($B$1,$A75,3)</f>
        <v>21.98</v>
      </c>
    </row>
    <row r="76" spans="1:12">
      <c r="A76" s="23">
        <f t="shared" ca="1" si="0"/>
        <v>46099</v>
      </c>
      <c r="B76" cm="1">
        <f t="array" aca="1" ref="B76" ca="1">[1]!s_west_netprofit($B$1,YEAR($A76),$A76,180,1000000)</f>
        <v>61.614429000000001</v>
      </c>
      <c r="C76" cm="1">
        <f t="array" aca="1" ref="C76" ca="1">[1]!s_west_eps($B$1,YEAR($A76),$A76,180)</f>
        <v>6.9199999999999998E-2</v>
      </c>
      <c r="D76" cm="1">
        <f t="array" aca="1" ref="D76" ca="1">[1]!s_west_instnum_np($B$1,YEAR($A76),$A76,180)</f>
        <v>14</v>
      </c>
      <c r="E76" cm="1">
        <f t="array" aca="1" ref="E76" ca="1">[1]!s_west_stdnetprofit($B$1,YEAR($A76),$A76,180,1000000)</f>
        <v>43.897468000000003</v>
      </c>
      <c r="F76" cm="1">
        <f t="array" aca="1" ref="F76" ca="1">[1]!s_west_mediannetprofit($B$1,YEAR($A76),$A76,180,1000000)</f>
        <v>55.5</v>
      </c>
      <c r="G76" cm="1">
        <f t="array" aca="1" ref="G76" ca="1">[1]!s_west_netprofit($B$1,YEAR($A76)+1,$A76,180,1000000)</f>
        <v>88.653857000000002</v>
      </c>
      <c r="H76" cm="1">
        <f t="array" aca="1" ref="H76" ca="1">[1]!s_west_eps($B$1,YEAR($A76)+1,$A76,180)</f>
        <v>0.10100000000000001</v>
      </c>
      <c r="I76" cm="1">
        <f t="array" aca="1" ref="I76" ca="1">[1]!s_west_instnum_np($B$1,YEAR($A76)+1,$A76,180)</f>
        <v>14</v>
      </c>
      <c r="J76" cm="1">
        <f t="array" aca="1" ref="J76" ca="1">[1]!s_west_stdnetprofit($B$1,YEAR($A76)+1,$A76,180,1000000)</f>
        <v>48.951385999999999</v>
      </c>
      <c r="K76" cm="1">
        <f t="array" aca="1" ref="K76" ca="1">[1]!s_west_mediannetprofit($B$1,YEAR($A75)+1,$A75,180,1000000)</f>
        <v>82.5</v>
      </c>
      <c r="L76" cm="1">
        <f t="array" aca="1" ref="L76" ca="1">[1]!s_dq_close($B$1,$A76,3)</f>
        <v>22.42</v>
      </c>
    </row>
    <row r="77" spans="1:12">
      <c r="A77" s="23">
        <f t="shared" ref="A77:A140" ca="1" si="1">A76-1</f>
        <v>46098</v>
      </c>
      <c r="B77" cm="1">
        <f t="array" aca="1" ref="B77" ca="1">[1]!s_west_netprofit($B$1,YEAR($A77),$A77,180,1000000)</f>
        <v>61.614429000000001</v>
      </c>
      <c r="C77" cm="1">
        <f t="array" aca="1" ref="C77" ca="1">[1]!s_west_eps($B$1,YEAR($A77),$A77,180)</f>
        <v>6.9199999999999998E-2</v>
      </c>
      <c r="D77" cm="1">
        <f t="array" aca="1" ref="D77" ca="1">[1]!s_west_instnum_np($B$1,YEAR($A77),$A77,180)</f>
        <v>14</v>
      </c>
      <c r="E77" cm="1">
        <f t="array" aca="1" ref="E77" ca="1">[1]!s_west_stdnetprofit($B$1,YEAR($A77),$A77,180,1000000)</f>
        <v>43.897468000000003</v>
      </c>
      <c r="F77" cm="1">
        <f t="array" aca="1" ref="F77" ca="1">[1]!s_west_mediannetprofit($B$1,YEAR($A77),$A77,180,1000000)</f>
        <v>55.5</v>
      </c>
      <c r="G77" cm="1">
        <f t="array" aca="1" ref="G77" ca="1">[1]!s_west_netprofit($B$1,YEAR($A77)+1,$A77,180,1000000)</f>
        <v>88.653857000000002</v>
      </c>
      <c r="H77" cm="1">
        <f t="array" aca="1" ref="H77" ca="1">[1]!s_west_eps($B$1,YEAR($A77)+1,$A77,180)</f>
        <v>0.10100000000000001</v>
      </c>
      <c r="I77" cm="1">
        <f t="array" aca="1" ref="I77" ca="1">[1]!s_west_instnum_np($B$1,YEAR($A77)+1,$A77,180)</f>
        <v>14</v>
      </c>
      <c r="J77" cm="1">
        <f t="array" aca="1" ref="J77" ca="1">[1]!s_west_stdnetprofit($B$1,YEAR($A77)+1,$A77,180,1000000)</f>
        <v>48.951385999999999</v>
      </c>
      <c r="K77" cm="1">
        <f t="array" aca="1" ref="K77" ca="1">[1]!s_west_mediannetprofit($B$1,YEAR($A76)+1,$A76,180,1000000)</f>
        <v>82.5</v>
      </c>
      <c r="L77" cm="1">
        <f t="array" aca="1" ref="L77" ca="1">[1]!s_dq_close($B$1,$A77,3)</f>
        <v>22.44</v>
      </c>
    </row>
    <row r="78" spans="1:12">
      <c r="A78" s="23">
        <f t="shared" ca="1" si="1"/>
        <v>46097</v>
      </c>
      <c r="B78" cm="1">
        <f t="array" aca="1" ref="B78" ca="1">[1]!s_west_netprofit($B$1,YEAR($A78),$A78,180,1000000)</f>
        <v>61.969385000000003</v>
      </c>
      <c r="C78" cm="1">
        <f t="array" aca="1" ref="C78" ca="1">[1]!s_west_eps($B$1,YEAR($A78),$A78,180)</f>
        <v>6.9199999999999998E-2</v>
      </c>
      <c r="D78" cm="1">
        <f t="array" aca="1" ref="D78" ca="1">[1]!s_west_instnum_np($B$1,YEAR($A78),$A78,180)</f>
        <v>13</v>
      </c>
      <c r="E78" cm="1">
        <f t="array" aca="1" ref="E78" ca="1">[1]!s_west_stdnetprofit($B$1,YEAR($A78),$A78,180,1000000)</f>
        <v>45.669016999999997</v>
      </c>
      <c r="F78" cm="1">
        <f t="array" aca="1" ref="F78" ca="1">[1]!s_west_mediannetprofit($B$1,YEAR($A78),$A78,180,1000000)</f>
        <v>55</v>
      </c>
      <c r="G78" cm="1">
        <f t="array" aca="1" ref="G78" ca="1">[1]!s_west_netprofit($B$1,YEAR($A78)+1,$A78,180,1000000)</f>
        <v>89.627230999999995</v>
      </c>
      <c r="H78" cm="1">
        <f t="array" aca="1" ref="H78" ca="1">[1]!s_west_eps($B$1,YEAR($A78)+1,$A78,180)</f>
        <v>0.1018</v>
      </c>
      <c r="I78" cm="1">
        <f t="array" aca="1" ref="I78" ca="1">[1]!s_west_instnum_np($B$1,YEAR($A78)+1,$A78,180)</f>
        <v>13</v>
      </c>
      <c r="J78" cm="1">
        <f t="array" aca="1" ref="J78" ca="1">[1]!s_west_stdnetprofit($B$1,YEAR($A78)+1,$A78,180,1000000)</f>
        <v>50.809004000000002</v>
      </c>
      <c r="K78" cm="1">
        <f t="array" aca="1" ref="K78" ca="1">[1]!s_west_mediannetprofit($B$1,YEAR($A77)+1,$A77,180,1000000)</f>
        <v>82.5</v>
      </c>
      <c r="L78" cm="1">
        <f t="array" aca="1" ref="L78" ca="1">[1]!s_dq_close($B$1,$A78,3)</f>
        <v>22.44</v>
      </c>
    </row>
    <row r="79" spans="1:12">
      <c r="A79" s="23">
        <f t="shared" ca="1" si="1"/>
        <v>46096</v>
      </c>
      <c r="B79" cm="1">
        <f t="array" aca="1" ref="B79" ca="1">[1]!s_west_netprofit($B$1,YEAR($A79),$A79,180,1000000)</f>
        <v>61.969385000000003</v>
      </c>
      <c r="C79" cm="1">
        <f t="array" aca="1" ref="C79" ca="1">[1]!s_west_eps($B$1,YEAR($A79),$A79,180)</f>
        <v>6.9199999999999998E-2</v>
      </c>
      <c r="D79" cm="1">
        <f t="array" aca="1" ref="D79" ca="1">[1]!s_west_instnum_np($B$1,YEAR($A79),$A79,180)</f>
        <v>13</v>
      </c>
      <c r="E79" cm="1">
        <f t="array" aca="1" ref="E79" ca="1">[1]!s_west_stdnetprofit($B$1,YEAR($A79),$A79,180,1000000)</f>
        <v>45.669016999999997</v>
      </c>
      <c r="F79" cm="1">
        <f t="array" aca="1" ref="F79" ca="1">[1]!s_west_mediannetprofit($B$1,YEAR($A79),$A79,180,1000000)</f>
        <v>55</v>
      </c>
      <c r="G79" cm="1">
        <f t="array" aca="1" ref="G79" ca="1">[1]!s_west_netprofit($B$1,YEAR($A79)+1,$A79,180,1000000)</f>
        <v>89.627230999999995</v>
      </c>
      <c r="H79" cm="1">
        <f t="array" aca="1" ref="H79" ca="1">[1]!s_west_eps($B$1,YEAR($A79)+1,$A79,180)</f>
        <v>0.1018</v>
      </c>
      <c r="I79" cm="1">
        <f t="array" aca="1" ref="I79" ca="1">[1]!s_west_instnum_np($B$1,YEAR($A79)+1,$A79,180)</f>
        <v>13</v>
      </c>
      <c r="J79" cm="1">
        <f t="array" aca="1" ref="J79" ca="1">[1]!s_west_stdnetprofit($B$1,YEAR($A79)+1,$A79,180,1000000)</f>
        <v>50.809004000000002</v>
      </c>
      <c r="K79" cm="1">
        <f t="array" aca="1" ref="K79" ca="1">[1]!s_west_mediannetprofit($B$1,YEAR($A78)+1,$A78,180,1000000)</f>
        <v>89</v>
      </c>
      <c r="L79" cm="1">
        <f t="array" aca="1" ref="L79" ca="1">[1]!s_dq_close($B$1,$A79,3)</f>
        <v>22.08</v>
      </c>
    </row>
    <row r="80" spans="1:12">
      <c r="A80" s="23">
        <f t="shared" ca="1" si="1"/>
        <v>46095</v>
      </c>
      <c r="B80" cm="1">
        <f t="array" aca="1" ref="B80" ca="1">[1]!s_west_netprofit($B$1,YEAR($A80),$A80,180,1000000)</f>
        <v>61.969385000000003</v>
      </c>
      <c r="C80" cm="1">
        <f t="array" aca="1" ref="C80" ca="1">[1]!s_west_eps($B$1,YEAR($A80),$A80,180)</f>
        <v>6.9199999999999998E-2</v>
      </c>
      <c r="D80" cm="1">
        <f t="array" aca="1" ref="D80" ca="1">[1]!s_west_instnum_np($B$1,YEAR($A80),$A80,180)</f>
        <v>13</v>
      </c>
      <c r="E80" cm="1">
        <f t="array" aca="1" ref="E80" ca="1">[1]!s_west_stdnetprofit($B$1,YEAR($A80),$A80,180,1000000)</f>
        <v>45.669016999999997</v>
      </c>
      <c r="F80" cm="1">
        <f t="array" aca="1" ref="F80" ca="1">[1]!s_west_mediannetprofit($B$1,YEAR($A80),$A80,180,1000000)</f>
        <v>55</v>
      </c>
      <c r="G80" cm="1">
        <f t="array" aca="1" ref="G80" ca="1">[1]!s_west_netprofit($B$1,YEAR($A80)+1,$A80,180,1000000)</f>
        <v>89.627230999999995</v>
      </c>
      <c r="H80" cm="1">
        <f t="array" aca="1" ref="H80" ca="1">[1]!s_west_eps($B$1,YEAR($A80)+1,$A80,180)</f>
        <v>0.1018</v>
      </c>
      <c r="I80" cm="1">
        <f t="array" aca="1" ref="I80" ca="1">[1]!s_west_instnum_np($B$1,YEAR($A80)+1,$A80,180)</f>
        <v>13</v>
      </c>
      <c r="J80" cm="1">
        <f t="array" aca="1" ref="J80" ca="1">[1]!s_west_stdnetprofit($B$1,YEAR($A80)+1,$A80,180,1000000)</f>
        <v>50.809004000000002</v>
      </c>
      <c r="K80" cm="1">
        <f t="array" aca="1" ref="K80" ca="1">[1]!s_west_mediannetprofit($B$1,YEAR($A79)+1,$A79,180,1000000)</f>
        <v>89</v>
      </c>
      <c r="L80" cm="1">
        <f t="array" aca="1" ref="L80" ca="1">[1]!s_dq_close($B$1,$A80,3)</f>
        <v>22.08</v>
      </c>
    </row>
    <row r="81" spans="1:12">
      <c r="A81" s="23">
        <f t="shared" ca="1" si="1"/>
        <v>46094</v>
      </c>
      <c r="B81" cm="1">
        <f t="array" aca="1" ref="B81" ca="1">[1]!s_west_netprofit($B$1,YEAR($A81),$A81,180,1000000)</f>
        <v>61.969385000000003</v>
      </c>
      <c r="C81" cm="1">
        <f t="array" aca="1" ref="C81" ca="1">[1]!s_west_eps($B$1,YEAR($A81),$A81,180)</f>
        <v>6.9199999999999998E-2</v>
      </c>
      <c r="D81" cm="1">
        <f t="array" aca="1" ref="D81" ca="1">[1]!s_west_instnum_np($B$1,YEAR($A81),$A81,180)</f>
        <v>13</v>
      </c>
      <c r="E81" cm="1">
        <f t="array" aca="1" ref="E81" ca="1">[1]!s_west_stdnetprofit($B$1,YEAR($A81),$A81,180,1000000)</f>
        <v>45.669016999999997</v>
      </c>
      <c r="F81" cm="1">
        <f t="array" aca="1" ref="F81" ca="1">[1]!s_west_mediannetprofit($B$1,YEAR($A81),$A81,180,1000000)</f>
        <v>55</v>
      </c>
      <c r="G81" cm="1">
        <f t="array" aca="1" ref="G81" ca="1">[1]!s_west_netprofit($B$1,YEAR($A81)+1,$A81,180,1000000)</f>
        <v>89.627230999999995</v>
      </c>
      <c r="H81" cm="1">
        <f t="array" aca="1" ref="H81" ca="1">[1]!s_west_eps($B$1,YEAR($A81)+1,$A81,180)</f>
        <v>0.1018</v>
      </c>
      <c r="I81" cm="1">
        <f t="array" aca="1" ref="I81" ca="1">[1]!s_west_instnum_np($B$1,YEAR($A81)+1,$A81,180)</f>
        <v>13</v>
      </c>
      <c r="J81" cm="1">
        <f t="array" aca="1" ref="J81" ca="1">[1]!s_west_stdnetprofit($B$1,YEAR($A81)+1,$A81,180,1000000)</f>
        <v>50.809004000000002</v>
      </c>
      <c r="K81" cm="1">
        <f t="array" aca="1" ref="K81" ca="1">[1]!s_west_mediannetprofit($B$1,YEAR($A80)+1,$A80,180,1000000)</f>
        <v>89</v>
      </c>
      <c r="L81" cm="1">
        <f t="array" aca="1" ref="L81" ca="1">[1]!s_dq_close($B$1,$A81,3)</f>
        <v>22.08</v>
      </c>
    </row>
    <row r="82" spans="1:12">
      <c r="A82" s="23">
        <f t="shared" ca="1" si="1"/>
        <v>46093</v>
      </c>
      <c r="B82" cm="1">
        <f t="array" aca="1" ref="B82" ca="1">[1]!s_west_netprofit($B$1,YEAR($A82),$A82,180,1000000)</f>
        <v>52.856000000000002</v>
      </c>
      <c r="C82" cm="1">
        <f t="array" aca="1" ref="C82" ca="1">[1]!s_west_eps($B$1,YEAR($A82),$A82,180)</f>
        <v>5.8900000000000001E-2</v>
      </c>
      <c r="D82" cm="1">
        <f t="array" aca="1" ref="D82" ca="1">[1]!s_west_instnum_np($B$1,YEAR($A82),$A82,180)</f>
        <v>12</v>
      </c>
      <c r="E82" cm="1">
        <f t="array" aca="1" ref="E82" ca="1">[1]!s_west_stdnetprofit($B$1,YEAR($A82),$A82,180,1000000)</f>
        <v>33.127192000000001</v>
      </c>
      <c r="F82" cm="1">
        <f t="array" aca="1" ref="F82" ca="1">[1]!s_west_mediannetprofit($B$1,YEAR($A82),$A82,180,1000000)</f>
        <v>54.91</v>
      </c>
      <c r="G82" cm="1">
        <f t="array" aca="1" ref="G82" ca="1">[1]!s_west_netprofit($B$1,YEAR($A82)+1,$A82,180,1000000)</f>
        <v>80.868667000000002</v>
      </c>
      <c r="H82" cm="1">
        <f t="array" aca="1" ref="H82" ca="1">[1]!s_west_eps($B$1,YEAR($A82)+1,$A82,180)</f>
        <v>9.1800000000000007E-2</v>
      </c>
      <c r="I82" cm="1">
        <f t="array" aca="1" ref="I82" ca="1">[1]!s_west_instnum_np($B$1,YEAR($A82)+1,$A82,180)</f>
        <v>12</v>
      </c>
      <c r="J82" cm="1">
        <f t="array" aca="1" ref="J82" ca="1">[1]!s_west_stdnetprofit($B$1,YEAR($A82)+1,$A82,180,1000000)</f>
        <v>41.573065</v>
      </c>
      <c r="K82" cm="1">
        <f t="array" aca="1" ref="K82" ca="1">[1]!s_west_mediannetprofit($B$1,YEAR($A81)+1,$A81,180,1000000)</f>
        <v>89</v>
      </c>
      <c r="L82" cm="1">
        <f t="array" aca="1" ref="L82" ca="1">[1]!s_dq_close($B$1,$A82,3)</f>
        <v>22.52</v>
      </c>
    </row>
    <row r="83" spans="1:12">
      <c r="A83" s="23">
        <f t="shared" ca="1" si="1"/>
        <v>46092</v>
      </c>
      <c r="B83" cm="1">
        <f t="array" aca="1" ref="B83" ca="1">[1]!s_west_netprofit($B$1,YEAR($A83),$A83,180,1000000)</f>
        <v>54.106000000000002</v>
      </c>
      <c r="C83" cm="1">
        <f t="array" aca="1" ref="C83" ca="1">[1]!s_west_eps($B$1,YEAR($A83),$A83,180)</f>
        <v>6.0400000000000002E-2</v>
      </c>
      <c r="D83" cm="1">
        <f t="array" aca="1" ref="D83" ca="1">[1]!s_west_instnum_np($B$1,YEAR($A83),$A83,180)</f>
        <v>12</v>
      </c>
      <c r="E83" cm="1">
        <f t="array" aca="1" ref="E83" ca="1">[1]!s_west_stdnetprofit($B$1,YEAR($A83),$A83,180,1000000)</f>
        <v>33.414870999999998</v>
      </c>
      <c r="F83" cm="1">
        <f t="array" aca="1" ref="F83" ca="1">[1]!s_west_mediannetprofit($B$1,YEAR($A83),$A83,180,1000000)</f>
        <v>55.5</v>
      </c>
      <c r="G83" cm="1">
        <f t="array" aca="1" ref="G83" ca="1">[1]!s_west_netprofit($B$1,YEAR($A83)+1,$A83,180,1000000)</f>
        <v>82.451999999999998</v>
      </c>
      <c r="H83" cm="1">
        <f t="array" aca="1" ref="H83" ca="1">[1]!s_west_eps($B$1,YEAR($A83)+1,$A83,180)</f>
        <v>9.35E-2</v>
      </c>
      <c r="I83" cm="1">
        <f t="array" aca="1" ref="I83" ca="1">[1]!s_west_instnum_np($B$1,YEAR($A83)+1,$A83,180)</f>
        <v>12</v>
      </c>
      <c r="J83" cm="1">
        <f t="array" aca="1" ref="J83" ca="1">[1]!s_west_stdnetprofit($B$1,YEAR($A83)+1,$A83,180,1000000)</f>
        <v>42.266928</v>
      </c>
      <c r="K83" cm="1">
        <f t="array" aca="1" ref="K83" ca="1">[1]!s_west_mediannetprofit($B$1,YEAR($A82)+1,$A82,180,1000000)</f>
        <v>82</v>
      </c>
      <c r="L83" cm="1">
        <f t="array" aca="1" ref="L83" ca="1">[1]!s_dq_close($B$1,$A83,3)</f>
        <v>22.8</v>
      </c>
    </row>
    <row r="84" spans="1:12">
      <c r="A84" s="23">
        <f t="shared" ca="1" si="1"/>
        <v>46091</v>
      </c>
      <c r="B84" cm="1">
        <f t="array" aca="1" ref="B84" ca="1">[1]!s_west_netprofit($B$1,YEAR($A84),$A84,180,1000000)</f>
        <v>57.045454999999997</v>
      </c>
      <c r="C84" cm="1">
        <f t="array" aca="1" ref="C84" ca="1">[1]!s_west_eps($B$1,YEAR($A84),$A84,180)</f>
        <v>6.4799999999999996E-2</v>
      </c>
      <c r="D84" cm="1">
        <f t="array" aca="1" ref="D84" ca="1">[1]!s_west_instnum_np($B$1,YEAR($A84),$A84,180)</f>
        <v>11</v>
      </c>
      <c r="E84" cm="1">
        <f t="array" aca="1" ref="E84" ca="1">[1]!s_west_stdnetprofit($B$1,YEAR($A84),$A84,180,1000000)</f>
        <v>36.492604</v>
      </c>
      <c r="F84" cm="1">
        <f t="array" aca="1" ref="F84" ca="1">[1]!s_west_mediannetprofit($B$1,YEAR($A84),$A84,180,1000000)</f>
        <v>56</v>
      </c>
      <c r="G84" cm="1">
        <f t="array" aca="1" ref="G84" ca="1">[1]!s_west_netprofit($B$1,YEAR($A84)+1,$A84,180,1000000)</f>
        <v>86.804000000000002</v>
      </c>
      <c r="H84" cm="1">
        <f t="array" aca="1" ref="H84" ca="1">[1]!s_west_eps($B$1,YEAR($A84)+1,$A84,180)</f>
        <v>9.9299999999999999E-2</v>
      </c>
      <c r="I84" cm="1">
        <f t="array" aca="1" ref="I84" ca="1">[1]!s_west_instnum_np($B$1,YEAR($A84)+1,$A84,180)</f>
        <v>10</v>
      </c>
      <c r="J84" cm="1">
        <f t="array" aca="1" ref="J84" ca="1">[1]!s_west_stdnetprofit($B$1,YEAR($A84)+1,$A84,180,1000000)</f>
        <v>46.453792</v>
      </c>
      <c r="K84" cm="1">
        <f t="array" aca="1" ref="K84" ca="1">[1]!s_west_mediannetprofit($B$1,YEAR($A83)+1,$A83,180,1000000)</f>
        <v>82</v>
      </c>
      <c r="L84" cm="1">
        <f t="array" aca="1" ref="L84" ca="1">[1]!s_dq_close($B$1,$A84,3)</f>
        <v>21.98</v>
      </c>
    </row>
    <row r="85" spans="1:12">
      <c r="A85" s="23">
        <f t="shared" ca="1" si="1"/>
        <v>46090</v>
      </c>
      <c r="B85" cm="1">
        <f t="array" aca="1" ref="B85" ca="1">[1]!s_west_netprofit($B$1,YEAR($A85),$A85,180,1000000)</f>
        <v>67.304545000000005</v>
      </c>
      <c r="C85" cm="1">
        <f t="array" aca="1" ref="C85" ca="1">[1]!s_west_eps($B$1,YEAR($A85),$A85,180)</f>
        <v>7.7200000000000005E-2</v>
      </c>
      <c r="D85" cm="1">
        <f t="array" aca="1" ref="D85" ca="1">[1]!s_west_instnum_np($B$1,YEAR($A85),$A85,180)</f>
        <v>11</v>
      </c>
      <c r="E85" cm="1">
        <f t="array" aca="1" ref="E85" ca="1">[1]!s_west_stdnetprofit($B$1,YEAR($A85),$A85,180,1000000)</f>
        <v>31.497620000000001</v>
      </c>
      <c r="F85" cm="1">
        <f t="array" aca="1" ref="F85" ca="1">[1]!s_west_mediannetprofit($B$1,YEAR($A85),$A85,180,1000000)</f>
        <v>75</v>
      </c>
      <c r="G85" cm="1">
        <f t="array" aca="1" ref="G85" ca="1">[1]!s_west_netprofit($B$1,YEAR($A85)+1,$A85,180,1000000)</f>
        <v>102.28</v>
      </c>
      <c r="H85" cm="1">
        <f t="array" aca="1" ref="H85" ca="1">[1]!s_west_eps($B$1,YEAR($A85)+1,$A85,180)</f>
        <v>0.1171</v>
      </c>
      <c r="I85" cm="1">
        <f t="array" aca="1" ref="I85" ca="1">[1]!s_west_instnum_np($B$1,YEAR($A85)+1,$A85,180)</f>
        <v>10</v>
      </c>
      <c r="J85" cm="1">
        <f t="array" aca="1" ref="J85" ca="1">[1]!s_west_stdnetprofit($B$1,YEAR($A85)+1,$A85,180,1000000)</f>
        <v>37.487912000000001</v>
      </c>
      <c r="K85" cm="1">
        <f t="array" aca="1" ref="K85" ca="1">[1]!s_west_mediannetprofit($B$1,YEAR($A84)+1,$A84,180,1000000)</f>
        <v>86</v>
      </c>
      <c r="L85" cm="1">
        <f t="array" aca="1" ref="L85" ca="1">[1]!s_dq_close($B$1,$A85,3)</f>
        <v>22.12</v>
      </c>
    </row>
    <row r="86" spans="1:12">
      <c r="A86" s="23">
        <f t="shared" ca="1" si="1"/>
        <v>46089</v>
      </c>
      <c r="B86" cm="1">
        <f t="array" aca="1" ref="B86" ca="1">[1]!s_west_netprofit($B$1,YEAR($A86),$A86,180,1000000)</f>
        <v>67.304545000000005</v>
      </c>
      <c r="C86" cm="1">
        <f t="array" aca="1" ref="C86" ca="1">[1]!s_west_eps($B$1,YEAR($A86),$A86,180)</f>
        <v>7.7200000000000005E-2</v>
      </c>
      <c r="D86" cm="1">
        <f t="array" aca="1" ref="D86" ca="1">[1]!s_west_instnum_np($B$1,YEAR($A86),$A86,180)</f>
        <v>11</v>
      </c>
      <c r="E86" cm="1">
        <f t="array" aca="1" ref="E86" ca="1">[1]!s_west_stdnetprofit($B$1,YEAR($A86),$A86,180,1000000)</f>
        <v>31.497620000000001</v>
      </c>
      <c r="F86" cm="1">
        <f t="array" aca="1" ref="F86" ca="1">[1]!s_west_mediannetprofit($B$1,YEAR($A86),$A86,180,1000000)</f>
        <v>75</v>
      </c>
      <c r="G86" cm="1">
        <f t="array" aca="1" ref="G86" ca="1">[1]!s_west_netprofit($B$1,YEAR($A86)+1,$A86,180,1000000)</f>
        <v>102.28</v>
      </c>
      <c r="H86" cm="1">
        <f t="array" aca="1" ref="H86" ca="1">[1]!s_west_eps($B$1,YEAR($A86)+1,$A86,180)</f>
        <v>0.1171</v>
      </c>
      <c r="I86" cm="1">
        <f t="array" aca="1" ref="I86" ca="1">[1]!s_west_instnum_np($B$1,YEAR($A86)+1,$A86,180)</f>
        <v>10</v>
      </c>
      <c r="J86" cm="1">
        <f t="array" aca="1" ref="J86" ca="1">[1]!s_west_stdnetprofit($B$1,YEAR($A86)+1,$A86,180,1000000)</f>
        <v>37.487912000000001</v>
      </c>
      <c r="K86" cm="1">
        <f t="array" aca="1" ref="K86" ca="1">[1]!s_west_mediannetprofit($B$1,YEAR($A85)+1,$A85,180,1000000)</f>
        <v>114.795</v>
      </c>
      <c r="L86" cm="1">
        <f t="array" aca="1" ref="L86" ca="1">[1]!s_dq_close($B$1,$A86,3)</f>
        <v>22.18</v>
      </c>
    </row>
    <row r="87" spans="1:12">
      <c r="A87" s="23">
        <f t="shared" ca="1" si="1"/>
        <v>46088</v>
      </c>
      <c r="B87" cm="1">
        <f t="array" aca="1" ref="B87" ca="1">[1]!s_west_netprofit($B$1,YEAR($A87),$A87,180,1000000)</f>
        <v>67.304545000000005</v>
      </c>
      <c r="C87" cm="1">
        <f t="array" aca="1" ref="C87" ca="1">[1]!s_west_eps($B$1,YEAR($A87),$A87,180)</f>
        <v>7.7200000000000005E-2</v>
      </c>
      <c r="D87" cm="1">
        <f t="array" aca="1" ref="D87" ca="1">[1]!s_west_instnum_np($B$1,YEAR($A87),$A87,180)</f>
        <v>11</v>
      </c>
      <c r="E87" cm="1">
        <f t="array" aca="1" ref="E87" ca="1">[1]!s_west_stdnetprofit($B$1,YEAR($A87),$A87,180,1000000)</f>
        <v>31.497620000000001</v>
      </c>
      <c r="F87" cm="1">
        <f t="array" aca="1" ref="F87" ca="1">[1]!s_west_mediannetprofit($B$1,YEAR($A87),$A87,180,1000000)</f>
        <v>75</v>
      </c>
      <c r="G87" cm="1">
        <f t="array" aca="1" ref="G87" ca="1">[1]!s_west_netprofit($B$1,YEAR($A87)+1,$A87,180,1000000)</f>
        <v>102.28</v>
      </c>
      <c r="H87" cm="1">
        <f t="array" aca="1" ref="H87" ca="1">[1]!s_west_eps($B$1,YEAR($A87)+1,$A87,180)</f>
        <v>0.1171</v>
      </c>
      <c r="I87" cm="1">
        <f t="array" aca="1" ref="I87" ca="1">[1]!s_west_instnum_np($B$1,YEAR($A87)+1,$A87,180)</f>
        <v>10</v>
      </c>
      <c r="J87" cm="1">
        <f t="array" aca="1" ref="J87" ca="1">[1]!s_west_stdnetprofit($B$1,YEAR($A87)+1,$A87,180,1000000)</f>
        <v>37.487912000000001</v>
      </c>
      <c r="K87" cm="1">
        <f t="array" aca="1" ref="K87" ca="1">[1]!s_west_mediannetprofit($B$1,YEAR($A86)+1,$A86,180,1000000)</f>
        <v>114.795</v>
      </c>
      <c r="L87" cm="1">
        <f t="array" aca="1" ref="L87" ca="1">[1]!s_dq_close($B$1,$A87,3)</f>
        <v>22.18</v>
      </c>
    </row>
    <row r="88" spans="1:12">
      <c r="A88" s="23">
        <f t="shared" ca="1" si="1"/>
        <v>46087</v>
      </c>
      <c r="B88" cm="1">
        <f t="array" aca="1" ref="B88" ca="1">[1]!s_west_netprofit($B$1,YEAR($A88),$A88,180,1000000)</f>
        <v>68.552999999999997</v>
      </c>
      <c r="C88" cm="1">
        <f t="array" aca="1" ref="C88" ca="1">[1]!s_west_eps($B$1,YEAR($A88),$A88,180)</f>
        <v>7.8600000000000003E-2</v>
      </c>
      <c r="D88" cm="1">
        <f t="array" aca="1" ref="D88" ca="1">[1]!s_west_instnum_np($B$1,YEAR($A88),$A88,180)</f>
        <v>10</v>
      </c>
      <c r="E88" cm="1">
        <f t="array" aca="1" ref="E88" ca="1">[1]!s_west_stdnetprofit($B$1,YEAR($A88),$A88,180,1000000)</f>
        <v>32.913271000000002</v>
      </c>
      <c r="F88" cm="1">
        <f t="array" aca="1" ref="F88" ca="1">[1]!s_west_mediannetprofit($B$1,YEAR($A88),$A88,180,1000000)</f>
        <v>79.5</v>
      </c>
      <c r="G88" cm="1">
        <f t="array" aca="1" ref="G88" ca="1">[1]!s_west_netprofit($B$1,YEAR($A88)+1,$A88,180,1000000)</f>
        <v>105.932222</v>
      </c>
      <c r="H88" cm="1">
        <f t="array" aca="1" ref="H88" ca="1">[1]!s_west_eps($B$1,YEAR($A88)+1,$A88,180)</f>
        <v>0.1212</v>
      </c>
      <c r="I88" cm="1">
        <f t="array" aca="1" ref="I88" ca="1">[1]!s_west_instnum_np($B$1,YEAR($A88)+1,$A88,180)</f>
        <v>9</v>
      </c>
      <c r="J88" cm="1">
        <f t="array" aca="1" ref="J88" ca="1">[1]!s_west_stdnetprofit($B$1,YEAR($A88)+1,$A88,180,1000000)</f>
        <v>37.827911</v>
      </c>
      <c r="K88" cm="1">
        <f t="array" aca="1" ref="K88" ca="1">[1]!s_west_mediannetprofit($B$1,YEAR($A87)+1,$A87,180,1000000)</f>
        <v>114.795</v>
      </c>
      <c r="L88" cm="1">
        <f t="array" aca="1" ref="L88" ca="1">[1]!s_dq_close($B$1,$A88,3)</f>
        <v>22.18</v>
      </c>
    </row>
    <row r="89" spans="1:12">
      <c r="A89" s="23">
        <f t="shared" ca="1" si="1"/>
        <v>46086</v>
      </c>
      <c r="B89" cm="1">
        <f t="array" aca="1" ref="B89" ca="1">[1]!s_west_netprofit($B$1,YEAR($A89),$A89,180,1000000)</f>
        <v>73.666250000000005</v>
      </c>
      <c r="C89" cm="1">
        <f t="array" aca="1" ref="C89" ca="1">[1]!s_west_eps($B$1,YEAR($A89),$A89,180)</f>
        <v>8.4400000000000003E-2</v>
      </c>
      <c r="D89" cm="1">
        <f t="array" aca="1" ref="D89" ca="1">[1]!s_west_instnum_np($B$1,YEAR($A89),$A89,180)</f>
        <v>8</v>
      </c>
      <c r="E89" cm="1">
        <f t="array" aca="1" ref="E89" ca="1">[1]!s_west_stdnetprofit($B$1,YEAR($A89),$A89,180,1000000)</f>
        <v>28.478857999999999</v>
      </c>
      <c r="F89" cm="1">
        <f t="array" aca="1" ref="F89" ca="1">[1]!s_west_mediannetprofit($B$1,YEAR($A89),$A89,180,1000000)</f>
        <v>79.5</v>
      </c>
      <c r="G89" cm="1">
        <f t="array" aca="1" ref="G89" ca="1">[1]!s_west_netprofit($B$1,YEAR($A89)+1,$A89,180,1000000)</f>
        <v>122.59857100000001</v>
      </c>
      <c r="H89" cm="1">
        <f t="array" aca="1" ref="H89" ca="1">[1]!s_west_eps($B$1,YEAR($A89)+1,$A89,180)</f>
        <v>0.14019999999999999</v>
      </c>
      <c r="I89" cm="1">
        <f t="array" aca="1" ref="I89" ca="1">[1]!s_west_instnum_np($B$1,YEAR($A89)+1,$A89,180)</f>
        <v>7</v>
      </c>
      <c r="J89" cm="1">
        <f t="array" aca="1" ref="J89" ca="1">[1]!s_west_stdnetprofit($B$1,YEAR($A89)+1,$A89,180,1000000)</f>
        <v>18.973754</v>
      </c>
      <c r="K89" cm="1">
        <f t="array" aca="1" ref="K89" ca="1">[1]!s_west_mediannetprofit($B$1,YEAR($A88)+1,$A88,180,1000000)</f>
        <v>121.59</v>
      </c>
      <c r="L89" cm="1">
        <f t="array" aca="1" ref="L89" ca="1">[1]!s_dq_close($B$1,$A89,3)</f>
        <v>21.06</v>
      </c>
    </row>
    <row r="90" spans="1:12">
      <c r="A90" s="23">
        <f t="shared" ca="1" si="1"/>
        <v>46085</v>
      </c>
      <c r="B90" cm="1">
        <f t="array" aca="1" ref="B90" ca="1">[1]!s_west_netprofit($B$1,YEAR($A90),$A90,180,1000000)</f>
        <v>73.666250000000005</v>
      </c>
      <c r="C90" cm="1">
        <f t="array" aca="1" ref="C90" ca="1">[1]!s_west_eps($B$1,YEAR($A90),$A90,180)</f>
        <v>8.4400000000000003E-2</v>
      </c>
      <c r="D90" cm="1">
        <f t="array" aca="1" ref="D90" ca="1">[1]!s_west_instnum_np($B$1,YEAR($A90),$A90,180)</f>
        <v>8</v>
      </c>
      <c r="E90" cm="1">
        <f t="array" aca="1" ref="E90" ca="1">[1]!s_west_stdnetprofit($B$1,YEAR($A90),$A90,180,1000000)</f>
        <v>28.478857999999999</v>
      </c>
      <c r="F90" cm="1">
        <f t="array" aca="1" ref="F90" ca="1">[1]!s_west_mediannetprofit($B$1,YEAR($A90),$A90,180,1000000)</f>
        <v>79.5</v>
      </c>
      <c r="G90" cm="1">
        <f t="array" aca="1" ref="G90" ca="1">[1]!s_west_netprofit($B$1,YEAR($A90)+1,$A90,180,1000000)</f>
        <v>122.59857100000001</v>
      </c>
      <c r="H90" cm="1">
        <f t="array" aca="1" ref="H90" ca="1">[1]!s_west_eps($B$1,YEAR($A90)+1,$A90,180)</f>
        <v>0.14019999999999999</v>
      </c>
      <c r="I90" cm="1">
        <f t="array" aca="1" ref="I90" ca="1">[1]!s_west_instnum_np($B$1,YEAR($A90)+1,$A90,180)</f>
        <v>7</v>
      </c>
      <c r="J90" cm="1">
        <f t="array" aca="1" ref="J90" ca="1">[1]!s_west_stdnetprofit($B$1,YEAR($A90)+1,$A90,180,1000000)</f>
        <v>18.973754</v>
      </c>
      <c r="K90" cm="1">
        <f t="array" aca="1" ref="K90" ca="1">[1]!s_west_mediannetprofit($B$1,YEAR($A89)+1,$A89,180,1000000)</f>
        <v>123</v>
      </c>
      <c r="L90" cm="1">
        <f t="array" aca="1" ref="L90" ca="1">[1]!s_dq_close($B$1,$A90,3)</f>
        <v>20.84</v>
      </c>
    </row>
    <row r="91" spans="1:12">
      <c r="A91" s="23">
        <f t="shared" ca="1" si="1"/>
        <v>46084</v>
      </c>
      <c r="B91" cm="1">
        <f t="array" aca="1" ref="B91" ca="1">[1]!s_west_netprofit($B$1,YEAR($A91),$A91,180,1000000)</f>
        <v>73.666250000000005</v>
      </c>
      <c r="C91" cm="1">
        <f t="array" aca="1" ref="C91" ca="1">[1]!s_west_eps($B$1,YEAR($A91),$A91,180)</f>
        <v>8.4400000000000003E-2</v>
      </c>
      <c r="D91" cm="1">
        <f t="array" aca="1" ref="D91" ca="1">[1]!s_west_instnum_np($B$1,YEAR($A91),$A91,180)</f>
        <v>8</v>
      </c>
      <c r="E91" cm="1">
        <f t="array" aca="1" ref="E91" ca="1">[1]!s_west_stdnetprofit($B$1,YEAR($A91),$A91,180,1000000)</f>
        <v>28.478857999999999</v>
      </c>
      <c r="F91" cm="1">
        <f t="array" aca="1" ref="F91" ca="1">[1]!s_west_mediannetprofit($B$1,YEAR($A91),$A91,180,1000000)</f>
        <v>79.5</v>
      </c>
      <c r="G91" cm="1">
        <f t="array" aca="1" ref="G91" ca="1">[1]!s_west_netprofit($B$1,YEAR($A91)+1,$A91,180,1000000)</f>
        <v>122.59857100000001</v>
      </c>
      <c r="H91" cm="1">
        <f t="array" aca="1" ref="H91" ca="1">[1]!s_west_eps($B$1,YEAR($A91)+1,$A91,180)</f>
        <v>0.14019999999999999</v>
      </c>
      <c r="I91" cm="1">
        <f t="array" aca="1" ref="I91" ca="1">[1]!s_west_instnum_np($B$1,YEAR($A91)+1,$A91,180)</f>
        <v>7</v>
      </c>
      <c r="J91" cm="1">
        <f t="array" aca="1" ref="J91" ca="1">[1]!s_west_stdnetprofit($B$1,YEAR($A91)+1,$A91,180,1000000)</f>
        <v>18.973754</v>
      </c>
      <c r="K91" cm="1">
        <f t="array" aca="1" ref="K91" ca="1">[1]!s_west_mediannetprofit($B$1,YEAR($A90)+1,$A90,180,1000000)</f>
        <v>123</v>
      </c>
      <c r="L91" cm="1">
        <f t="array" aca="1" ref="L91" ca="1">[1]!s_dq_close($B$1,$A91,3)</f>
        <v>21.18</v>
      </c>
    </row>
    <row r="92" spans="1:12">
      <c r="A92" s="23">
        <f t="shared" ca="1" si="1"/>
        <v>46083</v>
      </c>
      <c r="B92" cm="1">
        <f t="array" aca="1" ref="B92" ca="1">[1]!s_west_netprofit($B$1,YEAR($A92),$A92,180,1000000)</f>
        <v>73.666250000000005</v>
      </c>
      <c r="C92" cm="1">
        <f t="array" aca="1" ref="C92" ca="1">[1]!s_west_eps($B$1,YEAR($A92),$A92,180)</f>
        <v>8.4400000000000003E-2</v>
      </c>
      <c r="D92" cm="1">
        <f t="array" aca="1" ref="D92" ca="1">[1]!s_west_instnum_np($B$1,YEAR($A92),$A92,180)</f>
        <v>8</v>
      </c>
      <c r="E92" cm="1">
        <f t="array" aca="1" ref="E92" ca="1">[1]!s_west_stdnetprofit($B$1,YEAR($A92),$A92,180,1000000)</f>
        <v>28.478857999999999</v>
      </c>
      <c r="F92" cm="1">
        <f t="array" aca="1" ref="F92" ca="1">[1]!s_west_mediannetprofit($B$1,YEAR($A92),$A92,180,1000000)</f>
        <v>79.5</v>
      </c>
      <c r="G92" cm="1">
        <f t="array" aca="1" ref="G92" ca="1">[1]!s_west_netprofit($B$1,YEAR($A92)+1,$A92,180,1000000)</f>
        <v>122.59857100000001</v>
      </c>
      <c r="H92" cm="1">
        <f t="array" aca="1" ref="H92" ca="1">[1]!s_west_eps($B$1,YEAR($A92)+1,$A92,180)</f>
        <v>0.14019999999999999</v>
      </c>
      <c r="I92" cm="1">
        <f t="array" aca="1" ref="I92" ca="1">[1]!s_west_instnum_np($B$1,YEAR($A92)+1,$A92,180)</f>
        <v>7</v>
      </c>
      <c r="J92" cm="1">
        <f t="array" aca="1" ref="J92" ca="1">[1]!s_west_stdnetprofit($B$1,YEAR($A92)+1,$A92,180,1000000)</f>
        <v>18.973754</v>
      </c>
      <c r="K92" cm="1">
        <f t="array" aca="1" ref="K92" ca="1">[1]!s_west_mediannetprofit($B$1,YEAR($A91)+1,$A91,180,1000000)</f>
        <v>123</v>
      </c>
      <c r="L92" cm="1">
        <f t="array" aca="1" ref="L92" ca="1">[1]!s_dq_close($B$1,$A92,3)</f>
        <v>21.9</v>
      </c>
    </row>
    <row r="93" spans="1:12">
      <c r="A93" s="23">
        <f t="shared" ca="1" si="1"/>
        <v>46082</v>
      </c>
      <c r="B93" cm="1">
        <f t="array" aca="1" ref="B93" ca="1">[1]!s_west_netprofit($B$1,YEAR($A93),$A93,180,1000000)</f>
        <v>73.666250000000005</v>
      </c>
      <c r="C93" cm="1">
        <f t="array" aca="1" ref="C93" ca="1">[1]!s_west_eps($B$1,YEAR($A93),$A93,180)</f>
        <v>8.4400000000000003E-2</v>
      </c>
      <c r="D93" cm="1">
        <f t="array" aca="1" ref="D93" ca="1">[1]!s_west_instnum_np($B$1,YEAR($A93),$A93,180)</f>
        <v>8</v>
      </c>
      <c r="E93" cm="1">
        <f t="array" aca="1" ref="E93" ca="1">[1]!s_west_stdnetprofit($B$1,YEAR($A93),$A93,180,1000000)</f>
        <v>28.478857999999999</v>
      </c>
      <c r="F93" cm="1">
        <f t="array" aca="1" ref="F93" ca="1">[1]!s_west_mediannetprofit($B$1,YEAR($A93),$A93,180,1000000)</f>
        <v>79.5</v>
      </c>
      <c r="G93" cm="1">
        <f t="array" aca="1" ref="G93" ca="1">[1]!s_west_netprofit($B$1,YEAR($A93)+1,$A93,180,1000000)</f>
        <v>122.59857100000001</v>
      </c>
      <c r="H93" cm="1">
        <f t="array" aca="1" ref="H93" ca="1">[1]!s_west_eps($B$1,YEAR($A93)+1,$A93,180)</f>
        <v>0.14019999999999999</v>
      </c>
      <c r="I93" cm="1">
        <f t="array" aca="1" ref="I93" ca="1">[1]!s_west_instnum_np($B$1,YEAR($A93)+1,$A93,180)</f>
        <v>7</v>
      </c>
      <c r="J93" cm="1">
        <f t="array" aca="1" ref="J93" ca="1">[1]!s_west_stdnetprofit($B$1,YEAR($A93)+1,$A93,180,1000000)</f>
        <v>18.973754</v>
      </c>
      <c r="K93" cm="1">
        <f t="array" aca="1" ref="K93" ca="1">[1]!s_west_mediannetprofit($B$1,YEAR($A92)+1,$A92,180,1000000)</f>
        <v>123</v>
      </c>
      <c r="L93" cm="1">
        <f t="array" aca="1" ref="L93" ca="1">[1]!s_dq_close($B$1,$A93,3)</f>
        <v>22.7</v>
      </c>
    </row>
    <row r="94" spans="1:12">
      <c r="A94" s="23">
        <f t="shared" ca="1" si="1"/>
        <v>46081</v>
      </c>
      <c r="B94" cm="1">
        <f t="array" aca="1" ref="B94" ca="1">[1]!s_west_netprofit($B$1,YEAR($A94),$A94,180,1000000)</f>
        <v>73.666250000000005</v>
      </c>
      <c r="C94" cm="1">
        <f t="array" aca="1" ref="C94" ca="1">[1]!s_west_eps($B$1,YEAR($A94),$A94,180)</f>
        <v>8.4400000000000003E-2</v>
      </c>
      <c r="D94" cm="1">
        <f t="array" aca="1" ref="D94" ca="1">[1]!s_west_instnum_np($B$1,YEAR($A94),$A94,180)</f>
        <v>8</v>
      </c>
      <c r="E94" cm="1">
        <f t="array" aca="1" ref="E94" ca="1">[1]!s_west_stdnetprofit($B$1,YEAR($A94),$A94,180,1000000)</f>
        <v>28.478857999999999</v>
      </c>
      <c r="F94" cm="1">
        <f t="array" aca="1" ref="F94" ca="1">[1]!s_west_mediannetprofit($B$1,YEAR($A94),$A94,180,1000000)</f>
        <v>79.5</v>
      </c>
      <c r="G94" cm="1">
        <f t="array" aca="1" ref="G94" ca="1">[1]!s_west_netprofit($B$1,YEAR($A94)+1,$A94,180,1000000)</f>
        <v>122.59857100000001</v>
      </c>
      <c r="H94" cm="1">
        <f t="array" aca="1" ref="H94" ca="1">[1]!s_west_eps($B$1,YEAR($A94)+1,$A94,180)</f>
        <v>0.14019999999999999</v>
      </c>
      <c r="I94" cm="1">
        <f t="array" aca="1" ref="I94" ca="1">[1]!s_west_instnum_np($B$1,YEAR($A94)+1,$A94,180)</f>
        <v>7</v>
      </c>
      <c r="J94" cm="1">
        <f t="array" aca="1" ref="J94" ca="1">[1]!s_west_stdnetprofit($B$1,YEAR($A94)+1,$A94,180,1000000)</f>
        <v>18.973754</v>
      </c>
      <c r="K94" cm="1">
        <f t="array" aca="1" ref="K94" ca="1">[1]!s_west_mediannetprofit($B$1,YEAR($A93)+1,$A93,180,1000000)</f>
        <v>123</v>
      </c>
      <c r="L94" cm="1">
        <f t="array" aca="1" ref="L94" ca="1">[1]!s_dq_close($B$1,$A94,3)</f>
        <v>22.7</v>
      </c>
    </row>
    <row r="95" spans="1:12">
      <c r="A95" s="23">
        <f t="shared" ca="1" si="1"/>
        <v>46080</v>
      </c>
      <c r="B95" cm="1">
        <f t="array" aca="1" ref="B95" ca="1">[1]!s_west_netprofit($B$1,YEAR($A95),$A95,180,1000000)</f>
        <v>73.666250000000005</v>
      </c>
      <c r="C95" cm="1">
        <f t="array" aca="1" ref="C95" ca="1">[1]!s_west_eps($B$1,YEAR($A95),$A95,180)</f>
        <v>8.4400000000000003E-2</v>
      </c>
      <c r="D95" cm="1">
        <f t="array" aca="1" ref="D95" ca="1">[1]!s_west_instnum_np($B$1,YEAR($A95),$A95,180)</f>
        <v>8</v>
      </c>
      <c r="E95" cm="1">
        <f t="array" aca="1" ref="E95" ca="1">[1]!s_west_stdnetprofit($B$1,YEAR($A95),$A95,180,1000000)</f>
        <v>28.478857999999999</v>
      </c>
      <c r="F95" cm="1">
        <f t="array" aca="1" ref="F95" ca="1">[1]!s_west_mediannetprofit($B$1,YEAR($A95),$A95,180,1000000)</f>
        <v>79.5</v>
      </c>
      <c r="G95" cm="1">
        <f t="array" aca="1" ref="G95" ca="1">[1]!s_west_netprofit($B$1,YEAR($A95)+1,$A95,180,1000000)</f>
        <v>122.59857100000001</v>
      </c>
      <c r="H95" cm="1">
        <f t="array" aca="1" ref="H95" ca="1">[1]!s_west_eps($B$1,YEAR($A95)+1,$A95,180)</f>
        <v>0.14019999999999999</v>
      </c>
      <c r="I95" cm="1">
        <f t="array" aca="1" ref="I95" ca="1">[1]!s_west_instnum_np($B$1,YEAR($A95)+1,$A95,180)</f>
        <v>7</v>
      </c>
      <c r="J95" cm="1">
        <f t="array" aca="1" ref="J95" ca="1">[1]!s_west_stdnetprofit($B$1,YEAR($A95)+1,$A95,180,1000000)</f>
        <v>18.973754</v>
      </c>
      <c r="K95" cm="1">
        <f t="array" aca="1" ref="K95" ca="1">[1]!s_west_mediannetprofit($B$1,YEAR($A94)+1,$A94,180,1000000)</f>
        <v>123</v>
      </c>
      <c r="L95" cm="1">
        <f t="array" aca="1" ref="L95" ca="1">[1]!s_dq_close($B$1,$A95,3)</f>
        <v>22.7</v>
      </c>
    </row>
    <row r="96" spans="1:12">
      <c r="A96" s="23">
        <f t="shared" ca="1" si="1"/>
        <v>46079</v>
      </c>
      <c r="B96" cm="1">
        <f t="array" aca="1" ref="B96" ca="1">[1]!s_west_netprofit($B$1,YEAR($A96),$A96,180,1000000)</f>
        <v>73.666250000000005</v>
      </c>
      <c r="C96" cm="1">
        <f t="array" aca="1" ref="C96" ca="1">[1]!s_west_eps($B$1,YEAR($A96),$A96,180)</f>
        <v>8.4400000000000003E-2</v>
      </c>
      <c r="D96" cm="1">
        <f t="array" aca="1" ref="D96" ca="1">[1]!s_west_instnum_np($B$1,YEAR($A96),$A96,180)</f>
        <v>8</v>
      </c>
      <c r="E96" cm="1">
        <f t="array" aca="1" ref="E96" ca="1">[1]!s_west_stdnetprofit($B$1,YEAR($A96),$A96,180,1000000)</f>
        <v>28.478857999999999</v>
      </c>
      <c r="F96" cm="1">
        <f t="array" aca="1" ref="F96" ca="1">[1]!s_west_mediannetprofit($B$1,YEAR($A96),$A96,180,1000000)</f>
        <v>79.5</v>
      </c>
      <c r="G96" cm="1">
        <f t="array" aca="1" ref="G96" ca="1">[1]!s_west_netprofit($B$1,YEAR($A96)+1,$A96,180,1000000)</f>
        <v>122.59857100000001</v>
      </c>
      <c r="H96" cm="1">
        <f t="array" aca="1" ref="H96" ca="1">[1]!s_west_eps($B$1,YEAR($A96)+1,$A96,180)</f>
        <v>0.14019999999999999</v>
      </c>
      <c r="I96" cm="1">
        <f t="array" aca="1" ref="I96" ca="1">[1]!s_west_instnum_np($B$1,YEAR($A96)+1,$A96,180)</f>
        <v>7</v>
      </c>
      <c r="J96" cm="1">
        <f t="array" aca="1" ref="J96" ca="1">[1]!s_west_stdnetprofit($B$1,YEAR($A96)+1,$A96,180,1000000)</f>
        <v>18.973754</v>
      </c>
      <c r="K96" cm="1">
        <f t="array" aca="1" ref="K96" ca="1">[1]!s_west_mediannetprofit($B$1,YEAR($A95)+1,$A95,180,1000000)</f>
        <v>123</v>
      </c>
      <c r="L96" cm="1">
        <f t="array" aca="1" ref="L96" ca="1">[1]!s_dq_close($B$1,$A96,3)</f>
        <v>22.56</v>
      </c>
    </row>
    <row r="97" spans="1:12">
      <c r="A97" s="23">
        <f t="shared" ca="1" si="1"/>
        <v>46078</v>
      </c>
      <c r="B97" cm="1">
        <f t="array" aca="1" ref="B97" ca="1">[1]!s_west_netprofit($B$1,YEAR($A97),$A97,180,1000000)</f>
        <v>73.666250000000005</v>
      </c>
      <c r="C97" cm="1">
        <f t="array" aca="1" ref="C97" ca="1">[1]!s_west_eps($B$1,YEAR($A97),$A97,180)</f>
        <v>8.4400000000000003E-2</v>
      </c>
      <c r="D97" cm="1">
        <f t="array" aca="1" ref="D97" ca="1">[1]!s_west_instnum_np($B$1,YEAR($A97),$A97,180)</f>
        <v>8</v>
      </c>
      <c r="E97" cm="1">
        <f t="array" aca="1" ref="E97" ca="1">[1]!s_west_stdnetprofit($B$1,YEAR($A97),$A97,180,1000000)</f>
        <v>28.478857999999999</v>
      </c>
      <c r="F97" cm="1">
        <f t="array" aca="1" ref="F97" ca="1">[1]!s_west_mediannetprofit($B$1,YEAR($A97),$A97,180,1000000)</f>
        <v>79.5</v>
      </c>
      <c r="G97" cm="1">
        <f t="array" aca="1" ref="G97" ca="1">[1]!s_west_netprofit($B$1,YEAR($A97)+1,$A97,180,1000000)</f>
        <v>122.59857100000001</v>
      </c>
      <c r="H97" cm="1">
        <f t="array" aca="1" ref="H97" ca="1">[1]!s_west_eps($B$1,YEAR($A97)+1,$A97,180)</f>
        <v>0.14019999999999999</v>
      </c>
      <c r="I97" cm="1">
        <f t="array" aca="1" ref="I97" ca="1">[1]!s_west_instnum_np($B$1,YEAR($A97)+1,$A97,180)</f>
        <v>7</v>
      </c>
      <c r="J97" cm="1">
        <f t="array" aca="1" ref="J97" ca="1">[1]!s_west_stdnetprofit($B$1,YEAR($A97)+1,$A97,180,1000000)</f>
        <v>18.973754</v>
      </c>
      <c r="K97" cm="1">
        <f t="array" aca="1" ref="K97" ca="1">[1]!s_west_mediannetprofit($B$1,YEAR($A96)+1,$A96,180,1000000)</f>
        <v>123</v>
      </c>
      <c r="L97" cm="1">
        <f t="array" aca="1" ref="L97" ca="1">[1]!s_dq_close($B$1,$A97,3)</f>
        <v>23.3</v>
      </c>
    </row>
    <row r="98" spans="1:12">
      <c r="A98" s="23">
        <f t="shared" ca="1" si="1"/>
        <v>46077</v>
      </c>
      <c r="B98" cm="1">
        <f t="array" aca="1" ref="B98" ca="1">[1]!s_west_netprofit($B$1,YEAR($A98),$A98,180,1000000)</f>
        <v>73.666250000000005</v>
      </c>
      <c r="C98" cm="1">
        <f t="array" aca="1" ref="C98" ca="1">[1]!s_west_eps($B$1,YEAR($A98),$A98,180)</f>
        <v>8.4400000000000003E-2</v>
      </c>
      <c r="D98" cm="1">
        <f t="array" aca="1" ref="D98" ca="1">[1]!s_west_instnum_np($B$1,YEAR($A98),$A98,180)</f>
        <v>8</v>
      </c>
      <c r="E98" cm="1">
        <f t="array" aca="1" ref="E98" ca="1">[1]!s_west_stdnetprofit($B$1,YEAR($A98),$A98,180,1000000)</f>
        <v>28.478857999999999</v>
      </c>
      <c r="F98" cm="1">
        <f t="array" aca="1" ref="F98" ca="1">[1]!s_west_mediannetprofit($B$1,YEAR($A98),$A98,180,1000000)</f>
        <v>79.5</v>
      </c>
      <c r="G98" cm="1">
        <f t="array" aca="1" ref="G98" ca="1">[1]!s_west_netprofit($B$1,YEAR($A98)+1,$A98,180,1000000)</f>
        <v>122.59857100000001</v>
      </c>
      <c r="H98" cm="1">
        <f t="array" aca="1" ref="H98" ca="1">[1]!s_west_eps($B$1,YEAR($A98)+1,$A98,180)</f>
        <v>0.14019999999999999</v>
      </c>
      <c r="I98" cm="1">
        <f t="array" aca="1" ref="I98" ca="1">[1]!s_west_instnum_np($B$1,YEAR($A98)+1,$A98,180)</f>
        <v>7</v>
      </c>
      <c r="J98" cm="1">
        <f t="array" aca="1" ref="J98" ca="1">[1]!s_west_stdnetprofit($B$1,YEAR($A98)+1,$A98,180,1000000)</f>
        <v>18.973754</v>
      </c>
      <c r="K98" cm="1">
        <f t="array" aca="1" ref="K98" ca="1">[1]!s_west_mediannetprofit($B$1,YEAR($A97)+1,$A97,180,1000000)</f>
        <v>123</v>
      </c>
      <c r="L98" cm="1">
        <f t="array" aca="1" ref="L98" ca="1">[1]!s_dq_close($B$1,$A98,3)</f>
        <v>23.22</v>
      </c>
    </row>
    <row r="99" spans="1:12">
      <c r="A99" s="23">
        <f t="shared" ca="1" si="1"/>
        <v>46076</v>
      </c>
      <c r="B99" cm="1">
        <f t="array" aca="1" ref="B99" ca="1">[1]!s_west_netprofit($B$1,YEAR($A99),$A99,180,1000000)</f>
        <v>73.666250000000005</v>
      </c>
      <c r="C99" cm="1">
        <f t="array" aca="1" ref="C99" ca="1">[1]!s_west_eps($B$1,YEAR($A99),$A99,180)</f>
        <v>8.4400000000000003E-2</v>
      </c>
      <c r="D99" cm="1">
        <f t="array" aca="1" ref="D99" ca="1">[1]!s_west_instnum_np($B$1,YEAR($A99),$A99,180)</f>
        <v>8</v>
      </c>
      <c r="E99" cm="1">
        <f t="array" aca="1" ref="E99" ca="1">[1]!s_west_stdnetprofit($B$1,YEAR($A99),$A99,180,1000000)</f>
        <v>28.478857999999999</v>
      </c>
      <c r="F99" cm="1">
        <f t="array" aca="1" ref="F99" ca="1">[1]!s_west_mediannetprofit($B$1,YEAR($A99),$A99,180,1000000)</f>
        <v>79.5</v>
      </c>
      <c r="G99" cm="1">
        <f t="array" aca="1" ref="G99" ca="1">[1]!s_west_netprofit($B$1,YEAR($A99)+1,$A99,180,1000000)</f>
        <v>122.59857100000001</v>
      </c>
      <c r="H99" cm="1">
        <f t="array" aca="1" ref="H99" ca="1">[1]!s_west_eps($B$1,YEAR($A99)+1,$A99,180)</f>
        <v>0.14019999999999999</v>
      </c>
      <c r="I99" cm="1">
        <f t="array" aca="1" ref="I99" ca="1">[1]!s_west_instnum_np($B$1,YEAR($A99)+1,$A99,180)</f>
        <v>7</v>
      </c>
      <c r="J99" cm="1">
        <f t="array" aca="1" ref="J99" ca="1">[1]!s_west_stdnetprofit($B$1,YEAR($A99)+1,$A99,180,1000000)</f>
        <v>18.973754</v>
      </c>
      <c r="K99" cm="1">
        <f t="array" aca="1" ref="K99" ca="1">[1]!s_west_mediannetprofit($B$1,YEAR($A98)+1,$A98,180,1000000)</f>
        <v>123</v>
      </c>
      <c r="L99" cm="1">
        <f t="array" aca="1" ref="L99" ca="1">[1]!s_dq_close($B$1,$A99,3)</f>
        <v>23.78</v>
      </c>
    </row>
    <row r="100" spans="1:12">
      <c r="A100" s="23">
        <f t="shared" ca="1" si="1"/>
        <v>46075</v>
      </c>
      <c r="B100" cm="1">
        <f t="array" aca="1" ref="B100" ca="1">[1]!s_west_netprofit($B$1,YEAR($A100),$A100,180,1000000)</f>
        <v>73.666250000000005</v>
      </c>
      <c r="C100" cm="1">
        <f t="array" aca="1" ref="C100" ca="1">[1]!s_west_eps($B$1,YEAR($A100),$A100,180)</f>
        <v>8.4400000000000003E-2</v>
      </c>
      <c r="D100" cm="1">
        <f t="array" aca="1" ref="D100" ca="1">[1]!s_west_instnum_np($B$1,YEAR($A100),$A100,180)</f>
        <v>8</v>
      </c>
      <c r="E100" cm="1">
        <f t="array" aca="1" ref="E100" ca="1">[1]!s_west_stdnetprofit($B$1,YEAR($A100),$A100,180,1000000)</f>
        <v>28.478857999999999</v>
      </c>
      <c r="F100" cm="1">
        <f t="array" aca="1" ref="F100" ca="1">[1]!s_west_mediannetprofit($B$1,YEAR($A100),$A100,180,1000000)</f>
        <v>79.5</v>
      </c>
      <c r="G100" cm="1">
        <f t="array" aca="1" ref="G100" ca="1">[1]!s_west_netprofit($B$1,YEAR($A100)+1,$A100,180,1000000)</f>
        <v>122.59857100000001</v>
      </c>
      <c r="H100" cm="1">
        <f t="array" aca="1" ref="H100" ca="1">[1]!s_west_eps($B$1,YEAR($A100)+1,$A100,180)</f>
        <v>0.14019999999999999</v>
      </c>
      <c r="I100" cm="1">
        <f t="array" aca="1" ref="I100" ca="1">[1]!s_west_instnum_np($B$1,YEAR($A100)+1,$A100,180)</f>
        <v>7</v>
      </c>
      <c r="J100" cm="1">
        <f t="array" aca="1" ref="J100" ca="1">[1]!s_west_stdnetprofit($B$1,YEAR($A100)+1,$A100,180,1000000)</f>
        <v>18.973754</v>
      </c>
      <c r="K100" cm="1">
        <f t="array" aca="1" ref="K100" ca="1">[1]!s_west_mediannetprofit($B$1,YEAR($A99)+1,$A99,180,1000000)</f>
        <v>123</v>
      </c>
      <c r="L100" cm="1">
        <f t="array" aca="1" ref="L100" ca="1">[1]!s_dq_close($B$1,$A100,3)</f>
        <v>23.46</v>
      </c>
    </row>
    <row r="101" spans="1:12">
      <c r="A101" s="23">
        <f t="shared" ca="1" si="1"/>
        <v>46074</v>
      </c>
      <c r="B101" cm="1">
        <f t="array" aca="1" ref="B101" ca="1">[1]!s_west_netprofit($B$1,YEAR($A101),$A101,180,1000000)</f>
        <v>73.666250000000005</v>
      </c>
      <c r="C101" cm="1">
        <f t="array" aca="1" ref="C101" ca="1">[1]!s_west_eps($B$1,YEAR($A101),$A101,180)</f>
        <v>8.4400000000000003E-2</v>
      </c>
      <c r="D101" cm="1">
        <f t="array" aca="1" ref="D101" ca="1">[1]!s_west_instnum_np($B$1,YEAR($A101),$A101,180)</f>
        <v>8</v>
      </c>
      <c r="E101" cm="1">
        <f t="array" aca="1" ref="E101" ca="1">[1]!s_west_stdnetprofit($B$1,YEAR($A101),$A101,180,1000000)</f>
        <v>28.478857999999999</v>
      </c>
      <c r="F101" cm="1">
        <f t="array" aca="1" ref="F101" ca="1">[1]!s_west_mediannetprofit($B$1,YEAR($A101),$A101,180,1000000)</f>
        <v>79.5</v>
      </c>
      <c r="G101" cm="1">
        <f t="array" aca="1" ref="G101" ca="1">[1]!s_west_netprofit($B$1,YEAR($A101)+1,$A101,180,1000000)</f>
        <v>122.59857100000001</v>
      </c>
      <c r="H101" cm="1">
        <f t="array" aca="1" ref="H101" ca="1">[1]!s_west_eps($B$1,YEAR($A101)+1,$A101,180)</f>
        <v>0.14019999999999999</v>
      </c>
      <c r="I101" cm="1">
        <f t="array" aca="1" ref="I101" ca="1">[1]!s_west_instnum_np($B$1,YEAR($A101)+1,$A101,180)</f>
        <v>7</v>
      </c>
      <c r="J101" cm="1">
        <f t="array" aca="1" ref="J101" ca="1">[1]!s_west_stdnetprofit($B$1,YEAR($A101)+1,$A101,180,1000000)</f>
        <v>18.973754</v>
      </c>
      <c r="K101" cm="1">
        <f t="array" aca="1" ref="K101" ca="1">[1]!s_west_mediannetprofit($B$1,YEAR($A100)+1,$A100,180,1000000)</f>
        <v>123</v>
      </c>
      <c r="L101" cm="1">
        <f t="array" aca="1" ref="L101" ca="1">[1]!s_dq_close($B$1,$A101,3)</f>
        <v>23.46</v>
      </c>
    </row>
    <row r="102" spans="1:12">
      <c r="A102" s="23">
        <f t="shared" ca="1" si="1"/>
        <v>46073</v>
      </c>
      <c r="B102" cm="1">
        <f t="array" aca="1" ref="B102" ca="1">[1]!s_west_netprofit($B$1,YEAR($A102),$A102,180,1000000)</f>
        <v>73.666250000000005</v>
      </c>
      <c r="C102" cm="1">
        <f t="array" aca="1" ref="C102" ca="1">[1]!s_west_eps($B$1,YEAR($A102),$A102,180)</f>
        <v>8.4400000000000003E-2</v>
      </c>
      <c r="D102" cm="1">
        <f t="array" aca="1" ref="D102" ca="1">[1]!s_west_instnum_np($B$1,YEAR($A102),$A102,180)</f>
        <v>8</v>
      </c>
      <c r="E102" cm="1">
        <f t="array" aca="1" ref="E102" ca="1">[1]!s_west_stdnetprofit($B$1,YEAR($A102),$A102,180,1000000)</f>
        <v>28.478857999999999</v>
      </c>
      <c r="F102" cm="1">
        <f t="array" aca="1" ref="F102" ca="1">[1]!s_west_mediannetprofit($B$1,YEAR($A102),$A102,180,1000000)</f>
        <v>79.5</v>
      </c>
      <c r="G102" cm="1">
        <f t="array" aca="1" ref="G102" ca="1">[1]!s_west_netprofit($B$1,YEAR($A102)+1,$A102,180,1000000)</f>
        <v>122.59857100000001</v>
      </c>
      <c r="H102" cm="1">
        <f t="array" aca="1" ref="H102" ca="1">[1]!s_west_eps($B$1,YEAR($A102)+1,$A102,180)</f>
        <v>0.14019999999999999</v>
      </c>
      <c r="I102" cm="1">
        <f t="array" aca="1" ref="I102" ca="1">[1]!s_west_instnum_np($B$1,YEAR($A102)+1,$A102,180)</f>
        <v>7</v>
      </c>
      <c r="J102" cm="1">
        <f t="array" aca="1" ref="J102" ca="1">[1]!s_west_stdnetprofit($B$1,YEAR($A102)+1,$A102,180,1000000)</f>
        <v>18.973754</v>
      </c>
      <c r="K102" cm="1">
        <f t="array" aca="1" ref="K102" ca="1">[1]!s_west_mediannetprofit($B$1,YEAR($A101)+1,$A101,180,1000000)</f>
        <v>123</v>
      </c>
      <c r="L102" cm="1">
        <f t="array" aca="1" ref="L102" ca="1">[1]!s_dq_close($B$1,$A102,3)</f>
        <v>23.46</v>
      </c>
    </row>
    <row r="103" spans="1:12">
      <c r="A103" s="23">
        <f t="shared" ca="1" si="1"/>
        <v>46072</v>
      </c>
      <c r="B103" cm="1">
        <f t="array" aca="1" ref="B103" ca="1">[1]!s_west_netprofit($B$1,YEAR($A103),$A103,180,1000000)</f>
        <v>73.666250000000005</v>
      </c>
      <c r="C103" cm="1">
        <f t="array" aca="1" ref="C103" ca="1">[1]!s_west_eps($B$1,YEAR($A103),$A103,180)</f>
        <v>8.4400000000000003E-2</v>
      </c>
      <c r="D103" cm="1">
        <f t="array" aca="1" ref="D103" ca="1">[1]!s_west_instnum_np($B$1,YEAR($A103),$A103,180)</f>
        <v>8</v>
      </c>
      <c r="E103" cm="1">
        <f t="array" aca="1" ref="E103" ca="1">[1]!s_west_stdnetprofit($B$1,YEAR($A103),$A103,180,1000000)</f>
        <v>28.478857999999999</v>
      </c>
      <c r="F103" cm="1">
        <f t="array" aca="1" ref="F103" ca="1">[1]!s_west_mediannetprofit($B$1,YEAR($A103),$A103,180,1000000)</f>
        <v>79.5</v>
      </c>
      <c r="G103" cm="1">
        <f t="array" aca="1" ref="G103" ca="1">[1]!s_west_netprofit($B$1,YEAR($A103)+1,$A103,180,1000000)</f>
        <v>122.59857100000001</v>
      </c>
      <c r="H103" cm="1">
        <f t="array" aca="1" ref="H103" ca="1">[1]!s_west_eps($B$1,YEAR($A103)+1,$A103,180)</f>
        <v>0.14019999999999999</v>
      </c>
      <c r="I103" cm="1">
        <f t="array" aca="1" ref="I103" ca="1">[1]!s_west_instnum_np($B$1,YEAR($A103)+1,$A103,180)</f>
        <v>7</v>
      </c>
      <c r="J103" cm="1">
        <f t="array" aca="1" ref="J103" ca="1">[1]!s_west_stdnetprofit($B$1,YEAR($A103)+1,$A103,180,1000000)</f>
        <v>18.973754</v>
      </c>
      <c r="K103" cm="1">
        <f t="array" aca="1" ref="K103" ca="1">[1]!s_west_mediannetprofit($B$1,YEAR($A102)+1,$A102,180,1000000)</f>
        <v>123</v>
      </c>
      <c r="L103" cm="1">
        <f t="array" aca="1" ref="L103" ca="1">[1]!s_dq_close($B$1,$A103,3)</f>
        <v>23.28</v>
      </c>
    </row>
    <row r="104" spans="1:12">
      <c r="A104" s="23">
        <f t="shared" ca="1" si="1"/>
        <v>46071</v>
      </c>
      <c r="B104" cm="1">
        <f t="array" aca="1" ref="B104" ca="1">[1]!s_west_netprofit($B$1,YEAR($A104),$A104,180,1000000)</f>
        <v>73.666250000000005</v>
      </c>
      <c r="C104" cm="1">
        <f t="array" aca="1" ref="C104" ca="1">[1]!s_west_eps($B$1,YEAR($A104),$A104,180)</f>
        <v>8.4400000000000003E-2</v>
      </c>
      <c r="D104" cm="1">
        <f t="array" aca="1" ref="D104" ca="1">[1]!s_west_instnum_np($B$1,YEAR($A104),$A104,180)</f>
        <v>8</v>
      </c>
      <c r="E104" cm="1">
        <f t="array" aca="1" ref="E104" ca="1">[1]!s_west_stdnetprofit($B$1,YEAR($A104),$A104,180,1000000)</f>
        <v>28.478857999999999</v>
      </c>
      <c r="F104" cm="1">
        <f t="array" aca="1" ref="F104" ca="1">[1]!s_west_mediannetprofit($B$1,YEAR($A104),$A104,180,1000000)</f>
        <v>79.5</v>
      </c>
      <c r="G104" cm="1">
        <f t="array" aca="1" ref="G104" ca="1">[1]!s_west_netprofit($B$1,YEAR($A104)+1,$A104,180,1000000)</f>
        <v>122.59857100000001</v>
      </c>
      <c r="H104" cm="1">
        <f t="array" aca="1" ref="H104" ca="1">[1]!s_west_eps($B$1,YEAR($A104)+1,$A104,180)</f>
        <v>0.14019999999999999</v>
      </c>
      <c r="I104" cm="1">
        <f t="array" aca="1" ref="I104" ca="1">[1]!s_west_instnum_np($B$1,YEAR($A104)+1,$A104,180)</f>
        <v>7</v>
      </c>
      <c r="J104" cm="1">
        <f t="array" aca="1" ref="J104" ca="1">[1]!s_west_stdnetprofit($B$1,YEAR($A104)+1,$A104,180,1000000)</f>
        <v>18.973754</v>
      </c>
      <c r="K104" cm="1">
        <f t="array" aca="1" ref="K104" ca="1">[1]!s_west_mediannetprofit($B$1,YEAR($A103)+1,$A103,180,1000000)</f>
        <v>123</v>
      </c>
      <c r="L104" cm="1">
        <f t="array" aca="1" ref="L104" ca="1">[1]!s_dq_close($B$1,$A104,3)</f>
        <v>23.28</v>
      </c>
    </row>
    <row r="105" spans="1:12">
      <c r="A105" s="23">
        <f t="shared" ca="1" si="1"/>
        <v>46070</v>
      </c>
      <c r="B105" cm="1">
        <f t="array" aca="1" ref="B105" ca="1">[1]!s_west_netprofit($B$1,YEAR($A105),$A105,180,1000000)</f>
        <v>73.666250000000005</v>
      </c>
      <c r="C105" cm="1">
        <f t="array" aca="1" ref="C105" ca="1">[1]!s_west_eps($B$1,YEAR($A105),$A105,180)</f>
        <v>8.4400000000000003E-2</v>
      </c>
      <c r="D105" cm="1">
        <f t="array" aca="1" ref="D105" ca="1">[1]!s_west_instnum_np($B$1,YEAR($A105),$A105,180)</f>
        <v>8</v>
      </c>
      <c r="E105" cm="1">
        <f t="array" aca="1" ref="E105" ca="1">[1]!s_west_stdnetprofit($B$1,YEAR($A105),$A105,180,1000000)</f>
        <v>28.478857999999999</v>
      </c>
      <c r="F105" cm="1">
        <f t="array" aca="1" ref="F105" ca="1">[1]!s_west_mediannetprofit($B$1,YEAR($A105),$A105,180,1000000)</f>
        <v>79.5</v>
      </c>
      <c r="G105" cm="1">
        <f t="array" aca="1" ref="G105" ca="1">[1]!s_west_netprofit($B$1,YEAR($A105)+1,$A105,180,1000000)</f>
        <v>122.59857100000001</v>
      </c>
      <c r="H105" cm="1">
        <f t="array" aca="1" ref="H105" ca="1">[1]!s_west_eps($B$1,YEAR($A105)+1,$A105,180)</f>
        <v>0.14019999999999999</v>
      </c>
      <c r="I105" cm="1">
        <f t="array" aca="1" ref="I105" ca="1">[1]!s_west_instnum_np($B$1,YEAR($A105)+1,$A105,180)</f>
        <v>7</v>
      </c>
      <c r="J105" cm="1">
        <f t="array" aca="1" ref="J105" ca="1">[1]!s_west_stdnetprofit($B$1,YEAR($A105)+1,$A105,180,1000000)</f>
        <v>18.973754</v>
      </c>
      <c r="K105" cm="1">
        <f t="array" aca="1" ref="K105" ca="1">[1]!s_west_mediannetprofit($B$1,YEAR($A104)+1,$A104,180,1000000)</f>
        <v>123</v>
      </c>
      <c r="L105" cm="1">
        <f t="array" aca="1" ref="L105" ca="1">[1]!s_dq_close($B$1,$A105,3)</f>
        <v>23.28</v>
      </c>
    </row>
    <row r="106" spans="1:12">
      <c r="A106" s="23">
        <f t="shared" ca="1" si="1"/>
        <v>46069</v>
      </c>
      <c r="B106" cm="1">
        <f t="array" aca="1" ref="B106" ca="1">[1]!s_west_netprofit($B$1,YEAR($A106),$A106,180,1000000)</f>
        <v>73.666250000000005</v>
      </c>
      <c r="C106" cm="1">
        <f t="array" aca="1" ref="C106" ca="1">[1]!s_west_eps($B$1,YEAR($A106),$A106,180)</f>
        <v>8.4400000000000003E-2</v>
      </c>
      <c r="D106" cm="1">
        <f t="array" aca="1" ref="D106" ca="1">[1]!s_west_instnum_np($B$1,YEAR($A106),$A106,180)</f>
        <v>8</v>
      </c>
      <c r="E106" cm="1">
        <f t="array" aca="1" ref="E106" ca="1">[1]!s_west_stdnetprofit($B$1,YEAR($A106),$A106,180,1000000)</f>
        <v>28.478857999999999</v>
      </c>
      <c r="F106" cm="1">
        <f t="array" aca="1" ref="F106" ca="1">[1]!s_west_mediannetprofit($B$1,YEAR($A106),$A106,180,1000000)</f>
        <v>79.5</v>
      </c>
      <c r="G106" cm="1">
        <f t="array" aca="1" ref="G106" ca="1">[1]!s_west_netprofit($B$1,YEAR($A106)+1,$A106,180,1000000)</f>
        <v>122.59857100000001</v>
      </c>
      <c r="H106" cm="1">
        <f t="array" aca="1" ref="H106" ca="1">[1]!s_west_eps($B$1,YEAR($A106)+1,$A106,180)</f>
        <v>0.14019999999999999</v>
      </c>
      <c r="I106" cm="1">
        <f t="array" aca="1" ref="I106" ca="1">[1]!s_west_instnum_np($B$1,YEAR($A106)+1,$A106,180)</f>
        <v>7</v>
      </c>
      <c r="J106" cm="1">
        <f t="array" aca="1" ref="J106" ca="1">[1]!s_west_stdnetprofit($B$1,YEAR($A106)+1,$A106,180,1000000)</f>
        <v>18.973754</v>
      </c>
      <c r="K106" cm="1">
        <f t="array" aca="1" ref="K106" ca="1">[1]!s_west_mediannetprofit($B$1,YEAR($A105)+1,$A105,180,1000000)</f>
        <v>123</v>
      </c>
      <c r="L106" cm="1">
        <f t="array" aca="1" ref="L106" ca="1">[1]!s_dq_close($B$1,$A106,3)</f>
        <v>23.28</v>
      </c>
    </row>
    <row r="107" spans="1:12">
      <c r="A107" s="23">
        <f t="shared" ca="1" si="1"/>
        <v>46068</v>
      </c>
      <c r="B107" cm="1">
        <f t="array" aca="1" ref="B107" ca="1">[1]!s_west_netprofit($B$1,YEAR($A107),$A107,180,1000000)</f>
        <v>73.592222000000007</v>
      </c>
      <c r="C107" cm="1">
        <f t="array" aca="1" ref="C107" ca="1">[1]!s_west_eps($B$1,YEAR($A107),$A107,180)</f>
        <v>8.4400000000000003E-2</v>
      </c>
      <c r="D107" cm="1">
        <f t="array" aca="1" ref="D107" ca="1">[1]!s_west_instnum_np($B$1,YEAR($A107),$A107,180)</f>
        <v>9</v>
      </c>
      <c r="E107" cm="1">
        <f t="array" aca="1" ref="E107" ca="1">[1]!s_west_stdnetprofit($B$1,YEAR($A107),$A107,180,1000000)</f>
        <v>26.640457999999999</v>
      </c>
      <c r="F107" cm="1">
        <f t="array" aca="1" ref="F107" ca="1">[1]!s_west_mediannetprofit($B$1,YEAR($A107),$A107,180,1000000)</f>
        <v>75</v>
      </c>
      <c r="G107" cm="1">
        <f t="array" aca="1" ref="G107" ca="1">[1]!s_west_netprofit($B$1,YEAR($A107)+1,$A107,180,1000000)</f>
        <v>118.77375000000001</v>
      </c>
      <c r="H107" cm="1">
        <f t="array" aca="1" ref="H107" ca="1">[1]!s_west_eps($B$1,YEAR($A107)+1,$A107,180)</f>
        <v>0.1358</v>
      </c>
      <c r="I107" cm="1">
        <f t="array" aca="1" ref="I107" ca="1">[1]!s_west_instnum_np($B$1,YEAR($A107)+1,$A107,180)</f>
        <v>8</v>
      </c>
      <c r="J107" cm="1">
        <f t="array" aca="1" ref="J107" ca="1">[1]!s_west_stdnetprofit($B$1,YEAR($A107)+1,$A107,180,1000000)</f>
        <v>20.630278000000001</v>
      </c>
      <c r="K107" cm="1">
        <f t="array" aca="1" ref="K107" ca="1">[1]!s_west_mediannetprofit($B$1,YEAR($A106)+1,$A106,180,1000000)</f>
        <v>123</v>
      </c>
      <c r="L107" cm="1">
        <f t="array" aca="1" ref="L107" ca="1">[1]!s_dq_close($B$1,$A107,3)</f>
        <v>23.26</v>
      </c>
    </row>
    <row r="108" spans="1:12">
      <c r="A108" s="23">
        <f t="shared" ca="1" si="1"/>
        <v>46067</v>
      </c>
      <c r="B108" cm="1">
        <f t="array" aca="1" ref="B108" ca="1">[1]!s_west_netprofit($B$1,YEAR($A108),$A108,180,1000000)</f>
        <v>67.933000000000007</v>
      </c>
      <c r="C108" cm="1">
        <f t="array" aca="1" ref="C108" ca="1">[1]!s_west_eps($B$1,YEAR($A108),$A108,180)</f>
        <v>7.7899999999999997E-2</v>
      </c>
      <c r="D108" cm="1">
        <f t="array" aca="1" ref="D108" ca="1">[1]!s_west_instnum_np($B$1,YEAR($A108),$A108,180)</f>
        <v>10</v>
      </c>
      <c r="E108" cm="1">
        <f t="array" aca="1" ref="E108" ca="1">[1]!s_west_stdnetprofit($B$1,YEAR($A108),$A108,180,1000000)</f>
        <v>30.840312000000001</v>
      </c>
      <c r="F108" cm="1">
        <f t="array" aca="1" ref="F108" ca="1">[1]!s_west_mediannetprofit($B$1,YEAR($A108),$A108,180,1000000)</f>
        <v>74</v>
      </c>
      <c r="G108" cm="1">
        <f t="array" aca="1" ref="G108" ca="1">[1]!s_west_netprofit($B$1,YEAR($A108)+1,$A108,180,1000000)</f>
        <v>107.798889</v>
      </c>
      <c r="H108" cm="1">
        <f t="array" aca="1" ref="H108" ca="1">[1]!s_west_eps($B$1,YEAR($A108)+1,$A108,180)</f>
        <v>0.12130000000000001</v>
      </c>
      <c r="I108" cm="1">
        <f t="array" aca="1" ref="I108" ca="1">[1]!s_west_instnum_np($B$1,YEAR($A108)+1,$A108,180)</f>
        <v>9</v>
      </c>
      <c r="J108" cm="1">
        <f t="array" aca="1" ref="J108" ca="1">[1]!s_west_stdnetprofit($B$1,YEAR($A108)+1,$A108,180,1000000)</f>
        <v>38.163274000000001</v>
      </c>
      <c r="K108" cm="1">
        <f t="array" aca="1" ref="K108" ca="1">[1]!s_west_mediannetprofit($B$1,YEAR($A107)+1,$A107,180,1000000)</f>
        <v>122.295</v>
      </c>
      <c r="L108" cm="1">
        <f t="array" aca="1" ref="L108" ca="1">[1]!s_dq_close($B$1,$A108,3)</f>
        <v>23.26</v>
      </c>
    </row>
    <row r="109" spans="1:12">
      <c r="A109" s="23">
        <f t="shared" ca="1" si="1"/>
        <v>46066</v>
      </c>
      <c r="B109" cm="1">
        <f t="array" aca="1" ref="B109" ca="1">[1]!s_west_netprofit($B$1,YEAR($A109),$A109,180,1000000)</f>
        <v>68.027500000000003</v>
      </c>
      <c r="C109" cm="1">
        <f t="array" aca="1" ref="C109" ca="1">[1]!s_west_eps($B$1,YEAR($A109),$A109,180)</f>
        <v>7.8E-2</v>
      </c>
      <c r="D109" cm="1">
        <f t="array" aca="1" ref="D109" ca="1">[1]!s_west_instnum_np($B$1,YEAR($A109),$A109,180)</f>
        <v>12</v>
      </c>
      <c r="E109" cm="1">
        <f t="array" aca="1" ref="E109" ca="1">[1]!s_west_stdnetprofit($B$1,YEAR($A109),$A109,180,1000000)</f>
        <v>29.642045</v>
      </c>
      <c r="F109" cm="1">
        <f t="array" aca="1" ref="F109" ca="1">[1]!s_west_mediannetprofit($B$1,YEAR($A109),$A109,180,1000000)</f>
        <v>74</v>
      </c>
      <c r="G109" cm="1">
        <f t="array" aca="1" ref="G109" ca="1">[1]!s_west_netprofit($B$1,YEAR($A109)+1,$A109,180,1000000)</f>
        <v>105.92636400000001</v>
      </c>
      <c r="H109" cm="1">
        <f t="array" aca="1" ref="H109" ca="1">[1]!s_west_eps($B$1,YEAR($A109)+1,$A109,180)</f>
        <v>0.1193</v>
      </c>
      <c r="I109" cm="1">
        <f t="array" aca="1" ref="I109" ca="1">[1]!s_west_instnum_np($B$1,YEAR($A109)+1,$A109,180)</f>
        <v>11</v>
      </c>
      <c r="J109" cm="1">
        <f t="array" aca="1" ref="J109" ca="1">[1]!s_west_stdnetprofit($B$1,YEAR($A109)+1,$A109,180,1000000)</f>
        <v>34.770028000000003</v>
      </c>
      <c r="K109" cm="1">
        <f t="array" aca="1" ref="K109" ca="1">[1]!s_west_mediannetprofit($B$1,YEAR($A108)+1,$A108,180,1000000)</f>
        <v>121.59</v>
      </c>
      <c r="L109" cm="1">
        <f t="array" aca="1" ref="L109" ca="1">[1]!s_dq_close($B$1,$A109,3)</f>
        <v>23.26</v>
      </c>
    </row>
    <row r="110" spans="1:12">
      <c r="A110" s="23">
        <f t="shared" ca="1" si="1"/>
        <v>46065</v>
      </c>
      <c r="B110" cm="1">
        <f t="array" aca="1" ref="B110" ca="1">[1]!s_west_netprofit($B$1,YEAR($A110),$A110,180,1000000)</f>
        <v>68.027500000000003</v>
      </c>
      <c r="C110" cm="1">
        <f t="array" aca="1" ref="C110" ca="1">[1]!s_west_eps($B$1,YEAR($A110),$A110,180)</f>
        <v>7.8E-2</v>
      </c>
      <c r="D110" cm="1">
        <f t="array" aca="1" ref="D110" ca="1">[1]!s_west_instnum_np($B$1,YEAR($A110),$A110,180)</f>
        <v>12</v>
      </c>
      <c r="E110" cm="1">
        <f t="array" aca="1" ref="E110" ca="1">[1]!s_west_stdnetprofit($B$1,YEAR($A110),$A110,180,1000000)</f>
        <v>29.642045</v>
      </c>
      <c r="F110" cm="1">
        <f t="array" aca="1" ref="F110" ca="1">[1]!s_west_mediannetprofit($B$1,YEAR($A110),$A110,180,1000000)</f>
        <v>74</v>
      </c>
      <c r="G110" cm="1">
        <f t="array" aca="1" ref="G110" ca="1">[1]!s_west_netprofit($B$1,YEAR($A110)+1,$A110,180,1000000)</f>
        <v>105.92636400000001</v>
      </c>
      <c r="H110" cm="1">
        <f t="array" aca="1" ref="H110" ca="1">[1]!s_west_eps($B$1,YEAR($A110)+1,$A110,180)</f>
        <v>0.1193</v>
      </c>
      <c r="I110" cm="1">
        <f t="array" aca="1" ref="I110" ca="1">[1]!s_west_instnum_np($B$1,YEAR($A110)+1,$A110,180)</f>
        <v>11</v>
      </c>
      <c r="J110" cm="1">
        <f t="array" aca="1" ref="J110" ca="1">[1]!s_west_stdnetprofit($B$1,YEAR($A110)+1,$A110,180,1000000)</f>
        <v>34.770028000000003</v>
      </c>
      <c r="K110" cm="1">
        <f t="array" aca="1" ref="K110" ca="1">[1]!s_west_mediannetprofit($B$1,YEAR($A109)+1,$A109,180,1000000)</f>
        <v>109</v>
      </c>
      <c r="L110" cm="1">
        <f t="array" aca="1" ref="L110" ca="1">[1]!s_dq_close($B$1,$A110,3)</f>
        <v>23.18</v>
      </c>
    </row>
    <row r="111" spans="1:12">
      <c r="A111" s="23">
        <f t="shared" ca="1" si="1"/>
        <v>46064</v>
      </c>
      <c r="B111" cm="1">
        <f t="array" aca="1" ref="B111" ca="1">[1]!s_west_netprofit($B$1,YEAR($A111),$A111,180,1000000)</f>
        <v>68.027500000000003</v>
      </c>
      <c r="C111" cm="1">
        <f t="array" aca="1" ref="C111" ca="1">[1]!s_west_eps($B$1,YEAR($A111),$A111,180)</f>
        <v>7.8E-2</v>
      </c>
      <c r="D111" cm="1">
        <f t="array" aca="1" ref="D111" ca="1">[1]!s_west_instnum_np($B$1,YEAR($A111),$A111,180)</f>
        <v>12</v>
      </c>
      <c r="E111" cm="1">
        <f t="array" aca="1" ref="E111" ca="1">[1]!s_west_stdnetprofit($B$1,YEAR($A111),$A111,180,1000000)</f>
        <v>29.642045</v>
      </c>
      <c r="F111" cm="1">
        <f t="array" aca="1" ref="F111" ca="1">[1]!s_west_mediannetprofit($B$1,YEAR($A111),$A111,180,1000000)</f>
        <v>74</v>
      </c>
      <c r="G111" cm="1">
        <f t="array" aca="1" ref="G111" ca="1">[1]!s_west_netprofit($B$1,YEAR($A111)+1,$A111,180,1000000)</f>
        <v>105.92636400000001</v>
      </c>
      <c r="H111" cm="1">
        <f t="array" aca="1" ref="H111" ca="1">[1]!s_west_eps($B$1,YEAR($A111)+1,$A111,180)</f>
        <v>0.1193</v>
      </c>
      <c r="I111" cm="1">
        <f t="array" aca="1" ref="I111" ca="1">[1]!s_west_instnum_np($B$1,YEAR($A111)+1,$A111,180)</f>
        <v>11</v>
      </c>
      <c r="J111" cm="1">
        <f t="array" aca="1" ref="J111" ca="1">[1]!s_west_stdnetprofit($B$1,YEAR($A111)+1,$A111,180,1000000)</f>
        <v>34.770028000000003</v>
      </c>
      <c r="K111" cm="1">
        <f t="array" aca="1" ref="K111" ca="1">[1]!s_west_mediannetprofit($B$1,YEAR($A110)+1,$A110,180,1000000)</f>
        <v>109</v>
      </c>
      <c r="L111" cm="1">
        <f t="array" aca="1" ref="L111" ca="1">[1]!s_dq_close($B$1,$A111,3)</f>
        <v>23.56</v>
      </c>
    </row>
    <row r="112" spans="1:12">
      <c r="A112" s="23">
        <f t="shared" ca="1" si="1"/>
        <v>46063</v>
      </c>
      <c r="B112" cm="1">
        <f t="array" aca="1" ref="B112" ca="1">[1]!s_west_netprofit($B$1,YEAR($A112),$A112,180,1000000)</f>
        <v>68.027500000000003</v>
      </c>
      <c r="C112" cm="1">
        <f t="array" aca="1" ref="C112" ca="1">[1]!s_west_eps($B$1,YEAR($A112),$A112,180)</f>
        <v>7.8E-2</v>
      </c>
      <c r="D112" cm="1">
        <f t="array" aca="1" ref="D112" ca="1">[1]!s_west_instnum_np($B$1,YEAR($A112),$A112,180)</f>
        <v>12</v>
      </c>
      <c r="E112" cm="1">
        <f t="array" aca="1" ref="E112" ca="1">[1]!s_west_stdnetprofit($B$1,YEAR($A112),$A112,180,1000000)</f>
        <v>29.642045</v>
      </c>
      <c r="F112" cm="1">
        <f t="array" aca="1" ref="F112" ca="1">[1]!s_west_mediannetprofit($B$1,YEAR($A112),$A112,180,1000000)</f>
        <v>74</v>
      </c>
      <c r="G112" cm="1">
        <f t="array" aca="1" ref="G112" ca="1">[1]!s_west_netprofit($B$1,YEAR($A112)+1,$A112,180,1000000)</f>
        <v>105.92636400000001</v>
      </c>
      <c r="H112" cm="1">
        <f t="array" aca="1" ref="H112" ca="1">[1]!s_west_eps($B$1,YEAR($A112)+1,$A112,180)</f>
        <v>0.1193</v>
      </c>
      <c r="I112" cm="1">
        <f t="array" aca="1" ref="I112" ca="1">[1]!s_west_instnum_np($B$1,YEAR($A112)+1,$A112,180)</f>
        <v>11</v>
      </c>
      <c r="J112" cm="1">
        <f t="array" aca="1" ref="J112" ca="1">[1]!s_west_stdnetprofit($B$1,YEAR($A112)+1,$A112,180,1000000)</f>
        <v>34.770028000000003</v>
      </c>
      <c r="K112" cm="1">
        <f t="array" aca="1" ref="K112" ca="1">[1]!s_west_mediannetprofit($B$1,YEAR($A111)+1,$A111,180,1000000)</f>
        <v>109</v>
      </c>
      <c r="L112" cm="1">
        <f t="array" aca="1" ref="L112" ca="1">[1]!s_dq_close($B$1,$A112,3)</f>
        <v>23.54</v>
      </c>
    </row>
    <row r="113" spans="1:12">
      <c r="A113" s="23">
        <f t="shared" ca="1" si="1"/>
        <v>46062</v>
      </c>
      <c r="B113" cm="1">
        <f t="array" aca="1" ref="B113" ca="1">[1]!s_west_netprofit($B$1,YEAR($A113),$A113,180,1000000)</f>
        <v>68.027500000000003</v>
      </c>
      <c r="C113" cm="1">
        <f t="array" aca="1" ref="C113" ca="1">[1]!s_west_eps($B$1,YEAR($A113),$A113,180)</f>
        <v>7.8E-2</v>
      </c>
      <c r="D113" cm="1">
        <f t="array" aca="1" ref="D113" ca="1">[1]!s_west_instnum_np($B$1,YEAR($A113),$A113,180)</f>
        <v>12</v>
      </c>
      <c r="E113" cm="1">
        <f t="array" aca="1" ref="E113" ca="1">[1]!s_west_stdnetprofit($B$1,YEAR($A113),$A113,180,1000000)</f>
        <v>29.642045</v>
      </c>
      <c r="F113" cm="1">
        <f t="array" aca="1" ref="F113" ca="1">[1]!s_west_mediannetprofit($B$1,YEAR($A113),$A113,180,1000000)</f>
        <v>74</v>
      </c>
      <c r="G113" cm="1">
        <f t="array" aca="1" ref="G113" ca="1">[1]!s_west_netprofit($B$1,YEAR($A113)+1,$A113,180,1000000)</f>
        <v>105.92636400000001</v>
      </c>
      <c r="H113" cm="1">
        <f t="array" aca="1" ref="H113" ca="1">[1]!s_west_eps($B$1,YEAR($A113)+1,$A113,180)</f>
        <v>0.1193</v>
      </c>
      <c r="I113" cm="1">
        <f t="array" aca="1" ref="I113" ca="1">[1]!s_west_instnum_np($B$1,YEAR($A113)+1,$A113,180)</f>
        <v>11</v>
      </c>
      <c r="J113" cm="1">
        <f t="array" aca="1" ref="J113" ca="1">[1]!s_west_stdnetprofit($B$1,YEAR($A113)+1,$A113,180,1000000)</f>
        <v>34.770028000000003</v>
      </c>
      <c r="K113" cm="1">
        <f t="array" aca="1" ref="K113" ca="1">[1]!s_west_mediannetprofit($B$1,YEAR($A112)+1,$A112,180,1000000)</f>
        <v>109</v>
      </c>
      <c r="L113" cm="1">
        <f t="array" aca="1" ref="L113" ca="1">[1]!s_dq_close($B$1,$A113,3)</f>
        <v>23.68</v>
      </c>
    </row>
    <row r="114" spans="1:12">
      <c r="A114" s="23">
        <f t="shared" ca="1" si="1"/>
        <v>46061</v>
      </c>
      <c r="B114" cm="1">
        <f t="array" aca="1" ref="B114" ca="1">[1]!s_west_netprofit($B$1,YEAR($A114),$A114,180,1000000)</f>
        <v>68.027500000000003</v>
      </c>
      <c r="C114" cm="1">
        <f t="array" aca="1" ref="C114" ca="1">[1]!s_west_eps($B$1,YEAR($A114),$A114,180)</f>
        <v>7.8E-2</v>
      </c>
      <c r="D114" cm="1">
        <f t="array" aca="1" ref="D114" ca="1">[1]!s_west_instnum_np($B$1,YEAR($A114),$A114,180)</f>
        <v>12</v>
      </c>
      <c r="E114" cm="1">
        <f t="array" aca="1" ref="E114" ca="1">[1]!s_west_stdnetprofit($B$1,YEAR($A114),$A114,180,1000000)</f>
        <v>29.642045</v>
      </c>
      <c r="F114" cm="1">
        <f t="array" aca="1" ref="F114" ca="1">[1]!s_west_mediannetprofit($B$1,YEAR($A114),$A114,180,1000000)</f>
        <v>74</v>
      </c>
      <c r="G114" cm="1">
        <f t="array" aca="1" ref="G114" ca="1">[1]!s_west_netprofit($B$1,YEAR($A114)+1,$A114,180,1000000)</f>
        <v>105.92636400000001</v>
      </c>
      <c r="H114" cm="1">
        <f t="array" aca="1" ref="H114" ca="1">[1]!s_west_eps($B$1,YEAR($A114)+1,$A114,180)</f>
        <v>0.1193</v>
      </c>
      <c r="I114" cm="1">
        <f t="array" aca="1" ref="I114" ca="1">[1]!s_west_instnum_np($B$1,YEAR($A114)+1,$A114,180)</f>
        <v>11</v>
      </c>
      <c r="J114" cm="1">
        <f t="array" aca="1" ref="J114" ca="1">[1]!s_west_stdnetprofit($B$1,YEAR($A114)+1,$A114,180,1000000)</f>
        <v>34.770028000000003</v>
      </c>
      <c r="K114" cm="1">
        <f t="array" aca="1" ref="K114" ca="1">[1]!s_west_mediannetprofit($B$1,YEAR($A113)+1,$A113,180,1000000)</f>
        <v>109</v>
      </c>
      <c r="L114" cm="1">
        <f t="array" aca="1" ref="L114" ca="1">[1]!s_dq_close($B$1,$A114,3)</f>
        <v>23.38</v>
      </c>
    </row>
    <row r="115" spans="1:12">
      <c r="A115" s="23">
        <f t="shared" ca="1" si="1"/>
        <v>46060</v>
      </c>
      <c r="B115" cm="1">
        <f t="array" aca="1" ref="B115" ca="1">[1]!s_west_netprofit($B$1,YEAR($A115),$A115,180,1000000)</f>
        <v>63.559286</v>
      </c>
      <c r="C115" cm="1">
        <f t="array" aca="1" ref="C115" ca="1">[1]!s_west_eps($B$1,YEAR($A115),$A115,180)</f>
        <v>7.2900000000000006E-2</v>
      </c>
      <c r="D115" cm="1">
        <f t="array" aca="1" ref="D115" ca="1">[1]!s_west_instnum_np($B$1,YEAR($A115),$A115,180)</f>
        <v>14</v>
      </c>
      <c r="E115" cm="1">
        <f t="array" aca="1" ref="E115" ca="1">[1]!s_west_stdnetprofit($B$1,YEAR($A115),$A115,180,1000000)</f>
        <v>30.800024000000001</v>
      </c>
      <c r="F115" cm="1">
        <f t="array" aca="1" ref="F115" ca="1">[1]!s_west_mediannetprofit($B$1,YEAR($A115),$A115,180,1000000)</f>
        <v>70.5</v>
      </c>
      <c r="G115" cm="1">
        <f t="array" aca="1" ref="G115" ca="1">[1]!s_west_netprofit($B$1,YEAR($A115)+1,$A115,180,1000000)</f>
        <v>99.77</v>
      </c>
      <c r="H115" cm="1">
        <f t="array" aca="1" ref="H115" ca="1">[1]!s_west_eps($B$1,YEAR($A115)+1,$A115,180)</f>
        <v>0.1128</v>
      </c>
      <c r="I115" cm="1">
        <f t="array" aca="1" ref="I115" ca="1">[1]!s_west_instnum_np($B$1,YEAR($A115)+1,$A115,180)</f>
        <v>13</v>
      </c>
      <c r="J115" cm="1">
        <f t="array" aca="1" ref="J115" ca="1">[1]!s_west_stdnetprofit($B$1,YEAR($A115)+1,$A115,180,1000000)</f>
        <v>35.140850999999998</v>
      </c>
      <c r="K115" cm="1">
        <f t="array" aca="1" ref="K115" ca="1">[1]!s_west_mediannetprofit($B$1,YEAR($A114)+1,$A114,180,1000000)</f>
        <v>109</v>
      </c>
      <c r="L115" cm="1">
        <f t="array" aca="1" ref="L115" ca="1">[1]!s_dq_close($B$1,$A115,3)</f>
        <v>23.38</v>
      </c>
    </row>
    <row r="116" spans="1:12">
      <c r="A116" s="23">
        <f t="shared" ca="1" si="1"/>
        <v>46059</v>
      </c>
      <c r="B116" cm="1">
        <f t="array" aca="1" ref="B116" ca="1">[1]!s_west_netprofit($B$1,YEAR($A116),$A116,180,1000000)</f>
        <v>63.989375000000003</v>
      </c>
      <c r="C116" cm="1">
        <f t="array" aca="1" ref="C116" ca="1">[1]!s_west_eps($B$1,YEAR($A116),$A116,180)</f>
        <v>7.3400000000000007E-2</v>
      </c>
      <c r="D116" cm="1">
        <f t="array" aca="1" ref="D116" ca="1">[1]!s_west_instnum_np($B$1,YEAR($A116),$A116,180)</f>
        <v>16</v>
      </c>
      <c r="E116" cm="1">
        <f t="array" aca="1" ref="E116" ca="1">[1]!s_west_stdnetprofit($B$1,YEAR($A116),$A116,180,1000000)</f>
        <v>30.464248999999999</v>
      </c>
      <c r="F116" cm="1">
        <f t="array" aca="1" ref="F116" ca="1">[1]!s_west_mediannetprofit($B$1,YEAR($A116),$A116,180,1000000)</f>
        <v>70.5</v>
      </c>
      <c r="G116" cm="1">
        <f t="array" aca="1" ref="G116" ca="1">[1]!s_west_netprofit($B$1,YEAR($A116)+1,$A116,180,1000000)</f>
        <v>105.53400000000001</v>
      </c>
      <c r="H116" cm="1">
        <f t="array" aca="1" ref="H116" ca="1">[1]!s_west_eps($B$1,YEAR($A116)+1,$A116,180)</f>
        <v>0.11990000000000001</v>
      </c>
      <c r="I116" cm="1">
        <f t="array" aca="1" ref="I116" ca="1">[1]!s_west_instnum_np($B$1,YEAR($A116)+1,$A116,180)</f>
        <v>15</v>
      </c>
      <c r="J116" cm="1">
        <f t="array" aca="1" ref="J116" ca="1">[1]!s_west_stdnetprofit($B$1,YEAR($A116)+1,$A116,180,1000000)</f>
        <v>46.226045999999997</v>
      </c>
      <c r="K116" cm="1">
        <f t="array" aca="1" ref="K116" ca="1">[1]!s_west_mediannetprofit($B$1,YEAR($A115)+1,$A115,180,1000000)</f>
        <v>108</v>
      </c>
      <c r="L116" cm="1">
        <f t="array" aca="1" ref="L116" ca="1">[1]!s_dq_close($B$1,$A116,3)</f>
        <v>23.38</v>
      </c>
    </row>
    <row r="117" spans="1:12">
      <c r="A117" s="23">
        <f t="shared" ca="1" si="1"/>
        <v>46058</v>
      </c>
      <c r="B117" cm="1">
        <f t="array" aca="1" ref="B117" ca="1">[1]!s_west_netprofit($B$1,YEAR($A117),$A117,180,1000000)</f>
        <v>63.722940999999999</v>
      </c>
      <c r="C117" cm="1">
        <f t="array" aca="1" ref="C117" ca="1">[1]!s_west_eps($B$1,YEAR($A117),$A117,180)</f>
        <v>7.2999999999999995E-2</v>
      </c>
      <c r="D117" cm="1">
        <f t="array" aca="1" ref="D117" ca="1">[1]!s_west_instnum_np($B$1,YEAR($A117),$A117,180)</f>
        <v>17</v>
      </c>
      <c r="E117" cm="1">
        <f t="array" aca="1" ref="E117" ca="1">[1]!s_west_stdnetprofit($B$1,YEAR($A117),$A117,180,1000000)</f>
        <v>29.517330999999999</v>
      </c>
      <c r="F117" cm="1">
        <f t="array" aca="1" ref="F117" ca="1">[1]!s_west_mediannetprofit($B$1,YEAR($A117),$A117,180,1000000)</f>
        <v>68</v>
      </c>
      <c r="G117" cm="1">
        <f t="array" aca="1" ref="G117" ca="1">[1]!s_west_netprofit($B$1,YEAR($A117)+1,$A117,180,1000000)</f>
        <v>104.62625</v>
      </c>
      <c r="H117" cm="1">
        <f t="array" aca="1" ref="H117" ca="1">[1]!s_west_eps($B$1,YEAR($A117)+1,$A117,180)</f>
        <v>0.1186</v>
      </c>
      <c r="I117" cm="1">
        <f t="array" aca="1" ref="I117" ca="1">[1]!s_west_instnum_np($B$1,YEAR($A117)+1,$A117,180)</f>
        <v>16</v>
      </c>
      <c r="J117" cm="1">
        <f t="array" aca="1" ref="J117" ca="1">[1]!s_west_stdnetprofit($B$1,YEAR($A117)+1,$A117,180,1000000)</f>
        <v>44.805971</v>
      </c>
      <c r="K117" cm="1">
        <f t="array" aca="1" ref="K117" ca="1">[1]!s_west_mediannetprofit($B$1,YEAR($A116)+1,$A116,180,1000000)</f>
        <v>108</v>
      </c>
      <c r="L117" cm="1">
        <f t="array" aca="1" ref="L117" ca="1">[1]!s_dq_close($B$1,$A117,3)</f>
        <v>23.08</v>
      </c>
    </row>
    <row r="118" spans="1:12">
      <c r="A118" s="23">
        <f t="shared" ca="1" si="1"/>
        <v>46057</v>
      </c>
      <c r="B118" cm="1">
        <f t="array" aca="1" ref="B118" ca="1">[1]!s_west_netprofit($B$1,YEAR($A118),$A118,180,1000000)</f>
        <v>63.722940999999999</v>
      </c>
      <c r="C118" cm="1">
        <f t="array" aca="1" ref="C118" ca="1">[1]!s_west_eps($B$1,YEAR($A118),$A118,180)</f>
        <v>7.2999999999999995E-2</v>
      </c>
      <c r="D118" cm="1">
        <f t="array" aca="1" ref="D118" ca="1">[1]!s_west_instnum_np($B$1,YEAR($A118),$A118,180)</f>
        <v>17</v>
      </c>
      <c r="E118" cm="1">
        <f t="array" aca="1" ref="E118" ca="1">[1]!s_west_stdnetprofit($B$1,YEAR($A118),$A118,180,1000000)</f>
        <v>29.517330999999999</v>
      </c>
      <c r="F118" cm="1">
        <f t="array" aca="1" ref="F118" ca="1">[1]!s_west_mediannetprofit($B$1,YEAR($A118),$A118,180,1000000)</f>
        <v>68</v>
      </c>
      <c r="G118" cm="1">
        <f t="array" aca="1" ref="G118" ca="1">[1]!s_west_netprofit($B$1,YEAR($A118)+1,$A118,180,1000000)</f>
        <v>104.62625</v>
      </c>
      <c r="H118" cm="1">
        <f t="array" aca="1" ref="H118" ca="1">[1]!s_west_eps($B$1,YEAR($A118)+1,$A118,180)</f>
        <v>0.1186</v>
      </c>
      <c r="I118" cm="1">
        <f t="array" aca="1" ref="I118" ca="1">[1]!s_west_instnum_np($B$1,YEAR($A118)+1,$A118,180)</f>
        <v>16</v>
      </c>
      <c r="J118" cm="1">
        <f t="array" aca="1" ref="J118" ca="1">[1]!s_west_stdnetprofit($B$1,YEAR($A118)+1,$A118,180,1000000)</f>
        <v>44.805971</v>
      </c>
      <c r="K118" cm="1">
        <f t="array" aca="1" ref="K118" ca="1">[1]!s_west_mediannetprofit($B$1,YEAR($A117)+1,$A117,180,1000000)</f>
        <v>100</v>
      </c>
      <c r="L118" cm="1">
        <f t="array" aca="1" ref="L118" ca="1">[1]!s_dq_close($B$1,$A118,3)</f>
        <v>22.94</v>
      </c>
    </row>
    <row r="119" spans="1:12">
      <c r="A119" s="23">
        <f t="shared" ca="1" si="1"/>
        <v>46056</v>
      </c>
      <c r="B119" cm="1">
        <f t="array" aca="1" ref="B119" ca="1">[1]!s_west_netprofit($B$1,YEAR($A119),$A119,180,1000000)</f>
        <v>67.224525999999997</v>
      </c>
      <c r="C119" cm="1">
        <f t="array" aca="1" ref="C119" ca="1">[1]!s_west_eps($B$1,YEAR($A119),$A119,180)</f>
        <v>7.7100000000000002E-2</v>
      </c>
      <c r="D119" cm="1">
        <f t="array" aca="1" ref="D119" ca="1">[1]!s_west_instnum_np($B$1,YEAR($A119),$A119,180)</f>
        <v>19</v>
      </c>
      <c r="E119" cm="1">
        <f t="array" aca="1" ref="E119" ca="1">[1]!s_west_stdnetprofit($B$1,YEAR($A119),$A119,180,1000000)</f>
        <v>32.263871999999999</v>
      </c>
      <c r="F119" cm="1">
        <f t="array" aca="1" ref="F119" ca="1">[1]!s_west_mediannetprofit($B$1,YEAR($A119),$A119,180,1000000)</f>
        <v>68</v>
      </c>
      <c r="G119" cm="1">
        <f t="array" aca="1" ref="G119" ca="1">[1]!s_west_netprofit($B$1,YEAR($A119)+1,$A119,180,1000000)</f>
        <v>106.107833</v>
      </c>
      <c r="H119" cm="1">
        <f t="array" aca="1" ref="H119" ca="1">[1]!s_west_eps($B$1,YEAR($A119)+1,$A119,180)</f>
        <v>0.11990000000000001</v>
      </c>
      <c r="I119" cm="1">
        <f t="array" aca="1" ref="I119" ca="1">[1]!s_west_instnum_np($B$1,YEAR($A119)+1,$A119,180)</f>
        <v>18</v>
      </c>
      <c r="J119" cm="1">
        <f t="array" aca="1" ref="J119" ca="1">[1]!s_west_stdnetprofit($B$1,YEAR($A119)+1,$A119,180,1000000)</f>
        <v>43.306280999999998</v>
      </c>
      <c r="K119" cm="1">
        <f t="array" aca="1" ref="K119" ca="1">[1]!s_west_mediannetprofit($B$1,YEAR($A118)+1,$A118,180,1000000)</f>
        <v>100</v>
      </c>
      <c r="L119" cm="1">
        <f t="array" aca="1" ref="L119" ca="1">[1]!s_dq_close($B$1,$A119,3)</f>
        <v>22.88</v>
      </c>
    </row>
    <row r="120" spans="1:12">
      <c r="A120" s="23">
        <f t="shared" ca="1" si="1"/>
        <v>46055</v>
      </c>
      <c r="B120" cm="1">
        <f t="array" aca="1" ref="B120" ca="1">[1]!s_west_netprofit($B$1,YEAR($A120),$A120,180,1000000)</f>
        <v>67.224525999999997</v>
      </c>
      <c r="C120" cm="1">
        <f t="array" aca="1" ref="C120" ca="1">[1]!s_west_eps($B$1,YEAR($A120),$A120,180)</f>
        <v>7.7100000000000002E-2</v>
      </c>
      <c r="D120" cm="1">
        <f t="array" aca="1" ref="D120" ca="1">[1]!s_west_instnum_np($B$1,YEAR($A120),$A120,180)</f>
        <v>19</v>
      </c>
      <c r="E120" cm="1">
        <f t="array" aca="1" ref="E120" ca="1">[1]!s_west_stdnetprofit($B$1,YEAR($A120),$A120,180,1000000)</f>
        <v>32.263871999999999</v>
      </c>
      <c r="F120" cm="1">
        <f t="array" aca="1" ref="F120" ca="1">[1]!s_west_mediannetprofit($B$1,YEAR($A120),$A120,180,1000000)</f>
        <v>68</v>
      </c>
      <c r="G120" cm="1">
        <f t="array" aca="1" ref="G120" ca="1">[1]!s_west_netprofit($B$1,YEAR($A120)+1,$A120,180,1000000)</f>
        <v>106.107833</v>
      </c>
      <c r="H120" cm="1">
        <f t="array" aca="1" ref="H120" ca="1">[1]!s_west_eps($B$1,YEAR($A120)+1,$A120,180)</f>
        <v>0.11990000000000001</v>
      </c>
      <c r="I120" cm="1">
        <f t="array" aca="1" ref="I120" ca="1">[1]!s_west_instnum_np($B$1,YEAR($A120)+1,$A120,180)</f>
        <v>18</v>
      </c>
      <c r="J120" cm="1">
        <f t="array" aca="1" ref="J120" ca="1">[1]!s_west_stdnetprofit($B$1,YEAR($A120)+1,$A120,180,1000000)</f>
        <v>43.306280999999998</v>
      </c>
      <c r="K120" cm="1">
        <f t="array" aca="1" ref="K120" ca="1">[1]!s_west_mediannetprofit($B$1,YEAR($A119)+1,$A119,180,1000000)</f>
        <v>100</v>
      </c>
      <c r="L120" cm="1">
        <f t="array" aca="1" ref="L120" ca="1">[1]!s_dq_close($B$1,$A120,3)</f>
        <v>22.58</v>
      </c>
    </row>
    <row r="121" spans="1:12">
      <c r="A121" s="23">
        <f t="shared" ca="1" si="1"/>
        <v>46054</v>
      </c>
      <c r="B121" cm="1">
        <f t="array" aca="1" ref="B121" ca="1">[1]!s_west_netprofit($B$1,YEAR($A121),$A121,180,1000000)</f>
        <v>67.224525999999997</v>
      </c>
      <c r="C121" cm="1">
        <f t="array" aca="1" ref="C121" ca="1">[1]!s_west_eps($B$1,YEAR($A121),$A121,180)</f>
        <v>7.7100000000000002E-2</v>
      </c>
      <c r="D121" cm="1">
        <f t="array" aca="1" ref="D121" ca="1">[1]!s_west_instnum_np($B$1,YEAR($A121),$A121,180)</f>
        <v>19</v>
      </c>
      <c r="E121" cm="1">
        <f t="array" aca="1" ref="E121" ca="1">[1]!s_west_stdnetprofit($B$1,YEAR($A121),$A121,180,1000000)</f>
        <v>32.263871999999999</v>
      </c>
      <c r="F121" cm="1">
        <f t="array" aca="1" ref="F121" ca="1">[1]!s_west_mediannetprofit($B$1,YEAR($A121),$A121,180,1000000)</f>
        <v>68</v>
      </c>
      <c r="G121" cm="1">
        <f t="array" aca="1" ref="G121" ca="1">[1]!s_west_netprofit($B$1,YEAR($A121)+1,$A121,180,1000000)</f>
        <v>106.107833</v>
      </c>
      <c r="H121" cm="1">
        <f t="array" aca="1" ref="H121" ca="1">[1]!s_west_eps($B$1,YEAR($A121)+1,$A121,180)</f>
        <v>0.11990000000000001</v>
      </c>
      <c r="I121" cm="1">
        <f t="array" aca="1" ref="I121" ca="1">[1]!s_west_instnum_np($B$1,YEAR($A121)+1,$A121,180)</f>
        <v>18</v>
      </c>
      <c r="J121" cm="1">
        <f t="array" aca="1" ref="J121" ca="1">[1]!s_west_stdnetprofit($B$1,YEAR($A121)+1,$A121,180,1000000)</f>
        <v>43.306280999999998</v>
      </c>
      <c r="K121" cm="1">
        <f t="array" aca="1" ref="K121" ca="1">[1]!s_west_mediannetprofit($B$1,YEAR($A120)+1,$A120,180,1000000)</f>
        <v>100</v>
      </c>
      <c r="L121" cm="1">
        <f t="array" aca="1" ref="L121" ca="1">[1]!s_dq_close($B$1,$A121,3)</f>
        <v>23.38</v>
      </c>
    </row>
    <row r="122" spans="1:12">
      <c r="A122" s="23">
        <f t="shared" ca="1" si="1"/>
        <v>46053</v>
      </c>
      <c r="B122" cm="1">
        <f t="array" aca="1" ref="B122" ca="1">[1]!s_west_netprofit($B$1,YEAR($A122),$A122,180,1000000)</f>
        <v>67.224525999999997</v>
      </c>
      <c r="C122" cm="1">
        <f t="array" aca="1" ref="C122" ca="1">[1]!s_west_eps($B$1,YEAR($A122),$A122,180)</f>
        <v>7.7100000000000002E-2</v>
      </c>
      <c r="D122" cm="1">
        <f t="array" aca="1" ref="D122" ca="1">[1]!s_west_instnum_np($B$1,YEAR($A122),$A122,180)</f>
        <v>19</v>
      </c>
      <c r="E122" cm="1">
        <f t="array" aca="1" ref="E122" ca="1">[1]!s_west_stdnetprofit($B$1,YEAR($A122),$A122,180,1000000)</f>
        <v>32.263871999999999</v>
      </c>
      <c r="F122" cm="1">
        <f t="array" aca="1" ref="F122" ca="1">[1]!s_west_mediannetprofit($B$1,YEAR($A122),$A122,180,1000000)</f>
        <v>68</v>
      </c>
      <c r="G122" cm="1">
        <f t="array" aca="1" ref="G122" ca="1">[1]!s_west_netprofit($B$1,YEAR($A122)+1,$A122,180,1000000)</f>
        <v>106.107833</v>
      </c>
      <c r="H122" cm="1">
        <f t="array" aca="1" ref="H122" ca="1">[1]!s_west_eps($B$1,YEAR($A122)+1,$A122,180)</f>
        <v>0.11990000000000001</v>
      </c>
      <c r="I122" cm="1">
        <f t="array" aca="1" ref="I122" ca="1">[1]!s_west_instnum_np($B$1,YEAR($A122)+1,$A122,180)</f>
        <v>18</v>
      </c>
      <c r="J122" cm="1">
        <f t="array" aca="1" ref="J122" ca="1">[1]!s_west_stdnetprofit($B$1,YEAR($A122)+1,$A122,180,1000000)</f>
        <v>43.306280999999998</v>
      </c>
      <c r="K122" cm="1">
        <f t="array" aca="1" ref="K122" ca="1">[1]!s_west_mediannetprofit($B$1,YEAR($A121)+1,$A121,180,1000000)</f>
        <v>100</v>
      </c>
      <c r="L122" cm="1">
        <f t="array" aca="1" ref="L122" ca="1">[1]!s_dq_close($B$1,$A122,3)</f>
        <v>23.38</v>
      </c>
    </row>
    <row r="123" spans="1:12">
      <c r="A123" s="23">
        <f t="shared" ca="1" si="1"/>
        <v>46052</v>
      </c>
      <c r="B123" cm="1">
        <f t="array" aca="1" ref="B123" ca="1">[1]!s_west_netprofit($B$1,YEAR($A123),$A123,180,1000000)</f>
        <v>67.224525999999997</v>
      </c>
      <c r="C123" cm="1">
        <f t="array" aca="1" ref="C123" ca="1">[1]!s_west_eps($B$1,YEAR($A123),$A123,180)</f>
        <v>7.7100000000000002E-2</v>
      </c>
      <c r="D123" cm="1">
        <f t="array" aca="1" ref="D123" ca="1">[1]!s_west_instnum_np($B$1,YEAR($A123),$A123,180)</f>
        <v>19</v>
      </c>
      <c r="E123" cm="1">
        <f t="array" aca="1" ref="E123" ca="1">[1]!s_west_stdnetprofit($B$1,YEAR($A123),$A123,180,1000000)</f>
        <v>32.263871999999999</v>
      </c>
      <c r="F123" cm="1">
        <f t="array" aca="1" ref="F123" ca="1">[1]!s_west_mediannetprofit($B$1,YEAR($A123),$A123,180,1000000)</f>
        <v>68</v>
      </c>
      <c r="G123" cm="1">
        <f t="array" aca="1" ref="G123" ca="1">[1]!s_west_netprofit($B$1,YEAR($A123)+1,$A123,180,1000000)</f>
        <v>106.107833</v>
      </c>
      <c r="H123" cm="1">
        <f t="array" aca="1" ref="H123" ca="1">[1]!s_west_eps($B$1,YEAR($A123)+1,$A123,180)</f>
        <v>0.11990000000000001</v>
      </c>
      <c r="I123" cm="1">
        <f t="array" aca="1" ref="I123" ca="1">[1]!s_west_instnum_np($B$1,YEAR($A123)+1,$A123,180)</f>
        <v>18</v>
      </c>
      <c r="J123" cm="1">
        <f t="array" aca="1" ref="J123" ca="1">[1]!s_west_stdnetprofit($B$1,YEAR($A123)+1,$A123,180,1000000)</f>
        <v>43.306280999999998</v>
      </c>
      <c r="K123" cm="1">
        <f t="array" aca="1" ref="K123" ca="1">[1]!s_west_mediannetprofit($B$1,YEAR($A122)+1,$A122,180,1000000)</f>
        <v>100</v>
      </c>
      <c r="L123" cm="1">
        <f t="array" aca="1" ref="L123" ca="1">[1]!s_dq_close($B$1,$A123,3)</f>
        <v>23.38</v>
      </c>
    </row>
    <row r="124" spans="1:12">
      <c r="A124" s="23">
        <f t="shared" ca="1" si="1"/>
        <v>46051</v>
      </c>
      <c r="B124" cm="1">
        <f t="array" aca="1" ref="B124" ca="1">[1]!s_west_netprofit($B$1,YEAR($A124),$A124,180,1000000)</f>
        <v>67.224525999999997</v>
      </c>
      <c r="C124" cm="1">
        <f t="array" aca="1" ref="C124" ca="1">[1]!s_west_eps($B$1,YEAR($A124),$A124,180)</f>
        <v>7.7100000000000002E-2</v>
      </c>
      <c r="D124" cm="1">
        <f t="array" aca="1" ref="D124" ca="1">[1]!s_west_instnum_np($B$1,YEAR($A124),$A124,180)</f>
        <v>19</v>
      </c>
      <c r="E124" cm="1">
        <f t="array" aca="1" ref="E124" ca="1">[1]!s_west_stdnetprofit($B$1,YEAR($A124),$A124,180,1000000)</f>
        <v>32.263871999999999</v>
      </c>
      <c r="F124" cm="1">
        <f t="array" aca="1" ref="F124" ca="1">[1]!s_west_mediannetprofit($B$1,YEAR($A124),$A124,180,1000000)</f>
        <v>68</v>
      </c>
      <c r="G124" cm="1">
        <f t="array" aca="1" ref="G124" ca="1">[1]!s_west_netprofit($B$1,YEAR($A124)+1,$A124,180,1000000)</f>
        <v>106.107833</v>
      </c>
      <c r="H124" cm="1">
        <f t="array" aca="1" ref="H124" ca="1">[1]!s_west_eps($B$1,YEAR($A124)+1,$A124,180)</f>
        <v>0.11990000000000001</v>
      </c>
      <c r="I124" cm="1">
        <f t="array" aca="1" ref="I124" ca="1">[1]!s_west_instnum_np($B$1,YEAR($A124)+1,$A124,180)</f>
        <v>18</v>
      </c>
      <c r="J124" cm="1">
        <f t="array" aca="1" ref="J124" ca="1">[1]!s_west_stdnetprofit($B$1,YEAR($A124)+1,$A124,180,1000000)</f>
        <v>43.306280999999998</v>
      </c>
      <c r="K124" cm="1">
        <f t="array" aca="1" ref="K124" ca="1">[1]!s_west_mediannetprofit($B$1,YEAR($A123)+1,$A123,180,1000000)</f>
        <v>100</v>
      </c>
      <c r="L124" cm="1">
        <f t="array" aca="1" ref="L124" ca="1">[1]!s_dq_close($B$1,$A124,3)</f>
        <v>23.96</v>
      </c>
    </row>
    <row r="125" spans="1:12">
      <c r="A125" s="23">
        <f t="shared" ca="1" si="1"/>
        <v>46050</v>
      </c>
      <c r="B125" cm="1">
        <f t="array" aca="1" ref="B125" ca="1">[1]!s_west_netprofit($B$1,YEAR($A125),$A125,180,1000000)</f>
        <v>67.224525999999997</v>
      </c>
      <c r="C125" cm="1">
        <f t="array" aca="1" ref="C125" ca="1">[1]!s_west_eps($B$1,YEAR($A125),$A125,180)</f>
        <v>7.7100000000000002E-2</v>
      </c>
      <c r="D125" cm="1">
        <f t="array" aca="1" ref="D125" ca="1">[1]!s_west_instnum_np($B$1,YEAR($A125),$A125,180)</f>
        <v>19</v>
      </c>
      <c r="E125" cm="1">
        <f t="array" aca="1" ref="E125" ca="1">[1]!s_west_stdnetprofit($B$1,YEAR($A125),$A125,180,1000000)</f>
        <v>32.263871999999999</v>
      </c>
      <c r="F125" cm="1">
        <f t="array" aca="1" ref="F125" ca="1">[1]!s_west_mediannetprofit($B$1,YEAR($A125),$A125,180,1000000)</f>
        <v>68</v>
      </c>
      <c r="G125" cm="1">
        <f t="array" aca="1" ref="G125" ca="1">[1]!s_west_netprofit($B$1,YEAR($A125)+1,$A125,180,1000000)</f>
        <v>106.107833</v>
      </c>
      <c r="H125" cm="1">
        <f t="array" aca="1" ref="H125" ca="1">[1]!s_west_eps($B$1,YEAR($A125)+1,$A125,180)</f>
        <v>0.11990000000000001</v>
      </c>
      <c r="I125" cm="1">
        <f t="array" aca="1" ref="I125" ca="1">[1]!s_west_instnum_np($B$1,YEAR($A125)+1,$A125,180)</f>
        <v>18</v>
      </c>
      <c r="J125" cm="1">
        <f t="array" aca="1" ref="J125" ca="1">[1]!s_west_stdnetprofit($B$1,YEAR($A125)+1,$A125,180,1000000)</f>
        <v>43.306280999999998</v>
      </c>
      <c r="K125" cm="1">
        <f t="array" aca="1" ref="K125" ca="1">[1]!s_west_mediannetprofit($B$1,YEAR($A124)+1,$A124,180,1000000)</f>
        <v>100</v>
      </c>
      <c r="L125" cm="1">
        <f t="array" aca="1" ref="L125" ca="1">[1]!s_dq_close($B$1,$A125,3)</f>
        <v>24.1</v>
      </c>
    </row>
    <row r="126" spans="1:12">
      <c r="A126" s="23">
        <f t="shared" ca="1" si="1"/>
        <v>46049</v>
      </c>
      <c r="B126" cm="1">
        <f t="array" aca="1" ref="B126" ca="1">[1]!s_west_netprofit($B$1,YEAR($A126),$A126,180,1000000)</f>
        <v>67.224525999999997</v>
      </c>
      <c r="C126" cm="1">
        <f t="array" aca="1" ref="C126" ca="1">[1]!s_west_eps($B$1,YEAR($A126),$A126,180)</f>
        <v>7.7100000000000002E-2</v>
      </c>
      <c r="D126" cm="1">
        <f t="array" aca="1" ref="D126" ca="1">[1]!s_west_instnum_np($B$1,YEAR($A126),$A126,180)</f>
        <v>19</v>
      </c>
      <c r="E126" cm="1">
        <f t="array" aca="1" ref="E126" ca="1">[1]!s_west_stdnetprofit($B$1,YEAR($A126),$A126,180,1000000)</f>
        <v>32.263871999999999</v>
      </c>
      <c r="F126" cm="1">
        <f t="array" aca="1" ref="F126" ca="1">[1]!s_west_mediannetprofit($B$1,YEAR($A126),$A126,180,1000000)</f>
        <v>68</v>
      </c>
      <c r="G126" cm="1">
        <f t="array" aca="1" ref="G126" ca="1">[1]!s_west_netprofit($B$1,YEAR($A126)+1,$A126,180,1000000)</f>
        <v>106.107833</v>
      </c>
      <c r="H126" cm="1">
        <f t="array" aca="1" ref="H126" ca="1">[1]!s_west_eps($B$1,YEAR($A126)+1,$A126,180)</f>
        <v>0.11990000000000001</v>
      </c>
      <c r="I126" cm="1">
        <f t="array" aca="1" ref="I126" ca="1">[1]!s_west_instnum_np($B$1,YEAR($A126)+1,$A126,180)</f>
        <v>18</v>
      </c>
      <c r="J126" cm="1">
        <f t="array" aca="1" ref="J126" ca="1">[1]!s_west_stdnetprofit($B$1,YEAR($A126)+1,$A126,180,1000000)</f>
        <v>43.306280999999998</v>
      </c>
      <c r="K126" cm="1">
        <f t="array" aca="1" ref="K126" ca="1">[1]!s_west_mediannetprofit($B$1,YEAR($A125)+1,$A125,180,1000000)</f>
        <v>100</v>
      </c>
      <c r="L126" cm="1">
        <f t="array" aca="1" ref="L126" ca="1">[1]!s_dq_close($B$1,$A126,3)</f>
        <v>24</v>
      </c>
    </row>
    <row r="127" spans="1:12">
      <c r="A127" s="23">
        <f t="shared" ca="1" si="1"/>
        <v>46048</v>
      </c>
      <c r="B127" cm="1">
        <f t="array" aca="1" ref="B127" ca="1">[1]!s_west_netprofit($B$1,YEAR($A127),$A127,180,1000000)</f>
        <v>67.224525999999997</v>
      </c>
      <c r="C127" cm="1">
        <f t="array" aca="1" ref="C127" ca="1">[1]!s_west_eps($B$1,YEAR($A127),$A127,180)</f>
        <v>7.7100000000000002E-2</v>
      </c>
      <c r="D127" cm="1">
        <f t="array" aca="1" ref="D127" ca="1">[1]!s_west_instnum_np($B$1,YEAR($A127),$A127,180)</f>
        <v>19</v>
      </c>
      <c r="E127" cm="1">
        <f t="array" aca="1" ref="E127" ca="1">[1]!s_west_stdnetprofit($B$1,YEAR($A127),$A127,180,1000000)</f>
        <v>32.263871999999999</v>
      </c>
      <c r="F127" cm="1">
        <f t="array" aca="1" ref="F127" ca="1">[1]!s_west_mediannetprofit($B$1,YEAR($A127),$A127,180,1000000)</f>
        <v>68</v>
      </c>
      <c r="G127" cm="1">
        <f t="array" aca="1" ref="G127" ca="1">[1]!s_west_netprofit($B$1,YEAR($A127)+1,$A127,180,1000000)</f>
        <v>106.107833</v>
      </c>
      <c r="H127" cm="1">
        <f t="array" aca="1" ref="H127" ca="1">[1]!s_west_eps($B$1,YEAR($A127)+1,$A127,180)</f>
        <v>0.11990000000000001</v>
      </c>
      <c r="I127" cm="1">
        <f t="array" aca="1" ref="I127" ca="1">[1]!s_west_instnum_np($B$1,YEAR($A127)+1,$A127,180)</f>
        <v>18</v>
      </c>
      <c r="J127" cm="1">
        <f t="array" aca="1" ref="J127" ca="1">[1]!s_west_stdnetprofit($B$1,YEAR($A127)+1,$A127,180,1000000)</f>
        <v>43.306280999999998</v>
      </c>
      <c r="K127" cm="1">
        <f t="array" aca="1" ref="K127" ca="1">[1]!s_west_mediannetprofit($B$1,YEAR($A126)+1,$A126,180,1000000)</f>
        <v>100</v>
      </c>
      <c r="L127" cm="1">
        <f t="array" aca="1" ref="L127" ca="1">[1]!s_dq_close($B$1,$A127,3)</f>
        <v>24.58</v>
      </c>
    </row>
    <row r="128" spans="1:12">
      <c r="A128" s="23">
        <f t="shared" ca="1" si="1"/>
        <v>46047</v>
      </c>
      <c r="B128" cm="1">
        <f t="array" aca="1" ref="B128" ca="1">[1]!s_west_netprofit($B$1,YEAR($A128),$A128,180,1000000)</f>
        <v>66.750842000000006</v>
      </c>
      <c r="C128" cm="1">
        <f t="array" aca="1" ref="C128" ca="1">[1]!s_west_eps($B$1,YEAR($A128),$A128,180)</f>
        <v>7.6499999999999999E-2</v>
      </c>
      <c r="D128" cm="1">
        <f t="array" aca="1" ref="D128" ca="1">[1]!s_west_instnum_np($B$1,YEAR($A128),$A128,180)</f>
        <v>19</v>
      </c>
      <c r="E128" cm="1">
        <f t="array" aca="1" ref="E128" ca="1">[1]!s_west_stdnetprofit($B$1,YEAR($A128),$A128,180,1000000)</f>
        <v>32.209395000000001</v>
      </c>
      <c r="F128" cm="1">
        <f t="array" aca="1" ref="F128" ca="1">[1]!s_west_mediannetprofit($B$1,YEAR($A128),$A128,180,1000000)</f>
        <v>66</v>
      </c>
      <c r="G128" cm="1">
        <f t="array" aca="1" ref="G128" ca="1">[1]!s_west_netprofit($B$1,YEAR($A128)+1,$A128,180,1000000)</f>
        <v>105.7745</v>
      </c>
      <c r="H128" cm="1">
        <f t="array" aca="1" ref="H128" ca="1">[1]!s_west_eps($B$1,YEAR($A128)+1,$A128,180)</f>
        <v>0.1195</v>
      </c>
      <c r="I128" cm="1">
        <f t="array" aca="1" ref="I128" ca="1">[1]!s_west_instnum_np($B$1,YEAR($A128)+1,$A128,180)</f>
        <v>18</v>
      </c>
      <c r="J128" cm="1">
        <f t="array" aca="1" ref="J128" ca="1">[1]!s_west_stdnetprofit($B$1,YEAR($A128)+1,$A128,180,1000000)</f>
        <v>43.468494999999997</v>
      </c>
      <c r="K128" cm="1">
        <f t="array" aca="1" ref="K128" ca="1">[1]!s_west_mediannetprofit($B$1,YEAR($A127)+1,$A127,180,1000000)</f>
        <v>100</v>
      </c>
      <c r="L128" cm="1">
        <f t="array" aca="1" ref="L128" ca="1">[1]!s_dq_close($B$1,$A128,3)</f>
        <v>24.32</v>
      </c>
    </row>
    <row r="129" spans="1:12">
      <c r="A129" s="23">
        <f t="shared" ca="1" si="1"/>
        <v>46046</v>
      </c>
      <c r="B129" cm="1">
        <f t="array" aca="1" ref="B129" ca="1">[1]!s_west_netprofit($B$1,YEAR($A129),$A129,180,1000000)</f>
        <v>66.750842000000006</v>
      </c>
      <c r="C129" cm="1">
        <f t="array" aca="1" ref="C129" ca="1">[1]!s_west_eps($B$1,YEAR($A129),$A129,180)</f>
        <v>7.6499999999999999E-2</v>
      </c>
      <c r="D129" cm="1">
        <f t="array" aca="1" ref="D129" ca="1">[1]!s_west_instnum_np($B$1,YEAR($A129),$A129,180)</f>
        <v>19</v>
      </c>
      <c r="E129" cm="1">
        <f t="array" aca="1" ref="E129" ca="1">[1]!s_west_stdnetprofit($B$1,YEAR($A129),$A129,180,1000000)</f>
        <v>32.209395000000001</v>
      </c>
      <c r="F129" cm="1">
        <f t="array" aca="1" ref="F129" ca="1">[1]!s_west_mediannetprofit($B$1,YEAR($A129),$A129,180,1000000)</f>
        <v>66</v>
      </c>
      <c r="G129" cm="1">
        <f t="array" aca="1" ref="G129" ca="1">[1]!s_west_netprofit($B$1,YEAR($A129)+1,$A129,180,1000000)</f>
        <v>105.7745</v>
      </c>
      <c r="H129" cm="1">
        <f t="array" aca="1" ref="H129" ca="1">[1]!s_west_eps($B$1,YEAR($A129)+1,$A129,180)</f>
        <v>0.1195</v>
      </c>
      <c r="I129" cm="1">
        <f t="array" aca="1" ref="I129" ca="1">[1]!s_west_instnum_np($B$1,YEAR($A129)+1,$A129,180)</f>
        <v>18</v>
      </c>
      <c r="J129" cm="1">
        <f t="array" aca="1" ref="J129" ca="1">[1]!s_west_stdnetprofit($B$1,YEAR($A129)+1,$A129,180,1000000)</f>
        <v>43.468494999999997</v>
      </c>
      <c r="K129" cm="1">
        <f t="array" aca="1" ref="K129" ca="1">[1]!s_west_mediannetprofit($B$1,YEAR($A128)+1,$A128,180,1000000)</f>
        <v>100</v>
      </c>
      <c r="L129" cm="1">
        <f t="array" aca="1" ref="L129" ca="1">[1]!s_dq_close($B$1,$A129,3)</f>
        <v>24.32</v>
      </c>
    </row>
    <row r="130" spans="1:12">
      <c r="A130" s="23">
        <f t="shared" ca="1" si="1"/>
        <v>46045</v>
      </c>
      <c r="B130" cm="1">
        <f t="array" aca="1" ref="B130" ca="1">[1]!s_west_netprofit($B$1,YEAR($A130),$A130,180,1000000)</f>
        <v>66.750842000000006</v>
      </c>
      <c r="C130" cm="1">
        <f t="array" aca="1" ref="C130" ca="1">[1]!s_west_eps($B$1,YEAR($A130),$A130,180)</f>
        <v>7.6499999999999999E-2</v>
      </c>
      <c r="D130" cm="1">
        <f t="array" aca="1" ref="D130" ca="1">[1]!s_west_instnum_np($B$1,YEAR($A130),$A130,180)</f>
        <v>19</v>
      </c>
      <c r="E130" cm="1">
        <f t="array" aca="1" ref="E130" ca="1">[1]!s_west_stdnetprofit($B$1,YEAR($A130),$A130,180,1000000)</f>
        <v>32.209395000000001</v>
      </c>
      <c r="F130" cm="1">
        <f t="array" aca="1" ref="F130" ca="1">[1]!s_west_mediannetprofit($B$1,YEAR($A130),$A130,180,1000000)</f>
        <v>66</v>
      </c>
      <c r="G130" cm="1">
        <f t="array" aca="1" ref="G130" ca="1">[1]!s_west_netprofit($B$1,YEAR($A130)+1,$A130,180,1000000)</f>
        <v>105.7745</v>
      </c>
      <c r="H130" cm="1">
        <f t="array" aca="1" ref="H130" ca="1">[1]!s_west_eps($B$1,YEAR($A130)+1,$A130,180)</f>
        <v>0.1195</v>
      </c>
      <c r="I130" cm="1">
        <f t="array" aca="1" ref="I130" ca="1">[1]!s_west_instnum_np($B$1,YEAR($A130)+1,$A130,180)</f>
        <v>18</v>
      </c>
      <c r="J130" cm="1">
        <f t="array" aca="1" ref="J130" ca="1">[1]!s_west_stdnetprofit($B$1,YEAR($A130)+1,$A130,180,1000000)</f>
        <v>43.468494999999997</v>
      </c>
      <c r="K130" cm="1">
        <f t="array" aca="1" ref="K130" ca="1">[1]!s_west_mediannetprofit($B$1,YEAR($A129)+1,$A129,180,1000000)</f>
        <v>100</v>
      </c>
      <c r="L130" cm="1">
        <f t="array" aca="1" ref="L130" ca="1">[1]!s_dq_close($B$1,$A130,3)</f>
        <v>24.32</v>
      </c>
    </row>
    <row r="131" spans="1:12">
      <c r="A131" s="23">
        <f t="shared" ca="1" si="1"/>
        <v>46044</v>
      </c>
      <c r="B131" cm="1">
        <f t="array" aca="1" ref="B131" ca="1">[1]!s_west_netprofit($B$1,YEAR($A131),$A131,180,1000000)</f>
        <v>65.171895000000006</v>
      </c>
      <c r="C131" cm="1">
        <f t="array" aca="1" ref="C131" ca="1">[1]!s_west_eps($B$1,YEAR($A131),$A131,180)</f>
        <v>7.4700000000000003E-2</v>
      </c>
      <c r="D131" cm="1">
        <f t="array" aca="1" ref="D131" ca="1">[1]!s_west_instnum_np($B$1,YEAR($A131),$A131,180)</f>
        <v>19</v>
      </c>
      <c r="E131" cm="1">
        <f t="array" aca="1" ref="E131" ca="1">[1]!s_west_stdnetprofit($B$1,YEAR($A131),$A131,180,1000000)</f>
        <v>32.051775999999997</v>
      </c>
      <c r="F131" cm="1">
        <f t="array" aca="1" ref="F131" ca="1">[1]!s_west_mediannetprofit($B$1,YEAR($A131),$A131,180,1000000)</f>
        <v>59.46</v>
      </c>
      <c r="G131" cm="1">
        <f t="array" aca="1" ref="G131" ca="1">[1]!s_west_netprofit($B$1,YEAR($A131)+1,$A131,180,1000000)</f>
        <v>103.44116699999999</v>
      </c>
      <c r="H131" cm="1">
        <f t="array" aca="1" ref="H131" ca="1">[1]!s_west_eps($B$1,YEAR($A131)+1,$A131,180)</f>
        <v>0.1169</v>
      </c>
      <c r="I131" cm="1">
        <f t="array" aca="1" ref="I131" ca="1">[1]!s_west_instnum_np($B$1,YEAR($A131)+1,$A131,180)</f>
        <v>18</v>
      </c>
      <c r="J131" cm="1">
        <f t="array" aca="1" ref="J131" ca="1">[1]!s_west_stdnetprofit($B$1,YEAR($A131)+1,$A131,180,1000000)</f>
        <v>43.616463000000003</v>
      </c>
      <c r="K131" cm="1">
        <f t="array" aca="1" ref="K131" ca="1">[1]!s_west_mediannetprofit($B$1,YEAR($A130)+1,$A130,180,1000000)</f>
        <v>100</v>
      </c>
      <c r="L131" cm="1">
        <f t="array" aca="1" ref="L131" ca="1">[1]!s_dq_close($B$1,$A131,3)</f>
        <v>24.48</v>
      </c>
    </row>
    <row r="132" spans="1:12">
      <c r="A132" s="23">
        <f t="shared" ca="1" si="1"/>
        <v>46043</v>
      </c>
      <c r="B132" cm="1">
        <f t="array" aca="1" ref="B132" ca="1">[1]!s_west_netprofit($B$1,YEAR($A132),$A132,180,1000000)</f>
        <v>65.171895000000006</v>
      </c>
      <c r="C132" cm="1">
        <f t="array" aca="1" ref="C132" ca="1">[1]!s_west_eps($B$1,YEAR($A132),$A132,180)</f>
        <v>7.4700000000000003E-2</v>
      </c>
      <c r="D132" cm="1">
        <f t="array" aca="1" ref="D132" ca="1">[1]!s_west_instnum_np($B$1,YEAR($A132),$A132,180)</f>
        <v>19</v>
      </c>
      <c r="E132" cm="1">
        <f t="array" aca="1" ref="E132" ca="1">[1]!s_west_stdnetprofit($B$1,YEAR($A132),$A132,180,1000000)</f>
        <v>32.051775999999997</v>
      </c>
      <c r="F132" cm="1">
        <f t="array" aca="1" ref="F132" ca="1">[1]!s_west_mediannetprofit($B$1,YEAR($A132),$A132,180,1000000)</f>
        <v>59.46</v>
      </c>
      <c r="G132" cm="1">
        <f t="array" aca="1" ref="G132" ca="1">[1]!s_west_netprofit($B$1,YEAR($A132)+1,$A132,180,1000000)</f>
        <v>103.44116699999999</v>
      </c>
      <c r="H132" cm="1">
        <f t="array" aca="1" ref="H132" ca="1">[1]!s_west_eps($B$1,YEAR($A132)+1,$A132,180)</f>
        <v>0.1169</v>
      </c>
      <c r="I132" cm="1">
        <f t="array" aca="1" ref="I132" ca="1">[1]!s_west_instnum_np($B$1,YEAR($A132)+1,$A132,180)</f>
        <v>18</v>
      </c>
      <c r="J132" cm="1">
        <f t="array" aca="1" ref="J132" ca="1">[1]!s_west_stdnetprofit($B$1,YEAR($A132)+1,$A132,180,1000000)</f>
        <v>43.616463000000003</v>
      </c>
      <c r="K132" cm="1">
        <f t="array" aca="1" ref="K132" ca="1">[1]!s_west_mediannetprofit($B$1,YEAR($A131)+1,$A131,180,1000000)</f>
        <v>91.504999999999995</v>
      </c>
      <c r="L132" cm="1">
        <f t="array" aca="1" ref="L132" ca="1">[1]!s_dq_close($B$1,$A132,3)</f>
        <v>24.68</v>
      </c>
    </row>
    <row r="133" spans="1:12">
      <c r="A133" s="23">
        <f t="shared" ca="1" si="1"/>
        <v>46042</v>
      </c>
      <c r="B133" cm="1">
        <f t="array" aca="1" ref="B133" ca="1">[1]!s_west_netprofit($B$1,YEAR($A133),$A133,180,1000000)</f>
        <v>65.171895000000006</v>
      </c>
      <c r="C133" cm="1">
        <f t="array" aca="1" ref="C133" ca="1">[1]!s_west_eps($B$1,YEAR($A133),$A133,180)</f>
        <v>7.4700000000000003E-2</v>
      </c>
      <c r="D133" cm="1">
        <f t="array" aca="1" ref="D133" ca="1">[1]!s_west_instnum_np($B$1,YEAR($A133),$A133,180)</f>
        <v>19</v>
      </c>
      <c r="E133" cm="1">
        <f t="array" aca="1" ref="E133" ca="1">[1]!s_west_stdnetprofit($B$1,YEAR($A133),$A133,180,1000000)</f>
        <v>32.051775999999997</v>
      </c>
      <c r="F133" cm="1">
        <f t="array" aca="1" ref="F133" ca="1">[1]!s_west_mediannetprofit($B$1,YEAR($A133),$A133,180,1000000)</f>
        <v>59.46</v>
      </c>
      <c r="G133" cm="1">
        <f t="array" aca="1" ref="G133" ca="1">[1]!s_west_netprofit($B$1,YEAR($A133)+1,$A133,180,1000000)</f>
        <v>103.44116699999999</v>
      </c>
      <c r="H133" cm="1">
        <f t="array" aca="1" ref="H133" ca="1">[1]!s_west_eps($B$1,YEAR($A133)+1,$A133,180)</f>
        <v>0.1169</v>
      </c>
      <c r="I133" cm="1">
        <f t="array" aca="1" ref="I133" ca="1">[1]!s_west_instnum_np($B$1,YEAR($A133)+1,$A133,180)</f>
        <v>18</v>
      </c>
      <c r="J133" cm="1">
        <f t="array" aca="1" ref="J133" ca="1">[1]!s_west_stdnetprofit($B$1,YEAR($A133)+1,$A133,180,1000000)</f>
        <v>43.616463000000003</v>
      </c>
      <c r="K133" cm="1">
        <f t="array" aca="1" ref="K133" ca="1">[1]!s_west_mediannetprofit($B$1,YEAR($A132)+1,$A132,180,1000000)</f>
        <v>91.504999999999995</v>
      </c>
      <c r="L133" cm="1">
        <f t="array" aca="1" ref="L133" ca="1">[1]!s_dq_close($B$1,$A133,3)</f>
        <v>24.6</v>
      </c>
    </row>
    <row r="134" spans="1:12">
      <c r="A134" s="23">
        <f t="shared" ca="1" si="1"/>
        <v>46041</v>
      </c>
      <c r="B134" cm="1">
        <f t="array" aca="1" ref="B134" ca="1">[1]!s_west_netprofit($B$1,YEAR($A134),$A134,180,1000000)</f>
        <v>65.171895000000006</v>
      </c>
      <c r="C134" cm="1">
        <f t="array" aca="1" ref="C134" ca="1">[1]!s_west_eps($B$1,YEAR($A134),$A134,180)</f>
        <v>7.4700000000000003E-2</v>
      </c>
      <c r="D134" cm="1">
        <f t="array" aca="1" ref="D134" ca="1">[1]!s_west_instnum_np($B$1,YEAR($A134),$A134,180)</f>
        <v>19</v>
      </c>
      <c r="E134" cm="1">
        <f t="array" aca="1" ref="E134" ca="1">[1]!s_west_stdnetprofit($B$1,YEAR($A134),$A134,180,1000000)</f>
        <v>32.051775999999997</v>
      </c>
      <c r="F134" cm="1">
        <f t="array" aca="1" ref="F134" ca="1">[1]!s_west_mediannetprofit($B$1,YEAR($A134),$A134,180,1000000)</f>
        <v>59.46</v>
      </c>
      <c r="G134" cm="1">
        <f t="array" aca="1" ref="G134" ca="1">[1]!s_west_netprofit($B$1,YEAR($A134)+1,$A134,180,1000000)</f>
        <v>103.44116699999999</v>
      </c>
      <c r="H134" cm="1">
        <f t="array" aca="1" ref="H134" ca="1">[1]!s_west_eps($B$1,YEAR($A134)+1,$A134,180)</f>
        <v>0.1169</v>
      </c>
      <c r="I134" cm="1">
        <f t="array" aca="1" ref="I134" ca="1">[1]!s_west_instnum_np($B$1,YEAR($A134)+1,$A134,180)</f>
        <v>18</v>
      </c>
      <c r="J134" cm="1">
        <f t="array" aca="1" ref="J134" ca="1">[1]!s_west_stdnetprofit($B$1,YEAR($A134)+1,$A134,180,1000000)</f>
        <v>43.616463000000003</v>
      </c>
      <c r="K134" cm="1">
        <f t="array" aca="1" ref="K134" ca="1">[1]!s_west_mediannetprofit($B$1,YEAR($A133)+1,$A133,180,1000000)</f>
        <v>91.504999999999995</v>
      </c>
      <c r="L134" cm="1">
        <f t="array" aca="1" ref="L134" ca="1">[1]!s_dq_close($B$1,$A134,3)</f>
        <v>24.76</v>
      </c>
    </row>
    <row r="135" spans="1:12">
      <c r="A135" s="23">
        <f t="shared" ca="1" si="1"/>
        <v>46040</v>
      </c>
      <c r="B135" cm="1">
        <f t="array" aca="1" ref="B135" ca="1">[1]!s_west_netprofit($B$1,YEAR($A135),$A135,180,1000000)</f>
        <v>65.171895000000006</v>
      </c>
      <c r="C135" cm="1">
        <f t="array" aca="1" ref="C135" ca="1">[1]!s_west_eps($B$1,YEAR($A135),$A135,180)</f>
        <v>7.4700000000000003E-2</v>
      </c>
      <c r="D135" cm="1">
        <f t="array" aca="1" ref="D135" ca="1">[1]!s_west_instnum_np($B$1,YEAR($A135),$A135,180)</f>
        <v>19</v>
      </c>
      <c r="E135" cm="1">
        <f t="array" aca="1" ref="E135" ca="1">[1]!s_west_stdnetprofit($B$1,YEAR($A135),$A135,180,1000000)</f>
        <v>32.051775999999997</v>
      </c>
      <c r="F135" cm="1">
        <f t="array" aca="1" ref="F135" ca="1">[1]!s_west_mediannetprofit($B$1,YEAR($A135),$A135,180,1000000)</f>
        <v>59.46</v>
      </c>
      <c r="G135" cm="1">
        <f t="array" aca="1" ref="G135" ca="1">[1]!s_west_netprofit($B$1,YEAR($A135)+1,$A135,180,1000000)</f>
        <v>103.44116699999999</v>
      </c>
      <c r="H135" cm="1">
        <f t="array" aca="1" ref="H135" ca="1">[1]!s_west_eps($B$1,YEAR($A135)+1,$A135,180)</f>
        <v>0.1169</v>
      </c>
      <c r="I135" cm="1">
        <f t="array" aca="1" ref="I135" ca="1">[1]!s_west_instnum_np($B$1,YEAR($A135)+1,$A135,180)</f>
        <v>18</v>
      </c>
      <c r="J135" cm="1">
        <f t="array" aca="1" ref="J135" ca="1">[1]!s_west_stdnetprofit($B$1,YEAR($A135)+1,$A135,180,1000000)</f>
        <v>43.616463000000003</v>
      </c>
      <c r="K135" cm="1">
        <f t="array" aca="1" ref="K135" ca="1">[1]!s_west_mediannetprofit($B$1,YEAR($A134)+1,$A134,180,1000000)</f>
        <v>91.504999999999995</v>
      </c>
      <c r="L135" cm="1">
        <f t="array" aca="1" ref="L135" ca="1">[1]!s_dq_close($B$1,$A135,3)</f>
        <v>25.44</v>
      </c>
    </row>
    <row r="136" spans="1:12">
      <c r="A136" s="23">
        <f t="shared" ca="1" si="1"/>
        <v>46039</v>
      </c>
      <c r="B136" cm="1">
        <f t="array" aca="1" ref="B136" ca="1">[1]!s_west_netprofit($B$1,YEAR($A136),$A136,180,1000000)</f>
        <v>65.171895000000006</v>
      </c>
      <c r="C136" cm="1">
        <f t="array" aca="1" ref="C136" ca="1">[1]!s_west_eps($B$1,YEAR($A136),$A136,180)</f>
        <v>7.4700000000000003E-2</v>
      </c>
      <c r="D136" cm="1">
        <f t="array" aca="1" ref="D136" ca="1">[1]!s_west_instnum_np($B$1,YEAR($A136),$A136,180)</f>
        <v>19</v>
      </c>
      <c r="E136" cm="1">
        <f t="array" aca="1" ref="E136" ca="1">[1]!s_west_stdnetprofit($B$1,YEAR($A136),$A136,180,1000000)</f>
        <v>32.051775999999997</v>
      </c>
      <c r="F136" cm="1">
        <f t="array" aca="1" ref="F136" ca="1">[1]!s_west_mediannetprofit($B$1,YEAR($A136),$A136,180,1000000)</f>
        <v>59.46</v>
      </c>
      <c r="G136" cm="1">
        <f t="array" aca="1" ref="G136" ca="1">[1]!s_west_netprofit($B$1,YEAR($A136)+1,$A136,180,1000000)</f>
        <v>103.44116699999999</v>
      </c>
      <c r="H136" cm="1">
        <f t="array" aca="1" ref="H136" ca="1">[1]!s_west_eps($B$1,YEAR($A136)+1,$A136,180)</f>
        <v>0.1169</v>
      </c>
      <c r="I136" cm="1">
        <f t="array" aca="1" ref="I136" ca="1">[1]!s_west_instnum_np($B$1,YEAR($A136)+1,$A136,180)</f>
        <v>18</v>
      </c>
      <c r="J136" cm="1">
        <f t="array" aca="1" ref="J136" ca="1">[1]!s_west_stdnetprofit($B$1,YEAR($A136)+1,$A136,180,1000000)</f>
        <v>43.616463000000003</v>
      </c>
      <c r="K136" cm="1">
        <f t="array" aca="1" ref="K136" ca="1">[1]!s_west_mediannetprofit($B$1,YEAR($A135)+1,$A135,180,1000000)</f>
        <v>91.504999999999995</v>
      </c>
      <c r="L136" cm="1">
        <f t="array" aca="1" ref="L136" ca="1">[1]!s_dq_close($B$1,$A136,3)</f>
        <v>25.44</v>
      </c>
    </row>
    <row r="137" spans="1:12">
      <c r="A137" s="23">
        <f t="shared" ca="1" si="1"/>
        <v>46038</v>
      </c>
      <c r="B137" cm="1">
        <f t="array" aca="1" ref="B137" ca="1">[1]!s_west_netprofit($B$1,YEAR($A137),$A137,180,1000000)</f>
        <v>65.171895000000006</v>
      </c>
      <c r="C137" cm="1">
        <f t="array" aca="1" ref="C137" ca="1">[1]!s_west_eps($B$1,YEAR($A137),$A137,180)</f>
        <v>7.4700000000000003E-2</v>
      </c>
      <c r="D137" cm="1">
        <f t="array" aca="1" ref="D137" ca="1">[1]!s_west_instnum_np($B$1,YEAR($A137),$A137,180)</f>
        <v>19</v>
      </c>
      <c r="E137" cm="1">
        <f t="array" aca="1" ref="E137" ca="1">[1]!s_west_stdnetprofit($B$1,YEAR($A137),$A137,180,1000000)</f>
        <v>32.051775999999997</v>
      </c>
      <c r="F137" cm="1">
        <f t="array" aca="1" ref="F137" ca="1">[1]!s_west_mediannetprofit($B$1,YEAR($A137),$A137,180,1000000)</f>
        <v>59.46</v>
      </c>
      <c r="G137" cm="1">
        <f t="array" aca="1" ref="G137" ca="1">[1]!s_west_netprofit($B$1,YEAR($A137)+1,$A137,180,1000000)</f>
        <v>103.44116699999999</v>
      </c>
      <c r="H137" cm="1">
        <f t="array" aca="1" ref="H137" ca="1">[1]!s_west_eps($B$1,YEAR($A137)+1,$A137,180)</f>
        <v>0.1169</v>
      </c>
      <c r="I137" cm="1">
        <f t="array" aca="1" ref="I137" ca="1">[1]!s_west_instnum_np($B$1,YEAR($A137)+1,$A137,180)</f>
        <v>18</v>
      </c>
      <c r="J137" cm="1">
        <f t="array" aca="1" ref="J137" ca="1">[1]!s_west_stdnetprofit($B$1,YEAR($A137)+1,$A137,180,1000000)</f>
        <v>43.616463000000003</v>
      </c>
      <c r="K137" cm="1">
        <f t="array" aca="1" ref="K137" ca="1">[1]!s_west_mediannetprofit($B$1,YEAR($A136)+1,$A136,180,1000000)</f>
        <v>91.504999999999995</v>
      </c>
      <c r="L137" cm="1">
        <f t="array" aca="1" ref="L137" ca="1">[1]!s_dq_close($B$1,$A137,3)</f>
        <v>25.44</v>
      </c>
    </row>
    <row r="138" spans="1:12">
      <c r="A138" s="23">
        <f t="shared" ca="1" si="1"/>
        <v>46037</v>
      </c>
      <c r="B138" cm="1">
        <f t="array" aca="1" ref="B138" ca="1">[1]!s_west_netprofit($B$1,YEAR($A138),$A138,180,1000000)</f>
        <v>65.171895000000006</v>
      </c>
      <c r="C138" cm="1">
        <f t="array" aca="1" ref="C138" ca="1">[1]!s_west_eps($B$1,YEAR($A138),$A138,180)</f>
        <v>7.4700000000000003E-2</v>
      </c>
      <c r="D138" cm="1">
        <f t="array" aca="1" ref="D138" ca="1">[1]!s_west_instnum_np($B$1,YEAR($A138),$A138,180)</f>
        <v>19</v>
      </c>
      <c r="E138" cm="1">
        <f t="array" aca="1" ref="E138" ca="1">[1]!s_west_stdnetprofit($B$1,YEAR($A138),$A138,180,1000000)</f>
        <v>32.051775999999997</v>
      </c>
      <c r="F138" cm="1">
        <f t="array" aca="1" ref="F138" ca="1">[1]!s_west_mediannetprofit($B$1,YEAR($A138),$A138,180,1000000)</f>
        <v>59.46</v>
      </c>
      <c r="G138" cm="1">
        <f t="array" aca="1" ref="G138" ca="1">[1]!s_west_netprofit($B$1,YEAR($A138)+1,$A138,180,1000000)</f>
        <v>103.44116699999999</v>
      </c>
      <c r="H138" cm="1">
        <f t="array" aca="1" ref="H138" ca="1">[1]!s_west_eps($B$1,YEAR($A138)+1,$A138,180)</f>
        <v>0.1169</v>
      </c>
      <c r="I138" cm="1">
        <f t="array" aca="1" ref="I138" ca="1">[1]!s_west_instnum_np($B$1,YEAR($A138)+1,$A138,180)</f>
        <v>18</v>
      </c>
      <c r="J138" cm="1">
        <f t="array" aca="1" ref="J138" ca="1">[1]!s_west_stdnetprofit($B$1,YEAR($A138)+1,$A138,180,1000000)</f>
        <v>43.616463000000003</v>
      </c>
      <c r="K138" cm="1">
        <f t="array" aca="1" ref="K138" ca="1">[1]!s_west_mediannetprofit($B$1,YEAR($A137)+1,$A137,180,1000000)</f>
        <v>91.504999999999995</v>
      </c>
      <c r="L138" cm="1">
        <f t="array" aca="1" ref="L138" ca="1">[1]!s_dq_close($B$1,$A138,3)</f>
        <v>23.92</v>
      </c>
    </row>
    <row r="139" spans="1:12">
      <c r="A139" s="23">
        <f t="shared" ca="1" si="1"/>
        <v>46036</v>
      </c>
      <c r="B139" cm="1">
        <f t="array" aca="1" ref="B139" ca="1">[1]!s_west_netprofit($B$1,YEAR($A139),$A139,180,1000000)</f>
        <v>65.171895000000006</v>
      </c>
      <c r="C139" cm="1">
        <f t="array" aca="1" ref="C139" ca="1">[1]!s_west_eps($B$1,YEAR($A139),$A139,180)</f>
        <v>7.4700000000000003E-2</v>
      </c>
      <c r="D139" cm="1">
        <f t="array" aca="1" ref="D139" ca="1">[1]!s_west_instnum_np($B$1,YEAR($A139),$A139,180)</f>
        <v>19</v>
      </c>
      <c r="E139" cm="1">
        <f t="array" aca="1" ref="E139" ca="1">[1]!s_west_stdnetprofit($B$1,YEAR($A139),$A139,180,1000000)</f>
        <v>32.051775999999997</v>
      </c>
      <c r="F139" cm="1">
        <f t="array" aca="1" ref="F139" ca="1">[1]!s_west_mediannetprofit($B$1,YEAR($A139),$A139,180,1000000)</f>
        <v>59.46</v>
      </c>
      <c r="G139" cm="1">
        <f t="array" aca="1" ref="G139" ca="1">[1]!s_west_netprofit($B$1,YEAR($A139)+1,$A139,180,1000000)</f>
        <v>103.44116699999999</v>
      </c>
      <c r="H139" cm="1">
        <f t="array" aca="1" ref="H139" ca="1">[1]!s_west_eps($B$1,YEAR($A139)+1,$A139,180)</f>
        <v>0.1169</v>
      </c>
      <c r="I139" cm="1">
        <f t="array" aca="1" ref="I139" ca="1">[1]!s_west_instnum_np($B$1,YEAR($A139)+1,$A139,180)</f>
        <v>18</v>
      </c>
      <c r="J139" cm="1">
        <f t="array" aca="1" ref="J139" ca="1">[1]!s_west_stdnetprofit($B$1,YEAR($A139)+1,$A139,180,1000000)</f>
        <v>43.616463000000003</v>
      </c>
      <c r="K139" cm="1">
        <f t="array" aca="1" ref="K139" ca="1">[1]!s_west_mediannetprofit($B$1,YEAR($A138)+1,$A138,180,1000000)</f>
        <v>91.504999999999995</v>
      </c>
      <c r="L139" cm="1">
        <f t="array" aca="1" ref="L139" ca="1">[1]!s_dq_close($B$1,$A139,3)</f>
        <v>23.42</v>
      </c>
    </row>
    <row r="140" spans="1:12">
      <c r="A140" s="23">
        <f t="shared" ca="1" si="1"/>
        <v>46035</v>
      </c>
      <c r="B140" cm="1">
        <f t="array" aca="1" ref="B140" ca="1">[1]!s_west_netprofit($B$1,YEAR($A140),$A140,180,1000000)</f>
        <v>65.171895000000006</v>
      </c>
      <c r="C140" cm="1">
        <f t="array" aca="1" ref="C140" ca="1">[1]!s_west_eps($B$1,YEAR($A140),$A140,180)</f>
        <v>7.4700000000000003E-2</v>
      </c>
      <c r="D140" cm="1">
        <f t="array" aca="1" ref="D140" ca="1">[1]!s_west_instnum_np($B$1,YEAR($A140),$A140,180)</f>
        <v>19</v>
      </c>
      <c r="E140" cm="1">
        <f t="array" aca="1" ref="E140" ca="1">[1]!s_west_stdnetprofit($B$1,YEAR($A140),$A140,180,1000000)</f>
        <v>32.051775999999997</v>
      </c>
      <c r="F140" cm="1">
        <f t="array" aca="1" ref="F140" ca="1">[1]!s_west_mediannetprofit($B$1,YEAR($A140),$A140,180,1000000)</f>
        <v>59.46</v>
      </c>
      <c r="G140" cm="1">
        <f t="array" aca="1" ref="G140" ca="1">[1]!s_west_netprofit($B$1,YEAR($A140)+1,$A140,180,1000000)</f>
        <v>103.44116699999999</v>
      </c>
      <c r="H140" cm="1">
        <f t="array" aca="1" ref="H140" ca="1">[1]!s_west_eps($B$1,YEAR($A140)+1,$A140,180)</f>
        <v>0.1169</v>
      </c>
      <c r="I140" cm="1">
        <f t="array" aca="1" ref="I140" ca="1">[1]!s_west_instnum_np($B$1,YEAR($A140)+1,$A140,180)</f>
        <v>18</v>
      </c>
      <c r="J140" cm="1">
        <f t="array" aca="1" ref="J140" ca="1">[1]!s_west_stdnetprofit($B$1,YEAR($A140)+1,$A140,180,1000000)</f>
        <v>43.616463000000003</v>
      </c>
      <c r="K140" cm="1">
        <f t="array" aca="1" ref="K140" ca="1">[1]!s_west_mediannetprofit($B$1,YEAR($A139)+1,$A139,180,1000000)</f>
        <v>91.504999999999995</v>
      </c>
      <c r="L140" cm="1">
        <f t="array" aca="1" ref="L140" ca="1">[1]!s_dq_close($B$1,$A140,3)</f>
        <v>23.5</v>
      </c>
    </row>
    <row r="141" spans="1:12">
      <c r="A141" s="23">
        <f t="shared" ref="A141:A204" ca="1" si="2">A140-1</f>
        <v>46034</v>
      </c>
      <c r="B141" cm="1">
        <f t="array" aca="1" ref="B141" ca="1">[1]!s_west_netprofit($B$1,YEAR($A141),$A141,180,1000000)</f>
        <v>65.171895000000006</v>
      </c>
      <c r="C141" cm="1">
        <f t="array" aca="1" ref="C141" ca="1">[1]!s_west_eps($B$1,YEAR($A141),$A141,180)</f>
        <v>7.4700000000000003E-2</v>
      </c>
      <c r="D141" cm="1">
        <f t="array" aca="1" ref="D141" ca="1">[1]!s_west_instnum_np($B$1,YEAR($A141),$A141,180)</f>
        <v>19</v>
      </c>
      <c r="E141" cm="1">
        <f t="array" aca="1" ref="E141" ca="1">[1]!s_west_stdnetprofit($B$1,YEAR($A141),$A141,180,1000000)</f>
        <v>32.051775999999997</v>
      </c>
      <c r="F141" cm="1">
        <f t="array" aca="1" ref="F141" ca="1">[1]!s_west_mediannetprofit($B$1,YEAR($A141),$A141,180,1000000)</f>
        <v>59.46</v>
      </c>
      <c r="G141" cm="1">
        <f t="array" aca="1" ref="G141" ca="1">[1]!s_west_netprofit($B$1,YEAR($A141)+1,$A141,180,1000000)</f>
        <v>103.44116699999999</v>
      </c>
      <c r="H141" cm="1">
        <f t="array" aca="1" ref="H141" ca="1">[1]!s_west_eps($B$1,YEAR($A141)+1,$A141,180)</f>
        <v>0.1169</v>
      </c>
      <c r="I141" cm="1">
        <f t="array" aca="1" ref="I141" ca="1">[1]!s_west_instnum_np($B$1,YEAR($A141)+1,$A141,180)</f>
        <v>18</v>
      </c>
      <c r="J141" cm="1">
        <f t="array" aca="1" ref="J141" ca="1">[1]!s_west_stdnetprofit($B$1,YEAR($A141)+1,$A141,180,1000000)</f>
        <v>43.616463000000003</v>
      </c>
      <c r="K141" cm="1">
        <f t="array" aca="1" ref="K141" ca="1">[1]!s_west_mediannetprofit($B$1,YEAR($A140)+1,$A140,180,1000000)</f>
        <v>91.504999999999995</v>
      </c>
      <c r="L141" cm="1">
        <f t="array" aca="1" ref="L141" ca="1">[1]!s_dq_close($B$1,$A141,3)</f>
        <v>23.08</v>
      </c>
    </row>
    <row r="142" spans="1:12">
      <c r="A142" s="23">
        <f t="shared" ca="1" si="2"/>
        <v>46033</v>
      </c>
      <c r="B142" cm="1">
        <f t="array" aca="1" ref="B142" ca="1">[1]!s_west_netprofit($B$1,YEAR($A142),$A142,180,1000000)</f>
        <v>65.171895000000006</v>
      </c>
      <c r="C142" cm="1">
        <f t="array" aca="1" ref="C142" ca="1">[1]!s_west_eps($B$1,YEAR($A142),$A142,180)</f>
        <v>7.4700000000000003E-2</v>
      </c>
      <c r="D142" cm="1">
        <f t="array" aca="1" ref="D142" ca="1">[1]!s_west_instnum_np($B$1,YEAR($A142),$A142,180)</f>
        <v>19</v>
      </c>
      <c r="E142" cm="1">
        <f t="array" aca="1" ref="E142" ca="1">[1]!s_west_stdnetprofit($B$1,YEAR($A142),$A142,180,1000000)</f>
        <v>32.051775999999997</v>
      </c>
      <c r="F142" cm="1">
        <f t="array" aca="1" ref="F142" ca="1">[1]!s_west_mediannetprofit($B$1,YEAR($A142),$A142,180,1000000)</f>
        <v>59.46</v>
      </c>
      <c r="G142" cm="1">
        <f t="array" aca="1" ref="G142" ca="1">[1]!s_west_netprofit($B$1,YEAR($A142)+1,$A142,180,1000000)</f>
        <v>103.44116699999999</v>
      </c>
      <c r="H142" cm="1">
        <f t="array" aca="1" ref="H142" ca="1">[1]!s_west_eps($B$1,YEAR($A142)+1,$A142,180)</f>
        <v>0.1169</v>
      </c>
      <c r="I142" cm="1">
        <f t="array" aca="1" ref="I142" ca="1">[1]!s_west_instnum_np($B$1,YEAR($A142)+1,$A142,180)</f>
        <v>18</v>
      </c>
      <c r="J142" cm="1">
        <f t="array" aca="1" ref="J142" ca="1">[1]!s_west_stdnetprofit($B$1,YEAR($A142)+1,$A142,180,1000000)</f>
        <v>43.616463000000003</v>
      </c>
      <c r="K142" cm="1">
        <f t="array" aca="1" ref="K142" ca="1">[1]!s_west_mediannetprofit($B$1,YEAR($A141)+1,$A141,180,1000000)</f>
        <v>91.504999999999995</v>
      </c>
      <c r="L142" cm="1">
        <f t="array" aca="1" ref="L142" ca="1">[1]!s_dq_close($B$1,$A142,3)</f>
        <v>23.24</v>
      </c>
    </row>
    <row r="143" spans="1:12">
      <c r="A143" s="23">
        <f t="shared" ca="1" si="2"/>
        <v>46032</v>
      </c>
      <c r="B143" cm="1">
        <f t="array" aca="1" ref="B143" ca="1">[1]!s_west_netprofit($B$1,YEAR($A143),$A143,180,1000000)</f>
        <v>65.171895000000006</v>
      </c>
      <c r="C143" cm="1">
        <f t="array" aca="1" ref="C143" ca="1">[1]!s_west_eps($B$1,YEAR($A143),$A143,180)</f>
        <v>7.4700000000000003E-2</v>
      </c>
      <c r="D143" cm="1">
        <f t="array" aca="1" ref="D143" ca="1">[1]!s_west_instnum_np($B$1,YEAR($A143),$A143,180)</f>
        <v>19</v>
      </c>
      <c r="E143" cm="1">
        <f t="array" aca="1" ref="E143" ca="1">[1]!s_west_stdnetprofit($B$1,YEAR($A143),$A143,180,1000000)</f>
        <v>32.051775999999997</v>
      </c>
      <c r="F143" cm="1">
        <f t="array" aca="1" ref="F143" ca="1">[1]!s_west_mediannetprofit($B$1,YEAR($A143),$A143,180,1000000)</f>
        <v>59.46</v>
      </c>
      <c r="G143" cm="1">
        <f t="array" aca="1" ref="G143" ca="1">[1]!s_west_netprofit($B$1,YEAR($A143)+1,$A143,180,1000000)</f>
        <v>103.44116699999999</v>
      </c>
      <c r="H143" cm="1">
        <f t="array" aca="1" ref="H143" ca="1">[1]!s_west_eps($B$1,YEAR($A143)+1,$A143,180)</f>
        <v>0.1169</v>
      </c>
      <c r="I143" cm="1">
        <f t="array" aca="1" ref="I143" ca="1">[1]!s_west_instnum_np($B$1,YEAR($A143)+1,$A143,180)</f>
        <v>18</v>
      </c>
      <c r="J143" cm="1">
        <f t="array" aca="1" ref="J143" ca="1">[1]!s_west_stdnetprofit($B$1,YEAR($A143)+1,$A143,180,1000000)</f>
        <v>43.616463000000003</v>
      </c>
      <c r="K143" cm="1">
        <f t="array" aca="1" ref="K143" ca="1">[1]!s_west_mediannetprofit($B$1,YEAR($A142)+1,$A142,180,1000000)</f>
        <v>91.504999999999995</v>
      </c>
      <c r="L143" cm="1">
        <f t="array" aca="1" ref="L143" ca="1">[1]!s_dq_close($B$1,$A143,3)</f>
        <v>23.24</v>
      </c>
    </row>
    <row r="144" spans="1:12">
      <c r="A144" s="23">
        <f t="shared" ca="1" si="2"/>
        <v>46031</v>
      </c>
      <c r="B144" cm="1">
        <f t="array" aca="1" ref="B144" ca="1">[1]!s_west_netprofit($B$1,YEAR($A144),$A144,180,1000000)</f>
        <v>65.171895000000006</v>
      </c>
      <c r="C144" cm="1">
        <f t="array" aca="1" ref="C144" ca="1">[1]!s_west_eps($B$1,YEAR($A144),$A144,180)</f>
        <v>7.4700000000000003E-2</v>
      </c>
      <c r="D144" cm="1">
        <f t="array" aca="1" ref="D144" ca="1">[1]!s_west_instnum_np($B$1,YEAR($A144),$A144,180)</f>
        <v>19</v>
      </c>
      <c r="E144" cm="1">
        <f t="array" aca="1" ref="E144" ca="1">[1]!s_west_stdnetprofit($B$1,YEAR($A144),$A144,180,1000000)</f>
        <v>32.051775999999997</v>
      </c>
      <c r="F144" cm="1">
        <f t="array" aca="1" ref="F144" ca="1">[1]!s_west_mediannetprofit($B$1,YEAR($A144),$A144,180,1000000)</f>
        <v>59.46</v>
      </c>
      <c r="G144" cm="1">
        <f t="array" aca="1" ref="G144" ca="1">[1]!s_west_netprofit($B$1,YEAR($A144)+1,$A144,180,1000000)</f>
        <v>103.44116699999999</v>
      </c>
      <c r="H144" cm="1">
        <f t="array" aca="1" ref="H144" ca="1">[1]!s_west_eps($B$1,YEAR($A144)+1,$A144,180)</f>
        <v>0.1169</v>
      </c>
      <c r="I144" cm="1">
        <f t="array" aca="1" ref="I144" ca="1">[1]!s_west_instnum_np($B$1,YEAR($A144)+1,$A144,180)</f>
        <v>18</v>
      </c>
      <c r="J144" cm="1">
        <f t="array" aca="1" ref="J144" ca="1">[1]!s_west_stdnetprofit($B$1,YEAR($A144)+1,$A144,180,1000000)</f>
        <v>43.616463000000003</v>
      </c>
      <c r="K144" cm="1">
        <f t="array" aca="1" ref="K144" ca="1">[1]!s_west_mediannetprofit($B$1,YEAR($A143)+1,$A143,180,1000000)</f>
        <v>91.504999999999995</v>
      </c>
      <c r="L144" cm="1">
        <f t="array" aca="1" ref="L144" ca="1">[1]!s_dq_close($B$1,$A144,3)</f>
        <v>23.24</v>
      </c>
    </row>
    <row r="145" spans="1:12">
      <c r="A145" s="23">
        <f t="shared" ca="1" si="2"/>
        <v>46030</v>
      </c>
      <c r="B145" cm="1">
        <f t="array" aca="1" ref="B145" ca="1">[1]!s_west_netprofit($B$1,YEAR($A145),$A145,180,1000000)</f>
        <v>65.171895000000006</v>
      </c>
      <c r="C145" cm="1">
        <f t="array" aca="1" ref="C145" ca="1">[1]!s_west_eps($B$1,YEAR($A145),$A145,180)</f>
        <v>7.4700000000000003E-2</v>
      </c>
      <c r="D145" cm="1">
        <f t="array" aca="1" ref="D145" ca="1">[1]!s_west_instnum_np($B$1,YEAR($A145),$A145,180)</f>
        <v>19</v>
      </c>
      <c r="E145" cm="1">
        <f t="array" aca="1" ref="E145" ca="1">[1]!s_west_stdnetprofit($B$1,YEAR($A145),$A145,180,1000000)</f>
        <v>32.051775999999997</v>
      </c>
      <c r="F145" cm="1">
        <f t="array" aca="1" ref="F145" ca="1">[1]!s_west_mediannetprofit($B$1,YEAR($A145),$A145,180,1000000)</f>
        <v>59.46</v>
      </c>
      <c r="G145" cm="1">
        <f t="array" aca="1" ref="G145" ca="1">[1]!s_west_netprofit($B$1,YEAR($A145)+1,$A145,180,1000000)</f>
        <v>103.44116699999999</v>
      </c>
      <c r="H145" cm="1">
        <f t="array" aca="1" ref="H145" ca="1">[1]!s_west_eps($B$1,YEAR($A145)+1,$A145,180)</f>
        <v>0.1169</v>
      </c>
      <c r="I145" cm="1">
        <f t="array" aca="1" ref="I145" ca="1">[1]!s_west_instnum_np($B$1,YEAR($A145)+1,$A145,180)</f>
        <v>18</v>
      </c>
      <c r="J145" cm="1">
        <f t="array" aca="1" ref="J145" ca="1">[1]!s_west_stdnetprofit($B$1,YEAR($A145)+1,$A145,180,1000000)</f>
        <v>43.616463000000003</v>
      </c>
      <c r="K145" cm="1">
        <f t="array" aca="1" ref="K145" ca="1">[1]!s_west_mediannetprofit($B$1,YEAR($A144)+1,$A144,180,1000000)</f>
        <v>91.504999999999995</v>
      </c>
      <c r="L145" cm="1">
        <f t="array" aca="1" ref="L145" ca="1">[1]!s_dq_close($B$1,$A145,3)</f>
        <v>23.24</v>
      </c>
    </row>
    <row r="146" spans="1:12">
      <c r="A146" s="23">
        <f t="shared" ca="1" si="2"/>
        <v>46029</v>
      </c>
      <c r="B146" cm="1">
        <f t="array" aca="1" ref="B146" ca="1">[1]!s_west_netprofit($B$1,YEAR($A146),$A146,180,1000000)</f>
        <v>65.171895000000006</v>
      </c>
      <c r="C146" cm="1">
        <f t="array" aca="1" ref="C146" ca="1">[1]!s_west_eps($B$1,YEAR($A146),$A146,180)</f>
        <v>7.4700000000000003E-2</v>
      </c>
      <c r="D146" cm="1">
        <f t="array" aca="1" ref="D146" ca="1">[1]!s_west_instnum_np($B$1,YEAR($A146),$A146,180)</f>
        <v>19</v>
      </c>
      <c r="E146" cm="1">
        <f t="array" aca="1" ref="E146" ca="1">[1]!s_west_stdnetprofit($B$1,YEAR($A146),$A146,180,1000000)</f>
        <v>32.051775999999997</v>
      </c>
      <c r="F146" cm="1">
        <f t="array" aca="1" ref="F146" ca="1">[1]!s_west_mediannetprofit($B$1,YEAR($A146),$A146,180,1000000)</f>
        <v>59.46</v>
      </c>
      <c r="G146" cm="1">
        <f t="array" aca="1" ref="G146" ca="1">[1]!s_west_netprofit($B$1,YEAR($A146)+1,$A146,180,1000000)</f>
        <v>103.44116699999999</v>
      </c>
      <c r="H146" cm="1">
        <f t="array" aca="1" ref="H146" ca="1">[1]!s_west_eps($B$1,YEAR($A146)+1,$A146,180)</f>
        <v>0.1169</v>
      </c>
      <c r="I146" cm="1">
        <f t="array" aca="1" ref="I146" ca="1">[1]!s_west_instnum_np($B$1,YEAR($A146)+1,$A146,180)</f>
        <v>18</v>
      </c>
      <c r="J146" cm="1">
        <f t="array" aca="1" ref="J146" ca="1">[1]!s_west_stdnetprofit($B$1,YEAR($A146)+1,$A146,180,1000000)</f>
        <v>43.616463000000003</v>
      </c>
      <c r="K146" cm="1">
        <f t="array" aca="1" ref="K146" ca="1">[1]!s_west_mediannetprofit($B$1,YEAR($A145)+1,$A145,180,1000000)</f>
        <v>91.504999999999995</v>
      </c>
      <c r="L146" cm="1">
        <f t="array" aca="1" ref="L146" ca="1">[1]!s_dq_close($B$1,$A146,3)</f>
        <v>22.46</v>
      </c>
    </row>
    <row r="147" spans="1:12">
      <c r="A147" s="23">
        <f t="shared" ca="1" si="2"/>
        <v>46028</v>
      </c>
      <c r="B147" cm="1">
        <f t="array" aca="1" ref="B147" ca="1">[1]!s_west_netprofit($B$1,YEAR($A147),$A147,180,1000000)</f>
        <v>65.171895000000006</v>
      </c>
      <c r="C147" cm="1">
        <f t="array" aca="1" ref="C147" ca="1">[1]!s_west_eps($B$1,YEAR($A147),$A147,180)</f>
        <v>7.4700000000000003E-2</v>
      </c>
      <c r="D147" cm="1">
        <f t="array" aca="1" ref="D147" ca="1">[1]!s_west_instnum_np($B$1,YEAR($A147),$A147,180)</f>
        <v>19</v>
      </c>
      <c r="E147" cm="1">
        <f t="array" aca="1" ref="E147" ca="1">[1]!s_west_stdnetprofit($B$1,YEAR($A147),$A147,180,1000000)</f>
        <v>32.051775999999997</v>
      </c>
      <c r="F147" cm="1">
        <f t="array" aca="1" ref="F147" ca="1">[1]!s_west_mediannetprofit($B$1,YEAR($A147),$A147,180,1000000)</f>
        <v>59.46</v>
      </c>
      <c r="G147" cm="1">
        <f t="array" aca="1" ref="G147" ca="1">[1]!s_west_netprofit($B$1,YEAR($A147)+1,$A147,180,1000000)</f>
        <v>103.44116699999999</v>
      </c>
      <c r="H147" cm="1">
        <f t="array" aca="1" ref="H147" ca="1">[1]!s_west_eps($B$1,YEAR($A147)+1,$A147,180)</f>
        <v>0.1169</v>
      </c>
      <c r="I147" cm="1">
        <f t="array" aca="1" ref="I147" ca="1">[1]!s_west_instnum_np($B$1,YEAR($A147)+1,$A147,180)</f>
        <v>18</v>
      </c>
      <c r="J147" cm="1">
        <f t="array" aca="1" ref="J147" ca="1">[1]!s_west_stdnetprofit($B$1,YEAR($A147)+1,$A147,180,1000000)</f>
        <v>43.616463000000003</v>
      </c>
      <c r="K147" cm="1">
        <f t="array" aca="1" ref="K147" ca="1">[1]!s_west_mediannetprofit($B$1,YEAR($A146)+1,$A146,180,1000000)</f>
        <v>91.504999999999995</v>
      </c>
      <c r="L147" cm="1">
        <f t="array" aca="1" ref="L147" ca="1">[1]!s_dq_close($B$1,$A147,3)</f>
        <v>21.3</v>
      </c>
    </row>
    <row r="148" spans="1:12">
      <c r="A148" s="23">
        <f t="shared" ca="1" si="2"/>
        <v>46027</v>
      </c>
      <c r="B148" cm="1">
        <f t="array" aca="1" ref="B148" ca="1">[1]!s_west_netprofit($B$1,YEAR($A148),$A148,180,1000000)</f>
        <v>65.171895000000006</v>
      </c>
      <c r="C148" cm="1">
        <f t="array" aca="1" ref="C148" ca="1">[1]!s_west_eps($B$1,YEAR($A148),$A148,180)</f>
        <v>7.4700000000000003E-2</v>
      </c>
      <c r="D148" cm="1">
        <f t="array" aca="1" ref="D148" ca="1">[1]!s_west_instnum_np($B$1,YEAR($A148),$A148,180)</f>
        <v>19</v>
      </c>
      <c r="E148" cm="1">
        <f t="array" aca="1" ref="E148" ca="1">[1]!s_west_stdnetprofit($B$1,YEAR($A148),$A148,180,1000000)</f>
        <v>32.051775999999997</v>
      </c>
      <c r="F148" cm="1">
        <f t="array" aca="1" ref="F148" ca="1">[1]!s_west_mediannetprofit($B$1,YEAR($A148),$A148,180,1000000)</f>
        <v>59.46</v>
      </c>
      <c r="G148" cm="1">
        <f t="array" aca="1" ref="G148" ca="1">[1]!s_west_netprofit($B$1,YEAR($A148)+1,$A148,180,1000000)</f>
        <v>103.44116699999999</v>
      </c>
      <c r="H148" cm="1">
        <f t="array" aca="1" ref="H148" ca="1">[1]!s_west_eps($B$1,YEAR($A148)+1,$A148,180)</f>
        <v>0.1169</v>
      </c>
      <c r="I148" cm="1">
        <f t="array" aca="1" ref="I148" ca="1">[1]!s_west_instnum_np($B$1,YEAR($A148)+1,$A148,180)</f>
        <v>18</v>
      </c>
      <c r="J148" cm="1">
        <f t="array" aca="1" ref="J148" ca="1">[1]!s_west_stdnetprofit($B$1,YEAR($A148)+1,$A148,180,1000000)</f>
        <v>43.616463000000003</v>
      </c>
      <c r="K148" cm="1">
        <f t="array" aca="1" ref="K148" ca="1">[1]!s_west_mediannetprofit($B$1,YEAR($A147)+1,$A147,180,1000000)</f>
        <v>91.504999999999995</v>
      </c>
      <c r="L148" cm="1">
        <f t="array" aca="1" ref="L148" ca="1">[1]!s_dq_close($B$1,$A148,3)</f>
        <v>21.18</v>
      </c>
    </row>
    <row r="149" spans="1:12">
      <c r="A149" s="23">
        <f t="shared" ca="1" si="2"/>
        <v>46026</v>
      </c>
      <c r="B149" cm="1">
        <f t="array" aca="1" ref="B149" ca="1">[1]!s_west_netprofit($B$1,YEAR($A149),$A149,180,1000000)</f>
        <v>65.171895000000006</v>
      </c>
      <c r="C149" cm="1">
        <f t="array" aca="1" ref="C149" ca="1">[1]!s_west_eps($B$1,YEAR($A149),$A149,180)</f>
        <v>7.4700000000000003E-2</v>
      </c>
      <c r="D149" cm="1">
        <f t="array" aca="1" ref="D149" ca="1">[1]!s_west_instnum_np($B$1,YEAR($A149),$A149,180)</f>
        <v>19</v>
      </c>
      <c r="E149" cm="1">
        <f t="array" aca="1" ref="E149" ca="1">[1]!s_west_stdnetprofit($B$1,YEAR($A149),$A149,180,1000000)</f>
        <v>32.051775999999997</v>
      </c>
      <c r="F149" cm="1">
        <f t="array" aca="1" ref="F149" ca="1">[1]!s_west_mediannetprofit($B$1,YEAR($A149),$A149,180,1000000)</f>
        <v>59.46</v>
      </c>
      <c r="G149" cm="1">
        <f t="array" aca="1" ref="G149" ca="1">[1]!s_west_netprofit($B$1,YEAR($A149)+1,$A149,180,1000000)</f>
        <v>103.44116699999999</v>
      </c>
      <c r="H149" cm="1">
        <f t="array" aca="1" ref="H149" ca="1">[1]!s_west_eps($B$1,YEAR($A149)+1,$A149,180)</f>
        <v>0.1169</v>
      </c>
      <c r="I149" cm="1">
        <f t="array" aca="1" ref="I149" ca="1">[1]!s_west_instnum_np($B$1,YEAR($A149)+1,$A149,180)</f>
        <v>18</v>
      </c>
      <c r="J149" cm="1">
        <f t="array" aca="1" ref="J149" ca="1">[1]!s_west_stdnetprofit($B$1,YEAR($A149)+1,$A149,180,1000000)</f>
        <v>43.616463000000003</v>
      </c>
      <c r="K149" cm="1">
        <f t="array" aca="1" ref="K149" ca="1">[1]!s_west_mediannetprofit($B$1,YEAR($A148)+1,$A148,180,1000000)</f>
        <v>91.504999999999995</v>
      </c>
      <c r="L149" cm="1">
        <f t="array" aca="1" ref="L149" ca="1">[1]!s_dq_close($B$1,$A149,3)</f>
        <v>20.94</v>
      </c>
    </row>
    <row r="150" spans="1:12">
      <c r="A150" s="23">
        <f t="shared" ca="1" si="2"/>
        <v>46025</v>
      </c>
      <c r="B150" cm="1">
        <f t="array" aca="1" ref="B150" ca="1">[1]!s_west_netprofit($B$1,YEAR($A150),$A150,180,1000000)</f>
        <v>65.171895000000006</v>
      </c>
      <c r="C150" cm="1">
        <f t="array" aca="1" ref="C150" ca="1">[1]!s_west_eps($B$1,YEAR($A150),$A150,180)</f>
        <v>7.4700000000000003E-2</v>
      </c>
      <c r="D150" cm="1">
        <f t="array" aca="1" ref="D150" ca="1">[1]!s_west_instnum_np($B$1,YEAR($A150),$A150,180)</f>
        <v>19</v>
      </c>
      <c r="E150" cm="1">
        <f t="array" aca="1" ref="E150" ca="1">[1]!s_west_stdnetprofit($B$1,YEAR($A150),$A150,180,1000000)</f>
        <v>32.051775999999997</v>
      </c>
      <c r="F150" cm="1">
        <f t="array" aca="1" ref="F150" ca="1">[1]!s_west_mediannetprofit($B$1,YEAR($A150),$A150,180,1000000)</f>
        <v>59.46</v>
      </c>
      <c r="G150" cm="1">
        <f t="array" aca="1" ref="G150" ca="1">[1]!s_west_netprofit($B$1,YEAR($A150)+1,$A150,180,1000000)</f>
        <v>103.44116699999999</v>
      </c>
      <c r="H150" cm="1">
        <f t="array" aca="1" ref="H150" ca="1">[1]!s_west_eps($B$1,YEAR($A150)+1,$A150,180)</f>
        <v>0.1169</v>
      </c>
      <c r="I150" cm="1">
        <f t="array" aca="1" ref="I150" ca="1">[1]!s_west_instnum_np($B$1,YEAR($A150)+1,$A150,180)</f>
        <v>18</v>
      </c>
      <c r="J150" cm="1">
        <f t="array" aca="1" ref="J150" ca="1">[1]!s_west_stdnetprofit($B$1,YEAR($A150)+1,$A150,180,1000000)</f>
        <v>43.616463000000003</v>
      </c>
      <c r="K150" cm="1">
        <f t="array" aca="1" ref="K150" ca="1">[1]!s_west_mediannetprofit($B$1,YEAR($A149)+1,$A149,180,1000000)</f>
        <v>91.504999999999995</v>
      </c>
      <c r="L150" cm="1">
        <f t="array" aca="1" ref="L150" ca="1">[1]!s_dq_close($B$1,$A150,3)</f>
        <v>20.94</v>
      </c>
    </row>
    <row r="151" spans="1:12">
      <c r="A151" s="23">
        <f t="shared" ca="1" si="2"/>
        <v>46024</v>
      </c>
      <c r="B151" cm="1">
        <f t="array" aca="1" ref="B151" ca="1">[1]!s_west_netprofit($B$1,YEAR($A151),$A151,180,1000000)</f>
        <v>65.171895000000006</v>
      </c>
      <c r="C151" cm="1">
        <f t="array" aca="1" ref="C151" ca="1">[1]!s_west_eps($B$1,YEAR($A151),$A151,180)</f>
        <v>7.4700000000000003E-2</v>
      </c>
      <c r="D151" cm="1">
        <f t="array" aca="1" ref="D151" ca="1">[1]!s_west_instnum_np($B$1,YEAR($A151),$A151,180)</f>
        <v>19</v>
      </c>
      <c r="E151" cm="1">
        <f t="array" aca="1" ref="E151" ca="1">[1]!s_west_stdnetprofit($B$1,YEAR($A151),$A151,180,1000000)</f>
        <v>32.051775999999997</v>
      </c>
      <c r="F151" cm="1">
        <f t="array" aca="1" ref="F151" ca="1">[1]!s_west_mediannetprofit($B$1,YEAR($A151),$A151,180,1000000)</f>
        <v>59.46</v>
      </c>
      <c r="G151" cm="1">
        <f t="array" aca="1" ref="G151" ca="1">[1]!s_west_netprofit($B$1,YEAR($A151)+1,$A151,180,1000000)</f>
        <v>103.44116699999999</v>
      </c>
      <c r="H151" cm="1">
        <f t="array" aca="1" ref="H151" ca="1">[1]!s_west_eps($B$1,YEAR($A151)+1,$A151,180)</f>
        <v>0.1169</v>
      </c>
      <c r="I151" cm="1">
        <f t="array" aca="1" ref="I151" ca="1">[1]!s_west_instnum_np($B$1,YEAR($A151)+1,$A151,180)</f>
        <v>18</v>
      </c>
      <c r="J151" cm="1">
        <f t="array" aca="1" ref="J151" ca="1">[1]!s_west_stdnetprofit($B$1,YEAR($A151)+1,$A151,180,1000000)</f>
        <v>43.616463000000003</v>
      </c>
      <c r="K151" cm="1">
        <f t="array" aca="1" ref="K151" ca="1">[1]!s_west_mediannetprofit($B$1,YEAR($A150)+1,$A150,180,1000000)</f>
        <v>91.504999999999995</v>
      </c>
      <c r="L151" cm="1">
        <f t="array" aca="1" ref="L151" ca="1">[1]!s_dq_close($B$1,$A151,3)</f>
        <v>20.94</v>
      </c>
    </row>
    <row r="152" spans="1:12">
      <c r="A152" s="23">
        <f t="shared" ca="1" si="2"/>
        <v>46023</v>
      </c>
      <c r="B152" cm="1">
        <f t="array" aca="1" ref="B152" ca="1">[1]!s_west_netprofit($B$1,YEAR($A152),$A152,180,1000000)</f>
        <v>65.171895000000006</v>
      </c>
      <c r="C152" cm="1">
        <f t="array" aca="1" ref="C152" ca="1">[1]!s_west_eps($B$1,YEAR($A152),$A152,180)</f>
        <v>7.4700000000000003E-2</v>
      </c>
      <c r="D152" cm="1">
        <f t="array" aca="1" ref="D152" ca="1">[1]!s_west_instnum_np($B$1,YEAR($A152),$A152,180)</f>
        <v>19</v>
      </c>
      <c r="E152" cm="1">
        <f t="array" aca="1" ref="E152" ca="1">[1]!s_west_stdnetprofit($B$1,YEAR($A152),$A152,180,1000000)</f>
        <v>32.051775999999997</v>
      </c>
      <c r="F152" cm="1">
        <f t="array" aca="1" ref="F152" ca="1">[1]!s_west_mediannetprofit($B$1,YEAR($A152),$A152,180,1000000)</f>
        <v>59.46</v>
      </c>
      <c r="G152" cm="1">
        <f t="array" aca="1" ref="G152" ca="1">[1]!s_west_netprofit($B$1,YEAR($A152)+1,$A152,180,1000000)</f>
        <v>103.44116699999999</v>
      </c>
      <c r="H152" cm="1">
        <f t="array" aca="1" ref="H152" ca="1">[1]!s_west_eps($B$1,YEAR($A152)+1,$A152,180)</f>
        <v>0.1169</v>
      </c>
      <c r="I152" cm="1">
        <f t="array" aca="1" ref="I152" ca="1">[1]!s_west_instnum_np($B$1,YEAR($A152)+1,$A152,180)</f>
        <v>18</v>
      </c>
      <c r="J152" cm="1">
        <f t="array" aca="1" ref="J152" ca="1">[1]!s_west_stdnetprofit($B$1,YEAR($A152)+1,$A152,180,1000000)</f>
        <v>43.616463000000003</v>
      </c>
      <c r="K152" cm="1">
        <f t="array" aca="1" ref="K152" ca="1">[1]!s_west_mediannetprofit($B$1,YEAR($A151)+1,$A151,180,1000000)</f>
        <v>91.504999999999995</v>
      </c>
      <c r="L152" cm="1">
        <f t="array" aca="1" ref="L152" ca="1">[1]!s_dq_close($B$1,$A152,3)</f>
        <v>20.62</v>
      </c>
    </row>
    <row r="153" spans="1:12">
      <c r="A153" s="23">
        <f t="shared" ca="1" si="2"/>
        <v>46022</v>
      </c>
      <c r="B153" cm="1">
        <f t="array" aca="1" ref="B153" ca="1">[1]!s_west_netprofit($B$1,YEAR($A153),$A153,180,1000000)</f>
        <v>408.13115800000003</v>
      </c>
      <c r="C153" cm="1">
        <f t="array" aca="1" ref="C153" ca="1">[1]!s_west_eps($B$1,YEAR($A153),$A153,180)</f>
        <v>0.4677</v>
      </c>
      <c r="D153" cm="1">
        <f t="array" aca="1" ref="D153" ca="1">[1]!s_west_instnum_np($B$1,YEAR($A153),$A153,180)</f>
        <v>19</v>
      </c>
      <c r="E153" cm="1">
        <f t="array" aca="1" ref="E153" ca="1">[1]!s_west_stdnetprofit($B$1,YEAR($A153),$A153,180,1000000)</f>
        <v>44.101536000000003</v>
      </c>
      <c r="F153" cm="1">
        <f t="array" aca="1" ref="F153" ca="1">[1]!s_west_mediannetprofit($B$1,YEAR($A153),$A153,180,1000000)</f>
        <v>419</v>
      </c>
      <c r="G153" cm="1">
        <f t="array" aca="1" ref="G153" ca="1">[1]!s_west_netprofit($B$1,YEAR($A153)+1,$A153,180,1000000)</f>
        <v>65.171895000000006</v>
      </c>
      <c r="H153" cm="1">
        <f t="array" aca="1" ref="H153" ca="1">[1]!s_west_eps($B$1,YEAR($A153)+1,$A153,180)</f>
        <v>7.4700000000000003E-2</v>
      </c>
      <c r="I153" cm="1">
        <f t="array" aca="1" ref="I153" ca="1">[1]!s_west_instnum_np($B$1,YEAR($A153)+1,$A153,180)</f>
        <v>19</v>
      </c>
      <c r="J153" cm="1">
        <f t="array" aca="1" ref="J153" ca="1">[1]!s_west_stdnetprofit($B$1,YEAR($A153)+1,$A153,180,1000000)</f>
        <v>32.051775999999997</v>
      </c>
      <c r="K153" cm="1">
        <f t="array" aca="1" ref="K153" ca="1">[1]!s_west_mediannetprofit($B$1,YEAR($A152)+1,$A152,180,1000000)</f>
        <v>91.504999999999995</v>
      </c>
      <c r="L153" cm="1">
        <f t="array" aca="1" ref="L153" ca="1">[1]!s_dq_close($B$1,$A153,3)</f>
        <v>20.62</v>
      </c>
    </row>
    <row r="154" spans="1:12">
      <c r="A154" s="23">
        <f t="shared" ca="1" si="2"/>
        <v>46021</v>
      </c>
      <c r="B154" cm="1">
        <f t="array" aca="1" ref="B154" ca="1">[1]!s_west_netprofit($B$1,YEAR($A154),$A154,180,1000000)</f>
        <v>408.13115800000003</v>
      </c>
      <c r="C154" cm="1">
        <f t="array" aca="1" ref="C154" ca="1">[1]!s_west_eps($B$1,YEAR($A154),$A154,180)</f>
        <v>0.4677</v>
      </c>
      <c r="D154" cm="1">
        <f t="array" aca="1" ref="D154" ca="1">[1]!s_west_instnum_np($B$1,YEAR($A154),$A154,180)</f>
        <v>19</v>
      </c>
      <c r="E154" cm="1">
        <f t="array" aca="1" ref="E154" ca="1">[1]!s_west_stdnetprofit($B$1,YEAR($A154),$A154,180,1000000)</f>
        <v>44.101536000000003</v>
      </c>
      <c r="F154" cm="1">
        <f t="array" aca="1" ref="F154" ca="1">[1]!s_west_mediannetprofit($B$1,YEAR($A154),$A154,180,1000000)</f>
        <v>419</v>
      </c>
      <c r="G154" cm="1">
        <f t="array" aca="1" ref="G154" ca="1">[1]!s_west_netprofit($B$1,YEAR($A154)+1,$A154,180,1000000)</f>
        <v>65.171895000000006</v>
      </c>
      <c r="H154" cm="1">
        <f t="array" aca="1" ref="H154" ca="1">[1]!s_west_eps($B$1,YEAR($A154)+1,$A154,180)</f>
        <v>7.4700000000000003E-2</v>
      </c>
      <c r="I154" cm="1">
        <f t="array" aca="1" ref="I154" ca="1">[1]!s_west_instnum_np($B$1,YEAR($A154)+1,$A154,180)</f>
        <v>19</v>
      </c>
      <c r="J154" cm="1">
        <f t="array" aca="1" ref="J154" ca="1">[1]!s_west_stdnetprofit($B$1,YEAR($A154)+1,$A154,180,1000000)</f>
        <v>32.051775999999997</v>
      </c>
      <c r="K154" cm="1">
        <f t="array" aca="1" ref="K154" ca="1">[1]!s_west_mediannetprofit($B$1,YEAR($A153)+1,$A153,180,1000000)</f>
        <v>59.46</v>
      </c>
      <c r="L154" cm="1">
        <f t="array" aca="1" ref="L154" ca="1">[1]!s_dq_close($B$1,$A154,3)</f>
        <v>20.46</v>
      </c>
    </row>
    <row r="155" spans="1:12">
      <c r="A155" s="23">
        <f t="shared" ca="1" si="2"/>
        <v>46020</v>
      </c>
      <c r="B155" cm="1">
        <f t="array" aca="1" ref="B155" ca="1">[1]!s_west_netprofit($B$1,YEAR($A155),$A155,180,1000000)</f>
        <v>408.13115800000003</v>
      </c>
      <c r="C155" cm="1">
        <f t="array" aca="1" ref="C155" ca="1">[1]!s_west_eps($B$1,YEAR($A155),$A155,180)</f>
        <v>0.4677</v>
      </c>
      <c r="D155" cm="1">
        <f t="array" aca="1" ref="D155" ca="1">[1]!s_west_instnum_np($B$1,YEAR($A155),$A155,180)</f>
        <v>19</v>
      </c>
      <c r="E155" cm="1">
        <f t="array" aca="1" ref="E155" ca="1">[1]!s_west_stdnetprofit($B$1,YEAR($A155),$A155,180,1000000)</f>
        <v>44.101536000000003</v>
      </c>
      <c r="F155" cm="1">
        <f t="array" aca="1" ref="F155" ca="1">[1]!s_west_mediannetprofit($B$1,YEAR($A155),$A155,180,1000000)</f>
        <v>419</v>
      </c>
      <c r="G155" cm="1">
        <f t="array" aca="1" ref="G155" ca="1">[1]!s_west_netprofit($B$1,YEAR($A155)+1,$A155,180,1000000)</f>
        <v>65.171895000000006</v>
      </c>
      <c r="H155" cm="1">
        <f t="array" aca="1" ref="H155" ca="1">[1]!s_west_eps($B$1,YEAR($A155)+1,$A155,180)</f>
        <v>7.4700000000000003E-2</v>
      </c>
      <c r="I155" cm="1">
        <f t="array" aca="1" ref="I155" ca="1">[1]!s_west_instnum_np($B$1,YEAR($A155)+1,$A155,180)</f>
        <v>19</v>
      </c>
      <c r="J155" cm="1">
        <f t="array" aca="1" ref="J155" ca="1">[1]!s_west_stdnetprofit($B$1,YEAR($A155)+1,$A155,180,1000000)</f>
        <v>32.051775999999997</v>
      </c>
      <c r="K155" cm="1">
        <f t="array" aca="1" ref="K155" ca="1">[1]!s_west_mediannetprofit($B$1,YEAR($A154)+1,$A154,180,1000000)</f>
        <v>59.46</v>
      </c>
      <c r="L155" cm="1">
        <f t="array" aca="1" ref="L155" ca="1">[1]!s_dq_close($B$1,$A155,3)</f>
        <v>20.54</v>
      </c>
    </row>
    <row r="156" spans="1:12">
      <c r="A156" s="23">
        <f t="shared" ca="1" si="2"/>
        <v>46019</v>
      </c>
      <c r="B156" cm="1">
        <f t="array" aca="1" ref="B156" ca="1">[1]!s_west_netprofit($B$1,YEAR($A156),$A156,180,1000000)</f>
        <v>408.13115800000003</v>
      </c>
      <c r="C156" cm="1">
        <f t="array" aca="1" ref="C156" ca="1">[1]!s_west_eps($B$1,YEAR($A156),$A156,180)</f>
        <v>0.4677</v>
      </c>
      <c r="D156" cm="1">
        <f t="array" aca="1" ref="D156" ca="1">[1]!s_west_instnum_np($B$1,YEAR($A156),$A156,180)</f>
        <v>19</v>
      </c>
      <c r="E156" cm="1">
        <f t="array" aca="1" ref="E156" ca="1">[1]!s_west_stdnetprofit($B$1,YEAR($A156),$A156,180,1000000)</f>
        <v>44.101536000000003</v>
      </c>
      <c r="F156" cm="1">
        <f t="array" aca="1" ref="F156" ca="1">[1]!s_west_mediannetprofit($B$1,YEAR($A156),$A156,180,1000000)</f>
        <v>419</v>
      </c>
      <c r="G156" cm="1">
        <f t="array" aca="1" ref="G156" ca="1">[1]!s_west_netprofit($B$1,YEAR($A156)+1,$A156,180,1000000)</f>
        <v>65.171895000000006</v>
      </c>
      <c r="H156" cm="1">
        <f t="array" aca="1" ref="H156" ca="1">[1]!s_west_eps($B$1,YEAR($A156)+1,$A156,180)</f>
        <v>7.4700000000000003E-2</v>
      </c>
      <c r="I156" cm="1">
        <f t="array" aca="1" ref="I156" ca="1">[1]!s_west_instnum_np($B$1,YEAR($A156)+1,$A156,180)</f>
        <v>19</v>
      </c>
      <c r="J156" cm="1">
        <f t="array" aca="1" ref="J156" ca="1">[1]!s_west_stdnetprofit($B$1,YEAR($A156)+1,$A156,180,1000000)</f>
        <v>32.051775999999997</v>
      </c>
      <c r="K156" cm="1">
        <f t="array" aca="1" ref="K156" ca="1">[1]!s_west_mediannetprofit($B$1,YEAR($A155)+1,$A155,180,1000000)</f>
        <v>59.46</v>
      </c>
      <c r="L156" cm="1">
        <f t="array" aca="1" ref="L156" ca="1">[1]!s_dq_close($B$1,$A156,3)</f>
        <v>20.72</v>
      </c>
    </row>
    <row r="157" spans="1:12">
      <c r="A157" s="23">
        <f t="shared" ca="1" si="2"/>
        <v>46018</v>
      </c>
      <c r="B157" cm="1">
        <f t="array" aca="1" ref="B157" ca="1">[1]!s_west_netprofit($B$1,YEAR($A157),$A157,180,1000000)</f>
        <v>408.13115800000003</v>
      </c>
      <c r="C157" cm="1">
        <f t="array" aca="1" ref="C157" ca="1">[1]!s_west_eps($B$1,YEAR($A157),$A157,180)</f>
        <v>0.4677</v>
      </c>
      <c r="D157" cm="1">
        <f t="array" aca="1" ref="D157" ca="1">[1]!s_west_instnum_np($B$1,YEAR($A157),$A157,180)</f>
        <v>19</v>
      </c>
      <c r="E157" cm="1">
        <f t="array" aca="1" ref="E157" ca="1">[1]!s_west_stdnetprofit($B$1,YEAR($A157),$A157,180,1000000)</f>
        <v>44.101536000000003</v>
      </c>
      <c r="F157" cm="1">
        <f t="array" aca="1" ref="F157" ca="1">[1]!s_west_mediannetprofit($B$1,YEAR($A157),$A157,180,1000000)</f>
        <v>419</v>
      </c>
      <c r="G157" cm="1">
        <f t="array" aca="1" ref="G157" ca="1">[1]!s_west_netprofit($B$1,YEAR($A157)+1,$A157,180,1000000)</f>
        <v>65.171895000000006</v>
      </c>
      <c r="H157" cm="1">
        <f t="array" aca="1" ref="H157" ca="1">[1]!s_west_eps($B$1,YEAR($A157)+1,$A157,180)</f>
        <v>7.4700000000000003E-2</v>
      </c>
      <c r="I157" cm="1">
        <f t="array" aca="1" ref="I157" ca="1">[1]!s_west_instnum_np($B$1,YEAR($A157)+1,$A157,180)</f>
        <v>19</v>
      </c>
      <c r="J157" cm="1">
        <f t="array" aca="1" ref="J157" ca="1">[1]!s_west_stdnetprofit($B$1,YEAR($A157)+1,$A157,180,1000000)</f>
        <v>32.051775999999997</v>
      </c>
      <c r="K157" cm="1">
        <f t="array" aca="1" ref="K157" ca="1">[1]!s_west_mediannetprofit($B$1,YEAR($A156)+1,$A156,180,1000000)</f>
        <v>59.46</v>
      </c>
      <c r="L157" cm="1">
        <f t="array" aca="1" ref="L157" ca="1">[1]!s_dq_close($B$1,$A157,3)</f>
        <v>20.72</v>
      </c>
    </row>
    <row r="158" spans="1:12">
      <c r="A158" s="23">
        <f t="shared" ca="1" si="2"/>
        <v>46017</v>
      </c>
      <c r="B158" cm="1">
        <f t="array" aca="1" ref="B158" ca="1">[1]!s_west_netprofit($B$1,YEAR($A158),$A158,180,1000000)</f>
        <v>408.13115800000003</v>
      </c>
      <c r="C158" cm="1">
        <f t="array" aca="1" ref="C158" ca="1">[1]!s_west_eps($B$1,YEAR($A158),$A158,180)</f>
        <v>0.4677</v>
      </c>
      <c r="D158" cm="1">
        <f t="array" aca="1" ref="D158" ca="1">[1]!s_west_instnum_np($B$1,YEAR($A158),$A158,180)</f>
        <v>19</v>
      </c>
      <c r="E158" cm="1">
        <f t="array" aca="1" ref="E158" ca="1">[1]!s_west_stdnetprofit($B$1,YEAR($A158),$A158,180,1000000)</f>
        <v>44.101536000000003</v>
      </c>
      <c r="F158" cm="1">
        <f t="array" aca="1" ref="F158" ca="1">[1]!s_west_mediannetprofit($B$1,YEAR($A158),$A158,180,1000000)</f>
        <v>419</v>
      </c>
      <c r="G158" cm="1">
        <f t="array" aca="1" ref="G158" ca="1">[1]!s_west_netprofit($B$1,YEAR($A158)+1,$A158,180,1000000)</f>
        <v>65.171895000000006</v>
      </c>
      <c r="H158" cm="1">
        <f t="array" aca="1" ref="H158" ca="1">[1]!s_west_eps($B$1,YEAR($A158)+1,$A158,180)</f>
        <v>7.4700000000000003E-2</v>
      </c>
      <c r="I158" cm="1">
        <f t="array" aca="1" ref="I158" ca="1">[1]!s_west_instnum_np($B$1,YEAR($A158)+1,$A158,180)</f>
        <v>19</v>
      </c>
      <c r="J158" cm="1">
        <f t="array" aca="1" ref="J158" ca="1">[1]!s_west_stdnetprofit($B$1,YEAR($A158)+1,$A158,180,1000000)</f>
        <v>32.051775999999997</v>
      </c>
      <c r="K158" cm="1">
        <f t="array" aca="1" ref="K158" ca="1">[1]!s_west_mediannetprofit($B$1,YEAR($A157)+1,$A157,180,1000000)</f>
        <v>59.46</v>
      </c>
      <c r="L158" cm="1">
        <f t="array" aca="1" ref="L158" ca="1">[1]!s_dq_close($B$1,$A158,3)</f>
        <v>20.72</v>
      </c>
    </row>
    <row r="159" spans="1:12">
      <c r="A159" s="23">
        <f t="shared" ca="1" si="2"/>
        <v>46016</v>
      </c>
      <c r="B159" cm="1">
        <f t="array" aca="1" ref="B159" ca="1">[1]!s_west_netprofit($B$1,YEAR($A159),$A159,180,1000000)</f>
        <v>408.13115800000003</v>
      </c>
      <c r="C159" cm="1">
        <f t="array" aca="1" ref="C159" ca="1">[1]!s_west_eps($B$1,YEAR($A159),$A159,180)</f>
        <v>0.4677</v>
      </c>
      <c r="D159" cm="1">
        <f t="array" aca="1" ref="D159" ca="1">[1]!s_west_instnum_np($B$1,YEAR($A159),$A159,180)</f>
        <v>19</v>
      </c>
      <c r="E159" cm="1">
        <f t="array" aca="1" ref="E159" ca="1">[1]!s_west_stdnetprofit($B$1,YEAR($A159),$A159,180,1000000)</f>
        <v>44.101536000000003</v>
      </c>
      <c r="F159" cm="1">
        <f t="array" aca="1" ref="F159" ca="1">[1]!s_west_mediannetprofit($B$1,YEAR($A159),$A159,180,1000000)</f>
        <v>419</v>
      </c>
      <c r="G159" cm="1">
        <f t="array" aca="1" ref="G159" ca="1">[1]!s_west_netprofit($B$1,YEAR($A159)+1,$A159,180,1000000)</f>
        <v>65.171895000000006</v>
      </c>
      <c r="H159" cm="1">
        <f t="array" aca="1" ref="H159" ca="1">[1]!s_west_eps($B$1,YEAR($A159)+1,$A159,180)</f>
        <v>7.4700000000000003E-2</v>
      </c>
      <c r="I159" cm="1">
        <f t="array" aca="1" ref="I159" ca="1">[1]!s_west_instnum_np($B$1,YEAR($A159)+1,$A159,180)</f>
        <v>19</v>
      </c>
      <c r="J159" cm="1">
        <f t="array" aca="1" ref="J159" ca="1">[1]!s_west_stdnetprofit($B$1,YEAR($A159)+1,$A159,180,1000000)</f>
        <v>32.051775999999997</v>
      </c>
      <c r="K159" cm="1">
        <f t="array" aca="1" ref="K159" ca="1">[1]!s_west_mediannetprofit($B$1,YEAR($A158)+1,$A158,180,1000000)</f>
        <v>59.46</v>
      </c>
      <c r="L159" cm="1">
        <f t="array" aca="1" ref="L159" ca="1">[1]!s_dq_close($B$1,$A159,3)</f>
        <v>20.72</v>
      </c>
    </row>
    <row r="160" spans="1:12">
      <c r="A160" s="23">
        <f t="shared" ca="1" si="2"/>
        <v>46015</v>
      </c>
      <c r="B160" cm="1">
        <f t="array" aca="1" ref="B160" ca="1">[1]!s_west_netprofit($B$1,YEAR($A160),$A160,180,1000000)</f>
        <v>408.13115800000003</v>
      </c>
      <c r="C160" cm="1">
        <f t="array" aca="1" ref="C160" ca="1">[1]!s_west_eps($B$1,YEAR($A160),$A160,180)</f>
        <v>0.4677</v>
      </c>
      <c r="D160" cm="1">
        <f t="array" aca="1" ref="D160" ca="1">[1]!s_west_instnum_np($B$1,YEAR($A160),$A160,180)</f>
        <v>19</v>
      </c>
      <c r="E160" cm="1">
        <f t="array" aca="1" ref="E160" ca="1">[1]!s_west_stdnetprofit($B$1,YEAR($A160),$A160,180,1000000)</f>
        <v>44.101536000000003</v>
      </c>
      <c r="F160" cm="1">
        <f t="array" aca="1" ref="F160" ca="1">[1]!s_west_mediannetprofit($B$1,YEAR($A160),$A160,180,1000000)</f>
        <v>419</v>
      </c>
      <c r="G160" cm="1">
        <f t="array" aca="1" ref="G160" ca="1">[1]!s_west_netprofit($B$1,YEAR($A160)+1,$A160,180,1000000)</f>
        <v>65.171895000000006</v>
      </c>
      <c r="H160" cm="1">
        <f t="array" aca="1" ref="H160" ca="1">[1]!s_west_eps($B$1,YEAR($A160)+1,$A160,180)</f>
        <v>7.4700000000000003E-2</v>
      </c>
      <c r="I160" cm="1">
        <f t="array" aca="1" ref="I160" ca="1">[1]!s_west_instnum_np($B$1,YEAR($A160)+1,$A160,180)</f>
        <v>19</v>
      </c>
      <c r="J160" cm="1">
        <f t="array" aca="1" ref="J160" ca="1">[1]!s_west_stdnetprofit($B$1,YEAR($A160)+1,$A160,180,1000000)</f>
        <v>32.051775999999997</v>
      </c>
      <c r="K160" cm="1">
        <f t="array" aca="1" ref="K160" ca="1">[1]!s_west_mediannetprofit($B$1,YEAR($A159)+1,$A159,180,1000000)</f>
        <v>59.46</v>
      </c>
      <c r="L160" cm="1">
        <f t="array" aca="1" ref="L160" ca="1">[1]!s_dq_close($B$1,$A160,3)</f>
        <v>20.72</v>
      </c>
    </row>
    <row r="161" spans="1:12">
      <c r="A161" s="23">
        <f t="shared" ca="1" si="2"/>
        <v>46014</v>
      </c>
      <c r="B161" cm="1">
        <f t="array" aca="1" ref="B161" ca="1">[1]!s_west_netprofit($B$1,YEAR($A161),$A161,180,1000000)</f>
        <v>408.13115800000003</v>
      </c>
      <c r="C161" cm="1">
        <f t="array" aca="1" ref="C161" ca="1">[1]!s_west_eps($B$1,YEAR($A161),$A161,180)</f>
        <v>0.4677</v>
      </c>
      <c r="D161" cm="1">
        <f t="array" aca="1" ref="D161" ca="1">[1]!s_west_instnum_np($B$1,YEAR($A161),$A161,180)</f>
        <v>19</v>
      </c>
      <c r="E161" cm="1">
        <f t="array" aca="1" ref="E161" ca="1">[1]!s_west_stdnetprofit($B$1,YEAR($A161),$A161,180,1000000)</f>
        <v>44.101536000000003</v>
      </c>
      <c r="F161" cm="1">
        <f t="array" aca="1" ref="F161" ca="1">[1]!s_west_mediannetprofit($B$1,YEAR($A161),$A161,180,1000000)</f>
        <v>419</v>
      </c>
      <c r="G161" cm="1">
        <f t="array" aca="1" ref="G161" ca="1">[1]!s_west_netprofit($B$1,YEAR($A161)+1,$A161,180,1000000)</f>
        <v>65.171895000000006</v>
      </c>
      <c r="H161" cm="1">
        <f t="array" aca="1" ref="H161" ca="1">[1]!s_west_eps($B$1,YEAR($A161)+1,$A161,180)</f>
        <v>7.4700000000000003E-2</v>
      </c>
      <c r="I161" cm="1">
        <f t="array" aca="1" ref="I161" ca="1">[1]!s_west_instnum_np($B$1,YEAR($A161)+1,$A161,180)</f>
        <v>19</v>
      </c>
      <c r="J161" cm="1">
        <f t="array" aca="1" ref="J161" ca="1">[1]!s_west_stdnetprofit($B$1,YEAR($A161)+1,$A161,180,1000000)</f>
        <v>32.051775999999997</v>
      </c>
      <c r="K161" cm="1">
        <f t="array" aca="1" ref="K161" ca="1">[1]!s_west_mediannetprofit($B$1,YEAR($A160)+1,$A160,180,1000000)</f>
        <v>59.46</v>
      </c>
      <c r="L161" cm="1">
        <f t="array" aca="1" ref="L161" ca="1">[1]!s_dq_close($B$1,$A161,3)</f>
        <v>20.68</v>
      </c>
    </row>
    <row r="162" spans="1:12">
      <c r="A162" s="23">
        <f t="shared" ca="1" si="2"/>
        <v>46013</v>
      </c>
      <c r="B162" cm="1">
        <f t="array" aca="1" ref="B162" ca="1">[1]!s_west_netprofit($B$1,YEAR($A162),$A162,180,1000000)</f>
        <v>408.13115800000003</v>
      </c>
      <c r="C162" cm="1">
        <f t="array" aca="1" ref="C162" ca="1">[1]!s_west_eps($B$1,YEAR($A162),$A162,180)</f>
        <v>0.4677</v>
      </c>
      <c r="D162" cm="1">
        <f t="array" aca="1" ref="D162" ca="1">[1]!s_west_instnum_np($B$1,YEAR($A162),$A162,180)</f>
        <v>19</v>
      </c>
      <c r="E162" cm="1">
        <f t="array" aca="1" ref="E162" ca="1">[1]!s_west_stdnetprofit($B$1,YEAR($A162),$A162,180,1000000)</f>
        <v>44.101536000000003</v>
      </c>
      <c r="F162" cm="1">
        <f t="array" aca="1" ref="F162" ca="1">[1]!s_west_mediannetprofit($B$1,YEAR($A162),$A162,180,1000000)</f>
        <v>419</v>
      </c>
      <c r="G162" cm="1">
        <f t="array" aca="1" ref="G162" ca="1">[1]!s_west_netprofit($B$1,YEAR($A162)+1,$A162,180,1000000)</f>
        <v>65.171895000000006</v>
      </c>
      <c r="H162" cm="1">
        <f t="array" aca="1" ref="H162" ca="1">[1]!s_west_eps($B$1,YEAR($A162)+1,$A162,180)</f>
        <v>7.4700000000000003E-2</v>
      </c>
      <c r="I162" cm="1">
        <f t="array" aca="1" ref="I162" ca="1">[1]!s_west_instnum_np($B$1,YEAR($A162)+1,$A162,180)</f>
        <v>19</v>
      </c>
      <c r="J162" cm="1">
        <f t="array" aca="1" ref="J162" ca="1">[1]!s_west_stdnetprofit($B$1,YEAR($A162)+1,$A162,180,1000000)</f>
        <v>32.051775999999997</v>
      </c>
      <c r="K162" cm="1">
        <f t="array" aca="1" ref="K162" ca="1">[1]!s_west_mediannetprofit($B$1,YEAR($A161)+1,$A161,180,1000000)</f>
        <v>59.46</v>
      </c>
      <c r="L162" cm="1">
        <f t="array" aca="1" ref="L162" ca="1">[1]!s_dq_close($B$1,$A162,3)</f>
        <v>20.66</v>
      </c>
    </row>
    <row r="163" spans="1:12">
      <c r="A163" s="23">
        <f t="shared" ca="1" si="2"/>
        <v>46012</v>
      </c>
      <c r="B163" cm="1">
        <f t="array" aca="1" ref="B163" ca="1">[1]!s_west_netprofit($B$1,YEAR($A163),$A163,180,1000000)</f>
        <v>408.13115800000003</v>
      </c>
      <c r="C163" cm="1">
        <f t="array" aca="1" ref="C163" ca="1">[1]!s_west_eps($B$1,YEAR($A163),$A163,180)</f>
        <v>0.4677</v>
      </c>
      <c r="D163" cm="1">
        <f t="array" aca="1" ref="D163" ca="1">[1]!s_west_instnum_np($B$1,YEAR($A163),$A163,180)</f>
        <v>19</v>
      </c>
      <c r="E163" cm="1">
        <f t="array" aca="1" ref="E163" ca="1">[1]!s_west_stdnetprofit($B$1,YEAR($A163),$A163,180,1000000)</f>
        <v>44.101536000000003</v>
      </c>
      <c r="F163" cm="1">
        <f t="array" aca="1" ref="F163" ca="1">[1]!s_west_mediannetprofit($B$1,YEAR($A163),$A163,180,1000000)</f>
        <v>419</v>
      </c>
      <c r="G163" cm="1">
        <f t="array" aca="1" ref="G163" ca="1">[1]!s_west_netprofit($B$1,YEAR($A163)+1,$A163,180,1000000)</f>
        <v>65.171895000000006</v>
      </c>
      <c r="H163" cm="1">
        <f t="array" aca="1" ref="H163" ca="1">[1]!s_west_eps($B$1,YEAR($A163)+1,$A163,180)</f>
        <v>7.4700000000000003E-2</v>
      </c>
      <c r="I163" cm="1">
        <f t="array" aca="1" ref="I163" ca="1">[1]!s_west_instnum_np($B$1,YEAR($A163)+1,$A163,180)</f>
        <v>19</v>
      </c>
      <c r="J163" cm="1">
        <f t="array" aca="1" ref="J163" ca="1">[1]!s_west_stdnetprofit($B$1,YEAR($A163)+1,$A163,180,1000000)</f>
        <v>32.051775999999997</v>
      </c>
      <c r="K163" cm="1">
        <f t="array" aca="1" ref="K163" ca="1">[1]!s_west_mediannetprofit($B$1,YEAR($A162)+1,$A162,180,1000000)</f>
        <v>59.46</v>
      </c>
      <c r="L163" cm="1">
        <f t="array" aca="1" ref="L163" ca="1">[1]!s_dq_close($B$1,$A163,3)</f>
        <v>20.8</v>
      </c>
    </row>
    <row r="164" spans="1:12">
      <c r="A164" s="23">
        <f t="shared" ca="1" si="2"/>
        <v>46011</v>
      </c>
      <c r="B164" cm="1">
        <f t="array" aca="1" ref="B164" ca="1">[1]!s_west_netprofit($B$1,YEAR($A164),$A164,180,1000000)</f>
        <v>408.13115800000003</v>
      </c>
      <c r="C164" cm="1">
        <f t="array" aca="1" ref="C164" ca="1">[1]!s_west_eps($B$1,YEAR($A164),$A164,180)</f>
        <v>0.4677</v>
      </c>
      <c r="D164" cm="1">
        <f t="array" aca="1" ref="D164" ca="1">[1]!s_west_instnum_np($B$1,YEAR($A164),$A164,180)</f>
        <v>19</v>
      </c>
      <c r="E164" cm="1">
        <f t="array" aca="1" ref="E164" ca="1">[1]!s_west_stdnetprofit($B$1,YEAR($A164),$A164,180,1000000)</f>
        <v>44.101536000000003</v>
      </c>
      <c r="F164" cm="1">
        <f t="array" aca="1" ref="F164" ca="1">[1]!s_west_mediannetprofit($B$1,YEAR($A164),$A164,180,1000000)</f>
        <v>419</v>
      </c>
      <c r="G164" cm="1">
        <f t="array" aca="1" ref="G164" ca="1">[1]!s_west_netprofit($B$1,YEAR($A164)+1,$A164,180,1000000)</f>
        <v>65.171895000000006</v>
      </c>
      <c r="H164" cm="1">
        <f t="array" aca="1" ref="H164" ca="1">[1]!s_west_eps($B$1,YEAR($A164)+1,$A164,180)</f>
        <v>7.4700000000000003E-2</v>
      </c>
      <c r="I164" cm="1">
        <f t="array" aca="1" ref="I164" ca="1">[1]!s_west_instnum_np($B$1,YEAR($A164)+1,$A164,180)</f>
        <v>19</v>
      </c>
      <c r="J164" cm="1">
        <f t="array" aca="1" ref="J164" ca="1">[1]!s_west_stdnetprofit($B$1,YEAR($A164)+1,$A164,180,1000000)</f>
        <v>32.051775999999997</v>
      </c>
      <c r="K164" cm="1">
        <f t="array" aca="1" ref="K164" ca="1">[1]!s_west_mediannetprofit($B$1,YEAR($A163)+1,$A163,180,1000000)</f>
        <v>59.46</v>
      </c>
      <c r="L164" cm="1">
        <f t="array" aca="1" ref="L164" ca="1">[1]!s_dq_close($B$1,$A164,3)</f>
        <v>20.8</v>
      </c>
    </row>
    <row r="165" spans="1:12">
      <c r="A165" s="23">
        <f t="shared" ca="1" si="2"/>
        <v>46010</v>
      </c>
      <c r="B165" cm="1">
        <f t="array" aca="1" ref="B165" ca="1">[1]!s_west_netprofit($B$1,YEAR($A165),$A165,180,1000000)</f>
        <v>408.13115800000003</v>
      </c>
      <c r="C165" cm="1">
        <f t="array" aca="1" ref="C165" ca="1">[1]!s_west_eps($B$1,YEAR($A165),$A165,180)</f>
        <v>0.4677</v>
      </c>
      <c r="D165" cm="1">
        <f t="array" aca="1" ref="D165" ca="1">[1]!s_west_instnum_np($B$1,YEAR($A165),$A165,180)</f>
        <v>19</v>
      </c>
      <c r="E165" cm="1">
        <f t="array" aca="1" ref="E165" ca="1">[1]!s_west_stdnetprofit($B$1,YEAR($A165),$A165,180,1000000)</f>
        <v>44.101536000000003</v>
      </c>
      <c r="F165" cm="1">
        <f t="array" aca="1" ref="F165" ca="1">[1]!s_west_mediannetprofit($B$1,YEAR($A165),$A165,180,1000000)</f>
        <v>419</v>
      </c>
      <c r="G165" cm="1">
        <f t="array" aca="1" ref="G165" ca="1">[1]!s_west_netprofit($B$1,YEAR($A165)+1,$A165,180,1000000)</f>
        <v>65.171895000000006</v>
      </c>
      <c r="H165" cm="1">
        <f t="array" aca="1" ref="H165" ca="1">[1]!s_west_eps($B$1,YEAR($A165)+1,$A165,180)</f>
        <v>7.4700000000000003E-2</v>
      </c>
      <c r="I165" cm="1">
        <f t="array" aca="1" ref="I165" ca="1">[1]!s_west_instnum_np($B$1,YEAR($A165)+1,$A165,180)</f>
        <v>19</v>
      </c>
      <c r="J165" cm="1">
        <f t="array" aca="1" ref="J165" ca="1">[1]!s_west_stdnetprofit($B$1,YEAR($A165)+1,$A165,180,1000000)</f>
        <v>32.051775999999997</v>
      </c>
      <c r="K165" cm="1">
        <f t="array" aca="1" ref="K165" ca="1">[1]!s_west_mediannetprofit($B$1,YEAR($A164)+1,$A164,180,1000000)</f>
        <v>59.46</v>
      </c>
      <c r="L165" cm="1">
        <f t="array" aca="1" ref="L165" ca="1">[1]!s_dq_close($B$1,$A165,3)</f>
        <v>20.8</v>
      </c>
    </row>
    <row r="166" spans="1:12">
      <c r="A166" s="23">
        <f t="shared" ca="1" si="2"/>
        <v>46009</v>
      </c>
      <c r="B166" cm="1">
        <f t="array" aca="1" ref="B166" ca="1">[1]!s_west_netprofit($B$1,YEAR($A166),$A166,180,1000000)</f>
        <v>408.13115800000003</v>
      </c>
      <c r="C166" cm="1">
        <f t="array" aca="1" ref="C166" ca="1">[1]!s_west_eps($B$1,YEAR($A166),$A166,180)</f>
        <v>0.4677</v>
      </c>
      <c r="D166" cm="1">
        <f t="array" aca="1" ref="D166" ca="1">[1]!s_west_instnum_np($B$1,YEAR($A166),$A166,180)</f>
        <v>19</v>
      </c>
      <c r="E166" cm="1">
        <f t="array" aca="1" ref="E166" ca="1">[1]!s_west_stdnetprofit($B$1,YEAR($A166),$A166,180,1000000)</f>
        <v>44.101536000000003</v>
      </c>
      <c r="F166" cm="1">
        <f t="array" aca="1" ref="F166" ca="1">[1]!s_west_mediannetprofit($B$1,YEAR($A166),$A166,180,1000000)</f>
        <v>419</v>
      </c>
      <c r="G166" cm="1">
        <f t="array" aca="1" ref="G166" ca="1">[1]!s_west_netprofit($B$1,YEAR($A166)+1,$A166,180,1000000)</f>
        <v>65.171895000000006</v>
      </c>
      <c r="H166" cm="1">
        <f t="array" aca="1" ref="H166" ca="1">[1]!s_west_eps($B$1,YEAR($A166)+1,$A166,180)</f>
        <v>7.4700000000000003E-2</v>
      </c>
      <c r="I166" cm="1">
        <f t="array" aca="1" ref="I166" ca="1">[1]!s_west_instnum_np($B$1,YEAR($A166)+1,$A166,180)</f>
        <v>19</v>
      </c>
      <c r="J166" cm="1">
        <f t="array" aca="1" ref="J166" ca="1">[1]!s_west_stdnetprofit($B$1,YEAR($A166)+1,$A166,180,1000000)</f>
        <v>32.051775999999997</v>
      </c>
      <c r="K166" cm="1">
        <f t="array" aca="1" ref="K166" ca="1">[1]!s_west_mediannetprofit($B$1,YEAR($A165)+1,$A165,180,1000000)</f>
        <v>59.46</v>
      </c>
      <c r="L166" cm="1">
        <f t="array" aca="1" ref="L166" ca="1">[1]!s_dq_close($B$1,$A166,3)</f>
        <v>20.72</v>
      </c>
    </row>
    <row r="167" spans="1:12">
      <c r="A167" s="23">
        <f t="shared" ca="1" si="2"/>
        <v>46008</v>
      </c>
      <c r="B167" cm="1">
        <f t="array" aca="1" ref="B167" ca="1">[1]!s_west_netprofit($B$1,YEAR($A167),$A167,180,1000000)</f>
        <v>408.13115800000003</v>
      </c>
      <c r="C167" cm="1">
        <f t="array" aca="1" ref="C167" ca="1">[1]!s_west_eps($B$1,YEAR($A167),$A167,180)</f>
        <v>0.4677</v>
      </c>
      <c r="D167" cm="1">
        <f t="array" aca="1" ref="D167" ca="1">[1]!s_west_instnum_np($B$1,YEAR($A167),$A167,180)</f>
        <v>19</v>
      </c>
      <c r="E167" cm="1">
        <f t="array" aca="1" ref="E167" ca="1">[1]!s_west_stdnetprofit($B$1,YEAR($A167),$A167,180,1000000)</f>
        <v>44.101536000000003</v>
      </c>
      <c r="F167" cm="1">
        <f t="array" aca="1" ref="F167" ca="1">[1]!s_west_mediannetprofit($B$1,YEAR($A167),$A167,180,1000000)</f>
        <v>419</v>
      </c>
      <c r="G167" cm="1">
        <f t="array" aca="1" ref="G167" ca="1">[1]!s_west_netprofit($B$1,YEAR($A167)+1,$A167,180,1000000)</f>
        <v>65.171895000000006</v>
      </c>
      <c r="H167" cm="1">
        <f t="array" aca="1" ref="H167" ca="1">[1]!s_west_eps($B$1,YEAR($A167)+1,$A167,180)</f>
        <v>7.4700000000000003E-2</v>
      </c>
      <c r="I167" cm="1">
        <f t="array" aca="1" ref="I167" ca="1">[1]!s_west_instnum_np($B$1,YEAR($A167)+1,$A167,180)</f>
        <v>19</v>
      </c>
      <c r="J167" cm="1">
        <f t="array" aca="1" ref="J167" ca="1">[1]!s_west_stdnetprofit($B$1,YEAR($A167)+1,$A167,180,1000000)</f>
        <v>32.051775999999997</v>
      </c>
      <c r="K167" cm="1">
        <f t="array" aca="1" ref="K167" ca="1">[1]!s_west_mediannetprofit($B$1,YEAR($A166)+1,$A166,180,1000000)</f>
        <v>59.46</v>
      </c>
      <c r="L167" cm="1">
        <f t="array" aca="1" ref="L167" ca="1">[1]!s_dq_close($B$1,$A167,3)</f>
        <v>20.54</v>
      </c>
    </row>
    <row r="168" spans="1:12">
      <c r="A168" s="23">
        <f t="shared" ca="1" si="2"/>
        <v>46007</v>
      </c>
      <c r="B168" cm="1">
        <f t="array" aca="1" ref="B168" ca="1">[1]!s_west_netprofit($B$1,YEAR($A168),$A168,180,1000000)</f>
        <v>408.13115800000003</v>
      </c>
      <c r="C168" cm="1">
        <f t="array" aca="1" ref="C168" ca="1">[1]!s_west_eps($B$1,YEAR($A168),$A168,180)</f>
        <v>0.4677</v>
      </c>
      <c r="D168" cm="1">
        <f t="array" aca="1" ref="D168" ca="1">[1]!s_west_instnum_np($B$1,YEAR($A168),$A168,180)</f>
        <v>19</v>
      </c>
      <c r="E168" cm="1">
        <f t="array" aca="1" ref="E168" ca="1">[1]!s_west_stdnetprofit($B$1,YEAR($A168),$A168,180,1000000)</f>
        <v>44.101536000000003</v>
      </c>
      <c r="F168" cm="1">
        <f t="array" aca="1" ref="F168" ca="1">[1]!s_west_mediannetprofit($B$1,YEAR($A168),$A168,180,1000000)</f>
        <v>419</v>
      </c>
      <c r="G168" cm="1">
        <f t="array" aca="1" ref="G168" ca="1">[1]!s_west_netprofit($B$1,YEAR($A168)+1,$A168,180,1000000)</f>
        <v>65.171895000000006</v>
      </c>
      <c r="H168" cm="1">
        <f t="array" aca="1" ref="H168" ca="1">[1]!s_west_eps($B$1,YEAR($A168)+1,$A168,180)</f>
        <v>7.4700000000000003E-2</v>
      </c>
      <c r="I168" cm="1">
        <f t="array" aca="1" ref="I168" ca="1">[1]!s_west_instnum_np($B$1,YEAR($A168)+1,$A168,180)</f>
        <v>19</v>
      </c>
      <c r="J168" cm="1">
        <f t="array" aca="1" ref="J168" ca="1">[1]!s_west_stdnetprofit($B$1,YEAR($A168)+1,$A168,180,1000000)</f>
        <v>32.051775999999997</v>
      </c>
      <c r="K168" cm="1">
        <f t="array" aca="1" ref="K168" ca="1">[1]!s_west_mediannetprofit($B$1,YEAR($A167)+1,$A167,180,1000000)</f>
        <v>59.46</v>
      </c>
      <c r="L168" cm="1">
        <f t="array" aca="1" ref="L168" ca="1">[1]!s_dq_close($B$1,$A168,3)</f>
        <v>20.3</v>
      </c>
    </row>
    <row r="169" spans="1:12">
      <c r="A169" s="23">
        <f t="shared" ca="1" si="2"/>
        <v>46006</v>
      </c>
      <c r="B169" cm="1">
        <f t="array" aca="1" ref="B169" ca="1">[1]!s_west_netprofit($B$1,YEAR($A169),$A169,180,1000000)</f>
        <v>408.13115800000003</v>
      </c>
      <c r="C169" cm="1">
        <f t="array" aca="1" ref="C169" ca="1">[1]!s_west_eps($B$1,YEAR($A169),$A169,180)</f>
        <v>0.4677</v>
      </c>
      <c r="D169" cm="1">
        <f t="array" aca="1" ref="D169" ca="1">[1]!s_west_instnum_np($B$1,YEAR($A169),$A169,180)</f>
        <v>19</v>
      </c>
      <c r="E169" cm="1">
        <f t="array" aca="1" ref="E169" ca="1">[1]!s_west_stdnetprofit($B$1,YEAR($A169),$A169,180,1000000)</f>
        <v>44.101536000000003</v>
      </c>
      <c r="F169" cm="1">
        <f t="array" aca="1" ref="F169" ca="1">[1]!s_west_mediannetprofit($B$1,YEAR($A169),$A169,180,1000000)</f>
        <v>419</v>
      </c>
      <c r="G169" cm="1">
        <f t="array" aca="1" ref="G169" ca="1">[1]!s_west_netprofit($B$1,YEAR($A169)+1,$A169,180,1000000)</f>
        <v>65.171895000000006</v>
      </c>
      <c r="H169" cm="1">
        <f t="array" aca="1" ref="H169" ca="1">[1]!s_west_eps($B$1,YEAR($A169)+1,$A169,180)</f>
        <v>7.4700000000000003E-2</v>
      </c>
      <c r="I169" cm="1">
        <f t="array" aca="1" ref="I169" ca="1">[1]!s_west_instnum_np($B$1,YEAR($A169)+1,$A169,180)</f>
        <v>19</v>
      </c>
      <c r="J169" cm="1">
        <f t="array" aca="1" ref="J169" ca="1">[1]!s_west_stdnetprofit($B$1,YEAR($A169)+1,$A169,180,1000000)</f>
        <v>32.051775999999997</v>
      </c>
      <c r="K169" cm="1">
        <f t="array" aca="1" ref="K169" ca="1">[1]!s_west_mediannetprofit($B$1,YEAR($A168)+1,$A168,180,1000000)</f>
        <v>59.46</v>
      </c>
      <c r="L169" cm="1">
        <f t="array" aca="1" ref="L169" ca="1">[1]!s_dq_close($B$1,$A169,3)</f>
        <v>20.82</v>
      </c>
    </row>
    <row r="170" spans="1:12">
      <c r="A170" s="23">
        <f t="shared" ca="1" si="2"/>
        <v>46005</v>
      </c>
      <c r="B170" cm="1">
        <f t="array" aca="1" ref="B170" ca="1">[1]!s_west_netprofit($B$1,YEAR($A170),$A170,180,1000000)</f>
        <v>408.13115800000003</v>
      </c>
      <c r="C170" cm="1">
        <f t="array" aca="1" ref="C170" ca="1">[1]!s_west_eps($B$1,YEAR($A170),$A170,180)</f>
        <v>0.4677</v>
      </c>
      <c r="D170" cm="1">
        <f t="array" aca="1" ref="D170" ca="1">[1]!s_west_instnum_np($B$1,YEAR($A170),$A170,180)</f>
        <v>19</v>
      </c>
      <c r="E170" cm="1">
        <f t="array" aca="1" ref="E170" ca="1">[1]!s_west_stdnetprofit($B$1,YEAR($A170),$A170,180,1000000)</f>
        <v>44.101536000000003</v>
      </c>
      <c r="F170" cm="1">
        <f t="array" aca="1" ref="F170" ca="1">[1]!s_west_mediannetprofit($B$1,YEAR($A170),$A170,180,1000000)</f>
        <v>419</v>
      </c>
      <c r="G170" cm="1">
        <f t="array" aca="1" ref="G170" ca="1">[1]!s_west_netprofit($B$1,YEAR($A170)+1,$A170,180,1000000)</f>
        <v>65.171895000000006</v>
      </c>
      <c r="H170" cm="1">
        <f t="array" aca="1" ref="H170" ca="1">[1]!s_west_eps($B$1,YEAR($A170)+1,$A170,180)</f>
        <v>7.4700000000000003E-2</v>
      </c>
      <c r="I170" cm="1">
        <f t="array" aca="1" ref="I170" ca="1">[1]!s_west_instnum_np($B$1,YEAR($A170)+1,$A170,180)</f>
        <v>19</v>
      </c>
      <c r="J170" cm="1">
        <f t="array" aca="1" ref="J170" ca="1">[1]!s_west_stdnetprofit($B$1,YEAR($A170)+1,$A170,180,1000000)</f>
        <v>32.051775999999997</v>
      </c>
      <c r="K170" cm="1">
        <f t="array" aca="1" ref="K170" ca="1">[1]!s_west_mediannetprofit($B$1,YEAR($A169)+1,$A169,180,1000000)</f>
        <v>59.46</v>
      </c>
      <c r="L170" cm="1">
        <f t="array" aca="1" ref="L170" ca="1">[1]!s_dq_close($B$1,$A170,3)</f>
        <v>21.48</v>
      </c>
    </row>
    <row r="171" spans="1:12">
      <c r="A171" s="23">
        <f t="shared" ca="1" si="2"/>
        <v>46004</v>
      </c>
      <c r="B171" cm="1">
        <f t="array" aca="1" ref="B171" ca="1">[1]!s_west_netprofit($B$1,YEAR($A171),$A171,180,1000000)</f>
        <v>408.13115800000003</v>
      </c>
      <c r="C171" cm="1">
        <f t="array" aca="1" ref="C171" ca="1">[1]!s_west_eps($B$1,YEAR($A171),$A171,180)</f>
        <v>0.4677</v>
      </c>
      <c r="D171" cm="1">
        <f t="array" aca="1" ref="D171" ca="1">[1]!s_west_instnum_np($B$1,YEAR($A171),$A171,180)</f>
        <v>19</v>
      </c>
      <c r="E171" cm="1">
        <f t="array" aca="1" ref="E171" ca="1">[1]!s_west_stdnetprofit($B$1,YEAR($A171),$A171,180,1000000)</f>
        <v>44.101536000000003</v>
      </c>
      <c r="F171" cm="1">
        <f t="array" aca="1" ref="F171" ca="1">[1]!s_west_mediannetprofit($B$1,YEAR($A171),$A171,180,1000000)</f>
        <v>419</v>
      </c>
      <c r="G171" cm="1">
        <f t="array" aca="1" ref="G171" ca="1">[1]!s_west_netprofit($B$1,YEAR($A171)+1,$A171,180,1000000)</f>
        <v>65.171895000000006</v>
      </c>
      <c r="H171" cm="1">
        <f t="array" aca="1" ref="H171" ca="1">[1]!s_west_eps($B$1,YEAR($A171)+1,$A171,180)</f>
        <v>7.4700000000000003E-2</v>
      </c>
      <c r="I171" cm="1">
        <f t="array" aca="1" ref="I171" ca="1">[1]!s_west_instnum_np($B$1,YEAR($A171)+1,$A171,180)</f>
        <v>19</v>
      </c>
      <c r="J171" cm="1">
        <f t="array" aca="1" ref="J171" ca="1">[1]!s_west_stdnetprofit($B$1,YEAR($A171)+1,$A171,180,1000000)</f>
        <v>32.051775999999997</v>
      </c>
      <c r="K171" cm="1">
        <f t="array" aca="1" ref="K171" ca="1">[1]!s_west_mediannetprofit($B$1,YEAR($A170)+1,$A170,180,1000000)</f>
        <v>59.46</v>
      </c>
      <c r="L171" cm="1">
        <f t="array" aca="1" ref="L171" ca="1">[1]!s_dq_close($B$1,$A171,3)</f>
        <v>21.48</v>
      </c>
    </row>
    <row r="172" spans="1:12">
      <c r="A172" s="23">
        <f t="shared" ca="1" si="2"/>
        <v>46003</v>
      </c>
      <c r="B172" cm="1">
        <f t="array" aca="1" ref="B172" ca="1">[1]!s_west_netprofit($B$1,YEAR($A172),$A172,180,1000000)</f>
        <v>408.13115800000003</v>
      </c>
      <c r="C172" cm="1">
        <f t="array" aca="1" ref="C172" ca="1">[1]!s_west_eps($B$1,YEAR($A172),$A172,180)</f>
        <v>0.4677</v>
      </c>
      <c r="D172" cm="1">
        <f t="array" aca="1" ref="D172" ca="1">[1]!s_west_instnum_np($B$1,YEAR($A172),$A172,180)</f>
        <v>19</v>
      </c>
      <c r="E172" cm="1">
        <f t="array" aca="1" ref="E172" ca="1">[1]!s_west_stdnetprofit($B$1,YEAR($A172),$A172,180,1000000)</f>
        <v>44.101536000000003</v>
      </c>
      <c r="F172" cm="1">
        <f t="array" aca="1" ref="F172" ca="1">[1]!s_west_mediannetprofit($B$1,YEAR($A172),$A172,180,1000000)</f>
        <v>419</v>
      </c>
      <c r="G172" cm="1">
        <f t="array" aca="1" ref="G172" ca="1">[1]!s_west_netprofit($B$1,YEAR($A172)+1,$A172,180,1000000)</f>
        <v>65.171895000000006</v>
      </c>
      <c r="H172" cm="1">
        <f t="array" aca="1" ref="H172" ca="1">[1]!s_west_eps($B$1,YEAR($A172)+1,$A172,180)</f>
        <v>7.4700000000000003E-2</v>
      </c>
      <c r="I172" cm="1">
        <f t="array" aca="1" ref="I172" ca="1">[1]!s_west_instnum_np($B$1,YEAR($A172)+1,$A172,180)</f>
        <v>19</v>
      </c>
      <c r="J172" cm="1">
        <f t="array" aca="1" ref="J172" ca="1">[1]!s_west_stdnetprofit($B$1,YEAR($A172)+1,$A172,180,1000000)</f>
        <v>32.051775999999997</v>
      </c>
      <c r="K172" cm="1">
        <f t="array" aca="1" ref="K172" ca="1">[1]!s_west_mediannetprofit($B$1,YEAR($A171)+1,$A171,180,1000000)</f>
        <v>59.46</v>
      </c>
      <c r="L172" cm="1">
        <f t="array" aca="1" ref="L172" ca="1">[1]!s_dq_close($B$1,$A172,3)</f>
        <v>21.48</v>
      </c>
    </row>
    <row r="173" spans="1:12">
      <c r="A173" s="23">
        <f t="shared" ca="1" si="2"/>
        <v>46002</v>
      </c>
      <c r="B173" cm="1">
        <f t="array" aca="1" ref="B173" ca="1">[1]!s_west_netprofit($B$1,YEAR($A173),$A173,180,1000000)</f>
        <v>408.13115800000003</v>
      </c>
      <c r="C173" cm="1">
        <f t="array" aca="1" ref="C173" ca="1">[1]!s_west_eps($B$1,YEAR($A173),$A173,180)</f>
        <v>0.4677</v>
      </c>
      <c r="D173" cm="1">
        <f t="array" aca="1" ref="D173" ca="1">[1]!s_west_instnum_np($B$1,YEAR($A173),$A173,180)</f>
        <v>19</v>
      </c>
      <c r="E173" cm="1">
        <f t="array" aca="1" ref="E173" ca="1">[1]!s_west_stdnetprofit($B$1,YEAR($A173),$A173,180,1000000)</f>
        <v>44.101536000000003</v>
      </c>
      <c r="F173" cm="1">
        <f t="array" aca="1" ref="F173" ca="1">[1]!s_west_mediannetprofit($B$1,YEAR($A173),$A173,180,1000000)</f>
        <v>419</v>
      </c>
      <c r="G173" cm="1">
        <f t="array" aca="1" ref="G173" ca="1">[1]!s_west_netprofit($B$1,YEAR($A173)+1,$A173,180,1000000)</f>
        <v>65.171895000000006</v>
      </c>
      <c r="H173" cm="1">
        <f t="array" aca="1" ref="H173" ca="1">[1]!s_west_eps($B$1,YEAR($A173)+1,$A173,180)</f>
        <v>7.4700000000000003E-2</v>
      </c>
      <c r="I173" cm="1">
        <f t="array" aca="1" ref="I173" ca="1">[1]!s_west_instnum_np($B$1,YEAR($A173)+1,$A173,180)</f>
        <v>19</v>
      </c>
      <c r="J173" cm="1">
        <f t="array" aca="1" ref="J173" ca="1">[1]!s_west_stdnetprofit($B$1,YEAR($A173)+1,$A173,180,1000000)</f>
        <v>32.051775999999997</v>
      </c>
      <c r="K173" cm="1">
        <f t="array" aca="1" ref="K173" ca="1">[1]!s_west_mediannetprofit($B$1,YEAR($A172)+1,$A172,180,1000000)</f>
        <v>59.46</v>
      </c>
      <c r="L173" cm="1">
        <f t="array" aca="1" ref="L173" ca="1">[1]!s_dq_close($B$1,$A173,3)</f>
        <v>21.06</v>
      </c>
    </row>
    <row r="174" spans="1:12">
      <c r="A174" s="23">
        <f t="shared" ca="1" si="2"/>
        <v>46001</v>
      </c>
      <c r="B174" cm="1">
        <f t="array" aca="1" ref="B174" ca="1">[1]!s_west_netprofit($B$1,YEAR($A174),$A174,180,1000000)</f>
        <v>408.13115800000003</v>
      </c>
      <c r="C174" cm="1">
        <f t="array" aca="1" ref="C174" ca="1">[1]!s_west_eps($B$1,YEAR($A174),$A174,180)</f>
        <v>0.4677</v>
      </c>
      <c r="D174" cm="1">
        <f t="array" aca="1" ref="D174" ca="1">[1]!s_west_instnum_np($B$1,YEAR($A174),$A174,180)</f>
        <v>19</v>
      </c>
      <c r="E174" cm="1">
        <f t="array" aca="1" ref="E174" ca="1">[1]!s_west_stdnetprofit($B$1,YEAR($A174),$A174,180,1000000)</f>
        <v>44.101536000000003</v>
      </c>
      <c r="F174" cm="1">
        <f t="array" aca="1" ref="F174" ca="1">[1]!s_west_mediannetprofit($B$1,YEAR($A174),$A174,180,1000000)</f>
        <v>419</v>
      </c>
      <c r="G174" cm="1">
        <f t="array" aca="1" ref="G174" ca="1">[1]!s_west_netprofit($B$1,YEAR($A174)+1,$A174,180,1000000)</f>
        <v>65.171895000000006</v>
      </c>
      <c r="H174" cm="1">
        <f t="array" aca="1" ref="H174" ca="1">[1]!s_west_eps($B$1,YEAR($A174)+1,$A174,180)</f>
        <v>7.4700000000000003E-2</v>
      </c>
      <c r="I174" cm="1">
        <f t="array" aca="1" ref="I174" ca="1">[1]!s_west_instnum_np($B$1,YEAR($A174)+1,$A174,180)</f>
        <v>19</v>
      </c>
      <c r="J174" cm="1">
        <f t="array" aca="1" ref="J174" ca="1">[1]!s_west_stdnetprofit($B$1,YEAR($A174)+1,$A174,180,1000000)</f>
        <v>32.051775999999997</v>
      </c>
      <c r="K174" cm="1">
        <f t="array" aca="1" ref="K174" ca="1">[1]!s_west_mediannetprofit($B$1,YEAR($A173)+1,$A173,180,1000000)</f>
        <v>59.46</v>
      </c>
      <c r="L174" cm="1">
        <f t="array" aca="1" ref="L174" ca="1">[1]!s_dq_close($B$1,$A174,3)</f>
        <v>21.42</v>
      </c>
    </row>
    <row r="175" spans="1:12">
      <c r="A175" s="23">
        <f t="shared" ca="1" si="2"/>
        <v>46000</v>
      </c>
      <c r="B175" cm="1">
        <f t="array" aca="1" ref="B175" ca="1">[1]!s_west_netprofit($B$1,YEAR($A175),$A175,180,1000000)</f>
        <v>408.13115800000003</v>
      </c>
      <c r="C175" cm="1">
        <f t="array" aca="1" ref="C175" ca="1">[1]!s_west_eps($B$1,YEAR($A175),$A175,180)</f>
        <v>0.4677</v>
      </c>
      <c r="D175" cm="1">
        <f t="array" aca="1" ref="D175" ca="1">[1]!s_west_instnum_np($B$1,YEAR($A175),$A175,180)</f>
        <v>19</v>
      </c>
      <c r="E175" cm="1">
        <f t="array" aca="1" ref="E175" ca="1">[1]!s_west_stdnetprofit($B$1,YEAR($A175),$A175,180,1000000)</f>
        <v>44.101536000000003</v>
      </c>
      <c r="F175" cm="1">
        <f t="array" aca="1" ref="F175" ca="1">[1]!s_west_mediannetprofit($B$1,YEAR($A175),$A175,180,1000000)</f>
        <v>419</v>
      </c>
      <c r="G175" cm="1">
        <f t="array" aca="1" ref="G175" ca="1">[1]!s_west_netprofit($B$1,YEAR($A175)+1,$A175,180,1000000)</f>
        <v>65.171895000000006</v>
      </c>
      <c r="H175" cm="1">
        <f t="array" aca="1" ref="H175" ca="1">[1]!s_west_eps($B$1,YEAR($A175)+1,$A175,180)</f>
        <v>7.4700000000000003E-2</v>
      </c>
      <c r="I175" cm="1">
        <f t="array" aca="1" ref="I175" ca="1">[1]!s_west_instnum_np($B$1,YEAR($A175)+1,$A175,180)</f>
        <v>19</v>
      </c>
      <c r="J175" cm="1">
        <f t="array" aca="1" ref="J175" ca="1">[1]!s_west_stdnetprofit($B$1,YEAR($A175)+1,$A175,180,1000000)</f>
        <v>32.051775999999997</v>
      </c>
      <c r="K175" cm="1">
        <f t="array" aca="1" ref="K175" ca="1">[1]!s_west_mediannetprofit($B$1,YEAR($A174)+1,$A174,180,1000000)</f>
        <v>59.46</v>
      </c>
      <c r="L175" cm="1">
        <f t="array" aca="1" ref="L175" ca="1">[1]!s_dq_close($B$1,$A175,3)</f>
        <v>21.66</v>
      </c>
    </row>
    <row r="176" spans="1:12">
      <c r="A176" s="23">
        <f t="shared" ca="1" si="2"/>
        <v>45999</v>
      </c>
      <c r="B176" cm="1">
        <f t="array" aca="1" ref="B176" ca="1">[1]!s_west_netprofit($B$1,YEAR($A176),$A176,180,1000000)</f>
        <v>408.13115800000003</v>
      </c>
      <c r="C176" cm="1">
        <f t="array" aca="1" ref="C176" ca="1">[1]!s_west_eps($B$1,YEAR($A176),$A176,180)</f>
        <v>0.4677</v>
      </c>
      <c r="D176" cm="1">
        <f t="array" aca="1" ref="D176" ca="1">[1]!s_west_instnum_np($B$1,YEAR($A176),$A176,180)</f>
        <v>19</v>
      </c>
      <c r="E176" cm="1">
        <f t="array" aca="1" ref="E176" ca="1">[1]!s_west_stdnetprofit($B$1,YEAR($A176),$A176,180,1000000)</f>
        <v>44.101536000000003</v>
      </c>
      <c r="F176" cm="1">
        <f t="array" aca="1" ref="F176" ca="1">[1]!s_west_mediannetprofit($B$1,YEAR($A176),$A176,180,1000000)</f>
        <v>419</v>
      </c>
      <c r="G176" cm="1">
        <f t="array" aca="1" ref="G176" ca="1">[1]!s_west_netprofit($B$1,YEAR($A176)+1,$A176,180,1000000)</f>
        <v>65.171895000000006</v>
      </c>
      <c r="H176" cm="1">
        <f t="array" aca="1" ref="H176" ca="1">[1]!s_west_eps($B$1,YEAR($A176)+1,$A176,180)</f>
        <v>7.4700000000000003E-2</v>
      </c>
      <c r="I176" cm="1">
        <f t="array" aca="1" ref="I176" ca="1">[1]!s_west_instnum_np($B$1,YEAR($A176)+1,$A176,180)</f>
        <v>19</v>
      </c>
      <c r="J176" cm="1">
        <f t="array" aca="1" ref="J176" ca="1">[1]!s_west_stdnetprofit($B$1,YEAR($A176)+1,$A176,180,1000000)</f>
        <v>32.051775999999997</v>
      </c>
      <c r="K176" cm="1">
        <f t="array" aca="1" ref="K176" ca="1">[1]!s_west_mediannetprofit($B$1,YEAR($A175)+1,$A175,180,1000000)</f>
        <v>59.46</v>
      </c>
      <c r="L176" cm="1">
        <f t="array" aca="1" ref="L176" ca="1">[1]!s_dq_close($B$1,$A176,3)</f>
        <v>21.96</v>
      </c>
    </row>
    <row r="177" spans="1:12">
      <c r="A177" s="23">
        <f t="shared" ca="1" si="2"/>
        <v>45998</v>
      </c>
      <c r="B177" cm="1">
        <f t="array" aca="1" ref="B177" ca="1">[1]!s_west_netprofit($B$1,YEAR($A177),$A177,180,1000000)</f>
        <v>408.13115800000003</v>
      </c>
      <c r="C177" cm="1">
        <f t="array" aca="1" ref="C177" ca="1">[1]!s_west_eps($B$1,YEAR($A177),$A177,180)</f>
        <v>0.4677</v>
      </c>
      <c r="D177" cm="1">
        <f t="array" aca="1" ref="D177" ca="1">[1]!s_west_instnum_np($B$1,YEAR($A177),$A177,180)</f>
        <v>19</v>
      </c>
      <c r="E177" cm="1">
        <f t="array" aca="1" ref="E177" ca="1">[1]!s_west_stdnetprofit($B$1,YEAR($A177),$A177,180,1000000)</f>
        <v>44.101536000000003</v>
      </c>
      <c r="F177" cm="1">
        <f t="array" aca="1" ref="F177" ca="1">[1]!s_west_mediannetprofit($B$1,YEAR($A177),$A177,180,1000000)</f>
        <v>419</v>
      </c>
      <c r="G177" cm="1">
        <f t="array" aca="1" ref="G177" ca="1">[1]!s_west_netprofit($B$1,YEAR($A177)+1,$A177,180,1000000)</f>
        <v>65.171895000000006</v>
      </c>
      <c r="H177" cm="1">
        <f t="array" aca="1" ref="H177" ca="1">[1]!s_west_eps($B$1,YEAR($A177)+1,$A177,180)</f>
        <v>7.4700000000000003E-2</v>
      </c>
      <c r="I177" cm="1">
        <f t="array" aca="1" ref="I177" ca="1">[1]!s_west_instnum_np($B$1,YEAR($A177)+1,$A177,180)</f>
        <v>19</v>
      </c>
      <c r="J177" cm="1">
        <f t="array" aca="1" ref="J177" ca="1">[1]!s_west_stdnetprofit($B$1,YEAR($A177)+1,$A177,180,1000000)</f>
        <v>32.051775999999997</v>
      </c>
      <c r="K177" cm="1">
        <f t="array" aca="1" ref="K177" ca="1">[1]!s_west_mediannetprofit($B$1,YEAR($A176)+1,$A176,180,1000000)</f>
        <v>59.46</v>
      </c>
      <c r="L177" cm="1">
        <f t="array" aca="1" ref="L177" ca="1">[1]!s_dq_close($B$1,$A177,3)</f>
        <v>22</v>
      </c>
    </row>
    <row r="178" spans="1:12">
      <c r="A178" s="23">
        <f t="shared" ca="1" si="2"/>
        <v>45997</v>
      </c>
      <c r="B178" cm="1">
        <f t="array" aca="1" ref="B178" ca="1">[1]!s_west_netprofit($B$1,YEAR($A178),$A178,180,1000000)</f>
        <v>408.13115800000003</v>
      </c>
      <c r="C178" cm="1">
        <f t="array" aca="1" ref="C178" ca="1">[1]!s_west_eps($B$1,YEAR($A178),$A178,180)</f>
        <v>0.4677</v>
      </c>
      <c r="D178" cm="1">
        <f t="array" aca="1" ref="D178" ca="1">[1]!s_west_instnum_np($B$1,YEAR($A178),$A178,180)</f>
        <v>19</v>
      </c>
      <c r="E178" cm="1">
        <f t="array" aca="1" ref="E178" ca="1">[1]!s_west_stdnetprofit($B$1,YEAR($A178),$A178,180,1000000)</f>
        <v>44.101536000000003</v>
      </c>
      <c r="F178" cm="1">
        <f t="array" aca="1" ref="F178" ca="1">[1]!s_west_mediannetprofit($B$1,YEAR($A178),$A178,180,1000000)</f>
        <v>419</v>
      </c>
      <c r="G178" cm="1">
        <f t="array" aca="1" ref="G178" ca="1">[1]!s_west_netprofit($B$1,YEAR($A178)+1,$A178,180,1000000)</f>
        <v>65.171895000000006</v>
      </c>
      <c r="H178" cm="1">
        <f t="array" aca="1" ref="H178" ca="1">[1]!s_west_eps($B$1,YEAR($A178)+1,$A178,180)</f>
        <v>7.4700000000000003E-2</v>
      </c>
      <c r="I178" cm="1">
        <f t="array" aca="1" ref="I178" ca="1">[1]!s_west_instnum_np($B$1,YEAR($A178)+1,$A178,180)</f>
        <v>19</v>
      </c>
      <c r="J178" cm="1">
        <f t="array" aca="1" ref="J178" ca="1">[1]!s_west_stdnetprofit($B$1,YEAR($A178)+1,$A178,180,1000000)</f>
        <v>32.051775999999997</v>
      </c>
      <c r="K178" cm="1">
        <f t="array" aca="1" ref="K178" ca="1">[1]!s_west_mediannetprofit($B$1,YEAR($A177)+1,$A177,180,1000000)</f>
        <v>59.46</v>
      </c>
      <c r="L178" cm="1">
        <f t="array" aca="1" ref="L178" ca="1">[1]!s_dq_close($B$1,$A178,3)</f>
        <v>22</v>
      </c>
    </row>
    <row r="179" spans="1:12">
      <c r="A179" s="23">
        <f t="shared" ca="1" si="2"/>
        <v>45996</v>
      </c>
      <c r="B179" cm="1">
        <f t="array" aca="1" ref="B179" ca="1">[1]!s_west_netprofit($B$1,YEAR($A179),$A179,180,1000000)</f>
        <v>408.13115800000003</v>
      </c>
      <c r="C179" cm="1">
        <f t="array" aca="1" ref="C179" ca="1">[1]!s_west_eps($B$1,YEAR($A179),$A179,180)</f>
        <v>0.4677</v>
      </c>
      <c r="D179" cm="1">
        <f t="array" aca="1" ref="D179" ca="1">[1]!s_west_instnum_np($B$1,YEAR($A179),$A179,180)</f>
        <v>19</v>
      </c>
      <c r="E179" cm="1">
        <f t="array" aca="1" ref="E179" ca="1">[1]!s_west_stdnetprofit($B$1,YEAR($A179),$A179,180,1000000)</f>
        <v>44.101536000000003</v>
      </c>
      <c r="F179" cm="1">
        <f t="array" aca="1" ref="F179" ca="1">[1]!s_west_mediannetprofit($B$1,YEAR($A179),$A179,180,1000000)</f>
        <v>419</v>
      </c>
      <c r="G179" cm="1">
        <f t="array" aca="1" ref="G179" ca="1">[1]!s_west_netprofit($B$1,YEAR($A179)+1,$A179,180,1000000)</f>
        <v>65.171895000000006</v>
      </c>
      <c r="H179" cm="1">
        <f t="array" aca="1" ref="H179" ca="1">[1]!s_west_eps($B$1,YEAR($A179)+1,$A179,180)</f>
        <v>7.4700000000000003E-2</v>
      </c>
      <c r="I179" cm="1">
        <f t="array" aca="1" ref="I179" ca="1">[1]!s_west_instnum_np($B$1,YEAR($A179)+1,$A179,180)</f>
        <v>19</v>
      </c>
      <c r="J179" cm="1">
        <f t="array" aca="1" ref="J179" ca="1">[1]!s_west_stdnetprofit($B$1,YEAR($A179)+1,$A179,180,1000000)</f>
        <v>32.051775999999997</v>
      </c>
      <c r="K179" cm="1">
        <f t="array" aca="1" ref="K179" ca="1">[1]!s_west_mediannetprofit($B$1,YEAR($A178)+1,$A178,180,1000000)</f>
        <v>59.46</v>
      </c>
      <c r="L179" cm="1">
        <f t="array" aca="1" ref="L179" ca="1">[1]!s_dq_close($B$1,$A179,3)</f>
        <v>22</v>
      </c>
    </row>
    <row r="180" spans="1:12">
      <c r="A180" s="23">
        <f t="shared" ca="1" si="2"/>
        <v>45995</v>
      </c>
      <c r="B180" cm="1">
        <f t="array" aca="1" ref="B180" ca="1">[1]!s_west_netprofit($B$1,YEAR($A180),$A180,180,1000000)</f>
        <v>408.13115800000003</v>
      </c>
      <c r="C180" cm="1">
        <f t="array" aca="1" ref="C180" ca="1">[1]!s_west_eps($B$1,YEAR($A180),$A180,180)</f>
        <v>0.4677</v>
      </c>
      <c r="D180" cm="1">
        <f t="array" aca="1" ref="D180" ca="1">[1]!s_west_instnum_np($B$1,YEAR($A180),$A180,180)</f>
        <v>19</v>
      </c>
      <c r="E180" cm="1">
        <f t="array" aca="1" ref="E180" ca="1">[1]!s_west_stdnetprofit($B$1,YEAR($A180),$A180,180,1000000)</f>
        <v>44.101536000000003</v>
      </c>
      <c r="F180" cm="1">
        <f t="array" aca="1" ref="F180" ca="1">[1]!s_west_mediannetprofit($B$1,YEAR($A180),$A180,180,1000000)</f>
        <v>419</v>
      </c>
      <c r="G180" cm="1">
        <f t="array" aca="1" ref="G180" ca="1">[1]!s_west_netprofit($B$1,YEAR($A180)+1,$A180,180,1000000)</f>
        <v>65.171895000000006</v>
      </c>
      <c r="H180" cm="1">
        <f t="array" aca="1" ref="H180" ca="1">[1]!s_west_eps($B$1,YEAR($A180)+1,$A180,180)</f>
        <v>7.4700000000000003E-2</v>
      </c>
      <c r="I180" cm="1">
        <f t="array" aca="1" ref="I180" ca="1">[1]!s_west_instnum_np($B$1,YEAR($A180)+1,$A180,180)</f>
        <v>19</v>
      </c>
      <c r="J180" cm="1">
        <f t="array" aca="1" ref="J180" ca="1">[1]!s_west_stdnetprofit($B$1,YEAR($A180)+1,$A180,180,1000000)</f>
        <v>32.051775999999997</v>
      </c>
      <c r="K180" cm="1">
        <f t="array" aca="1" ref="K180" ca="1">[1]!s_west_mediannetprofit($B$1,YEAR($A179)+1,$A179,180,1000000)</f>
        <v>59.46</v>
      </c>
      <c r="L180" cm="1">
        <f t="array" aca="1" ref="L180" ca="1">[1]!s_dq_close($B$1,$A180,3)</f>
        <v>22.24</v>
      </c>
    </row>
    <row r="181" spans="1:12">
      <c r="A181" s="23">
        <f t="shared" ca="1" si="2"/>
        <v>45994</v>
      </c>
      <c r="B181" cm="1">
        <f t="array" aca="1" ref="B181" ca="1">[1]!s_west_netprofit($B$1,YEAR($A181),$A181,180,1000000)</f>
        <v>408.13115800000003</v>
      </c>
      <c r="C181" cm="1">
        <f t="array" aca="1" ref="C181" ca="1">[1]!s_west_eps($B$1,YEAR($A181),$A181,180)</f>
        <v>0.4677</v>
      </c>
      <c r="D181" cm="1">
        <f t="array" aca="1" ref="D181" ca="1">[1]!s_west_instnum_np($B$1,YEAR($A181),$A181,180)</f>
        <v>19</v>
      </c>
      <c r="E181" cm="1">
        <f t="array" aca="1" ref="E181" ca="1">[1]!s_west_stdnetprofit($B$1,YEAR($A181),$A181,180,1000000)</f>
        <v>44.101536000000003</v>
      </c>
      <c r="F181" cm="1">
        <f t="array" aca="1" ref="F181" ca="1">[1]!s_west_mediannetprofit($B$1,YEAR($A181),$A181,180,1000000)</f>
        <v>419</v>
      </c>
      <c r="G181" cm="1">
        <f t="array" aca="1" ref="G181" ca="1">[1]!s_west_netprofit($B$1,YEAR($A181)+1,$A181,180,1000000)</f>
        <v>65.171895000000006</v>
      </c>
      <c r="H181" cm="1">
        <f t="array" aca="1" ref="H181" ca="1">[1]!s_west_eps($B$1,YEAR($A181)+1,$A181,180)</f>
        <v>7.4700000000000003E-2</v>
      </c>
      <c r="I181" cm="1">
        <f t="array" aca="1" ref="I181" ca="1">[1]!s_west_instnum_np($B$1,YEAR($A181)+1,$A181,180)</f>
        <v>19</v>
      </c>
      <c r="J181" cm="1">
        <f t="array" aca="1" ref="J181" ca="1">[1]!s_west_stdnetprofit($B$1,YEAR($A181)+1,$A181,180,1000000)</f>
        <v>32.051775999999997</v>
      </c>
      <c r="K181" cm="1">
        <f t="array" aca="1" ref="K181" ca="1">[1]!s_west_mediannetprofit($B$1,YEAR($A180)+1,$A180,180,1000000)</f>
        <v>59.46</v>
      </c>
      <c r="L181" cm="1">
        <f t="array" aca="1" ref="L181" ca="1">[1]!s_dq_close($B$1,$A181,3)</f>
        <v>22.1</v>
      </c>
    </row>
    <row r="182" spans="1:12">
      <c r="A182" s="23">
        <f t="shared" ca="1" si="2"/>
        <v>45993</v>
      </c>
      <c r="B182" cm="1">
        <f t="array" aca="1" ref="B182" ca="1">[1]!s_west_netprofit($B$1,YEAR($A182),$A182,180,1000000)</f>
        <v>408.13115800000003</v>
      </c>
      <c r="C182" cm="1">
        <f t="array" aca="1" ref="C182" ca="1">[1]!s_west_eps($B$1,YEAR($A182),$A182,180)</f>
        <v>0.4677</v>
      </c>
      <c r="D182" cm="1">
        <f t="array" aca="1" ref="D182" ca="1">[1]!s_west_instnum_np($B$1,YEAR($A182),$A182,180)</f>
        <v>19</v>
      </c>
      <c r="E182" cm="1">
        <f t="array" aca="1" ref="E182" ca="1">[1]!s_west_stdnetprofit($B$1,YEAR($A182),$A182,180,1000000)</f>
        <v>44.101536000000003</v>
      </c>
      <c r="F182" cm="1">
        <f t="array" aca="1" ref="F182" ca="1">[1]!s_west_mediannetprofit($B$1,YEAR($A182),$A182,180,1000000)</f>
        <v>419</v>
      </c>
      <c r="G182" cm="1">
        <f t="array" aca="1" ref="G182" ca="1">[1]!s_west_netprofit($B$1,YEAR($A182)+1,$A182,180,1000000)</f>
        <v>65.171895000000006</v>
      </c>
      <c r="H182" cm="1">
        <f t="array" aca="1" ref="H182" ca="1">[1]!s_west_eps($B$1,YEAR($A182)+1,$A182,180)</f>
        <v>7.4700000000000003E-2</v>
      </c>
      <c r="I182" cm="1">
        <f t="array" aca="1" ref="I182" ca="1">[1]!s_west_instnum_np($B$1,YEAR($A182)+1,$A182,180)</f>
        <v>19</v>
      </c>
      <c r="J182" cm="1">
        <f t="array" aca="1" ref="J182" ca="1">[1]!s_west_stdnetprofit($B$1,YEAR($A182)+1,$A182,180,1000000)</f>
        <v>32.051775999999997</v>
      </c>
      <c r="K182" cm="1">
        <f t="array" aca="1" ref="K182" ca="1">[1]!s_west_mediannetprofit($B$1,YEAR($A181)+1,$A181,180,1000000)</f>
        <v>59.46</v>
      </c>
      <c r="L182" cm="1">
        <f t="array" aca="1" ref="L182" ca="1">[1]!s_dq_close($B$1,$A182,3)</f>
        <v>22.48</v>
      </c>
    </row>
    <row r="183" spans="1:12">
      <c r="A183" s="23">
        <f t="shared" ca="1" si="2"/>
        <v>45992</v>
      </c>
      <c r="B183" cm="1">
        <f t="array" aca="1" ref="B183" ca="1">[1]!s_west_netprofit($B$1,YEAR($A183),$A183,180,1000000)</f>
        <v>408.13115800000003</v>
      </c>
      <c r="C183" cm="1">
        <f t="array" aca="1" ref="C183" ca="1">[1]!s_west_eps($B$1,YEAR($A183),$A183,180)</f>
        <v>0.4677</v>
      </c>
      <c r="D183" cm="1">
        <f t="array" aca="1" ref="D183" ca="1">[1]!s_west_instnum_np($B$1,YEAR($A183),$A183,180)</f>
        <v>19</v>
      </c>
      <c r="E183" cm="1">
        <f t="array" aca="1" ref="E183" ca="1">[1]!s_west_stdnetprofit($B$1,YEAR($A183),$A183,180,1000000)</f>
        <v>44.101536000000003</v>
      </c>
      <c r="F183" cm="1">
        <f t="array" aca="1" ref="F183" ca="1">[1]!s_west_mediannetprofit($B$1,YEAR($A183),$A183,180,1000000)</f>
        <v>419</v>
      </c>
      <c r="G183" cm="1">
        <f t="array" aca="1" ref="G183" ca="1">[1]!s_west_netprofit($B$1,YEAR($A183)+1,$A183,180,1000000)</f>
        <v>65.171895000000006</v>
      </c>
      <c r="H183" cm="1">
        <f t="array" aca="1" ref="H183" ca="1">[1]!s_west_eps($B$1,YEAR($A183)+1,$A183,180)</f>
        <v>7.4700000000000003E-2</v>
      </c>
      <c r="I183" cm="1">
        <f t="array" aca="1" ref="I183" ca="1">[1]!s_west_instnum_np($B$1,YEAR($A183)+1,$A183,180)</f>
        <v>19</v>
      </c>
      <c r="J183" cm="1">
        <f t="array" aca="1" ref="J183" ca="1">[1]!s_west_stdnetprofit($B$1,YEAR($A183)+1,$A183,180,1000000)</f>
        <v>32.051775999999997</v>
      </c>
      <c r="K183" cm="1">
        <f t="array" aca="1" ref="K183" ca="1">[1]!s_west_mediannetprofit($B$1,YEAR($A182)+1,$A182,180,1000000)</f>
        <v>59.46</v>
      </c>
      <c r="L183" cm="1">
        <f t="array" aca="1" ref="L183" ca="1">[1]!s_dq_close($B$1,$A183,3)</f>
        <v>22.68</v>
      </c>
    </row>
    <row r="184" spans="1:12">
      <c r="A184" s="23">
        <f t="shared" ca="1" si="2"/>
        <v>45991</v>
      </c>
      <c r="B184" cm="1">
        <f t="array" aca="1" ref="B184" ca="1">[1]!s_west_netprofit($B$1,YEAR($A184),$A184,180,1000000)</f>
        <v>408.13115800000003</v>
      </c>
      <c r="C184" cm="1">
        <f t="array" aca="1" ref="C184" ca="1">[1]!s_west_eps($B$1,YEAR($A184),$A184,180)</f>
        <v>0.4677</v>
      </c>
      <c r="D184" cm="1">
        <f t="array" aca="1" ref="D184" ca="1">[1]!s_west_instnum_np($B$1,YEAR($A184),$A184,180)</f>
        <v>19</v>
      </c>
      <c r="E184" cm="1">
        <f t="array" aca="1" ref="E184" ca="1">[1]!s_west_stdnetprofit($B$1,YEAR($A184),$A184,180,1000000)</f>
        <v>44.101536000000003</v>
      </c>
      <c r="F184" cm="1">
        <f t="array" aca="1" ref="F184" ca="1">[1]!s_west_mediannetprofit($B$1,YEAR($A184),$A184,180,1000000)</f>
        <v>419</v>
      </c>
      <c r="G184" cm="1">
        <f t="array" aca="1" ref="G184" ca="1">[1]!s_west_netprofit($B$1,YEAR($A184)+1,$A184,180,1000000)</f>
        <v>65.171895000000006</v>
      </c>
      <c r="H184" cm="1">
        <f t="array" aca="1" ref="H184" ca="1">[1]!s_west_eps($B$1,YEAR($A184)+1,$A184,180)</f>
        <v>7.4700000000000003E-2</v>
      </c>
      <c r="I184" cm="1">
        <f t="array" aca="1" ref="I184" ca="1">[1]!s_west_instnum_np($B$1,YEAR($A184)+1,$A184,180)</f>
        <v>19</v>
      </c>
      <c r="J184" cm="1">
        <f t="array" aca="1" ref="J184" ca="1">[1]!s_west_stdnetprofit($B$1,YEAR($A184)+1,$A184,180,1000000)</f>
        <v>32.051775999999997</v>
      </c>
      <c r="K184" cm="1">
        <f t="array" aca="1" ref="K184" ca="1">[1]!s_west_mediannetprofit($B$1,YEAR($A183)+1,$A183,180,1000000)</f>
        <v>59.46</v>
      </c>
      <c r="L184" cm="1">
        <f t="array" aca="1" ref="L184" ca="1">[1]!s_dq_close($B$1,$A184,3)</f>
        <v>22.48</v>
      </c>
    </row>
    <row r="185" spans="1:12">
      <c r="A185" s="23">
        <f t="shared" ca="1" si="2"/>
        <v>45990</v>
      </c>
      <c r="B185" cm="1">
        <f t="array" aca="1" ref="B185" ca="1">[1]!s_west_netprofit($B$1,YEAR($A185),$A185,180,1000000)</f>
        <v>408.13115800000003</v>
      </c>
      <c r="C185" cm="1">
        <f t="array" aca="1" ref="C185" ca="1">[1]!s_west_eps($B$1,YEAR($A185),$A185,180)</f>
        <v>0.4677</v>
      </c>
      <c r="D185" cm="1">
        <f t="array" aca="1" ref="D185" ca="1">[1]!s_west_instnum_np($B$1,YEAR($A185),$A185,180)</f>
        <v>19</v>
      </c>
      <c r="E185" cm="1">
        <f t="array" aca="1" ref="E185" ca="1">[1]!s_west_stdnetprofit($B$1,YEAR($A185),$A185,180,1000000)</f>
        <v>44.101536000000003</v>
      </c>
      <c r="F185" cm="1">
        <f t="array" aca="1" ref="F185" ca="1">[1]!s_west_mediannetprofit($B$1,YEAR($A185),$A185,180,1000000)</f>
        <v>419</v>
      </c>
      <c r="G185" cm="1">
        <f t="array" aca="1" ref="G185" ca="1">[1]!s_west_netprofit($B$1,YEAR($A185)+1,$A185,180,1000000)</f>
        <v>65.171895000000006</v>
      </c>
      <c r="H185" cm="1">
        <f t="array" aca="1" ref="H185" ca="1">[1]!s_west_eps($B$1,YEAR($A185)+1,$A185,180)</f>
        <v>7.4700000000000003E-2</v>
      </c>
      <c r="I185" cm="1">
        <f t="array" aca="1" ref="I185" ca="1">[1]!s_west_instnum_np($B$1,YEAR($A185)+1,$A185,180)</f>
        <v>19</v>
      </c>
      <c r="J185" cm="1">
        <f t="array" aca="1" ref="J185" ca="1">[1]!s_west_stdnetprofit($B$1,YEAR($A185)+1,$A185,180,1000000)</f>
        <v>32.051775999999997</v>
      </c>
      <c r="K185" cm="1">
        <f t="array" aca="1" ref="K185" ca="1">[1]!s_west_mediannetprofit($B$1,YEAR($A184)+1,$A184,180,1000000)</f>
        <v>59.46</v>
      </c>
      <c r="L185" cm="1">
        <f t="array" aca="1" ref="L185" ca="1">[1]!s_dq_close($B$1,$A185,3)</f>
        <v>22.48</v>
      </c>
    </row>
    <row r="186" spans="1:12">
      <c r="A186" s="23">
        <f t="shared" ca="1" si="2"/>
        <v>45989</v>
      </c>
      <c r="B186" cm="1">
        <f t="array" aca="1" ref="B186" ca="1">[1]!s_west_netprofit($B$1,YEAR($A186),$A186,180,1000000)</f>
        <v>408.13115800000003</v>
      </c>
      <c r="C186" cm="1">
        <f t="array" aca="1" ref="C186" ca="1">[1]!s_west_eps($B$1,YEAR($A186),$A186,180)</f>
        <v>0.4677</v>
      </c>
      <c r="D186" cm="1">
        <f t="array" aca="1" ref="D186" ca="1">[1]!s_west_instnum_np($B$1,YEAR($A186),$A186,180)</f>
        <v>19</v>
      </c>
      <c r="E186" cm="1">
        <f t="array" aca="1" ref="E186" ca="1">[1]!s_west_stdnetprofit($B$1,YEAR($A186),$A186,180,1000000)</f>
        <v>44.101536000000003</v>
      </c>
      <c r="F186" cm="1">
        <f t="array" aca="1" ref="F186" ca="1">[1]!s_west_mediannetprofit($B$1,YEAR($A186),$A186,180,1000000)</f>
        <v>419</v>
      </c>
      <c r="G186" cm="1">
        <f t="array" aca="1" ref="G186" ca="1">[1]!s_west_netprofit($B$1,YEAR($A186)+1,$A186,180,1000000)</f>
        <v>65.171895000000006</v>
      </c>
      <c r="H186" cm="1">
        <f t="array" aca="1" ref="H186" ca="1">[1]!s_west_eps($B$1,YEAR($A186)+1,$A186,180)</f>
        <v>7.4700000000000003E-2</v>
      </c>
      <c r="I186" cm="1">
        <f t="array" aca="1" ref="I186" ca="1">[1]!s_west_instnum_np($B$1,YEAR($A186)+1,$A186,180)</f>
        <v>19</v>
      </c>
      <c r="J186" cm="1">
        <f t="array" aca="1" ref="J186" ca="1">[1]!s_west_stdnetprofit($B$1,YEAR($A186)+1,$A186,180,1000000)</f>
        <v>32.051775999999997</v>
      </c>
      <c r="K186" cm="1">
        <f t="array" aca="1" ref="K186" ca="1">[1]!s_west_mediannetprofit($B$1,YEAR($A185)+1,$A185,180,1000000)</f>
        <v>59.46</v>
      </c>
      <c r="L186" cm="1">
        <f t="array" aca="1" ref="L186" ca="1">[1]!s_dq_close($B$1,$A186,3)</f>
        <v>22.48</v>
      </c>
    </row>
    <row r="187" spans="1:12">
      <c r="A187" s="23">
        <f t="shared" ca="1" si="2"/>
        <v>45988</v>
      </c>
      <c r="B187" cm="1">
        <f t="array" aca="1" ref="B187" ca="1">[1]!s_west_netprofit($B$1,YEAR($A187),$A187,180,1000000)</f>
        <v>408.13115800000003</v>
      </c>
      <c r="C187" cm="1">
        <f t="array" aca="1" ref="C187" ca="1">[1]!s_west_eps($B$1,YEAR($A187),$A187,180)</f>
        <v>0.4677</v>
      </c>
      <c r="D187" cm="1">
        <f t="array" aca="1" ref="D187" ca="1">[1]!s_west_instnum_np($B$1,YEAR($A187),$A187,180)</f>
        <v>19</v>
      </c>
      <c r="E187" cm="1">
        <f t="array" aca="1" ref="E187" ca="1">[1]!s_west_stdnetprofit($B$1,YEAR($A187),$A187,180,1000000)</f>
        <v>44.101536000000003</v>
      </c>
      <c r="F187" cm="1">
        <f t="array" aca="1" ref="F187" ca="1">[1]!s_west_mediannetprofit($B$1,YEAR($A187),$A187,180,1000000)</f>
        <v>419</v>
      </c>
      <c r="G187" cm="1">
        <f t="array" aca="1" ref="G187" ca="1">[1]!s_west_netprofit($B$1,YEAR($A187)+1,$A187,180,1000000)</f>
        <v>65.171895000000006</v>
      </c>
      <c r="H187" cm="1">
        <f t="array" aca="1" ref="H187" ca="1">[1]!s_west_eps($B$1,YEAR($A187)+1,$A187,180)</f>
        <v>7.4700000000000003E-2</v>
      </c>
      <c r="I187" cm="1">
        <f t="array" aca="1" ref="I187" ca="1">[1]!s_west_instnum_np($B$1,YEAR($A187)+1,$A187,180)</f>
        <v>19</v>
      </c>
      <c r="J187" cm="1">
        <f t="array" aca="1" ref="J187" ca="1">[1]!s_west_stdnetprofit($B$1,YEAR($A187)+1,$A187,180,1000000)</f>
        <v>32.051775999999997</v>
      </c>
      <c r="K187" cm="1">
        <f t="array" aca="1" ref="K187" ca="1">[1]!s_west_mediannetprofit($B$1,YEAR($A186)+1,$A186,180,1000000)</f>
        <v>59.46</v>
      </c>
      <c r="L187" cm="1">
        <f t="array" aca="1" ref="L187" ca="1">[1]!s_dq_close($B$1,$A187,3)</f>
        <v>22.48</v>
      </c>
    </row>
    <row r="188" spans="1:12">
      <c r="A188" s="23">
        <f t="shared" ca="1" si="2"/>
        <v>45987</v>
      </c>
      <c r="B188" cm="1">
        <f t="array" aca="1" ref="B188" ca="1">[1]!s_west_netprofit($B$1,YEAR($A188),$A188,180,1000000)</f>
        <v>408.13115800000003</v>
      </c>
      <c r="C188" cm="1">
        <f t="array" aca="1" ref="C188" ca="1">[1]!s_west_eps($B$1,YEAR($A188),$A188,180)</f>
        <v>0.4677</v>
      </c>
      <c r="D188" cm="1">
        <f t="array" aca="1" ref="D188" ca="1">[1]!s_west_instnum_np($B$1,YEAR($A188),$A188,180)</f>
        <v>19</v>
      </c>
      <c r="E188" cm="1">
        <f t="array" aca="1" ref="E188" ca="1">[1]!s_west_stdnetprofit($B$1,YEAR($A188),$A188,180,1000000)</f>
        <v>44.101536000000003</v>
      </c>
      <c r="F188" cm="1">
        <f t="array" aca="1" ref="F188" ca="1">[1]!s_west_mediannetprofit($B$1,YEAR($A188),$A188,180,1000000)</f>
        <v>419</v>
      </c>
      <c r="G188" cm="1">
        <f t="array" aca="1" ref="G188" ca="1">[1]!s_west_netprofit($B$1,YEAR($A188)+1,$A188,180,1000000)</f>
        <v>65.171895000000006</v>
      </c>
      <c r="H188" cm="1">
        <f t="array" aca="1" ref="H188" ca="1">[1]!s_west_eps($B$1,YEAR($A188)+1,$A188,180)</f>
        <v>7.4700000000000003E-2</v>
      </c>
      <c r="I188" cm="1">
        <f t="array" aca="1" ref="I188" ca="1">[1]!s_west_instnum_np($B$1,YEAR($A188)+1,$A188,180)</f>
        <v>19</v>
      </c>
      <c r="J188" cm="1">
        <f t="array" aca="1" ref="J188" ca="1">[1]!s_west_stdnetprofit($B$1,YEAR($A188)+1,$A188,180,1000000)</f>
        <v>32.051775999999997</v>
      </c>
      <c r="K188" cm="1">
        <f t="array" aca="1" ref="K188" ca="1">[1]!s_west_mediannetprofit($B$1,YEAR($A187)+1,$A187,180,1000000)</f>
        <v>59.46</v>
      </c>
      <c r="L188" cm="1">
        <f t="array" aca="1" ref="L188" ca="1">[1]!s_dq_close($B$1,$A188,3)</f>
        <v>22.38</v>
      </c>
    </row>
    <row r="189" spans="1:12">
      <c r="A189" s="23">
        <f t="shared" ca="1" si="2"/>
        <v>45986</v>
      </c>
      <c r="B189" cm="1">
        <f t="array" aca="1" ref="B189" ca="1">[1]!s_west_netprofit($B$1,YEAR($A189),$A189,180,1000000)</f>
        <v>408.13115800000003</v>
      </c>
      <c r="C189" cm="1">
        <f t="array" aca="1" ref="C189" ca="1">[1]!s_west_eps($B$1,YEAR($A189),$A189,180)</f>
        <v>0.4677</v>
      </c>
      <c r="D189" cm="1">
        <f t="array" aca="1" ref="D189" ca="1">[1]!s_west_instnum_np($B$1,YEAR($A189),$A189,180)</f>
        <v>19</v>
      </c>
      <c r="E189" cm="1">
        <f t="array" aca="1" ref="E189" ca="1">[1]!s_west_stdnetprofit($B$1,YEAR($A189),$A189,180,1000000)</f>
        <v>44.101536000000003</v>
      </c>
      <c r="F189" cm="1">
        <f t="array" aca="1" ref="F189" ca="1">[1]!s_west_mediannetprofit($B$1,YEAR($A189),$A189,180,1000000)</f>
        <v>419</v>
      </c>
      <c r="G189" cm="1">
        <f t="array" aca="1" ref="G189" ca="1">[1]!s_west_netprofit($B$1,YEAR($A189)+1,$A189,180,1000000)</f>
        <v>65.171895000000006</v>
      </c>
      <c r="H189" cm="1">
        <f t="array" aca="1" ref="H189" ca="1">[1]!s_west_eps($B$1,YEAR($A189)+1,$A189,180)</f>
        <v>7.4700000000000003E-2</v>
      </c>
      <c r="I189" cm="1">
        <f t="array" aca="1" ref="I189" ca="1">[1]!s_west_instnum_np($B$1,YEAR($A189)+1,$A189,180)</f>
        <v>19</v>
      </c>
      <c r="J189" cm="1">
        <f t="array" aca="1" ref="J189" ca="1">[1]!s_west_stdnetprofit($B$1,YEAR($A189)+1,$A189,180,1000000)</f>
        <v>32.051775999999997</v>
      </c>
      <c r="K189" cm="1">
        <f t="array" aca="1" ref="K189" ca="1">[1]!s_west_mediannetprofit($B$1,YEAR($A188)+1,$A188,180,1000000)</f>
        <v>59.46</v>
      </c>
      <c r="L189" cm="1">
        <f t="array" aca="1" ref="L189" ca="1">[1]!s_dq_close($B$1,$A189,3)</f>
        <v>22.28</v>
      </c>
    </row>
    <row r="190" spans="1:12">
      <c r="A190" s="23">
        <f t="shared" ca="1" si="2"/>
        <v>45985</v>
      </c>
      <c r="B190" cm="1">
        <f t="array" aca="1" ref="B190" ca="1">[1]!s_west_netprofit($B$1,YEAR($A190),$A190,180,1000000)</f>
        <v>408.13115800000003</v>
      </c>
      <c r="C190" cm="1">
        <f t="array" aca="1" ref="C190" ca="1">[1]!s_west_eps($B$1,YEAR($A190),$A190,180)</f>
        <v>0.4677</v>
      </c>
      <c r="D190" cm="1">
        <f t="array" aca="1" ref="D190" ca="1">[1]!s_west_instnum_np($B$1,YEAR($A190),$A190,180)</f>
        <v>19</v>
      </c>
      <c r="E190" cm="1">
        <f t="array" aca="1" ref="E190" ca="1">[1]!s_west_stdnetprofit($B$1,YEAR($A190),$A190,180,1000000)</f>
        <v>44.101536000000003</v>
      </c>
      <c r="F190" cm="1">
        <f t="array" aca="1" ref="F190" ca="1">[1]!s_west_mediannetprofit($B$1,YEAR($A190),$A190,180,1000000)</f>
        <v>419</v>
      </c>
      <c r="G190" cm="1">
        <f t="array" aca="1" ref="G190" ca="1">[1]!s_west_netprofit($B$1,YEAR($A190)+1,$A190,180,1000000)</f>
        <v>65.171895000000006</v>
      </c>
      <c r="H190" cm="1">
        <f t="array" aca="1" ref="H190" ca="1">[1]!s_west_eps($B$1,YEAR($A190)+1,$A190,180)</f>
        <v>7.4700000000000003E-2</v>
      </c>
      <c r="I190" cm="1">
        <f t="array" aca="1" ref="I190" ca="1">[1]!s_west_instnum_np($B$1,YEAR($A190)+1,$A190,180)</f>
        <v>19</v>
      </c>
      <c r="J190" cm="1">
        <f t="array" aca="1" ref="J190" ca="1">[1]!s_west_stdnetprofit($B$1,YEAR($A190)+1,$A190,180,1000000)</f>
        <v>32.051775999999997</v>
      </c>
      <c r="K190" cm="1">
        <f t="array" aca="1" ref="K190" ca="1">[1]!s_west_mediannetprofit($B$1,YEAR($A189)+1,$A189,180,1000000)</f>
        <v>59.46</v>
      </c>
      <c r="L190" cm="1">
        <f t="array" aca="1" ref="L190" ca="1">[1]!s_dq_close($B$1,$A190,3)</f>
        <v>22.3</v>
      </c>
    </row>
    <row r="191" spans="1:12">
      <c r="A191" s="23">
        <f t="shared" ca="1" si="2"/>
        <v>45984</v>
      </c>
      <c r="B191" cm="1">
        <f t="array" aca="1" ref="B191" ca="1">[1]!s_west_netprofit($B$1,YEAR($A191),$A191,180,1000000)</f>
        <v>408.13115800000003</v>
      </c>
      <c r="C191" cm="1">
        <f t="array" aca="1" ref="C191" ca="1">[1]!s_west_eps($B$1,YEAR($A191),$A191,180)</f>
        <v>0.4677</v>
      </c>
      <c r="D191" cm="1">
        <f t="array" aca="1" ref="D191" ca="1">[1]!s_west_instnum_np($B$1,YEAR($A191),$A191,180)</f>
        <v>19</v>
      </c>
      <c r="E191" cm="1">
        <f t="array" aca="1" ref="E191" ca="1">[1]!s_west_stdnetprofit($B$1,YEAR($A191),$A191,180,1000000)</f>
        <v>44.101536000000003</v>
      </c>
      <c r="F191" cm="1">
        <f t="array" aca="1" ref="F191" ca="1">[1]!s_west_mediannetprofit($B$1,YEAR($A191),$A191,180,1000000)</f>
        <v>419</v>
      </c>
      <c r="G191" cm="1">
        <f t="array" aca="1" ref="G191" ca="1">[1]!s_west_netprofit($B$1,YEAR($A191)+1,$A191,180,1000000)</f>
        <v>65.171895000000006</v>
      </c>
      <c r="H191" cm="1">
        <f t="array" aca="1" ref="H191" ca="1">[1]!s_west_eps($B$1,YEAR($A191)+1,$A191,180)</f>
        <v>7.4700000000000003E-2</v>
      </c>
      <c r="I191" cm="1">
        <f t="array" aca="1" ref="I191" ca="1">[1]!s_west_instnum_np($B$1,YEAR($A191)+1,$A191,180)</f>
        <v>19</v>
      </c>
      <c r="J191" cm="1">
        <f t="array" aca="1" ref="J191" ca="1">[1]!s_west_stdnetprofit($B$1,YEAR($A191)+1,$A191,180,1000000)</f>
        <v>32.051775999999997</v>
      </c>
      <c r="K191" cm="1">
        <f t="array" aca="1" ref="K191" ca="1">[1]!s_west_mediannetprofit($B$1,YEAR($A190)+1,$A190,180,1000000)</f>
        <v>59.46</v>
      </c>
      <c r="L191" cm="1">
        <f t="array" aca="1" ref="L191" ca="1">[1]!s_dq_close($B$1,$A191,3)</f>
        <v>21.92</v>
      </c>
    </row>
    <row r="192" spans="1:12">
      <c r="A192" s="23">
        <f t="shared" ca="1" si="2"/>
        <v>45983</v>
      </c>
      <c r="B192" cm="1">
        <f t="array" aca="1" ref="B192" ca="1">[1]!s_west_netprofit($B$1,YEAR($A192),$A192,180,1000000)</f>
        <v>408.13115800000003</v>
      </c>
      <c r="C192" cm="1">
        <f t="array" aca="1" ref="C192" ca="1">[1]!s_west_eps($B$1,YEAR($A192),$A192,180)</f>
        <v>0.4677</v>
      </c>
      <c r="D192" cm="1">
        <f t="array" aca="1" ref="D192" ca="1">[1]!s_west_instnum_np($B$1,YEAR($A192),$A192,180)</f>
        <v>19</v>
      </c>
      <c r="E192" cm="1">
        <f t="array" aca="1" ref="E192" ca="1">[1]!s_west_stdnetprofit($B$1,YEAR($A192),$A192,180,1000000)</f>
        <v>44.101536000000003</v>
      </c>
      <c r="F192" cm="1">
        <f t="array" aca="1" ref="F192" ca="1">[1]!s_west_mediannetprofit($B$1,YEAR($A192),$A192,180,1000000)</f>
        <v>419</v>
      </c>
      <c r="G192" cm="1">
        <f t="array" aca="1" ref="G192" ca="1">[1]!s_west_netprofit($B$1,YEAR($A192)+1,$A192,180,1000000)</f>
        <v>65.171895000000006</v>
      </c>
      <c r="H192" cm="1">
        <f t="array" aca="1" ref="H192" ca="1">[1]!s_west_eps($B$1,YEAR($A192)+1,$A192,180)</f>
        <v>7.4700000000000003E-2</v>
      </c>
      <c r="I192" cm="1">
        <f t="array" aca="1" ref="I192" ca="1">[1]!s_west_instnum_np($B$1,YEAR($A192)+1,$A192,180)</f>
        <v>19</v>
      </c>
      <c r="J192" cm="1">
        <f t="array" aca="1" ref="J192" ca="1">[1]!s_west_stdnetprofit($B$1,YEAR($A192)+1,$A192,180,1000000)</f>
        <v>32.051775999999997</v>
      </c>
      <c r="K192" cm="1">
        <f t="array" aca="1" ref="K192" ca="1">[1]!s_west_mediannetprofit($B$1,YEAR($A191)+1,$A191,180,1000000)</f>
        <v>59.46</v>
      </c>
      <c r="L192" cm="1">
        <f t="array" aca="1" ref="L192" ca="1">[1]!s_dq_close($B$1,$A192,3)</f>
        <v>21.92</v>
      </c>
    </row>
    <row r="193" spans="1:12">
      <c r="A193" s="23">
        <f t="shared" ca="1" si="2"/>
        <v>45982</v>
      </c>
      <c r="B193" cm="1">
        <f t="array" aca="1" ref="B193" ca="1">[1]!s_west_netprofit($B$1,YEAR($A193),$A193,180,1000000)</f>
        <v>408.13115800000003</v>
      </c>
      <c r="C193" cm="1">
        <f t="array" aca="1" ref="C193" ca="1">[1]!s_west_eps($B$1,YEAR($A193),$A193,180)</f>
        <v>0.4677</v>
      </c>
      <c r="D193" cm="1">
        <f t="array" aca="1" ref="D193" ca="1">[1]!s_west_instnum_np($B$1,YEAR($A193),$A193,180)</f>
        <v>19</v>
      </c>
      <c r="E193" cm="1">
        <f t="array" aca="1" ref="E193" ca="1">[1]!s_west_stdnetprofit($B$1,YEAR($A193),$A193,180,1000000)</f>
        <v>44.101536000000003</v>
      </c>
      <c r="F193" cm="1">
        <f t="array" aca="1" ref="F193" ca="1">[1]!s_west_mediannetprofit($B$1,YEAR($A193),$A193,180,1000000)</f>
        <v>419</v>
      </c>
      <c r="G193" cm="1">
        <f t="array" aca="1" ref="G193" ca="1">[1]!s_west_netprofit($B$1,YEAR($A193)+1,$A193,180,1000000)</f>
        <v>65.171895000000006</v>
      </c>
      <c r="H193" cm="1">
        <f t="array" aca="1" ref="H193" ca="1">[1]!s_west_eps($B$1,YEAR($A193)+1,$A193,180)</f>
        <v>7.4700000000000003E-2</v>
      </c>
      <c r="I193" cm="1">
        <f t="array" aca="1" ref="I193" ca="1">[1]!s_west_instnum_np($B$1,YEAR($A193)+1,$A193,180)</f>
        <v>19</v>
      </c>
      <c r="J193" cm="1">
        <f t="array" aca="1" ref="J193" ca="1">[1]!s_west_stdnetprofit($B$1,YEAR($A193)+1,$A193,180,1000000)</f>
        <v>32.051775999999997</v>
      </c>
      <c r="K193" cm="1">
        <f t="array" aca="1" ref="K193" ca="1">[1]!s_west_mediannetprofit($B$1,YEAR($A192)+1,$A192,180,1000000)</f>
        <v>59.46</v>
      </c>
      <c r="L193" cm="1">
        <f t="array" aca="1" ref="L193" ca="1">[1]!s_dq_close($B$1,$A193,3)</f>
        <v>21.92</v>
      </c>
    </row>
    <row r="194" spans="1:12">
      <c r="A194" s="23">
        <f t="shared" ca="1" si="2"/>
        <v>45981</v>
      </c>
      <c r="B194" cm="1">
        <f t="array" aca="1" ref="B194" ca="1">[1]!s_west_netprofit($B$1,YEAR($A194),$A194,180,1000000)</f>
        <v>408.13115800000003</v>
      </c>
      <c r="C194" cm="1">
        <f t="array" aca="1" ref="C194" ca="1">[1]!s_west_eps($B$1,YEAR($A194),$A194,180)</f>
        <v>0.4677</v>
      </c>
      <c r="D194" cm="1">
        <f t="array" aca="1" ref="D194" ca="1">[1]!s_west_instnum_np($B$1,YEAR($A194),$A194,180)</f>
        <v>19</v>
      </c>
      <c r="E194" cm="1">
        <f t="array" aca="1" ref="E194" ca="1">[1]!s_west_stdnetprofit($B$1,YEAR($A194),$A194,180,1000000)</f>
        <v>44.101536000000003</v>
      </c>
      <c r="F194" cm="1">
        <f t="array" aca="1" ref="F194" ca="1">[1]!s_west_mediannetprofit($B$1,YEAR($A194),$A194,180,1000000)</f>
        <v>419</v>
      </c>
      <c r="G194" cm="1">
        <f t="array" aca="1" ref="G194" ca="1">[1]!s_west_netprofit($B$1,YEAR($A194)+1,$A194,180,1000000)</f>
        <v>65.171895000000006</v>
      </c>
      <c r="H194" cm="1">
        <f t="array" aca="1" ref="H194" ca="1">[1]!s_west_eps($B$1,YEAR($A194)+1,$A194,180)</f>
        <v>7.4700000000000003E-2</v>
      </c>
      <c r="I194" cm="1">
        <f t="array" aca="1" ref="I194" ca="1">[1]!s_west_instnum_np($B$1,YEAR($A194)+1,$A194,180)</f>
        <v>19</v>
      </c>
      <c r="J194" cm="1">
        <f t="array" aca="1" ref="J194" ca="1">[1]!s_west_stdnetprofit($B$1,YEAR($A194)+1,$A194,180,1000000)</f>
        <v>32.051775999999997</v>
      </c>
      <c r="K194" cm="1">
        <f t="array" aca="1" ref="K194" ca="1">[1]!s_west_mediannetprofit($B$1,YEAR($A193)+1,$A193,180,1000000)</f>
        <v>59.46</v>
      </c>
      <c r="L194" cm="1">
        <f t="array" aca="1" ref="L194" ca="1">[1]!s_dq_close($B$1,$A194,3)</f>
        <v>22.82</v>
      </c>
    </row>
    <row r="195" spans="1:12">
      <c r="A195" s="23">
        <f t="shared" ca="1" si="2"/>
        <v>45980</v>
      </c>
      <c r="B195" cm="1">
        <f t="array" aca="1" ref="B195" ca="1">[1]!s_west_netprofit($B$1,YEAR($A195),$A195,180,1000000)</f>
        <v>408.13115800000003</v>
      </c>
      <c r="C195" cm="1">
        <f t="array" aca="1" ref="C195" ca="1">[1]!s_west_eps($B$1,YEAR($A195),$A195,180)</f>
        <v>0.4677</v>
      </c>
      <c r="D195" cm="1">
        <f t="array" aca="1" ref="D195" ca="1">[1]!s_west_instnum_np($B$1,YEAR($A195),$A195,180)</f>
        <v>19</v>
      </c>
      <c r="E195" cm="1">
        <f t="array" aca="1" ref="E195" ca="1">[1]!s_west_stdnetprofit($B$1,YEAR($A195),$A195,180,1000000)</f>
        <v>44.101536000000003</v>
      </c>
      <c r="F195" cm="1">
        <f t="array" aca="1" ref="F195" ca="1">[1]!s_west_mediannetprofit($B$1,YEAR($A195),$A195,180,1000000)</f>
        <v>419</v>
      </c>
      <c r="G195" cm="1">
        <f t="array" aca="1" ref="G195" ca="1">[1]!s_west_netprofit($B$1,YEAR($A195)+1,$A195,180,1000000)</f>
        <v>65.171895000000006</v>
      </c>
      <c r="H195" cm="1">
        <f t="array" aca="1" ref="H195" ca="1">[1]!s_west_eps($B$1,YEAR($A195)+1,$A195,180)</f>
        <v>7.4700000000000003E-2</v>
      </c>
      <c r="I195" cm="1">
        <f t="array" aca="1" ref="I195" ca="1">[1]!s_west_instnum_np($B$1,YEAR($A195)+1,$A195,180)</f>
        <v>19</v>
      </c>
      <c r="J195" cm="1">
        <f t="array" aca="1" ref="J195" ca="1">[1]!s_west_stdnetprofit($B$1,YEAR($A195)+1,$A195,180,1000000)</f>
        <v>32.051775999999997</v>
      </c>
      <c r="K195" cm="1">
        <f t="array" aca="1" ref="K195" ca="1">[1]!s_west_mediannetprofit($B$1,YEAR($A194)+1,$A194,180,1000000)</f>
        <v>59.46</v>
      </c>
      <c r="L195" cm="1">
        <f t="array" aca="1" ref="L195" ca="1">[1]!s_dq_close($B$1,$A195,3)</f>
        <v>22.94</v>
      </c>
    </row>
    <row r="196" spans="1:12">
      <c r="A196" s="23">
        <f t="shared" ca="1" si="2"/>
        <v>45979</v>
      </c>
      <c r="B196" cm="1">
        <f t="array" aca="1" ref="B196" ca="1">[1]!s_west_netprofit($B$1,YEAR($A196),$A196,180,1000000)</f>
        <v>408.13115800000003</v>
      </c>
      <c r="C196" cm="1">
        <f t="array" aca="1" ref="C196" ca="1">[1]!s_west_eps($B$1,YEAR($A196),$A196,180)</f>
        <v>0.4677</v>
      </c>
      <c r="D196" cm="1">
        <f t="array" aca="1" ref="D196" ca="1">[1]!s_west_instnum_np($B$1,YEAR($A196),$A196,180)</f>
        <v>19</v>
      </c>
      <c r="E196" cm="1">
        <f t="array" aca="1" ref="E196" ca="1">[1]!s_west_stdnetprofit($B$1,YEAR($A196),$A196,180,1000000)</f>
        <v>44.101536000000003</v>
      </c>
      <c r="F196" cm="1">
        <f t="array" aca="1" ref="F196" ca="1">[1]!s_west_mediannetprofit($B$1,YEAR($A196),$A196,180,1000000)</f>
        <v>419</v>
      </c>
      <c r="G196" cm="1">
        <f t="array" aca="1" ref="G196" ca="1">[1]!s_west_netprofit($B$1,YEAR($A196)+1,$A196,180,1000000)</f>
        <v>65.171895000000006</v>
      </c>
      <c r="H196" cm="1">
        <f t="array" aca="1" ref="H196" ca="1">[1]!s_west_eps($B$1,YEAR($A196)+1,$A196,180)</f>
        <v>7.4700000000000003E-2</v>
      </c>
      <c r="I196" cm="1">
        <f t="array" aca="1" ref="I196" ca="1">[1]!s_west_instnum_np($B$1,YEAR($A196)+1,$A196,180)</f>
        <v>19</v>
      </c>
      <c r="J196" cm="1">
        <f t="array" aca="1" ref="J196" ca="1">[1]!s_west_stdnetprofit($B$1,YEAR($A196)+1,$A196,180,1000000)</f>
        <v>32.051775999999997</v>
      </c>
      <c r="K196" cm="1">
        <f t="array" aca="1" ref="K196" ca="1">[1]!s_west_mediannetprofit($B$1,YEAR($A195)+1,$A195,180,1000000)</f>
        <v>59.46</v>
      </c>
      <c r="L196" cm="1">
        <f t="array" aca="1" ref="L196" ca="1">[1]!s_dq_close($B$1,$A196,3)</f>
        <v>23</v>
      </c>
    </row>
    <row r="197" spans="1:12">
      <c r="A197" s="23">
        <f t="shared" ca="1" si="2"/>
        <v>45978</v>
      </c>
      <c r="B197" cm="1">
        <f t="array" aca="1" ref="B197" ca="1">[1]!s_west_netprofit($B$1,YEAR($A197),$A197,180,1000000)</f>
        <v>408.13115800000003</v>
      </c>
      <c r="C197" cm="1">
        <f t="array" aca="1" ref="C197" ca="1">[1]!s_west_eps($B$1,YEAR($A197),$A197,180)</f>
        <v>0.4677</v>
      </c>
      <c r="D197" cm="1">
        <f t="array" aca="1" ref="D197" ca="1">[1]!s_west_instnum_np($B$1,YEAR($A197),$A197,180)</f>
        <v>19</v>
      </c>
      <c r="E197" cm="1">
        <f t="array" aca="1" ref="E197" ca="1">[1]!s_west_stdnetprofit($B$1,YEAR($A197),$A197,180,1000000)</f>
        <v>44.101536000000003</v>
      </c>
      <c r="F197" cm="1">
        <f t="array" aca="1" ref="F197" ca="1">[1]!s_west_mediannetprofit($B$1,YEAR($A197),$A197,180,1000000)</f>
        <v>419</v>
      </c>
      <c r="G197" cm="1">
        <f t="array" aca="1" ref="G197" ca="1">[1]!s_west_netprofit($B$1,YEAR($A197)+1,$A197,180,1000000)</f>
        <v>65.171895000000006</v>
      </c>
      <c r="H197" cm="1">
        <f t="array" aca="1" ref="H197" ca="1">[1]!s_west_eps($B$1,YEAR($A197)+1,$A197,180)</f>
        <v>7.4700000000000003E-2</v>
      </c>
      <c r="I197" cm="1">
        <f t="array" aca="1" ref="I197" ca="1">[1]!s_west_instnum_np($B$1,YEAR($A197)+1,$A197,180)</f>
        <v>19</v>
      </c>
      <c r="J197" cm="1">
        <f t="array" aca="1" ref="J197" ca="1">[1]!s_west_stdnetprofit($B$1,YEAR($A197)+1,$A197,180,1000000)</f>
        <v>32.051775999999997</v>
      </c>
      <c r="K197" cm="1">
        <f t="array" aca="1" ref="K197" ca="1">[1]!s_west_mediannetprofit($B$1,YEAR($A196)+1,$A196,180,1000000)</f>
        <v>59.46</v>
      </c>
      <c r="L197" cm="1">
        <f t="array" aca="1" ref="L197" ca="1">[1]!s_dq_close($B$1,$A197,3)</f>
        <v>23.3</v>
      </c>
    </row>
    <row r="198" spans="1:12">
      <c r="A198" s="23">
        <f t="shared" ca="1" si="2"/>
        <v>45977</v>
      </c>
      <c r="B198" cm="1">
        <f t="array" aca="1" ref="B198" ca="1">[1]!s_west_netprofit($B$1,YEAR($A198),$A198,180,1000000)</f>
        <v>408.13115800000003</v>
      </c>
      <c r="C198" cm="1">
        <f t="array" aca="1" ref="C198" ca="1">[1]!s_west_eps($B$1,YEAR($A198),$A198,180)</f>
        <v>0.4677</v>
      </c>
      <c r="D198" cm="1">
        <f t="array" aca="1" ref="D198" ca="1">[1]!s_west_instnum_np($B$1,YEAR($A198),$A198,180)</f>
        <v>19</v>
      </c>
      <c r="E198" cm="1">
        <f t="array" aca="1" ref="E198" ca="1">[1]!s_west_stdnetprofit($B$1,YEAR($A198),$A198,180,1000000)</f>
        <v>44.101536000000003</v>
      </c>
      <c r="F198" cm="1">
        <f t="array" aca="1" ref="F198" ca="1">[1]!s_west_mediannetprofit($B$1,YEAR($A198),$A198,180,1000000)</f>
        <v>419</v>
      </c>
      <c r="G198" cm="1">
        <f t="array" aca="1" ref="G198" ca="1">[1]!s_west_netprofit($B$1,YEAR($A198)+1,$A198,180,1000000)</f>
        <v>65.171895000000006</v>
      </c>
      <c r="H198" cm="1">
        <f t="array" aca="1" ref="H198" ca="1">[1]!s_west_eps($B$1,YEAR($A198)+1,$A198,180)</f>
        <v>7.4700000000000003E-2</v>
      </c>
      <c r="I198" cm="1">
        <f t="array" aca="1" ref="I198" ca="1">[1]!s_west_instnum_np($B$1,YEAR($A198)+1,$A198,180)</f>
        <v>19</v>
      </c>
      <c r="J198" cm="1">
        <f t="array" aca="1" ref="J198" ca="1">[1]!s_west_stdnetprofit($B$1,YEAR($A198)+1,$A198,180,1000000)</f>
        <v>32.051775999999997</v>
      </c>
      <c r="K198" cm="1">
        <f t="array" aca="1" ref="K198" ca="1">[1]!s_west_mediannetprofit($B$1,YEAR($A197)+1,$A197,180,1000000)</f>
        <v>59.46</v>
      </c>
      <c r="L198" cm="1">
        <f t="array" aca="1" ref="L198" ca="1">[1]!s_dq_close($B$1,$A198,3)</f>
        <v>23.78</v>
      </c>
    </row>
    <row r="199" spans="1:12">
      <c r="A199" s="23">
        <f t="shared" ca="1" si="2"/>
        <v>45976</v>
      </c>
      <c r="B199" cm="1">
        <f t="array" aca="1" ref="B199" ca="1">[1]!s_west_netprofit($B$1,YEAR($A199),$A199,180,1000000)</f>
        <v>408.13115800000003</v>
      </c>
      <c r="C199" cm="1">
        <f t="array" aca="1" ref="C199" ca="1">[1]!s_west_eps($B$1,YEAR($A199),$A199,180)</f>
        <v>0.4677</v>
      </c>
      <c r="D199" cm="1">
        <f t="array" aca="1" ref="D199" ca="1">[1]!s_west_instnum_np($B$1,YEAR($A199),$A199,180)</f>
        <v>19</v>
      </c>
      <c r="E199" cm="1">
        <f t="array" aca="1" ref="E199" ca="1">[1]!s_west_stdnetprofit($B$1,YEAR($A199),$A199,180,1000000)</f>
        <v>44.101536000000003</v>
      </c>
      <c r="F199" cm="1">
        <f t="array" aca="1" ref="F199" ca="1">[1]!s_west_mediannetprofit($B$1,YEAR($A199),$A199,180,1000000)</f>
        <v>419</v>
      </c>
      <c r="G199" cm="1">
        <f t="array" aca="1" ref="G199" ca="1">[1]!s_west_netprofit($B$1,YEAR($A199)+1,$A199,180,1000000)</f>
        <v>65.171895000000006</v>
      </c>
      <c r="H199" cm="1">
        <f t="array" aca="1" ref="H199" ca="1">[1]!s_west_eps($B$1,YEAR($A199)+1,$A199,180)</f>
        <v>7.4700000000000003E-2</v>
      </c>
      <c r="I199" cm="1">
        <f t="array" aca="1" ref="I199" ca="1">[1]!s_west_instnum_np($B$1,YEAR($A199)+1,$A199,180)</f>
        <v>19</v>
      </c>
      <c r="J199" cm="1">
        <f t="array" aca="1" ref="J199" ca="1">[1]!s_west_stdnetprofit($B$1,YEAR($A199)+1,$A199,180,1000000)</f>
        <v>32.051775999999997</v>
      </c>
      <c r="K199" cm="1">
        <f t="array" aca="1" ref="K199" ca="1">[1]!s_west_mediannetprofit($B$1,YEAR($A198)+1,$A198,180,1000000)</f>
        <v>59.46</v>
      </c>
      <c r="L199" cm="1">
        <f t="array" aca="1" ref="L199" ca="1">[1]!s_dq_close($B$1,$A199,3)</f>
        <v>23.78</v>
      </c>
    </row>
    <row r="200" spans="1:12">
      <c r="A200" s="23">
        <f t="shared" ca="1" si="2"/>
        <v>45975</v>
      </c>
      <c r="B200" cm="1">
        <f t="array" aca="1" ref="B200" ca="1">[1]!s_west_netprofit($B$1,YEAR($A200),$A200,180,1000000)</f>
        <v>408.13115800000003</v>
      </c>
      <c r="C200" cm="1">
        <f t="array" aca="1" ref="C200" ca="1">[1]!s_west_eps($B$1,YEAR($A200),$A200,180)</f>
        <v>0.4677</v>
      </c>
      <c r="D200" cm="1">
        <f t="array" aca="1" ref="D200" ca="1">[1]!s_west_instnum_np($B$1,YEAR($A200),$A200,180)</f>
        <v>19</v>
      </c>
      <c r="E200" cm="1">
        <f t="array" aca="1" ref="E200" ca="1">[1]!s_west_stdnetprofit($B$1,YEAR($A200),$A200,180,1000000)</f>
        <v>44.101536000000003</v>
      </c>
      <c r="F200" cm="1">
        <f t="array" aca="1" ref="F200" ca="1">[1]!s_west_mediannetprofit($B$1,YEAR($A200),$A200,180,1000000)</f>
        <v>419</v>
      </c>
      <c r="G200" cm="1">
        <f t="array" aca="1" ref="G200" ca="1">[1]!s_west_netprofit($B$1,YEAR($A200)+1,$A200,180,1000000)</f>
        <v>65.171895000000006</v>
      </c>
      <c r="H200" cm="1">
        <f t="array" aca="1" ref="H200" ca="1">[1]!s_west_eps($B$1,YEAR($A200)+1,$A200,180)</f>
        <v>7.4700000000000003E-2</v>
      </c>
      <c r="I200" cm="1">
        <f t="array" aca="1" ref="I200" ca="1">[1]!s_west_instnum_np($B$1,YEAR($A200)+1,$A200,180)</f>
        <v>19</v>
      </c>
      <c r="J200" cm="1">
        <f t="array" aca="1" ref="J200" ca="1">[1]!s_west_stdnetprofit($B$1,YEAR($A200)+1,$A200,180,1000000)</f>
        <v>32.051775999999997</v>
      </c>
      <c r="K200" cm="1">
        <f t="array" aca="1" ref="K200" ca="1">[1]!s_west_mediannetprofit($B$1,YEAR($A199)+1,$A199,180,1000000)</f>
        <v>59.46</v>
      </c>
      <c r="L200" cm="1">
        <f t="array" aca="1" ref="L200" ca="1">[1]!s_dq_close($B$1,$A200,3)</f>
        <v>23.78</v>
      </c>
    </row>
    <row r="201" spans="1:12">
      <c r="A201" s="23">
        <f t="shared" ca="1" si="2"/>
        <v>45974</v>
      </c>
      <c r="B201" cm="1">
        <f t="array" aca="1" ref="B201" ca="1">[1]!s_west_netprofit($B$1,YEAR($A201),$A201,180,1000000)</f>
        <v>408.13115800000003</v>
      </c>
      <c r="C201" cm="1">
        <f t="array" aca="1" ref="C201" ca="1">[1]!s_west_eps($B$1,YEAR($A201),$A201,180)</f>
        <v>0.4677</v>
      </c>
      <c r="D201" cm="1">
        <f t="array" aca="1" ref="D201" ca="1">[1]!s_west_instnum_np($B$1,YEAR($A201),$A201,180)</f>
        <v>19</v>
      </c>
      <c r="E201" cm="1">
        <f t="array" aca="1" ref="E201" ca="1">[1]!s_west_stdnetprofit($B$1,YEAR($A201),$A201,180,1000000)</f>
        <v>44.101536000000003</v>
      </c>
      <c r="F201" cm="1">
        <f t="array" aca="1" ref="F201" ca="1">[1]!s_west_mediannetprofit($B$1,YEAR($A201),$A201,180,1000000)</f>
        <v>419</v>
      </c>
      <c r="G201" cm="1">
        <f t="array" aca="1" ref="G201" ca="1">[1]!s_west_netprofit($B$1,YEAR($A201)+1,$A201,180,1000000)</f>
        <v>65.171895000000006</v>
      </c>
      <c r="H201" cm="1">
        <f t="array" aca="1" ref="H201" ca="1">[1]!s_west_eps($B$1,YEAR($A201)+1,$A201,180)</f>
        <v>7.4700000000000003E-2</v>
      </c>
      <c r="I201" cm="1">
        <f t="array" aca="1" ref="I201" ca="1">[1]!s_west_instnum_np($B$1,YEAR($A201)+1,$A201,180)</f>
        <v>19</v>
      </c>
      <c r="J201" cm="1">
        <f t="array" aca="1" ref="J201" ca="1">[1]!s_west_stdnetprofit($B$1,YEAR($A201)+1,$A201,180,1000000)</f>
        <v>32.051775999999997</v>
      </c>
      <c r="K201" cm="1">
        <f t="array" aca="1" ref="K201" ca="1">[1]!s_west_mediannetprofit($B$1,YEAR($A200)+1,$A200,180,1000000)</f>
        <v>59.46</v>
      </c>
      <c r="L201" cm="1">
        <f t="array" aca="1" ref="L201" ca="1">[1]!s_dq_close($B$1,$A201,3)</f>
        <v>24.2</v>
      </c>
    </row>
    <row r="202" spans="1:12">
      <c r="A202" s="23">
        <f t="shared" ca="1" si="2"/>
        <v>45973</v>
      </c>
      <c r="B202" cm="1">
        <f t="array" aca="1" ref="B202" ca="1">[1]!s_west_netprofit($B$1,YEAR($A202),$A202,180,1000000)</f>
        <v>408.13115800000003</v>
      </c>
      <c r="C202" cm="1">
        <f t="array" aca="1" ref="C202" ca="1">[1]!s_west_eps($B$1,YEAR($A202),$A202,180)</f>
        <v>0.4677</v>
      </c>
      <c r="D202" cm="1">
        <f t="array" aca="1" ref="D202" ca="1">[1]!s_west_instnum_np($B$1,YEAR($A202),$A202,180)</f>
        <v>19</v>
      </c>
      <c r="E202" cm="1">
        <f t="array" aca="1" ref="E202" ca="1">[1]!s_west_stdnetprofit($B$1,YEAR($A202),$A202,180,1000000)</f>
        <v>44.101536000000003</v>
      </c>
      <c r="F202" cm="1">
        <f t="array" aca="1" ref="F202" ca="1">[1]!s_west_mediannetprofit($B$1,YEAR($A202),$A202,180,1000000)</f>
        <v>419</v>
      </c>
      <c r="G202" cm="1">
        <f t="array" aca="1" ref="G202" ca="1">[1]!s_west_netprofit($B$1,YEAR($A202)+1,$A202,180,1000000)</f>
        <v>65.171895000000006</v>
      </c>
      <c r="H202" cm="1">
        <f t="array" aca="1" ref="H202" ca="1">[1]!s_west_eps($B$1,YEAR($A202)+1,$A202,180)</f>
        <v>7.4700000000000003E-2</v>
      </c>
      <c r="I202" cm="1">
        <f t="array" aca="1" ref="I202" ca="1">[1]!s_west_instnum_np($B$1,YEAR($A202)+1,$A202,180)</f>
        <v>19</v>
      </c>
      <c r="J202" cm="1">
        <f t="array" aca="1" ref="J202" ca="1">[1]!s_west_stdnetprofit($B$1,YEAR($A202)+1,$A202,180,1000000)</f>
        <v>32.051775999999997</v>
      </c>
      <c r="K202" cm="1">
        <f t="array" aca="1" ref="K202" ca="1">[1]!s_west_mediannetprofit($B$1,YEAR($A201)+1,$A201,180,1000000)</f>
        <v>59.46</v>
      </c>
      <c r="L202" cm="1">
        <f t="array" aca="1" ref="L202" ca="1">[1]!s_dq_close($B$1,$A202,3)</f>
        <v>23.76</v>
      </c>
    </row>
    <row r="203" spans="1:12">
      <c r="A203" s="23">
        <f t="shared" ca="1" si="2"/>
        <v>45972</v>
      </c>
      <c r="B203" cm="1">
        <f t="array" aca="1" ref="B203" ca="1">[1]!s_west_netprofit($B$1,YEAR($A203),$A203,180,1000000)</f>
        <v>408.13115800000003</v>
      </c>
      <c r="C203" cm="1">
        <f t="array" aca="1" ref="C203" ca="1">[1]!s_west_eps($B$1,YEAR($A203),$A203,180)</f>
        <v>0.4677</v>
      </c>
      <c r="D203" cm="1">
        <f t="array" aca="1" ref="D203" ca="1">[1]!s_west_instnum_np($B$1,YEAR($A203),$A203,180)</f>
        <v>19</v>
      </c>
      <c r="E203" cm="1">
        <f t="array" aca="1" ref="E203" ca="1">[1]!s_west_stdnetprofit($B$1,YEAR($A203),$A203,180,1000000)</f>
        <v>44.101536000000003</v>
      </c>
      <c r="F203" cm="1">
        <f t="array" aca="1" ref="F203" ca="1">[1]!s_west_mediannetprofit($B$1,YEAR($A203),$A203,180,1000000)</f>
        <v>419</v>
      </c>
      <c r="G203" cm="1">
        <f t="array" aca="1" ref="G203" ca="1">[1]!s_west_netprofit($B$1,YEAR($A203)+1,$A203,180,1000000)</f>
        <v>65.171895000000006</v>
      </c>
      <c r="H203" cm="1">
        <f t="array" aca="1" ref="H203" ca="1">[1]!s_west_eps($B$1,YEAR($A203)+1,$A203,180)</f>
        <v>7.4700000000000003E-2</v>
      </c>
      <c r="I203" cm="1">
        <f t="array" aca="1" ref="I203" ca="1">[1]!s_west_instnum_np($B$1,YEAR($A203)+1,$A203,180)</f>
        <v>19</v>
      </c>
      <c r="J203" cm="1">
        <f t="array" aca="1" ref="J203" ca="1">[1]!s_west_stdnetprofit($B$1,YEAR($A203)+1,$A203,180,1000000)</f>
        <v>32.051775999999997</v>
      </c>
      <c r="K203" cm="1">
        <f t="array" aca="1" ref="K203" ca="1">[1]!s_west_mediannetprofit($B$1,YEAR($A202)+1,$A202,180,1000000)</f>
        <v>59.46</v>
      </c>
      <c r="L203" cm="1">
        <f t="array" aca="1" ref="L203" ca="1">[1]!s_dq_close($B$1,$A203,3)</f>
        <v>23.72</v>
      </c>
    </row>
    <row r="204" spans="1:12">
      <c r="A204" s="23">
        <f t="shared" ca="1" si="2"/>
        <v>45971</v>
      </c>
      <c r="B204" cm="1">
        <f t="array" aca="1" ref="B204" ca="1">[1]!s_west_netprofit($B$1,YEAR($A204),$A204,180,1000000)</f>
        <v>408.13115800000003</v>
      </c>
      <c r="C204" cm="1">
        <f t="array" aca="1" ref="C204" ca="1">[1]!s_west_eps($B$1,YEAR($A204),$A204,180)</f>
        <v>0.4677</v>
      </c>
      <c r="D204" cm="1">
        <f t="array" aca="1" ref="D204" ca="1">[1]!s_west_instnum_np($B$1,YEAR($A204),$A204,180)</f>
        <v>19</v>
      </c>
      <c r="E204" cm="1">
        <f t="array" aca="1" ref="E204" ca="1">[1]!s_west_stdnetprofit($B$1,YEAR($A204),$A204,180,1000000)</f>
        <v>44.101536000000003</v>
      </c>
      <c r="F204" cm="1">
        <f t="array" aca="1" ref="F204" ca="1">[1]!s_west_mediannetprofit($B$1,YEAR($A204),$A204,180,1000000)</f>
        <v>419</v>
      </c>
      <c r="G204" cm="1">
        <f t="array" aca="1" ref="G204" ca="1">[1]!s_west_netprofit($B$1,YEAR($A204)+1,$A204,180,1000000)</f>
        <v>65.171895000000006</v>
      </c>
      <c r="H204" cm="1">
        <f t="array" aca="1" ref="H204" ca="1">[1]!s_west_eps($B$1,YEAR($A204)+1,$A204,180)</f>
        <v>7.4700000000000003E-2</v>
      </c>
      <c r="I204" cm="1">
        <f t="array" aca="1" ref="I204" ca="1">[1]!s_west_instnum_np($B$1,YEAR($A204)+1,$A204,180)</f>
        <v>19</v>
      </c>
      <c r="J204" cm="1">
        <f t="array" aca="1" ref="J204" ca="1">[1]!s_west_stdnetprofit($B$1,YEAR($A204)+1,$A204,180,1000000)</f>
        <v>32.051775999999997</v>
      </c>
      <c r="K204" cm="1">
        <f t="array" aca="1" ref="K204" ca="1">[1]!s_west_mediannetprofit($B$1,YEAR($A203)+1,$A203,180,1000000)</f>
        <v>59.46</v>
      </c>
      <c r="L204" cm="1">
        <f t="array" aca="1" ref="L204" ca="1">[1]!s_dq_close($B$1,$A204,3)</f>
        <v>23.78</v>
      </c>
    </row>
    <row r="205" spans="1:12">
      <c r="A205" s="23">
        <f t="shared" ref="A205:A268" ca="1" si="3">A204-1</f>
        <v>45970</v>
      </c>
      <c r="B205" cm="1">
        <f t="array" aca="1" ref="B205" ca="1">[1]!s_west_netprofit($B$1,YEAR($A205),$A205,180,1000000)</f>
        <v>408.18378899999999</v>
      </c>
      <c r="C205" cm="1">
        <f t="array" aca="1" ref="C205" ca="1">[1]!s_west_eps($B$1,YEAR($A205),$A205,180)</f>
        <v>0.4677</v>
      </c>
      <c r="D205" cm="1">
        <f t="array" aca="1" ref="D205" ca="1">[1]!s_west_instnum_np($B$1,YEAR($A205),$A205,180)</f>
        <v>19</v>
      </c>
      <c r="E205" cm="1">
        <f t="array" aca="1" ref="E205" ca="1">[1]!s_west_stdnetprofit($B$1,YEAR($A205),$A205,180,1000000)</f>
        <v>44.124637</v>
      </c>
      <c r="F205" cm="1">
        <f t="array" aca="1" ref="F205" ca="1">[1]!s_west_mediannetprofit($B$1,YEAR($A205),$A205,180,1000000)</f>
        <v>419</v>
      </c>
      <c r="G205" cm="1">
        <f t="array" aca="1" ref="G205" ca="1">[1]!s_west_netprofit($B$1,YEAR($A205)+1,$A205,180,1000000)</f>
        <v>66.908737000000002</v>
      </c>
      <c r="H205" cm="1">
        <f t="array" aca="1" ref="H205" ca="1">[1]!s_west_eps($B$1,YEAR($A205)+1,$A205,180)</f>
        <v>7.6700000000000004E-2</v>
      </c>
      <c r="I205" cm="1">
        <f t="array" aca="1" ref="I205" ca="1">[1]!s_west_instnum_np($B$1,YEAR($A205)+1,$A205,180)</f>
        <v>19</v>
      </c>
      <c r="J205" cm="1">
        <f t="array" aca="1" ref="J205" ca="1">[1]!s_west_stdnetprofit($B$1,YEAR($A205)+1,$A205,180,1000000)</f>
        <v>34.501235000000001</v>
      </c>
      <c r="K205" cm="1">
        <f t="array" aca="1" ref="K205" ca="1">[1]!s_west_mediannetprofit($B$1,YEAR($A204)+1,$A204,180,1000000)</f>
        <v>59.46</v>
      </c>
      <c r="L205" cm="1">
        <f t="array" aca="1" ref="L205" ca="1">[1]!s_dq_close($B$1,$A205,3)</f>
        <v>23.62</v>
      </c>
    </row>
    <row r="206" spans="1:12">
      <c r="A206" s="23">
        <f t="shared" ca="1" si="3"/>
        <v>45969</v>
      </c>
      <c r="B206" cm="1">
        <f t="array" aca="1" ref="B206" ca="1">[1]!s_west_netprofit($B$1,YEAR($A206),$A206,180,1000000)</f>
        <v>408.18378899999999</v>
      </c>
      <c r="C206" cm="1">
        <f t="array" aca="1" ref="C206" ca="1">[1]!s_west_eps($B$1,YEAR($A206),$A206,180)</f>
        <v>0.4677</v>
      </c>
      <c r="D206" cm="1">
        <f t="array" aca="1" ref="D206" ca="1">[1]!s_west_instnum_np($B$1,YEAR($A206),$A206,180)</f>
        <v>19</v>
      </c>
      <c r="E206" cm="1">
        <f t="array" aca="1" ref="E206" ca="1">[1]!s_west_stdnetprofit($B$1,YEAR($A206),$A206,180,1000000)</f>
        <v>44.124637</v>
      </c>
      <c r="F206" cm="1">
        <f t="array" aca="1" ref="F206" ca="1">[1]!s_west_mediannetprofit($B$1,YEAR($A206),$A206,180,1000000)</f>
        <v>419</v>
      </c>
      <c r="G206" cm="1">
        <f t="array" aca="1" ref="G206" ca="1">[1]!s_west_netprofit($B$1,YEAR($A206)+1,$A206,180,1000000)</f>
        <v>66.908737000000002</v>
      </c>
      <c r="H206" cm="1">
        <f t="array" aca="1" ref="H206" ca="1">[1]!s_west_eps($B$1,YEAR($A206)+1,$A206,180)</f>
        <v>7.6700000000000004E-2</v>
      </c>
      <c r="I206" cm="1">
        <f t="array" aca="1" ref="I206" ca="1">[1]!s_west_instnum_np($B$1,YEAR($A206)+1,$A206,180)</f>
        <v>19</v>
      </c>
      <c r="J206" cm="1">
        <f t="array" aca="1" ref="J206" ca="1">[1]!s_west_stdnetprofit($B$1,YEAR($A206)+1,$A206,180,1000000)</f>
        <v>34.501235000000001</v>
      </c>
      <c r="K206" cm="1">
        <f t="array" aca="1" ref="K206" ca="1">[1]!s_west_mediannetprofit($B$1,YEAR($A205)+1,$A205,180,1000000)</f>
        <v>59.46</v>
      </c>
      <c r="L206" cm="1">
        <f t="array" aca="1" ref="L206" ca="1">[1]!s_dq_close($B$1,$A206,3)</f>
        <v>23.62</v>
      </c>
    </row>
    <row r="207" spans="1:12">
      <c r="A207" s="23">
        <f t="shared" ca="1" si="3"/>
        <v>45968</v>
      </c>
      <c r="B207" cm="1">
        <f t="array" aca="1" ref="B207" ca="1">[1]!s_west_netprofit($B$1,YEAR($A207),$A207,180,1000000)</f>
        <v>408.18378899999999</v>
      </c>
      <c r="C207" cm="1">
        <f t="array" aca="1" ref="C207" ca="1">[1]!s_west_eps($B$1,YEAR($A207),$A207,180)</f>
        <v>0.4677</v>
      </c>
      <c r="D207" cm="1">
        <f t="array" aca="1" ref="D207" ca="1">[1]!s_west_instnum_np($B$1,YEAR($A207),$A207,180)</f>
        <v>19</v>
      </c>
      <c r="E207" cm="1">
        <f t="array" aca="1" ref="E207" ca="1">[1]!s_west_stdnetprofit($B$1,YEAR($A207),$A207,180,1000000)</f>
        <v>44.124637</v>
      </c>
      <c r="F207" cm="1">
        <f t="array" aca="1" ref="F207" ca="1">[1]!s_west_mediannetprofit($B$1,YEAR($A207),$A207,180,1000000)</f>
        <v>419</v>
      </c>
      <c r="G207" cm="1">
        <f t="array" aca="1" ref="G207" ca="1">[1]!s_west_netprofit($B$1,YEAR($A207)+1,$A207,180,1000000)</f>
        <v>66.908737000000002</v>
      </c>
      <c r="H207" cm="1">
        <f t="array" aca="1" ref="H207" ca="1">[1]!s_west_eps($B$1,YEAR($A207)+1,$A207,180)</f>
        <v>7.6700000000000004E-2</v>
      </c>
      <c r="I207" cm="1">
        <f t="array" aca="1" ref="I207" ca="1">[1]!s_west_instnum_np($B$1,YEAR($A207)+1,$A207,180)</f>
        <v>19</v>
      </c>
      <c r="J207" cm="1">
        <f t="array" aca="1" ref="J207" ca="1">[1]!s_west_stdnetprofit($B$1,YEAR($A207)+1,$A207,180,1000000)</f>
        <v>34.501235000000001</v>
      </c>
      <c r="K207" cm="1">
        <f t="array" aca="1" ref="K207" ca="1">[1]!s_west_mediannetprofit($B$1,YEAR($A206)+1,$A206,180,1000000)</f>
        <v>59.46</v>
      </c>
      <c r="L207" cm="1">
        <f t="array" aca="1" ref="L207" ca="1">[1]!s_dq_close($B$1,$A207,3)</f>
        <v>23.62</v>
      </c>
    </row>
    <row r="208" spans="1:12">
      <c r="A208" s="23">
        <f t="shared" ca="1" si="3"/>
        <v>45967</v>
      </c>
      <c r="B208" cm="1">
        <f t="array" aca="1" ref="B208" ca="1">[1]!s_west_netprofit($B$1,YEAR($A208),$A208,180,1000000)</f>
        <v>408.18378899999999</v>
      </c>
      <c r="C208" cm="1">
        <f t="array" aca="1" ref="C208" ca="1">[1]!s_west_eps($B$1,YEAR($A208),$A208,180)</f>
        <v>0.4677</v>
      </c>
      <c r="D208" cm="1">
        <f t="array" aca="1" ref="D208" ca="1">[1]!s_west_instnum_np($B$1,YEAR($A208),$A208,180)</f>
        <v>19</v>
      </c>
      <c r="E208" cm="1">
        <f t="array" aca="1" ref="E208" ca="1">[1]!s_west_stdnetprofit($B$1,YEAR($A208),$A208,180,1000000)</f>
        <v>44.124637</v>
      </c>
      <c r="F208" cm="1">
        <f t="array" aca="1" ref="F208" ca="1">[1]!s_west_mediannetprofit($B$1,YEAR($A208),$A208,180,1000000)</f>
        <v>419</v>
      </c>
      <c r="G208" cm="1">
        <f t="array" aca="1" ref="G208" ca="1">[1]!s_west_netprofit($B$1,YEAR($A208)+1,$A208,180,1000000)</f>
        <v>66.908737000000002</v>
      </c>
      <c r="H208" cm="1">
        <f t="array" aca="1" ref="H208" ca="1">[1]!s_west_eps($B$1,YEAR($A208)+1,$A208,180)</f>
        <v>7.6700000000000004E-2</v>
      </c>
      <c r="I208" cm="1">
        <f t="array" aca="1" ref="I208" ca="1">[1]!s_west_instnum_np($B$1,YEAR($A208)+1,$A208,180)</f>
        <v>19</v>
      </c>
      <c r="J208" cm="1">
        <f t="array" aca="1" ref="J208" ca="1">[1]!s_west_stdnetprofit($B$1,YEAR($A208)+1,$A208,180,1000000)</f>
        <v>34.501235000000001</v>
      </c>
      <c r="K208" cm="1">
        <f t="array" aca="1" ref="K208" ca="1">[1]!s_west_mediannetprofit($B$1,YEAR($A207)+1,$A207,180,1000000)</f>
        <v>59.46</v>
      </c>
      <c r="L208" cm="1">
        <f t="array" aca="1" ref="L208" ca="1">[1]!s_dq_close($B$1,$A208,3)</f>
        <v>24.22</v>
      </c>
    </row>
    <row r="209" spans="1:12">
      <c r="A209" s="23">
        <f t="shared" ca="1" si="3"/>
        <v>45966</v>
      </c>
      <c r="B209" cm="1">
        <f t="array" aca="1" ref="B209" ca="1">[1]!s_west_netprofit($B$1,YEAR($A209),$A209,180,1000000)</f>
        <v>408.18378899999999</v>
      </c>
      <c r="C209" cm="1">
        <f t="array" aca="1" ref="C209" ca="1">[1]!s_west_eps($B$1,YEAR($A209),$A209,180)</f>
        <v>0.4677</v>
      </c>
      <c r="D209" cm="1">
        <f t="array" aca="1" ref="D209" ca="1">[1]!s_west_instnum_np($B$1,YEAR($A209),$A209,180)</f>
        <v>19</v>
      </c>
      <c r="E209" cm="1">
        <f t="array" aca="1" ref="E209" ca="1">[1]!s_west_stdnetprofit($B$1,YEAR($A209),$A209,180,1000000)</f>
        <v>44.124637</v>
      </c>
      <c r="F209" cm="1">
        <f t="array" aca="1" ref="F209" ca="1">[1]!s_west_mediannetprofit($B$1,YEAR($A209),$A209,180,1000000)</f>
        <v>419</v>
      </c>
      <c r="G209" cm="1">
        <f t="array" aca="1" ref="G209" ca="1">[1]!s_west_netprofit($B$1,YEAR($A209)+1,$A209,180,1000000)</f>
        <v>66.908737000000002</v>
      </c>
      <c r="H209" cm="1">
        <f t="array" aca="1" ref="H209" ca="1">[1]!s_west_eps($B$1,YEAR($A209)+1,$A209,180)</f>
        <v>7.6700000000000004E-2</v>
      </c>
      <c r="I209" cm="1">
        <f t="array" aca="1" ref="I209" ca="1">[1]!s_west_instnum_np($B$1,YEAR($A209)+1,$A209,180)</f>
        <v>19</v>
      </c>
      <c r="J209" cm="1">
        <f t="array" aca="1" ref="J209" ca="1">[1]!s_west_stdnetprofit($B$1,YEAR($A209)+1,$A209,180,1000000)</f>
        <v>34.501235000000001</v>
      </c>
      <c r="K209" cm="1">
        <f t="array" aca="1" ref="K209" ca="1">[1]!s_west_mediannetprofit($B$1,YEAR($A208)+1,$A208,180,1000000)</f>
        <v>59.46</v>
      </c>
      <c r="L209" cm="1">
        <f t="array" aca="1" ref="L209" ca="1">[1]!s_dq_close($B$1,$A209,3)</f>
        <v>24.06</v>
      </c>
    </row>
    <row r="210" spans="1:12">
      <c r="A210" s="23">
        <f t="shared" ca="1" si="3"/>
        <v>45965</v>
      </c>
      <c r="B210" cm="1">
        <f t="array" aca="1" ref="B210" ca="1">[1]!s_west_netprofit($B$1,YEAR($A210),$A210,180,1000000)</f>
        <v>408.18378899999999</v>
      </c>
      <c r="C210" cm="1">
        <f t="array" aca="1" ref="C210" ca="1">[1]!s_west_eps($B$1,YEAR($A210),$A210,180)</f>
        <v>0.4677</v>
      </c>
      <c r="D210" cm="1">
        <f t="array" aca="1" ref="D210" ca="1">[1]!s_west_instnum_np($B$1,YEAR($A210),$A210,180)</f>
        <v>19</v>
      </c>
      <c r="E210" cm="1">
        <f t="array" aca="1" ref="E210" ca="1">[1]!s_west_stdnetprofit($B$1,YEAR($A210),$A210,180,1000000)</f>
        <v>44.124637</v>
      </c>
      <c r="F210" cm="1">
        <f t="array" aca="1" ref="F210" ca="1">[1]!s_west_mediannetprofit($B$1,YEAR($A210),$A210,180,1000000)</f>
        <v>419</v>
      </c>
      <c r="G210" cm="1">
        <f t="array" aca="1" ref="G210" ca="1">[1]!s_west_netprofit($B$1,YEAR($A210)+1,$A210,180,1000000)</f>
        <v>66.908737000000002</v>
      </c>
      <c r="H210" cm="1">
        <f t="array" aca="1" ref="H210" ca="1">[1]!s_west_eps($B$1,YEAR($A210)+1,$A210,180)</f>
        <v>7.6700000000000004E-2</v>
      </c>
      <c r="I210" cm="1">
        <f t="array" aca="1" ref="I210" ca="1">[1]!s_west_instnum_np($B$1,YEAR($A210)+1,$A210,180)</f>
        <v>19</v>
      </c>
      <c r="J210" cm="1">
        <f t="array" aca="1" ref="J210" ca="1">[1]!s_west_stdnetprofit($B$1,YEAR($A210)+1,$A210,180,1000000)</f>
        <v>34.501235000000001</v>
      </c>
      <c r="K210" cm="1">
        <f t="array" aca="1" ref="K210" ca="1">[1]!s_west_mediannetprofit($B$1,YEAR($A209)+1,$A209,180,1000000)</f>
        <v>59.46</v>
      </c>
      <c r="L210" cm="1">
        <f t="array" aca="1" ref="L210" ca="1">[1]!s_dq_close($B$1,$A210,3)</f>
        <v>24.3</v>
      </c>
    </row>
    <row r="211" spans="1:12">
      <c r="A211" s="23">
        <f t="shared" ca="1" si="3"/>
        <v>45964</v>
      </c>
      <c r="B211" cm="1">
        <f t="array" aca="1" ref="B211" ca="1">[1]!s_west_netprofit($B$1,YEAR($A211),$A211,180,1000000)</f>
        <v>408.18378899999999</v>
      </c>
      <c r="C211" cm="1">
        <f t="array" aca="1" ref="C211" ca="1">[1]!s_west_eps($B$1,YEAR($A211),$A211,180)</f>
        <v>0.4677</v>
      </c>
      <c r="D211" cm="1">
        <f t="array" aca="1" ref="D211" ca="1">[1]!s_west_instnum_np($B$1,YEAR($A211),$A211,180)</f>
        <v>19</v>
      </c>
      <c r="E211" cm="1">
        <f t="array" aca="1" ref="E211" ca="1">[1]!s_west_stdnetprofit($B$1,YEAR($A211),$A211,180,1000000)</f>
        <v>44.124637</v>
      </c>
      <c r="F211" cm="1">
        <f t="array" aca="1" ref="F211" ca="1">[1]!s_west_mediannetprofit($B$1,YEAR($A211),$A211,180,1000000)</f>
        <v>419</v>
      </c>
      <c r="G211" cm="1">
        <f t="array" aca="1" ref="G211" ca="1">[1]!s_west_netprofit($B$1,YEAR($A211)+1,$A211,180,1000000)</f>
        <v>66.908737000000002</v>
      </c>
      <c r="H211" cm="1">
        <f t="array" aca="1" ref="H211" ca="1">[1]!s_west_eps($B$1,YEAR($A211)+1,$A211,180)</f>
        <v>7.6700000000000004E-2</v>
      </c>
      <c r="I211" cm="1">
        <f t="array" aca="1" ref="I211" ca="1">[1]!s_west_instnum_np($B$1,YEAR($A211)+1,$A211,180)</f>
        <v>19</v>
      </c>
      <c r="J211" cm="1">
        <f t="array" aca="1" ref="J211" ca="1">[1]!s_west_stdnetprofit($B$1,YEAR($A211)+1,$A211,180,1000000)</f>
        <v>34.501235000000001</v>
      </c>
      <c r="K211" cm="1">
        <f t="array" aca="1" ref="K211" ca="1">[1]!s_west_mediannetprofit($B$1,YEAR($A210)+1,$A210,180,1000000)</f>
        <v>59.46</v>
      </c>
      <c r="L211" cm="1">
        <f t="array" aca="1" ref="L211" ca="1">[1]!s_dq_close($B$1,$A211,3)</f>
        <v>23.76</v>
      </c>
    </row>
    <row r="212" spans="1:12">
      <c r="A212" s="23">
        <f t="shared" ca="1" si="3"/>
        <v>45963</v>
      </c>
      <c r="B212" cm="1">
        <f t="array" aca="1" ref="B212" ca="1">[1]!s_west_netprofit($B$1,YEAR($A212),$A212,180,1000000)</f>
        <v>408.18378899999999</v>
      </c>
      <c r="C212" cm="1">
        <f t="array" aca="1" ref="C212" ca="1">[1]!s_west_eps($B$1,YEAR($A212),$A212,180)</f>
        <v>0.4677</v>
      </c>
      <c r="D212" cm="1">
        <f t="array" aca="1" ref="D212" ca="1">[1]!s_west_instnum_np($B$1,YEAR($A212),$A212,180)</f>
        <v>19</v>
      </c>
      <c r="E212" cm="1">
        <f t="array" aca="1" ref="E212" ca="1">[1]!s_west_stdnetprofit($B$1,YEAR($A212),$A212,180,1000000)</f>
        <v>44.124637</v>
      </c>
      <c r="F212" cm="1">
        <f t="array" aca="1" ref="F212" ca="1">[1]!s_west_mediannetprofit($B$1,YEAR($A212),$A212,180,1000000)</f>
        <v>419</v>
      </c>
      <c r="G212" cm="1">
        <f t="array" aca="1" ref="G212" ca="1">[1]!s_west_netprofit($B$1,YEAR($A212)+1,$A212,180,1000000)</f>
        <v>66.908737000000002</v>
      </c>
      <c r="H212" cm="1">
        <f t="array" aca="1" ref="H212" ca="1">[1]!s_west_eps($B$1,YEAR($A212)+1,$A212,180)</f>
        <v>7.6700000000000004E-2</v>
      </c>
      <c r="I212" cm="1">
        <f t="array" aca="1" ref="I212" ca="1">[1]!s_west_instnum_np($B$1,YEAR($A212)+1,$A212,180)</f>
        <v>19</v>
      </c>
      <c r="J212" cm="1">
        <f t="array" aca="1" ref="J212" ca="1">[1]!s_west_stdnetprofit($B$1,YEAR($A212)+1,$A212,180,1000000)</f>
        <v>34.501235000000001</v>
      </c>
      <c r="K212" cm="1">
        <f t="array" aca="1" ref="K212" ca="1">[1]!s_west_mediannetprofit($B$1,YEAR($A211)+1,$A211,180,1000000)</f>
        <v>59.46</v>
      </c>
      <c r="L212" cm="1">
        <f t="array" aca="1" ref="L212" ca="1">[1]!s_dq_close($B$1,$A212,3)</f>
        <v>23.26</v>
      </c>
    </row>
    <row r="213" spans="1:12">
      <c r="A213" s="23">
        <f t="shared" ca="1" si="3"/>
        <v>45962</v>
      </c>
      <c r="B213" cm="1">
        <f t="array" aca="1" ref="B213" ca="1">[1]!s_west_netprofit($B$1,YEAR($A213),$A213,180,1000000)</f>
        <v>408.18378899999999</v>
      </c>
      <c r="C213" cm="1">
        <f t="array" aca="1" ref="C213" ca="1">[1]!s_west_eps($B$1,YEAR($A213),$A213,180)</f>
        <v>0.4677</v>
      </c>
      <c r="D213" cm="1">
        <f t="array" aca="1" ref="D213" ca="1">[1]!s_west_instnum_np($B$1,YEAR($A213),$A213,180)</f>
        <v>19</v>
      </c>
      <c r="E213" cm="1">
        <f t="array" aca="1" ref="E213" ca="1">[1]!s_west_stdnetprofit($B$1,YEAR($A213),$A213,180,1000000)</f>
        <v>44.124637</v>
      </c>
      <c r="F213" cm="1">
        <f t="array" aca="1" ref="F213" ca="1">[1]!s_west_mediannetprofit($B$1,YEAR($A213),$A213,180,1000000)</f>
        <v>419</v>
      </c>
      <c r="G213" cm="1">
        <f t="array" aca="1" ref="G213" ca="1">[1]!s_west_netprofit($B$1,YEAR($A213)+1,$A213,180,1000000)</f>
        <v>66.908737000000002</v>
      </c>
      <c r="H213" cm="1">
        <f t="array" aca="1" ref="H213" ca="1">[1]!s_west_eps($B$1,YEAR($A213)+1,$A213,180)</f>
        <v>7.6700000000000004E-2</v>
      </c>
      <c r="I213" cm="1">
        <f t="array" aca="1" ref="I213" ca="1">[1]!s_west_instnum_np($B$1,YEAR($A213)+1,$A213,180)</f>
        <v>19</v>
      </c>
      <c r="J213" cm="1">
        <f t="array" aca="1" ref="J213" ca="1">[1]!s_west_stdnetprofit($B$1,YEAR($A213)+1,$A213,180,1000000)</f>
        <v>34.501235000000001</v>
      </c>
      <c r="K213" cm="1">
        <f t="array" aca="1" ref="K213" ca="1">[1]!s_west_mediannetprofit($B$1,YEAR($A212)+1,$A212,180,1000000)</f>
        <v>59.46</v>
      </c>
      <c r="L213" cm="1">
        <f t="array" aca="1" ref="L213" ca="1">[1]!s_dq_close($B$1,$A213,3)</f>
        <v>23.26</v>
      </c>
    </row>
    <row r="214" spans="1:12">
      <c r="A214" s="23">
        <f t="shared" ca="1" si="3"/>
        <v>45961</v>
      </c>
      <c r="B214" cm="1">
        <f t="array" aca="1" ref="B214" ca="1">[1]!s_west_netprofit($B$1,YEAR($A214),$A214,180,1000000)</f>
        <v>408.18378899999999</v>
      </c>
      <c r="C214" cm="1">
        <f t="array" aca="1" ref="C214" ca="1">[1]!s_west_eps($B$1,YEAR($A214),$A214,180)</f>
        <v>0.4677</v>
      </c>
      <c r="D214" cm="1">
        <f t="array" aca="1" ref="D214" ca="1">[1]!s_west_instnum_np($B$1,YEAR($A214),$A214,180)</f>
        <v>19</v>
      </c>
      <c r="E214" cm="1">
        <f t="array" aca="1" ref="E214" ca="1">[1]!s_west_stdnetprofit($B$1,YEAR($A214),$A214,180,1000000)</f>
        <v>44.124637</v>
      </c>
      <c r="F214" cm="1">
        <f t="array" aca="1" ref="F214" ca="1">[1]!s_west_mediannetprofit($B$1,YEAR($A214),$A214,180,1000000)</f>
        <v>419</v>
      </c>
      <c r="G214" cm="1">
        <f t="array" aca="1" ref="G214" ca="1">[1]!s_west_netprofit($B$1,YEAR($A214)+1,$A214,180,1000000)</f>
        <v>66.908737000000002</v>
      </c>
      <c r="H214" cm="1">
        <f t="array" aca="1" ref="H214" ca="1">[1]!s_west_eps($B$1,YEAR($A214)+1,$A214,180)</f>
        <v>7.6700000000000004E-2</v>
      </c>
      <c r="I214" cm="1">
        <f t="array" aca="1" ref="I214" ca="1">[1]!s_west_instnum_np($B$1,YEAR($A214)+1,$A214,180)</f>
        <v>19</v>
      </c>
      <c r="J214" cm="1">
        <f t="array" aca="1" ref="J214" ca="1">[1]!s_west_stdnetprofit($B$1,YEAR($A214)+1,$A214,180,1000000)</f>
        <v>34.501235000000001</v>
      </c>
      <c r="K214" cm="1">
        <f t="array" aca="1" ref="K214" ca="1">[1]!s_west_mediannetprofit($B$1,YEAR($A213)+1,$A213,180,1000000)</f>
        <v>59.46</v>
      </c>
      <c r="L214" cm="1">
        <f t="array" aca="1" ref="L214" ca="1">[1]!s_dq_close($B$1,$A214,3)</f>
        <v>23.26</v>
      </c>
    </row>
    <row r="215" spans="1:12">
      <c r="A215" s="23">
        <f t="shared" ca="1" si="3"/>
        <v>45960</v>
      </c>
      <c r="B215" cm="1">
        <f t="array" aca="1" ref="B215" ca="1">[1]!s_west_netprofit($B$1,YEAR($A215),$A215,180,1000000)</f>
        <v>408.18378899999999</v>
      </c>
      <c r="C215" cm="1">
        <f t="array" aca="1" ref="C215" ca="1">[1]!s_west_eps($B$1,YEAR($A215),$A215,180)</f>
        <v>0.4677</v>
      </c>
      <c r="D215" cm="1">
        <f t="array" aca="1" ref="D215" ca="1">[1]!s_west_instnum_np($B$1,YEAR($A215),$A215,180)</f>
        <v>19</v>
      </c>
      <c r="E215" cm="1">
        <f t="array" aca="1" ref="E215" ca="1">[1]!s_west_stdnetprofit($B$1,YEAR($A215),$A215,180,1000000)</f>
        <v>44.124637</v>
      </c>
      <c r="F215" cm="1">
        <f t="array" aca="1" ref="F215" ca="1">[1]!s_west_mediannetprofit($B$1,YEAR($A215),$A215,180,1000000)</f>
        <v>419</v>
      </c>
      <c r="G215" cm="1">
        <f t="array" aca="1" ref="G215" ca="1">[1]!s_west_netprofit($B$1,YEAR($A215)+1,$A215,180,1000000)</f>
        <v>66.908737000000002</v>
      </c>
      <c r="H215" cm="1">
        <f t="array" aca="1" ref="H215" ca="1">[1]!s_west_eps($B$1,YEAR($A215)+1,$A215,180)</f>
        <v>7.6700000000000004E-2</v>
      </c>
      <c r="I215" cm="1">
        <f t="array" aca="1" ref="I215" ca="1">[1]!s_west_instnum_np($B$1,YEAR($A215)+1,$A215,180)</f>
        <v>19</v>
      </c>
      <c r="J215" cm="1">
        <f t="array" aca="1" ref="J215" ca="1">[1]!s_west_stdnetprofit($B$1,YEAR($A215)+1,$A215,180,1000000)</f>
        <v>34.501235000000001</v>
      </c>
      <c r="K215" cm="1">
        <f t="array" aca="1" ref="K215" ca="1">[1]!s_west_mediannetprofit($B$1,YEAR($A214)+1,$A214,180,1000000)</f>
        <v>59.46</v>
      </c>
      <c r="L215" cm="1">
        <f t="array" aca="1" ref="L215" ca="1">[1]!s_dq_close($B$1,$A215,3)</f>
        <v>22.88</v>
      </c>
    </row>
    <row r="216" spans="1:12">
      <c r="A216" s="23">
        <f t="shared" ca="1" si="3"/>
        <v>45959</v>
      </c>
      <c r="B216" cm="1">
        <f t="array" aca="1" ref="B216" ca="1">[1]!s_west_netprofit($B$1,YEAR($A216),$A216,180,1000000)</f>
        <v>408.18378899999999</v>
      </c>
      <c r="C216" cm="1">
        <f t="array" aca="1" ref="C216" ca="1">[1]!s_west_eps($B$1,YEAR($A216),$A216,180)</f>
        <v>0.4677</v>
      </c>
      <c r="D216" cm="1">
        <f t="array" aca="1" ref="D216" ca="1">[1]!s_west_instnum_np($B$1,YEAR($A216),$A216,180)</f>
        <v>19</v>
      </c>
      <c r="E216" cm="1">
        <f t="array" aca="1" ref="E216" ca="1">[1]!s_west_stdnetprofit($B$1,YEAR($A216),$A216,180,1000000)</f>
        <v>44.124637</v>
      </c>
      <c r="F216" cm="1">
        <f t="array" aca="1" ref="F216" ca="1">[1]!s_west_mediannetprofit($B$1,YEAR($A216),$A216,180,1000000)</f>
        <v>419</v>
      </c>
      <c r="G216" cm="1">
        <f t="array" aca="1" ref="G216" ca="1">[1]!s_west_netprofit($B$1,YEAR($A216)+1,$A216,180,1000000)</f>
        <v>66.908737000000002</v>
      </c>
      <c r="H216" cm="1">
        <f t="array" aca="1" ref="H216" ca="1">[1]!s_west_eps($B$1,YEAR($A216)+1,$A216,180)</f>
        <v>7.6700000000000004E-2</v>
      </c>
      <c r="I216" cm="1">
        <f t="array" aca="1" ref="I216" ca="1">[1]!s_west_instnum_np($B$1,YEAR($A216)+1,$A216,180)</f>
        <v>19</v>
      </c>
      <c r="J216" cm="1">
        <f t="array" aca="1" ref="J216" ca="1">[1]!s_west_stdnetprofit($B$1,YEAR($A216)+1,$A216,180,1000000)</f>
        <v>34.501235000000001</v>
      </c>
      <c r="K216" cm="1">
        <f t="array" aca="1" ref="K216" ca="1">[1]!s_west_mediannetprofit($B$1,YEAR($A215)+1,$A215,180,1000000)</f>
        <v>59.46</v>
      </c>
      <c r="L216" cm="1">
        <f t="array" aca="1" ref="L216" ca="1">[1]!s_dq_close($B$1,$A216,3)</f>
        <v>23.06</v>
      </c>
    </row>
    <row r="217" spans="1:12">
      <c r="A217" s="23">
        <f t="shared" ca="1" si="3"/>
        <v>45958</v>
      </c>
      <c r="B217" cm="1">
        <f t="array" aca="1" ref="B217" ca="1">[1]!s_west_netprofit($B$1,YEAR($A217),$A217,180,1000000)</f>
        <v>408.18378899999999</v>
      </c>
      <c r="C217" cm="1">
        <f t="array" aca="1" ref="C217" ca="1">[1]!s_west_eps($B$1,YEAR($A217),$A217,180)</f>
        <v>0.4677</v>
      </c>
      <c r="D217" cm="1">
        <f t="array" aca="1" ref="D217" ca="1">[1]!s_west_instnum_np($B$1,YEAR($A217),$A217,180)</f>
        <v>19</v>
      </c>
      <c r="E217" cm="1">
        <f t="array" aca="1" ref="E217" ca="1">[1]!s_west_stdnetprofit($B$1,YEAR($A217),$A217,180,1000000)</f>
        <v>44.124637</v>
      </c>
      <c r="F217" cm="1">
        <f t="array" aca="1" ref="F217" ca="1">[1]!s_west_mediannetprofit($B$1,YEAR($A217),$A217,180,1000000)</f>
        <v>419</v>
      </c>
      <c r="G217" cm="1">
        <f t="array" aca="1" ref="G217" ca="1">[1]!s_west_netprofit($B$1,YEAR($A217)+1,$A217,180,1000000)</f>
        <v>66.908737000000002</v>
      </c>
      <c r="H217" cm="1">
        <f t="array" aca="1" ref="H217" ca="1">[1]!s_west_eps($B$1,YEAR($A217)+1,$A217,180)</f>
        <v>7.6700000000000004E-2</v>
      </c>
      <c r="I217" cm="1">
        <f t="array" aca="1" ref="I217" ca="1">[1]!s_west_instnum_np($B$1,YEAR($A217)+1,$A217,180)</f>
        <v>19</v>
      </c>
      <c r="J217" cm="1">
        <f t="array" aca="1" ref="J217" ca="1">[1]!s_west_stdnetprofit($B$1,YEAR($A217)+1,$A217,180,1000000)</f>
        <v>34.501235000000001</v>
      </c>
      <c r="K217" cm="1">
        <f t="array" aca="1" ref="K217" ca="1">[1]!s_west_mediannetprofit($B$1,YEAR($A216)+1,$A216,180,1000000)</f>
        <v>59.46</v>
      </c>
      <c r="L217" cm="1">
        <f t="array" aca="1" ref="L217" ca="1">[1]!s_dq_close($B$1,$A217,3)</f>
        <v>23.06</v>
      </c>
    </row>
    <row r="218" spans="1:12">
      <c r="A218" s="23">
        <f t="shared" ca="1" si="3"/>
        <v>45957</v>
      </c>
      <c r="B218" cm="1">
        <f t="array" aca="1" ref="B218" ca="1">[1]!s_west_netprofit($B$1,YEAR($A218),$A218,180,1000000)</f>
        <v>408.18378899999999</v>
      </c>
      <c r="C218" cm="1">
        <f t="array" aca="1" ref="C218" ca="1">[1]!s_west_eps($B$1,YEAR($A218),$A218,180)</f>
        <v>0.4677</v>
      </c>
      <c r="D218" cm="1">
        <f t="array" aca="1" ref="D218" ca="1">[1]!s_west_instnum_np($B$1,YEAR($A218),$A218,180)</f>
        <v>19</v>
      </c>
      <c r="E218" cm="1">
        <f t="array" aca="1" ref="E218" ca="1">[1]!s_west_stdnetprofit($B$1,YEAR($A218),$A218,180,1000000)</f>
        <v>44.124637</v>
      </c>
      <c r="F218" cm="1">
        <f t="array" aca="1" ref="F218" ca="1">[1]!s_west_mediannetprofit($B$1,YEAR($A218),$A218,180,1000000)</f>
        <v>419</v>
      </c>
      <c r="G218" cm="1">
        <f t="array" aca="1" ref="G218" ca="1">[1]!s_west_netprofit($B$1,YEAR($A218)+1,$A218,180,1000000)</f>
        <v>66.908737000000002</v>
      </c>
      <c r="H218" cm="1">
        <f t="array" aca="1" ref="H218" ca="1">[1]!s_west_eps($B$1,YEAR($A218)+1,$A218,180)</f>
        <v>7.6700000000000004E-2</v>
      </c>
      <c r="I218" cm="1">
        <f t="array" aca="1" ref="I218" ca="1">[1]!s_west_instnum_np($B$1,YEAR($A218)+1,$A218,180)</f>
        <v>19</v>
      </c>
      <c r="J218" cm="1">
        <f t="array" aca="1" ref="J218" ca="1">[1]!s_west_stdnetprofit($B$1,YEAR($A218)+1,$A218,180,1000000)</f>
        <v>34.501235000000001</v>
      </c>
      <c r="K218" cm="1">
        <f t="array" aca="1" ref="K218" ca="1">[1]!s_west_mediannetprofit($B$1,YEAR($A217)+1,$A217,180,1000000)</f>
        <v>59.46</v>
      </c>
      <c r="L218" cm="1">
        <f t="array" aca="1" ref="L218" ca="1">[1]!s_dq_close($B$1,$A218,3)</f>
        <v>23.42</v>
      </c>
    </row>
    <row r="219" spans="1:12">
      <c r="A219" s="23">
        <f t="shared" ca="1" si="3"/>
        <v>45956</v>
      </c>
      <c r="B219" cm="1">
        <f t="array" aca="1" ref="B219" ca="1">[1]!s_west_netprofit($B$1,YEAR($A219),$A219,180,1000000)</f>
        <v>408.18378899999999</v>
      </c>
      <c r="C219" cm="1">
        <f t="array" aca="1" ref="C219" ca="1">[1]!s_west_eps($B$1,YEAR($A219),$A219,180)</f>
        <v>0.4677</v>
      </c>
      <c r="D219" cm="1">
        <f t="array" aca="1" ref="D219" ca="1">[1]!s_west_instnum_np($B$1,YEAR($A219),$A219,180)</f>
        <v>19</v>
      </c>
      <c r="E219" cm="1">
        <f t="array" aca="1" ref="E219" ca="1">[1]!s_west_stdnetprofit($B$1,YEAR($A219),$A219,180,1000000)</f>
        <v>44.124637</v>
      </c>
      <c r="F219" cm="1">
        <f t="array" aca="1" ref="F219" ca="1">[1]!s_west_mediannetprofit($B$1,YEAR($A219),$A219,180,1000000)</f>
        <v>419</v>
      </c>
      <c r="G219" cm="1">
        <f t="array" aca="1" ref="G219" ca="1">[1]!s_west_netprofit($B$1,YEAR($A219)+1,$A219,180,1000000)</f>
        <v>66.908737000000002</v>
      </c>
      <c r="H219" cm="1">
        <f t="array" aca="1" ref="H219" ca="1">[1]!s_west_eps($B$1,YEAR($A219)+1,$A219,180)</f>
        <v>7.6700000000000004E-2</v>
      </c>
      <c r="I219" cm="1">
        <f t="array" aca="1" ref="I219" ca="1">[1]!s_west_instnum_np($B$1,YEAR($A219)+1,$A219,180)</f>
        <v>19</v>
      </c>
      <c r="J219" cm="1">
        <f t="array" aca="1" ref="J219" ca="1">[1]!s_west_stdnetprofit($B$1,YEAR($A219)+1,$A219,180,1000000)</f>
        <v>34.501235000000001</v>
      </c>
      <c r="K219" cm="1">
        <f t="array" aca="1" ref="K219" ca="1">[1]!s_west_mediannetprofit($B$1,YEAR($A218)+1,$A218,180,1000000)</f>
        <v>59.46</v>
      </c>
      <c r="L219" cm="1">
        <f t="array" aca="1" ref="L219" ca="1">[1]!s_dq_close($B$1,$A219,3)</f>
        <v>23.22</v>
      </c>
    </row>
    <row r="220" spans="1:12">
      <c r="A220" s="23">
        <f t="shared" ca="1" si="3"/>
        <v>45955</v>
      </c>
      <c r="B220" cm="1">
        <f t="array" aca="1" ref="B220" ca="1">[1]!s_west_netprofit($B$1,YEAR($A220),$A220,180,1000000)</f>
        <v>408.18378899999999</v>
      </c>
      <c r="C220" cm="1">
        <f t="array" aca="1" ref="C220" ca="1">[1]!s_west_eps($B$1,YEAR($A220),$A220,180)</f>
        <v>0.4677</v>
      </c>
      <c r="D220" cm="1">
        <f t="array" aca="1" ref="D220" ca="1">[1]!s_west_instnum_np($B$1,YEAR($A220),$A220,180)</f>
        <v>19</v>
      </c>
      <c r="E220" cm="1">
        <f t="array" aca="1" ref="E220" ca="1">[1]!s_west_stdnetprofit($B$1,YEAR($A220),$A220,180,1000000)</f>
        <v>44.124637</v>
      </c>
      <c r="F220" cm="1">
        <f t="array" aca="1" ref="F220" ca="1">[1]!s_west_mediannetprofit($B$1,YEAR($A220),$A220,180,1000000)</f>
        <v>419</v>
      </c>
      <c r="G220" cm="1">
        <f t="array" aca="1" ref="G220" ca="1">[1]!s_west_netprofit($B$1,YEAR($A220)+1,$A220,180,1000000)</f>
        <v>66.908737000000002</v>
      </c>
      <c r="H220" cm="1">
        <f t="array" aca="1" ref="H220" ca="1">[1]!s_west_eps($B$1,YEAR($A220)+1,$A220,180)</f>
        <v>7.6700000000000004E-2</v>
      </c>
      <c r="I220" cm="1">
        <f t="array" aca="1" ref="I220" ca="1">[1]!s_west_instnum_np($B$1,YEAR($A220)+1,$A220,180)</f>
        <v>19</v>
      </c>
      <c r="J220" cm="1">
        <f t="array" aca="1" ref="J220" ca="1">[1]!s_west_stdnetprofit($B$1,YEAR($A220)+1,$A220,180,1000000)</f>
        <v>34.501235000000001</v>
      </c>
      <c r="K220" cm="1">
        <f t="array" aca="1" ref="K220" ca="1">[1]!s_west_mediannetprofit($B$1,YEAR($A219)+1,$A219,180,1000000)</f>
        <v>59.46</v>
      </c>
      <c r="L220" cm="1">
        <f t="array" aca="1" ref="L220" ca="1">[1]!s_dq_close($B$1,$A220,3)</f>
        <v>23.22</v>
      </c>
    </row>
    <row r="221" spans="1:12">
      <c r="A221" s="23">
        <f t="shared" ca="1" si="3"/>
        <v>45954</v>
      </c>
      <c r="B221" cm="1">
        <f t="array" aca="1" ref="B221" ca="1">[1]!s_west_netprofit($B$1,YEAR($A221),$A221,180,1000000)</f>
        <v>408.18378899999999</v>
      </c>
      <c r="C221" cm="1">
        <f t="array" aca="1" ref="C221" ca="1">[1]!s_west_eps($B$1,YEAR($A221),$A221,180)</f>
        <v>0.4677</v>
      </c>
      <c r="D221" cm="1">
        <f t="array" aca="1" ref="D221" ca="1">[1]!s_west_instnum_np($B$1,YEAR($A221),$A221,180)</f>
        <v>19</v>
      </c>
      <c r="E221" cm="1">
        <f t="array" aca="1" ref="E221" ca="1">[1]!s_west_stdnetprofit($B$1,YEAR($A221),$A221,180,1000000)</f>
        <v>44.124637</v>
      </c>
      <c r="F221" cm="1">
        <f t="array" aca="1" ref="F221" ca="1">[1]!s_west_mediannetprofit($B$1,YEAR($A221),$A221,180,1000000)</f>
        <v>419</v>
      </c>
      <c r="G221" cm="1">
        <f t="array" aca="1" ref="G221" ca="1">[1]!s_west_netprofit($B$1,YEAR($A221)+1,$A221,180,1000000)</f>
        <v>66.908737000000002</v>
      </c>
      <c r="H221" cm="1">
        <f t="array" aca="1" ref="H221" ca="1">[1]!s_west_eps($B$1,YEAR($A221)+1,$A221,180)</f>
        <v>7.6700000000000004E-2</v>
      </c>
      <c r="I221" cm="1">
        <f t="array" aca="1" ref="I221" ca="1">[1]!s_west_instnum_np($B$1,YEAR($A221)+1,$A221,180)</f>
        <v>19</v>
      </c>
      <c r="J221" cm="1">
        <f t="array" aca="1" ref="J221" ca="1">[1]!s_west_stdnetprofit($B$1,YEAR($A221)+1,$A221,180,1000000)</f>
        <v>34.501235000000001</v>
      </c>
      <c r="K221" cm="1">
        <f t="array" aca="1" ref="K221" ca="1">[1]!s_west_mediannetprofit($B$1,YEAR($A220)+1,$A220,180,1000000)</f>
        <v>59.46</v>
      </c>
      <c r="L221" cm="1">
        <f t="array" aca="1" ref="L221" ca="1">[1]!s_dq_close($B$1,$A221,3)</f>
        <v>23.22</v>
      </c>
    </row>
    <row r="222" spans="1:12">
      <c r="A222" s="23">
        <f t="shared" ca="1" si="3"/>
        <v>45953</v>
      </c>
      <c r="B222" cm="1">
        <f t="array" aca="1" ref="B222" ca="1">[1]!s_west_netprofit($B$1,YEAR($A222),$A222,180,1000000)</f>
        <v>408.18378899999999</v>
      </c>
      <c r="C222" cm="1">
        <f t="array" aca="1" ref="C222" ca="1">[1]!s_west_eps($B$1,YEAR($A222),$A222,180)</f>
        <v>0.4677</v>
      </c>
      <c r="D222" cm="1">
        <f t="array" aca="1" ref="D222" ca="1">[1]!s_west_instnum_np($B$1,YEAR($A222),$A222,180)</f>
        <v>19</v>
      </c>
      <c r="E222" cm="1">
        <f t="array" aca="1" ref="E222" ca="1">[1]!s_west_stdnetprofit($B$1,YEAR($A222),$A222,180,1000000)</f>
        <v>44.124637</v>
      </c>
      <c r="F222" cm="1">
        <f t="array" aca="1" ref="F222" ca="1">[1]!s_west_mediannetprofit($B$1,YEAR($A222),$A222,180,1000000)</f>
        <v>419</v>
      </c>
      <c r="G222" cm="1">
        <f t="array" aca="1" ref="G222" ca="1">[1]!s_west_netprofit($B$1,YEAR($A222)+1,$A222,180,1000000)</f>
        <v>66.908737000000002</v>
      </c>
      <c r="H222" cm="1">
        <f t="array" aca="1" ref="H222" ca="1">[1]!s_west_eps($B$1,YEAR($A222)+1,$A222,180)</f>
        <v>7.6700000000000004E-2</v>
      </c>
      <c r="I222" cm="1">
        <f t="array" aca="1" ref="I222" ca="1">[1]!s_west_instnum_np($B$1,YEAR($A222)+1,$A222,180)</f>
        <v>19</v>
      </c>
      <c r="J222" cm="1">
        <f t="array" aca="1" ref="J222" ca="1">[1]!s_west_stdnetprofit($B$1,YEAR($A222)+1,$A222,180,1000000)</f>
        <v>34.501235000000001</v>
      </c>
      <c r="K222" cm="1">
        <f t="array" aca="1" ref="K222" ca="1">[1]!s_west_mediannetprofit($B$1,YEAR($A221)+1,$A221,180,1000000)</f>
        <v>59.46</v>
      </c>
      <c r="L222" cm="1">
        <f t="array" aca="1" ref="L222" ca="1">[1]!s_dq_close($B$1,$A222,3)</f>
        <v>23.42</v>
      </c>
    </row>
    <row r="223" spans="1:12">
      <c r="A223" s="23">
        <f t="shared" ca="1" si="3"/>
        <v>45952</v>
      </c>
      <c r="B223" cm="1">
        <f t="array" aca="1" ref="B223" ca="1">[1]!s_west_netprofit($B$1,YEAR($A223),$A223,180,1000000)</f>
        <v>408.18378899999999</v>
      </c>
      <c r="C223" cm="1">
        <f t="array" aca="1" ref="C223" ca="1">[1]!s_west_eps($B$1,YEAR($A223),$A223,180)</f>
        <v>0.4677</v>
      </c>
      <c r="D223" cm="1">
        <f t="array" aca="1" ref="D223" ca="1">[1]!s_west_instnum_np($B$1,YEAR($A223),$A223,180)</f>
        <v>19</v>
      </c>
      <c r="E223" cm="1">
        <f t="array" aca="1" ref="E223" ca="1">[1]!s_west_stdnetprofit($B$1,YEAR($A223),$A223,180,1000000)</f>
        <v>44.124637</v>
      </c>
      <c r="F223" cm="1">
        <f t="array" aca="1" ref="F223" ca="1">[1]!s_west_mediannetprofit($B$1,YEAR($A223),$A223,180,1000000)</f>
        <v>419</v>
      </c>
      <c r="G223" cm="1">
        <f t="array" aca="1" ref="G223" ca="1">[1]!s_west_netprofit($B$1,YEAR($A223)+1,$A223,180,1000000)</f>
        <v>66.908737000000002</v>
      </c>
      <c r="H223" cm="1">
        <f t="array" aca="1" ref="H223" ca="1">[1]!s_west_eps($B$1,YEAR($A223)+1,$A223,180)</f>
        <v>7.6700000000000004E-2</v>
      </c>
      <c r="I223" cm="1">
        <f t="array" aca="1" ref="I223" ca="1">[1]!s_west_instnum_np($B$1,YEAR($A223)+1,$A223,180)</f>
        <v>19</v>
      </c>
      <c r="J223" cm="1">
        <f t="array" aca="1" ref="J223" ca="1">[1]!s_west_stdnetprofit($B$1,YEAR($A223)+1,$A223,180,1000000)</f>
        <v>34.501235000000001</v>
      </c>
      <c r="K223" cm="1">
        <f t="array" aca="1" ref="K223" ca="1">[1]!s_west_mediannetprofit($B$1,YEAR($A222)+1,$A222,180,1000000)</f>
        <v>59.46</v>
      </c>
      <c r="L223" cm="1">
        <f t="array" aca="1" ref="L223" ca="1">[1]!s_dq_close($B$1,$A223,3)</f>
        <v>23.82</v>
      </c>
    </row>
    <row r="224" spans="1:12">
      <c r="A224" s="23">
        <f t="shared" ca="1" si="3"/>
        <v>45951</v>
      </c>
      <c r="B224" cm="1">
        <f t="array" aca="1" ref="B224" ca="1">[1]!s_west_netprofit($B$1,YEAR($A224),$A224,180,1000000)</f>
        <v>408.18378899999999</v>
      </c>
      <c r="C224" cm="1">
        <f t="array" aca="1" ref="C224" ca="1">[1]!s_west_eps($B$1,YEAR($A224),$A224,180)</f>
        <v>0.4677</v>
      </c>
      <c r="D224" cm="1">
        <f t="array" aca="1" ref="D224" ca="1">[1]!s_west_instnum_np($B$1,YEAR($A224),$A224,180)</f>
        <v>19</v>
      </c>
      <c r="E224" cm="1">
        <f t="array" aca="1" ref="E224" ca="1">[1]!s_west_stdnetprofit($B$1,YEAR($A224),$A224,180,1000000)</f>
        <v>44.124637</v>
      </c>
      <c r="F224" cm="1">
        <f t="array" aca="1" ref="F224" ca="1">[1]!s_west_mediannetprofit($B$1,YEAR($A224),$A224,180,1000000)</f>
        <v>419</v>
      </c>
      <c r="G224" cm="1">
        <f t="array" aca="1" ref="G224" ca="1">[1]!s_west_netprofit($B$1,YEAR($A224)+1,$A224,180,1000000)</f>
        <v>66.908737000000002</v>
      </c>
      <c r="H224" cm="1">
        <f t="array" aca="1" ref="H224" ca="1">[1]!s_west_eps($B$1,YEAR($A224)+1,$A224,180)</f>
        <v>7.6700000000000004E-2</v>
      </c>
      <c r="I224" cm="1">
        <f t="array" aca="1" ref="I224" ca="1">[1]!s_west_instnum_np($B$1,YEAR($A224)+1,$A224,180)</f>
        <v>19</v>
      </c>
      <c r="J224" cm="1">
        <f t="array" aca="1" ref="J224" ca="1">[1]!s_west_stdnetprofit($B$1,YEAR($A224)+1,$A224,180,1000000)</f>
        <v>34.501235000000001</v>
      </c>
      <c r="K224" cm="1">
        <f t="array" aca="1" ref="K224" ca="1">[1]!s_west_mediannetprofit($B$1,YEAR($A223)+1,$A223,180,1000000)</f>
        <v>59.46</v>
      </c>
      <c r="L224" cm="1">
        <f t="array" aca="1" ref="L224" ca="1">[1]!s_dq_close($B$1,$A224,3)</f>
        <v>24</v>
      </c>
    </row>
    <row r="225" spans="1:12">
      <c r="A225" s="23">
        <f t="shared" ca="1" si="3"/>
        <v>45950</v>
      </c>
      <c r="B225" cm="1">
        <f t="array" aca="1" ref="B225" ca="1">[1]!s_west_netprofit($B$1,YEAR($A225),$A225,180,1000000)</f>
        <v>408.18378899999999</v>
      </c>
      <c r="C225" cm="1">
        <f t="array" aca="1" ref="C225" ca="1">[1]!s_west_eps($B$1,YEAR($A225),$A225,180)</f>
        <v>0.4677</v>
      </c>
      <c r="D225" cm="1">
        <f t="array" aca="1" ref="D225" ca="1">[1]!s_west_instnum_np($B$1,YEAR($A225),$A225,180)</f>
        <v>19</v>
      </c>
      <c r="E225" cm="1">
        <f t="array" aca="1" ref="E225" ca="1">[1]!s_west_stdnetprofit($B$1,YEAR($A225),$A225,180,1000000)</f>
        <v>44.124637</v>
      </c>
      <c r="F225" cm="1">
        <f t="array" aca="1" ref="F225" ca="1">[1]!s_west_mediannetprofit($B$1,YEAR($A225),$A225,180,1000000)</f>
        <v>419</v>
      </c>
      <c r="G225" cm="1">
        <f t="array" aca="1" ref="G225" ca="1">[1]!s_west_netprofit($B$1,YEAR($A225)+1,$A225,180,1000000)</f>
        <v>66.908737000000002</v>
      </c>
      <c r="H225" cm="1">
        <f t="array" aca="1" ref="H225" ca="1">[1]!s_west_eps($B$1,YEAR($A225)+1,$A225,180)</f>
        <v>7.6700000000000004E-2</v>
      </c>
      <c r="I225" cm="1">
        <f t="array" aca="1" ref="I225" ca="1">[1]!s_west_instnum_np($B$1,YEAR($A225)+1,$A225,180)</f>
        <v>19</v>
      </c>
      <c r="J225" cm="1">
        <f t="array" aca="1" ref="J225" ca="1">[1]!s_west_stdnetprofit($B$1,YEAR($A225)+1,$A225,180,1000000)</f>
        <v>34.501235000000001</v>
      </c>
      <c r="K225" cm="1">
        <f t="array" aca="1" ref="K225" ca="1">[1]!s_west_mediannetprofit($B$1,YEAR($A224)+1,$A224,180,1000000)</f>
        <v>59.46</v>
      </c>
      <c r="L225" cm="1">
        <f t="array" aca="1" ref="L225" ca="1">[1]!s_dq_close($B$1,$A225,3)</f>
        <v>23.8</v>
      </c>
    </row>
    <row r="226" spans="1:12">
      <c r="A226" s="23">
        <f t="shared" ca="1" si="3"/>
        <v>45949</v>
      </c>
      <c r="B226" cm="1">
        <f t="array" aca="1" ref="B226" ca="1">[1]!s_west_netprofit($B$1,YEAR($A226),$A226,180,1000000)</f>
        <v>408.18378899999999</v>
      </c>
      <c r="C226" cm="1">
        <f t="array" aca="1" ref="C226" ca="1">[1]!s_west_eps($B$1,YEAR($A226),$A226,180)</f>
        <v>0.4677</v>
      </c>
      <c r="D226" cm="1">
        <f t="array" aca="1" ref="D226" ca="1">[1]!s_west_instnum_np($B$1,YEAR($A226),$A226,180)</f>
        <v>19</v>
      </c>
      <c r="E226" cm="1">
        <f t="array" aca="1" ref="E226" ca="1">[1]!s_west_stdnetprofit($B$1,YEAR($A226),$A226,180,1000000)</f>
        <v>44.124637</v>
      </c>
      <c r="F226" cm="1">
        <f t="array" aca="1" ref="F226" ca="1">[1]!s_west_mediannetprofit($B$1,YEAR($A226),$A226,180,1000000)</f>
        <v>419</v>
      </c>
      <c r="G226" cm="1">
        <f t="array" aca="1" ref="G226" ca="1">[1]!s_west_netprofit($B$1,YEAR($A226)+1,$A226,180,1000000)</f>
        <v>66.908737000000002</v>
      </c>
      <c r="H226" cm="1">
        <f t="array" aca="1" ref="H226" ca="1">[1]!s_west_eps($B$1,YEAR($A226)+1,$A226,180)</f>
        <v>7.6700000000000004E-2</v>
      </c>
      <c r="I226" cm="1">
        <f t="array" aca="1" ref="I226" ca="1">[1]!s_west_instnum_np($B$1,YEAR($A226)+1,$A226,180)</f>
        <v>19</v>
      </c>
      <c r="J226" cm="1">
        <f t="array" aca="1" ref="J226" ca="1">[1]!s_west_stdnetprofit($B$1,YEAR($A226)+1,$A226,180,1000000)</f>
        <v>34.501235000000001</v>
      </c>
      <c r="K226" cm="1">
        <f t="array" aca="1" ref="K226" ca="1">[1]!s_west_mediannetprofit($B$1,YEAR($A225)+1,$A225,180,1000000)</f>
        <v>59.46</v>
      </c>
      <c r="L226" cm="1">
        <f t="array" aca="1" ref="L226" ca="1">[1]!s_dq_close($B$1,$A226,3)</f>
        <v>23.76</v>
      </c>
    </row>
    <row r="227" spans="1:12">
      <c r="A227" s="23">
        <f t="shared" ca="1" si="3"/>
        <v>45948</v>
      </c>
      <c r="B227" cm="1">
        <f t="array" aca="1" ref="B227" ca="1">[1]!s_west_netprofit($B$1,YEAR($A227),$A227,180,1000000)</f>
        <v>408.18378899999999</v>
      </c>
      <c r="C227" cm="1">
        <f t="array" aca="1" ref="C227" ca="1">[1]!s_west_eps($B$1,YEAR($A227),$A227,180)</f>
        <v>0.4677</v>
      </c>
      <c r="D227" cm="1">
        <f t="array" aca="1" ref="D227" ca="1">[1]!s_west_instnum_np($B$1,YEAR($A227),$A227,180)</f>
        <v>19</v>
      </c>
      <c r="E227" cm="1">
        <f t="array" aca="1" ref="E227" ca="1">[1]!s_west_stdnetprofit($B$1,YEAR($A227),$A227,180,1000000)</f>
        <v>44.124637</v>
      </c>
      <c r="F227" cm="1">
        <f t="array" aca="1" ref="F227" ca="1">[1]!s_west_mediannetprofit($B$1,YEAR($A227),$A227,180,1000000)</f>
        <v>419</v>
      </c>
      <c r="G227" cm="1">
        <f t="array" aca="1" ref="G227" ca="1">[1]!s_west_netprofit($B$1,YEAR($A227)+1,$A227,180,1000000)</f>
        <v>66.908737000000002</v>
      </c>
      <c r="H227" cm="1">
        <f t="array" aca="1" ref="H227" ca="1">[1]!s_west_eps($B$1,YEAR($A227)+1,$A227,180)</f>
        <v>7.6700000000000004E-2</v>
      </c>
      <c r="I227" cm="1">
        <f t="array" aca="1" ref="I227" ca="1">[1]!s_west_instnum_np($B$1,YEAR($A227)+1,$A227,180)</f>
        <v>19</v>
      </c>
      <c r="J227" cm="1">
        <f t="array" aca="1" ref="J227" ca="1">[1]!s_west_stdnetprofit($B$1,YEAR($A227)+1,$A227,180,1000000)</f>
        <v>34.501235000000001</v>
      </c>
      <c r="K227" cm="1">
        <f t="array" aca="1" ref="K227" ca="1">[1]!s_west_mediannetprofit($B$1,YEAR($A226)+1,$A226,180,1000000)</f>
        <v>59.46</v>
      </c>
      <c r="L227" cm="1">
        <f t="array" aca="1" ref="L227" ca="1">[1]!s_dq_close($B$1,$A227,3)</f>
        <v>23.76</v>
      </c>
    </row>
    <row r="228" spans="1:12">
      <c r="A228" s="23">
        <f t="shared" ca="1" si="3"/>
        <v>45947</v>
      </c>
      <c r="B228" cm="1">
        <f t="array" aca="1" ref="B228" ca="1">[1]!s_west_netprofit($B$1,YEAR($A228),$A228,180,1000000)</f>
        <v>408.18378899999999</v>
      </c>
      <c r="C228" cm="1">
        <f t="array" aca="1" ref="C228" ca="1">[1]!s_west_eps($B$1,YEAR($A228),$A228,180)</f>
        <v>0.4677</v>
      </c>
      <c r="D228" cm="1">
        <f t="array" aca="1" ref="D228" ca="1">[1]!s_west_instnum_np($B$1,YEAR($A228),$A228,180)</f>
        <v>19</v>
      </c>
      <c r="E228" cm="1">
        <f t="array" aca="1" ref="E228" ca="1">[1]!s_west_stdnetprofit($B$1,YEAR($A228),$A228,180,1000000)</f>
        <v>44.124637</v>
      </c>
      <c r="F228" cm="1">
        <f t="array" aca="1" ref="F228" ca="1">[1]!s_west_mediannetprofit($B$1,YEAR($A228),$A228,180,1000000)</f>
        <v>419</v>
      </c>
      <c r="G228" cm="1">
        <f t="array" aca="1" ref="G228" ca="1">[1]!s_west_netprofit($B$1,YEAR($A228)+1,$A228,180,1000000)</f>
        <v>66.908737000000002</v>
      </c>
      <c r="H228" cm="1">
        <f t="array" aca="1" ref="H228" ca="1">[1]!s_west_eps($B$1,YEAR($A228)+1,$A228,180)</f>
        <v>7.6700000000000004E-2</v>
      </c>
      <c r="I228" cm="1">
        <f t="array" aca="1" ref="I228" ca="1">[1]!s_west_instnum_np($B$1,YEAR($A228)+1,$A228,180)</f>
        <v>19</v>
      </c>
      <c r="J228" cm="1">
        <f t="array" aca="1" ref="J228" ca="1">[1]!s_west_stdnetprofit($B$1,YEAR($A228)+1,$A228,180,1000000)</f>
        <v>34.501235000000001</v>
      </c>
      <c r="K228" cm="1">
        <f t="array" aca="1" ref="K228" ca="1">[1]!s_west_mediannetprofit($B$1,YEAR($A227)+1,$A227,180,1000000)</f>
        <v>59.46</v>
      </c>
      <c r="L228" cm="1">
        <f t="array" aca="1" ref="L228" ca="1">[1]!s_dq_close($B$1,$A228,3)</f>
        <v>23.76</v>
      </c>
    </row>
    <row r="229" spans="1:12">
      <c r="A229" s="23">
        <f t="shared" ca="1" si="3"/>
        <v>45946</v>
      </c>
      <c r="B229" cm="1">
        <f t="array" aca="1" ref="B229" ca="1">[1]!s_west_netprofit($B$1,YEAR($A229),$A229,180,1000000)</f>
        <v>408.18378899999999</v>
      </c>
      <c r="C229" cm="1">
        <f t="array" aca="1" ref="C229" ca="1">[1]!s_west_eps($B$1,YEAR($A229),$A229,180)</f>
        <v>0.4677</v>
      </c>
      <c r="D229" cm="1">
        <f t="array" aca="1" ref="D229" ca="1">[1]!s_west_instnum_np($B$1,YEAR($A229),$A229,180)</f>
        <v>19</v>
      </c>
      <c r="E229" cm="1">
        <f t="array" aca="1" ref="E229" ca="1">[1]!s_west_stdnetprofit($B$1,YEAR($A229),$A229,180,1000000)</f>
        <v>44.124637</v>
      </c>
      <c r="F229" cm="1">
        <f t="array" aca="1" ref="F229" ca="1">[1]!s_west_mediannetprofit($B$1,YEAR($A229),$A229,180,1000000)</f>
        <v>419</v>
      </c>
      <c r="G229" cm="1">
        <f t="array" aca="1" ref="G229" ca="1">[1]!s_west_netprofit($B$1,YEAR($A229)+1,$A229,180,1000000)</f>
        <v>66.908737000000002</v>
      </c>
      <c r="H229" cm="1">
        <f t="array" aca="1" ref="H229" ca="1">[1]!s_west_eps($B$1,YEAR($A229)+1,$A229,180)</f>
        <v>7.6700000000000004E-2</v>
      </c>
      <c r="I229" cm="1">
        <f t="array" aca="1" ref="I229" ca="1">[1]!s_west_instnum_np($B$1,YEAR($A229)+1,$A229,180)</f>
        <v>19</v>
      </c>
      <c r="J229" cm="1">
        <f t="array" aca="1" ref="J229" ca="1">[1]!s_west_stdnetprofit($B$1,YEAR($A229)+1,$A229,180,1000000)</f>
        <v>34.501235000000001</v>
      </c>
      <c r="K229" cm="1">
        <f t="array" aca="1" ref="K229" ca="1">[1]!s_west_mediannetprofit($B$1,YEAR($A228)+1,$A228,180,1000000)</f>
        <v>59.46</v>
      </c>
      <c r="L229" cm="1">
        <f t="array" aca="1" ref="L229" ca="1">[1]!s_dq_close($B$1,$A229,3)</f>
        <v>24.46</v>
      </c>
    </row>
    <row r="230" spans="1:12">
      <c r="A230" s="23">
        <f t="shared" ca="1" si="3"/>
        <v>45945</v>
      </c>
      <c r="B230" cm="1">
        <f t="array" aca="1" ref="B230" ca="1">[1]!s_west_netprofit($B$1,YEAR($A230),$A230,180,1000000)</f>
        <v>408.18378899999999</v>
      </c>
      <c r="C230" cm="1">
        <f t="array" aca="1" ref="C230" ca="1">[1]!s_west_eps($B$1,YEAR($A230),$A230,180)</f>
        <v>0.4677</v>
      </c>
      <c r="D230" cm="1">
        <f t="array" aca="1" ref="D230" ca="1">[1]!s_west_instnum_np($B$1,YEAR($A230),$A230,180)</f>
        <v>19</v>
      </c>
      <c r="E230" cm="1">
        <f t="array" aca="1" ref="E230" ca="1">[1]!s_west_stdnetprofit($B$1,YEAR($A230),$A230,180,1000000)</f>
        <v>44.124637</v>
      </c>
      <c r="F230" cm="1">
        <f t="array" aca="1" ref="F230" ca="1">[1]!s_west_mediannetprofit($B$1,YEAR($A230),$A230,180,1000000)</f>
        <v>419</v>
      </c>
      <c r="G230" cm="1">
        <f t="array" aca="1" ref="G230" ca="1">[1]!s_west_netprofit($B$1,YEAR($A230)+1,$A230,180,1000000)</f>
        <v>66.908737000000002</v>
      </c>
      <c r="H230" cm="1">
        <f t="array" aca="1" ref="H230" ca="1">[1]!s_west_eps($B$1,YEAR($A230)+1,$A230,180)</f>
        <v>7.6700000000000004E-2</v>
      </c>
      <c r="I230" cm="1">
        <f t="array" aca="1" ref="I230" ca="1">[1]!s_west_instnum_np($B$1,YEAR($A230)+1,$A230,180)</f>
        <v>19</v>
      </c>
      <c r="J230" cm="1">
        <f t="array" aca="1" ref="J230" ca="1">[1]!s_west_stdnetprofit($B$1,YEAR($A230)+1,$A230,180,1000000)</f>
        <v>34.501235000000001</v>
      </c>
      <c r="K230" cm="1">
        <f t="array" aca="1" ref="K230" ca="1">[1]!s_west_mediannetprofit($B$1,YEAR($A229)+1,$A229,180,1000000)</f>
        <v>59.46</v>
      </c>
      <c r="L230" cm="1">
        <f t="array" aca="1" ref="L230" ca="1">[1]!s_dq_close($B$1,$A230,3)</f>
        <v>24.2</v>
      </c>
    </row>
    <row r="231" spans="1:12">
      <c r="A231" s="23">
        <f t="shared" ca="1" si="3"/>
        <v>45944</v>
      </c>
      <c r="B231" cm="1">
        <f t="array" aca="1" ref="B231" ca="1">[1]!s_west_netprofit($B$1,YEAR($A231),$A231,180,1000000)</f>
        <v>408.18378899999999</v>
      </c>
      <c r="C231" cm="1">
        <f t="array" aca="1" ref="C231" ca="1">[1]!s_west_eps($B$1,YEAR($A231),$A231,180)</f>
        <v>0.4677</v>
      </c>
      <c r="D231" cm="1">
        <f t="array" aca="1" ref="D231" ca="1">[1]!s_west_instnum_np($B$1,YEAR($A231),$A231,180)</f>
        <v>19</v>
      </c>
      <c r="E231" cm="1">
        <f t="array" aca="1" ref="E231" ca="1">[1]!s_west_stdnetprofit($B$1,YEAR($A231),$A231,180,1000000)</f>
        <v>44.124637</v>
      </c>
      <c r="F231" cm="1">
        <f t="array" aca="1" ref="F231" ca="1">[1]!s_west_mediannetprofit($B$1,YEAR($A231),$A231,180,1000000)</f>
        <v>419</v>
      </c>
      <c r="G231" cm="1">
        <f t="array" aca="1" ref="G231" ca="1">[1]!s_west_netprofit($B$1,YEAR($A231)+1,$A231,180,1000000)</f>
        <v>66.908737000000002</v>
      </c>
      <c r="H231" cm="1">
        <f t="array" aca="1" ref="H231" ca="1">[1]!s_west_eps($B$1,YEAR($A231)+1,$A231,180)</f>
        <v>7.6700000000000004E-2</v>
      </c>
      <c r="I231" cm="1">
        <f t="array" aca="1" ref="I231" ca="1">[1]!s_west_instnum_np($B$1,YEAR($A231)+1,$A231,180)</f>
        <v>19</v>
      </c>
      <c r="J231" cm="1">
        <f t="array" aca="1" ref="J231" ca="1">[1]!s_west_stdnetprofit($B$1,YEAR($A231)+1,$A231,180,1000000)</f>
        <v>34.501235000000001</v>
      </c>
      <c r="K231" cm="1">
        <f t="array" aca="1" ref="K231" ca="1">[1]!s_west_mediannetprofit($B$1,YEAR($A230)+1,$A230,180,1000000)</f>
        <v>59.46</v>
      </c>
      <c r="L231" cm="1">
        <f t="array" aca="1" ref="L231" ca="1">[1]!s_dq_close($B$1,$A231,3)</f>
        <v>23.66</v>
      </c>
    </row>
    <row r="232" spans="1:12">
      <c r="A232" s="23">
        <f t="shared" ca="1" si="3"/>
        <v>45943</v>
      </c>
      <c r="B232" cm="1">
        <f t="array" aca="1" ref="B232" ca="1">[1]!s_west_netprofit($B$1,YEAR($A232),$A232,180,1000000)</f>
        <v>408.18378899999999</v>
      </c>
      <c r="C232" cm="1">
        <f t="array" aca="1" ref="C232" ca="1">[1]!s_west_eps($B$1,YEAR($A232),$A232,180)</f>
        <v>0.4677</v>
      </c>
      <c r="D232" cm="1">
        <f t="array" aca="1" ref="D232" ca="1">[1]!s_west_instnum_np($B$1,YEAR($A232),$A232,180)</f>
        <v>19</v>
      </c>
      <c r="E232" cm="1">
        <f t="array" aca="1" ref="E232" ca="1">[1]!s_west_stdnetprofit($B$1,YEAR($A232),$A232,180,1000000)</f>
        <v>44.124637</v>
      </c>
      <c r="F232" cm="1">
        <f t="array" aca="1" ref="F232" ca="1">[1]!s_west_mediannetprofit($B$1,YEAR($A232),$A232,180,1000000)</f>
        <v>419</v>
      </c>
      <c r="G232" cm="1">
        <f t="array" aca="1" ref="G232" ca="1">[1]!s_west_netprofit($B$1,YEAR($A232)+1,$A232,180,1000000)</f>
        <v>66.908737000000002</v>
      </c>
      <c r="H232" cm="1">
        <f t="array" aca="1" ref="H232" ca="1">[1]!s_west_eps($B$1,YEAR($A232)+1,$A232,180)</f>
        <v>7.6700000000000004E-2</v>
      </c>
      <c r="I232" cm="1">
        <f t="array" aca="1" ref="I232" ca="1">[1]!s_west_instnum_np($B$1,YEAR($A232)+1,$A232,180)</f>
        <v>19</v>
      </c>
      <c r="J232" cm="1">
        <f t="array" aca="1" ref="J232" ca="1">[1]!s_west_stdnetprofit($B$1,YEAR($A232)+1,$A232,180,1000000)</f>
        <v>34.501235000000001</v>
      </c>
      <c r="K232" cm="1">
        <f t="array" aca="1" ref="K232" ca="1">[1]!s_west_mediannetprofit($B$1,YEAR($A231)+1,$A231,180,1000000)</f>
        <v>59.46</v>
      </c>
      <c r="L232" cm="1">
        <f t="array" aca="1" ref="L232" ca="1">[1]!s_dq_close($B$1,$A232,3)</f>
        <v>24.28</v>
      </c>
    </row>
    <row r="233" spans="1:12">
      <c r="A233" s="23">
        <f t="shared" ca="1" si="3"/>
        <v>45942</v>
      </c>
      <c r="B233" cm="1">
        <f t="array" aca="1" ref="B233" ca="1">[1]!s_west_netprofit($B$1,YEAR($A233),$A233,180,1000000)</f>
        <v>408.18378899999999</v>
      </c>
      <c r="C233" cm="1">
        <f t="array" aca="1" ref="C233" ca="1">[1]!s_west_eps($B$1,YEAR($A233),$A233,180)</f>
        <v>0.4677</v>
      </c>
      <c r="D233" cm="1">
        <f t="array" aca="1" ref="D233" ca="1">[1]!s_west_instnum_np($B$1,YEAR($A233),$A233,180)</f>
        <v>19</v>
      </c>
      <c r="E233" cm="1">
        <f t="array" aca="1" ref="E233" ca="1">[1]!s_west_stdnetprofit($B$1,YEAR($A233),$A233,180,1000000)</f>
        <v>44.124637</v>
      </c>
      <c r="F233" cm="1">
        <f t="array" aca="1" ref="F233" ca="1">[1]!s_west_mediannetprofit($B$1,YEAR($A233),$A233,180,1000000)</f>
        <v>419</v>
      </c>
      <c r="G233" cm="1">
        <f t="array" aca="1" ref="G233" ca="1">[1]!s_west_netprofit($B$1,YEAR($A233)+1,$A233,180,1000000)</f>
        <v>66.908737000000002</v>
      </c>
      <c r="H233" cm="1">
        <f t="array" aca="1" ref="H233" ca="1">[1]!s_west_eps($B$1,YEAR($A233)+1,$A233,180)</f>
        <v>7.6700000000000004E-2</v>
      </c>
      <c r="I233" cm="1">
        <f t="array" aca="1" ref="I233" ca="1">[1]!s_west_instnum_np($B$1,YEAR($A233)+1,$A233,180)</f>
        <v>19</v>
      </c>
      <c r="J233" cm="1">
        <f t="array" aca="1" ref="J233" ca="1">[1]!s_west_stdnetprofit($B$1,YEAR($A233)+1,$A233,180,1000000)</f>
        <v>34.501235000000001</v>
      </c>
      <c r="K233" cm="1">
        <f t="array" aca="1" ref="K233" ca="1">[1]!s_west_mediannetprofit($B$1,YEAR($A232)+1,$A232,180,1000000)</f>
        <v>59.46</v>
      </c>
      <c r="L233" cm="1">
        <f t="array" aca="1" ref="L233" ca="1">[1]!s_dq_close($B$1,$A233,3)</f>
        <v>24.74</v>
      </c>
    </row>
    <row r="234" spans="1:12">
      <c r="A234" s="23">
        <f t="shared" ca="1" si="3"/>
        <v>45941</v>
      </c>
      <c r="B234" cm="1">
        <f t="array" aca="1" ref="B234" ca="1">[1]!s_west_netprofit($B$1,YEAR($A234),$A234,180,1000000)</f>
        <v>408.18378899999999</v>
      </c>
      <c r="C234" cm="1">
        <f t="array" aca="1" ref="C234" ca="1">[1]!s_west_eps($B$1,YEAR($A234),$A234,180)</f>
        <v>0.4677</v>
      </c>
      <c r="D234" cm="1">
        <f t="array" aca="1" ref="D234" ca="1">[1]!s_west_instnum_np($B$1,YEAR($A234),$A234,180)</f>
        <v>19</v>
      </c>
      <c r="E234" cm="1">
        <f t="array" aca="1" ref="E234" ca="1">[1]!s_west_stdnetprofit($B$1,YEAR($A234),$A234,180,1000000)</f>
        <v>44.124637</v>
      </c>
      <c r="F234" cm="1">
        <f t="array" aca="1" ref="F234" ca="1">[1]!s_west_mediannetprofit($B$1,YEAR($A234),$A234,180,1000000)</f>
        <v>419</v>
      </c>
      <c r="G234" cm="1">
        <f t="array" aca="1" ref="G234" ca="1">[1]!s_west_netprofit($B$1,YEAR($A234)+1,$A234,180,1000000)</f>
        <v>66.908737000000002</v>
      </c>
      <c r="H234" cm="1">
        <f t="array" aca="1" ref="H234" ca="1">[1]!s_west_eps($B$1,YEAR($A234)+1,$A234,180)</f>
        <v>7.6700000000000004E-2</v>
      </c>
      <c r="I234" cm="1">
        <f t="array" aca="1" ref="I234" ca="1">[1]!s_west_instnum_np($B$1,YEAR($A234)+1,$A234,180)</f>
        <v>19</v>
      </c>
      <c r="J234" cm="1">
        <f t="array" aca="1" ref="J234" ca="1">[1]!s_west_stdnetprofit($B$1,YEAR($A234)+1,$A234,180,1000000)</f>
        <v>34.501235000000001</v>
      </c>
      <c r="K234" cm="1">
        <f t="array" aca="1" ref="K234" ca="1">[1]!s_west_mediannetprofit($B$1,YEAR($A233)+1,$A233,180,1000000)</f>
        <v>59.46</v>
      </c>
      <c r="L234" cm="1">
        <f t="array" aca="1" ref="L234" ca="1">[1]!s_dq_close($B$1,$A234,3)</f>
        <v>24.74</v>
      </c>
    </row>
    <row r="235" spans="1:12">
      <c r="A235" s="23">
        <f t="shared" ca="1" si="3"/>
        <v>45940</v>
      </c>
      <c r="B235" cm="1">
        <f t="array" aca="1" ref="B235" ca="1">[1]!s_west_netprofit($B$1,YEAR($A235),$A235,180,1000000)</f>
        <v>408.18378899999999</v>
      </c>
      <c r="C235" cm="1">
        <f t="array" aca="1" ref="C235" ca="1">[1]!s_west_eps($B$1,YEAR($A235),$A235,180)</f>
        <v>0.4677</v>
      </c>
      <c r="D235" cm="1">
        <f t="array" aca="1" ref="D235" ca="1">[1]!s_west_instnum_np($B$1,YEAR($A235),$A235,180)</f>
        <v>19</v>
      </c>
      <c r="E235" cm="1">
        <f t="array" aca="1" ref="E235" ca="1">[1]!s_west_stdnetprofit($B$1,YEAR($A235),$A235,180,1000000)</f>
        <v>44.124637</v>
      </c>
      <c r="F235" cm="1">
        <f t="array" aca="1" ref="F235" ca="1">[1]!s_west_mediannetprofit($B$1,YEAR($A235),$A235,180,1000000)</f>
        <v>419</v>
      </c>
      <c r="G235" cm="1">
        <f t="array" aca="1" ref="G235" ca="1">[1]!s_west_netprofit($B$1,YEAR($A235)+1,$A235,180,1000000)</f>
        <v>66.908737000000002</v>
      </c>
      <c r="H235" cm="1">
        <f t="array" aca="1" ref="H235" ca="1">[1]!s_west_eps($B$1,YEAR($A235)+1,$A235,180)</f>
        <v>7.6700000000000004E-2</v>
      </c>
      <c r="I235" cm="1">
        <f t="array" aca="1" ref="I235" ca="1">[1]!s_west_instnum_np($B$1,YEAR($A235)+1,$A235,180)</f>
        <v>19</v>
      </c>
      <c r="J235" cm="1">
        <f t="array" aca="1" ref="J235" ca="1">[1]!s_west_stdnetprofit($B$1,YEAR($A235)+1,$A235,180,1000000)</f>
        <v>34.501235000000001</v>
      </c>
      <c r="K235" cm="1">
        <f t="array" aca="1" ref="K235" ca="1">[1]!s_west_mediannetprofit($B$1,YEAR($A234)+1,$A234,180,1000000)</f>
        <v>59.46</v>
      </c>
      <c r="L235" cm="1">
        <f t="array" aca="1" ref="L235" ca="1">[1]!s_dq_close($B$1,$A235,3)</f>
        <v>24.74</v>
      </c>
    </row>
    <row r="236" spans="1:12">
      <c r="A236" s="23">
        <f t="shared" ca="1" si="3"/>
        <v>45939</v>
      </c>
      <c r="B236" cm="1">
        <f t="array" aca="1" ref="B236" ca="1">[1]!s_west_netprofit($B$1,YEAR($A236),$A236,180,1000000)</f>
        <v>408.18378899999999</v>
      </c>
      <c r="C236" cm="1">
        <f t="array" aca="1" ref="C236" ca="1">[1]!s_west_eps($B$1,YEAR($A236),$A236,180)</f>
        <v>0.4677</v>
      </c>
      <c r="D236" cm="1">
        <f t="array" aca="1" ref="D236" ca="1">[1]!s_west_instnum_np($B$1,YEAR($A236),$A236,180)</f>
        <v>19</v>
      </c>
      <c r="E236" cm="1">
        <f t="array" aca="1" ref="E236" ca="1">[1]!s_west_stdnetprofit($B$1,YEAR($A236),$A236,180,1000000)</f>
        <v>44.124637</v>
      </c>
      <c r="F236" cm="1">
        <f t="array" aca="1" ref="F236" ca="1">[1]!s_west_mediannetprofit($B$1,YEAR($A236),$A236,180,1000000)</f>
        <v>419</v>
      </c>
      <c r="G236" cm="1">
        <f t="array" aca="1" ref="G236" ca="1">[1]!s_west_netprofit($B$1,YEAR($A236)+1,$A236,180,1000000)</f>
        <v>66.908737000000002</v>
      </c>
      <c r="H236" cm="1">
        <f t="array" aca="1" ref="H236" ca="1">[1]!s_west_eps($B$1,YEAR($A236)+1,$A236,180)</f>
        <v>7.6700000000000004E-2</v>
      </c>
      <c r="I236" cm="1">
        <f t="array" aca="1" ref="I236" ca="1">[1]!s_west_instnum_np($B$1,YEAR($A236)+1,$A236,180)</f>
        <v>19</v>
      </c>
      <c r="J236" cm="1">
        <f t="array" aca="1" ref="J236" ca="1">[1]!s_west_stdnetprofit($B$1,YEAR($A236)+1,$A236,180,1000000)</f>
        <v>34.501235000000001</v>
      </c>
      <c r="K236" cm="1">
        <f t="array" aca="1" ref="K236" ca="1">[1]!s_west_mediannetprofit($B$1,YEAR($A235)+1,$A235,180,1000000)</f>
        <v>59.46</v>
      </c>
      <c r="L236" cm="1">
        <f t="array" aca="1" ref="L236" ca="1">[1]!s_dq_close($B$1,$A236,3)</f>
        <v>25.4</v>
      </c>
    </row>
    <row r="237" spans="1:12">
      <c r="A237" s="23">
        <f t="shared" ca="1" si="3"/>
        <v>45938</v>
      </c>
      <c r="B237" cm="1">
        <f t="array" aca="1" ref="B237" ca="1">[1]!s_west_netprofit($B$1,YEAR($A237),$A237,180,1000000)</f>
        <v>408.18378899999999</v>
      </c>
      <c r="C237" cm="1">
        <f t="array" aca="1" ref="C237" ca="1">[1]!s_west_eps($B$1,YEAR($A237),$A237,180)</f>
        <v>0.4677</v>
      </c>
      <c r="D237" cm="1">
        <f t="array" aca="1" ref="D237" ca="1">[1]!s_west_instnum_np($B$1,YEAR($A237),$A237,180)</f>
        <v>19</v>
      </c>
      <c r="E237" cm="1">
        <f t="array" aca="1" ref="E237" ca="1">[1]!s_west_stdnetprofit($B$1,YEAR($A237),$A237,180,1000000)</f>
        <v>44.124637</v>
      </c>
      <c r="F237" cm="1">
        <f t="array" aca="1" ref="F237" ca="1">[1]!s_west_mediannetprofit($B$1,YEAR($A237),$A237,180,1000000)</f>
        <v>419</v>
      </c>
      <c r="G237" cm="1">
        <f t="array" aca="1" ref="G237" ca="1">[1]!s_west_netprofit($B$1,YEAR($A237)+1,$A237,180,1000000)</f>
        <v>66.908737000000002</v>
      </c>
      <c r="H237" cm="1">
        <f t="array" aca="1" ref="H237" ca="1">[1]!s_west_eps($B$1,YEAR($A237)+1,$A237,180)</f>
        <v>7.6700000000000004E-2</v>
      </c>
      <c r="I237" cm="1">
        <f t="array" aca="1" ref="I237" ca="1">[1]!s_west_instnum_np($B$1,YEAR($A237)+1,$A237,180)</f>
        <v>19</v>
      </c>
      <c r="J237" cm="1">
        <f t="array" aca="1" ref="J237" ca="1">[1]!s_west_stdnetprofit($B$1,YEAR($A237)+1,$A237,180,1000000)</f>
        <v>34.501235000000001</v>
      </c>
      <c r="K237" cm="1">
        <f t="array" aca="1" ref="K237" ca="1">[1]!s_west_mediannetprofit($B$1,YEAR($A236)+1,$A236,180,1000000)</f>
        <v>59.46</v>
      </c>
      <c r="L237" cm="1">
        <f t="array" aca="1" ref="L237" ca="1">[1]!s_dq_close($B$1,$A237,3)</f>
        <v>25.74</v>
      </c>
    </row>
    <row r="238" spans="1:12">
      <c r="A238" s="23">
        <f t="shared" ca="1" si="3"/>
        <v>45937</v>
      </c>
      <c r="B238" cm="1">
        <f t="array" aca="1" ref="B238" ca="1">[1]!s_west_netprofit($B$1,YEAR($A238),$A238,180,1000000)</f>
        <v>408.18378899999999</v>
      </c>
      <c r="C238" cm="1">
        <f t="array" aca="1" ref="C238" ca="1">[1]!s_west_eps($B$1,YEAR($A238),$A238,180)</f>
        <v>0.4677</v>
      </c>
      <c r="D238" cm="1">
        <f t="array" aca="1" ref="D238" ca="1">[1]!s_west_instnum_np($B$1,YEAR($A238),$A238,180)</f>
        <v>19</v>
      </c>
      <c r="E238" cm="1">
        <f t="array" aca="1" ref="E238" ca="1">[1]!s_west_stdnetprofit($B$1,YEAR($A238),$A238,180,1000000)</f>
        <v>44.124637</v>
      </c>
      <c r="F238" cm="1">
        <f t="array" aca="1" ref="F238" ca="1">[1]!s_west_mediannetprofit($B$1,YEAR($A238),$A238,180,1000000)</f>
        <v>419</v>
      </c>
      <c r="G238" cm="1">
        <f t="array" aca="1" ref="G238" ca="1">[1]!s_west_netprofit($B$1,YEAR($A238)+1,$A238,180,1000000)</f>
        <v>66.908737000000002</v>
      </c>
      <c r="H238" cm="1">
        <f t="array" aca="1" ref="H238" ca="1">[1]!s_west_eps($B$1,YEAR($A238)+1,$A238,180)</f>
        <v>7.6700000000000004E-2</v>
      </c>
      <c r="I238" cm="1">
        <f t="array" aca="1" ref="I238" ca="1">[1]!s_west_instnum_np($B$1,YEAR($A238)+1,$A238,180)</f>
        <v>19</v>
      </c>
      <c r="J238" cm="1">
        <f t="array" aca="1" ref="J238" ca="1">[1]!s_west_stdnetprofit($B$1,YEAR($A238)+1,$A238,180,1000000)</f>
        <v>34.501235000000001</v>
      </c>
      <c r="K238" cm="1">
        <f t="array" aca="1" ref="K238" ca="1">[1]!s_west_mediannetprofit($B$1,YEAR($A237)+1,$A237,180,1000000)</f>
        <v>59.46</v>
      </c>
      <c r="L238" cm="1">
        <f t="array" aca="1" ref="L238" ca="1">[1]!s_dq_close($B$1,$A238,3)</f>
        <v>25.76</v>
      </c>
    </row>
    <row r="239" spans="1:12">
      <c r="A239" s="23">
        <f t="shared" ca="1" si="3"/>
        <v>45936</v>
      </c>
      <c r="B239" cm="1">
        <f t="array" aca="1" ref="B239" ca="1">[1]!s_west_netprofit($B$1,YEAR($A239),$A239,180,1000000)</f>
        <v>408.18378899999999</v>
      </c>
      <c r="C239" cm="1">
        <f t="array" aca="1" ref="C239" ca="1">[1]!s_west_eps($B$1,YEAR($A239),$A239,180)</f>
        <v>0.4677</v>
      </c>
      <c r="D239" cm="1">
        <f t="array" aca="1" ref="D239" ca="1">[1]!s_west_instnum_np($B$1,YEAR($A239),$A239,180)</f>
        <v>19</v>
      </c>
      <c r="E239" cm="1">
        <f t="array" aca="1" ref="E239" ca="1">[1]!s_west_stdnetprofit($B$1,YEAR($A239),$A239,180,1000000)</f>
        <v>44.124637</v>
      </c>
      <c r="F239" cm="1">
        <f t="array" aca="1" ref="F239" ca="1">[1]!s_west_mediannetprofit($B$1,YEAR($A239),$A239,180,1000000)</f>
        <v>419</v>
      </c>
      <c r="G239" cm="1">
        <f t="array" aca="1" ref="G239" ca="1">[1]!s_west_netprofit($B$1,YEAR($A239)+1,$A239,180,1000000)</f>
        <v>66.908737000000002</v>
      </c>
      <c r="H239" cm="1">
        <f t="array" aca="1" ref="H239" ca="1">[1]!s_west_eps($B$1,YEAR($A239)+1,$A239,180)</f>
        <v>7.6700000000000004E-2</v>
      </c>
      <c r="I239" cm="1">
        <f t="array" aca="1" ref="I239" ca="1">[1]!s_west_instnum_np($B$1,YEAR($A239)+1,$A239,180)</f>
        <v>19</v>
      </c>
      <c r="J239" cm="1">
        <f t="array" aca="1" ref="J239" ca="1">[1]!s_west_stdnetprofit($B$1,YEAR($A239)+1,$A239,180,1000000)</f>
        <v>34.501235000000001</v>
      </c>
      <c r="K239" cm="1">
        <f t="array" aca="1" ref="K239" ca="1">[1]!s_west_mediannetprofit($B$1,YEAR($A238)+1,$A238,180,1000000)</f>
        <v>59.46</v>
      </c>
      <c r="L239" cm="1">
        <f t="array" aca="1" ref="L239" ca="1">[1]!s_dq_close($B$1,$A239,3)</f>
        <v>25.76</v>
      </c>
    </row>
    <row r="240" spans="1:12">
      <c r="A240" s="23">
        <f t="shared" ca="1" si="3"/>
        <v>45935</v>
      </c>
      <c r="B240" cm="1">
        <f t="array" aca="1" ref="B240" ca="1">[1]!s_west_netprofit($B$1,YEAR($A240),$A240,180,1000000)</f>
        <v>408.18378899999999</v>
      </c>
      <c r="C240" cm="1">
        <f t="array" aca="1" ref="C240" ca="1">[1]!s_west_eps($B$1,YEAR($A240),$A240,180)</f>
        <v>0.4677</v>
      </c>
      <c r="D240" cm="1">
        <f t="array" aca="1" ref="D240" ca="1">[1]!s_west_instnum_np($B$1,YEAR($A240),$A240,180)</f>
        <v>19</v>
      </c>
      <c r="E240" cm="1">
        <f t="array" aca="1" ref="E240" ca="1">[1]!s_west_stdnetprofit($B$1,YEAR($A240),$A240,180,1000000)</f>
        <v>44.124637</v>
      </c>
      <c r="F240" cm="1">
        <f t="array" aca="1" ref="F240" ca="1">[1]!s_west_mediannetprofit($B$1,YEAR($A240),$A240,180,1000000)</f>
        <v>419</v>
      </c>
      <c r="G240" cm="1">
        <f t="array" aca="1" ref="G240" ca="1">[1]!s_west_netprofit($B$1,YEAR($A240)+1,$A240,180,1000000)</f>
        <v>66.908737000000002</v>
      </c>
      <c r="H240" cm="1">
        <f t="array" aca="1" ref="H240" ca="1">[1]!s_west_eps($B$1,YEAR($A240)+1,$A240,180)</f>
        <v>7.6700000000000004E-2</v>
      </c>
      <c r="I240" cm="1">
        <f t="array" aca="1" ref="I240" ca="1">[1]!s_west_instnum_np($B$1,YEAR($A240)+1,$A240,180)</f>
        <v>19</v>
      </c>
      <c r="J240" cm="1">
        <f t="array" aca="1" ref="J240" ca="1">[1]!s_west_stdnetprofit($B$1,YEAR($A240)+1,$A240,180,1000000)</f>
        <v>34.501235000000001</v>
      </c>
      <c r="K240" cm="1">
        <f t="array" aca="1" ref="K240" ca="1">[1]!s_west_mediannetprofit($B$1,YEAR($A239)+1,$A239,180,1000000)</f>
        <v>59.46</v>
      </c>
      <c r="L240" cm="1">
        <f t="array" aca="1" ref="L240" ca="1">[1]!s_dq_close($B$1,$A240,3)</f>
        <v>25.64</v>
      </c>
    </row>
    <row r="241" spans="1:12">
      <c r="A241" s="23">
        <f t="shared" ca="1" si="3"/>
        <v>45934</v>
      </c>
      <c r="B241" cm="1">
        <f t="array" aca="1" ref="B241" ca="1">[1]!s_west_netprofit($B$1,YEAR($A241),$A241,180,1000000)</f>
        <v>408.18378899999999</v>
      </c>
      <c r="C241" cm="1">
        <f t="array" aca="1" ref="C241" ca="1">[1]!s_west_eps($B$1,YEAR($A241),$A241,180)</f>
        <v>0.4677</v>
      </c>
      <c r="D241" cm="1">
        <f t="array" aca="1" ref="D241" ca="1">[1]!s_west_instnum_np($B$1,YEAR($A241),$A241,180)</f>
        <v>19</v>
      </c>
      <c r="E241" cm="1">
        <f t="array" aca="1" ref="E241" ca="1">[1]!s_west_stdnetprofit($B$1,YEAR($A241),$A241,180,1000000)</f>
        <v>44.124637</v>
      </c>
      <c r="F241" cm="1">
        <f t="array" aca="1" ref="F241" ca="1">[1]!s_west_mediannetprofit($B$1,YEAR($A241),$A241,180,1000000)</f>
        <v>419</v>
      </c>
      <c r="G241" cm="1">
        <f t="array" aca="1" ref="G241" ca="1">[1]!s_west_netprofit($B$1,YEAR($A241)+1,$A241,180,1000000)</f>
        <v>66.908737000000002</v>
      </c>
      <c r="H241" cm="1">
        <f t="array" aca="1" ref="H241" ca="1">[1]!s_west_eps($B$1,YEAR($A241)+1,$A241,180)</f>
        <v>7.6700000000000004E-2</v>
      </c>
      <c r="I241" cm="1">
        <f t="array" aca="1" ref="I241" ca="1">[1]!s_west_instnum_np($B$1,YEAR($A241)+1,$A241,180)</f>
        <v>19</v>
      </c>
      <c r="J241" cm="1">
        <f t="array" aca="1" ref="J241" ca="1">[1]!s_west_stdnetprofit($B$1,YEAR($A241)+1,$A241,180,1000000)</f>
        <v>34.501235000000001</v>
      </c>
      <c r="K241" cm="1">
        <f t="array" aca="1" ref="K241" ca="1">[1]!s_west_mediannetprofit($B$1,YEAR($A240)+1,$A240,180,1000000)</f>
        <v>59.46</v>
      </c>
      <c r="L241" cm="1">
        <f t="array" aca="1" ref="L241" ca="1">[1]!s_dq_close($B$1,$A241,3)</f>
        <v>25.64</v>
      </c>
    </row>
    <row r="242" spans="1:12">
      <c r="A242" s="23">
        <f t="shared" ca="1" si="3"/>
        <v>45933</v>
      </c>
      <c r="B242" cm="1">
        <f t="array" aca="1" ref="B242" ca="1">[1]!s_west_netprofit($B$1,YEAR($A242),$A242,180,1000000)</f>
        <v>408.18378899999999</v>
      </c>
      <c r="C242" cm="1">
        <f t="array" aca="1" ref="C242" ca="1">[1]!s_west_eps($B$1,YEAR($A242),$A242,180)</f>
        <v>0.4677</v>
      </c>
      <c r="D242" cm="1">
        <f t="array" aca="1" ref="D242" ca="1">[1]!s_west_instnum_np($B$1,YEAR($A242),$A242,180)</f>
        <v>19</v>
      </c>
      <c r="E242" cm="1">
        <f t="array" aca="1" ref="E242" ca="1">[1]!s_west_stdnetprofit($B$1,YEAR($A242),$A242,180,1000000)</f>
        <v>44.124637</v>
      </c>
      <c r="F242" cm="1">
        <f t="array" aca="1" ref="F242" ca="1">[1]!s_west_mediannetprofit($B$1,YEAR($A242),$A242,180,1000000)</f>
        <v>419</v>
      </c>
      <c r="G242" cm="1">
        <f t="array" aca="1" ref="G242" ca="1">[1]!s_west_netprofit($B$1,YEAR($A242)+1,$A242,180,1000000)</f>
        <v>66.908737000000002</v>
      </c>
      <c r="H242" cm="1">
        <f t="array" aca="1" ref="H242" ca="1">[1]!s_west_eps($B$1,YEAR($A242)+1,$A242,180)</f>
        <v>7.6700000000000004E-2</v>
      </c>
      <c r="I242" cm="1">
        <f t="array" aca="1" ref="I242" ca="1">[1]!s_west_instnum_np($B$1,YEAR($A242)+1,$A242,180)</f>
        <v>19</v>
      </c>
      <c r="J242" cm="1">
        <f t="array" aca="1" ref="J242" ca="1">[1]!s_west_stdnetprofit($B$1,YEAR($A242)+1,$A242,180,1000000)</f>
        <v>34.501235000000001</v>
      </c>
      <c r="K242" cm="1">
        <f t="array" aca="1" ref="K242" ca="1">[1]!s_west_mediannetprofit($B$1,YEAR($A241)+1,$A241,180,1000000)</f>
        <v>59.46</v>
      </c>
      <c r="L242" cm="1">
        <f t="array" aca="1" ref="L242" ca="1">[1]!s_dq_close($B$1,$A242,3)</f>
        <v>25.64</v>
      </c>
    </row>
    <row r="243" spans="1:12">
      <c r="A243" s="23">
        <f t="shared" ca="1" si="3"/>
        <v>45932</v>
      </c>
      <c r="B243" cm="1">
        <f t="array" aca="1" ref="B243" ca="1">[1]!s_west_netprofit($B$1,YEAR($A243),$A243,180,1000000)</f>
        <v>408.18378899999999</v>
      </c>
      <c r="C243" cm="1">
        <f t="array" aca="1" ref="C243" ca="1">[1]!s_west_eps($B$1,YEAR($A243),$A243,180)</f>
        <v>0.4677</v>
      </c>
      <c r="D243" cm="1">
        <f t="array" aca="1" ref="D243" ca="1">[1]!s_west_instnum_np($B$1,YEAR($A243),$A243,180)</f>
        <v>19</v>
      </c>
      <c r="E243" cm="1">
        <f t="array" aca="1" ref="E243" ca="1">[1]!s_west_stdnetprofit($B$1,YEAR($A243),$A243,180,1000000)</f>
        <v>44.124637</v>
      </c>
      <c r="F243" cm="1">
        <f t="array" aca="1" ref="F243" ca="1">[1]!s_west_mediannetprofit($B$1,YEAR($A243),$A243,180,1000000)</f>
        <v>419</v>
      </c>
      <c r="G243" cm="1">
        <f t="array" aca="1" ref="G243" ca="1">[1]!s_west_netprofit($B$1,YEAR($A243)+1,$A243,180,1000000)</f>
        <v>66.908737000000002</v>
      </c>
      <c r="H243" cm="1">
        <f t="array" aca="1" ref="H243" ca="1">[1]!s_west_eps($B$1,YEAR($A243)+1,$A243,180)</f>
        <v>7.6700000000000004E-2</v>
      </c>
      <c r="I243" cm="1">
        <f t="array" aca="1" ref="I243" ca="1">[1]!s_west_instnum_np($B$1,YEAR($A243)+1,$A243,180)</f>
        <v>19</v>
      </c>
      <c r="J243" cm="1">
        <f t="array" aca="1" ref="J243" ca="1">[1]!s_west_stdnetprofit($B$1,YEAR($A243)+1,$A243,180,1000000)</f>
        <v>34.501235000000001</v>
      </c>
      <c r="K243" cm="1">
        <f t="array" aca="1" ref="K243" ca="1">[1]!s_west_mediannetprofit($B$1,YEAR($A242)+1,$A242,180,1000000)</f>
        <v>59.46</v>
      </c>
      <c r="L243" cm="1">
        <f t="array" aca="1" ref="L243" ca="1">[1]!s_dq_close($B$1,$A243,3)</f>
        <v>25.8</v>
      </c>
    </row>
    <row r="244" spans="1:12">
      <c r="A244" s="23">
        <f t="shared" ca="1" si="3"/>
        <v>45931</v>
      </c>
      <c r="B244" cm="1">
        <f t="array" aca="1" ref="B244" ca="1">[1]!s_west_netprofit($B$1,YEAR($A244),$A244,180,1000000)</f>
        <v>408.18378899999999</v>
      </c>
      <c r="C244" cm="1">
        <f t="array" aca="1" ref="C244" ca="1">[1]!s_west_eps($B$1,YEAR($A244),$A244,180)</f>
        <v>0.4677</v>
      </c>
      <c r="D244" cm="1">
        <f t="array" aca="1" ref="D244" ca="1">[1]!s_west_instnum_np($B$1,YEAR($A244),$A244,180)</f>
        <v>19</v>
      </c>
      <c r="E244" cm="1">
        <f t="array" aca="1" ref="E244" ca="1">[1]!s_west_stdnetprofit($B$1,YEAR($A244),$A244,180,1000000)</f>
        <v>44.124637</v>
      </c>
      <c r="F244" cm="1">
        <f t="array" aca="1" ref="F244" ca="1">[1]!s_west_mediannetprofit($B$1,YEAR($A244),$A244,180,1000000)</f>
        <v>419</v>
      </c>
      <c r="G244" cm="1">
        <f t="array" aca="1" ref="G244" ca="1">[1]!s_west_netprofit($B$1,YEAR($A244)+1,$A244,180,1000000)</f>
        <v>66.908737000000002</v>
      </c>
      <c r="H244" cm="1">
        <f t="array" aca="1" ref="H244" ca="1">[1]!s_west_eps($B$1,YEAR($A244)+1,$A244,180)</f>
        <v>7.6700000000000004E-2</v>
      </c>
      <c r="I244" cm="1">
        <f t="array" aca="1" ref="I244" ca="1">[1]!s_west_instnum_np($B$1,YEAR($A244)+1,$A244,180)</f>
        <v>19</v>
      </c>
      <c r="J244" cm="1">
        <f t="array" aca="1" ref="J244" ca="1">[1]!s_west_stdnetprofit($B$1,YEAR($A244)+1,$A244,180,1000000)</f>
        <v>34.501235000000001</v>
      </c>
      <c r="K244" cm="1">
        <f t="array" aca="1" ref="K244" ca="1">[1]!s_west_mediannetprofit($B$1,YEAR($A243)+1,$A243,180,1000000)</f>
        <v>59.46</v>
      </c>
      <c r="L244" cm="1">
        <f t="array" aca="1" ref="L244" ca="1">[1]!s_dq_close($B$1,$A244,3)</f>
        <v>25.12</v>
      </c>
    </row>
    <row r="245" spans="1:12">
      <c r="A245" s="23">
        <f t="shared" ca="1" si="3"/>
        <v>45930</v>
      </c>
      <c r="B245" cm="1">
        <f t="array" aca="1" ref="B245" ca="1">[1]!s_west_netprofit($B$1,YEAR($A245),$A245,180,1000000)</f>
        <v>408.18378899999999</v>
      </c>
      <c r="C245" cm="1">
        <f t="array" aca="1" ref="C245" ca="1">[1]!s_west_eps($B$1,YEAR($A245),$A245,180)</f>
        <v>0.4677</v>
      </c>
      <c r="D245" cm="1">
        <f t="array" aca="1" ref="D245" ca="1">[1]!s_west_instnum_np($B$1,YEAR($A245),$A245,180)</f>
        <v>19</v>
      </c>
      <c r="E245" cm="1">
        <f t="array" aca="1" ref="E245" ca="1">[1]!s_west_stdnetprofit($B$1,YEAR($A245),$A245,180,1000000)</f>
        <v>44.124637</v>
      </c>
      <c r="F245" cm="1">
        <f t="array" aca="1" ref="F245" ca="1">[1]!s_west_mediannetprofit($B$1,YEAR($A245),$A245,180,1000000)</f>
        <v>419</v>
      </c>
      <c r="G245" cm="1">
        <f t="array" aca="1" ref="G245" ca="1">[1]!s_west_netprofit($B$1,YEAR($A245)+1,$A245,180,1000000)</f>
        <v>66.908737000000002</v>
      </c>
      <c r="H245" cm="1">
        <f t="array" aca="1" ref="H245" ca="1">[1]!s_west_eps($B$1,YEAR($A245)+1,$A245,180)</f>
        <v>7.6700000000000004E-2</v>
      </c>
      <c r="I245" cm="1">
        <f t="array" aca="1" ref="I245" ca="1">[1]!s_west_instnum_np($B$1,YEAR($A245)+1,$A245,180)</f>
        <v>19</v>
      </c>
      <c r="J245" cm="1">
        <f t="array" aca="1" ref="J245" ca="1">[1]!s_west_stdnetprofit($B$1,YEAR($A245)+1,$A245,180,1000000)</f>
        <v>34.501235000000001</v>
      </c>
      <c r="K245" cm="1">
        <f t="array" aca="1" ref="K245" ca="1">[1]!s_west_mediannetprofit($B$1,YEAR($A244)+1,$A244,180,1000000)</f>
        <v>59.46</v>
      </c>
      <c r="L245" cm="1">
        <f t="array" aca="1" ref="L245" ca="1">[1]!s_dq_close($B$1,$A245,3)</f>
        <v>25.12</v>
      </c>
    </row>
    <row r="246" spans="1:12">
      <c r="A246" s="23">
        <f t="shared" ca="1" si="3"/>
        <v>45929</v>
      </c>
      <c r="B246" cm="1">
        <f t="array" aca="1" ref="B246" ca="1">[1]!s_west_netprofit($B$1,YEAR($A246),$A246,180,1000000)</f>
        <v>408.18378899999999</v>
      </c>
      <c r="C246" cm="1">
        <f t="array" aca="1" ref="C246" ca="1">[1]!s_west_eps($B$1,YEAR($A246),$A246,180)</f>
        <v>0.4677</v>
      </c>
      <c r="D246" cm="1">
        <f t="array" aca="1" ref="D246" ca="1">[1]!s_west_instnum_np($B$1,YEAR($A246),$A246,180)</f>
        <v>19</v>
      </c>
      <c r="E246" cm="1">
        <f t="array" aca="1" ref="E246" ca="1">[1]!s_west_stdnetprofit($B$1,YEAR($A246),$A246,180,1000000)</f>
        <v>44.124637</v>
      </c>
      <c r="F246" cm="1">
        <f t="array" aca="1" ref="F246" ca="1">[1]!s_west_mediannetprofit($B$1,YEAR($A246),$A246,180,1000000)</f>
        <v>419</v>
      </c>
      <c r="G246" cm="1">
        <f t="array" aca="1" ref="G246" ca="1">[1]!s_west_netprofit($B$1,YEAR($A246)+1,$A246,180,1000000)</f>
        <v>66.908737000000002</v>
      </c>
      <c r="H246" cm="1">
        <f t="array" aca="1" ref="H246" ca="1">[1]!s_west_eps($B$1,YEAR($A246)+1,$A246,180)</f>
        <v>7.6700000000000004E-2</v>
      </c>
      <c r="I246" cm="1">
        <f t="array" aca="1" ref="I246" ca="1">[1]!s_west_instnum_np($B$1,YEAR($A246)+1,$A246,180)</f>
        <v>19</v>
      </c>
      <c r="J246" cm="1">
        <f t="array" aca="1" ref="J246" ca="1">[1]!s_west_stdnetprofit($B$1,YEAR($A246)+1,$A246,180,1000000)</f>
        <v>34.501235000000001</v>
      </c>
      <c r="K246" cm="1">
        <f t="array" aca="1" ref="K246" ca="1">[1]!s_west_mediannetprofit($B$1,YEAR($A245)+1,$A245,180,1000000)</f>
        <v>59.46</v>
      </c>
      <c r="L246" cm="1">
        <f t="array" aca="1" ref="L246" ca="1">[1]!s_dq_close($B$1,$A246,3)</f>
        <v>24.6</v>
      </c>
    </row>
    <row r="247" spans="1:12">
      <c r="A247" s="23">
        <f t="shared" ca="1" si="3"/>
        <v>45928</v>
      </c>
      <c r="B247" cm="1">
        <f t="array" aca="1" ref="B247" ca="1">[1]!s_west_netprofit($B$1,YEAR($A247),$A247,180,1000000)</f>
        <v>408.18378899999999</v>
      </c>
      <c r="C247" cm="1">
        <f t="array" aca="1" ref="C247" ca="1">[1]!s_west_eps($B$1,YEAR($A247),$A247,180)</f>
        <v>0.4677</v>
      </c>
      <c r="D247" cm="1">
        <f t="array" aca="1" ref="D247" ca="1">[1]!s_west_instnum_np($B$1,YEAR($A247),$A247,180)</f>
        <v>19</v>
      </c>
      <c r="E247" cm="1">
        <f t="array" aca="1" ref="E247" ca="1">[1]!s_west_stdnetprofit($B$1,YEAR($A247),$A247,180,1000000)</f>
        <v>44.124637</v>
      </c>
      <c r="F247" cm="1">
        <f t="array" aca="1" ref="F247" ca="1">[1]!s_west_mediannetprofit($B$1,YEAR($A247),$A247,180,1000000)</f>
        <v>419</v>
      </c>
      <c r="G247" cm="1">
        <f t="array" aca="1" ref="G247" ca="1">[1]!s_west_netprofit($B$1,YEAR($A247)+1,$A247,180,1000000)</f>
        <v>66.908737000000002</v>
      </c>
      <c r="H247" cm="1">
        <f t="array" aca="1" ref="H247" ca="1">[1]!s_west_eps($B$1,YEAR($A247)+1,$A247,180)</f>
        <v>7.6700000000000004E-2</v>
      </c>
      <c r="I247" cm="1">
        <f t="array" aca="1" ref="I247" ca="1">[1]!s_west_instnum_np($B$1,YEAR($A247)+1,$A247,180)</f>
        <v>19</v>
      </c>
      <c r="J247" cm="1">
        <f t="array" aca="1" ref="J247" ca="1">[1]!s_west_stdnetprofit($B$1,YEAR($A247)+1,$A247,180,1000000)</f>
        <v>34.501235000000001</v>
      </c>
      <c r="K247" cm="1">
        <f t="array" aca="1" ref="K247" ca="1">[1]!s_west_mediannetprofit($B$1,YEAR($A246)+1,$A246,180,1000000)</f>
        <v>59.46</v>
      </c>
      <c r="L247" cm="1">
        <f t="array" aca="1" ref="L247" ca="1">[1]!s_dq_close($B$1,$A247,3)</f>
        <v>24.54</v>
      </c>
    </row>
    <row r="248" spans="1:12">
      <c r="A248" s="23">
        <f t="shared" ca="1" si="3"/>
        <v>45927</v>
      </c>
      <c r="B248" cm="1">
        <f t="array" aca="1" ref="B248" ca="1">[1]!s_west_netprofit($B$1,YEAR($A248),$A248,180,1000000)</f>
        <v>408.18378899999999</v>
      </c>
      <c r="C248" cm="1">
        <f t="array" aca="1" ref="C248" ca="1">[1]!s_west_eps($B$1,YEAR($A248),$A248,180)</f>
        <v>0.4677</v>
      </c>
      <c r="D248" cm="1">
        <f t="array" aca="1" ref="D248" ca="1">[1]!s_west_instnum_np($B$1,YEAR($A248),$A248,180)</f>
        <v>19</v>
      </c>
      <c r="E248" cm="1">
        <f t="array" aca="1" ref="E248" ca="1">[1]!s_west_stdnetprofit($B$1,YEAR($A248),$A248,180,1000000)</f>
        <v>44.124637</v>
      </c>
      <c r="F248" cm="1">
        <f t="array" aca="1" ref="F248" ca="1">[1]!s_west_mediannetprofit($B$1,YEAR($A248),$A248,180,1000000)</f>
        <v>419</v>
      </c>
      <c r="G248" cm="1">
        <f t="array" aca="1" ref="G248" ca="1">[1]!s_west_netprofit($B$1,YEAR($A248)+1,$A248,180,1000000)</f>
        <v>66.908737000000002</v>
      </c>
      <c r="H248" cm="1">
        <f t="array" aca="1" ref="H248" ca="1">[1]!s_west_eps($B$1,YEAR($A248)+1,$A248,180)</f>
        <v>7.6700000000000004E-2</v>
      </c>
      <c r="I248" cm="1">
        <f t="array" aca="1" ref="I248" ca="1">[1]!s_west_instnum_np($B$1,YEAR($A248)+1,$A248,180)</f>
        <v>19</v>
      </c>
      <c r="J248" cm="1">
        <f t="array" aca="1" ref="J248" ca="1">[1]!s_west_stdnetprofit($B$1,YEAR($A248)+1,$A248,180,1000000)</f>
        <v>34.501235000000001</v>
      </c>
      <c r="K248" cm="1">
        <f t="array" aca="1" ref="K248" ca="1">[1]!s_west_mediannetprofit($B$1,YEAR($A247)+1,$A247,180,1000000)</f>
        <v>59.46</v>
      </c>
      <c r="L248" cm="1">
        <f t="array" aca="1" ref="L248" ca="1">[1]!s_dq_close($B$1,$A248,3)</f>
        <v>24.54</v>
      </c>
    </row>
    <row r="249" spans="1:12">
      <c r="A249" s="23">
        <f t="shared" ca="1" si="3"/>
        <v>45926</v>
      </c>
      <c r="B249" cm="1">
        <f t="array" aca="1" ref="B249" ca="1">[1]!s_west_netprofit($B$1,YEAR($A249),$A249,180,1000000)</f>
        <v>408.18378899999999</v>
      </c>
      <c r="C249" cm="1">
        <f t="array" aca="1" ref="C249" ca="1">[1]!s_west_eps($B$1,YEAR($A249),$A249,180)</f>
        <v>0.4677</v>
      </c>
      <c r="D249" cm="1">
        <f t="array" aca="1" ref="D249" ca="1">[1]!s_west_instnum_np($B$1,YEAR($A249),$A249,180)</f>
        <v>19</v>
      </c>
      <c r="E249" cm="1">
        <f t="array" aca="1" ref="E249" ca="1">[1]!s_west_stdnetprofit($B$1,YEAR($A249),$A249,180,1000000)</f>
        <v>44.124637</v>
      </c>
      <c r="F249" cm="1">
        <f t="array" aca="1" ref="F249" ca="1">[1]!s_west_mediannetprofit($B$1,YEAR($A249),$A249,180,1000000)</f>
        <v>419</v>
      </c>
      <c r="G249" cm="1">
        <f t="array" aca="1" ref="G249" ca="1">[1]!s_west_netprofit($B$1,YEAR($A249)+1,$A249,180,1000000)</f>
        <v>66.908737000000002</v>
      </c>
      <c r="H249" cm="1">
        <f t="array" aca="1" ref="H249" ca="1">[1]!s_west_eps($B$1,YEAR($A249)+1,$A249,180)</f>
        <v>7.6700000000000004E-2</v>
      </c>
      <c r="I249" cm="1">
        <f t="array" aca="1" ref="I249" ca="1">[1]!s_west_instnum_np($B$1,YEAR($A249)+1,$A249,180)</f>
        <v>19</v>
      </c>
      <c r="J249" cm="1">
        <f t="array" aca="1" ref="J249" ca="1">[1]!s_west_stdnetprofit($B$1,YEAR($A249)+1,$A249,180,1000000)</f>
        <v>34.501235000000001</v>
      </c>
      <c r="K249" cm="1">
        <f t="array" aca="1" ref="K249" ca="1">[1]!s_west_mediannetprofit($B$1,YEAR($A248)+1,$A248,180,1000000)</f>
        <v>59.46</v>
      </c>
      <c r="L249" cm="1">
        <f t="array" aca="1" ref="L249" ca="1">[1]!s_dq_close($B$1,$A249,3)</f>
        <v>24.54</v>
      </c>
    </row>
    <row r="250" spans="1:12">
      <c r="A250" s="23">
        <f t="shared" ca="1" si="3"/>
        <v>45925</v>
      </c>
      <c r="B250" cm="1">
        <f t="array" aca="1" ref="B250" ca="1">[1]!s_west_netprofit($B$1,YEAR($A250),$A250,180,1000000)</f>
        <v>408.18378899999999</v>
      </c>
      <c r="C250" cm="1">
        <f t="array" aca="1" ref="C250" ca="1">[1]!s_west_eps($B$1,YEAR($A250),$A250,180)</f>
        <v>0.4677</v>
      </c>
      <c r="D250" cm="1">
        <f t="array" aca="1" ref="D250" ca="1">[1]!s_west_instnum_np($B$1,YEAR($A250),$A250,180)</f>
        <v>19</v>
      </c>
      <c r="E250" cm="1">
        <f t="array" aca="1" ref="E250" ca="1">[1]!s_west_stdnetprofit($B$1,YEAR($A250),$A250,180,1000000)</f>
        <v>44.124637</v>
      </c>
      <c r="F250" cm="1">
        <f t="array" aca="1" ref="F250" ca="1">[1]!s_west_mediannetprofit($B$1,YEAR($A250),$A250,180,1000000)</f>
        <v>419</v>
      </c>
      <c r="G250" cm="1">
        <f t="array" aca="1" ref="G250" ca="1">[1]!s_west_netprofit($B$1,YEAR($A250)+1,$A250,180,1000000)</f>
        <v>66.908737000000002</v>
      </c>
      <c r="H250" cm="1">
        <f t="array" aca="1" ref="H250" ca="1">[1]!s_west_eps($B$1,YEAR($A250)+1,$A250,180)</f>
        <v>7.6700000000000004E-2</v>
      </c>
      <c r="I250" cm="1">
        <f t="array" aca="1" ref="I250" ca="1">[1]!s_west_instnum_np($B$1,YEAR($A250)+1,$A250,180)</f>
        <v>19</v>
      </c>
      <c r="J250" cm="1">
        <f t="array" aca="1" ref="J250" ca="1">[1]!s_west_stdnetprofit($B$1,YEAR($A250)+1,$A250,180,1000000)</f>
        <v>34.501235000000001</v>
      </c>
      <c r="K250" cm="1">
        <f t="array" aca="1" ref="K250" ca="1">[1]!s_west_mediannetprofit($B$1,YEAR($A249)+1,$A249,180,1000000)</f>
        <v>59.46</v>
      </c>
      <c r="L250" cm="1">
        <f t="array" aca="1" ref="L250" ca="1">[1]!s_dq_close($B$1,$A250,3)</f>
        <v>24.94</v>
      </c>
    </row>
    <row r="251" spans="1:12">
      <c r="A251" s="23">
        <f t="shared" ca="1" si="3"/>
        <v>45924</v>
      </c>
      <c r="B251" cm="1">
        <f t="array" aca="1" ref="B251" ca="1">[1]!s_west_netprofit($B$1,YEAR($A251),$A251,180,1000000)</f>
        <v>408.18378899999999</v>
      </c>
      <c r="C251" cm="1">
        <f t="array" aca="1" ref="C251" ca="1">[1]!s_west_eps($B$1,YEAR($A251),$A251,180)</f>
        <v>0.4677</v>
      </c>
      <c r="D251" cm="1">
        <f t="array" aca="1" ref="D251" ca="1">[1]!s_west_instnum_np($B$1,YEAR($A251),$A251,180)</f>
        <v>19</v>
      </c>
      <c r="E251" cm="1">
        <f t="array" aca="1" ref="E251" ca="1">[1]!s_west_stdnetprofit($B$1,YEAR($A251),$A251,180,1000000)</f>
        <v>44.124637</v>
      </c>
      <c r="F251" cm="1">
        <f t="array" aca="1" ref="F251" ca="1">[1]!s_west_mediannetprofit($B$1,YEAR($A251),$A251,180,1000000)</f>
        <v>419</v>
      </c>
      <c r="G251" cm="1">
        <f t="array" aca="1" ref="G251" ca="1">[1]!s_west_netprofit($B$1,YEAR($A251)+1,$A251,180,1000000)</f>
        <v>66.908737000000002</v>
      </c>
      <c r="H251" cm="1">
        <f t="array" aca="1" ref="H251" ca="1">[1]!s_west_eps($B$1,YEAR($A251)+1,$A251,180)</f>
        <v>7.6700000000000004E-2</v>
      </c>
      <c r="I251" cm="1">
        <f t="array" aca="1" ref="I251" ca="1">[1]!s_west_instnum_np($B$1,YEAR($A251)+1,$A251,180)</f>
        <v>19</v>
      </c>
      <c r="J251" cm="1">
        <f t="array" aca="1" ref="J251" ca="1">[1]!s_west_stdnetprofit($B$1,YEAR($A251)+1,$A251,180,1000000)</f>
        <v>34.501235000000001</v>
      </c>
      <c r="K251" cm="1">
        <f t="array" aca="1" ref="K251" ca="1">[1]!s_west_mediannetprofit($B$1,YEAR($A250)+1,$A250,180,1000000)</f>
        <v>59.46</v>
      </c>
      <c r="L251" cm="1">
        <f t="array" aca="1" ref="L251" ca="1">[1]!s_dq_close($B$1,$A251,3)</f>
        <v>25.08</v>
      </c>
    </row>
    <row r="252" spans="1:12">
      <c r="A252" s="23">
        <f t="shared" ca="1" si="3"/>
        <v>45923</v>
      </c>
      <c r="B252" cm="1">
        <f t="array" aca="1" ref="B252" ca="1">[1]!s_west_netprofit($B$1,YEAR($A252),$A252,180,1000000)</f>
        <v>408.18378899999999</v>
      </c>
      <c r="C252" cm="1">
        <f t="array" aca="1" ref="C252" ca="1">[1]!s_west_eps($B$1,YEAR($A252),$A252,180)</f>
        <v>0.4677</v>
      </c>
      <c r="D252" cm="1">
        <f t="array" aca="1" ref="D252" ca="1">[1]!s_west_instnum_np($B$1,YEAR($A252),$A252,180)</f>
        <v>19</v>
      </c>
      <c r="E252" cm="1">
        <f t="array" aca="1" ref="E252" ca="1">[1]!s_west_stdnetprofit($B$1,YEAR($A252),$A252,180,1000000)</f>
        <v>44.124637</v>
      </c>
      <c r="F252" cm="1">
        <f t="array" aca="1" ref="F252" ca="1">[1]!s_west_mediannetprofit($B$1,YEAR($A252),$A252,180,1000000)</f>
        <v>419</v>
      </c>
      <c r="G252" cm="1">
        <f t="array" aca="1" ref="G252" ca="1">[1]!s_west_netprofit($B$1,YEAR($A252)+1,$A252,180,1000000)</f>
        <v>66.908737000000002</v>
      </c>
      <c r="H252" cm="1">
        <f t="array" aca="1" ref="H252" ca="1">[1]!s_west_eps($B$1,YEAR($A252)+1,$A252,180)</f>
        <v>7.6700000000000004E-2</v>
      </c>
      <c r="I252" cm="1">
        <f t="array" aca="1" ref="I252" ca="1">[1]!s_west_instnum_np($B$1,YEAR($A252)+1,$A252,180)</f>
        <v>19</v>
      </c>
      <c r="J252" cm="1">
        <f t="array" aca="1" ref="J252" ca="1">[1]!s_west_stdnetprofit($B$1,YEAR($A252)+1,$A252,180,1000000)</f>
        <v>34.501235000000001</v>
      </c>
      <c r="K252" cm="1">
        <f t="array" aca="1" ref="K252" ca="1">[1]!s_west_mediannetprofit($B$1,YEAR($A251)+1,$A251,180,1000000)</f>
        <v>59.46</v>
      </c>
      <c r="L252" cm="1">
        <f t="array" aca="1" ref="L252" ca="1">[1]!s_dq_close($B$1,$A252,3)</f>
        <v>25.24</v>
      </c>
    </row>
    <row r="253" spans="1:12">
      <c r="A253" s="23">
        <f t="shared" ca="1" si="3"/>
        <v>45922</v>
      </c>
      <c r="B253" cm="1">
        <f t="array" aca="1" ref="B253" ca="1">[1]!s_west_netprofit($B$1,YEAR($A253),$A253,180,1000000)</f>
        <v>402.62459999999999</v>
      </c>
      <c r="C253" cm="1">
        <f t="array" aca="1" ref="C253" ca="1">[1]!s_west_eps($B$1,YEAR($A253),$A253,180)</f>
        <v>0.46129999999999999</v>
      </c>
      <c r="D253" cm="1">
        <f t="array" aca="1" ref="D253" ca="1">[1]!s_west_instnum_np($B$1,YEAR($A253),$A253,180)</f>
        <v>20</v>
      </c>
      <c r="E253" cm="1">
        <f t="array" aca="1" ref="E253" ca="1">[1]!s_west_stdnetprofit($B$1,YEAR($A253),$A253,180,1000000)</f>
        <v>49.624616000000003</v>
      </c>
      <c r="F253" cm="1">
        <f t="array" aca="1" ref="F253" ca="1">[1]!s_west_mediannetprofit($B$1,YEAR($A253),$A253,180,1000000)</f>
        <v>416.5</v>
      </c>
      <c r="G253" cm="1">
        <f t="array" aca="1" ref="G253" ca="1">[1]!s_west_netprofit($B$1,YEAR($A253)+1,$A253,180,1000000)</f>
        <v>73.113299999999995</v>
      </c>
      <c r="H253" cm="1">
        <f t="array" aca="1" ref="H253" ca="1">[1]!s_west_eps($B$1,YEAR($A253)+1,$A253,180)</f>
        <v>8.3799999999999999E-2</v>
      </c>
      <c r="I253" cm="1">
        <f t="array" aca="1" ref="I253" ca="1">[1]!s_west_instnum_np($B$1,YEAR($A253)+1,$A253,180)</f>
        <v>20</v>
      </c>
      <c r="J253" cm="1">
        <f t="array" aca="1" ref="J253" ca="1">[1]!s_west_stdnetprofit($B$1,YEAR($A253)+1,$A253,180,1000000)</f>
        <v>43.561658000000001</v>
      </c>
      <c r="K253" cm="1">
        <f t="array" aca="1" ref="K253" ca="1">[1]!s_west_mediannetprofit($B$1,YEAR($A252)+1,$A252,180,1000000)</f>
        <v>59.46</v>
      </c>
      <c r="L253" cm="1">
        <f t="array" aca="1" ref="L253" ca="1">[1]!s_dq_close($B$1,$A253,3)</f>
        <v>26.44</v>
      </c>
    </row>
    <row r="254" spans="1:12">
      <c r="A254" s="23">
        <f t="shared" ca="1" si="3"/>
        <v>45921</v>
      </c>
      <c r="B254" cm="1">
        <f t="array" aca="1" ref="B254" ca="1">[1]!s_west_netprofit($B$1,YEAR($A254),$A254,180,1000000)</f>
        <v>402.62459999999999</v>
      </c>
      <c r="C254" cm="1">
        <f t="array" aca="1" ref="C254" ca="1">[1]!s_west_eps($B$1,YEAR($A254),$A254,180)</f>
        <v>0.46129999999999999</v>
      </c>
      <c r="D254" cm="1">
        <f t="array" aca="1" ref="D254" ca="1">[1]!s_west_instnum_np($B$1,YEAR($A254),$A254,180)</f>
        <v>20</v>
      </c>
      <c r="E254" cm="1">
        <f t="array" aca="1" ref="E254" ca="1">[1]!s_west_stdnetprofit($B$1,YEAR($A254),$A254,180,1000000)</f>
        <v>49.624616000000003</v>
      </c>
      <c r="F254" cm="1">
        <f t="array" aca="1" ref="F254" ca="1">[1]!s_west_mediannetprofit($B$1,YEAR($A254),$A254,180,1000000)</f>
        <v>416.5</v>
      </c>
      <c r="G254" cm="1">
        <f t="array" aca="1" ref="G254" ca="1">[1]!s_west_netprofit($B$1,YEAR($A254)+1,$A254,180,1000000)</f>
        <v>73.113299999999995</v>
      </c>
      <c r="H254" cm="1">
        <f t="array" aca="1" ref="H254" ca="1">[1]!s_west_eps($B$1,YEAR($A254)+1,$A254,180)</f>
        <v>8.3799999999999999E-2</v>
      </c>
      <c r="I254" cm="1">
        <f t="array" aca="1" ref="I254" ca="1">[1]!s_west_instnum_np($B$1,YEAR($A254)+1,$A254,180)</f>
        <v>20</v>
      </c>
      <c r="J254" cm="1">
        <f t="array" aca="1" ref="J254" ca="1">[1]!s_west_stdnetprofit($B$1,YEAR($A254)+1,$A254,180,1000000)</f>
        <v>43.561658000000001</v>
      </c>
      <c r="K254" cm="1">
        <f t="array" aca="1" ref="K254" ca="1">[1]!s_west_mediannetprofit($B$1,YEAR($A253)+1,$A253,180,1000000)</f>
        <v>62.73</v>
      </c>
      <c r="L254" cm="1">
        <f t="array" aca="1" ref="L254" ca="1">[1]!s_dq_close($B$1,$A254,3)</f>
        <v>26.76</v>
      </c>
    </row>
    <row r="255" spans="1:12">
      <c r="A255" s="23">
        <f t="shared" ca="1" si="3"/>
        <v>45920</v>
      </c>
      <c r="B255" cm="1">
        <f t="array" aca="1" ref="B255" ca="1">[1]!s_west_netprofit($B$1,YEAR($A255),$A255,180,1000000)</f>
        <v>388.36390499999999</v>
      </c>
      <c r="C255" cm="1">
        <f t="array" aca="1" ref="C255" ca="1">[1]!s_west_eps($B$1,YEAR($A255),$A255,180)</f>
        <v>0.44529999999999997</v>
      </c>
      <c r="D255" cm="1">
        <f t="array" aca="1" ref="D255" ca="1">[1]!s_west_instnum_np($B$1,YEAR($A255),$A255,180)</f>
        <v>21</v>
      </c>
      <c r="E255" cm="1">
        <f t="array" aca="1" ref="E255" ca="1">[1]!s_west_stdnetprofit($B$1,YEAR($A255),$A255,180,1000000)</f>
        <v>81.303065000000004</v>
      </c>
      <c r="F255" cm="1">
        <f t="array" aca="1" ref="F255" ca="1">[1]!s_west_mediannetprofit($B$1,YEAR($A255),$A255,180,1000000)</f>
        <v>414</v>
      </c>
      <c r="G255" cm="1">
        <f t="array" aca="1" ref="G255" ca="1">[1]!s_west_netprofit($B$1,YEAR($A255)+1,$A255,180,1000000)</f>
        <v>77.560286000000005</v>
      </c>
      <c r="H255" cm="1">
        <f t="array" aca="1" ref="H255" ca="1">[1]!s_west_eps($B$1,YEAR($A255)+1,$A255,180)</f>
        <v>8.8900000000000007E-2</v>
      </c>
      <c r="I255" cm="1">
        <f t="array" aca="1" ref="I255" ca="1">[1]!s_west_instnum_np($B$1,YEAR($A255)+1,$A255,180)</f>
        <v>21</v>
      </c>
      <c r="J255" cm="1">
        <f t="array" aca="1" ref="J255" ca="1">[1]!s_west_stdnetprofit($B$1,YEAR($A255)+1,$A255,180,1000000)</f>
        <v>47.095928999999998</v>
      </c>
      <c r="K255" cm="1">
        <f t="array" aca="1" ref="K255" ca="1">[1]!s_west_mediannetprofit($B$1,YEAR($A254)+1,$A254,180,1000000)</f>
        <v>62.73</v>
      </c>
      <c r="L255" cm="1">
        <f t="array" aca="1" ref="L255" ca="1">[1]!s_dq_close($B$1,$A255,3)</f>
        <v>26.76</v>
      </c>
    </row>
    <row r="256" spans="1:12">
      <c r="A256" s="23">
        <f t="shared" ca="1" si="3"/>
        <v>45919</v>
      </c>
      <c r="B256" cm="1">
        <f t="array" aca="1" ref="B256" ca="1">[1]!s_west_netprofit($B$1,YEAR($A256),$A256,180,1000000)</f>
        <v>388.497364</v>
      </c>
      <c r="C256" cm="1">
        <f t="array" aca="1" ref="C256" ca="1">[1]!s_west_eps($B$1,YEAR($A256),$A256,180)</f>
        <v>0.44550000000000001</v>
      </c>
      <c r="D256" cm="1">
        <f t="array" aca="1" ref="D256" ca="1">[1]!s_west_instnum_np($B$1,YEAR($A256),$A256,180)</f>
        <v>22</v>
      </c>
      <c r="E256" cm="1">
        <f t="array" aca="1" ref="E256" ca="1">[1]!s_west_stdnetprofit($B$1,YEAR($A256),$A256,180,1000000)</f>
        <v>79.346136000000001</v>
      </c>
      <c r="F256" cm="1">
        <f t="array" aca="1" ref="F256" ca="1">[1]!s_west_mediannetprofit($B$1,YEAR($A256),$A256,180,1000000)</f>
        <v>413.77499999999998</v>
      </c>
      <c r="G256" cm="1">
        <f t="array" aca="1" ref="G256" ca="1">[1]!s_west_netprofit($B$1,YEAR($A256)+1,$A256,180,1000000)</f>
        <v>79.025727000000003</v>
      </c>
      <c r="H256" cm="1">
        <f t="array" aca="1" ref="H256" ca="1">[1]!s_west_eps($B$1,YEAR($A256)+1,$A256,180)</f>
        <v>9.0300000000000005E-2</v>
      </c>
      <c r="I256" cm="1">
        <f t="array" aca="1" ref="I256" ca="1">[1]!s_west_instnum_np($B$1,YEAR($A256)+1,$A256,180)</f>
        <v>22</v>
      </c>
      <c r="J256" cm="1">
        <f t="array" aca="1" ref="J256" ca="1">[1]!s_west_stdnetprofit($B$1,YEAR($A256)+1,$A256,180,1000000)</f>
        <v>46.472051999999998</v>
      </c>
      <c r="K256" cm="1">
        <f t="array" aca="1" ref="K256" ca="1">[1]!s_west_mediannetprofit($B$1,YEAR($A255)+1,$A255,180,1000000)</f>
        <v>66</v>
      </c>
      <c r="L256" cm="1">
        <f t="array" aca="1" ref="L256" ca="1">[1]!s_dq_close($B$1,$A256,3)</f>
        <v>26.76</v>
      </c>
    </row>
    <row r="257" spans="1:12">
      <c r="A257" s="23">
        <f t="shared" ca="1" si="3"/>
        <v>45918</v>
      </c>
      <c r="B257" cm="1">
        <f t="array" aca="1" ref="B257" ca="1">[1]!s_west_netprofit($B$1,YEAR($A257),$A257,180,1000000)</f>
        <v>388.38878299999999</v>
      </c>
      <c r="C257" cm="1">
        <f t="array" aca="1" ref="C257" ca="1">[1]!s_west_eps($B$1,YEAR($A257),$A257,180)</f>
        <v>0.44529999999999997</v>
      </c>
      <c r="D257" cm="1">
        <f t="array" aca="1" ref="D257" ca="1">[1]!s_west_instnum_np($B$1,YEAR($A257),$A257,180)</f>
        <v>23</v>
      </c>
      <c r="E257" cm="1">
        <f t="array" aca="1" ref="E257" ca="1">[1]!s_west_stdnetprofit($B$1,YEAR($A257),$A257,180,1000000)</f>
        <v>77.523591999999994</v>
      </c>
      <c r="F257" cm="1">
        <f t="array" aca="1" ref="F257" ca="1">[1]!s_west_mediannetprofit($B$1,YEAR($A257),$A257,180,1000000)</f>
        <v>413.55</v>
      </c>
      <c r="G257" cm="1">
        <f t="array" aca="1" ref="G257" ca="1">[1]!s_west_netprofit($B$1,YEAR($A257)+1,$A257,180,1000000)</f>
        <v>84.024608999999998</v>
      </c>
      <c r="H257" cm="1">
        <f t="array" aca="1" ref="H257" ca="1">[1]!s_west_eps($B$1,YEAR($A257)+1,$A257,180)</f>
        <v>9.6000000000000002E-2</v>
      </c>
      <c r="I257" cm="1">
        <f t="array" aca="1" ref="I257" ca="1">[1]!s_west_instnum_np($B$1,YEAR($A257)+1,$A257,180)</f>
        <v>23</v>
      </c>
      <c r="J257" cm="1">
        <f t="array" aca="1" ref="J257" ca="1">[1]!s_west_stdnetprofit($B$1,YEAR($A257)+1,$A257,180,1000000)</f>
        <v>51.344214999999998</v>
      </c>
      <c r="K257" cm="1">
        <f t="array" aca="1" ref="K257" ca="1">[1]!s_west_mediannetprofit($B$1,YEAR($A256)+1,$A256,180,1000000)</f>
        <v>67</v>
      </c>
      <c r="L257" cm="1">
        <f t="array" aca="1" ref="L257" ca="1">[1]!s_dq_close($B$1,$A257,3)</f>
        <v>27.38</v>
      </c>
    </row>
    <row r="258" spans="1:12">
      <c r="A258" s="23">
        <f t="shared" ca="1" si="3"/>
        <v>45917</v>
      </c>
      <c r="B258" cm="1">
        <f t="array" aca="1" ref="B258" ca="1">[1]!s_west_netprofit($B$1,YEAR($A258),$A258,180,1000000)</f>
        <v>388.38878299999999</v>
      </c>
      <c r="C258" cm="1">
        <f t="array" aca="1" ref="C258" ca="1">[1]!s_west_eps($B$1,YEAR($A258),$A258,180)</f>
        <v>0.44529999999999997</v>
      </c>
      <c r="D258" cm="1">
        <f t="array" aca="1" ref="D258" ca="1">[1]!s_west_instnum_np($B$1,YEAR($A258),$A258,180)</f>
        <v>23</v>
      </c>
      <c r="E258" cm="1">
        <f t="array" aca="1" ref="E258" ca="1">[1]!s_west_stdnetprofit($B$1,YEAR($A258),$A258,180,1000000)</f>
        <v>77.523591999999994</v>
      </c>
      <c r="F258" cm="1">
        <f t="array" aca="1" ref="F258" ca="1">[1]!s_west_mediannetprofit($B$1,YEAR($A258),$A258,180,1000000)</f>
        <v>413.55</v>
      </c>
      <c r="G258" cm="1">
        <f t="array" aca="1" ref="G258" ca="1">[1]!s_west_netprofit($B$1,YEAR($A258)+1,$A258,180,1000000)</f>
        <v>84.024608999999998</v>
      </c>
      <c r="H258" cm="1">
        <f t="array" aca="1" ref="H258" ca="1">[1]!s_west_eps($B$1,YEAR($A258)+1,$A258,180)</f>
        <v>9.6000000000000002E-2</v>
      </c>
      <c r="I258" cm="1">
        <f t="array" aca="1" ref="I258" ca="1">[1]!s_west_instnum_np($B$1,YEAR($A258)+1,$A258,180)</f>
        <v>23</v>
      </c>
      <c r="J258" cm="1">
        <f t="array" aca="1" ref="J258" ca="1">[1]!s_west_stdnetprofit($B$1,YEAR($A258)+1,$A258,180,1000000)</f>
        <v>51.344214999999998</v>
      </c>
      <c r="K258" cm="1">
        <f t="array" aca="1" ref="K258" ca="1">[1]!s_west_mediannetprofit($B$1,YEAR($A257)+1,$A257,180,1000000)</f>
        <v>68</v>
      </c>
      <c r="L258" cm="1">
        <f t="array" aca="1" ref="L258" ca="1">[1]!s_dq_close($B$1,$A258,3)</f>
        <v>27.6</v>
      </c>
    </row>
    <row r="259" spans="1:12">
      <c r="A259" s="23">
        <f t="shared" ca="1" si="3"/>
        <v>45916</v>
      </c>
      <c r="B259" cm="1">
        <f t="array" aca="1" ref="B259" ca="1">[1]!s_west_netprofit($B$1,YEAR($A259),$A259,180,1000000)</f>
        <v>392.24758300000002</v>
      </c>
      <c r="C259" cm="1">
        <f t="array" aca="1" ref="C259" ca="1">[1]!s_west_eps($B$1,YEAR($A259),$A259,180)</f>
        <v>0.44979999999999998</v>
      </c>
      <c r="D259" cm="1">
        <f t="array" aca="1" ref="D259" ca="1">[1]!s_west_instnum_np($B$1,YEAR($A259),$A259,180)</f>
        <v>24</v>
      </c>
      <c r="E259" cm="1">
        <f t="array" aca="1" ref="E259" ca="1">[1]!s_west_stdnetprofit($B$1,YEAR($A259),$A259,180,1000000)</f>
        <v>78.140739999999994</v>
      </c>
      <c r="F259" cm="1">
        <f t="array" aca="1" ref="F259" ca="1">[1]!s_west_mediannetprofit($B$1,YEAR($A259),$A259,180,1000000)</f>
        <v>413.77499999999998</v>
      </c>
      <c r="G259" cm="1">
        <f t="array" aca="1" ref="G259" ca="1">[1]!s_west_netprofit($B$1,YEAR($A259)+1,$A259,180,1000000)</f>
        <v>88.481916999999996</v>
      </c>
      <c r="H259" cm="1">
        <f t="array" aca="1" ref="H259" ca="1">[1]!s_west_eps($B$1,YEAR($A259)+1,$A259,180)</f>
        <v>0.1011</v>
      </c>
      <c r="I259" cm="1">
        <f t="array" aca="1" ref="I259" ca="1">[1]!s_west_instnum_np($B$1,YEAR($A259)+1,$A259,180)</f>
        <v>24</v>
      </c>
      <c r="J259" cm="1">
        <f t="array" aca="1" ref="J259" ca="1">[1]!s_west_stdnetprofit($B$1,YEAR($A259)+1,$A259,180,1000000)</f>
        <v>54.757939999999998</v>
      </c>
      <c r="K259" cm="1">
        <f t="array" aca="1" ref="K259" ca="1">[1]!s_west_mediannetprofit($B$1,YEAR($A258)+1,$A258,180,1000000)</f>
        <v>68</v>
      </c>
      <c r="L259" cm="1">
        <f t="array" aca="1" ref="L259" ca="1">[1]!s_dq_close($B$1,$A259,3)</f>
        <v>26.92</v>
      </c>
    </row>
    <row r="260" spans="1:12">
      <c r="A260" s="23">
        <f t="shared" ca="1" si="3"/>
        <v>45915</v>
      </c>
      <c r="B260" cm="1">
        <f t="array" aca="1" ref="B260" ca="1">[1]!s_west_netprofit($B$1,YEAR($A260),$A260,180,1000000)</f>
        <v>392.24758300000002</v>
      </c>
      <c r="C260" cm="1">
        <f t="array" aca="1" ref="C260" ca="1">[1]!s_west_eps($B$1,YEAR($A260),$A260,180)</f>
        <v>0.44979999999999998</v>
      </c>
      <c r="D260" cm="1">
        <f t="array" aca="1" ref="D260" ca="1">[1]!s_west_instnum_np($B$1,YEAR($A260),$A260,180)</f>
        <v>24</v>
      </c>
      <c r="E260" cm="1">
        <f t="array" aca="1" ref="E260" ca="1">[1]!s_west_stdnetprofit($B$1,YEAR($A260),$A260,180,1000000)</f>
        <v>78.140739999999994</v>
      </c>
      <c r="F260" cm="1">
        <f t="array" aca="1" ref="F260" ca="1">[1]!s_west_mediannetprofit($B$1,YEAR($A260),$A260,180,1000000)</f>
        <v>413.77499999999998</v>
      </c>
      <c r="G260" cm="1">
        <f t="array" aca="1" ref="G260" ca="1">[1]!s_west_netprofit($B$1,YEAR($A260)+1,$A260,180,1000000)</f>
        <v>88.481916999999996</v>
      </c>
      <c r="H260" cm="1">
        <f t="array" aca="1" ref="H260" ca="1">[1]!s_west_eps($B$1,YEAR($A260)+1,$A260,180)</f>
        <v>0.1011</v>
      </c>
      <c r="I260" cm="1">
        <f t="array" aca="1" ref="I260" ca="1">[1]!s_west_instnum_np($B$1,YEAR($A260)+1,$A260,180)</f>
        <v>24</v>
      </c>
      <c r="J260" cm="1">
        <f t="array" aca="1" ref="J260" ca="1">[1]!s_west_stdnetprofit($B$1,YEAR($A260)+1,$A260,180,1000000)</f>
        <v>54.757939999999998</v>
      </c>
      <c r="K260" cm="1">
        <f t="array" aca="1" ref="K260" ca="1">[1]!s_west_mediannetprofit($B$1,YEAR($A259)+1,$A259,180,1000000)</f>
        <v>70.5</v>
      </c>
      <c r="L260" cm="1">
        <f t="array" aca="1" ref="L260" ca="1">[1]!s_dq_close($B$1,$A260,3)</f>
        <v>27.68</v>
      </c>
    </row>
    <row r="261" spans="1:12">
      <c r="A261" s="23">
        <f t="shared" ca="1" si="3"/>
        <v>45914</v>
      </c>
      <c r="B261" cm="1">
        <f t="array" aca="1" ref="B261" ca="1">[1]!s_west_netprofit($B$1,YEAR($A261),$A261,180,1000000)</f>
        <v>392.24758300000002</v>
      </c>
      <c r="C261" cm="1">
        <f t="array" aca="1" ref="C261" ca="1">[1]!s_west_eps($B$1,YEAR($A261),$A261,180)</f>
        <v>0.44979999999999998</v>
      </c>
      <c r="D261" cm="1">
        <f t="array" aca="1" ref="D261" ca="1">[1]!s_west_instnum_np($B$1,YEAR($A261),$A261,180)</f>
        <v>24</v>
      </c>
      <c r="E261" cm="1">
        <f t="array" aca="1" ref="E261" ca="1">[1]!s_west_stdnetprofit($B$1,YEAR($A261),$A261,180,1000000)</f>
        <v>78.140739999999994</v>
      </c>
      <c r="F261" cm="1">
        <f t="array" aca="1" ref="F261" ca="1">[1]!s_west_mediannetprofit($B$1,YEAR($A261),$A261,180,1000000)</f>
        <v>413.77499999999998</v>
      </c>
      <c r="G261" cm="1">
        <f t="array" aca="1" ref="G261" ca="1">[1]!s_west_netprofit($B$1,YEAR($A261)+1,$A261,180,1000000)</f>
        <v>88.481916999999996</v>
      </c>
      <c r="H261" cm="1">
        <f t="array" aca="1" ref="H261" ca="1">[1]!s_west_eps($B$1,YEAR($A261)+1,$A261,180)</f>
        <v>0.1011</v>
      </c>
      <c r="I261" cm="1">
        <f t="array" aca="1" ref="I261" ca="1">[1]!s_west_instnum_np($B$1,YEAR($A261)+1,$A261,180)</f>
        <v>24</v>
      </c>
      <c r="J261" cm="1">
        <f t="array" aca="1" ref="J261" ca="1">[1]!s_west_stdnetprofit($B$1,YEAR($A261)+1,$A261,180,1000000)</f>
        <v>54.757939999999998</v>
      </c>
      <c r="K261" cm="1">
        <f t="array" aca="1" ref="K261" ca="1">[1]!s_west_mediannetprofit($B$1,YEAR($A260)+1,$A260,180,1000000)</f>
        <v>70.5</v>
      </c>
      <c r="L261" cm="1">
        <f t="array" aca="1" ref="L261" ca="1">[1]!s_dq_close($B$1,$A261,3)</f>
        <v>28</v>
      </c>
    </row>
    <row r="262" spans="1:12">
      <c r="A262" s="23">
        <f t="shared" ca="1" si="3"/>
        <v>45913</v>
      </c>
      <c r="B262" cm="1">
        <f t="array" aca="1" ref="B262" ca="1">[1]!s_west_netprofit($B$1,YEAR($A262),$A262,180,1000000)</f>
        <v>392.24758300000002</v>
      </c>
      <c r="C262" cm="1">
        <f t="array" aca="1" ref="C262" ca="1">[1]!s_west_eps($B$1,YEAR($A262),$A262,180)</f>
        <v>0.44979999999999998</v>
      </c>
      <c r="D262" cm="1">
        <f t="array" aca="1" ref="D262" ca="1">[1]!s_west_instnum_np($B$1,YEAR($A262),$A262,180)</f>
        <v>24</v>
      </c>
      <c r="E262" cm="1">
        <f t="array" aca="1" ref="E262" ca="1">[1]!s_west_stdnetprofit($B$1,YEAR($A262),$A262,180,1000000)</f>
        <v>78.140739999999994</v>
      </c>
      <c r="F262" cm="1">
        <f t="array" aca="1" ref="F262" ca="1">[1]!s_west_mediannetprofit($B$1,YEAR($A262),$A262,180,1000000)</f>
        <v>413.77499999999998</v>
      </c>
      <c r="G262" cm="1">
        <f t="array" aca="1" ref="G262" ca="1">[1]!s_west_netprofit($B$1,YEAR($A262)+1,$A262,180,1000000)</f>
        <v>88.481916999999996</v>
      </c>
      <c r="H262" cm="1">
        <f t="array" aca="1" ref="H262" ca="1">[1]!s_west_eps($B$1,YEAR($A262)+1,$A262,180)</f>
        <v>0.1011</v>
      </c>
      <c r="I262" cm="1">
        <f t="array" aca="1" ref="I262" ca="1">[1]!s_west_instnum_np($B$1,YEAR($A262)+1,$A262,180)</f>
        <v>24</v>
      </c>
      <c r="J262" cm="1">
        <f t="array" aca="1" ref="J262" ca="1">[1]!s_west_stdnetprofit($B$1,YEAR($A262)+1,$A262,180,1000000)</f>
        <v>54.757939999999998</v>
      </c>
      <c r="K262" cm="1">
        <f t="array" aca="1" ref="K262" ca="1">[1]!s_west_mediannetprofit($B$1,YEAR($A261)+1,$A261,180,1000000)</f>
        <v>70.5</v>
      </c>
      <c r="L262" cm="1">
        <f t="array" aca="1" ref="L262" ca="1">[1]!s_dq_close($B$1,$A262,3)</f>
        <v>28</v>
      </c>
    </row>
    <row r="263" spans="1:12">
      <c r="A263" s="23">
        <f t="shared" ca="1" si="3"/>
        <v>45912</v>
      </c>
      <c r="B263" cm="1">
        <f t="array" aca="1" ref="B263" ca="1">[1]!s_west_netprofit($B$1,YEAR($A263),$A263,180,1000000)</f>
        <v>392.24758300000002</v>
      </c>
      <c r="C263" cm="1">
        <f t="array" aca="1" ref="C263" ca="1">[1]!s_west_eps($B$1,YEAR($A263),$A263,180)</f>
        <v>0.44979999999999998</v>
      </c>
      <c r="D263" cm="1">
        <f t="array" aca="1" ref="D263" ca="1">[1]!s_west_instnum_np($B$1,YEAR($A263),$A263,180)</f>
        <v>24</v>
      </c>
      <c r="E263" cm="1">
        <f t="array" aca="1" ref="E263" ca="1">[1]!s_west_stdnetprofit($B$1,YEAR($A263),$A263,180,1000000)</f>
        <v>78.140739999999994</v>
      </c>
      <c r="F263" cm="1">
        <f t="array" aca="1" ref="F263" ca="1">[1]!s_west_mediannetprofit($B$1,YEAR($A263),$A263,180,1000000)</f>
        <v>413.77499999999998</v>
      </c>
      <c r="G263" cm="1">
        <f t="array" aca="1" ref="G263" ca="1">[1]!s_west_netprofit($B$1,YEAR($A263)+1,$A263,180,1000000)</f>
        <v>88.481916999999996</v>
      </c>
      <c r="H263" cm="1">
        <f t="array" aca="1" ref="H263" ca="1">[1]!s_west_eps($B$1,YEAR($A263)+1,$A263,180)</f>
        <v>0.1011</v>
      </c>
      <c r="I263" cm="1">
        <f t="array" aca="1" ref="I263" ca="1">[1]!s_west_instnum_np($B$1,YEAR($A263)+1,$A263,180)</f>
        <v>24</v>
      </c>
      <c r="J263" cm="1">
        <f t="array" aca="1" ref="J263" ca="1">[1]!s_west_stdnetprofit($B$1,YEAR($A263)+1,$A263,180,1000000)</f>
        <v>54.757939999999998</v>
      </c>
      <c r="K263" cm="1">
        <f t="array" aca="1" ref="K263" ca="1">[1]!s_west_mediannetprofit($B$1,YEAR($A262)+1,$A262,180,1000000)</f>
        <v>70.5</v>
      </c>
      <c r="L263" cm="1">
        <f t="array" aca="1" ref="L263" ca="1">[1]!s_dq_close($B$1,$A263,3)</f>
        <v>28</v>
      </c>
    </row>
    <row r="264" spans="1:12">
      <c r="A264" s="23">
        <f t="shared" ca="1" si="3"/>
        <v>45911</v>
      </c>
      <c r="B264" cm="1">
        <f t="array" aca="1" ref="B264" ca="1">[1]!s_west_netprofit($B$1,YEAR($A264),$A264,180,1000000)</f>
        <v>392.24758300000002</v>
      </c>
      <c r="C264" cm="1">
        <f t="array" aca="1" ref="C264" ca="1">[1]!s_west_eps($B$1,YEAR($A264),$A264,180)</f>
        <v>0.44979999999999998</v>
      </c>
      <c r="D264" cm="1">
        <f t="array" aca="1" ref="D264" ca="1">[1]!s_west_instnum_np($B$1,YEAR($A264),$A264,180)</f>
        <v>24</v>
      </c>
      <c r="E264" cm="1">
        <f t="array" aca="1" ref="E264" ca="1">[1]!s_west_stdnetprofit($B$1,YEAR($A264),$A264,180,1000000)</f>
        <v>78.140739999999994</v>
      </c>
      <c r="F264" cm="1">
        <f t="array" aca="1" ref="F264" ca="1">[1]!s_west_mediannetprofit($B$1,YEAR($A264),$A264,180,1000000)</f>
        <v>413.77499999999998</v>
      </c>
      <c r="G264" cm="1">
        <f t="array" aca="1" ref="G264" ca="1">[1]!s_west_netprofit($B$1,YEAR($A264)+1,$A264,180,1000000)</f>
        <v>88.481916999999996</v>
      </c>
      <c r="H264" cm="1">
        <f t="array" aca="1" ref="H264" ca="1">[1]!s_west_eps($B$1,YEAR($A264)+1,$A264,180)</f>
        <v>0.1011</v>
      </c>
      <c r="I264" cm="1">
        <f t="array" aca="1" ref="I264" ca="1">[1]!s_west_instnum_np($B$1,YEAR($A264)+1,$A264,180)</f>
        <v>24</v>
      </c>
      <c r="J264" cm="1">
        <f t="array" aca="1" ref="J264" ca="1">[1]!s_west_stdnetprofit($B$1,YEAR($A264)+1,$A264,180,1000000)</f>
        <v>54.757939999999998</v>
      </c>
      <c r="K264" cm="1">
        <f t="array" aca="1" ref="K264" ca="1">[1]!s_west_mediannetprofit($B$1,YEAR($A263)+1,$A263,180,1000000)</f>
        <v>70.5</v>
      </c>
      <c r="L264" cm="1">
        <f t="array" aca="1" ref="L264" ca="1">[1]!s_dq_close($B$1,$A264,3)</f>
        <v>25.18</v>
      </c>
    </row>
    <row r="265" spans="1:12">
      <c r="A265" s="23">
        <f t="shared" ca="1" si="3"/>
        <v>45910</v>
      </c>
      <c r="B265" cm="1">
        <f t="array" aca="1" ref="B265" ca="1">[1]!s_west_netprofit($B$1,YEAR($A265),$A265,180,1000000)</f>
        <v>392.24758300000002</v>
      </c>
      <c r="C265" cm="1">
        <f t="array" aca="1" ref="C265" ca="1">[1]!s_west_eps($B$1,YEAR($A265),$A265,180)</f>
        <v>0.44979999999999998</v>
      </c>
      <c r="D265" cm="1">
        <f t="array" aca="1" ref="D265" ca="1">[1]!s_west_instnum_np($B$1,YEAR($A265),$A265,180)</f>
        <v>24</v>
      </c>
      <c r="E265" cm="1">
        <f t="array" aca="1" ref="E265" ca="1">[1]!s_west_stdnetprofit($B$1,YEAR($A265),$A265,180,1000000)</f>
        <v>78.140739999999994</v>
      </c>
      <c r="F265" cm="1">
        <f t="array" aca="1" ref="F265" ca="1">[1]!s_west_mediannetprofit($B$1,YEAR($A265),$A265,180,1000000)</f>
        <v>413.77499999999998</v>
      </c>
      <c r="G265" cm="1">
        <f t="array" aca="1" ref="G265" ca="1">[1]!s_west_netprofit($B$1,YEAR($A265)+1,$A265,180,1000000)</f>
        <v>88.481916999999996</v>
      </c>
      <c r="H265" cm="1">
        <f t="array" aca="1" ref="H265" ca="1">[1]!s_west_eps($B$1,YEAR($A265)+1,$A265,180)</f>
        <v>0.1011</v>
      </c>
      <c r="I265" cm="1">
        <f t="array" aca="1" ref="I265" ca="1">[1]!s_west_instnum_np($B$1,YEAR($A265)+1,$A265,180)</f>
        <v>24</v>
      </c>
      <c r="J265" cm="1">
        <f t="array" aca="1" ref="J265" ca="1">[1]!s_west_stdnetprofit($B$1,YEAR($A265)+1,$A265,180,1000000)</f>
        <v>54.757939999999998</v>
      </c>
      <c r="K265" cm="1">
        <f t="array" aca="1" ref="K265" ca="1">[1]!s_west_mediannetprofit($B$1,YEAR($A264)+1,$A264,180,1000000)</f>
        <v>70.5</v>
      </c>
      <c r="L265" cm="1">
        <f t="array" aca="1" ref="L265" ca="1">[1]!s_dq_close($B$1,$A265,3)</f>
        <v>25.08</v>
      </c>
    </row>
    <row r="266" spans="1:12">
      <c r="A266" s="23">
        <f t="shared" ca="1" si="3"/>
        <v>45909</v>
      </c>
      <c r="B266" cm="1">
        <f t="array" aca="1" ref="B266" ca="1">[1]!s_west_netprofit($B$1,YEAR($A266),$A266,180,1000000)</f>
        <v>392.24758300000002</v>
      </c>
      <c r="C266" cm="1">
        <f t="array" aca="1" ref="C266" ca="1">[1]!s_west_eps($B$1,YEAR($A266),$A266,180)</f>
        <v>0.44979999999999998</v>
      </c>
      <c r="D266" cm="1">
        <f t="array" aca="1" ref="D266" ca="1">[1]!s_west_instnum_np($B$1,YEAR($A266),$A266,180)</f>
        <v>24</v>
      </c>
      <c r="E266" cm="1">
        <f t="array" aca="1" ref="E266" ca="1">[1]!s_west_stdnetprofit($B$1,YEAR($A266),$A266,180,1000000)</f>
        <v>78.140739999999994</v>
      </c>
      <c r="F266" cm="1">
        <f t="array" aca="1" ref="F266" ca="1">[1]!s_west_mediannetprofit($B$1,YEAR($A266),$A266,180,1000000)</f>
        <v>413.77499999999998</v>
      </c>
      <c r="G266" cm="1">
        <f t="array" aca="1" ref="G266" ca="1">[1]!s_west_netprofit($B$1,YEAR($A266)+1,$A266,180,1000000)</f>
        <v>88.481916999999996</v>
      </c>
      <c r="H266" cm="1">
        <f t="array" aca="1" ref="H266" ca="1">[1]!s_west_eps($B$1,YEAR($A266)+1,$A266,180)</f>
        <v>0.1011</v>
      </c>
      <c r="I266" cm="1">
        <f t="array" aca="1" ref="I266" ca="1">[1]!s_west_instnum_np($B$1,YEAR($A266)+1,$A266,180)</f>
        <v>24</v>
      </c>
      <c r="J266" cm="1">
        <f t="array" aca="1" ref="J266" ca="1">[1]!s_west_stdnetprofit($B$1,YEAR($A266)+1,$A266,180,1000000)</f>
        <v>54.757939999999998</v>
      </c>
      <c r="K266" cm="1">
        <f t="array" aca="1" ref="K266" ca="1">[1]!s_west_mediannetprofit($B$1,YEAR($A265)+1,$A265,180,1000000)</f>
        <v>70.5</v>
      </c>
      <c r="L266" cm="1">
        <f t="array" aca="1" ref="L266" ca="1">[1]!s_dq_close($B$1,$A266,3)</f>
        <v>25.2</v>
      </c>
    </row>
    <row r="267" spans="1:12">
      <c r="A267" s="23">
        <f t="shared" ca="1" si="3"/>
        <v>45908</v>
      </c>
      <c r="B267" cm="1">
        <f t="array" aca="1" ref="B267" ca="1">[1]!s_west_netprofit($B$1,YEAR($A267),$A267,180,1000000)</f>
        <v>392.24758300000002</v>
      </c>
      <c r="C267" cm="1">
        <f t="array" aca="1" ref="C267" ca="1">[1]!s_west_eps($B$1,YEAR($A267),$A267,180)</f>
        <v>0.44979999999999998</v>
      </c>
      <c r="D267" cm="1">
        <f t="array" aca="1" ref="D267" ca="1">[1]!s_west_instnum_np($B$1,YEAR($A267),$A267,180)</f>
        <v>24</v>
      </c>
      <c r="E267" cm="1">
        <f t="array" aca="1" ref="E267" ca="1">[1]!s_west_stdnetprofit($B$1,YEAR($A267),$A267,180,1000000)</f>
        <v>78.140739999999994</v>
      </c>
      <c r="F267" cm="1">
        <f t="array" aca="1" ref="F267" ca="1">[1]!s_west_mediannetprofit($B$1,YEAR($A267),$A267,180,1000000)</f>
        <v>413.77499999999998</v>
      </c>
      <c r="G267" cm="1">
        <f t="array" aca="1" ref="G267" ca="1">[1]!s_west_netprofit($B$1,YEAR($A267)+1,$A267,180,1000000)</f>
        <v>88.481916999999996</v>
      </c>
      <c r="H267" cm="1">
        <f t="array" aca="1" ref="H267" ca="1">[1]!s_west_eps($B$1,YEAR($A267)+1,$A267,180)</f>
        <v>0.1011</v>
      </c>
      <c r="I267" cm="1">
        <f t="array" aca="1" ref="I267" ca="1">[1]!s_west_instnum_np($B$1,YEAR($A267)+1,$A267,180)</f>
        <v>24</v>
      </c>
      <c r="J267" cm="1">
        <f t="array" aca="1" ref="J267" ca="1">[1]!s_west_stdnetprofit($B$1,YEAR($A267)+1,$A267,180,1000000)</f>
        <v>54.757939999999998</v>
      </c>
      <c r="K267" cm="1">
        <f t="array" aca="1" ref="K267" ca="1">[1]!s_west_mediannetprofit($B$1,YEAR($A266)+1,$A266,180,1000000)</f>
        <v>70.5</v>
      </c>
      <c r="L267" cm="1">
        <f t="array" aca="1" ref="L267" ca="1">[1]!s_dq_close($B$1,$A267,3)</f>
        <v>25.36</v>
      </c>
    </row>
    <row r="268" spans="1:12">
      <c r="A268" s="23">
        <f t="shared" ca="1" si="3"/>
        <v>45907</v>
      </c>
      <c r="B268" cm="1">
        <f t="array" aca="1" ref="B268" ca="1">[1]!s_west_netprofit($B$1,YEAR($A268),$A268,180,1000000)</f>
        <v>392.24758300000002</v>
      </c>
      <c r="C268" cm="1">
        <f t="array" aca="1" ref="C268" ca="1">[1]!s_west_eps($B$1,YEAR($A268),$A268,180)</f>
        <v>0.44979999999999998</v>
      </c>
      <c r="D268" cm="1">
        <f t="array" aca="1" ref="D268" ca="1">[1]!s_west_instnum_np($B$1,YEAR($A268),$A268,180)</f>
        <v>24</v>
      </c>
      <c r="E268" cm="1">
        <f t="array" aca="1" ref="E268" ca="1">[1]!s_west_stdnetprofit($B$1,YEAR($A268),$A268,180,1000000)</f>
        <v>78.140739999999994</v>
      </c>
      <c r="F268" cm="1">
        <f t="array" aca="1" ref="F268" ca="1">[1]!s_west_mediannetprofit($B$1,YEAR($A268),$A268,180,1000000)</f>
        <v>413.77499999999998</v>
      </c>
      <c r="G268" cm="1">
        <f t="array" aca="1" ref="G268" ca="1">[1]!s_west_netprofit($B$1,YEAR($A268)+1,$A268,180,1000000)</f>
        <v>88.481916999999996</v>
      </c>
      <c r="H268" cm="1">
        <f t="array" aca="1" ref="H268" ca="1">[1]!s_west_eps($B$1,YEAR($A268)+1,$A268,180)</f>
        <v>0.1011</v>
      </c>
      <c r="I268" cm="1">
        <f t="array" aca="1" ref="I268" ca="1">[1]!s_west_instnum_np($B$1,YEAR($A268)+1,$A268,180)</f>
        <v>24</v>
      </c>
      <c r="J268" cm="1">
        <f t="array" aca="1" ref="J268" ca="1">[1]!s_west_stdnetprofit($B$1,YEAR($A268)+1,$A268,180,1000000)</f>
        <v>54.757939999999998</v>
      </c>
      <c r="K268" cm="1">
        <f t="array" aca="1" ref="K268" ca="1">[1]!s_west_mediannetprofit($B$1,YEAR($A267)+1,$A267,180,1000000)</f>
        <v>70.5</v>
      </c>
      <c r="L268" cm="1">
        <f t="array" aca="1" ref="L268" ca="1">[1]!s_dq_close($B$1,$A268,3)</f>
        <v>25.02</v>
      </c>
    </row>
    <row r="269" spans="1:12">
      <c r="A269" s="23">
        <f t="shared" ref="A269:A332" ca="1" si="4">A268-1</f>
        <v>45906</v>
      </c>
      <c r="B269" cm="1">
        <f t="array" aca="1" ref="B269" ca="1">[1]!s_west_netprofit($B$1,YEAR($A269),$A269,180,1000000)</f>
        <v>392.24758300000002</v>
      </c>
      <c r="C269" cm="1">
        <f t="array" aca="1" ref="C269" ca="1">[1]!s_west_eps($B$1,YEAR($A269),$A269,180)</f>
        <v>0.44979999999999998</v>
      </c>
      <c r="D269" cm="1">
        <f t="array" aca="1" ref="D269" ca="1">[1]!s_west_instnum_np($B$1,YEAR($A269),$A269,180)</f>
        <v>24</v>
      </c>
      <c r="E269" cm="1">
        <f t="array" aca="1" ref="E269" ca="1">[1]!s_west_stdnetprofit($B$1,YEAR($A269),$A269,180,1000000)</f>
        <v>78.140739999999994</v>
      </c>
      <c r="F269" cm="1">
        <f t="array" aca="1" ref="F269" ca="1">[1]!s_west_mediannetprofit($B$1,YEAR($A269),$A269,180,1000000)</f>
        <v>413.77499999999998</v>
      </c>
      <c r="G269" cm="1">
        <f t="array" aca="1" ref="G269" ca="1">[1]!s_west_netprofit($B$1,YEAR($A269)+1,$A269,180,1000000)</f>
        <v>88.481916999999996</v>
      </c>
      <c r="H269" cm="1">
        <f t="array" aca="1" ref="H269" ca="1">[1]!s_west_eps($B$1,YEAR($A269)+1,$A269,180)</f>
        <v>0.1011</v>
      </c>
      <c r="I269" cm="1">
        <f t="array" aca="1" ref="I269" ca="1">[1]!s_west_instnum_np($B$1,YEAR($A269)+1,$A269,180)</f>
        <v>24</v>
      </c>
      <c r="J269" cm="1">
        <f t="array" aca="1" ref="J269" ca="1">[1]!s_west_stdnetprofit($B$1,YEAR($A269)+1,$A269,180,1000000)</f>
        <v>54.757939999999998</v>
      </c>
      <c r="K269" cm="1">
        <f t="array" aca="1" ref="K269" ca="1">[1]!s_west_mediannetprofit($B$1,YEAR($A268)+1,$A268,180,1000000)</f>
        <v>70.5</v>
      </c>
      <c r="L269" cm="1">
        <f t="array" aca="1" ref="L269" ca="1">[1]!s_dq_close($B$1,$A269,3)</f>
        <v>25.02</v>
      </c>
    </row>
    <row r="270" spans="1:12">
      <c r="A270" s="23">
        <f t="shared" ca="1" si="4"/>
        <v>45905</v>
      </c>
      <c r="B270" cm="1">
        <f t="array" aca="1" ref="B270" ca="1">[1]!s_west_netprofit($B$1,YEAR($A270),$A270,180,1000000)</f>
        <v>392.24758300000002</v>
      </c>
      <c r="C270" cm="1">
        <f t="array" aca="1" ref="C270" ca="1">[1]!s_west_eps($B$1,YEAR($A270),$A270,180)</f>
        <v>0.44979999999999998</v>
      </c>
      <c r="D270" cm="1">
        <f t="array" aca="1" ref="D270" ca="1">[1]!s_west_instnum_np($B$1,YEAR($A270),$A270,180)</f>
        <v>24</v>
      </c>
      <c r="E270" cm="1">
        <f t="array" aca="1" ref="E270" ca="1">[1]!s_west_stdnetprofit($B$1,YEAR($A270),$A270,180,1000000)</f>
        <v>78.140739999999994</v>
      </c>
      <c r="F270" cm="1">
        <f t="array" aca="1" ref="F270" ca="1">[1]!s_west_mediannetprofit($B$1,YEAR($A270),$A270,180,1000000)</f>
        <v>413.77499999999998</v>
      </c>
      <c r="G270" cm="1">
        <f t="array" aca="1" ref="G270" ca="1">[1]!s_west_netprofit($B$1,YEAR($A270)+1,$A270,180,1000000)</f>
        <v>88.481916999999996</v>
      </c>
      <c r="H270" cm="1">
        <f t="array" aca="1" ref="H270" ca="1">[1]!s_west_eps($B$1,YEAR($A270)+1,$A270,180)</f>
        <v>0.1011</v>
      </c>
      <c r="I270" cm="1">
        <f t="array" aca="1" ref="I270" ca="1">[1]!s_west_instnum_np($B$1,YEAR($A270)+1,$A270,180)</f>
        <v>24</v>
      </c>
      <c r="J270" cm="1">
        <f t="array" aca="1" ref="J270" ca="1">[1]!s_west_stdnetprofit($B$1,YEAR($A270)+1,$A270,180,1000000)</f>
        <v>54.757939999999998</v>
      </c>
      <c r="K270" cm="1">
        <f t="array" aca="1" ref="K270" ca="1">[1]!s_west_mediannetprofit($B$1,YEAR($A269)+1,$A269,180,1000000)</f>
        <v>70.5</v>
      </c>
      <c r="L270" cm="1">
        <f t="array" aca="1" ref="L270" ca="1">[1]!s_dq_close($B$1,$A270,3)</f>
        <v>25.02</v>
      </c>
    </row>
    <row r="271" spans="1:12">
      <c r="A271" s="23">
        <f t="shared" ca="1" si="4"/>
        <v>45904</v>
      </c>
      <c r="B271" cm="1">
        <f t="array" aca="1" ref="B271" ca="1">[1]!s_west_netprofit($B$1,YEAR($A271),$A271,180,1000000)</f>
        <v>392.24758300000002</v>
      </c>
      <c r="C271" cm="1">
        <f t="array" aca="1" ref="C271" ca="1">[1]!s_west_eps($B$1,YEAR($A271),$A271,180)</f>
        <v>0.44979999999999998</v>
      </c>
      <c r="D271" cm="1">
        <f t="array" aca="1" ref="D271" ca="1">[1]!s_west_instnum_np($B$1,YEAR($A271),$A271,180)</f>
        <v>24</v>
      </c>
      <c r="E271" cm="1">
        <f t="array" aca="1" ref="E271" ca="1">[1]!s_west_stdnetprofit($B$1,YEAR($A271),$A271,180,1000000)</f>
        <v>78.140739999999994</v>
      </c>
      <c r="F271" cm="1">
        <f t="array" aca="1" ref="F271" ca="1">[1]!s_west_mediannetprofit($B$1,YEAR($A271),$A271,180,1000000)</f>
        <v>413.77499999999998</v>
      </c>
      <c r="G271" cm="1">
        <f t="array" aca="1" ref="G271" ca="1">[1]!s_west_netprofit($B$1,YEAR($A271)+1,$A271,180,1000000)</f>
        <v>88.481916999999996</v>
      </c>
      <c r="H271" cm="1">
        <f t="array" aca="1" ref="H271" ca="1">[1]!s_west_eps($B$1,YEAR($A271)+1,$A271,180)</f>
        <v>0.1011</v>
      </c>
      <c r="I271" cm="1">
        <f t="array" aca="1" ref="I271" ca="1">[1]!s_west_instnum_np($B$1,YEAR($A271)+1,$A271,180)</f>
        <v>24</v>
      </c>
      <c r="J271" cm="1">
        <f t="array" aca="1" ref="J271" ca="1">[1]!s_west_stdnetprofit($B$1,YEAR($A271)+1,$A271,180,1000000)</f>
        <v>54.757939999999998</v>
      </c>
      <c r="K271" cm="1">
        <f t="array" aca="1" ref="K271" ca="1">[1]!s_west_mediannetprofit($B$1,YEAR($A270)+1,$A270,180,1000000)</f>
        <v>70.5</v>
      </c>
      <c r="L271" cm="1">
        <f t="array" aca="1" ref="L271" ca="1">[1]!s_dq_close($B$1,$A271,3)</f>
        <v>23.4</v>
      </c>
    </row>
    <row r="272" spans="1:12">
      <c r="A272" s="23">
        <f t="shared" ca="1" si="4"/>
        <v>45903</v>
      </c>
      <c r="B272" cm="1">
        <f t="array" aca="1" ref="B272" ca="1">[1]!s_west_netprofit($B$1,YEAR($A272),$A272,180,1000000)</f>
        <v>392.24758300000002</v>
      </c>
      <c r="C272" cm="1">
        <f t="array" aca="1" ref="C272" ca="1">[1]!s_west_eps($B$1,YEAR($A272),$A272,180)</f>
        <v>0.44979999999999998</v>
      </c>
      <c r="D272" cm="1">
        <f t="array" aca="1" ref="D272" ca="1">[1]!s_west_instnum_np($B$1,YEAR($A272),$A272,180)</f>
        <v>24</v>
      </c>
      <c r="E272" cm="1">
        <f t="array" aca="1" ref="E272" ca="1">[1]!s_west_stdnetprofit($B$1,YEAR($A272),$A272,180,1000000)</f>
        <v>78.140739999999994</v>
      </c>
      <c r="F272" cm="1">
        <f t="array" aca="1" ref="F272" ca="1">[1]!s_west_mediannetprofit($B$1,YEAR($A272),$A272,180,1000000)</f>
        <v>413.77499999999998</v>
      </c>
      <c r="G272" cm="1">
        <f t="array" aca="1" ref="G272" ca="1">[1]!s_west_netprofit($B$1,YEAR($A272)+1,$A272,180,1000000)</f>
        <v>88.481916999999996</v>
      </c>
      <c r="H272" cm="1">
        <f t="array" aca="1" ref="H272" ca="1">[1]!s_west_eps($B$1,YEAR($A272)+1,$A272,180)</f>
        <v>0.1011</v>
      </c>
      <c r="I272" cm="1">
        <f t="array" aca="1" ref="I272" ca="1">[1]!s_west_instnum_np($B$1,YEAR($A272)+1,$A272,180)</f>
        <v>24</v>
      </c>
      <c r="J272" cm="1">
        <f t="array" aca="1" ref="J272" ca="1">[1]!s_west_stdnetprofit($B$1,YEAR($A272)+1,$A272,180,1000000)</f>
        <v>54.757939999999998</v>
      </c>
      <c r="K272" cm="1">
        <f t="array" aca="1" ref="K272" ca="1">[1]!s_west_mediannetprofit($B$1,YEAR($A271)+1,$A271,180,1000000)</f>
        <v>70.5</v>
      </c>
      <c r="L272" cm="1">
        <f t="array" aca="1" ref="L272" ca="1">[1]!s_dq_close($B$1,$A272,3)</f>
        <v>24.34</v>
      </c>
    </row>
    <row r="273" spans="1:12">
      <c r="A273" s="23">
        <f t="shared" ca="1" si="4"/>
        <v>45902</v>
      </c>
      <c r="B273" cm="1">
        <f t="array" aca="1" ref="B273" ca="1">[1]!s_west_netprofit($B$1,YEAR($A273),$A273,180,1000000)</f>
        <v>392.24758300000002</v>
      </c>
      <c r="C273" cm="1">
        <f t="array" aca="1" ref="C273" ca="1">[1]!s_west_eps($B$1,YEAR($A273),$A273,180)</f>
        <v>0.44979999999999998</v>
      </c>
      <c r="D273" cm="1">
        <f t="array" aca="1" ref="D273" ca="1">[1]!s_west_instnum_np($B$1,YEAR($A273),$A273,180)</f>
        <v>24</v>
      </c>
      <c r="E273" cm="1">
        <f t="array" aca="1" ref="E273" ca="1">[1]!s_west_stdnetprofit($B$1,YEAR($A273),$A273,180,1000000)</f>
        <v>78.140739999999994</v>
      </c>
      <c r="F273" cm="1">
        <f t="array" aca="1" ref="F273" ca="1">[1]!s_west_mediannetprofit($B$1,YEAR($A273),$A273,180,1000000)</f>
        <v>413.77499999999998</v>
      </c>
      <c r="G273" cm="1">
        <f t="array" aca="1" ref="G273" ca="1">[1]!s_west_netprofit($B$1,YEAR($A273)+1,$A273,180,1000000)</f>
        <v>88.481916999999996</v>
      </c>
      <c r="H273" cm="1">
        <f t="array" aca="1" ref="H273" ca="1">[1]!s_west_eps($B$1,YEAR($A273)+1,$A273,180)</f>
        <v>0.1011</v>
      </c>
      <c r="I273" cm="1">
        <f t="array" aca="1" ref="I273" ca="1">[1]!s_west_instnum_np($B$1,YEAR($A273)+1,$A273,180)</f>
        <v>24</v>
      </c>
      <c r="J273" cm="1">
        <f t="array" aca="1" ref="J273" ca="1">[1]!s_west_stdnetprofit($B$1,YEAR($A273)+1,$A273,180,1000000)</f>
        <v>54.757939999999998</v>
      </c>
      <c r="K273" cm="1">
        <f t="array" aca="1" ref="K273" ca="1">[1]!s_west_mediannetprofit($B$1,YEAR($A272)+1,$A272,180,1000000)</f>
        <v>70.5</v>
      </c>
      <c r="L273" cm="1">
        <f t="array" aca="1" ref="L273" ca="1">[1]!s_dq_close($B$1,$A273,3)</f>
        <v>24.32</v>
      </c>
    </row>
    <row r="274" spans="1:12">
      <c r="A274" s="23">
        <f t="shared" ca="1" si="4"/>
        <v>45901</v>
      </c>
      <c r="B274" cm="1">
        <f t="array" aca="1" ref="B274" ca="1">[1]!s_west_netprofit($B$1,YEAR($A274),$A274,180,1000000)</f>
        <v>392.24758300000002</v>
      </c>
      <c r="C274" cm="1">
        <f t="array" aca="1" ref="C274" ca="1">[1]!s_west_eps($B$1,YEAR($A274),$A274,180)</f>
        <v>0.44979999999999998</v>
      </c>
      <c r="D274" cm="1">
        <f t="array" aca="1" ref="D274" ca="1">[1]!s_west_instnum_np($B$1,YEAR($A274),$A274,180)</f>
        <v>24</v>
      </c>
      <c r="E274" cm="1">
        <f t="array" aca="1" ref="E274" ca="1">[1]!s_west_stdnetprofit($B$1,YEAR($A274),$A274,180,1000000)</f>
        <v>78.140739999999994</v>
      </c>
      <c r="F274" cm="1">
        <f t="array" aca="1" ref="F274" ca="1">[1]!s_west_mediannetprofit($B$1,YEAR($A274),$A274,180,1000000)</f>
        <v>413.77499999999998</v>
      </c>
      <c r="G274" cm="1">
        <f t="array" aca="1" ref="G274" ca="1">[1]!s_west_netprofit($B$1,YEAR($A274)+1,$A274,180,1000000)</f>
        <v>88.481916999999996</v>
      </c>
      <c r="H274" cm="1">
        <f t="array" aca="1" ref="H274" ca="1">[1]!s_west_eps($B$1,YEAR($A274)+1,$A274,180)</f>
        <v>0.1011</v>
      </c>
      <c r="I274" cm="1">
        <f t="array" aca="1" ref="I274" ca="1">[1]!s_west_instnum_np($B$1,YEAR($A274)+1,$A274,180)</f>
        <v>24</v>
      </c>
      <c r="J274" cm="1">
        <f t="array" aca="1" ref="J274" ca="1">[1]!s_west_stdnetprofit($B$1,YEAR($A274)+1,$A274,180,1000000)</f>
        <v>54.757939999999998</v>
      </c>
      <c r="K274" cm="1">
        <f t="array" aca="1" ref="K274" ca="1">[1]!s_west_mediannetprofit($B$1,YEAR($A273)+1,$A273,180,1000000)</f>
        <v>70.5</v>
      </c>
      <c r="L274" cm="1">
        <f t="array" aca="1" ref="L274" ca="1">[1]!s_dq_close($B$1,$A274,3)</f>
        <v>24.46</v>
      </c>
    </row>
    <row r="275" spans="1:12">
      <c r="A275" s="23">
        <f t="shared" ca="1" si="4"/>
        <v>45900</v>
      </c>
      <c r="B275" cm="1">
        <f t="array" aca="1" ref="B275" ca="1">[1]!s_west_netprofit($B$1,YEAR($A275),$A275,180,1000000)</f>
        <v>392.24758300000002</v>
      </c>
      <c r="C275" cm="1">
        <f t="array" aca="1" ref="C275" ca="1">[1]!s_west_eps($B$1,YEAR($A275),$A275,180)</f>
        <v>0.44979999999999998</v>
      </c>
      <c r="D275" cm="1">
        <f t="array" aca="1" ref="D275" ca="1">[1]!s_west_instnum_np($B$1,YEAR($A275),$A275,180)</f>
        <v>24</v>
      </c>
      <c r="E275" cm="1">
        <f t="array" aca="1" ref="E275" ca="1">[1]!s_west_stdnetprofit($B$1,YEAR($A275),$A275,180,1000000)</f>
        <v>78.140739999999994</v>
      </c>
      <c r="F275" cm="1">
        <f t="array" aca="1" ref="F275" ca="1">[1]!s_west_mediannetprofit($B$1,YEAR($A275),$A275,180,1000000)</f>
        <v>413.77499999999998</v>
      </c>
      <c r="G275" cm="1">
        <f t="array" aca="1" ref="G275" ca="1">[1]!s_west_netprofit($B$1,YEAR($A275)+1,$A275,180,1000000)</f>
        <v>88.481916999999996</v>
      </c>
      <c r="H275" cm="1">
        <f t="array" aca="1" ref="H275" ca="1">[1]!s_west_eps($B$1,YEAR($A275)+1,$A275,180)</f>
        <v>0.1011</v>
      </c>
      <c r="I275" cm="1">
        <f t="array" aca="1" ref="I275" ca="1">[1]!s_west_instnum_np($B$1,YEAR($A275)+1,$A275,180)</f>
        <v>24</v>
      </c>
      <c r="J275" cm="1">
        <f t="array" aca="1" ref="J275" ca="1">[1]!s_west_stdnetprofit($B$1,YEAR($A275)+1,$A275,180,1000000)</f>
        <v>54.757939999999998</v>
      </c>
      <c r="K275" cm="1">
        <f t="array" aca="1" ref="K275" ca="1">[1]!s_west_mediannetprofit($B$1,YEAR($A274)+1,$A274,180,1000000)</f>
        <v>70.5</v>
      </c>
      <c r="L275" cm="1">
        <f t="array" aca="1" ref="L275" ca="1">[1]!s_dq_close($B$1,$A275,3)</f>
        <v>23.7</v>
      </c>
    </row>
    <row r="276" spans="1:12">
      <c r="A276" s="23">
        <f t="shared" ca="1" si="4"/>
        <v>45899</v>
      </c>
      <c r="B276" cm="1">
        <f t="array" aca="1" ref="B276" ca="1">[1]!s_west_netprofit($B$1,YEAR($A276),$A276,180,1000000)</f>
        <v>392.24758300000002</v>
      </c>
      <c r="C276" cm="1">
        <f t="array" aca="1" ref="C276" ca="1">[1]!s_west_eps($B$1,YEAR($A276),$A276,180)</f>
        <v>0.44979999999999998</v>
      </c>
      <c r="D276" cm="1">
        <f t="array" aca="1" ref="D276" ca="1">[1]!s_west_instnum_np($B$1,YEAR($A276),$A276,180)</f>
        <v>24</v>
      </c>
      <c r="E276" cm="1">
        <f t="array" aca="1" ref="E276" ca="1">[1]!s_west_stdnetprofit($B$1,YEAR($A276),$A276,180,1000000)</f>
        <v>78.140739999999994</v>
      </c>
      <c r="F276" cm="1">
        <f t="array" aca="1" ref="F276" ca="1">[1]!s_west_mediannetprofit($B$1,YEAR($A276),$A276,180,1000000)</f>
        <v>413.77499999999998</v>
      </c>
      <c r="G276" cm="1">
        <f t="array" aca="1" ref="G276" ca="1">[1]!s_west_netprofit($B$1,YEAR($A276)+1,$A276,180,1000000)</f>
        <v>88.481916999999996</v>
      </c>
      <c r="H276" cm="1">
        <f t="array" aca="1" ref="H276" ca="1">[1]!s_west_eps($B$1,YEAR($A276)+1,$A276,180)</f>
        <v>0.1011</v>
      </c>
      <c r="I276" cm="1">
        <f t="array" aca="1" ref="I276" ca="1">[1]!s_west_instnum_np($B$1,YEAR($A276)+1,$A276,180)</f>
        <v>24</v>
      </c>
      <c r="J276" cm="1">
        <f t="array" aca="1" ref="J276" ca="1">[1]!s_west_stdnetprofit($B$1,YEAR($A276)+1,$A276,180,1000000)</f>
        <v>54.757939999999998</v>
      </c>
      <c r="K276" cm="1">
        <f t="array" aca="1" ref="K276" ca="1">[1]!s_west_mediannetprofit($B$1,YEAR($A275)+1,$A275,180,1000000)</f>
        <v>70.5</v>
      </c>
      <c r="L276" cm="1">
        <f t="array" aca="1" ref="L276" ca="1">[1]!s_dq_close($B$1,$A276,3)</f>
        <v>23.7</v>
      </c>
    </row>
    <row r="277" spans="1:12">
      <c r="A277" s="23">
        <f t="shared" ca="1" si="4"/>
        <v>45898</v>
      </c>
      <c r="B277" cm="1">
        <f t="array" aca="1" ref="B277" ca="1">[1]!s_west_netprofit($B$1,YEAR($A277),$A277,180,1000000)</f>
        <v>392.24758300000002</v>
      </c>
      <c r="C277" cm="1">
        <f t="array" aca="1" ref="C277" ca="1">[1]!s_west_eps($B$1,YEAR($A277),$A277,180)</f>
        <v>0.44979999999999998</v>
      </c>
      <c r="D277" cm="1">
        <f t="array" aca="1" ref="D277" ca="1">[1]!s_west_instnum_np($B$1,YEAR($A277),$A277,180)</f>
        <v>24</v>
      </c>
      <c r="E277" cm="1">
        <f t="array" aca="1" ref="E277" ca="1">[1]!s_west_stdnetprofit($B$1,YEAR($A277),$A277,180,1000000)</f>
        <v>78.140739999999994</v>
      </c>
      <c r="F277" cm="1">
        <f t="array" aca="1" ref="F277" ca="1">[1]!s_west_mediannetprofit($B$1,YEAR($A277),$A277,180,1000000)</f>
        <v>413.77499999999998</v>
      </c>
      <c r="G277" cm="1">
        <f t="array" aca="1" ref="G277" ca="1">[1]!s_west_netprofit($B$1,YEAR($A277)+1,$A277,180,1000000)</f>
        <v>88.481916999999996</v>
      </c>
      <c r="H277" cm="1">
        <f t="array" aca="1" ref="H277" ca="1">[1]!s_west_eps($B$1,YEAR($A277)+1,$A277,180)</f>
        <v>0.1011</v>
      </c>
      <c r="I277" cm="1">
        <f t="array" aca="1" ref="I277" ca="1">[1]!s_west_instnum_np($B$1,YEAR($A277)+1,$A277,180)</f>
        <v>24</v>
      </c>
      <c r="J277" cm="1">
        <f t="array" aca="1" ref="J277" ca="1">[1]!s_west_stdnetprofit($B$1,YEAR($A277)+1,$A277,180,1000000)</f>
        <v>54.757939999999998</v>
      </c>
      <c r="K277" cm="1">
        <f t="array" aca="1" ref="K277" ca="1">[1]!s_west_mediannetprofit($B$1,YEAR($A276)+1,$A276,180,1000000)</f>
        <v>70.5</v>
      </c>
      <c r="L277" cm="1">
        <f t="array" aca="1" ref="L277" ca="1">[1]!s_dq_close($B$1,$A277,3)</f>
        <v>23.7</v>
      </c>
    </row>
    <row r="278" spans="1:12">
      <c r="A278" s="23">
        <f t="shared" ca="1" si="4"/>
        <v>45897</v>
      </c>
      <c r="B278" cm="1">
        <f t="array" aca="1" ref="B278" ca="1">[1]!s_west_netprofit($B$1,YEAR($A278),$A278,180,1000000)</f>
        <v>392.24758300000002</v>
      </c>
      <c r="C278" cm="1">
        <f t="array" aca="1" ref="C278" ca="1">[1]!s_west_eps($B$1,YEAR($A278),$A278,180)</f>
        <v>0.44979999999999998</v>
      </c>
      <c r="D278" cm="1">
        <f t="array" aca="1" ref="D278" ca="1">[1]!s_west_instnum_np($B$1,YEAR($A278),$A278,180)</f>
        <v>24</v>
      </c>
      <c r="E278" cm="1">
        <f t="array" aca="1" ref="E278" ca="1">[1]!s_west_stdnetprofit($B$1,YEAR($A278),$A278,180,1000000)</f>
        <v>78.140739999999994</v>
      </c>
      <c r="F278" cm="1">
        <f t="array" aca="1" ref="F278" ca="1">[1]!s_west_mediannetprofit($B$1,YEAR($A278),$A278,180,1000000)</f>
        <v>413.77499999999998</v>
      </c>
      <c r="G278" cm="1">
        <f t="array" aca="1" ref="G278" ca="1">[1]!s_west_netprofit($B$1,YEAR($A278)+1,$A278,180,1000000)</f>
        <v>88.481916999999996</v>
      </c>
      <c r="H278" cm="1">
        <f t="array" aca="1" ref="H278" ca="1">[1]!s_west_eps($B$1,YEAR($A278)+1,$A278,180)</f>
        <v>0.1011</v>
      </c>
      <c r="I278" cm="1">
        <f t="array" aca="1" ref="I278" ca="1">[1]!s_west_instnum_np($B$1,YEAR($A278)+1,$A278,180)</f>
        <v>24</v>
      </c>
      <c r="J278" cm="1">
        <f t="array" aca="1" ref="J278" ca="1">[1]!s_west_stdnetprofit($B$1,YEAR($A278)+1,$A278,180,1000000)</f>
        <v>54.757939999999998</v>
      </c>
      <c r="K278" cm="1">
        <f t="array" aca="1" ref="K278" ca="1">[1]!s_west_mediannetprofit($B$1,YEAR($A277)+1,$A277,180,1000000)</f>
        <v>70.5</v>
      </c>
      <c r="L278" cm="1">
        <f t="array" aca="1" ref="L278" ca="1">[1]!s_dq_close($B$1,$A278,3)</f>
        <v>23.38</v>
      </c>
    </row>
    <row r="279" spans="1:12">
      <c r="A279" s="23">
        <f t="shared" ca="1" si="4"/>
        <v>45896</v>
      </c>
      <c r="B279" cm="1">
        <f t="array" aca="1" ref="B279" ca="1">[1]!s_west_netprofit($B$1,YEAR($A279),$A279,180,1000000)</f>
        <v>392.24758300000002</v>
      </c>
      <c r="C279" cm="1">
        <f t="array" aca="1" ref="C279" ca="1">[1]!s_west_eps($B$1,YEAR($A279),$A279,180)</f>
        <v>0.44979999999999998</v>
      </c>
      <c r="D279" cm="1">
        <f t="array" aca="1" ref="D279" ca="1">[1]!s_west_instnum_np($B$1,YEAR($A279),$A279,180)</f>
        <v>24</v>
      </c>
      <c r="E279" cm="1">
        <f t="array" aca="1" ref="E279" ca="1">[1]!s_west_stdnetprofit($B$1,YEAR($A279),$A279,180,1000000)</f>
        <v>78.140739999999994</v>
      </c>
      <c r="F279" cm="1">
        <f t="array" aca="1" ref="F279" ca="1">[1]!s_west_mediannetprofit($B$1,YEAR($A279),$A279,180,1000000)</f>
        <v>413.77499999999998</v>
      </c>
      <c r="G279" cm="1">
        <f t="array" aca="1" ref="G279" ca="1">[1]!s_west_netprofit($B$1,YEAR($A279)+1,$A279,180,1000000)</f>
        <v>88.481916999999996</v>
      </c>
      <c r="H279" cm="1">
        <f t="array" aca="1" ref="H279" ca="1">[1]!s_west_eps($B$1,YEAR($A279)+1,$A279,180)</f>
        <v>0.1011</v>
      </c>
      <c r="I279" cm="1">
        <f t="array" aca="1" ref="I279" ca="1">[1]!s_west_instnum_np($B$1,YEAR($A279)+1,$A279,180)</f>
        <v>24</v>
      </c>
      <c r="J279" cm="1">
        <f t="array" aca="1" ref="J279" ca="1">[1]!s_west_stdnetprofit($B$1,YEAR($A279)+1,$A279,180,1000000)</f>
        <v>54.757939999999998</v>
      </c>
      <c r="K279" cm="1">
        <f t="array" aca="1" ref="K279" ca="1">[1]!s_west_mediannetprofit($B$1,YEAR($A278)+1,$A278,180,1000000)</f>
        <v>70.5</v>
      </c>
      <c r="L279" cm="1">
        <f t="array" aca="1" ref="L279" ca="1">[1]!s_dq_close($B$1,$A279,3)</f>
        <v>23.84</v>
      </c>
    </row>
    <row r="280" spans="1:12">
      <c r="A280" s="23">
        <f t="shared" ca="1" si="4"/>
        <v>45895</v>
      </c>
      <c r="B280" cm="1">
        <f t="array" aca="1" ref="B280" ca="1">[1]!s_west_netprofit($B$1,YEAR($A280),$A280,180,1000000)</f>
        <v>392.24758300000002</v>
      </c>
      <c r="C280" cm="1">
        <f t="array" aca="1" ref="C280" ca="1">[1]!s_west_eps($B$1,YEAR($A280),$A280,180)</f>
        <v>0.44979999999999998</v>
      </c>
      <c r="D280" cm="1">
        <f t="array" aca="1" ref="D280" ca="1">[1]!s_west_instnum_np($B$1,YEAR($A280),$A280,180)</f>
        <v>24</v>
      </c>
      <c r="E280" cm="1">
        <f t="array" aca="1" ref="E280" ca="1">[1]!s_west_stdnetprofit($B$1,YEAR($A280),$A280,180,1000000)</f>
        <v>78.140739999999994</v>
      </c>
      <c r="F280" cm="1">
        <f t="array" aca="1" ref="F280" ca="1">[1]!s_west_mediannetprofit($B$1,YEAR($A280),$A280,180,1000000)</f>
        <v>413.77499999999998</v>
      </c>
      <c r="G280" cm="1">
        <f t="array" aca="1" ref="G280" ca="1">[1]!s_west_netprofit($B$1,YEAR($A280)+1,$A280,180,1000000)</f>
        <v>88.481916999999996</v>
      </c>
      <c r="H280" cm="1">
        <f t="array" aca="1" ref="H280" ca="1">[1]!s_west_eps($B$1,YEAR($A280)+1,$A280,180)</f>
        <v>0.1011</v>
      </c>
      <c r="I280" cm="1">
        <f t="array" aca="1" ref="I280" ca="1">[1]!s_west_instnum_np($B$1,YEAR($A280)+1,$A280,180)</f>
        <v>24</v>
      </c>
      <c r="J280" cm="1">
        <f t="array" aca="1" ref="J280" ca="1">[1]!s_west_stdnetprofit($B$1,YEAR($A280)+1,$A280,180,1000000)</f>
        <v>54.757939999999998</v>
      </c>
      <c r="K280" cm="1">
        <f t="array" aca="1" ref="K280" ca="1">[1]!s_west_mediannetprofit($B$1,YEAR($A279)+1,$A279,180,1000000)</f>
        <v>70.5</v>
      </c>
      <c r="L280" cm="1">
        <f t="array" aca="1" ref="L280" ca="1">[1]!s_dq_close($B$1,$A280,3)</f>
        <v>24.88</v>
      </c>
    </row>
    <row r="281" spans="1:12">
      <c r="A281" s="23">
        <f t="shared" ca="1" si="4"/>
        <v>45894</v>
      </c>
      <c r="B281" cm="1">
        <f t="array" aca="1" ref="B281" ca="1">[1]!s_west_netprofit($B$1,YEAR($A281),$A281,180,1000000)</f>
        <v>392.24758300000002</v>
      </c>
      <c r="C281" cm="1">
        <f t="array" aca="1" ref="C281" ca="1">[1]!s_west_eps($B$1,YEAR($A281),$A281,180)</f>
        <v>0.44979999999999998</v>
      </c>
      <c r="D281" cm="1">
        <f t="array" aca="1" ref="D281" ca="1">[1]!s_west_instnum_np($B$1,YEAR($A281),$A281,180)</f>
        <v>24</v>
      </c>
      <c r="E281" cm="1">
        <f t="array" aca="1" ref="E281" ca="1">[1]!s_west_stdnetprofit($B$1,YEAR($A281),$A281,180,1000000)</f>
        <v>78.140739999999994</v>
      </c>
      <c r="F281" cm="1">
        <f t="array" aca="1" ref="F281" ca="1">[1]!s_west_mediannetprofit($B$1,YEAR($A281),$A281,180,1000000)</f>
        <v>413.77499999999998</v>
      </c>
      <c r="G281" cm="1">
        <f t="array" aca="1" ref="G281" ca="1">[1]!s_west_netprofit($B$1,YEAR($A281)+1,$A281,180,1000000)</f>
        <v>88.481916999999996</v>
      </c>
      <c r="H281" cm="1">
        <f t="array" aca="1" ref="H281" ca="1">[1]!s_west_eps($B$1,YEAR($A281)+1,$A281,180)</f>
        <v>0.1011</v>
      </c>
      <c r="I281" cm="1">
        <f t="array" aca="1" ref="I281" ca="1">[1]!s_west_instnum_np($B$1,YEAR($A281)+1,$A281,180)</f>
        <v>24</v>
      </c>
      <c r="J281" cm="1">
        <f t="array" aca="1" ref="J281" ca="1">[1]!s_west_stdnetprofit($B$1,YEAR($A281)+1,$A281,180,1000000)</f>
        <v>54.757939999999998</v>
      </c>
      <c r="K281" cm="1">
        <f t="array" aca="1" ref="K281" ca="1">[1]!s_west_mediannetprofit($B$1,YEAR($A280)+1,$A280,180,1000000)</f>
        <v>70.5</v>
      </c>
      <c r="L281" cm="1">
        <f t="array" aca="1" ref="L281" ca="1">[1]!s_dq_close($B$1,$A281,3)</f>
        <v>25.24</v>
      </c>
    </row>
    <row r="282" spans="1:12">
      <c r="A282" s="23">
        <f t="shared" ca="1" si="4"/>
        <v>45893</v>
      </c>
      <c r="B282" cm="1">
        <f t="array" aca="1" ref="B282" ca="1">[1]!s_west_netprofit($B$1,YEAR($A282),$A282,180,1000000)</f>
        <v>392.62258300000002</v>
      </c>
      <c r="C282" cm="1">
        <f t="array" aca="1" ref="C282" ca="1">[1]!s_west_eps($B$1,YEAR($A282),$A282,180)</f>
        <v>0.45019999999999999</v>
      </c>
      <c r="D282" cm="1">
        <f t="array" aca="1" ref="D282" ca="1">[1]!s_west_instnum_np($B$1,YEAR($A282),$A282,180)</f>
        <v>24</v>
      </c>
      <c r="E282" cm="1">
        <f t="array" aca="1" ref="E282" ca="1">[1]!s_west_stdnetprofit($B$1,YEAR($A282),$A282,180,1000000)</f>
        <v>77.845051999999995</v>
      </c>
      <c r="F282" cm="1">
        <f t="array" aca="1" ref="F282" ca="1">[1]!s_west_mediannetprofit($B$1,YEAR($A282),$A282,180,1000000)</f>
        <v>413.77499999999998</v>
      </c>
      <c r="G282" cm="1">
        <f t="array" aca="1" ref="G282" ca="1">[1]!s_west_netprofit($B$1,YEAR($A282)+1,$A282,180,1000000)</f>
        <v>91.023583000000002</v>
      </c>
      <c r="H282" cm="1">
        <f t="array" aca="1" ref="H282" ca="1">[1]!s_west_eps($B$1,YEAR($A282)+1,$A282,180)</f>
        <v>0.104</v>
      </c>
      <c r="I282" cm="1">
        <f t="array" aca="1" ref="I282" ca="1">[1]!s_west_instnum_np($B$1,YEAR($A282)+1,$A282,180)</f>
        <v>24</v>
      </c>
      <c r="J282" cm="1">
        <f t="array" aca="1" ref="J282" ca="1">[1]!s_west_stdnetprofit($B$1,YEAR($A282)+1,$A282,180,1000000)</f>
        <v>55.083770000000001</v>
      </c>
      <c r="K282" cm="1">
        <f t="array" aca="1" ref="K282" ca="1">[1]!s_west_mediannetprofit($B$1,YEAR($A281)+1,$A281,180,1000000)</f>
        <v>70.5</v>
      </c>
      <c r="L282" cm="1">
        <f t="array" aca="1" ref="L282" ca="1">[1]!s_dq_close($B$1,$A282,3)</f>
        <v>25.4</v>
      </c>
    </row>
    <row r="283" spans="1:12">
      <c r="A283" s="23">
        <f t="shared" ca="1" si="4"/>
        <v>45892</v>
      </c>
      <c r="B283" cm="1">
        <f t="array" aca="1" ref="B283" ca="1">[1]!s_west_netprofit($B$1,YEAR($A283),$A283,180,1000000)</f>
        <v>392.62258300000002</v>
      </c>
      <c r="C283" cm="1">
        <f t="array" aca="1" ref="C283" ca="1">[1]!s_west_eps($B$1,YEAR($A283),$A283,180)</f>
        <v>0.45019999999999999</v>
      </c>
      <c r="D283" cm="1">
        <f t="array" aca="1" ref="D283" ca="1">[1]!s_west_instnum_np($B$1,YEAR($A283),$A283,180)</f>
        <v>24</v>
      </c>
      <c r="E283" cm="1">
        <f t="array" aca="1" ref="E283" ca="1">[1]!s_west_stdnetprofit($B$1,YEAR($A283),$A283,180,1000000)</f>
        <v>77.845051999999995</v>
      </c>
      <c r="F283" cm="1">
        <f t="array" aca="1" ref="F283" ca="1">[1]!s_west_mediannetprofit($B$1,YEAR($A283),$A283,180,1000000)</f>
        <v>413.77499999999998</v>
      </c>
      <c r="G283" cm="1">
        <f t="array" aca="1" ref="G283" ca="1">[1]!s_west_netprofit($B$1,YEAR($A283)+1,$A283,180,1000000)</f>
        <v>91.023583000000002</v>
      </c>
      <c r="H283" cm="1">
        <f t="array" aca="1" ref="H283" ca="1">[1]!s_west_eps($B$1,YEAR($A283)+1,$A283,180)</f>
        <v>0.104</v>
      </c>
      <c r="I283" cm="1">
        <f t="array" aca="1" ref="I283" ca="1">[1]!s_west_instnum_np($B$1,YEAR($A283)+1,$A283,180)</f>
        <v>24</v>
      </c>
      <c r="J283" cm="1">
        <f t="array" aca="1" ref="J283" ca="1">[1]!s_west_stdnetprofit($B$1,YEAR($A283)+1,$A283,180,1000000)</f>
        <v>55.083770000000001</v>
      </c>
      <c r="K283" cm="1">
        <f t="array" aca="1" ref="K283" ca="1">[1]!s_west_mediannetprofit($B$1,YEAR($A282)+1,$A282,180,1000000)</f>
        <v>81.23</v>
      </c>
      <c r="L283" cm="1">
        <f t="array" aca="1" ref="L283" ca="1">[1]!s_dq_close($B$1,$A283,3)</f>
        <v>25.4</v>
      </c>
    </row>
    <row r="284" spans="1:12">
      <c r="A284" s="23">
        <f t="shared" ca="1" si="4"/>
        <v>45891</v>
      </c>
      <c r="B284" cm="1">
        <f t="array" aca="1" ref="B284" ca="1">[1]!s_west_netprofit($B$1,YEAR($A284),$A284,180,1000000)</f>
        <v>392.62258300000002</v>
      </c>
      <c r="C284" cm="1">
        <f t="array" aca="1" ref="C284" ca="1">[1]!s_west_eps($B$1,YEAR($A284),$A284,180)</f>
        <v>0.45019999999999999</v>
      </c>
      <c r="D284" cm="1">
        <f t="array" aca="1" ref="D284" ca="1">[1]!s_west_instnum_np($B$1,YEAR($A284),$A284,180)</f>
        <v>24</v>
      </c>
      <c r="E284" cm="1">
        <f t="array" aca="1" ref="E284" ca="1">[1]!s_west_stdnetprofit($B$1,YEAR($A284),$A284,180,1000000)</f>
        <v>77.845051999999995</v>
      </c>
      <c r="F284" cm="1">
        <f t="array" aca="1" ref="F284" ca="1">[1]!s_west_mediannetprofit($B$1,YEAR($A284),$A284,180,1000000)</f>
        <v>413.77499999999998</v>
      </c>
      <c r="G284" cm="1">
        <f t="array" aca="1" ref="G284" ca="1">[1]!s_west_netprofit($B$1,YEAR($A284)+1,$A284,180,1000000)</f>
        <v>91.023583000000002</v>
      </c>
      <c r="H284" cm="1">
        <f t="array" aca="1" ref="H284" ca="1">[1]!s_west_eps($B$1,YEAR($A284)+1,$A284,180)</f>
        <v>0.104</v>
      </c>
      <c r="I284" cm="1">
        <f t="array" aca="1" ref="I284" ca="1">[1]!s_west_instnum_np($B$1,YEAR($A284)+1,$A284,180)</f>
        <v>24</v>
      </c>
      <c r="J284" cm="1">
        <f t="array" aca="1" ref="J284" ca="1">[1]!s_west_stdnetprofit($B$1,YEAR($A284)+1,$A284,180,1000000)</f>
        <v>55.083770000000001</v>
      </c>
      <c r="K284" cm="1">
        <f t="array" aca="1" ref="K284" ca="1">[1]!s_west_mediannetprofit($B$1,YEAR($A283)+1,$A283,180,1000000)</f>
        <v>81.23</v>
      </c>
      <c r="L284" cm="1">
        <f t="array" aca="1" ref="L284" ca="1">[1]!s_dq_close($B$1,$A284,3)</f>
        <v>25.4</v>
      </c>
    </row>
    <row r="285" spans="1:12">
      <c r="A285" s="23">
        <f t="shared" ca="1" si="4"/>
        <v>45890</v>
      </c>
      <c r="B285" cm="1">
        <f t="array" aca="1" ref="B285" ca="1">[1]!s_west_netprofit($B$1,YEAR($A285),$A285,180,1000000)</f>
        <v>393.116333</v>
      </c>
      <c r="C285" cm="1">
        <f t="array" aca="1" ref="C285" ca="1">[1]!s_west_eps($B$1,YEAR($A285),$A285,180)</f>
        <v>0.45079999999999998</v>
      </c>
      <c r="D285" cm="1">
        <f t="array" aca="1" ref="D285" ca="1">[1]!s_west_instnum_np($B$1,YEAR($A285),$A285,180)</f>
        <v>24</v>
      </c>
      <c r="E285" cm="1">
        <f t="array" aca="1" ref="E285" ca="1">[1]!s_west_stdnetprofit($B$1,YEAR($A285),$A285,180,1000000)</f>
        <v>78.304579000000004</v>
      </c>
      <c r="F285" cm="1">
        <f t="array" aca="1" ref="F285" ca="1">[1]!s_west_mediannetprofit($B$1,YEAR($A285),$A285,180,1000000)</f>
        <v>413.77499999999998</v>
      </c>
      <c r="G285" cm="1">
        <f t="array" aca="1" ref="G285" ca="1">[1]!s_west_netprofit($B$1,YEAR($A285)+1,$A285,180,1000000)</f>
        <v>91.473583000000005</v>
      </c>
      <c r="H285" cm="1">
        <f t="array" aca="1" ref="H285" ca="1">[1]!s_west_eps($B$1,YEAR($A285)+1,$A285,180)</f>
        <v>0.1048</v>
      </c>
      <c r="I285" cm="1">
        <f t="array" aca="1" ref="I285" ca="1">[1]!s_west_instnum_np($B$1,YEAR($A285)+1,$A285,180)</f>
        <v>24</v>
      </c>
      <c r="J285" cm="1">
        <f t="array" aca="1" ref="J285" ca="1">[1]!s_west_stdnetprofit($B$1,YEAR($A285)+1,$A285,180,1000000)</f>
        <v>55.114547999999999</v>
      </c>
      <c r="K285" cm="1">
        <f t="array" aca="1" ref="K285" ca="1">[1]!s_west_mediannetprofit($B$1,YEAR($A284)+1,$A284,180,1000000)</f>
        <v>81.23</v>
      </c>
      <c r="L285" cm="1">
        <f t="array" aca="1" ref="L285" ca="1">[1]!s_dq_close($B$1,$A285,3)</f>
        <v>25.56</v>
      </c>
    </row>
    <row r="286" spans="1:12">
      <c r="A286" s="23">
        <f t="shared" ca="1" si="4"/>
        <v>45889</v>
      </c>
      <c r="B286" cm="1">
        <f t="array" aca="1" ref="B286" ca="1">[1]!s_west_netprofit($B$1,YEAR($A286),$A286,180,1000000)</f>
        <v>393.116333</v>
      </c>
      <c r="C286" cm="1">
        <f t="array" aca="1" ref="C286" ca="1">[1]!s_west_eps($B$1,YEAR($A286),$A286,180)</f>
        <v>0.45079999999999998</v>
      </c>
      <c r="D286" cm="1">
        <f t="array" aca="1" ref="D286" ca="1">[1]!s_west_instnum_np($B$1,YEAR($A286),$A286,180)</f>
        <v>24</v>
      </c>
      <c r="E286" cm="1">
        <f t="array" aca="1" ref="E286" ca="1">[1]!s_west_stdnetprofit($B$1,YEAR($A286),$A286,180,1000000)</f>
        <v>78.304579000000004</v>
      </c>
      <c r="F286" cm="1">
        <f t="array" aca="1" ref="F286" ca="1">[1]!s_west_mediannetprofit($B$1,YEAR($A286),$A286,180,1000000)</f>
        <v>413.77499999999998</v>
      </c>
      <c r="G286" cm="1">
        <f t="array" aca="1" ref="G286" ca="1">[1]!s_west_netprofit($B$1,YEAR($A286)+1,$A286,180,1000000)</f>
        <v>91.473583000000005</v>
      </c>
      <c r="H286" cm="1">
        <f t="array" aca="1" ref="H286" ca="1">[1]!s_west_eps($B$1,YEAR($A286)+1,$A286,180)</f>
        <v>0.1048</v>
      </c>
      <c r="I286" cm="1">
        <f t="array" aca="1" ref="I286" ca="1">[1]!s_west_instnum_np($B$1,YEAR($A286)+1,$A286,180)</f>
        <v>24</v>
      </c>
      <c r="J286" cm="1">
        <f t="array" aca="1" ref="J286" ca="1">[1]!s_west_stdnetprofit($B$1,YEAR($A286)+1,$A286,180,1000000)</f>
        <v>55.114547999999999</v>
      </c>
      <c r="K286" cm="1">
        <f t="array" aca="1" ref="K286" ca="1">[1]!s_west_mediannetprofit($B$1,YEAR($A285)+1,$A285,180,1000000)</f>
        <v>82.5</v>
      </c>
      <c r="L286" cm="1">
        <f t="array" aca="1" ref="L286" ca="1">[1]!s_dq_close($B$1,$A286,3)</f>
        <v>25.24</v>
      </c>
    </row>
    <row r="287" spans="1:12">
      <c r="A287" s="23">
        <f t="shared" ca="1" si="4"/>
        <v>45888</v>
      </c>
      <c r="B287" cm="1">
        <f t="array" aca="1" ref="B287" ca="1">[1]!s_west_netprofit($B$1,YEAR($A287),$A287,180,1000000)</f>
        <v>397.81704300000001</v>
      </c>
      <c r="C287" cm="1">
        <f t="array" aca="1" ref="C287" ca="1">[1]!s_west_eps($B$1,YEAR($A287),$A287,180)</f>
        <v>0.45619999999999999</v>
      </c>
      <c r="D287" cm="1">
        <f t="array" aca="1" ref="D287" ca="1">[1]!s_west_instnum_np($B$1,YEAR($A287),$A287,180)</f>
        <v>23</v>
      </c>
      <c r="E287" cm="1">
        <f t="array" aca="1" ref="E287" ca="1">[1]!s_west_stdnetprofit($B$1,YEAR($A287),$A287,180,1000000)</f>
        <v>76.523792</v>
      </c>
      <c r="F287" cm="1">
        <f t="array" aca="1" ref="F287" ca="1">[1]!s_west_mediannetprofit($B$1,YEAR($A287),$A287,180,1000000)</f>
        <v>414</v>
      </c>
      <c r="G287" cm="1">
        <f t="array" aca="1" ref="G287" ca="1">[1]!s_west_netprofit($B$1,YEAR($A287)+1,$A287,180,1000000)</f>
        <v>92.276782999999995</v>
      </c>
      <c r="H287" cm="1">
        <f t="array" aca="1" ref="H287" ca="1">[1]!s_west_eps($B$1,YEAR($A287)+1,$A287,180)</f>
        <v>0.1057</v>
      </c>
      <c r="I287" cm="1">
        <f t="array" aca="1" ref="I287" ca="1">[1]!s_west_instnum_np($B$1,YEAR($A287)+1,$A287,180)</f>
        <v>23</v>
      </c>
      <c r="J287" cm="1">
        <f t="array" aca="1" ref="J287" ca="1">[1]!s_west_stdnetprofit($B$1,YEAR($A287)+1,$A287,180,1000000)</f>
        <v>56.209428000000003</v>
      </c>
      <c r="K287" cm="1">
        <f t="array" aca="1" ref="K287" ca="1">[1]!s_west_mediannetprofit($B$1,YEAR($A286)+1,$A286,180,1000000)</f>
        <v>82.5</v>
      </c>
      <c r="L287" cm="1">
        <f t="array" aca="1" ref="L287" ca="1">[1]!s_dq_close($B$1,$A287,3)</f>
        <v>25.9</v>
      </c>
    </row>
    <row r="288" spans="1:12">
      <c r="A288" s="23">
        <f t="shared" ca="1" si="4"/>
        <v>45887</v>
      </c>
      <c r="B288" cm="1">
        <f t="array" aca="1" ref="B288" ca="1">[1]!s_west_netprofit($B$1,YEAR($A288),$A288,180,1000000)</f>
        <v>381.77356500000002</v>
      </c>
      <c r="C288" cm="1">
        <f t="array" aca="1" ref="C288" ca="1">[1]!s_west_eps($B$1,YEAR($A288),$A288,180)</f>
        <v>0.437</v>
      </c>
      <c r="D288" cm="1">
        <f t="array" aca="1" ref="D288" ca="1">[1]!s_west_instnum_np($B$1,YEAR($A288),$A288,180)</f>
        <v>23</v>
      </c>
      <c r="E288" cm="1">
        <f t="array" aca="1" ref="E288" ca="1">[1]!s_west_stdnetprofit($B$1,YEAR($A288),$A288,180,1000000)</f>
        <v>109.87131599999999</v>
      </c>
      <c r="F288" cm="1">
        <f t="array" aca="1" ref="F288" ca="1">[1]!s_west_mediannetprofit($B$1,YEAR($A288),$A288,180,1000000)</f>
        <v>414</v>
      </c>
      <c r="G288" cm="1">
        <f t="array" aca="1" ref="G288" ca="1">[1]!s_west_netprofit($B$1,YEAR($A288)+1,$A288,180,1000000)</f>
        <v>94.320261000000002</v>
      </c>
      <c r="H288" cm="1">
        <f t="array" aca="1" ref="H288" ca="1">[1]!s_west_eps($B$1,YEAR($A288)+1,$A288,180)</f>
        <v>0.1077</v>
      </c>
      <c r="I288" cm="1">
        <f t="array" aca="1" ref="I288" ca="1">[1]!s_west_instnum_np($B$1,YEAR($A288)+1,$A288,180)</f>
        <v>23</v>
      </c>
      <c r="J288" cm="1">
        <f t="array" aca="1" ref="J288" ca="1">[1]!s_west_stdnetprofit($B$1,YEAR($A288)+1,$A288,180,1000000)</f>
        <v>54.165543999999997</v>
      </c>
      <c r="K288" cm="1">
        <f t="array" aca="1" ref="K288" ca="1">[1]!s_west_mediannetprofit($B$1,YEAR($A287)+1,$A287,180,1000000)</f>
        <v>92</v>
      </c>
      <c r="L288" cm="1">
        <f t="array" aca="1" ref="L288" ca="1">[1]!s_dq_close($B$1,$A288,3)</f>
        <v>25.92</v>
      </c>
    </row>
    <row r="289" spans="1:12">
      <c r="A289" s="23">
        <f t="shared" ca="1" si="4"/>
        <v>45886</v>
      </c>
      <c r="B289" cm="1">
        <f t="array" aca="1" ref="B289" ca="1">[1]!s_west_netprofit($B$1,YEAR($A289),$A289,180,1000000)</f>
        <v>363.73008700000003</v>
      </c>
      <c r="C289" cm="1">
        <f t="array" aca="1" ref="C289" ca="1">[1]!s_west_eps($B$1,YEAR($A289),$A289,180)</f>
        <v>0.41570000000000001</v>
      </c>
      <c r="D289" cm="1">
        <f t="array" aca="1" ref="D289" ca="1">[1]!s_west_instnum_np($B$1,YEAR($A289),$A289,180)</f>
        <v>23</v>
      </c>
      <c r="E289" cm="1">
        <f t="array" aca="1" ref="E289" ca="1">[1]!s_west_stdnetprofit($B$1,YEAR($A289),$A289,180,1000000)</f>
        <v>124.932445</v>
      </c>
      <c r="F289" cm="1">
        <f t="array" aca="1" ref="F289" ca="1">[1]!s_west_mediannetprofit($B$1,YEAR($A289),$A289,180,1000000)</f>
        <v>413</v>
      </c>
      <c r="G289" cm="1">
        <f t="array" aca="1" ref="G289" ca="1">[1]!s_west_netprofit($B$1,YEAR($A289)+1,$A289,180,1000000)</f>
        <v>101.53765199999999</v>
      </c>
      <c r="H289" cm="1">
        <f t="array" aca="1" ref="H289" ca="1">[1]!s_west_eps($B$1,YEAR($A289)+1,$A289,180)</f>
        <v>0.1157</v>
      </c>
      <c r="I289" cm="1">
        <f t="array" aca="1" ref="I289" ca="1">[1]!s_west_instnum_np($B$1,YEAR($A289)+1,$A289,180)</f>
        <v>23</v>
      </c>
      <c r="J289" cm="1">
        <f t="array" aca="1" ref="J289" ca="1">[1]!s_west_stdnetprofit($B$1,YEAR($A289)+1,$A289,180,1000000)</f>
        <v>55.901505</v>
      </c>
      <c r="K289" cm="1">
        <f t="array" aca="1" ref="K289" ca="1">[1]!s_west_mediannetprofit($B$1,YEAR($A288)+1,$A288,180,1000000)</f>
        <v>92</v>
      </c>
      <c r="L289" cm="1">
        <f t="array" aca="1" ref="L289" ca="1">[1]!s_dq_close($B$1,$A289,3)</f>
        <v>25.7</v>
      </c>
    </row>
    <row r="290" spans="1:12">
      <c r="A290" s="23">
        <f t="shared" ca="1" si="4"/>
        <v>45885</v>
      </c>
      <c r="B290" cm="1">
        <f t="array" aca="1" ref="B290" ca="1">[1]!s_west_netprofit($B$1,YEAR($A290),$A290,180,1000000)</f>
        <v>363.73008700000003</v>
      </c>
      <c r="C290" cm="1">
        <f t="array" aca="1" ref="C290" ca="1">[1]!s_west_eps($B$1,YEAR($A290),$A290,180)</f>
        <v>0.41570000000000001</v>
      </c>
      <c r="D290" cm="1">
        <f t="array" aca="1" ref="D290" ca="1">[1]!s_west_instnum_np($B$1,YEAR($A290),$A290,180)</f>
        <v>23</v>
      </c>
      <c r="E290" cm="1">
        <f t="array" aca="1" ref="E290" ca="1">[1]!s_west_stdnetprofit($B$1,YEAR($A290),$A290,180,1000000)</f>
        <v>124.932445</v>
      </c>
      <c r="F290" cm="1">
        <f t="array" aca="1" ref="F290" ca="1">[1]!s_west_mediannetprofit($B$1,YEAR($A290),$A290,180,1000000)</f>
        <v>413</v>
      </c>
      <c r="G290" cm="1">
        <f t="array" aca="1" ref="G290" ca="1">[1]!s_west_netprofit($B$1,YEAR($A290)+1,$A290,180,1000000)</f>
        <v>101.53765199999999</v>
      </c>
      <c r="H290" cm="1">
        <f t="array" aca="1" ref="H290" ca="1">[1]!s_west_eps($B$1,YEAR($A290)+1,$A290,180)</f>
        <v>0.1157</v>
      </c>
      <c r="I290" cm="1">
        <f t="array" aca="1" ref="I290" ca="1">[1]!s_west_instnum_np($B$1,YEAR($A290)+1,$A290,180)</f>
        <v>23</v>
      </c>
      <c r="J290" cm="1">
        <f t="array" aca="1" ref="J290" ca="1">[1]!s_west_stdnetprofit($B$1,YEAR($A290)+1,$A290,180,1000000)</f>
        <v>55.901505</v>
      </c>
      <c r="K290" cm="1">
        <f t="array" aca="1" ref="K290" ca="1">[1]!s_west_mediannetprofit($B$1,YEAR($A289)+1,$A289,180,1000000)</f>
        <v>100.26</v>
      </c>
      <c r="L290" cm="1">
        <f t="array" aca="1" ref="L290" ca="1">[1]!s_dq_close($B$1,$A290,3)</f>
        <v>25.7</v>
      </c>
    </row>
    <row r="291" spans="1:12">
      <c r="A291" s="23">
        <f t="shared" ca="1" si="4"/>
        <v>45884</v>
      </c>
      <c r="B291" cm="1">
        <f t="array" aca="1" ref="B291" ca="1">[1]!s_west_netprofit($B$1,YEAR($A291),$A291,180,1000000)</f>
        <v>363.73008700000003</v>
      </c>
      <c r="C291" cm="1">
        <f t="array" aca="1" ref="C291" ca="1">[1]!s_west_eps($B$1,YEAR($A291),$A291,180)</f>
        <v>0.41570000000000001</v>
      </c>
      <c r="D291" cm="1">
        <f t="array" aca="1" ref="D291" ca="1">[1]!s_west_instnum_np($B$1,YEAR($A291),$A291,180)</f>
        <v>23</v>
      </c>
      <c r="E291" cm="1">
        <f t="array" aca="1" ref="E291" ca="1">[1]!s_west_stdnetprofit($B$1,YEAR($A291),$A291,180,1000000)</f>
        <v>124.932445</v>
      </c>
      <c r="F291" cm="1">
        <f t="array" aca="1" ref="F291" ca="1">[1]!s_west_mediannetprofit($B$1,YEAR($A291),$A291,180,1000000)</f>
        <v>413</v>
      </c>
      <c r="G291" cm="1">
        <f t="array" aca="1" ref="G291" ca="1">[1]!s_west_netprofit($B$1,YEAR($A291)+1,$A291,180,1000000)</f>
        <v>101.53765199999999</v>
      </c>
      <c r="H291" cm="1">
        <f t="array" aca="1" ref="H291" ca="1">[1]!s_west_eps($B$1,YEAR($A291)+1,$A291,180)</f>
        <v>0.1157</v>
      </c>
      <c r="I291" cm="1">
        <f t="array" aca="1" ref="I291" ca="1">[1]!s_west_instnum_np($B$1,YEAR($A291)+1,$A291,180)</f>
        <v>23</v>
      </c>
      <c r="J291" cm="1">
        <f t="array" aca="1" ref="J291" ca="1">[1]!s_west_stdnetprofit($B$1,YEAR($A291)+1,$A291,180,1000000)</f>
        <v>55.901505</v>
      </c>
      <c r="K291" cm="1">
        <f t="array" aca="1" ref="K291" ca="1">[1]!s_west_mediannetprofit($B$1,YEAR($A290)+1,$A290,180,1000000)</f>
        <v>100.26</v>
      </c>
      <c r="L291" cm="1">
        <f t="array" aca="1" ref="L291" ca="1">[1]!s_dq_close($B$1,$A291,3)</f>
        <v>25.7</v>
      </c>
    </row>
    <row r="292" spans="1:12">
      <c r="A292" s="23">
        <f t="shared" ca="1" si="4"/>
        <v>45883</v>
      </c>
      <c r="B292" cm="1">
        <f t="array" aca="1" ref="B292" ca="1">[1]!s_west_netprofit($B$1,YEAR($A292),$A292,180,1000000)</f>
        <v>362.25182599999999</v>
      </c>
      <c r="C292" cm="1">
        <f t="array" aca="1" ref="C292" ca="1">[1]!s_west_eps($B$1,YEAR($A292),$A292,180)</f>
        <v>0.41399999999999998</v>
      </c>
      <c r="D292" cm="1">
        <f t="array" aca="1" ref="D292" ca="1">[1]!s_west_instnum_np($B$1,YEAR($A292),$A292,180)</f>
        <v>23</v>
      </c>
      <c r="E292" cm="1">
        <f t="array" aca="1" ref="E292" ca="1">[1]!s_west_stdnetprofit($B$1,YEAR($A292),$A292,180,1000000)</f>
        <v>124.349568</v>
      </c>
      <c r="F292" cm="1">
        <f t="array" aca="1" ref="F292" ca="1">[1]!s_west_mediannetprofit($B$1,YEAR($A292),$A292,180,1000000)</f>
        <v>393</v>
      </c>
      <c r="G292" cm="1">
        <f t="array" aca="1" ref="G292" ca="1">[1]!s_west_netprofit($B$1,YEAR($A292)+1,$A292,180,1000000)</f>
        <v>103.79852200000001</v>
      </c>
      <c r="H292" cm="1">
        <f t="array" aca="1" ref="H292" ca="1">[1]!s_west_eps($B$1,YEAR($A292)+1,$A292,180)</f>
        <v>0.1183</v>
      </c>
      <c r="I292" cm="1">
        <f t="array" aca="1" ref="I292" ca="1">[1]!s_west_instnum_np($B$1,YEAR($A292)+1,$A292,180)</f>
        <v>23</v>
      </c>
      <c r="J292" cm="1">
        <f t="array" aca="1" ref="J292" ca="1">[1]!s_west_stdnetprofit($B$1,YEAR($A292)+1,$A292,180,1000000)</f>
        <v>57.990611000000001</v>
      </c>
      <c r="K292" cm="1">
        <f t="array" aca="1" ref="K292" ca="1">[1]!s_west_mediannetprofit($B$1,YEAR($A291)+1,$A291,180,1000000)</f>
        <v>100.26</v>
      </c>
      <c r="L292" cm="1">
        <f t="array" aca="1" ref="L292" ca="1">[1]!s_dq_close($B$1,$A292,3)</f>
        <v>25.2</v>
      </c>
    </row>
    <row r="293" spans="1:12">
      <c r="A293" s="23">
        <f t="shared" ca="1" si="4"/>
        <v>45882</v>
      </c>
      <c r="B293" cm="1">
        <f t="array" aca="1" ref="B293" ca="1">[1]!s_west_netprofit($B$1,YEAR($A293),$A293,180,1000000)</f>
        <v>358.64312999999999</v>
      </c>
      <c r="C293" cm="1">
        <f t="array" aca="1" ref="C293" ca="1">[1]!s_west_eps($B$1,YEAR($A293),$A293,180)</f>
        <v>0.41010000000000002</v>
      </c>
      <c r="D293" cm="1">
        <f t="array" aca="1" ref="D293" ca="1">[1]!s_west_instnum_np($B$1,YEAR($A293),$A293,180)</f>
        <v>23</v>
      </c>
      <c r="E293" cm="1">
        <f t="array" aca="1" ref="E293" ca="1">[1]!s_west_stdnetprofit($B$1,YEAR($A293),$A293,180,1000000)</f>
        <v>123.495531</v>
      </c>
      <c r="F293" cm="1">
        <f t="array" aca="1" ref="F293" ca="1">[1]!s_west_mediannetprofit($B$1,YEAR($A293),$A293,180,1000000)</f>
        <v>391.3</v>
      </c>
      <c r="G293" cm="1">
        <f t="array" aca="1" ref="G293" ca="1">[1]!s_west_netprofit($B$1,YEAR($A293)+1,$A293,180,1000000)</f>
        <v>106.015913</v>
      </c>
      <c r="H293" cm="1">
        <f t="array" aca="1" ref="H293" ca="1">[1]!s_west_eps($B$1,YEAR($A293)+1,$A293,180)</f>
        <v>0.1208</v>
      </c>
      <c r="I293" cm="1">
        <f t="array" aca="1" ref="I293" ca="1">[1]!s_west_instnum_np($B$1,YEAR($A293)+1,$A293,180)</f>
        <v>23</v>
      </c>
      <c r="J293" cm="1">
        <f t="array" aca="1" ref="J293" ca="1">[1]!s_west_stdnetprofit($B$1,YEAR($A293)+1,$A293,180,1000000)</f>
        <v>57.532798999999997</v>
      </c>
      <c r="K293" cm="1">
        <f t="array" aca="1" ref="K293" ca="1">[1]!s_west_mediannetprofit($B$1,YEAR($A292)+1,$A292,180,1000000)</f>
        <v>100.26</v>
      </c>
      <c r="L293" cm="1">
        <f t="array" aca="1" ref="L293" ca="1">[1]!s_dq_close($B$1,$A293,3)</f>
        <v>24.98</v>
      </c>
    </row>
    <row r="294" spans="1:12">
      <c r="A294" s="23">
        <f t="shared" ca="1" si="4"/>
        <v>45881</v>
      </c>
      <c r="B294" cm="1">
        <f t="array" aca="1" ref="B294" ca="1">[1]!s_west_netprofit($B$1,YEAR($A294),$A294,180,1000000)</f>
        <v>358.556174</v>
      </c>
      <c r="C294" cm="1">
        <f t="array" aca="1" ref="C294" ca="1">[1]!s_west_eps($B$1,YEAR($A294),$A294,180)</f>
        <v>0.41010000000000002</v>
      </c>
      <c r="D294" cm="1">
        <f t="array" aca="1" ref="D294" ca="1">[1]!s_west_instnum_np($B$1,YEAR($A294),$A294,180)</f>
        <v>23</v>
      </c>
      <c r="E294" cm="1">
        <f t="array" aca="1" ref="E294" ca="1">[1]!s_west_stdnetprofit($B$1,YEAR($A294),$A294,180,1000000)</f>
        <v>123.490819</v>
      </c>
      <c r="F294" cm="1">
        <f t="array" aca="1" ref="F294" ca="1">[1]!s_west_mediannetprofit($B$1,YEAR($A294),$A294,180,1000000)</f>
        <v>391.3</v>
      </c>
      <c r="G294" cm="1">
        <f t="array" aca="1" ref="G294" ca="1">[1]!s_west_netprofit($B$1,YEAR($A294)+1,$A294,180,1000000)</f>
        <v>108.842</v>
      </c>
      <c r="H294" cm="1">
        <f t="array" aca="1" ref="H294" ca="1">[1]!s_west_eps($B$1,YEAR($A294)+1,$A294,180)</f>
        <v>0.12379999999999999</v>
      </c>
      <c r="I294" cm="1">
        <f t="array" aca="1" ref="I294" ca="1">[1]!s_west_instnum_np($B$1,YEAR($A294)+1,$A294,180)</f>
        <v>23</v>
      </c>
      <c r="J294" cm="1">
        <f t="array" aca="1" ref="J294" ca="1">[1]!s_west_stdnetprofit($B$1,YEAR($A294)+1,$A294,180,1000000)</f>
        <v>55.444378</v>
      </c>
      <c r="K294" cm="1">
        <f t="array" aca="1" ref="K294" ca="1">[1]!s_west_mediannetprofit($B$1,YEAR($A293)+1,$A293,180,1000000)</f>
        <v>109.8</v>
      </c>
      <c r="L294" cm="1">
        <f t="array" aca="1" ref="L294" ca="1">[1]!s_dq_close($B$1,$A294,3)</f>
        <v>24.06</v>
      </c>
    </row>
    <row r="295" spans="1:12">
      <c r="A295" s="23">
        <f t="shared" ca="1" si="4"/>
        <v>45880</v>
      </c>
      <c r="B295" cm="1">
        <f t="array" aca="1" ref="B295" ca="1">[1]!s_west_netprofit($B$1,YEAR($A295),$A295,180,1000000)</f>
        <v>333.74921699999999</v>
      </c>
      <c r="C295" cm="1">
        <f t="array" aca="1" ref="C295" ca="1">[1]!s_west_eps($B$1,YEAR($A295),$A295,180)</f>
        <v>0.37569999999999998</v>
      </c>
      <c r="D295" cm="1">
        <f t="array" aca="1" ref="D295" ca="1">[1]!s_west_instnum_np($B$1,YEAR($A295),$A295,180)</f>
        <v>23</v>
      </c>
      <c r="E295" cm="1">
        <f t="array" aca="1" ref="E295" ca="1">[1]!s_west_stdnetprofit($B$1,YEAR($A295),$A295,180,1000000)</f>
        <v>139.921528</v>
      </c>
      <c r="F295" cm="1">
        <f t="array" aca="1" ref="F295" ca="1">[1]!s_west_mediannetprofit($B$1,YEAR($A295),$A295,180,1000000)</f>
        <v>386</v>
      </c>
      <c r="G295" cm="1">
        <f t="array" aca="1" ref="G295" ca="1">[1]!s_west_netprofit($B$1,YEAR($A295)+1,$A295,180,1000000)</f>
        <v>116.188087</v>
      </c>
      <c r="H295" cm="1">
        <f t="array" aca="1" ref="H295" ca="1">[1]!s_west_eps($B$1,YEAR($A295)+1,$A295,180)</f>
        <v>0.13159999999999999</v>
      </c>
      <c r="I295" cm="1">
        <f t="array" aca="1" ref="I295" ca="1">[1]!s_west_instnum_np($B$1,YEAR($A295)+1,$A295,180)</f>
        <v>23</v>
      </c>
      <c r="J295" cm="1">
        <f t="array" aca="1" ref="J295" ca="1">[1]!s_west_stdnetprofit($B$1,YEAR($A295)+1,$A295,180,1000000)</f>
        <v>50.912894000000001</v>
      </c>
      <c r="K295" cm="1">
        <f t="array" aca="1" ref="K295" ca="1">[1]!s_west_mediannetprofit($B$1,YEAR($A294)+1,$A294,180,1000000)</f>
        <v>109.8</v>
      </c>
      <c r="L295" cm="1">
        <f t="array" aca="1" ref="L295" ca="1">[1]!s_dq_close($B$1,$A295,3)</f>
        <v>24.16</v>
      </c>
    </row>
    <row r="296" spans="1:12">
      <c r="A296" s="23">
        <f t="shared" ca="1" si="4"/>
        <v>45879</v>
      </c>
      <c r="B296" cm="1">
        <f t="array" aca="1" ref="B296" ca="1">[1]!s_west_netprofit($B$1,YEAR($A296),$A296,180,1000000)</f>
        <v>330.83617400000003</v>
      </c>
      <c r="C296" cm="1">
        <f t="array" aca="1" ref="C296" ca="1">[1]!s_west_eps($B$1,YEAR($A296),$A296,180)</f>
        <v>0.37259999999999999</v>
      </c>
      <c r="D296" cm="1">
        <f t="array" aca="1" ref="D296" ca="1">[1]!s_west_instnum_np($B$1,YEAR($A296),$A296,180)</f>
        <v>23</v>
      </c>
      <c r="E296" cm="1">
        <f t="array" aca="1" ref="E296" ca="1">[1]!s_west_stdnetprofit($B$1,YEAR($A296),$A296,180,1000000)</f>
        <v>138.96549099999999</v>
      </c>
      <c r="F296" cm="1">
        <f t="array" aca="1" ref="F296" ca="1">[1]!s_west_mediannetprofit($B$1,YEAR($A296),$A296,180,1000000)</f>
        <v>366</v>
      </c>
      <c r="G296" cm="1">
        <f t="array" aca="1" ref="G296" ca="1">[1]!s_west_netprofit($B$1,YEAR($A296)+1,$A296,180,1000000)</f>
        <v>121.753304</v>
      </c>
      <c r="H296" cm="1">
        <f t="array" aca="1" ref="H296" ca="1">[1]!s_west_eps($B$1,YEAR($A296)+1,$A296,180)</f>
        <v>0.13850000000000001</v>
      </c>
      <c r="I296" cm="1">
        <f t="array" aca="1" ref="I296" ca="1">[1]!s_west_instnum_np($B$1,YEAR($A296)+1,$A296,180)</f>
        <v>23</v>
      </c>
      <c r="J296" cm="1">
        <f t="array" aca="1" ref="J296" ca="1">[1]!s_west_stdnetprofit($B$1,YEAR($A296)+1,$A296,180,1000000)</f>
        <v>50.341652000000003</v>
      </c>
      <c r="K296" cm="1">
        <f t="array" aca="1" ref="K296" ca="1">[1]!s_west_mediannetprofit($B$1,YEAR($A295)+1,$A295,180,1000000)</f>
        <v>119</v>
      </c>
      <c r="L296" cm="1">
        <f t="array" aca="1" ref="L296" ca="1">[1]!s_dq_close($B$1,$A296,3)</f>
        <v>23.54</v>
      </c>
    </row>
    <row r="297" spans="1:12">
      <c r="A297" s="23">
        <f t="shared" ca="1" si="4"/>
        <v>45878</v>
      </c>
      <c r="B297" cm="1">
        <f t="array" aca="1" ref="B297" ca="1">[1]!s_west_netprofit($B$1,YEAR($A297),$A297,180,1000000)</f>
        <v>335.36878300000001</v>
      </c>
      <c r="C297" cm="1">
        <f t="array" aca="1" ref="C297" ca="1">[1]!s_west_eps($B$1,YEAR($A297),$A297,180)</f>
        <v>0.37780000000000002</v>
      </c>
      <c r="D297" cm="1">
        <f t="array" aca="1" ref="D297" ca="1">[1]!s_west_instnum_np($B$1,YEAR($A297),$A297,180)</f>
        <v>23</v>
      </c>
      <c r="E297" cm="1">
        <f t="array" aca="1" ref="E297" ca="1">[1]!s_west_stdnetprofit($B$1,YEAR($A297),$A297,180,1000000)</f>
        <v>143.67536100000001</v>
      </c>
      <c r="F297" cm="1">
        <f t="array" aca="1" ref="F297" ca="1">[1]!s_west_mediannetprofit($B$1,YEAR($A297),$A297,180,1000000)</f>
        <v>366</v>
      </c>
      <c r="G297" cm="1">
        <f t="array" aca="1" ref="G297" ca="1">[1]!s_west_netprofit($B$1,YEAR($A297)+1,$A297,180,1000000)</f>
        <v>125.153739</v>
      </c>
      <c r="H297" cm="1">
        <f t="array" aca="1" ref="H297" ca="1">[1]!s_west_eps($B$1,YEAR($A297)+1,$A297,180)</f>
        <v>0.14230000000000001</v>
      </c>
      <c r="I297" cm="1">
        <f t="array" aca="1" ref="I297" ca="1">[1]!s_west_instnum_np($B$1,YEAR($A297)+1,$A297,180)</f>
        <v>23</v>
      </c>
      <c r="J297" cm="1">
        <f t="array" aca="1" ref="J297" ca="1">[1]!s_west_stdnetprofit($B$1,YEAR($A297)+1,$A297,180,1000000)</f>
        <v>48.552287</v>
      </c>
      <c r="K297" cm="1">
        <f t="array" aca="1" ref="K297" ca="1">[1]!s_west_mediannetprofit($B$1,YEAR($A296)+1,$A296,180,1000000)</f>
        <v>126</v>
      </c>
      <c r="L297" cm="1">
        <f t="array" aca="1" ref="L297" ca="1">[1]!s_dq_close($B$1,$A297,3)</f>
        <v>23.54</v>
      </c>
    </row>
    <row r="298" spans="1:12">
      <c r="A298" s="23">
        <f t="shared" ca="1" si="4"/>
        <v>45877</v>
      </c>
      <c r="B298" cm="1">
        <f t="array" aca="1" ref="B298" ca="1">[1]!s_west_netprofit($B$1,YEAR($A298),$A298,180,1000000)</f>
        <v>335.36878300000001</v>
      </c>
      <c r="C298" cm="1">
        <f t="array" aca="1" ref="C298" ca="1">[1]!s_west_eps($B$1,YEAR($A298),$A298,180)</f>
        <v>0.37780000000000002</v>
      </c>
      <c r="D298" cm="1">
        <f t="array" aca="1" ref="D298" ca="1">[1]!s_west_instnum_np($B$1,YEAR($A298),$A298,180)</f>
        <v>23</v>
      </c>
      <c r="E298" cm="1">
        <f t="array" aca="1" ref="E298" ca="1">[1]!s_west_stdnetprofit($B$1,YEAR($A298),$A298,180,1000000)</f>
        <v>143.67536100000001</v>
      </c>
      <c r="F298" cm="1">
        <f t="array" aca="1" ref="F298" ca="1">[1]!s_west_mediannetprofit($B$1,YEAR($A298),$A298,180,1000000)</f>
        <v>366</v>
      </c>
      <c r="G298" cm="1">
        <f t="array" aca="1" ref="G298" ca="1">[1]!s_west_netprofit($B$1,YEAR($A298)+1,$A298,180,1000000)</f>
        <v>125.153739</v>
      </c>
      <c r="H298" cm="1">
        <f t="array" aca="1" ref="H298" ca="1">[1]!s_west_eps($B$1,YEAR($A298)+1,$A298,180)</f>
        <v>0.14230000000000001</v>
      </c>
      <c r="I298" cm="1">
        <f t="array" aca="1" ref="I298" ca="1">[1]!s_west_instnum_np($B$1,YEAR($A298)+1,$A298,180)</f>
        <v>23</v>
      </c>
      <c r="J298" cm="1">
        <f t="array" aca="1" ref="J298" ca="1">[1]!s_west_stdnetprofit($B$1,YEAR($A298)+1,$A298,180,1000000)</f>
        <v>48.552287</v>
      </c>
      <c r="K298" cm="1">
        <f t="array" aca="1" ref="K298" ca="1">[1]!s_west_mediannetprofit($B$1,YEAR($A297)+1,$A297,180,1000000)</f>
        <v>127</v>
      </c>
      <c r="L298" cm="1">
        <f t="array" aca="1" ref="L298" ca="1">[1]!s_dq_close($B$1,$A298,3)</f>
        <v>23.54</v>
      </c>
    </row>
    <row r="299" spans="1:12">
      <c r="A299" s="23">
        <f t="shared" ca="1" si="4"/>
        <v>45876</v>
      </c>
      <c r="B299" cm="1">
        <f t="array" aca="1" ref="B299" ca="1">[1]!s_west_netprofit($B$1,YEAR($A299),$A299,180,1000000)</f>
        <v>333.863043</v>
      </c>
      <c r="C299" cm="1">
        <f t="array" aca="1" ref="C299" ca="1">[1]!s_west_eps($B$1,YEAR($A299),$A299,180)</f>
        <v>0.37580000000000002</v>
      </c>
      <c r="D299" cm="1">
        <f t="array" aca="1" ref="D299" ca="1">[1]!s_west_instnum_np($B$1,YEAR($A299),$A299,180)</f>
        <v>23</v>
      </c>
      <c r="E299" cm="1">
        <f t="array" aca="1" ref="E299" ca="1">[1]!s_west_stdnetprofit($B$1,YEAR($A299),$A299,180,1000000)</f>
        <v>145.684887</v>
      </c>
      <c r="F299" cm="1">
        <f t="array" aca="1" ref="F299" ca="1">[1]!s_west_mediannetprofit($B$1,YEAR($A299),$A299,180,1000000)</f>
        <v>364</v>
      </c>
      <c r="G299" cm="1">
        <f t="array" aca="1" ref="G299" ca="1">[1]!s_west_netprofit($B$1,YEAR($A299)+1,$A299,180,1000000)</f>
        <v>132.42595700000001</v>
      </c>
      <c r="H299" cm="1">
        <f t="array" aca="1" ref="H299" ca="1">[1]!s_west_eps($B$1,YEAR($A299)+1,$A299,180)</f>
        <v>0.15040000000000001</v>
      </c>
      <c r="I299" cm="1">
        <f t="array" aca="1" ref="I299" ca="1">[1]!s_west_instnum_np($B$1,YEAR($A299)+1,$A299,180)</f>
        <v>23</v>
      </c>
      <c r="J299" cm="1">
        <f t="array" aca="1" ref="J299" ca="1">[1]!s_west_stdnetprofit($B$1,YEAR($A299)+1,$A299,180,1000000)</f>
        <v>43.6492</v>
      </c>
      <c r="K299" cm="1">
        <f t="array" aca="1" ref="K299" ca="1">[1]!s_west_mediannetprofit($B$1,YEAR($A298)+1,$A298,180,1000000)</f>
        <v>127</v>
      </c>
      <c r="L299" cm="1">
        <f t="array" aca="1" ref="L299" ca="1">[1]!s_dq_close($B$1,$A299,3)</f>
        <v>28.02</v>
      </c>
    </row>
    <row r="300" spans="1:12">
      <c r="A300" s="23">
        <f t="shared" ca="1" si="4"/>
        <v>45875</v>
      </c>
      <c r="B300" cm="1">
        <f t="array" aca="1" ref="B300" ca="1">[1]!s_west_netprofit($B$1,YEAR($A300),$A300,180,1000000)</f>
        <v>333.863043</v>
      </c>
      <c r="C300" cm="1">
        <f t="array" aca="1" ref="C300" ca="1">[1]!s_west_eps($B$1,YEAR($A300),$A300,180)</f>
        <v>0.37580000000000002</v>
      </c>
      <c r="D300" cm="1">
        <f t="array" aca="1" ref="D300" ca="1">[1]!s_west_instnum_np($B$1,YEAR($A300),$A300,180)</f>
        <v>23</v>
      </c>
      <c r="E300" cm="1">
        <f t="array" aca="1" ref="E300" ca="1">[1]!s_west_stdnetprofit($B$1,YEAR($A300),$A300,180,1000000)</f>
        <v>145.684887</v>
      </c>
      <c r="F300" cm="1">
        <f t="array" aca="1" ref="F300" ca="1">[1]!s_west_mediannetprofit($B$1,YEAR($A300),$A300,180,1000000)</f>
        <v>364</v>
      </c>
      <c r="G300" cm="1">
        <f t="array" aca="1" ref="G300" ca="1">[1]!s_west_netprofit($B$1,YEAR($A300)+1,$A300,180,1000000)</f>
        <v>132.42595700000001</v>
      </c>
      <c r="H300" cm="1">
        <f t="array" aca="1" ref="H300" ca="1">[1]!s_west_eps($B$1,YEAR($A300)+1,$A300,180)</f>
        <v>0.15040000000000001</v>
      </c>
      <c r="I300" cm="1">
        <f t="array" aca="1" ref="I300" ca="1">[1]!s_west_instnum_np($B$1,YEAR($A300)+1,$A300,180)</f>
        <v>23</v>
      </c>
      <c r="J300" cm="1">
        <f t="array" aca="1" ref="J300" ca="1">[1]!s_west_stdnetprofit($B$1,YEAR($A300)+1,$A300,180,1000000)</f>
        <v>43.6492</v>
      </c>
      <c r="K300" cm="1">
        <f t="array" aca="1" ref="K300" ca="1">[1]!s_west_mediannetprofit($B$1,YEAR($A299)+1,$A299,180,1000000)</f>
        <v>128.56700000000001</v>
      </c>
      <c r="L300" cm="1">
        <f t="array" aca="1" ref="L300" ca="1">[1]!s_dq_close($B$1,$A300,3)</f>
        <v>28.6</v>
      </c>
    </row>
    <row r="301" spans="1:12">
      <c r="A301" s="23">
        <f t="shared" ca="1" si="4"/>
        <v>45874</v>
      </c>
      <c r="B301" cm="1">
        <f t="array" aca="1" ref="B301" ca="1">[1]!s_west_netprofit($B$1,YEAR($A301),$A301,180,1000000)</f>
        <v>333.863043</v>
      </c>
      <c r="C301" cm="1">
        <f t="array" aca="1" ref="C301" ca="1">[1]!s_west_eps($B$1,YEAR($A301),$A301,180)</f>
        <v>0.37580000000000002</v>
      </c>
      <c r="D301" cm="1">
        <f t="array" aca="1" ref="D301" ca="1">[1]!s_west_instnum_np($B$1,YEAR($A301),$A301,180)</f>
        <v>23</v>
      </c>
      <c r="E301" cm="1">
        <f t="array" aca="1" ref="E301" ca="1">[1]!s_west_stdnetprofit($B$1,YEAR($A301),$A301,180,1000000)</f>
        <v>145.684887</v>
      </c>
      <c r="F301" cm="1">
        <f t="array" aca="1" ref="F301" ca="1">[1]!s_west_mediannetprofit($B$1,YEAR($A301),$A301,180,1000000)</f>
        <v>364</v>
      </c>
      <c r="G301" cm="1">
        <f t="array" aca="1" ref="G301" ca="1">[1]!s_west_netprofit($B$1,YEAR($A301)+1,$A301,180,1000000)</f>
        <v>132.42595700000001</v>
      </c>
      <c r="H301" cm="1">
        <f t="array" aca="1" ref="H301" ca="1">[1]!s_west_eps($B$1,YEAR($A301)+1,$A301,180)</f>
        <v>0.15040000000000001</v>
      </c>
      <c r="I301" cm="1">
        <f t="array" aca="1" ref="I301" ca="1">[1]!s_west_instnum_np($B$1,YEAR($A301)+1,$A301,180)</f>
        <v>23</v>
      </c>
      <c r="J301" cm="1">
        <f t="array" aca="1" ref="J301" ca="1">[1]!s_west_stdnetprofit($B$1,YEAR($A301)+1,$A301,180,1000000)</f>
        <v>43.6492</v>
      </c>
      <c r="K301" cm="1">
        <f t="array" aca="1" ref="K301" ca="1">[1]!s_west_mediannetprofit($B$1,YEAR($A300)+1,$A300,180,1000000)</f>
        <v>128.56700000000001</v>
      </c>
      <c r="L301" cm="1">
        <f t="array" aca="1" ref="L301" ca="1">[1]!s_dq_close($B$1,$A301,3)</f>
        <v>28.46</v>
      </c>
    </row>
    <row r="302" spans="1:12">
      <c r="A302" s="23">
        <f t="shared" ca="1" si="4"/>
        <v>45873</v>
      </c>
      <c r="B302" cm="1">
        <f t="array" aca="1" ref="B302" ca="1">[1]!s_west_netprofit($B$1,YEAR($A302),$A302,180,1000000)</f>
        <v>333.863043</v>
      </c>
      <c r="C302" cm="1">
        <f t="array" aca="1" ref="C302" ca="1">[1]!s_west_eps($B$1,YEAR($A302),$A302,180)</f>
        <v>0.37580000000000002</v>
      </c>
      <c r="D302" cm="1">
        <f t="array" aca="1" ref="D302" ca="1">[1]!s_west_instnum_np($B$1,YEAR($A302),$A302,180)</f>
        <v>23</v>
      </c>
      <c r="E302" cm="1">
        <f t="array" aca="1" ref="E302" ca="1">[1]!s_west_stdnetprofit($B$1,YEAR($A302),$A302,180,1000000)</f>
        <v>145.684887</v>
      </c>
      <c r="F302" cm="1">
        <f t="array" aca="1" ref="F302" ca="1">[1]!s_west_mediannetprofit($B$1,YEAR($A302),$A302,180,1000000)</f>
        <v>364</v>
      </c>
      <c r="G302" cm="1">
        <f t="array" aca="1" ref="G302" ca="1">[1]!s_west_netprofit($B$1,YEAR($A302)+1,$A302,180,1000000)</f>
        <v>132.42595700000001</v>
      </c>
      <c r="H302" cm="1">
        <f t="array" aca="1" ref="H302" ca="1">[1]!s_west_eps($B$1,YEAR($A302)+1,$A302,180)</f>
        <v>0.15040000000000001</v>
      </c>
      <c r="I302" cm="1">
        <f t="array" aca="1" ref="I302" ca="1">[1]!s_west_instnum_np($B$1,YEAR($A302)+1,$A302,180)</f>
        <v>23</v>
      </c>
      <c r="J302" cm="1">
        <f t="array" aca="1" ref="J302" ca="1">[1]!s_west_stdnetprofit($B$1,YEAR($A302)+1,$A302,180,1000000)</f>
        <v>43.6492</v>
      </c>
      <c r="K302" cm="1">
        <f t="array" aca="1" ref="K302" ca="1">[1]!s_west_mediannetprofit($B$1,YEAR($A301)+1,$A301,180,1000000)</f>
        <v>128.56700000000001</v>
      </c>
      <c r="L302" cm="1">
        <f t="array" aca="1" ref="L302" ca="1">[1]!s_dq_close($B$1,$A302,3)</f>
        <v>27.28</v>
      </c>
    </row>
    <row r="303" spans="1:12">
      <c r="A303" s="23">
        <f t="shared" ca="1" si="4"/>
        <v>45872</v>
      </c>
      <c r="B303" cm="1">
        <f t="array" aca="1" ref="B303" ca="1">[1]!s_west_netprofit($B$1,YEAR($A303),$A303,180,1000000)</f>
        <v>333.863043</v>
      </c>
      <c r="C303" cm="1">
        <f t="array" aca="1" ref="C303" ca="1">[1]!s_west_eps($B$1,YEAR($A303),$A303,180)</f>
        <v>0.37580000000000002</v>
      </c>
      <c r="D303" cm="1">
        <f t="array" aca="1" ref="D303" ca="1">[1]!s_west_instnum_np($B$1,YEAR($A303),$A303,180)</f>
        <v>23</v>
      </c>
      <c r="E303" cm="1">
        <f t="array" aca="1" ref="E303" ca="1">[1]!s_west_stdnetprofit($B$1,YEAR($A303),$A303,180,1000000)</f>
        <v>145.684887</v>
      </c>
      <c r="F303" cm="1">
        <f t="array" aca="1" ref="F303" ca="1">[1]!s_west_mediannetprofit($B$1,YEAR($A303),$A303,180,1000000)</f>
        <v>364</v>
      </c>
      <c r="G303" cm="1">
        <f t="array" aca="1" ref="G303" ca="1">[1]!s_west_netprofit($B$1,YEAR($A303)+1,$A303,180,1000000)</f>
        <v>132.42595700000001</v>
      </c>
      <c r="H303" cm="1">
        <f t="array" aca="1" ref="H303" ca="1">[1]!s_west_eps($B$1,YEAR($A303)+1,$A303,180)</f>
        <v>0.15040000000000001</v>
      </c>
      <c r="I303" cm="1">
        <f t="array" aca="1" ref="I303" ca="1">[1]!s_west_instnum_np($B$1,YEAR($A303)+1,$A303,180)</f>
        <v>23</v>
      </c>
      <c r="J303" cm="1">
        <f t="array" aca="1" ref="J303" ca="1">[1]!s_west_stdnetprofit($B$1,YEAR($A303)+1,$A303,180,1000000)</f>
        <v>43.6492</v>
      </c>
      <c r="K303" cm="1">
        <f t="array" aca="1" ref="K303" ca="1">[1]!s_west_mediannetprofit($B$1,YEAR($A302)+1,$A302,180,1000000)</f>
        <v>128.56700000000001</v>
      </c>
      <c r="L303" cm="1">
        <f t="array" aca="1" ref="L303" ca="1">[1]!s_dq_close($B$1,$A303,3)</f>
        <v>27.3</v>
      </c>
    </row>
    <row r="304" spans="1:12">
      <c r="A304" s="23">
        <f t="shared" ca="1" si="4"/>
        <v>45871</v>
      </c>
      <c r="B304" cm="1">
        <f t="array" aca="1" ref="B304" ca="1">[1]!s_west_netprofit($B$1,YEAR($A304),$A304,180,1000000)</f>
        <v>333.863043</v>
      </c>
      <c r="C304" cm="1">
        <f t="array" aca="1" ref="C304" ca="1">[1]!s_west_eps($B$1,YEAR($A304),$A304,180)</f>
        <v>0.37580000000000002</v>
      </c>
      <c r="D304" cm="1">
        <f t="array" aca="1" ref="D304" ca="1">[1]!s_west_instnum_np($B$1,YEAR($A304),$A304,180)</f>
        <v>23</v>
      </c>
      <c r="E304" cm="1">
        <f t="array" aca="1" ref="E304" ca="1">[1]!s_west_stdnetprofit($B$1,YEAR($A304),$A304,180,1000000)</f>
        <v>145.684887</v>
      </c>
      <c r="F304" cm="1">
        <f t="array" aca="1" ref="F304" ca="1">[1]!s_west_mediannetprofit($B$1,YEAR($A304),$A304,180,1000000)</f>
        <v>364</v>
      </c>
      <c r="G304" cm="1">
        <f t="array" aca="1" ref="G304" ca="1">[1]!s_west_netprofit($B$1,YEAR($A304)+1,$A304,180,1000000)</f>
        <v>132.42595700000001</v>
      </c>
      <c r="H304" cm="1">
        <f t="array" aca="1" ref="H304" ca="1">[1]!s_west_eps($B$1,YEAR($A304)+1,$A304,180)</f>
        <v>0.15040000000000001</v>
      </c>
      <c r="I304" cm="1">
        <f t="array" aca="1" ref="I304" ca="1">[1]!s_west_instnum_np($B$1,YEAR($A304)+1,$A304,180)</f>
        <v>23</v>
      </c>
      <c r="J304" cm="1">
        <f t="array" aca="1" ref="J304" ca="1">[1]!s_west_stdnetprofit($B$1,YEAR($A304)+1,$A304,180,1000000)</f>
        <v>43.6492</v>
      </c>
      <c r="K304" cm="1">
        <f t="array" aca="1" ref="K304" ca="1">[1]!s_west_mediannetprofit($B$1,YEAR($A303)+1,$A303,180,1000000)</f>
        <v>128.56700000000001</v>
      </c>
      <c r="L304" cm="1">
        <f t="array" aca="1" ref="L304" ca="1">[1]!s_dq_close($B$1,$A304,3)</f>
        <v>27.3</v>
      </c>
    </row>
    <row r="305" spans="1:12">
      <c r="A305" s="23">
        <f t="shared" ca="1" si="4"/>
        <v>45870</v>
      </c>
      <c r="B305" cm="1">
        <f t="array" aca="1" ref="B305" ca="1">[1]!s_west_netprofit($B$1,YEAR($A305),$A305,180,1000000)</f>
        <v>333.863043</v>
      </c>
      <c r="C305" cm="1">
        <f t="array" aca="1" ref="C305" ca="1">[1]!s_west_eps($B$1,YEAR($A305),$A305,180)</f>
        <v>0.37580000000000002</v>
      </c>
      <c r="D305" cm="1">
        <f t="array" aca="1" ref="D305" ca="1">[1]!s_west_instnum_np($B$1,YEAR($A305),$A305,180)</f>
        <v>23</v>
      </c>
      <c r="E305" cm="1">
        <f t="array" aca="1" ref="E305" ca="1">[1]!s_west_stdnetprofit($B$1,YEAR($A305),$A305,180,1000000)</f>
        <v>145.684887</v>
      </c>
      <c r="F305" cm="1">
        <f t="array" aca="1" ref="F305" ca="1">[1]!s_west_mediannetprofit($B$1,YEAR($A305),$A305,180,1000000)</f>
        <v>364</v>
      </c>
      <c r="G305" cm="1">
        <f t="array" aca="1" ref="G305" ca="1">[1]!s_west_netprofit($B$1,YEAR($A305)+1,$A305,180,1000000)</f>
        <v>132.42595700000001</v>
      </c>
      <c r="H305" cm="1">
        <f t="array" aca="1" ref="H305" ca="1">[1]!s_west_eps($B$1,YEAR($A305)+1,$A305,180)</f>
        <v>0.15040000000000001</v>
      </c>
      <c r="I305" cm="1">
        <f t="array" aca="1" ref="I305" ca="1">[1]!s_west_instnum_np($B$1,YEAR($A305)+1,$A305,180)</f>
        <v>23</v>
      </c>
      <c r="J305" cm="1">
        <f t="array" aca="1" ref="J305" ca="1">[1]!s_west_stdnetprofit($B$1,YEAR($A305)+1,$A305,180,1000000)</f>
        <v>43.6492</v>
      </c>
      <c r="K305" cm="1">
        <f t="array" aca="1" ref="K305" ca="1">[1]!s_west_mediannetprofit($B$1,YEAR($A304)+1,$A304,180,1000000)</f>
        <v>128.56700000000001</v>
      </c>
      <c r="L305" cm="1">
        <f t="array" aca="1" ref="L305" ca="1">[1]!s_dq_close($B$1,$A305,3)</f>
        <v>27.3</v>
      </c>
    </row>
    <row r="306" spans="1:12">
      <c r="A306" s="23">
        <f t="shared" ca="1" si="4"/>
        <v>45869</v>
      </c>
      <c r="B306" cm="1">
        <f t="array" aca="1" ref="B306" ca="1">[1]!s_west_netprofit($B$1,YEAR($A306),$A306,180,1000000)</f>
        <v>333.863043</v>
      </c>
      <c r="C306" cm="1">
        <f t="array" aca="1" ref="C306" ca="1">[1]!s_west_eps($B$1,YEAR($A306),$A306,180)</f>
        <v>0.37580000000000002</v>
      </c>
      <c r="D306" cm="1">
        <f t="array" aca="1" ref="D306" ca="1">[1]!s_west_instnum_np($B$1,YEAR($A306),$A306,180)</f>
        <v>23</v>
      </c>
      <c r="E306" cm="1">
        <f t="array" aca="1" ref="E306" ca="1">[1]!s_west_stdnetprofit($B$1,YEAR($A306),$A306,180,1000000)</f>
        <v>145.684887</v>
      </c>
      <c r="F306" cm="1">
        <f t="array" aca="1" ref="F306" ca="1">[1]!s_west_mediannetprofit($B$1,YEAR($A306),$A306,180,1000000)</f>
        <v>364</v>
      </c>
      <c r="G306" cm="1">
        <f t="array" aca="1" ref="G306" ca="1">[1]!s_west_netprofit($B$1,YEAR($A306)+1,$A306,180,1000000)</f>
        <v>132.42595700000001</v>
      </c>
      <c r="H306" cm="1">
        <f t="array" aca="1" ref="H306" ca="1">[1]!s_west_eps($B$1,YEAR($A306)+1,$A306,180)</f>
        <v>0.15040000000000001</v>
      </c>
      <c r="I306" cm="1">
        <f t="array" aca="1" ref="I306" ca="1">[1]!s_west_instnum_np($B$1,YEAR($A306)+1,$A306,180)</f>
        <v>23</v>
      </c>
      <c r="J306" cm="1">
        <f t="array" aca="1" ref="J306" ca="1">[1]!s_west_stdnetprofit($B$1,YEAR($A306)+1,$A306,180,1000000)</f>
        <v>43.6492</v>
      </c>
      <c r="K306" cm="1">
        <f t="array" aca="1" ref="K306" ca="1">[1]!s_west_mediannetprofit($B$1,YEAR($A305)+1,$A305,180,1000000)</f>
        <v>128.56700000000001</v>
      </c>
      <c r="L306" cm="1">
        <f t="array" aca="1" ref="L306" ca="1">[1]!s_dq_close($B$1,$A306,3)</f>
        <v>28.2</v>
      </c>
    </row>
    <row r="307" spans="1:12">
      <c r="A307" s="23">
        <f t="shared" ca="1" si="4"/>
        <v>45868</v>
      </c>
      <c r="B307" cm="1">
        <f t="array" aca="1" ref="B307" ca="1">[1]!s_west_netprofit($B$1,YEAR($A307),$A307,180,1000000)</f>
        <v>333.863043</v>
      </c>
      <c r="C307" cm="1">
        <f t="array" aca="1" ref="C307" ca="1">[1]!s_west_eps($B$1,YEAR($A307),$A307,180)</f>
        <v>0.37580000000000002</v>
      </c>
      <c r="D307" cm="1">
        <f t="array" aca="1" ref="D307" ca="1">[1]!s_west_instnum_np($B$1,YEAR($A307),$A307,180)</f>
        <v>23</v>
      </c>
      <c r="E307" cm="1">
        <f t="array" aca="1" ref="E307" ca="1">[1]!s_west_stdnetprofit($B$1,YEAR($A307),$A307,180,1000000)</f>
        <v>145.684887</v>
      </c>
      <c r="F307" cm="1">
        <f t="array" aca="1" ref="F307" ca="1">[1]!s_west_mediannetprofit($B$1,YEAR($A307),$A307,180,1000000)</f>
        <v>364</v>
      </c>
      <c r="G307" cm="1">
        <f t="array" aca="1" ref="G307" ca="1">[1]!s_west_netprofit($B$1,YEAR($A307)+1,$A307,180,1000000)</f>
        <v>132.42595700000001</v>
      </c>
      <c r="H307" cm="1">
        <f t="array" aca="1" ref="H307" ca="1">[1]!s_west_eps($B$1,YEAR($A307)+1,$A307,180)</f>
        <v>0.15040000000000001</v>
      </c>
      <c r="I307" cm="1">
        <f t="array" aca="1" ref="I307" ca="1">[1]!s_west_instnum_np($B$1,YEAR($A307)+1,$A307,180)</f>
        <v>23</v>
      </c>
      <c r="J307" cm="1">
        <f t="array" aca="1" ref="J307" ca="1">[1]!s_west_stdnetprofit($B$1,YEAR($A307)+1,$A307,180,1000000)</f>
        <v>43.6492</v>
      </c>
      <c r="K307" cm="1">
        <f t="array" aca="1" ref="K307" ca="1">[1]!s_west_mediannetprofit($B$1,YEAR($A306)+1,$A306,180,1000000)</f>
        <v>128.56700000000001</v>
      </c>
      <c r="L307" cm="1">
        <f t="array" aca="1" ref="L307" ca="1">[1]!s_dq_close($B$1,$A307,3)</f>
        <v>29.35</v>
      </c>
    </row>
    <row r="308" spans="1:12">
      <c r="A308" s="23">
        <f t="shared" ca="1" si="4"/>
        <v>45867</v>
      </c>
      <c r="B308" cm="1">
        <f t="array" aca="1" ref="B308" ca="1">[1]!s_west_netprofit($B$1,YEAR($A308),$A308,180,1000000)</f>
        <v>333.863043</v>
      </c>
      <c r="C308" cm="1">
        <f t="array" aca="1" ref="C308" ca="1">[1]!s_west_eps($B$1,YEAR($A308),$A308,180)</f>
        <v>0.37580000000000002</v>
      </c>
      <c r="D308" cm="1">
        <f t="array" aca="1" ref="D308" ca="1">[1]!s_west_instnum_np($B$1,YEAR($A308),$A308,180)</f>
        <v>23</v>
      </c>
      <c r="E308" cm="1">
        <f t="array" aca="1" ref="E308" ca="1">[1]!s_west_stdnetprofit($B$1,YEAR($A308),$A308,180,1000000)</f>
        <v>145.684887</v>
      </c>
      <c r="F308" cm="1">
        <f t="array" aca="1" ref="F308" ca="1">[1]!s_west_mediannetprofit($B$1,YEAR($A308),$A308,180,1000000)</f>
        <v>364</v>
      </c>
      <c r="G308" cm="1">
        <f t="array" aca="1" ref="G308" ca="1">[1]!s_west_netprofit($B$1,YEAR($A308)+1,$A308,180,1000000)</f>
        <v>132.42595700000001</v>
      </c>
      <c r="H308" cm="1">
        <f t="array" aca="1" ref="H308" ca="1">[1]!s_west_eps($B$1,YEAR($A308)+1,$A308,180)</f>
        <v>0.15040000000000001</v>
      </c>
      <c r="I308" cm="1">
        <f t="array" aca="1" ref="I308" ca="1">[1]!s_west_instnum_np($B$1,YEAR($A308)+1,$A308,180)</f>
        <v>23</v>
      </c>
      <c r="J308" cm="1">
        <f t="array" aca="1" ref="J308" ca="1">[1]!s_west_stdnetprofit($B$1,YEAR($A308)+1,$A308,180,1000000)</f>
        <v>43.6492</v>
      </c>
      <c r="K308" cm="1">
        <f t="array" aca="1" ref="K308" ca="1">[1]!s_west_mediannetprofit($B$1,YEAR($A307)+1,$A307,180,1000000)</f>
        <v>128.56700000000001</v>
      </c>
      <c r="L308" cm="1">
        <f t="array" aca="1" ref="L308" ca="1">[1]!s_dq_close($B$1,$A308,3)</f>
        <v>30.55</v>
      </c>
    </row>
    <row r="309" spans="1:12">
      <c r="A309" s="23">
        <f t="shared" ca="1" si="4"/>
        <v>45866</v>
      </c>
      <c r="B309" cm="1">
        <f t="array" aca="1" ref="B309" ca="1">[1]!s_west_netprofit($B$1,YEAR($A309),$A309,180,1000000)</f>
        <v>333.863043</v>
      </c>
      <c r="C309" cm="1">
        <f t="array" aca="1" ref="C309" ca="1">[1]!s_west_eps($B$1,YEAR($A309),$A309,180)</f>
        <v>0.37580000000000002</v>
      </c>
      <c r="D309" cm="1">
        <f t="array" aca="1" ref="D309" ca="1">[1]!s_west_instnum_np($B$1,YEAR($A309),$A309,180)</f>
        <v>23</v>
      </c>
      <c r="E309" cm="1">
        <f t="array" aca="1" ref="E309" ca="1">[1]!s_west_stdnetprofit($B$1,YEAR($A309),$A309,180,1000000)</f>
        <v>145.684887</v>
      </c>
      <c r="F309" cm="1">
        <f t="array" aca="1" ref="F309" ca="1">[1]!s_west_mediannetprofit($B$1,YEAR($A309),$A309,180,1000000)</f>
        <v>364</v>
      </c>
      <c r="G309" cm="1">
        <f t="array" aca="1" ref="G309" ca="1">[1]!s_west_netprofit($B$1,YEAR($A309)+1,$A309,180,1000000)</f>
        <v>132.42595700000001</v>
      </c>
      <c r="H309" cm="1">
        <f t="array" aca="1" ref="H309" ca="1">[1]!s_west_eps($B$1,YEAR($A309)+1,$A309,180)</f>
        <v>0.15040000000000001</v>
      </c>
      <c r="I309" cm="1">
        <f t="array" aca="1" ref="I309" ca="1">[1]!s_west_instnum_np($B$1,YEAR($A309)+1,$A309,180)</f>
        <v>23</v>
      </c>
      <c r="J309" cm="1">
        <f t="array" aca="1" ref="J309" ca="1">[1]!s_west_stdnetprofit($B$1,YEAR($A309)+1,$A309,180,1000000)</f>
        <v>43.6492</v>
      </c>
      <c r="K309" cm="1">
        <f t="array" aca="1" ref="K309" ca="1">[1]!s_west_mediannetprofit($B$1,YEAR($A308)+1,$A308,180,1000000)</f>
        <v>128.56700000000001</v>
      </c>
      <c r="L309" cm="1">
        <f t="array" aca="1" ref="L309" ca="1">[1]!s_dq_close($B$1,$A309,3)</f>
        <v>28.45</v>
      </c>
    </row>
    <row r="310" spans="1:12">
      <c r="A310" s="23">
        <f t="shared" ca="1" si="4"/>
        <v>45865</v>
      </c>
      <c r="B310" cm="1">
        <f t="array" aca="1" ref="B310" ca="1">[1]!s_west_netprofit($B$1,YEAR($A310),$A310,180,1000000)</f>
        <v>333.863043</v>
      </c>
      <c r="C310" cm="1">
        <f t="array" aca="1" ref="C310" ca="1">[1]!s_west_eps($B$1,YEAR($A310),$A310,180)</f>
        <v>0.37580000000000002</v>
      </c>
      <c r="D310" cm="1">
        <f t="array" aca="1" ref="D310" ca="1">[1]!s_west_instnum_np($B$1,YEAR($A310),$A310,180)</f>
        <v>23</v>
      </c>
      <c r="E310" cm="1">
        <f t="array" aca="1" ref="E310" ca="1">[1]!s_west_stdnetprofit($B$1,YEAR($A310),$A310,180,1000000)</f>
        <v>145.684887</v>
      </c>
      <c r="F310" cm="1">
        <f t="array" aca="1" ref="F310" ca="1">[1]!s_west_mediannetprofit($B$1,YEAR($A310),$A310,180,1000000)</f>
        <v>364</v>
      </c>
      <c r="G310" cm="1">
        <f t="array" aca="1" ref="G310" ca="1">[1]!s_west_netprofit($B$1,YEAR($A310)+1,$A310,180,1000000)</f>
        <v>132.42595700000001</v>
      </c>
      <c r="H310" cm="1">
        <f t="array" aca="1" ref="H310" ca="1">[1]!s_west_eps($B$1,YEAR($A310)+1,$A310,180)</f>
        <v>0.15040000000000001</v>
      </c>
      <c r="I310" cm="1">
        <f t="array" aca="1" ref="I310" ca="1">[1]!s_west_instnum_np($B$1,YEAR($A310)+1,$A310,180)</f>
        <v>23</v>
      </c>
      <c r="J310" cm="1">
        <f t="array" aca="1" ref="J310" ca="1">[1]!s_west_stdnetprofit($B$1,YEAR($A310)+1,$A310,180,1000000)</f>
        <v>43.6492</v>
      </c>
      <c r="K310" cm="1">
        <f t="array" aca="1" ref="K310" ca="1">[1]!s_west_mediannetprofit($B$1,YEAR($A309)+1,$A309,180,1000000)</f>
        <v>128.56700000000001</v>
      </c>
      <c r="L310" cm="1">
        <f t="array" aca="1" ref="L310" ca="1">[1]!s_dq_close($B$1,$A310,3)</f>
        <v>28</v>
      </c>
    </row>
    <row r="311" spans="1:12">
      <c r="A311" s="23">
        <f t="shared" ca="1" si="4"/>
        <v>45864</v>
      </c>
      <c r="B311" cm="1">
        <f t="array" aca="1" ref="B311" ca="1">[1]!s_west_netprofit($B$1,YEAR($A311),$A311,180,1000000)</f>
        <v>333.863043</v>
      </c>
      <c r="C311" cm="1">
        <f t="array" aca="1" ref="C311" ca="1">[1]!s_west_eps($B$1,YEAR($A311),$A311,180)</f>
        <v>0.37580000000000002</v>
      </c>
      <c r="D311" cm="1">
        <f t="array" aca="1" ref="D311" ca="1">[1]!s_west_instnum_np($B$1,YEAR($A311),$A311,180)</f>
        <v>23</v>
      </c>
      <c r="E311" cm="1">
        <f t="array" aca="1" ref="E311" ca="1">[1]!s_west_stdnetprofit($B$1,YEAR($A311),$A311,180,1000000)</f>
        <v>145.684887</v>
      </c>
      <c r="F311" cm="1">
        <f t="array" aca="1" ref="F311" ca="1">[1]!s_west_mediannetprofit($B$1,YEAR($A311),$A311,180,1000000)</f>
        <v>364</v>
      </c>
      <c r="G311" cm="1">
        <f t="array" aca="1" ref="G311" ca="1">[1]!s_west_netprofit($B$1,YEAR($A311)+1,$A311,180,1000000)</f>
        <v>132.42595700000001</v>
      </c>
      <c r="H311" cm="1">
        <f t="array" aca="1" ref="H311" ca="1">[1]!s_west_eps($B$1,YEAR($A311)+1,$A311,180)</f>
        <v>0.15040000000000001</v>
      </c>
      <c r="I311" cm="1">
        <f t="array" aca="1" ref="I311" ca="1">[1]!s_west_instnum_np($B$1,YEAR($A311)+1,$A311,180)</f>
        <v>23</v>
      </c>
      <c r="J311" cm="1">
        <f t="array" aca="1" ref="J311" ca="1">[1]!s_west_stdnetprofit($B$1,YEAR($A311)+1,$A311,180,1000000)</f>
        <v>43.6492</v>
      </c>
      <c r="K311" cm="1">
        <f t="array" aca="1" ref="K311" ca="1">[1]!s_west_mediannetprofit($B$1,YEAR($A310)+1,$A310,180,1000000)</f>
        <v>128.56700000000001</v>
      </c>
      <c r="L311" cm="1">
        <f t="array" aca="1" ref="L311" ca="1">[1]!s_dq_close($B$1,$A311,3)</f>
        <v>28</v>
      </c>
    </row>
    <row r="312" spans="1:12">
      <c r="A312" s="23">
        <f t="shared" ca="1" si="4"/>
        <v>45863</v>
      </c>
      <c r="B312" cm="1">
        <f t="array" aca="1" ref="B312" ca="1">[1]!s_west_netprofit($B$1,YEAR($A312),$A312,180,1000000)</f>
        <v>333.863043</v>
      </c>
      <c r="C312" cm="1">
        <f t="array" aca="1" ref="C312" ca="1">[1]!s_west_eps($B$1,YEAR($A312),$A312,180)</f>
        <v>0.37580000000000002</v>
      </c>
      <c r="D312" cm="1">
        <f t="array" aca="1" ref="D312" ca="1">[1]!s_west_instnum_np($B$1,YEAR($A312),$A312,180)</f>
        <v>23</v>
      </c>
      <c r="E312" cm="1">
        <f t="array" aca="1" ref="E312" ca="1">[1]!s_west_stdnetprofit($B$1,YEAR($A312),$A312,180,1000000)</f>
        <v>145.684887</v>
      </c>
      <c r="F312" cm="1">
        <f t="array" aca="1" ref="F312" ca="1">[1]!s_west_mediannetprofit($B$1,YEAR($A312),$A312,180,1000000)</f>
        <v>364</v>
      </c>
      <c r="G312" cm="1">
        <f t="array" aca="1" ref="G312" ca="1">[1]!s_west_netprofit($B$1,YEAR($A312)+1,$A312,180,1000000)</f>
        <v>132.42595700000001</v>
      </c>
      <c r="H312" cm="1">
        <f t="array" aca="1" ref="H312" ca="1">[1]!s_west_eps($B$1,YEAR($A312)+1,$A312,180)</f>
        <v>0.15040000000000001</v>
      </c>
      <c r="I312" cm="1">
        <f t="array" aca="1" ref="I312" ca="1">[1]!s_west_instnum_np($B$1,YEAR($A312)+1,$A312,180)</f>
        <v>23</v>
      </c>
      <c r="J312" cm="1">
        <f t="array" aca="1" ref="J312" ca="1">[1]!s_west_stdnetprofit($B$1,YEAR($A312)+1,$A312,180,1000000)</f>
        <v>43.6492</v>
      </c>
      <c r="K312" cm="1">
        <f t="array" aca="1" ref="K312" ca="1">[1]!s_west_mediannetprofit($B$1,YEAR($A311)+1,$A311,180,1000000)</f>
        <v>128.56700000000001</v>
      </c>
      <c r="L312" cm="1">
        <f t="array" aca="1" ref="L312" ca="1">[1]!s_dq_close($B$1,$A312,3)</f>
        <v>28</v>
      </c>
    </row>
    <row r="313" spans="1:12">
      <c r="A313" s="23">
        <f t="shared" ca="1" si="4"/>
        <v>45862</v>
      </c>
      <c r="B313" cm="1">
        <f t="array" aca="1" ref="B313" ca="1">[1]!s_west_netprofit($B$1,YEAR($A313),$A313,180,1000000)</f>
        <v>333.863043</v>
      </c>
      <c r="C313" cm="1">
        <f t="array" aca="1" ref="C313" ca="1">[1]!s_west_eps($B$1,YEAR($A313),$A313,180)</f>
        <v>0.37580000000000002</v>
      </c>
      <c r="D313" cm="1">
        <f t="array" aca="1" ref="D313" ca="1">[1]!s_west_instnum_np($B$1,YEAR($A313),$A313,180)</f>
        <v>23</v>
      </c>
      <c r="E313" cm="1">
        <f t="array" aca="1" ref="E313" ca="1">[1]!s_west_stdnetprofit($B$1,YEAR($A313),$A313,180,1000000)</f>
        <v>145.684887</v>
      </c>
      <c r="F313" cm="1">
        <f t="array" aca="1" ref="F313" ca="1">[1]!s_west_mediannetprofit($B$1,YEAR($A313),$A313,180,1000000)</f>
        <v>364</v>
      </c>
      <c r="G313" cm="1">
        <f t="array" aca="1" ref="G313" ca="1">[1]!s_west_netprofit($B$1,YEAR($A313)+1,$A313,180,1000000)</f>
        <v>132.42595700000001</v>
      </c>
      <c r="H313" cm="1">
        <f t="array" aca="1" ref="H313" ca="1">[1]!s_west_eps($B$1,YEAR($A313)+1,$A313,180)</f>
        <v>0.15040000000000001</v>
      </c>
      <c r="I313" cm="1">
        <f t="array" aca="1" ref="I313" ca="1">[1]!s_west_instnum_np($B$1,YEAR($A313)+1,$A313,180)</f>
        <v>23</v>
      </c>
      <c r="J313" cm="1">
        <f t="array" aca="1" ref="J313" ca="1">[1]!s_west_stdnetprofit($B$1,YEAR($A313)+1,$A313,180,1000000)</f>
        <v>43.6492</v>
      </c>
      <c r="K313" cm="1">
        <f t="array" aca="1" ref="K313" ca="1">[1]!s_west_mediannetprofit($B$1,YEAR($A312)+1,$A312,180,1000000)</f>
        <v>128.56700000000001</v>
      </c>
      <c r="L313" cm="1">
        <f t="array" aca="1" ref="L313" ca="1">[1]!s_dq_close($B$1,$A313,3)</f>
        <v>28.05</v>
      </c>
    </row>
    <row r="314" spans="1:12">
      <c r="A314" s="23">
        <f t="shared" ca="1" si="4"/>
        <v>45861</v>
      </c>
      <c r="B314" cm="1">
        <f t="array" aca="1" ref="B314" ca="1">[1]!s_west_netprofit($B$1,YEAR($A314),$A314,180,1000000)</f>
        <v>333.863043</v>
      </c>
      <c r="C314" cm="1">
        <f t="array" aca="1" ref="C314" ca="1">[1]!s_west_eps($B$1,YEAR($A314),$A314,180)</f>
        <v>0.37580000000000002</v>
      </c>
      <c r="D314" cm="1">
        <f t="array" aca="1" ref="D314" ca="1">[1]!s_west_instnum_np($B$1,YEAR($A314),$A314,180)</f>
        <v>23</v>
      </c>
      <c r="E314" cm="1">
        <f t="array" aca="1" ref="E314" ca="1">[1]!s_west_stdnetprofit($B$1,YEAR($A314),$A314,180,1000000)</f>
        <v>145.684887</v>
      </c>
      <c r="F314" cm="1">
        <f t="array" aca="1" ref="F314" ca="1">[1]!s_west_mediannetprofit($B$1,YEAR($A314),$A314,180,1000000)</f>
        <v>364</v>
      </c>
      <c r="G314" cm="1">
        <f t="array" aca="1" ref="G314" ca="1">[1]!s_west_netprofit($B$1,YEAR($A314)+1,$A314,180,1000000)</f>
        <v>132.42595700000001</v>
      </c>
      <c r="H314" cm="1">
        <f t="array" aca="1" ref="H314" ca="1">[1]!s_west_eps($B$1,YEAR($A314)+1,$A314,180)</f>
        <v>0.15040000000000001</v>
      </c>
      <c r="I314" cm="1">
        <f t="array" aca="1" ref="I314" ca="1">[1]!s_west_instnum_np($B$1,YEAR($A314)+1,$A314,180)</f>
        <v>23</v>
      </c>
      <c r="J314" cm="1">
        <f t="array" aca="1" ref="J314" ca="1">[1]!s_west_stdnetprofit($B$1,YEAR($A314)+1,$A314,180,1000000)</f>
        <v>43.6492</v>
      </c>
      <c r="K314" cm="1">
        <f t="array" aca="1" ref="K314" ca="1">[1]!s_west_mediannetprofit($B$1,YEAR($A313)+1,$A313,180,1000000)</f>
        <v>128.56700000000001</v>
      </c>
      <c r="L314" cm="1">
        <f t="array" aca="1" ref="L314" ca="1">[1]!s_dq_close($B$1,$A314,3)</f>
        <v>27.6</v>
      </c>
    </row>
    <row r="315" spans="1:12">
      <c r="A315" s="23">
        <f t="shared" ca="1" si="4"/>
        <v>45860</v>
      </c>
      <c r="B315" cm="1">
        <f t="array" aca="1" ref="B315" ca="1">[1]!s_west_netprofit($B$1,YEAR($A315),$A315,180,1000000)</f>
        <v>333.863043</v>
      </c>
      <c r="C315" cm="1">
        <f t="array" aca="1" ref="C315" ca="1">[1]!s_west_eps($B$1,YEAR($A315),$A315,180)</f>
        <v>0.37580000000000002</v>
      </c>
      <c r="D315" cm="1">
        <f t="array" aca="1" ref="D315" ca="1">[1]!s_west_instnum_np($B$1,YEAR($A315),$A315,180)</f>
        <v>23</v>
      </c>
      <c r="E315" cm="1">
        <f t="array" aca="1" ref="E315" ca="1">[1]!s_west_stdnetprofit($B$1,YEAR($A315),$A315,180,1000000)</f>
        <v>145.684887</v>
      </c>
      <c r="F315" cm="1">
        <f t="array" aca="1" ref="F315" ca="1">[1]!s_west_mediannetprofit($B$1,YEAR($A315),$A315,180,1000000)</f>
        <v>364</v>
      </c>
      <c r="G315" cm="1">
        <f t="array" aca="1" ref="G315" ca="1">[1]!s_west_netprofit($B$1,YEAR($A315)+1,$A315,180,1000000)</f>
        <v>132.42595700000001</v>
      </c>
      <c r="H315" cm="1">
        <f t="array" aca="1" ref="H315" ca="1">[1]!s_west_eps($B$1,YEAR($A315)+1,$A315,180)</f>
        <v>0.15040000000000001</v>
      </c>
      <c r="I315" cm="1">
        <f t="array" aca="1" ref="I315" ca="1">[1]!s_west_instnum_np($B$1,YEAR($A315)+1,$A315,180)</f>
        <v>23</v>
      </c>
      <c r="J315" cm="1">
        <f t="array" aca="1" ref="J315" ca="1">[1]!s_west_stdnetprofit($B$1,YEAR($A315)+1,$A315,180,1000000)</f>
        <v>43.6492</v>
      </c>
      <c r="K315" cm="1">
        <f t="array" aca="1" ref="K315" ca="1">[1]!s_west_mediannetprofit($B$1,YEAR($A314)+1,$A314,180,1000000)</f>
        <v>128.56700000000001</v>
      </c>
      <c r="L315" cm="1">
        <f t="array" aca="1" ref="L315" ca="1">[1]!s_dq_close($B$1,$A315,3)</f>
        <v>27.8</v>
      </c>
    </row>
    <row r="316" spans="1:12">
      <c r="A316" s="23">
        <f t="shared" ca="1" si="4"/>
        <v>45859</v>
      </c>
      <c r="B316" cm="1">
        <f t="array" aca="1" ref="B316" ca="1">[1]!s_west_netprofit($B$1,YEAR($A316),$A316,180,1000000)</f>
        <v>333.863043</v>
      </c>
      <c r="C316" cm="1">
        <f t="array" aca="1" ref="C316" ca="1">[1]!s_west_eps($B$1,YEAR($A316),$A316,180)</f>
        <v>0.37580000000000002</v>
      </c>
      <c r="D316" cm="1">
        <f t="array" aca="1" ref="D316" ca="1">[1]!s_west_instnum_np($B$1,YEAR($A316),$A316,180)</f>
        <v>23</v>
      </c>
      <c r="E316" cm="1">
        <f t="array" aca="1" ref="E316" ca="1">[1]!s_west_stdnetprofit($B$1,YEAR($A316),$A316,180,1000000)</f>
        <v>145.684887</v>
      </c>
      <c r="F316" cm="1">
        <f t="array" aca="1" ref="F316" ca="1">[1]!s_west_mediannetprofit($B$1,YEAR($A316),$A316,180,1000000)</f>
        <v>364</v>
      </c>
      <c r="G316" cm="1">
        <f t="array" aca="1" ref="G316" ca="1">[1]!s_west_netprofit($B$1,YEAR($A316)+1,$A316,180,1000000)</f>
        <v>132.42595700000001</v>
      </c>
      <c r="H316" cm="1">
        <f t="array" aca="1" ref="H316" ca="1">[1]!s_west_eps($B$1,YEAR($A316)+1,$A316,180)</f>
        <v>0.15040000000000001</v>
      </c>
      <c r="I316" cm="1">
        <f t="array" aca="1" ref="I316" ca="1">[1]!s_west_instnum_np($B$1,YEAR($A316)+1,$A316,180)</f>
        <v>23</v>
      </c>
      <c r="J316" cm="1">
        <f t="array" aca="1" ref="J316" ca="1">[1]!s_west_stdnetprofit($B$1,YEAR($A316)+1,$A316,180,1000000)</f>
        <v>43.6492</v>
      </c>
      <c r="K316" cm="1">
        <f t="array" aca="1" ref="K316" ca="1">[1]!s_west_mediannetprofit($B$1,YEAR($A315)+1,$A315,180,1000000)</f>
        <v>128.56700000000001</v>
      </c>
      <c r="L316" cm="1">
        <f t="array" aca="1" ref="L316" ca="1">[1]!s_dq_close($B$1,$A316,3)</f>
        <v>28.2</v>
      </c>
    </row>
    <row r="317" spans="1:12">
      <c r="A317" s="23">
        <f t="shared" ca="1" si="4"/>
        <v>45858</v>
      </c>
      <c r="B317" cm="1">
        <f t="array" aca="1" ref="B317" ca="1">[1]!s_west_netprofit($B$1,YEAR($A317),$A317,180,1000000)</f>
        <v>333.863043</v>
      </c>
      <c r="C317" cm="1">
        <f t="array" aca="1" ref="C317" ca="1">[1]!s_west_eps($B$1,YEAR($A317),$A317,180)</f>
        <v>0.37580000000000002</v>
      </c>
      <c r="D317" cm="1">
        <f t="array" aca="1" ref="D317" ca="1">[1]!s_west_instnum_np($B$1,YEAR($A317),$A317,180)</f>
        <v>23</v>
      </c>
      <c r="E317" cm="1">
        <f t="array" aca="1" ref="E317" ca="1">[1]!s_west_stdnetprofit($B$1,YEAR($A317),$A317,180,1000000)</f>
        <v>145.684887</v>
      </c>
      <c r="F317" cm="1">
        <f t="array" aca="1" ref="F317" ca="1">[1]!s_west_mediannetprofit($B$1,YEAR($A317),$A317,180,1000000)</f>
        <v>364</v>
      </c>
      <c r="G317" cm="1">
        <f t="array" aca="1" ref="G317" ca="1">[1]!s_west_netprofit($B$1,YEAR($A317)+1,$A317,180,1000000)</f>
        <v>132.42595700000001</v>
      </c>
      <c r="H317" cm="1">
        <f t="array" aca="1" ref="H317" ca="1">[1]!s_west_eps($B$1,YEAR($A317)+1,$A317,180)</f>
        <v>0.15040000000000001</v>
      </c>
      <c r="I317" cm="1">
        <f t="array" aca="1" ref="I317" ca="1">[1]!s_west_instnum_np($B$1,YEAR($A317)+1,$A317,180)</f>
        <v>23</v>
      </c>
      <c r="J317" cm="1">
        <f t="array" aca="1" ref="J317" ca="1">[1]!s_west_stdnetprofit($B$1,YEAR($A317)+1,$A317,180,1000000)</f>
        <v>43.6492</v>
      </c>
      <c r="K317" cm="1">
        <f t="array" aca="1" ref="K317" ca="1">[1]!s_west_mediannetprofit($B$1,YEAR($A316)+1,$A316,180,1000000)</f>
        <v>128.56700000000001</v>
      </c>
      <c r="L317" cm="1">
        <f t="array" aca="1" ref="L317" ca="1">[1]!s_dq_close($B$1,$A317,3)</f>
        <v>27.9</v>
      </c>
    </row>
    <row r="318" spans="1:12">
      <c r="A318" s="23">
        <f t="shared" ca="1" si="4"/>
        <v>45857</v>
      </c>
      <c r="B318" cm="1">
        <f t="array" aca="1" ref="B318" ca="1">[1]!s_west_netprofit($B$1,YEAR($A318),$A318,180,1000000)</f>
        <v>333.863043</v>
      </c>
      <c r="C318" cm="1">
        <f t="array" aca="1" ref="C318" ca="1">[1]!s_west_eps($B$1,YEAR($A318),$A318,180)</f>
        <v>0.37580000000000002</v>
      </c>
      <c r="D318" cm="1">
        <f t="array" aca="1" ref="D318" ca="1">[1]!s_west_instnum_np($B$1,YEAR($A318),$A318,180)</f>
        <v>23</v>
      </c>
      <c r="E318" cm="1">
        <f t="array" aca="1" ref="E318" ca="1">[1]!s_west_stdnetprofit($B$1,YEAR($A318),$A318,180,1000000)</f>
        <v>145.684887</v>
      </c>
      <c r="F318" cm="1">
        <f t="array" aca="1" ref="F318" ca="1">[1]!s_west_mediannetprofit($B$1,YEAR($A318),$A318,180,1000000)</f>
        <v>364</v>
      </c>
      <c r="G318" cm="1">
        <f t="array" aca="1" ref="G318" ca="1">[1]!s_west_netprofit($B$1,YEAR($A318)+1,$A318,180,1000000)</f>
        <v>132.42595700000001</v>
      </c>
      <c r="H318" cm="1">
        <f t="array" aca="1" ref="H318" ca="1">[1]!s_west_eps($B$1,YEAR($A318)+1,$A318,180)</f>
        <v>0.15040000000000001</v>
      </c>
      <c r="I318" cm="1">
        <f t="array" aca="1" ref="I318" ca="1">[1]!s_west_instnum_np($B$1,YEAR($A318)+1,$A318,180)</f>
        <v>23</v>
      </c>
      <c r="J318" cm="1">
        <f t="array" aca="1" ref="J318" ca="1">[1]!s_west_stdnetprofit($B$1,YEAR($A318)+1,$A318,180,1000000)</f>
        <v>43.6492</v>
      </c>
      <c r="K318" cm="1">
        <f t="array" aca="1" ref="K318" ca="1">[1]!s_west_mediannetprofit($B$1,YEAR($A317)+1,$A317,180,1000000)</f>
        <v>128.56700000000001</v>
      </c>
      <c r="L318" cm="1">
        <f t="array" aca="1" ref="L318" ca="1">[1]!s_dq_close($B$1,$A318,3)</f>
        <v>27.9</v>
      </c>
    </row>
    <row r="319" spans="1:12">
      <c r="A319" s="23">
        <f t="shared" ca="1" si="4"/>
        <v>45856</v>
      </c>
      <c r="B319" cm="1">
        <f t="array" aca="1" ref="B319" ca="1">[1]!s_west_netprofit($B$1,YEAR($A319),$A319,180,1000000)</f>
        <v>333.863043</v>
      </c>
      <c r="C319" cm="1">
        <f t="array" aca="1" ref="C319" ca="1">[1]!s_west_eps($B$1,YEAR($A319),$A319,180)</f>
        <v>0.37580000000000002</v>
      </c>
      <c r="D319" cm="1">
        <f t="array" aca="1" ref="D319" ca="1">[1]!s_west_instnum_np($B$1,YEAR($A319),$A319,180)</f>
        <v>23</v>
      </c>
      <c r="E319" cm="1">
        <f t="array" aca="1" ref="E319" ca="1">[1]!s_west_stdnetprofit($B$1,YEAR($A319),$A319,180,1000000)</f>
        <v>145.684887</v>
      </c>
      <c r="F319" cm="1">
        <f t="array" aca="1" ref="F319" ca="1">[1]!s_west_mediannetprofit($B$1,YEAR($A319),$A319,180,1000000)</f>
        <v>364</v>
      </c>
      <c r="G319" cm="1">
        <f t="array" aca="1" ref="G319" ca="1">[1]!s_west_netprofit($B$1,YEAR($A319)+1,$A319,180,1000000)</f>
        <v>132.42595700000001</v>
      </c>
      <c r="H319" cm="1">
        <f t="array" aca="1" ref="H319" ca="1">[1]!s_west_eps($B$1,YEAR($A319)+1,$A319,180)</f>
        <v>0.15040000000000001</v>
      </c>
      <c r="I319" cm="1">
        <f t="array" aca="1" ref="I319" ca="1">[1]!s_west_instnum_np($B$1,YEAR($A319)+1,$A319,180)</f>
        <v>23</v>
      </c>
      <c r="J319" cm="1">
        <f t="array" aca="1" ref="J319" ca="1">[1]!s_west_stdnetprofit($B$1,YEAR($A319)+1,$A319,180,1000000)</f>
        <v>43.6492</v>
      </c>
      <c r="K319" cm="1">
        <f t="array" aca="1" ref="K319" ca="1">[1]!s_west_mediannetprofit($B$1,YEAR($A318)+1,$A318,180,1000000)</f>
        <v>128.56700000000001</v>
      </c>
      <c r="L319" cm="1">
        <f t="array" aca="1" ref="L319" ca="1">[1]!s_dq_close($B$1,$A319,3)</f>
        <v>27.9</v>
      </c>
    </row>
    <row r="320" spans="1:12">
      <c r="A320" s="23">
        <f t="shared" ca="1" si="4"/>
        <v>45855</v>
      </c>
      <c r="B320" cm="1">
        <f t="array" aca="1" ref="B320" ca="1">[1]!s_west_netprofit($B$1,YEAR($A320),$A320,180,1000000)</f>
        <v>333.863043</v>
      </c>
      <c r="C320" cm="1">
        <f t="array" aca="1" ref="C320" ca="1">[1]!s_west_eps($B$1,YEAR($A320),$A320,180)</f>
        <v>0.37580000000000002</v>
      </c>
      <c r="D320" cm="1">
        <f t="array" aca="1" ref="D320" ca="1">[1]!s_west_instnum_np($B$1,YEAR($A320),$A320,180)</f>
        <v>23</v>
      </c>
      <c r="E320" cm="1">
        <f t="array" aca="1" ref="E320" ca="1">[1]!s_west_stdnetprofit($B$1,YEAR($A320),$A320,180,1000000)</f>
        <v>145.684887</v>
      </c>
      <c r="F320" cm="1">
        <f t="array" aca="1" ref="F320" ca="1">[1]!s_west_mediannetprofit($B$1,YEAR($A320),$A320,180,1000000)</f>
        <v>364</v>
      </c>
      <c r="G320" cm="1">
        <f t="array" aca="1" ref="G320" ca="1">[1]!s_west_netprofit($B$1,YEAR($A320)+1,$A320,180,1000000)</f>
        <v>132.42595700000001</v>
      </c>
      <c r="H320" cm="1">
        <f t="array" aca="1" ref="H320" ca="1">[1]!s_west_eps($B$1,YEAR($A320)+1,$A320,180)</f>
        <v>0.15040000000000001</v>
      </c>
      <c r="I320" cm="1">
        <f t="array" aca="1" ref="I320" ca="1">[1]!s_west_instnum_np($B$1,YEAR($A320)+1,$A320,180)</f>
        <v>23</v>
      </c>
      <c r="J320" cm="1">
        <f t="array" aca="1" ref="J320" ca="1">[1]!s_west_stdnetprofit($B$1,YEAR($A320)+1,$A320,180,1000000)</f>
        <v>43.6492</v>
      </c>
      <c r="K320" cm="1">
        <f t="array" aca="1" ref="K320" ca="1">[1]!s_west_mediannetprofit($B$1,YEAR($A319)+1,$A319,180,1000000)</f>
        <v>128.56700000000001</v>
      </c>
      <c r="L320" cm="1">
        <f t="array" aca="1" ref="L320" ca="1">[1]!s_dq_close($B$1,$A320,3)</f>
        <v>27.5</v>
      </c>
    </row>
    <row r="321" spans="1:12">
      <c r="A321" s="23">
        <f t="shared" ca="1" si="4"/>
        <v>45854</v>
      </c>
      <c r="B321" cm="1">
        <f t="array" aca="1" ref="B321" ca="1">[1]!s_west_netprofit($B$1,YEAR($A321),$A321,180,1000000)</f>
        <v>333.863043</v>
      </c>
      <c r="C321" cm="1">
        <f t="array" aca="1" ref="C321" ca="1">[1]!s_west_eps($B$1,YEAR($A321),$A321,180)</f>
        <v>0.37580000000000002</v>
      </c>
      <c r="D321" cm="1">
        <f t="array" aca="1" ref="D321" ca="1">[1]!s_west_instnum_np($B$1,YEAR($A321),$A321,180)</f>
        <v>23</v>
      </c>
      <c r="E321" cm="1">
        <f t="array" aca="1" ref="E321" ca="1">[1]!s_west_stdnetprofit($B$1,YEAR($A321),$A321,180,1000000)</f>
        <v>145.684887</v>
      </c>
      <c r="F321" cm="1">
        <f t="array" aca="1" ref="F321" ca="1">[1]!s_west_mediannetprofit($B$1,YEAR($A321),$A321,180,1000000)</f>
        <v>364</v>
      </c>
      <c r="G321" cm="1">
        <f t="array" aca="1" ref="G321" ca="1">[1]!s_west_netprofit($B$1,YEAR($A321)+1,$A321,180,1000000)</f>
        <v>132.42595700000001</v>
      </c>
      <c r="H321" cm="1">
        <f t="array" aca="1" ref="H321" ca="1">[1]!s_west_eps($B$1,YEAR($A321)+1,$A321,180)</f>
        <v>0.15040000000000001</v>
      </c>
      <c r="I321" cm="1">
        <f t="array" aca="1" ref="I321" ca="1">[1]!s_west_instnum_np($B$1,YEAR($A321)+1,$A321,180)</f>
        <v>23</v>
      </c>
      <c r="J321" cm="1">
        <f t="array" aca="1" ref="J321" ca="1">[1]!s_west_stdnetprofit($B$1,YEAR($A321)+1,$A321,180,1000000)</f>
        <v>43.6492</v>
      </c>
      <c r="K321" cm="1">
        <f t="array" aca="1" ref="K321" ca="1">[1]!s_west_mediannetprofit($B$1,YEAR($A320)+1,$A320,180,1000000)</f>
        <v>128.56700000000001</v>
      </c>
      <c r="L321" cm="1">
        <f t="array" aca="1" ref="L321" ca="1">[1]!s_dq_close($B$1,$A321,3)</f>
        <v>26.9</v>
      </c>
    </row>
    <row r="322" spans="1:12">
      <c r="A322" s="23">
        <f t="shared" ca="1" si="4"/>
        <v>45853</v>
      </c>
      <c r="B322" cm="1">
        <f t="array" aca="1" ref="B322" ca="1">[1]!s_west_netprofit($B$1,YEAR($A322),$A322,180,1000000)</f>
        <v>333.863043</v>
      </c>
      <c r="C322" cm="1">
        <f t="array" aca="1" ref="C322" ca="1">[1]!s_west_eps($B$1,YEAR($A322),$A322,180)</f>
        <v>0.37580000000000002</v>
      </c>
      <c r="D322" cm="1">
        <f t="array" aca="1" ref="D322" ca="1">[1]!s_west_instnum_np($B$1,YEAR($A322),$A322,180)</f>
        <v>23</v>
      </c>
      <c r="E322" cm="1">
        <f t="array" aca="1" ref="E322" ca="1">[1]!s_west_stdnetprofit($B$1,YEAR($A322),$A322,180,1000000)</f>
        <v>145.684887</v>
      </c>
      <c r="F322" cm="1">
        <f t="array" aca="1" ref="F322" ca="1">[1]!s_west_mediannetprofit($B$1,YEAR($A322),$A322,180,1000000)</f>
        <v>364</v>
      </c>
      <c r="G322" cm="1">
        <f t="array" aca="1" ref="G322" ca="1">[1]!s_west_netprofit($B$1,YEAR($A322)+1,$A322,180,1000000)</f>
        <v>132.42595700000001</v>
      </c>
      <c r="H322" cm="1">
        <f t="array" aca="1" ref="H322" ca="1">[1]!s_west_eps($B$1,YEAR($A322)+1,$A322,180)</f>
        <v>0.15040000000000001</v>
      </c>
      <c r="I322" cm="1">
        <f t="array" aca="1" ref="I322" ca="1">[1]!s_west_instnum_np($B$1,YEAR($A322)+1,$A322,180)</f>
        <v>23</v>
      </c>
      <c r="J322" cm="1">
        <f t="array" aca="1" ref="J322" ca="1">[1]!s_west_stdnetprofit($B$1,YEAR($A322)+1,$A322,180,1000000)</f>
        <v>43.6492</v>
      </c>
      <c r="K322" cm="1">
        <f t="array" aca="1" ref="K322" ca="1">[1]!s_west_mediannetprofit($B$1,YEAR($A321)+1,$A321,180,1000000)</f>
        <v>128.56700000000001</v>
      </c>
      <c r="L322" cm="1">
        <f t="array" aca="1" ref="L322" ca="1">[1]!s_dq_close($B$1,$A322,3)</f>
        <v>26.05</v>
      </c>
    </row>
    <row r="323" spans="1:12">
      <c r="A323" s="23">
        <f t="shared" ca="1" si="4"/>
        <v>45852</v>
      </c>
      <c r="B323" cm="1">
        <f t="array" aca="1" ref="B323" ca="1">[1]!s_west_netprofit($B$1,YEAR($A323),$A323,180,1000000)</f>
        <v>333.863043</v>
      </c>
      <c r="C323" cm="1">
        <f t="array" aca="1" ref="C323" ca="1">[1]!s_west_eps($B$1,YEAR($A323),$A323,180)</f>
        <v>0.37580000000000002</v>
      </c>
      <c r="D323" cm="1">
        <f t="array" aca="1" ref="D323" ca="1">[1]!s_west_instnum_np($B$1,YEAR($A323),$A323,180)</f>
        <v>23</v>
      </c>
      <c r="E323" cm="1">
        <f t="array" aca="1" ref="E323" ca="1">[1]!s_west_stdnetprofit($B$1,YEAR($A323),$A323,180,1000000)</f>
        <v>145.684887</v>
      </c>
      <c r="F323" cm="1">
        <f t="array" aca="1" ref="F323" ca="1">[1]!s_west_mediannetprofit($B$1,YEAR($A323),$A323,180,1000000)</f>
        <v>364</v>
      </c>
      <c r="G323" cm="1">
        <f t="array" aca="1" ref="G323" ca="1">[1]!s_west_netprofit($B$1,YEAR($A323)+1,$A323,180,1000000)</f>
        <v>132.42595700000001</v>
      </c>
      <c r="H323" cm="1">
        <f t="array" aca="1" ref="H323" ca="1">[1]!s_west_eps($B$1,YEAR($A323)+1,$A323,180)</f>
        <v>0.15040000000000001</v>
      </c>
      <c r="I323" cm="1">
        <f t="array" aca="1" ref="I323" ca="1">[1]!s_west_instnum_np($B$1,YEAR($A323)+1,$A323,180)</f>
        <v>23</v>
      </c>
      <c r="J323" cm="1">
        <f t="array" aca="1" ref="J323" ca="1">[1]!s_west_stdnetprofit($B$1,YEAR($A323)+1,$A323,180,1000000)</f>
        <v>43.6492</v>
      </c>
      <c r="K323" cm="1">
        <f t="array" aca="1" ref="K323" ca="1">[1]!s_west_mediannetprofit($B$1,YEAR($A322)+1,$A322,180,1000000)</f>
        <v>128.56700000000001</v>
      </c>
      <c r="L323" cm="1">
        <f t="array" aca="1" ref="L323" ca="1">[1]!s_dq_close($B$1,$A323,3)</f>
        <v>25.65</v>
      </c>
    </row>
    <row r="324" spans="1:12">
      <c r="A324" s="23">
        <f t="shared" ca="1" si="4"/>
        <v>45851</v>
      </c>
      <c r="B324" cm="1">
        <f t="array" aca="1" ref="B324" ca="1">[1]!s_west_netprofit($B$1,YEAR($A324),$A324,180,1000000)</f>
        <v>333.863043</v>
      </c>
      <c r="C324" cm="1">
        <f t="array" aca="1" ref="C324" ca="1">[1]!s_west_eps($B$1,YEAR($A324),$A324,180)</f>
        <v>0.37580000000000002</v>
      </c>
      <c r="D324" cm="1">
        <f t="array" aca="1" ref="D324" ca="1">[1]!s_west_instnum_np($B$1,YEAR($A324),$A324,180)</f>
        <v>23</v>
      </c>
      <c r="E324" cm="1">
        <f t="array" aca="1" ref="E324" ca="1">[1]!s_west_stdnetprofit($B$1,YEAR($A324),$A324,180,1000000)</f>
        <v>145.684887</v>
      </c>
      <c r="F324" cm="1">
        <f t="array" aca="1" ref="F324" ca="1">[1]!s_west_mediannetprofit($B$1,YEAR($A324),$A324,180,1000000)</f>
        <v>364</v>
      </c>
      <c r="G324" cm="1">
        <f t="array" aca="1" ref="G324" ca="1">[1]!s_west_netprofit($B$1,YEAR($A324)+1,$A324,180,1000000)</f>
        <v>132.42595700000001</v>
      </c>
      <c r="H324" cm="1">
        <f t="array" aca="1" ref="H324" ca="1">[1]!s_west_eps($B$1,YEAR($A324)+1,$A324,180)</f>
        <v>0.15040000000000001</v>
      </c>
      <c r="I324" cm="1">
        <f t="array" aca="1" ref="I324" ca="1">[1]!s_west_instnum_np($B$1,YEAR($A324)+1,$A324,180)</f>
        <v>23</v>
      </c>
      <c r="J324" cm="1">
        <f t="array" aca="1" ref="J324" ca="1">[1]!s_west_stdnetprofit($B$1,YEAR($A324)+1,$A324,180,1000000)</f>
        <v>43.6492</v>
      </c>
      <c r="K324" cm="1">
        <f t="array" aca="1" ref="K324" ca="1">[1]!s_west_mediannetprofit($B$1,YEAR($A323)+1,$A323,180,1000000)</f>
        <v>128.56700000000001</v>
      </c>
      <c r="L324" cm="1">
        <f t="array" aca="1" ref="L324" ca="1">[1]!s_dq_close($B$1,$A324,3)</f>
        <v>25.55</v>
      </c>
    </row>
    <row r="325" spans="1:12">
      <c r="A325" s="23">
        <f t="shared" ca="1" si="4"/>
        <v>45850</v>
      </c>
      <c r="B325" cm="1">
        <f t="array" aca="1" ref="B325" ca="1">[1]!s_west_netprofit($B$1,YEAR($A325),$A325,180,1000000)</f>
        <v>333.863043</v>
      </c>
      <c r="C325" cm="1">
        <f t="array" aca="1" ref="C325" ca="1">[1]!s_west_eps($B$1,YEAR($A325),$A325,180)</f>
        <v>0.37580000000000002</v>
      </c>
      <c r="D325" cm="1">
        <f t="array" aca="1" ref="D325" ca="1">[1]!s_west_instnum_np($B$1,YEAR($A325),$A325,180)</f>
        <v>23</v>
      </c>
      <c r="E325" cm="1">
        <f t="array" aca="1" ref="E325" ca="1">[1]!s_west_stdnetprofit($B$1,YEAR($A325),$A325,180,1000000)</f>
        <v>145.684887</v>
      </c>
      <c r="F325" cm="1">
        <f t="array" aca="1" ref="F325" ca="1">[1]!s_west_mediannetprofit($B$1,YEAR($A325),$A325,180,1000000)</f>
        <v>364</v>
      </c>
      <c r="G325" cm="1">
        <f t="array" aca="1" ref="G325" ca="1">[1]!s_west_netprofit($B$1,YEAR($A325)+1,$A325,180,1000000)</f>
        <v>132.42595700000001</v>
      </c>
      <c r="H325" cm="1">
        <f t="array" aca="1" ref="H325" ca="1">[1]!s_west_eps($B$1,YEAR($A325)+1,$A325,180)</f>
        <v>0.15040000000000001</v>
      </c>
      <c r="I325" cm="1">
        <f t="array" aca="1" ref="I325" ca="1">[1]!s_west_instnum_np($B$1,YEAR($A325)+1,$A325,180)</f>
        <v>23</v>
      </c>
      <c r="J325" cm="1">
        <f t="array" aca="1" ref="J325" ca="1">[1]!s_west_stdnetprofit($B$1,YEAR($A325)+1,$A325,180,1000000)</f>
        <v>43.6492</v>
      </c>
      <c r="K325" cm="1">
        <f t="array" aca="1" ref="K325" ca="1">[1]!s_west_mediannetprofit($B$1,YEAR($A324)+1,$A324,180,1000000)</f>
        <v>128.56700000000001</v>
      </c>
      <c r="L325" cm="1">
        <f t="array" aca="1" ref="L325" ca="1">[1]!s_dq_close($B$1,$A325,3)</f>
        <v>25.55</v>
      </c>
    </row>
    <row r="326" spans="1:12">
      <c r="A326" s="23">
        <f t="shared" ca="1" si="4"/>
        <v>45849</v>
      </c>
      <c r="B326" cm="1">
        <f t="array" aca="1" ref="B326" ca="1">[1]!s_west_netprofit($B$1,YEAR($A326),$A326,180,1000000)</f>
        <v>320.387</v>
      </c>
      <c r="C326" cm="1">
        <f t="array" aca="1" ref="C326" ca="1">[1]!s_west_eps($B$1,YEAR($A326),$A326,180)</f>
        <v>0.35799999999999998</v>
      </c>
      <c r="D326" cm="1">
        <f t="array" aca="1" ref="D326" ca="1">[1]!s_west_instnum_np($B$1,YEAR($A326),$A326,180)</f>
        <v>24</v>
      </c>
      <c r="E326" cm="1">
        <f t="array" aca="1" ref="E326" ca="1">[1]!s_west_stdnetprofit($B$1,YEAR($A326),$A326,180,1000000)</f>
        <v>157.03435899999999</v>
      </c>
      <c r="F326" cm="1">
        <f t="array" aca="1" ref="F326" ca="1">[1]!s_west_mediannetprofit($B$1,YEAR($A326),$A326,180,1000000)</f>
        <v>355.5</v>
      </c>
      <c r="G326" cm="1">
        <f t="array" aca="1" ref="G326" ca="1">[1]!s_west_netprofit($B$1,YEAR($A326)+1,$A326,180,1000000)</f>
        <v>132.42595700000001</v>
      </c>
      <c r="H326" cm="1">
        <f t="array" aca="1" ref="H326" ca="1">[1]!s_west_eps($B$1,YEAR($A326)+1,$A326,180)</f>
        <v>0.15040000000000001</v>
      </c>
      <c r="I326" cm="1">
        <f t="array" aca="1" ref="I326" ca="1">[1]!s_west_instnum_np($B$1,YEAR($A326)+1,$A326,180)</f>
        <v>23</v>
      </c>
      <c r="J326" cm="1">
        <f t="array" aca="1" ref="J326" ca="1">[1]!s_west_stdnetprofit($B$1,YEAR($A326)+1,$A326,180,1000000)</f>
        <v>43.6492</v>
      </c>
      <c r="K326" cm="1">
        <f t="array" aca="1" ref="K326" ca="1">[1]!s_west_mediannetprofit($B$1,YEAR($A325)+1,$A325,180,1000000)</f>
        <v>128.56700000000001</v>
      </c>
      <c r="L326" cm="1">
        <f t="array" aca="1" ref="L326" ca="1">[1]!s_dq_close($B$1,$A326,3)</f>
        <v>25.55</v>
      </c>
    </row>
    <row r="327" spans="1:12">
      <c r="A327" s="23">
        <f t="shared" ca="1" si="4"/>
        <v>45848</v>
      </c>
      <c r="B327" cm="1">
        <f t="array" aca="1" ref="B327" ca="1">[1]!s_west_netprofit($B$1,YEAR($A327),$A327,180,1000000)</f>
        <v>320.387</v>
      </c>
      <c r="C327" cm="1">
        <f t="array" aca="1" ref="C327" ca="1">[1]!s_west_eps($B$1,YEAR($A327),$A327,180)</f>
        <v>0.35799999999999998</v>
      </c>
      <c r="D327" cm="1">
        <f t="array" aca="1" ref="D327" ca="1">[1]!s_west_instnum_np($B$1,YEAR($A327),$A327,180)</f>
        <v>24</v>
      </c>
      <c r="E327" cm="1">
        <f t="array" aca="1" ref="E327" ca="1">[1]!s_west_stdnetprofit($B$1,YEAR($A327),$A327,180,1000000)</f>
        <v>157.03435899999999</v>
      </c>
      <c r="F327" cm="1">
        <f t="array" aca="1" ref="F327" ca="1">[1]!s_west_mediannetprofit($B$1,YEAR($A327),$A327,180,1000000)</f>
        <v>355.5</v>
      </c>
      <c r="G327" cm="1">
        <f t="array" aca="1" ref="G327" ca="1">[1]!s_west_netprofit($B$1,YEAR($A327)+1,$A327,180,1000000)</f>
        <v>132.42595700000001</v>
      </c>
      <c r="H327" cm="1">
        <f t="array" aca="1" ref="H327" ca="1">[1]!s_west_eps($B$1,YEAR($A327)+1,$A327,180)</f>
        <v>0.15040000000000001</v>
      </c>
      <c r="I327" cm="1">
        <f t="array" aca="1" ref="I327" ca="1">[1]!s_west_instnum_np($B$1,YEAR($A327)+1,$A327,180)</f>
        <v>23</v>
      </c>
      <c r="J327" cm="1">
        <f t="array" aca="1" ref="J327" ca="1">[1]!s_west_stdnetprofit($B$1,YEAR($A327)+1,$A327,180,1000000)</f>
        <v>43.6492</v>
      </c>
      <c r="K327" cm="1">
        <f t="array" aca="1" ref="K327" ca="1">[1]!s_west_mediannetprofit($B$1,YEAR($A326)+1,$A326,180,1000000)</f>
        <v>128.56700000000001</v>
      </c>
      <c r="L327" cm="1">
        <f t="array" aca="1" ref="L327" ca="1">[1]!s_dq_close($B$1,$A327,3)</f>
        <v>25.45</v>
      </c>
    </row>
    <row r="328" spans="1:12">
      <c r="A328" s="23">
        <f t="shared" ca="1" si="4"/>
        <v>45847</v>
      </c>
      <c r="B328" cm="1">
        <f t="array" aca="1" ref="B328" ca="1">[1]!s_west_netprofit($B$1,YEAR($A328),$A328,180,1000000)</f>
        <v>320.387</v>
      </c>
      <c r="C328" cm="1">
        <f t="array" aca="1" ref="C328" ca="1">[1]!s_west_eps($B$1,YEAR($A328),$A328,180)</f>
        <v>0.35799999999999998</v>
      </c>
      <c r="D328" cm="1">
        <f t="array" aca="1" ref="D328" ca="1">[1]!s_west_instnum_np($B$1,YEAR($A328),$A328,180)</f>
        <v>24</v>
      </c>
      <c r="E328" cm="1">
        <f t="array" aca="1" ref="E328" ca="1">[1]!s_west_stdnetprofit($B$1,YEAR($A328),$A328,180,1000000)</f>
        <v>157.03435899999999</v>
      </c>
      <c r="F328" cm="1">
        <f t="array" aca="1" ref="F328" ca="1">[1]!s_west_mediannetprofit($B$1,YEAR($A328),$A328,180,1000000)</f>
        <v>355.5</v>
      </c>
      <c r="G328" cm="1">
        <f t="array" aca="1" ref="G328" ca="1">[1]!s_west_netprofit($B$1,YEAR($A328)+1,$A328,180,1000000)</f>
        <v>132.42595700000001</v>
      </c>
      <c r="H328" cm="1">
        <f t="array" aca="1" ref="H328" ca="1">[1]!s_west_eps($B$1,YEAR($A328)+1,$A328,180)</f>
        <v>0.15040000000000001</v>
      </c>
      <c r="I328" cm="1">
        <f t="array" aca="1" ref="I328" ca="1">[1]!s_west_instnum_np($B$1,YEAR($A328)+1,$A328,180)</f>
        <v>23</v>
      </c>
      <c r="J328" cm="1">
        <f t="array" aca="1" ref="J328" ca="1">[1]!s_west_stdnetprofit($B$1,YEAR($A328)+1,$A328,180,1000000)</f>
        <v>43.6492</v>
      </c>
      <c r="K328" cm="1">
        <f t="array" aca="1" ref="K328" ca="1">[1]!s_west_mediannetprofit($B$1,YEAR($A327)+1,$A327,180,1000000)</f>
        <v>128.56700000000001</v>
      </c>
      <c r="L328" cm="1">
        <f t="array" aca="1" ref="L328" ca="1">[1]!s_dq_close($B$1,$A328,3)</f>
        <v>25.65</v>
      </c>
    </row>
    <row r="329" spans="1:12">
      <c r="A329" s="23">
        <f t="shared" ca="1" si="4"/>
        <v>45846</v>
      </c>
      <c r="B329" cm="1">
        <f t="array" aca="1" ref="B329" ca="1">[1]!s_west_netprofit($B$1,YEAR($A329),$A329,180,1000000)</f>
        <v>320.387</v>
      </c>
      <c r="C329" cm="1">
        <f t="array" aca="1" ref="C329" ca="1">[1]!s_west_eps($B$1,YEAR($A329),$A329,180)</f>
        <v>0.35799999999999998</v>
      </c>
      <c r="D329" cm="1">
        <f t="array" aca="1" ref="D329" ca="1">[1]!s_west_instnum_np($B$1,YEAR($A329),$A329,180)</f>
        <v>24</v>
      </c>
      <c r="E329" cm="1">
        <f t="array" aca="1" ref="E329" ca="1">[1]!s_west_stdnetprofit($B$1,YEAR($A329),$A329,180,1000000)</f>
        <v>157.03435899999999</v>
      </c>
      <c r="F329" cm="1">
        <f t="array" aca="1" ref="F329" ca="1">[1]!s_west_mediannetprofit($B$1,YEAR($A329),$A329,180,1000000)</f>
        <v>355.5</v>
      </c>
      <c r="G329" cm="1">
        <f t="array" aca="1" ref="G329" ca="1">[1]!s_west_netprofit($B$1,YEAR($A329)+1,$A329,180,1000000)</f>
        <v>132.42595700000001</v>
      </c>
      <c r="H329" cm="1">
        <f t="array" aca="1" ref="H329" ca="1">[1]!s_west_eps($B$1,YEAR($A329)+1,$A329,180)</f>
        <v>0.15040000000000001</v>
      </c>
      <c r="I329" cm="1">
        <f t="array" aca="1" ref="I329" ca="1">[1]!s_west_instnum_np($B$1,YEAR($A329)+1,$A329,180)</f>
        <v>23</v>
      </c>
      <c r="J329" cm="1">
        <f t="array" aca="1" ref="J329" ca="1">[1]!s_west_stdnetprofit($B$1,YEAR($A329)+1,$A329,180,1000000)</f>
        <v>43.6492</v>
      </c>
      <c r="K329" cm="1">
        <f t="array" aca="1" ref="K329" ca="1">[1]!s_west_mediannetprofit($B$1,YEAR($A328)+1,$A328,180,1000000)</f>
        <v>128.56700000000001</v>
      </c>
      <c r="L329" cm="1">
        <f t="array" aca="1" ref="L329" ca="1">[1]!s_dq_close($B$1,$A329,3)</f>
        <v>25.2</v>
      </c>
    </row>
    <row r="330" spans="1:12">
      <c r="A330" s="23">
        <f t="shared" ca="1" si="4"/>
        <v>45845</v>
      </c>
      <c r="B330" cm="1">
        <f t="array" aca="1" ref="B330" ca="1">[1]!s_west_netprofit($B$1,YEAR($A330),$A330,180,1000000)</f>
        <v>320.387</v>
      </c>
      <c r="C330" cm="1">
        <f t="array" aca="1" ref="C330" ca="1">[1]!s_west_eps($B$1,YEAR($A330),$A330,180)</f>
        <v>0.35799999999999998</v>
      </c>
      <c r="D330" cm="1">
        <f t="array" aca="1" ref="D330" ca="1">[1]!s_west_instnum_np($B$1,YEAR($A330),$A330,180)</f>
        <v>24</v>
      </c>
      <c r="E330" cm="1">
        <f t="array" aca="1" ref="E330" ca="1">[1]!s_west_stdnetprofit($B$1,YEAR($A330),$A330,180,1000000)</f>
        <v>157.03435899999999</v>
      </c>
      <c r="F330" cm="1">
        <f t="array" aca="1" ref="F330" ca="1">[1]!s_west_mediannetprofit($B$1,YEAR($A330),$A330,180,1000000)</f>
        <v>355.5</v>
      </c>
      <c r="G330" cm="1">
        <f t="array" aca="1" ref="G330" ca="1">[1]!s_west_netprofit($B$1,YEAR($A330)+1,$A330,180,1000000)</f>
        <v>132.42595700000001</v>
      </c>
      <c r="H330" cm="1">
        <f t="array" aca="1" ref="H330" ca="1">[1]!s_west_eps($B$1,YEAR($A330)+1,$A330,180)</f>
        <v>0.15040000000000001</v>
      </c>
      <c r="I330" cm="1">
        <f t="array" aca="1" ref="I330" ca="1">[1]!s_west_instnum_np($B$1,YEAR($A330)+1,$A330,180)</f>
        <v>23</v>
      </c>
      <c r="J330" cm="1">
        <f t="array" aca="1" ref="J330" ca="1">[1]!s_west_stdnetprofit($B$1,YEAR($A330)+1,$A330,180,1000000)</f>
        <v>43.6492</v>
      </c>
      <c r="K330" cm="1">
        <f t="array" aca="1" ref="K330" ca="1">[1]!s_west_mediannetprofit($B$1,YEAR($A329)+1,$A329,180,1000000)</f>
        <v>128.56700000000001</v>
      </c>
      <c r="L330" cm="1">
        <f t="array" aca="1" ref="L330" ca="1">[1]!s_dq_close($B$1,$A330,3)</f>
        <v>24.5</v>
      </c>
    </row>
    <row r="331" spans="1:12">
      <c r="A331" s="23">
        <f t="shared" ca="1" si="4"/>
        <v>45844</v>
      </c>
      <c r="B331" cm="1">
        <f t="array" aca="1" ref="B331" ca="1">[1]!s_west_netprofit($B$1,YEAR($A331),$A331,180,1000000)</f>
        <v>320.387</v>
      </c>
      <c r="C331" cm="1">
        <f t="array" aca="1" ref="C331" ca="1">[1]!s_west_eps($B$1,YEAR($A331),$A331,180)</f>
        <v>0.35799999999999998</v>
      </c>
      <c r="D331" cm="1">
        <f t="array" aca="1" ref="D331" ca="1">[1]!s_west_instnum_np($B$1,YEAR($A331),$A331,180)</f>
        <v>24</v>
      </c>
      <c r="E331" cm="1">
        <f t="array" aca="1" ref="E331" ca="1">[1]!s_west_stdnetprofit($B$1,YEAR($A331),$A331,180,1000000)</f>
        <v>157.03435899999999</v>
      </c>
      <c r="F331" cm="1">
        <f t="array" aca="1" ref="F331" ca="1">[1]!s_west_mediannetprofit($B$1,YEAR($A331),$A331,180,1000000)</f>
        <v>355.5</v>
      </c>
      <c r="G331" cm="1">
        <f t="array" aca="1" ref="G331" ca="1">[1]!s_west_netprofit($B$1,YEAR($A331)+1,$A331,180,1000000)</f>
        <v>132.42595700000001</v>
      </c>
      <c r="H331" cm="1">
        <f t="array" aca="1" ref="H331" ca="1">[1]!s_west_eps($B$1,YEAR($A331)+1,$A331,180)</f>
        <v>0.15040000000000001</v>
      </c>
      <c r="I331" cm="1">
        <f t="array" aca="1" ref="I331" ca="1">[1]!s_west_instnum_np($B$1,YEAR($A331)+1,$A331,180)</f>
        <v>23</v>
      </c>
      <c r="J331" cm="1">
        <f t="array" aca="1" ref="J331" ca="1">[1]!s_west_stdnetprofit($B$1,YEAR($A331)+1,$A331,180,1000000)</f>
        <v>43.6492</v>
      </c>
      <c r="K331" cm="1">
        <f t="array" aca="1" ref="K331" ca="1">[1]!s_west_mediannetprofit($B$1,YEAR($A330)+1,$A330,180,1000000)</f>
        <v>128.56700000000001</v>
      </c>
      <c r="L331" cm="1">
        <f t="array" aca="1" ref="L331" ca="1">[1]!s_dq_close($B$1,$A331,3)</f>
        <v>24.95</v>
      </c>
    </row>
    <row r="332" spans="1:12">
      <c r="A332" s="23">
        <f t="shared" ca="1" si="4"/>
        <v>45843</v>
      </c>
      <c r="B332" cm="1">
        <f t="array" aca="1" ref="B332" ca="1">[1]!s_west_netprofit($B$1,YEAR($A332),$A332,180,1000000)</f>
        <v>320.387</v>
      </c>
      <c r="C332" cm="1">
        <f t="array" aca="1" ref="C332" ca="1">[1]!s_west_eps($B$1,YEAR($A332),$A332,180)</f>
        <v>0.35799999999999998</v>
      </c>
      <c r="D332" cm="1">
        <f t="array" aca="1" ref="D332" ca="1">[1]!s_west_instnum_np($B$1,YEAR($A332),$A332,180)</f>
        <v>24</v>
      </c>
      <c r="E332" cm="1">
        <f t="array" aca="1" ref="E332" ca="1">[1]!s_west_stdnetprofit($B$1,YEAR($A332),$A332,180,1000000)</f>
        <v>157.03435899999999</v>
      </c>
      <c r="F332" cm="1">
        <f t="array" aca="1" ref="F332" ca="1">[1]!s_west_mediannetprofit($B$1,YEAR($A332),$A332,180,1000000)</f>
        <v>355.5</v>
      </c>
      <c r="G332" cm="1">
        <f t="array" aca="1" ref="G332" ca="1">[1]!s_west_netprofit($B$1,YEAR($A332)+1,$A332,180,1000000)</f>
        <v>132.42595700000001</v>
      </c>
      <c r="H332" cm="1">
        <f t="array" aca="1" ref="H332" ca="1">[1]!s_west_eps($B$1,YEAR($A332)+1,$A332,180)</f>
        <v>0.15040000000000001</v>
      </c>
      <c r="I332" cm="1">
        <f t="array" aca="1" ref="I332" ca="1">[1]!s_west_instnum_np($B$1,YEAR($A332)+1,$A332,180)</f>
        <v>23</v>
      </c>
      <c r="J332" cm="1">
        <f t="array" aca="1" ref="J332" ca="1">[1]!s_west_stdnetprofit($B$1,YEAR($A332)+1,$A332,180,1000000)</f>
        <v>43.6492</v>
      </c>
      <c r="K332" cm="1">
        <f t="array" aca="1" ref="K332" ca="1">[1]!s_west_mediannetprofit($B$1,YEAR($A331)+1,$A331,180,1000000)</f>
        <v>128.56700000000001</v>
      </c>
      <c r="L332" cm="1">
        <f t="array" aca="1" ref="L332" ca="1">[1]!s_dq_close($B$1,$A332,3)</f>
        <v>24.95</v>
      </c>
    </row>
    <row r="333" spans="1:12">
      <c r="A333" s="23">
        <f t="shared" ref="A333:A396" ca="1" si="5">A332-1</f>
        <v>45842</v>
      </c>
      <c r="B333" cm="1">
        <f t="array" aca="1" ref="B333" ca="1">[1]!s_west_netprofit($B$1,YEAR($A333),$A333,180,1000000)</f>
        <v>320.387</v>
      </c>
      <c r="C333" cm="1">
        <f t="array" aca="1" ref="C333" ca="1">[1]!s_west_eps($B$1,YEAR($A333),$A333,180)</f>
        <v>0.35799999999999998</v>
      </c>
      <c r="D333" cm="1">
        <f t="array" aca="1" ref="D333" ca="1">[1]!s_west_instnum_np($B$1,YEAR($A333),$A333,180)</f>
        <v>24</v>
      </c>
      <c r="E333" cm="1">
        <f t="array" aca="1" ref="E333" ca="1">[1]!s_west_stdnetprofit($B$1,YEAR($A333),$A333,180,1000000)</f>
        <v>157.03435899999999</v>
      </c>
      <c r="F333" cm="1">
        <f t="array" aca="1" ref="F333" ca="1">[1]!s_west_mediannetprofit($B$1,YEAR($A333),$A333,180,1000000)</f>
        <v>355.5</v>
      </c>
      <c r="G333" cm="1">
        <f t="array" aca="1" ref="G333" ca="1">[1]!s_west_netprofit($B$1,YEAR($A333)+1,$A333,180,1000000)</f>
        <v>132.42595700000001</v>
      </c>
      <c r="H333" cm="1">
        <f t="array" aca="1" ref="H333" ca="1">[1]!s_west_eps($B$1,YEAR($A333)+1,$A333,180)</f>
        <v>0.15040000000000001</v>
      </c>
      <c r="I333" cm="1">
        <f t="array" aca="1" ref="I333" ca="1">[1]!s_west_instnum_np($B$1,YEAR($A333)+1,$A333,180)</f>
        <v>23</v>
      </c>
      <c r="J333" cm="1">
        <f t="array" aca="1" ref="J333" ca="1">[1]!s_west_stdnetprofit($B$1,YEAR($A333)+1,$A333,180,1000000)</f>
        <v>43.6492</v>
      </c>
      <c r="K333" cm="1">
        <f t="array" aca="1" ref="K333" ca="1">[1]!s_west_mediannetprofit($B$1,YEAR($A332)+1,$A332,180,1000000)</f>
        <v>128.56700000000001</v>
      </c>
      <c r="L333" cm="1">
        <f t="array" aca="1" ref="L333" ca="1">[1]!s_dq_close($B$1,$A333,3)</f>
        <v>24.95</v>
      </c>
    </row>
    <row r="334" spans="1:12">
      <c r="A334" s="23">
        <f t="shared" ca="1" si="5"/>
        <v>45841</v>
      </c>
      <c r="B334" cm="1">
        <f t="array" aca="1" ref="B334" ca="1">[1]!s_west_netprofit($B$1,YEAR($A334),$A334,180,1000000)</f>
        <v>320.387</v>
      </c>
      <c r="C334" cm="1">
        <f t="array" aca="1" ref="C334" ca="1">[1]!s_west_eps($B$1,YEAR($A334),$A334,180)</f>
        <v>0.35799999999999998</v>
      </c>
      <c r="D334" cm="1">
        <f t="array" aca="1" ref="D334" ca="1">[1]!s_west_instnum_np($B$1,YEAR($A334),$A334,180)</f>
        <v>24</v>
      </c>
      <c r="E334" cm="1">
        <f t="array" aca="1" ref="E334" ca="1">[1]!s_west_stdnetprofit($B$1,YEAR($A334),$A334,180,1000000)</f>
        <v>157.03435899999999</v>
      </c>
      <c r="F334" cm="1">
        <f t="array" aca="1" ref="F334" ca="1">[1]!s_west_mediannetprofit($B$1,YEAR($A334),$A334,180,1000000)</f>
        <v>355.5</v>
      </c>
      <c r="G334" cm="1">
        <f t="array" aca="1" ref="G334" ca="1">[1]!s_west_netprofit($B$1,YEAR($A334)+1,$A334,180,1000000)</f>
        <v>132.42595700000001</v>
      </c>
      <c r="H334" cm="1">
        <f t="array" aca="1" ref="H334" ca="1">[1]!s_west_eps($B$1,YEAR($A334)+1,$A334,180)</f>
        <v>0.15040000000000001</v>
      </c>
      <c r="I334" cm="1">
        <f t="array" aca="1" ref="I334" ca="1">[1]!s_west_instnum_np($B$1,YEAR($A334)+1,$A334,180)</f>
        <v>23</v>
      </c>
      <c r="J334" cm="1">
        <f t="array" aca="1" ref="J334" ca="1">[1]!s_west_stdnetprofit($B$1,YEAR($A334)+1,$A334,180,1000000)</f>
        <v>43.6492</v>
      </c>
      <c r="K334" cm="1">
        <f t="array" aca="1" ref="K334" ca="1">[1]!s_west_mediannetprofit($B$1,YEAR($A333)+1,$A333,180,1000000)</f>
        <v>128.56700000000001</v>
      </c>
      <c r="L334" cm="1">
        <f t="array" aca="1" ref="L334" ca="1">[1]!s_dq_close($B$1,$A334,3)</f>
        <v>25.2</v>
      </c>
    </row>
    <row r="335" spans="1:12">
      <c r="A335" s="23">
        <f t="shared" ca="1" si="5"/>
        <v>45840</v>
      </c>
      <c r="B335" cm="1">
        <f t="array" aca="1" ref="B335" ca="1">[1]!s_west_netprofit($B$1,YEAR($A335),$A335,180,1000000)</f>
        <v>320.387</v>
      </c>
      <c r="C335" cm="1">
        <f t="array" aca="1" ref="C335" ca="1">[1]!s_west_eps($B$1,YEAR($A335),$A335,180)</f>
        <v>0.35799999999999998</v>
      </c>
      <c r="D335" cm="1">
        <f t="array" aca="1" ref="D335" ca="1">[1]!s_west_instnum_np($B$1,YEAR($A335),$A335,180)</f>
        <v>24</v>
      </c>
      <c r="E335" cm="1">
        <f t="array" aca="1" ref="E335" ca="1">[1]!s_west_stdnetprofit($B$1,YEAR($A335),$A335,180,1000000)</f>
        <v>157.03435899999999</v>
      </c>
      <c r="F335" cm="1">
        <f t="array" aca="1" ref="F335" ca="1">[1]!s_west_mediannetprofit($B$1,YEAR($A335),$A335,180,1000000)</f>
        <v>355.5</v>
      </c>
      <c r="G335" cm="1">
        <f t="array" aca="1" ref="G335" ca="1">[1]!s_west_netprofit($B$1,YEAR($A335)+1,$A335,180,1000000)</f>
        <v>132.42595700000001</v>
      </c>
      <c r="H335" cm="1">
        <f t="array" aca="1" ref="H335" ca="1">[1]!s_west_eps($B$1,YEAR($A335)+1,$A335,180)</f>
        <v>0.15040000000000001</v>
      </c>
      <c r="I335" cm="1">
        <f t="array" aca="1" ref="I335" ca="1">[1]!s_west_instnum_np($B$1,YEAR($A335)+1,$A335,180)</f>
        <v>23</v>
      </c>
      <c r="J335" cm="1">
        <f t="array" aca="1" ref="J335" ca="1">[1]!s_west_stdnetprofit($B$1,YEAR($A335)+1,$A335,180,1000000)</f>
        <v>43.6492</v>
      </c>
      <c r="K335" cm="1">
        <f t="array" aca="1" ref="K335" ca="1">[1]!s_west_mediannetprofit($B$1,YEAR($A334)+1,$A334,180,1000000)</f>
        <v>128.56700000000001</v>
      </c>
      <c r="L335" cm="1">
        <f t="array" aca="1" ref="L335" ca="1">[1]!s_dq_close($B$1,$A335,3)</f>
        <v>24.9</v>
      </c>
    </row>
    <row r="336" spans="1:12">
      <c r="A336" s="23">
        <f t="shared" ca="1" si="5"/>
        <v>45839</v>
      </c>
      <c r="B336" cm="1">
        <f t="array" aca="1" ref="B336" ca="1">[1]!s_west_netprofit($B$1,YEAR($A336),$A336,180,1000000)</f>
        <v>320.387</v>
      </c>
      <c r="C336" cm="1">
        <f t="array" aca="1" ref="C336" ca="1">[1]!s_west_eps($B$1,YEAR($A336),$A336,180)</f>
        <v>0.35799999999999998</v>
      </c>
      <c r="D336" cm="1">
        <f t="array" aca="1" ref="D336" ca="1">[1]!s_west_instnum_np($B$1,YEAR($A336),$A336,180)</f>
        <v>24</v>
      </c>
      <c r="E336" cm="1">
        <f t="array" aca="1" ref="E336" ca="1">[1]!s_west_stdnetprofit($B$1,YEAR($A336),$A336,180,1000000)</f>
        <v>157.03435899999999</v>
      </c>
      <c r="F336" cm="1">
        <f t="array" aca="1" ref="F336" ca="1">[1]!s_west_mediannetprofit($B$1,YEAR($A336),$A336,180,1000000)</f>
        <v>355.5</v>
      </c>
      <c r="G336" cm="1">
        <f t="array" aca="1" ref="G336" ca="1">[1]!s_west_netprofit($B$1,YEAR($A336)+1,$A336,180,1000000)</f>
        <v>132.42595700000001</v>
      </c>
      <c r="H336" cm="1">
        <f t="array" aca="1" ref="H336" ca="1">[1]!s_west_eps($B$1,YEAR($A336)+1,$A336,180)</f>
        <v>0.15040000000000001</v>
      </c>
      <c r="I336" cm="1">
        <f t="array" aca="1" ref="I336" ca="1">[1]!s_west_instnum_np($B$1,YEAR($A336)+1,$A336,180)</f>
        <v>23</v>
      </c>
      <c r="J336" cm="1">
        <f t="array" aca="1" ref="J336" ca="1">[1]!s_west_stdnetprofit($B$1,YEAR($A336)+1,$A336,180,1000000)</f>
        <v>43.6492</v>
      </c>
      <c r="K336" cm="1">
        <f t="array" aca="1" ref="K336" ca="1">[1]!s_west_mediannetprofit($B$1,YEAR($A335)+1,$A335,180,1000000)</f>
        <v>128.56700000000001</v>
      </c>
      <c r="L336" cm="1">
        <f t="array" aca="1" ref="L336" ca="1">[1]!s_dq_close($B$1,$A336,3)</f>
        <v>23.55</v>
      </c>
    </row>
    <row r="337" spans="1:12">
      <c r="A337" s="23">
        <f t="shared" ca="1" si="5"/>
        <v>45838</v>
      </c>
      <c r="B337" cm="1">
        <f t="array" aca="1" ref="B337" ca="1">[1]!s_west_netprofit($B$1,YEAR($A337),$A337,180,1000000)</f>
        <v>319.621217</v>
      </c>
      <c r="C337" cm="1">
        <f t="array" aca="1" ref="C337" ca="1">[1]!s_west_eps($B$1,YEAR($A337),$A337,180)</f>
        <v>0.35670000000000002</v>
      </c>
      <c r="D337" cm="1">
        <f t="array" aca="1" ref="D337" ca="1">[1]!s_west_instnum_np($B$1,YEAR($A337),$A337,180)</f>
        <v>23</v>
      </c>
      <c r="E337" cm="1">
        <f t="array" aca="1" ref="E337" ca="1">[1]!s_west_stdnetprofit($B$1,YEAR($A337),$A337,180,1000000)</f>
        <v>160.51783599999999</v>
      </c>
      <c r="F337" cm="1">
        <f t="array" aca="1" ref="F337" ca="1">[1]!s_west_mediannetprofit($B$1,YEAR($A337),$A337,180,1000000)</f>
        <v>364</v>
      </c>
      <c r="G337" cm="1">
        <f t="array" aca="1" ref="G337" ca="1">[1]!s_west_netprofit($B$1,YEAR($A337)+1,$A337,180,1000000)</f>
        <v>132.67259100000001</v>
      </c>
      <c r="H337" cm="1">
        <f t="array" aca="1" ref="H337" ca="1">[1]!s_west_eps($B$1,YEAR($A337)+1,$A337,180)</f>
        <v>0.15060000000000001</v>
      </c>
      <c r="I337" cm="1">
        <f t="array" aca="1" ref="I337" ca="1">[1]!s_west_instnum_np($B$1,YEAR($A337)+1,$A337,180)</f>
        <v>22</v>
      </c>
      <c r="J337" cm="1">
        <f t="array" aca="1" ref="J337" ca="1">[1]!s_west_stdnetprofit($B$1,YEAR($A337)+1,$A337,180,1000000)</f>
        <v>44.659973999999998</v>
      </c>
      <c r="K337" cm="1">
        <f t="array" aca="1" ref="K337" ca="1">[1]!s_west_mediannetprofit($B$1,YEAR($A336)+1,$A336,180,1000000)</f>
        <v>128.56700000000001</v>
      </c>
      <c r="L337" cm="1">
        <f t="array" aca="1" ref="L337" ca="1">[1]!s_dq_close($B$1,$A337,3)</f>
        <v>23.55</v>
      </c>
    </row>
    <row r="338" spans="1:12">
      <c r="A338" s="23">
        <f t="shared" ca="1" si="5"/>
        <v>45837</v>
      </c>
      <c r="B338" cm="1">
        <f t="array" aca="1" ref="B338" ca="1">[1]!s_west_netprofit($B$1,YEAR($A338),$A338,180,1000000)</f>
        <v>319.621217</v>
      </c>
      <c r="C338" cm="1">
        <f t="array" aca="1" ref="C338" ca="1">[1]!s_west_eps($B$1,YEAR($A338),$A338,180)</f>
        <v>0.35670000000000002</v>
      </c>
      <c r="D338" cm="1">
        <f t="array" aca="1" ref="D338" ca="1">[1]!s_west_instnum_np($B$1,YEAR($A338),$A338,180)</f>
        <v>23</v>
      </c>
      <c r="E338" cm="1">
        <f t="array" aca="1" ref="E338" ca="1">[1]!s_west_stdnetprofit($B$1,YEAR($A338),$A338,180,1000000)</f>
        <v>160.51783599999999</v>
      </c>
      <c r="F338" cm="1">
        <f t="array" aca="1" ref="F338" ca="1">[1]!s_west_mediannetprofit($B$1,YEAR($A338),$A338,180,1000000)</f>
        <v>364</v>
      </c>
      <c r="G338" cm="1">
        <f t="array" aca="1" ref="G338" ca="1">[1]!s_west_netprofit($B$1,YEAR($A338)+1,$A338,180,1000000)</f>
        <v>132.67259100000001</v>
      </c>
      <c r="H338" cm="1">
        <f t="array" aca="1" ref="H338" ca="1">[1]!s_west_eps($B$1,YEAR($A338)+1,$A338,180)</f>
        <v>0.15060000000000001</v>
      </c>
      <c r="I338" cm="1">
        <f t="array" aca="1" ref="I338" ca="1">[1]!s_west_instnum_np($B$1,YEAR($A338)+1,$A338,180)</f>
        <v>22</v>
      </c>
      <c r="J338" cm="1">
        <f t="array" aca="1" ref="J338" ca="1">[1]!s_west_stdnetprofit($B$1,YEAR($A338)+1,$A338,180,1000000)</f>
        <v>44.659973999999998</v>
      </c>
      <c r="K338" cm="1">
        <f t="array" aca="1" ref="K338" ca="1">[1]!s_west_mediannetprofit($B$1,YEAR($A337)+1,$A337,180,1000000)</f>
        <v>132.2835</v>
      </c>
      <c r="L338" cm="1">
        <f t="array" aca="1" ref="L338" ca="1">[1]!s_dq_close($B$1,$A338,3)</f>
        <v>23.75</v>
      </c>
    </row>
    <row r="339" spans="1:12">
      <c r="A339" s="23">
        <f t="shared" ca="1" si="5"/>
        <v>45836</v>
      </c>
      <c r="B339" cm="1">
        <f t="array" aca="1" ref="B339" ca="1">[1]!s_west_netprofit($B$1,YEAR($A339),$A339,180,1000000)</f>
        <v>319.621217</v>
      </c>
      <c r="C339" cm="1">
        <f t="array" aca="1" ref="C339" ca="1">[1]!s_west_eps($B$1,YEAR($A339),$A339,180)</f>
        <v>0.35670000000000002</v>
      </c>
      <c r="D339" cm="1">
        <f t="array" aca="1" ref="D339" ca="1">[1]!s_west_instnum_np($B$1,YEAR($A339),$A339,180)</f>
        <v>23</v>
      </c>
      <c r="E339" cm="1">
        <f t="array" aca="1" ref="E339" ca="1">[1]!s_west_stdnetprofit($B$1,YEAR($A339),$A339,180,1000000)</f>
        <v>160.51783599999999</v>
      </c>
      <c r="F339" cm="1">
        <f t="array" aca="1" ref="F339" ca="1">[1]!s_west_mediannetprofit($B$1,YEAR($A339),$A339,180,1000000)</f>
        <v>364</v>
      </c>
      <c r="G339" cm="1">
        <f t="array" aca="1" ref="G339" ca="1">[1]!s_west_netprofit($B$1,YEAR($A339)+1,$A339,180,1000000)</f>
        <v>132.67259100000001</v>
      </c>
      <c r="H339" cm="1">
        <f t="array" aca="1" ref="H339" ca="1">[1]!s_west_eps($B$1,YEAR($A339)+1,$A339,180)</f>
        <v>0.15060000000000001</v>
      </c>
      <c r="I339" cm="1">
        <f t="array" aca="1" ref="I339" ca="1">[1]!s_west_instnum_np($B$1,YEAR($A339)+1,$A339,180)</f>
        <v>22</v>
      </c>
      <c r="J339" cm="1">
        <f t="array" aca="1" ref="J339" ca="1">[1]!s_west_stdnetprofit($B$1,YEAR($A339)+1,$A339,180,1000000)</f>
        <v>44.659973999999998</v>
      </c>
      <c r="K339" cm="1">
        <f t="array" aca="1" ref="K339" ca="1">[1]!s_west_mediannetprofit($B$1,YEAR($A338)+1,$A338,180,1000000)</f>
        <v>132.2835</v>
      </c>
      <c r="L339" cm="1">
        <f t="array" aca="1" ref="L339" ca="1">[1]!s_dq_close($B$1,$A339,3)</f>
        <v>23.75</v>
      </c>
    </row>
    <row r="340" spans="1:12">
      <c r="A340" s="23">
        <f t="shared" ca="1" si="5"/>
        <v>45835</v>
      </c>
      <c r="B340" cm="1">
        <f t="array" aca="1" ref="B340" ca="1">[1]!s_west_netprofit($B$1,YEAR($A340),$A340,180,1000000)</f>
        <v>319.621217</v>
      </c>
      <c r="C340" cm="1">
        <f t="array" aca="1" ref="C340" ca="1">[1]!s_west_eps($B$1,YEAR($A340),$A340,180)</f>
        <v>0.35670000000000002</v>
      </c>
      <c r="D340" cm="1">
        <f t="array" aca="1" ref="D340" ca="1">[1]!s_west_instnum_np($B$1,YEAR($A340),$A340,180)</f>
        <v>23</v>
      </c>
      <c r="E340" cm="1">
        <f t="array" aca="1" ref="E340" ca="1">[1]!s_west_stdnetprofit($B$1,YEAR($A340),$A340,180,1000000)</f>
        <v>160.51783599999999</v>
      </c>
      <c r="F340" cm="1">
        <f t="array" aca="1" ref="F340" ca="1">[1]!s_west_mediannetprofit($B$1,YEAR($A340),$A340,180,1000000)</f>
        <v>364</v>
      </c>
      <c r="G340" cm="1">
        <f t="array" aca="1" ref="G340" ca="1">[1]!s_west_netprofit($B$1,YEAR($A340)+1,$A340,180,1000000)</f>
        <v>132.67259100000001</v>
      </c>
      <c r="H340" cm="1">
        <f t="array" aca="1" ref="H340" ca="1">[1]!s_west_eps($B$1,YEAR($A340)+1,$A340,180)</f>
        <v>0.15060000000000001</v>
      </c>
      <c r="I340" cm="1">
        <f t="array" aca="1" ref="I340" ca="1">[1]!s_west_instnum_np($B$1,YEAR($A340)+1,$A340,180)</f>
        <v>22</v>
      </c>
      <c r="J340" cm="1">
        <f t="array" aca="1" ref="J340" ca="1">[1]!s_west_stdnetprofit($B$1,YEAR($A340)+1,$A340,180,1000000)</f>
        <v>44.659973999999998</v>
      </c>
      <c r="K340" cm="1">
        <f t="array" aca="1" ref="K340" ca="1">[1]!s_west_mediannetprofit($B$1,YEAR($A339)+1,$A339,180,1000000)</f>
        <v>132.2835</v>
      </c>
      <c r="L340" cm="1">
        <f t="array" aca="1" ref="L340" ca="1">[1]!s_dq_close($B$1,$A340,3)</f>
        <v>23.75</v>
      </c>
    </row>
    <row r="341" spans="1:12">
      <c r="A341" s="23">
        <f t="shared" ca="1" si="5"/>
        <v>45834</v>
      </c>
      <c r="B341" cm="1">
        <f t="array" aca="1" ref="B341" ca="1">[1]!s_west_netprofit($B$1,YEAR($A341),$A341,180,1000000)</f>
        <v>319.621217</v>
      </c>
      <c r="C341" cm="1">
        <f t="array" aca="1" ref="C341" ca="1">[1]!s_west_eps($B$1,YEAR($A341),$A341,180)</f>
        <v>0.35670000000000002</v>
      </c>
      <c r="D341" cm="1">
        <f t="array" aca="1" ref="D341" ca="1">[1]!s_west_instnum_np($B$1,YEAR($A341),$A341,180)</f>
        <v>23</v>
      </c>
      <c r="E341" cm="1">
        <f t="array" aca="1" ref="E341" ca="1">[1]!s_west_stdnetprofit($B$1,YEAR($A341),$A341,180,1000000)</f>
        <v>160.51783599999999</v>
      </c>
      <c r="F341" cm="1">
        <f t="array" aca="1" ref="F341" ca="1">[1]!s_west_mediannetprofit($B$1,YEAR($A341),$A341,180,1000000)</f>
        <v>364</v>
      </c>
      <c r="G341" cm="1">
        <f t="array" aca="1" ref="G341" ca="1">[1]!s_west_netprofit($B$1,YEAR($A341)+1,$A341,180,1000000)</f>
        <v>132.67259100000001</v>
      </c>
      <c r="H341" cm="1">
        <f t="array" aca="1" ref="H341" ca="1">[1]!s_west_eps($B$1,YEAR($A341)+1,$A341,180)</f>
        <v>0.15060000000000001</v>
      </c>
      <c r="I341" cm="1">
        <f t="array" aca="1" ref="I341" ca="1">[1]!s_west_instnum_np($B$1,YEAR($A341)+1,$A341,180)</f>
        <v>22</v>
      </c>
      <c r="J341" cm="1">
        <f t="array" aca="1" ref="J341" ca="1">[1]!s_west_stdnetprofit($B$1,YEAR($A341)+1,$A341,180,1000000)</f>
        <v>44.659973999999998</v>
      </c>
      <c r="K341" cm="1">
        <f t="array" aca="1" ref="K341" ca="1">[1]!s_west_mediannetprofit($B$1,YEAR($A340)+1,$A340,180,1000000)</f>
        <v>132.2835</v>
      </c>
      <c r="L341" cm="1">
        <f t="array" aca="1" ref="L341" ca="1">[1]!s_dq_close($B$1,$A341,3)</f>
        <v>24.2</v>
      </c>
    </row>
    <row r="342" spans="1:12">
      <c r="A342" s="23">
        <f t="shared" ca="1" si="5"/>
        <v>45833</v>
      </c>
      <c r="B342" cm="1">
        <f t="array" aca="1" ref="B342" ca="1">[1]!s_west_netprofit($B$1,YEAR($A342),$A342,180,1000000)</f>
        <v>319.621217</v>
      </c>
      <c r="C342" cm="1">
        <f t="array" aca="1" ref="C342" ca="1">[1]!s_west_eps($B$1,YEAR($A342),$A342,180)</f>
        <v>0.35670000000000002</v>
      </c>
      <c r="D342" cm="1">
        <f t="array" aca="1" ref="D342" ca="1">[1]!s_west_instnum_np($B$1,YEAR($A342),$A342,180)</f>
        <v>23</v>
      </c>
      <c r="E342" cm="1">
        <f t="array" aca="1" ref="E342" ca="1">[1]!s_west_stdnetprofit($B$1,YEAR($A342),$A342,180,1000000)</f>
        <v>160.51783599999999</v>
      </c>
      <c r="F342" cm="1">
        <f t="array" aca="1" ref="F342" ca="1">[1]!s_west_mediannetprofit($B$1,YEAR($A342),$A342,180,1000000)</f>
        <v>364</v>
      </c>
      <c r="G342" cm="1">
        <f t="array" aca="1" ref="G342" ca="1">[1]!s_west_netprofit($B$1,YEAR($A342)+1,$A342,180,1000000)</f>
        <v>132.67259100000001</v>
      </c>
      <c r="H342" cm="1">
        <f t="array" aca="1" ref="H342" ca="1">[1]!s_west_eps($B$1,YEAR($A342)+1,$A342,180)</f>
        <v>0.15060000000000001</v>
      </c>
      <c r="I342" cm="1">
        <f t="array" aca="1" ref="I342" ca="1">[1]!s_west_instnum_np($B$1,YEAR($A342)+1,$A342,180)</f>
        <v>22</v>
      </c>
      <c r="J342" cm="1">
        <f t="array" aca="1" ref="J342" ca="1">[1]!s_west_stdnetprofit($B$1,YEAR($A342)+1,$A342,180,1000000)</f>
        <v>44.659973999999998</v>
      </c>
      <c r="K342" cm="1">
        <f t="array" aca="1" ref="K342" ca="1">[1]!s_west_mediannetprofit($B$1,YEAR($A341)+1,$A341,180,1000000)</f>
        <v>132.2835</v>
      </c>
      <c r="L342" cm="1">
        <f t="array" aca="1" ref="L342" ca="1">[1]!s_dq_close($B$1,$A342,3)</f>
        <v>24.7</v>
      </c>
    </row>
    <row r="343" spans="1:12">
      <c r="A343" s="23">
        <f t="shared" ca="1" si="5"/>
        <v>45832</v>
      </c>
      <c r="B343" cm="1">
        <f t="array" aca="1" ref="B343" ca="1">[1]!s_west_netprofit($B$1,YEAR($A343),$A343,180,1000000)</f>
        <v>319.621217</v>
      </c>
      <c r="C343" cm="1">
        <f t="array" aca="1" ref="C343" ca="1">[1]!s_west_eps($B$1,YEAR($A343),$A343,180)</f>
        <v>0.35670000000000002</v>
      </c>
      <c r="D343" cm="1">
        <f t="array" aca="1" ref="D343" ca="1">[1]!s_west_instnum_np($B$1,YEAR($A343),$A343,180)</f>
        <v>23</v>
      </c>
      <c r="E343" cm="1">
        <f t="array" aca="1" ref="E343" ca="1">[1]!s_west_stdnetprofit($B$1,YEAR($A343),$A343,180,1000000)</f>
        <v>160.51783599999999</v>
      </c>
      <c r="F343" cm="1">
        <f t="array" aca="1" ref="F343" ca="1">[1]!s_west_mediannetprofit($B$1,YEAR($A343),$A343,180,1000000)</f>
        <v>364</v>
      </c>
      <c r="G343" cm="1">
        <f t="array" aca="1" ref="G343" ca="1">[1]!s_west_netprofit($B$1,YEAR($A343)+1,$A343,180,1000000)</f>
        <v>132.67259100000001</v>
      </c>
      <c r="H343" cm="1">
        <f t="array" aca="1" ref="H343" ca="1">[1]!s_west_eps($B$1,YEAR($A343)+1,$A343,180)</f>
        <v>0.15060000000000001</v>
      </c>
      <c r="I343" cm="1">
        <f t="array" aca="1" ref="I343" ca="1">[1]!s_west_instnum_np($B$1,YEAR($A343)+1,$A343,180)</f>
        <v>22</v>
      </c>
      <c r="J343" cm="1">
        <f t="array" aca="1" ref="J343" ca="1">[1]!s_west_stdnetprofit($B$1,YEAR($A343)+1,$A343,180,1000000)</f>
        <v>44.659973999999998</v>
      </c>
      <c r="K343" cm="1">
        <f t="array" aca="1" ref="K343" ca="1">[1]!s_west_mediannetprofit($B$1,YEAR($A342)+1,$A342,180,1000000)</f>
        <v>132.2835</v>
      </c>
      <c r="L343" cm="1">
        <f t="array" aca="1" ref="L343" ca="1">[1]!s_dq_close($B$1,$A343,3)</f>
        <v>25.1</v>
      </c>
    </row>
    <row r="344" spans="1:12">
      <c r="A344" s="23">
        <f t="shared" ca="1" si="5"/>
        <v>45831</v>
      </c>
      <c r="B344" cm="1">
        <f t="array" aca="1" ref="B344" ca="1">[1]!s_west_netprofit($B$1,YEAR($A344),$A344,180,1000000)</f>
        <v>319.621217</v>
      </c>
      <c r="C344" cm="1">
        <f t="array" aca="1" ref="C344" ca="1">[1]!s_west_eps($B$1,YEAR($A344),$A344,180)</f>
        <v>0.35670000000000002</v>
      </c>
      <c r="D344" cm="1">
        <f t="array" aca="1" ref="D344" ca="1">[1]!s_west_instnum_np($B$1,YEAR($A344),$A344,180)</f>
        <v>23</v>
      </c>
      <c r="E344" cm="1">
        <f t="array" aca="1" ref="E344" ca="1">[1]!s_west_stdnetprofit($B$1,YEAR($A344),$A344,180,1000000)</f>
        <v>160.51783599999999</v>
      </c>
      <c r="F344" cm="1">
        <f t="array" aca="1" ref="F344" ca="1">[1]!s_west_mediannetprofit($B$1,YEAR($A344),$A344,180,1000000)</f>
        <v>364</v>
      </c>
      <c r="G344" cm="1">
        <f t="array" aca="1" ref="G344" ca="1">[1]!s_west_netprofit($B$1,YEAR($A344)+1,$A344,180,1000000)</f>
        <v>132.67259100000001</v>
      </c>
      <c r="H344" cm="1">
        <f t="array" aca="1" ref="H344" ca="1">[1]!s_west_eps($B$1,YEAR($A344)+1,$A344,180)</f>
        <v>0.15060000000000001</v>
      </c>
      <c r="I344" cm="1">
        <f t="array" aca="1" ref="I344" ca="1">[1]!s_west_instnum_np($B$1,YEAR($A344)+1,$A344,180)</f>
        <v>22</v>
      </c>
      <c r="J344" cm="1">
        <f t="array" aca="1" ref="J344" ca="1">[1]!s_west_stdnetprofit($B$1,YEAR($A344)+1,$A344,180,1000000)</f>
        <v>44.659973999999998</v>
      </c>
      <c r="K344" cm="1">
        <f t="array" aca="1" ref="K344" ca="1">[1]!s_west_mediannetprofit($B$1,YEAR($A343)+1,$A343,180,1000000)</f>
        <v>132.2835</v>
      </c>
      <c r="L344" cm="1">
        <f t="array" aca="1" ref="L344" ca="1">[1]!s_dq_close($B$1,$A344,3)</f>
        <v>24.15</v>
      </c>
    </row>
    <row r="345" spans="1:12">
      <c r="A345" s="23">
        <f t="shared" ca="1" si="5"/>
        <v>45830</v>
      </c>
      <c r="B345" cm="1">
        <f t="array" aca="1" ref="B345" ca="1">[1]!s_west_netprofit($B$1,YEAR($A345),$A345,180,1000000)</f>
        <v>319.621217</v>
      </c>
      <c r="C345" cm="1">
        <f t="array" aca="1" ref="C345" ca="1">[1]!s_west_eps($B$1,YEAR($A345),$A345,180)</f>
        <v>0.35670000000000002</v>
      </c>
      <c r="D345" cm="1">
        <f t="array" aca="1" ref="D345" ca="1">[1]!s_west_instnum_np($B$1,YEAR($A345),$A345,180)</f>
        <v>23</v>
      </c>
      <c r="E345" cm="1">
        <f t="array" aca="1" ref="E345" ca="1">[1]!s_west_stdnetprofit($B$1,YEAR($A345),$A345,180,1000000)</f>
        <v>160.51783599999999</v>
      </c>
      <c r="F345" cm="1">
        <f t="array" aca="1" ref="F345" ca="1">[1]!s_west_mediannetprofit($B$1,YEAR($A345),$A345,180,1000000)</f>
        <v>364</v>
      </c>
      <c r="G345" cm="1">
        <f t="array" aca="1" ref="G345" ca="1">[1]!s_west_netprofit($B$1,YEAR($A345)+1,$A345,180,1000000)</f>
        <v>132.67259100000001</v>
      </c>
      <c r="H345" cm="1">
        <f t="array" aca="1" ref="H345" ca="1">[1]!s_west_eps($B$1,YEAR($A345)+1,$A345,180)</f>
        <v>0.15060000000000001</v>
      </c>
      <c r="I345" cm="1">
        <f t="array" aca="1" ref="I345" ca="1">[1]!s_west_instnum_np($B$1,YEAR($A345)+1,$A345,180)</f>
        <v>22</v>
      </c>
      <c r="J345" cm="1">
        <f t="array" aca="1" ref="J345" ca="1">[1]!s_west_stdnetprofit($B$1,YEAR($A345)+1,$A345,180,1000000)</f>
        <v>44.659973999999998</v>
      </c>
      <c r="K345" cm="1">
        <f t="array" aca="1" ref="K345" ca="1">[1]!s_west_mediannetprofit($B$1,YEAR($A344)+1,$A344,180,1000000)</f>
        <v>132.2835</v>
      </c>
      <c r="L345" cm="1">
        <f t="array" aca="1" ref="L345" ca="1">[1]!s_dq_close($B$1,$A345,3)</f>
        <v>23.65</v>
      </c>
    </row>
    <row r="346" spans="1:12">
      <c r="A346" s="23">
        <f t="shared" ca="1" si="5"/>
        <v>45829</v>
      </c>
      <c r="B346" cm="1">
        <f t="array" aca="1" ref="B346" ca="1">[1]!s_west_netprofit($B$1,YEAR($A346),$A346,180,1000000)</f>
        <v>319.621217</v>
      </c>
      <c r="C346" cm="1">
        <f t="array" aca="1" ref="C346" ca="1">[1]!s_west_eps($B$1,YEAR($A346),$A346,180)</f>
        <v>0.35670000000000002</v>
      </c>
      <c r="D346" cm="1">
        <f t="array" aca="1" ref="D346" ca="1">[1]!s_west_instnum_np($B$1,YEAR($A346),$A346,180)</f>
        <v>23</v>
      </c>
      <c r="E346" cm="1">
        <f t="array" aca="1" ref="E346" ca="1">[1]!s_west_stdnetprofit($B$1,YEAR($A346),$A346,180,1000000)</f>
        <v>160.51783599999999</v>
      </c>
      <c r="F346" cm="1">
        <f t="array" aca="1" ref="F346" ca="1">[1]!s_west_mediannetprofit($B$1,YEAR($A346),$A346,180,1000000)</f>
        <v>364</v>
      </c>
      <c r="G346" cm="1">
        <f t="array" aca="1" ref="G346" ca="1">[1]!s_west_netprofit($B$1,YEAR($A346)+1,$A346,180,1000000)</f>
        <v>132.67259100000001</v>
      </c>
      <c r="H346" cm="1">
        <f t="array" aca="1" ref="H346" ca="1">[1]!s_west_eps($B$1,YEAR($A346)+1,$A346,180)</f>
        <v>0.15060000000000001</v>
      </c>
      <c r="I346" cm="1">
        <f t="array" aca="1" ref="I346" ca="1">[1]!s_west_instnum_np($B$1,YEAR($A346)+1,$A346,180)</f>
        <v>22</v>
      </c>
      <c r="J346" cm="1">
        <f t="array" aca="1" ref="J346" ca="1">[1]!s_west_stdnetprofit($B$1,YEAR($A346)+1,$A346,180,1000000)</f>
        <v>44.659973999999998</v>
      </c>
      <c r="K346" cm="1">
        <f t="array" aca="1" ref="K346" ca="1">[1]!s_west_mediannetprofit($B$1,YEAR($A345)+1,$A345,180,1000000)</f>
        <v>132.2835</v>
      </c>
      <c r="L346" cm="1">
        <f t="array" aca="1" ref="L346" ca="1">[1]!s_dq_close($B$1,$A346,3)</f>
        <v>23.65</v>
      </c>
    </row>
    <row r="347" spans="1:12">
      <c r="A347" s="23">
        <f t="shared" ca="1" si="5"/>
        <v>45828</v>
      </c>
      <c r="B347" cm="1">
        <f t="array" aca="1" ref="B347" ca="1">[1]!s_west_netprofit($B$1,YEAR($A347),$A347,180,1000000)</f>
        <v>319.621217</v>
      </c>
      <c r="C347" cm="1">
        <f t="array" aca="1" ref="C347" ca="1">[1]!s_west_eps($B$1,YEAR($A347),$A347,180)</f>
        <v>0.35670000000000002</v>
      </c>
      <c r="D347" cm="1">
        <f t="array" aca="1" ref="D347" ca="1">[1]!s_west_instnum_np($B$1,YEAR($A347),$A347,180)</f>
        <v>23</v>
      </c>
      <c r="E347" cm="1">
        <f t="array" aca="1" ref="E347" ca="1">[1]!s_west_stdnetprofit($B$1,YEAR($A347),$A347,180,1000000)</f>
        <v>160.51783599999999</v>
      </c>
      <c r="F347" cm="1">
        <f t="array" aca="1" ref="F347" ca="1">[1]!s_west_mediannetprofit($B$1,YEAR($A347),$A347,180,1000000)</f>
        <v>364</v>
      </c>
      <c r="G347" cm="1">
        <f t="array" aca="1" ref="G347" ca="1">[1]!s_west_netprofit($B$1,YEAR($A347)+1,$A347,180,1000000)</f>
        <v>132.67259100000001</v>
      </c>
      <c r="H347" cm="1">
        <f t="array" aca="1" ref="H347" ca="1">[1]!s_west_eps($B$1,YEAR($A347)+1,$A347,180)</f>
        <v>0.15060000000000001</v>
      </c>
      <c r="I347" cm="1">
        <f t="array" aca="1" ref="I347" ca="1">[1]!s_west_instnum_np($B$1,YEAR($A347)+1,$A347,180)</f>
        <v>22</v>
      </c>
      <c r="J347" cm="1">
        <f t="array" aca="1" ref="J347" ca="1">[1]!s_west_stdnetprofit($B$1,YEAR($A347)+1,$A347,180,1000000)</f>
        <v>44.659973999999998</v>
      </c>
      <c r="K347" cm="1">
        <f t="array" aca="1" ref="K347" ca="1">[1]!s_west_mediannetprofit($B$1,YEAR($A346)+1,$A346,180,1000000)</f>
        <v>132.2835</v>
      </c>
      <c r="L347" cm="1">
        <f t="array" aca="1" ref="L347" ca="1">[1]!s_dq_close($B$1,$A347,3)</f>
        <v>23.65</v>
      </c>
    </row>
    <row r="348" spans="1:12">
      <c r="A348" s="23">
        <f t="shared" ca="1" si="5"/>
        <v>45827</v>
      </c>
      <c r="B348" cm="1">
        <f t="array" aca="1" ref="B348" ca="1">[1]!s_west_netprofit($B$1,YEAR($A348),$A348,180,1000000)</f>
        <v>319.621217</v>
      </c>
      <c r="C348" cm="1">
        <f t="array" aca="1" ref="C348" ca="1">[1]!s_west_eps($B$1,YEAR($A348),$A348,180)</f>
        <v>0.35670000000000002</v>
      </c>
      <c r="D348" cm="1">
        <f t="array" aca="1" ref="D348" ca="1">[1]!s_west_instnum_np($B$1,YEAR($A348),$A348,180)</f>
        <v>23</v>
      </c>
      <c r="E348" cm="1">
        <f t="array" aca="1" ref="E348" ca="1">[1]!s_west_stdnetprofit($B$1,YEAR($A348),$A348,180,1000000)</f>
        <v>160.51783599999999</v>
      </c>
      <c r="F348" cm="1">
        <f t="array" aca="1" ref="F348" ca="1">[1]!s_west_mediannetprofit($B$1,YEAR($A348),$A348,180,1000000)</f>
        <v>364</v>
      </c>
      <c r="G348" cm="1">
        <f t="array" aca="1" ref="G348" ca="1">[1]!s_west_netprofit($B$1,YEAR($A348)+1,$A348,180,1000000)</f>
        <v>132.67259100000001</v>
      </c>
      <c r="H348" cm="1">
        <f t="array" aca="1" ref="H348" ca="1">[1]!s_west_eps($B$1,YEAR($A348)+1,$A348,180)</f>
        <v>0.15060000000000001</v>
      </c>
      <c r="I348" cm="1">
        <f t="array" aca="1" ref="I348" ca="1">[1]!s_west_instnum_np($B$1,YEAR($A348)+1,$A348,180)</f>
        <v>22</v>
      </c>
      <c r="J348" cm="1">
        <f t="array" aca="1" ref="J348" ca="1">[1]!s_west_stdnetprofit($B$1,YEAR($A348)+1,$A348,180,1000000)</f>
        <v>44.659973999999998</v>
      </c>
      <c r="K348" cm="1">
        <f t="array" aca="1" ref="K348" ca="1">[1]!s_west_mediannetprofit($B$1,YEAR($A347)+1,$A347,180,1000000)</f>
        <v>132.2835</v>
      </c>
      <c r="L348" cm="1">
        <f t="array" aca="1" ref="L348" ca="1">[1]!s_dq_close($B$1,$A348,3)</f>
        <v>23.75</v>
      </c>
    </row>
    <row r="349" spans="1:12">
      <c r="A349" s="23">
        <f t="shared" ca="1" si="5"/>
        <v>45826</v>
      </c>
      <c r="B349" cm="1">
        <f t="array" aca="1" ref="B349" ca="1">[1]!s_west_netprofit($B$1,YEAR($A349),$A349,180,1000000)</f>
        <v>319.621217</v>
      </c>
      <c r="C349" cm="1">
        <f t="array" aca="1" ref="C349" ca="1">[1]!s_west_eps($B$1,YEAR($A349),$A349,180)</f>
        <v>0.35670000000000002</v>
      </c>
      <c r="D349" cm="1">
        <f t="array" aca="1" ref="D349" ca="1">[1]!s_west_instnum_np($B$1,YEAR($A349),$A349,180)</f>
        <v>23</v>
      </c>
      <c r="E349" cm="1">
        <f t="array" aca="1" ref="E349" ca="1">[1]!s_west_stdnetprofit($B$1,YEAR($A349),$A349,180,1000000)</f>
        <v>160.51783599999999</v>
      </c>
      <c r="F349" cm="1">
        <f t="array" aca="1" ref="F349" ca="1">[1]!s_west_mediannetprofit($B$1,YEAR($A349),$A349,180,1000000)</f>
        <v>364</v>
      </c>
      <c r="G349" cm="1">
        <f t="array" aca="1" ref="G349" ca="1">[1]!s_west_netprofit($B$1,YEAR($A349)+1,$A349,180,1000000)</f>
        <v>132.67259100000001</v>
      </c>
      <c r="H349" cm="1">
        <f t="array" aca="1" ref="H349" ca="1">[1]!s_west_eps($B$1,YEAR($A349)+1,$A349,180)</f>
        <v>0.15060000000000001</v>
      </c>
      <c r="I349" cm="1">
        <f t="array" aca="1" ref="I349" ca="1">[1]!s_west_instnum_np($B$1,YEAR($A349)+1,$A349,180)</f>
        <v>22</v>
      </c>
      <c r="J349" cm="1">
        <f t="array" aca="1" ref="J349" ca="1">[1]!s_west_stdnetprofit($B$1,YEAR($A349)+1,$A349,180,1000000)</f>
        <v>44.659973999999998</v>
      </c>
      <c r="K349" cm="1">
        <f t="array" aca="1" ref="K349" ca="1">[1]!s_west_mediannetprofit($B$1,YEAR($A348)+1,$A348,180,1000000)</f>
        <v>132.2835</v>
      </c>
      <c r="L349" cm="1">
        <f t="array" aca="1" ref="L349" ca="1">[1]!s_dq_close($B$1,$A349,3)</f>
        <v>24.55</v>
      </c>
    </row>
    <row r="350" spans="1:12">
      <c r="A350" s="23">
        <f t="shared" ca="1" si="5"/>
        <v>45825</v>
      </c>
      <c r="B350" cm="1">
        <f t="array" aca="1" ref="B350" ca="1">[1]!s_west_netprofit($B$1,YEAR($A350),$A350,180,1000000)</f>
        <v>319.621217</v>
      </c>
      <c r="C350" cm="1">
        <f t="array" aca="1" ref="C350" ca="1">[1]!s_west_eps($B$1,YEAR($A350),$A350,180)</f>
        <v>0.35670000000000002</v>
      </c>
      <c r="D350" cm="1">
        <f t="array" aca="1" ref="D350" ca="1">[1]!s_west_instnum_np($B$1,YEAR($A350),$A350,180)</f>
        <v>23</v>
      </c>
      <c r="E350" cm="1">
        <f t="array" aca="1" ref="E350" ca="1">[1]!s_west_stdnetprofit($B$1,YEAR($A350),$A350,180,1000000)</f>
        <v>160.51783599999999</v>
      </c>
      <c r="F350" cm="1">
        <f t="array" aca="1" ref="F350" ca="1">[1]!s_west_mediannetprofit($B$1,YEAR($A350),$A350,180,1000000)</f>
        <v>364</v>
      </c>
      <c r="G350" cm="1">
        <f t="array" aca="1" ref="G350" ca="1">[1]!s_west_netprofit($B$1,YEAR($A350)+1,$A350,180,1000000)</f>
        <v>132.67259100000001</v>
      </c>
      <c r="H350" cm="1">
        <f t="array" aca="1" ref="H350" ca="1">[1]!s_west_eps($B$1,YEAR($A350)+1,$A350,180)</f>
        <v>0.15060000000000001</v>
      </c>
      <c r="I350" cm="1">
        <f t="array" aca="1" ref="I350" ca="1">[1]!s_west_instnum_np($B$1,YEAR($A350)+1,$A350,180)</f>
        <v>22</v>
      </c>
      <c r="J350" cm="1">
        <f t="array" aca="1" ref="J350" ca="1">[1]!s_west_stdnetprofit($B$1,YEAR($A350)+1,$A350,180,1000000)</f>
        <v>44.659973999999998</v>
      </c>
      <c r="K350" cm="1">
        <f t="array" aca="1" ref="K350" ca="1">[1]!s_west_mediannetprofit($B$1,YEAR($A349)+1,$A349,180,1000000)</f>
        <v>132.2835</v>
      </c>
      <c r="L350" cm="1">
        <f t="array" aca="1" ref="L350" ca="1">[1]!s_dq_close($B$1,$A350,3)</f>
        <v>24.95</v>
      </c>
    </row>
    <row r="351" spans="1:12">
      <c r="A351" s="23">
        <f t="shared" ca="1" si="5"/>
        <v>45824</v>
      </c>
      <c r="B351" cm="1">
        <f t="array" aca="1" ref="B351" ca="1">[1]!s_west_netprofit($B$1,YEAR($A351),$A351,180,1000000)</f>
        <v>319.621217</v>
      </c>
      <c r="C351" cm="1">
        <f t="array" aca="1" ref="C351" ca="1">[1]!s_west_eps($B$1,YEAR($A351),$A351,180)</f>
        <v>0.35670000000000002</v>
      </c>
      <c r="D351" cm="1">
        <f t="array" aca="1" ref="D351" ca="1">[1]!s_west_instnum_np($B$1,YEAR($A351),$A351,180)</f>
        <v>23</v>
      </c>
      <c r="E351" cm="1">
        <f t="array" aca="1" ref="E351" ca="1">[1]!s_west_stdnetprofit($B$1,YEAR($A351),$A351,180,1000000)</f>
        <v>160.51783599999999</v>
      </c>
      <c r="F351" cm="1">
        <f t="array" aca="1" ref="F351" ca="1">[1]!s_west_mediannetprofit($B$1,YEAR($A351),$A351,180,1000000)</f>
        <v>364</v>
      </c>
      <c r="G351" cm="1">
        <f t="array" aca="1" ref="G351" ca="1">[1]!s_west_netprofit($B$1,YEAR($A351)+1,$A351,180,1000000)</f>
        <v>132.67259100000001</v>
      </c>
      <c r="H351" cm="1">
        <f t="array" aca="1" ref="H351" ca="1">[1]!s_west_eps($B$1,YEAR($A351)+1,$A351,180)</f>
        <v>0.15060000000000001</v>
      </c>
      <c r="I351" cm="1">
        <f t="array" aca="1" ref="I351" ca="1">[1]!s_west_instnum_np($B$1,YEAR($A351)+1,$A351,180)</f>
        <v>22</v>
      </c>
      <c r="J351" cm="1">
        <f t="array" aca="1" ref="J351" ca="1">[1]!s_west_stdnetprofit($B$1,YEAR($A351)+1,$A351,180,1000000)</f>
        <v>44.659973999999998</v>
      </c>
      <c r="K351" cm="1">
        <f t="array" aca="1" ref="K351" ca="1">[1]!s_west_mediannetprofit($B$1,YEAR($A350)+1,$A350,180,1000000)</f>
        <v>132.2835</v>
      </c>
      <c r="L351" cm="1">
        <f t="array" aca="1" ref="L351" ca="1">[1]!s_dq_close($B$1,$A351,3)</f>
        <v>26.4</v>
      </c>
    </row>
    <row r="352" spans="1:12">
      <c r="A352" s="23">
        <f t="shared" ca="1" si="5"/>
        <v>45823</v>
      </c>
      <c r="B352" cm="1">
        <f t="array" aca="1" ref="B352" ca="1">[1]!s_west_netprofit($B$1,YEAR($A352),$A352,180,1000000)</f>
        <v>319.621217</v>
      </c>
      <c r="C352" cm="1">
        <f t="array" aca="1" ref="C352" ca="1">[1]!s_west_eps($B$1,YEAR($A352),$A352,180)</f>
        <v>0.35670000000000002</v>
      </c>
      <c r="D352" cm="1">
        <f t="array" aca="1" ref="D352" ca="1">[1]!s_west_instnum_np($B$1,YEAR($A352),$A352,180)</f>
        <v>23</v>
      </c>
      <c r="E352" cm="1">
        <f t="array" aca="1" ref="E352" ca="1">[1]!s_west_stdnetprofit($B$1,YEAR($A352),$A352,180,1000000)</f>
        <v>160.51783599999999</v>
      </c>
      <c r="F352" cm="1">
        <f t="array" aca="1" ref="F352" ca="1">[1]!s_west_mediannetprofit($B$1,YEAR($A352),$A352,180,1000000)</f>
        <v>364</v>
      </c>
      <c r="G352" cm="1">
        <f t="array" aca="1" ref="G352" ca="1">[1]!s_west_netprofit($B$1,YEAR($A352)+1,$A352,180,1000000)</f>
        <v>132.67259100000001</v>
      </c>
      <c r="H352" cm="1">
        <f t="array" aca="1" ref="H352" ca="1">[1]!s_west_eps($B$1,YEAR($A352)+1,$A352,180)</f>
        <v>0.15060000000000001</v>
      </c>
      <c r="I352" cm="1">
        <f t="array" aca="1" ref="I352" ca="1">[1]!s_west_instnum_np($B$1,YEAR($A352)+1,$A352,180)</f>
        <v>22</v>
      </c>
      <c r="J352" cm="1">
        <f t="array" aca="1" ref="J352" ca="1">[1]!s_west_stdnetprofit($B$1,YEAR($A352)+1,$A352,180,1000000)</f>
        <v>44.659973999999998</v>
      </c>
      <c r="K352" cm="1">
        <f t="array" aca="1" ref="K352" ca="1">[1]!s_west_mediannetprofit($B$1,YEAR($A351)+1,$A351,180,1000000)</f>
        <v>132.2835</v>
      </c>
      <c r="L352" cm="1">
        <f t="array" aca="1" ref="L352" ca="1">[1]!s_dq_close($B$1,$A352,3)</f>
        <v>27.2</v>
      </c>
    </row>
    <row r="353" spans="1:12">
      <c r="A353" s="23">
        <f t="shared" ca="1" si="5"/>
        <v>45822</v>
      </c>
      <c r="B353" cm="1">
        <f t="array" aca="1" ref="B353" ca="1">[1]!s_west_netprofit($B$1,YEAR($A353),$A353,180,1000000)</f>
        <v>319.621217</v>
      </c>
      <c r="C353" cm="1">
        <f t="array" aca="1" ref="C353" ca="1">[1]!s_west_eps($B$1,YEAR($A353),$A353,180)</f>
        <v>0.35670000000000002</v>
      </c>
      <c r="D353" cm="1">
        <f t="array" aca="1" ref="D353" ca="1">[1]!s_west_instnum_np($B$1,YEAR($A353),$A353,180)</f>
        <v>23</v>
      </c>
      <c r="E353" cm="1">
        <f t="array" aca="1" ref="E353" ca="1">[1]!s_west_stdnetprofit($B$1,YEAR($A353),$A353,180,1000000)</f>
        <v>160.51783599999999</v>
      </c>
      <c r="F353" cm="1">
        <f t="array" aca="1" ref="F353" ca="1">[1]!s_west_mediannetprofit($B$1,YEAR($A353),$A353,180,1000000)</f>
        <v>364</v>
      </c>
      <c r="G353" cm="1">
        <f t="array" aca="1" ref="G353" ca="1">[1]!s_west_netprofit($B$1,YEAR($A353)+1,$A353,180,1000000)</f>
        <v>132.67259100000001</v>
      </c>
      <c r="H353" cm="1">
        <f t="array" aca="1" ref="H353" ca="1">[1]!s_west_eps($B$1,YEAR($A353)+1,$A353,180)</f>
        <v>0.15060000000000001</v>
      </c>
      <c r="I353" cm="1">
        <f t="array" aca="1" ref="I353" ca="1">[1]!s_west_instnum_np($B$1,YEAR($A353)+1,$A353,180)</f>
        <v>22</v>
      </c>
      <c r="J353" cm="1">
        <f t="array" aca="1" ref="J353" ca="1">[1]!s_west_stdnetprofit($B$1,YEAR($A353)+1,$A353,180,1000000)</f>
        <v>44.659973999999998</v>
      </c>
      <c r="K353" cm="1">
        <f t="array" aca="1" ref="K353" ca="1">[1]!s_west_mediannetprofit($B$1,YEAR($A352)+1,$A352,180,1000000)</f>
        <v>132.2835</v>
      </c>
      <c r="L353" cm="1">
        <f t="array" aca="1" ref="L353" ca="1">[1]!s_dq_close($B$1,$A353,3)</f>
        <v>27.2</v>
      </c>
    </row>
    <row r="354" spans="1:12">
      <c r="A354" s="23">
        <f t="shared" ca="1" si="5"/>
        <v>45821</v>
      </c>
      <c r="B354" cm="1">
        <f t="array" aca="1" ref="B354" ca="1">[1]!s_west_netprofit($B$1,YEAR($A354),$A354,180,1000000)</f>
        <v>319.621217</v>
      </c>
      <c r="C354" cm="1">
        <f t="array" aca="1" ref="C354" ca="1">[1]!s_west_eps($B$1,YEAR($A354),$A354,180)</f>
        <v>0.35670000000000002</v>
      </c>
      <c r="D354" cm="1">
        <f t="array" aca="1" ref="D354" ca="1">[1]!s_west_instnum_np($B$1,YEAR($A354),$A354,180)</f>
        <v>23</v>
      </c>
      <c r="E354" cm="1">
        <f t="array" aca="1" ref="E354" ca="1">[1]!s_west_stdnetprofit($B$1,YEAR($A354),$A354,180,1000000)</f>
        <v>160.51783599999999</v>
      </c>
      <c r="F354" cm="1">
        <f t="array" aca="1" ref="F354" ca="1">[1]!s_west_mediannetprofit($B$1,YEAR($A354),$A354,180,1000000)</f>
        <v>364</v>
      </c>
      <c r="G354" cm="1">
        <f t="array" aca="1" ref="G354" ca="1">[1]!s_west_netprofit($B$1,YEAR($A354)+1,$A354,180,1000000)</f>
        <v>132.67259100000001</v>
      </c>
      <c r="H354" cm="1">
        <f t="array" aca="1" ref="H354" ca="1">[1]!s_west_eps($B$1,YEAR($A354)+1,$A354,180)</f>
        <v>0.15060000000000001</v>
      </c>
      <c r="I354" cm="1">
        <f t="array" aca="1" ref="I354" ca="1">[1]!s_west_instnum_np($B$1,YEAR($A354)+1,$A354,180)</f>
        <v>22</v>
      </c>
      <c r="J354" cm="1">
        <f t="array" aca="1" ref="J354" ca="1">[1]!s_west_stdnetprofit($B$1,YEAR($A354)+1,$A354,180,1000000)</f>
        <v>44.659973999999998</v>
      </c>
      <c r="K354" cm="1">
        <f t="array" aca="1" ref="K354" ca="1">[1]!s_west_mediannetprofit($B$1,YEAR($A353)+1,$A353,180,1000000)</f>
        <v>132.2835</v>
      </c>
      <c r="L354" cm="1">
        <f t="array" aca="1" ref="L354" ca="1">[1]!s_dq_close($B$1,$A354,3)</f>
        <v>27.2</v>
      </c>
    </row>
    <row r="355" spans="1:12">
      <c r="A355" s="23">
        <f t="shared" ca="1" si="5"/>
        <v>45820</v>
      </c>
      <c r="B355" cm="1">
        <f t="array" aca="1" ref="B355" ca="1">[1]!s_west_netprofit($B$1,YEAR($A355),$A355,180,1000000)</f>
        <v>319.621217</v>
      </c>
      <c r="C355" cm="1">
        <f t="array" aca="1" ref="C355" ca="1">[1]!s_west_eps($B$1,YEAR($A355),$A355,180)</f>
        <v>0.35670000000000002</v>
      </c>
      <c r="D355" cm="1">
        <f t="array" aca="1" ref="D355" ca="1">[1]!s_west_instnum_np($B$1,YEAR($A355),$A355,180)</f>
        <v>23</v>
      </c>
      <c r="E355" cm="1">
        <f t="array" aca="1" ref="E355" ca="1">[1]!s_west_stdnetprofit($B$1,YEAR($A355),$A355,180,1000000)</f>
        <v>160.51783599999999</v>
      </c>
      <c r="F355" cm="1">
        <f t="array" aca="1" ref="F355" ca="1">[1]!s_west_mediannetprofit($B$1,YEAR($A355),$A355,180,1000000)</f>
        <v>364</v>
      </c>
      <c r="G355" cm="1">
        <f t="array" aca="1" ref="G355" ca="1">[1]!s_west_netprofit($B$1,YEAR($A355)+1,$A355,180,1000000)</f>
        <v>132.67259100000001</v>
      </c>
      <c r="H355" cm="1">
        <f t="array" aca="1" ref="H355" ca="1">[1]!s_west_eps($B$1,YEAR($A355)+1,$A355,180)</f>
        <v>0.15060000000000001</v>
      </c>
      <c r="I355" cm="1">
        <f t="array" aca="1" ref="I355" ca="1">[1]!s_west_instnum_np($B$1,YEAR($A355)+1,$A355,180)</f>
        <v>22</v>
      </c>
      <c r="J355" cm="1">
        <f t="array" aca="1" ref="J355" ca="1">[1]!s_west_stdnetprofit($B$1,YEAR($A355)+1,$A355,180,1000000)</f>
        <v>44.659973999999998</v>
      </c>
      <c r="K355" cm="1">
        <f t="array" aca="1" ref="K355" ca="1">[1]!s_west_mediannetprofit($B$1,YEAR($A354)+1,$A354,180,1000000)</f>
        <v>132.2835</v>
      </c>
      <c r="L355" cm="1">
        <f t="array" aca="1" ref="L355" ca="1">[1]!s_dq_close($B$1,$A355,3)</f>
        <v>28.15</v>
      </c>
    </row>
    <row r="356" spans="1:12">
      <c r="A356" s="23">
        <f t="shared" ca="1" si="5"/>
        <v>45819</v>
      </c>
      <c r="B356" cm="1">
        <f t="array" aca="1" ref="B356" ca="1">[1]!s_west_netprofit($B$1,YEAR($A356),$A356,180,1000000)</f>
        <v>319.621217</v>
      </c>
      <c r="C356" cm="1">
        <f t="array" aca="1" ref="C356" ca="1">[1]!s_west_eps($B$1,YEAR($A356),$A356,180)</f>
        <v>0.35670000000000002</v>
      </c>
      <c r="D356" cm="1">
        <f t="array" aca="1" ref="D356" ca="1">[1]!s_west_instnum_np($B$1,YEAR($A356),$A356,180)</f>
        <v>23</v>
      </c>
      <c r="E356" cm="1">
        <f t="array" aca="1" ref="E356" ca="1">[1]!s_west_stdnetprofit($B$1,YEAR($A356),$A356,180,1000000)</f>
        <v>160.51783599999999</v>
      </c>
      <c r="F356" cm="1">
        <f t="array" aca="1" ref="F356" ca="1">[1]!s_west_mediannetprofit($B$1,YEAR($A356),$A356,180,1000000)</f>
        <v>364</v>
      </c>
      <c r="G356" cm="1">
        <f t="array" aca="1" ref="G356" ca="1">[1]!s_west_netprofit($B$1,YEAR($A356)+1,$A356,180,1000000)</f>
        <v>132.67259100000001</v>
      </c>
      <c r="H356" cm="1">
        <f t="array" aca="1" ref="H356" ca="1">[1]!s_west_eps($B$1,YEAR($A356)+1,$A356,180)</f>
        <v>0.15060000000000001</v>
      </c>
      <c r="I356" cm="1">
        <f t="array" aca="1" ref="I356" ca="1">[1]!s_west_instnum_np($B$1,YEAR($A356)+1,$A356,180)</f>
        <v>22</v>
      </c>
      <c r="J356" cm="1">
        <f t="array" aca="1" ref="J356" ca="1">[1]!s_west_stdnetprofit($B$1,YEAR($A356)+1,$A356,180,1000000)</f>
        <v>44.659973999999998</v>
      </c>
      <c r="K356" cm="1">
        <f t="array" aca="1" ref="K356" ca="1">[1]!s_west_mediannetprofit($B$1,YEAR($A355)+1,$A355,180,1000000)</f>
        <v>132.2835</v>
      </c>
      <c r="L356" cm="1">
        <f t="array" aca="1" ref="L356" ca="1">[1]!s_dq_close($B$1,$A356,3)</f>
        <v>27.2</v>
      </c>
    </row>
    <row r="357" spans="1:12">
      <c r="A357" s="23">
        <f t="shared" ca="1" si="5"/>
        <v>45818</v>
      </c>
      <c r="B357" cm="1">
        <f t="array" aca="1" ref="B357" ca="1">[1]!s_west_netprofit($B$1,YEAR($A357),$A357,180,1000000)</f>
        <v>319.621217</v>
      </c>
      <c r="C357" cm="1">
        <f t="array" aca="1" ref="C357" ca="1">[1]!s_west_eps($B$1,YEAR($A357),$A357,180)</f>
        <v>0.35670000000000002</v>
      </c>
      <c r="D357" cm="1">
        <f t="array" aca="1" ref="D357" ca="1">[1]!s_west_instnum_np($B$1,YEAR($A357),$A357,180)</f>
        <v>23</v>
      </c>
      <c r="E357" cm="1">
        <f t="array" aca="1" ref="E357" ca="1">[1]!s_west_stdnetprofit($B$1,YEAR($A357),$A357,180,1000000)</f>
        <v>160.51783599999999</v>
      </c>
      <c r="F357" cm="1">
        <f t="array" aca="1" ref="F357" ca="1">[1]!s_west_mediannetprofit($B$1,YEAR($A357),$A357,180,1000000)</f>
        <v>364</v>
      </c>
      <c r="G357" cm="1">
        <f t="array" aca="1" ref="G357" ca="1">[1]!s_west_netprofit($B$1,YEAR($A357)+1,$A357,180,1000000)</f>
        <v>132.67259100000001</v>
      </c>
      <c r="H357" cm="1">
        <f t="array" aca="1" ref="H357" ca="1">[1]!s_west_eps($B$1,YEAR($A357)+1,$A357,180)</f>
        <v>0.15060000000000001</v>
      </c>
      <c r="I357" cm="1">
        <f t="array" aca="1" ref="I357" ca="1">[1]!s_west_instnum_np($B$1,YEAR($A357)+1,$A357,180)</f>
        <v>22</v>
      </c>
      <c r="J357" cm="1">
        <f t="array" aca="1" ref="J357" ca="1">[1]!s_west_stdnetprofit($B$1,YEAR($A357)+1,$A357,180,1000000)</f>
        <v>44.659973999999998</v>
      </c>
      <c r="K357" cm="1">
        <f t="array" aca="1" ref="K357" ca="1">[1]!s_west_mediannetprofit($B$1,YEAR($A356)+1,$A356,180,1000000)</f>
        <v>132.2835</v>
      </c>
      <c r="L357" cm="1">
        <f t="array" aca="1" ref="L357" ca="1">[1]!s_dq_close($B$1,$A357,3)</f>
        <v>26.15</v>
      </c>
    </row>
    <row r="358" spans="1:12">
      <c r="A358" s="23">
        <f t="shared" ca="1" si="5"/>
        <v>45817</v>
      </c>
      <c r="B358" cm="1">
        <f t="array" aca="1" ref="B358" ca="1">[1]!s_west_netprofit($B$1,YEAR($A358),$A358,180,1000000)</f>
        <v>319.621217</v>
      </c>
      <c r="C358" cm="1">
        <f t="array" aca="1" ref="C358" ca="1">[1]!s_west_eps($B$1,YEAR($A358),$A358,180)</f>
        <v>0.35670000000000002</v>
      </c>
      <c r="D358" cm="1">
        <f t="array" aca="1" ref="D358" ca="1">[1]!s_west_instnum_np($B$1,YEAR($A358),$A358,180)</f>
        <v>23</v>
      </c>
      <c r="E358" cm="1">
        <f t="array" aca="1" ref="E358" ca="1">[1]!s_west_stdnetprofit($B$1,YEAR($A358),$A358,180,1000000)</f>
        <v>160.51783599999999</v>
      </c>
      <c r="F358" cm="1">
        <f t="array" aca="1" ref="F358" ca="1">[1]!s_west_mediannetprofit($B$1,YEAR($A358),$A358,180,1000000)</f>
        <v>364</v>
      </c>
      <c r="G358" cm="1">
        <f t="array" aca="1" ref="G358" ca="1">[1]!s_west_netprofit($B$1,YEAR($A358)+1,$A358,180,1000000)</f>
        <v>132.67259100000001</v>
      </c>
      <c r="H358" cm="1">
        <f t="array" aca="1" ref="H358" ca="1">[1]!s_west_eps($B$1,YEAR($A358)+1,$A358,180)</f>
        <v>0.15060000000000001</v>
      </c>
      <c r="I358" cm="1">
        <f t="array" aca="1" ref="I358" ca="1">[1]!s_west_instnum_np($B$1,YEAR($A358)+1,$A358,180)</f>
        <v>22</v>
      </c>
      <c r="J358" cm="1">
        <f t="array" aca="1" ref="J358" ca="1">[1]!s_west_stdnetprofit($B$1,YEAR($A358)+1,$A358,180,1000000)</f>
        <v>44.659973999999998</v>
      </c>
      <c r="K358" cm="1">
        <f t="array" aca="1" ref="K358" ca="1">[1]!s_west_mediannetprofit($B$1,YEAR($A357)+1,$A357,180,1000000)</f>
        <v>132.2835</v>
      </c>
      <c r="L358" cm="1">
        <f t="array" aca="1" ref="L358" ca="1">[1]!s_dq_close($B$1,$A358,3)</f>
        <v>25.5</v>
      </c>
    </row>
    <row r="359" spans="1:12">
      <c r="A359" s="23">
        <f t="shared" ca="1" si="5"/>
        <v>45816</v>
      </c>
      <c r="B359" cm="1">
        <f t="array" aca="1" ref="B359" ca="1">[1]!s_west_netprofit($B$1,YEAR($A359),$A359,180,1000000)</f>
        <v>319.621217</v>
      </c>
      <c r="C359" cm="1">
        <f t="array" aca="1" ref="C359" ca="1">[1]!s_west_eps($B$1,YEAR($A359),$A359,180)</f>
        <v>0.35670000000000002</v>
      </c>
      <c r="D359" cm="1">
        <f t="array" aca="1" ref="D359" ca="1">[1]!s_west_instnum_np($B$1,YEAR($A359),$A359,180)</f>
        <v>23</v>
      </c>
      <c r="E359" cm="1">
        <f t="array" aca="1" ref="E359" ca="1">[1]!s_west_stdnetprofit($B$1,YEAR($A359),$A359,180,1000000)</f>
        <v>160.51783599999999</v>
      </c>
      <c r="F359" cm="1">
        <f t="array" aca="1" ref="F359" ca="1">[1]!s_west_mediannetprofit($B$1,YEAR($A359),$A359,180,1000000)</f>
        <v>364</v>
      </c>
      <c r="G359" cm="1">
        <f t="array" aca="1" ref="G359" ca="1">[1]!s_west_netprofit($B$1,YEAR($A359)+1,$A359,180,1000000)</f>
        <v>132.67259100000001</v>
      </c>
      <c r="H359" cm="1">
        <f t="array" aca="1" ref="H359" ca="1">[1]!s_west_eps($B$1,YEAR($A359)+1,$A359,180)</f>
        <v>0.15060000000000001</v>
      </c>
      <c r="I359" cm="1">
        <f t="array" aca="1" ref="I359" ca="1">[1]!s_west_instnum_np($B$1,YEAR($A359)+1,$A359,180)</f>
        <v>22</v>
      </c>
      <c r="J359" cm="1">
        <f t="array" aca="1" ref="J359" ca="1">[1]!s_west_stdnetprofit($B$1,YEAR($A359)+1,$A359,180,1000000)</f>
        <v>44.659973999999998</v>
      </c>
      <c r="K359" cm="1">
        <f t="array" aca="1" ref="K359" ca="1">[1]!s_west_mediannetprofit($B$1,YEAR($A358)+1,$A358,180,1000000)</f>
        <v>132.2835</v>
      </c>
      <c r="L359" cm="1">
        <f t="array" aca="1" ref="L359" ca="1">[1]!s_dq_close($B$1,$A359,3)</f>
        <v>24.1</v>
      </c>
    </row>
    <row r="360" spans="1:12">
      <c r="A360" s="23">
        <f t="shared" ca="1" si="5"/>
        <v>45815</v>
      </c>
      <c r="B360" cm="1">
        <f t="array" aca="1" ref="B360" ca="1">[1]!s_west_netprofit($B$1,YEAR($A360),$A360,180,1000000)</f>
        <v>319.621217</v>
      </c>
      <c r="C360" cm="1">
        <f t="array" aca="1" ref="C360" ca="1">[1]!s_west_eps($B$1,YEAR($A360),$A360,180)</f>
        <v>0.35670000000000002</v>
      </c>
      <c r="D360" cm="1">
        <f t="array" aca="1" ref="D360" ca="1">[1]!s_west_instnum_np($B$1,YEAR($A360),$A360,180)</f>
        <v>23</v>
      </c>
      <c r="E360" cm="1">
        <f t="array" aca="1" ref="E360" ca="1">[1]!s_west_stdnetprofit($B$1,YEAR($A360),$A360,180,1000000)</f>
        <v>160.51783599999999</v>
      </c>
      <c r="F360" cm="1">
        <f t="array" aca="1" ref="F360" ca="1">[1]!s_west_mediannetprofit($B$1,YEAR($A360),$A360,180,1000000)</f>
        <v>364</v>
      </c>
      <c r="G360" cm="1">
        <f t="array" aca="1" ref="G360" ca="1">[1]!s_west_netprofit($B$1,YEAR($A360)+1,$A360,180,1000000)</f>
        <v>132.67259100000001</v>
      </c>
      <c r="H360" cm="1">
        <f t="array" aca="1" ref="H360" ca="1">[1]!s_west_eps($B$1,YEAR($A360)+1,$A360,180)</f>
        <v>0.15060000000000001</v>
      </c>
      <c r="I360" cm="1">
        <f t="array" aca="1" ref="I360" ca="1">[1]!s_west_instnum_np($B$1,YEAR($A360)+1,$A360,180)</f>
        <v>22</v>
      </c>
      <c r="J360" cm="1">
        <f t="array" aca="1" ref="J360" ca="1">[1]!s_west_stdnetprofit($B$1,YEAR($A360)+1,$A360,180,1000000)</f>
        <v>44.659973999999998</v>
      </c>
      <c r="K360" cm="1">
        <f t="array" aca="1" ref="K360" ca="1">[1]!s_west_mediannetprofit($B$1,YEAR($A359)+1,$A359,180,1000000)</f>
        <v>132.2835</v>
      </c>
      <c r="L360" cm="1">
        <f t="array" aca="1" ref="L360" ca="1">[1]!s_dq_close($B$1,$A360,3)</f>
        <v>24.1</v>
      </c>
    </row>
    <row r="361" spans="1:12">
      <c r="A361" s="23">
        <f t="shared" ca="1" si="5"/>
        <v>45814</v>
      </c>
      <c r="B361" cm="1">
        <f t="array" aca="1" ref="B361" ca="1">[1]!s_west_netprofit($B$1,YEAR($A361),$A361,180,1000000)</f>
        <v>319.621217</v>
      </c>
      <c r="C361" cm="1">
        <f t="array" aca="1" ref="C361" ca="1">[1]!s_west_eps($B$1,YEAR($A361),$A361,180)</f>
        <v>0.35670000000000002</v>
      </c>
      <c r="D361" cm="1">
        <f t="array" aca="1" ref="D361" ca="1">[1]!s_west_instnum_np($B$1,YEAR($A361),$A361,180)</f>
        <v>23</v>
      </c>
      <c r="E361" cm="1">
        <f t="array" aca="1" ref="E361" ca="1">[1]!s_west_stdnetprofit($B$1,YEAR($A361),$A361,180,1000000)</f>
        <v>160.51783599999999</v>
      </c>
      <c r="F361" cm="1">
        <f t="array" aca="1" ref="F361" ca="1">[1]!s_west_mediannetprofit($B$1,YEAR($A361),$A361,180,1000000)</f>
        <v>364</v>
      </c>
      <c r="G361" cm="1">
        <f t="array" aca="1" ref="G361" ca="1">[1]!s_west_netprofit($B$1,YEAR($A361)+1,$A361,180,1000000)</f>
        <v>132.67259100000001</v>
      </c>
      <c r="H361" cm="1">
        <f t="array" aca="1" ref="H361" ca="1">[1]!s_west_eps($B$1,YEAR($A361)+1,$A361,180)</f>
        <v>0.15060000000000001</v>
      </c>
      <c r="I361" cm="1">
        <f t="array" aca="1" ref="I361" ca="1">[1]!s_west_instnum_np($B$1,YEAR($A361)+1,$A361,180)</f>
        <v>22</v>
      </c>
      <c r="J361" cm="1">
        <f t="array" aca="1" ref="J361" ca="1">[1]!s_west_stdnetprofit($B$1,YEAR($A361)+1,$A361,180,1000000)</f>
        <v>44.659973999999998</v>
      </c>
      <c r="K361" cm="1">
        <f t="array" aca="1" ref="K361" ca="1">[1]!s_west_mediannetprofit($B$1,YEAR($A360)+1,$A360,180,1000000)</f>
        <v>132.2835</v>
      </c>
      <c r="L361" cm="1">
        <f t="array" aca="1" ref="L361" ca="1">[1]!s_dq_close($B$1,$A361,3)</f>
        <v>24.1</v>
      </c>
    </row>
    <row r="362" spans="1:12">
      <c r="A362" s="23">
        <f t="shared" ca="1" si="5"/>
        <v>45813</v>
      </c>
      <c r="B362" cm="1">
        <f t="array" aca="1" ref="B362" ca="1">[1]!s_west_netprofit($B$1,YEAR($A362),$A362,180,1000000)</f>
        <v>319.621217</v>
      </c>
      <c r="C362" cm="1">
        <f t="array" aca="1" ref="C362" ca="1">[1]!s_west_eps($B$1,YEAR($A362),$A362,180)</f>
        <v>0.35670000000000002</v>
      </c>
      <c r="D362" cm="1">
        <f t="array" aca="1" ref="D362" ca="1">[1]!s_west_instnum_np($B$1,YEAR($A362),$A362,180)</f>
        <v>23</v>
      </c>
      <c r="E362" cm="1">
        <f t="array" aca="1" ref="E362" ca="1">[1]!s_west_stdnetprofit($B$1,YEAR($A362),$A362,180,1000000)</f>
        <v>160.51783599999999</v>
      </c>
      <c r="F362" cm="1">
        <f t="array" aca="1" ref="F362" ca="1">[1]!s_west_mediannetprofit($B$1,YEAR($A362),$A362,180,1000000)</f>
        <v>364</v>
      </c>
      <c r="G362" cm="1">
        <f t="array" aca="1" ref="G362" ca="1">[1]!s_west_netprofit($B$1,YEAR($A362)+1,$A362,180,1000000)</f>
        <v>132.67259100000001</v>
      </c>
      <c r="H362" cm="1">
        <f t="array" aca="1" ref="H362" ca="1">[1]!s_west_eps($B$1,YEAR($A362)+1,$A362,180)</f>
        <v>0.15060000000000001</v>
      </c>
      <c r="I362" cm="1">
        <f t="array" aca="1" ref="I362" ca="1">[1]!s_west_instnum_np($B$1,YEAR($A362)+1,$A362,180)</f>
        <v>22</v>
      </c>
      <c r="J362" cm="1">
        <f t="array" aca="1" ref="J362" ca="1">[1]!s_west_stdnetprofit($B$1,YEAR($A362)+1,$A362,180,1000000)</f>
        <v>44.659973999999998</v>
      </c>
      <c r="K362" cm="1">
        <f t="array" aca="1" ref="K362" ca="1">[1]!s_west_mediannetprofit($B$1,YEAR($A361)+1,$A361,180,1000000)</f>
        <v>132.2835</v>
      </c>
      <c r="L362" cm="1">
        <f t="array" aca="1" ref="L362" ca="1">[1]!s_dq_close($B$1,$A362,3)</f>
        <v>23.95</v>
      </c>
    </row>
    <row r="363" spans="1:12">
      <c r="A363" s="23">
        <f t="shared" ca="1" si="5"/>
        <v>45812</v>
      </c>
      <c r="B363" cm="1">
        <f t="array" aca="1" ref="B363" ca="1">[1]!s_west_netprofit($B$1,YEAR($A363),$A363,180,1000000)</f>
        <v>319.621217</v>
      </c>
      <c r="C363" cm="1">
        <f t="array" aca="1" ref="C363" ca="1">[1]!s_west_eps($B$1,YEAR($A363),$A363,180)</f>
        <v>0.35670000000000002</v>
      </c>
      <c r="D363" cm="1">
        <f t="array" aca="1" ref="D363" ca="1">[1]!s_west_instnum_np($B$1,YEAR($A363),$A363,180)</f>
        <v>23</v>
      </c>
      <c r="E363" cm="1">
        <f t="array" aca="1" ref="E363" ca="1">[1]!s_west_stdnetprofit($B$1,YEAR($A363),$A363,180,1000000)</f>
        <v>160.51783599999999</v>
      </c>
      <c r="F363" cm="1">
        <f t="array" aca="1" ref="F363" ca="1">[1]!s_west_mediannetprofit($B$1,YEAR($A363),$A363,180,1000000)</f>
        <v>364</v>
      </c>
      <c r="G363" cm="1">
        <f t="array" aca="1" ref="G363" ca="1">[1]!s_west_netprofit($B$1,YEAR($A363)+1,$A363,180,1000000)</f>
        <v>132.67259100000001</v>
      </c>
      <c r="H363" cm="1">
        <f t="array" aca="1" ref="H363" ca="1">[1]!s_west_eps($B$1,YEAR($A363)+1,$A363,180)</f>
        <v>0.15060000000000001</v>
      </c>
      <c r="I363" cm="1">
        <f t="array" aca="1" ref="I363" ca="1">[1]!s_west_instnum_np($B$1,YEAR($A363)+1,$A363,180)</f>
        <v>22</v>
      </c>
      <c r="J363" cm="1">
        <f t="array" aca="1" ref="J363" ca="1">[1]!s_west_stdnetprofit($B$1,YEAR($A363)+1,$A363,180,1000000)</f>
        <v>44.659973999999998</v>
      </c>
      <c r="K363" cm="1">
        <f t="array" aca="1" ref="K363" ca="1">[1]!s_west_mediannetprofit($B$1,YEAR($A362)+1,$A362,180,1000000)</f>
        <v>132.2835</v>
      </c>
      <c r="L363" cm="1">
        <f t="array" aca="1" ref="L363" ca="1">[1]!s_dq_close($B$1,$A363,3)</f>
        <v>23.7</v>
      </c>
    </row>
    <row r="364" spans="1:12">
      <c r="A364" s="23">
        <f t="shared" ca="1" si="5"/>
        <v>45811</v>
      </c>
      <c r="B364" cm="1">
        <f t="array" aca="1" ref="B364" ca="1">[1]!s_west_netprofit($B$1,YEAR($A364),$A364,180,1000000)</f>
        <v>319.621217</v>
      </c>
      <c r="C364" cm="1">
        <f t="array" aca="1" ref="C364" ca="1">[1]!s_west_eps($B$1,YEAR($A364),$A364,180)</f>
        <v>0.35670000000000002</v>
      </c>
      <c r="D364" cm="1">
        <f t="array" aca="1" ref="D364" ca="1">[1]!s_west_instnum_np($B$1,YEAR($A364),$A364,180)</f>
        <v>23</v>
      </c>
      <c r="E364" cm="1">
        <f t="array" aca="1" ref="E364" ca="1">[1]!s_west_stdnetprofit($B$1,YEAR($A364),$A364,180,1000000)</f>
        <v>160.51783599999999</v>
      </c>
      <c r="F364" cm="1">
        <f t="array" aca="1" ref="F364" ca="1">[1]!s_west_mediannetprofit($B$1,YEAR($A364),$A364,180,1000000)</f>
        <v>364</v>
      </c>
      <c r="G364" cm="1">
        <f t="array" aca="1" ref="G364" ca="1">[1]!s_west_netprofit($B$1,YEAR($A364)+1,$A364,180,1000000)</f>
        <v>132.67259100000001</v>
      </c>
      <c r="H364" cm="1">
        <f t="array" aca="1" ref="H364" ca="1">[1]!s_west_eps($B$1,YEAR($A364)+1,$A364,180)</f>
        <v>0.15060000000000001</v>
      </c>
      <c r="I364" cm="1">
        <f t="array" aca="1" ref="I364" ca="1">[1]!s_west_instnum_np($B$1,YEAR($A364)+1,$A364,180)</f>
        <v>22</v>
      </c>
      <c r="J364" cm="1">
        <f t="array" aca="1" ref="J364" ca="1">[1]!s_west_stdnetprofit($B$1,YEAR($A364)+1,$A364,180,1000000)</f>
        <v>44.659973999999998</v>
      </c>
      <c r="K364" cm="1">
        <f t="array" aca="1" ref="K364" ca="1">[1]!s_west_mediannetprofit($B$1,YEAR($A363)+1,$A363,180,1000000)</f>
        <v>132.2835</v>
      </c>
      <c r="L364" cm="1">
        <f t="array" aca="1" ref="L364" ca="1">[1]!s_dq_close($B$1,$A364,3)</f>
        <v>23.2</v>
      </c>
    </row>
    <row r="365" spans="1:12">
      <c r="A365" s="23">
        <f t="shared" ca="1" si="5"/>
        <v>45810</v>
      </c>
      <c r="B365" cm="1">
        <f t="array" aca="1" ref="B365" ca="1">[1]!s_west_netprofit($B$1,YEAR($A365),$A365,180,1000000)</f>
        <v>319.621217</v>
      </c>
      <c r="C365" cm="1">
        <f t="array" aca="1" ref="C365" ca="1">[1]!s_west_eps($B$1,YEAR($A365),$A365,180)</f>
        <v>0.35670000000000002</v>
      </c>
      <c r="D365" cm="1">
        <f t="array" aca="1" ref="D365" ca="1">[1]!s_west_instnum_np($B$1,YEAR($A365),$A365,180)</f>
        <v>23</v>
      </c>
      <c r="E365" cm="1">
        <f t="array" aca="1" ref="E365" ca="1">[1]!s_west_stdnetprofit($B$1,YEAR($A365),$A365,180,1000000)</f>
        <v>160.51783599999999</v>
      </c>
      <c r="F365" cm="1">
        <f t="array" aca="1" ref="F365" ca="1">[1]!s_west_mediannetprofit($B$1,YEAR($A365),$A365,180,1000000)</f>
        <v>364</v>
      </c>
      <c r="G365" cm="1">
        <f t="array" aca="1" ref="G365" ca="1">[1]!s_west_netprofit($B$1,YEAR($A365)+1,$A365,180,1000000)</f>
        <v>132.67259100000001</v>
      </c>
      <c r="H365" cm="1">
        <f t="array" aca="1" ref="H365" ca="1">[1]!s_west_eps($B$1,YEAR($A365)+1,$A365,180)</f>
        <v>0.15060000000000001</v>
      </c>
      <c r="I365" cm="1">
        <f t="array" aca="1" ref="I365" ca="1">[1]!s_west_instnum_np($B$1,YEAR($A365)+1,$A365,180)</f>
        <v>22</v>
      </c>
      <c r="J365" cm="1">
        <f t="array" aca="1" ref="J365" ca="1">[1]!s_west_stdnetprofit($B$1,YEAR($A365)+1,$A365,180,1000000)</f>
        <v>44.659973999999998</v>
      </c>
      <c r="K365" cm="1">
        <f t="array" aca="1" ref="K365" ca="1">[1]!s_west_mediannetprofit($B$1,YEAR($A364)+1,$A364,180,1000000)</f>
        <v>132.2835</v>
      </c>
      <c r="L365" cm="1">
        <f t="array" aca="1" ref="L365" ca="1">[1]!s_dq_close($B$1,$A365,3)</f>
        <v>21.6</v>
      </c>
    </row>
    <row r="366" spans="1:12">
      <c r="A366" s="23">
        <f t="shared" ca="1" si="5"/>
        <v>45809</v>
      </c>
      <c r="B366" cm="1">
        <f t="array" aca="1" ref="B366" ca="1">[1]!s_west_netprofit($B$1,YEAR($A366),$A366,180,1000000)</f>
        <v>319.621217</v>
      </c>
      <c r="C366" cm="1">
        <f t="array" aca="1" ref="C366" ca="1">[1]!s_west_eps($B$1,YEAR($A366),$A366,180)</f>
        <v>0.35670000000000002</v>
      </c>
      <c r="D366" cm="1">
        <f t="array" aca="1" ref="D366" ca="1">[1]!s_west_instnum_np($B$1,YEAR($A366),$A366,180)</f>
        <v>23</v>
      </c>
      <c r="E366" cm="1">
        <f t="array" aca="1" ref="E366" ca="1">[1]!s_west_stdnetprofit($B$1,YEAR($A366),$A366,180,1000000)</f>
        <v>160.51783599999999</v>
      </c>
      <c r="F366" cm="1">
        <f t="array" aca="1" ref="F366" ca="1">[1]!s_west_mediannetprofit($B$1,YEAR($A366),$A366,180,1000000)</f>
        <v>364</v>
      </c>
      <c r="G366" cm="1">
        <f t="array" aca="1" ref="G366" ca="1">[1]!s_west_netprofit($B$1,YEAR($A366)+1,$A366,180,1000000)</f>
        <v>132.67259100000001</v>
      </c>
      <c r="H366" cm="1">
        <f t="array" aca="1" ref="H366" ca="1">[1]!s_west_eps($B$1,YEAR($A366)+1,$A366,180)</f>
        <v>0.15060000000000001</v>
      </c>
      <c r="I366" cm="1">
        <f t="array" aca="1" ref="I366" ca="1">[1]!s_west_instnum_np($B$1,YEAR($A366)+1,$A366,180)</f>
        <v>22</v>
      </c>
      <c r="J366" cm="1">
        <f t="array" aca="1" ref="J366" ca="1">[1]!s_west_stdnetprofit($B$1,YEAR($A366)+1,$A366,180,1000000)</f>
        <v>44.659973999999998</v>
      </c>
      <c r="K366" cm="1">
        <f t="array" aca="1" ref="K366" ca="1">[1]!s_west_mediannetprofit($B$1,YEAR($A365)+1,$A365,180,1000000)</f>
        <v>132.2835</v>
      </c>
      <c r="L366" cm="1">
        <f t="array" aca="1" ref="L366" ca="1">[1]!s_dq_close($B$1,$A366,3)</f>
        <v>22.45</v>
      </c>
    </row>
    <row r="367" spans="1:12">
      <c r="A367" s="23">
        <f t="shared" ca="1" si="5"/>
        <v>45808</v>
      </c>
      <c r="B367" cm="1">
        <f t="array" aca="1" ref="B367" ca="1">[1]!s_west_netprofit($B$1,YEAR($A367),$A367,180,1000000)</f>
        <v>319.621217</v>
      </c>
      <c r="C367" cm="1">
        <f t="array" aca="1" ref="C367" ca="1">[1]!s_west_eps($B$1,YEAR($A367),$A367,180)</f>
        <v>0.35670000000000002</v>
      </c>
      <c r="D367" cm="1">
        <f t="array" aca="1" ref="D367" ca="1">[1]!s_west_instnum_np($B$1,YEAR($A367),$A367,180)</f>
        <v>23</v>
      </c>
      <c r="E367" cm="1">
        <f t="array" aca="1" ref="E367" ca="1">[1]!s_west_stdnetprofit($B$1,YEAR($A367),$A367,180,1000000)</f>
        <v>160.51783599999999</v>
      </c>
      <c r="F367" cm="1">
        <f t="array" aca="1" ref="F367" ca="1">[1]!s_west_mediannetprofit($B$1,YEAR($A367),$A367,180,1000000)</f>
        <v>364</v>
      </c>
      <c r="G367" cm="1">
        <f t="array" aca="1" ref="G367" ca="1">[1]!s_west_netprofit($B$1,YEAR($A367)+1,$A367,180,1000000)</f>
        <v>132.67259100000001</v>
      </c>
      <c r="H367" cm="1">
        <f t="array" aca="1" ref="H367" ca="1">[1]!s_west_eps($B$1,YEAR($A367)+1,$A367,180)</f>
        <v>0.15060000000000001</v>
      </c>
      <c r="I367" cm="1">
        <f t="array" aca="1" ref="I367" ca="1">[1]!s_west_instnum_np($B$1,YEAR($A367)+1,$A367,180)</f>
        <v>22</v>
      </c>
      <c r="J367" cm="1">
        <f t="array" aca="1" ref="J367" ca="1">[1]!s_west_stdnetprofit($B$1,YEAR($A367)+1,$A367,180,1000000)</f>
        <v>44.659973999999998</v>
      </c>
      <c r="K367" cm="1">
        <f t="array" aca="1" ref="K367" ca="1">[1]!s_west_mediannetprofit($B$1,YEAR($A366)+1,$A366,180,1000000)</f>
        <v>132.2835</v>
      </c>
      <c r="L367" cm="1">
        <f t="array" aca="1" ref="L367" ca="1">[1]!s_dq_close($B$1,$A367,3)</f>
        <v>22.45</v>
      </c>
    </row>
    <row r="368" spans="1:12">
      <c r="A368" s="23">
        <f t="shared" ca="1" si="5"/>
        <v>45807</v>
      </c>
      <c r="B368" cm="1">
        <f t="array" aca="1" ref="B368" ca="1">[1]!s_west_netprofit($B$1,YEAR($A368),$A368,180,1000000)</f>
        <v>319.621217</v>
      </c>
      <c r="C368" cm="1">
        <f t="array" aca="1" ref="C368" ca="1">[1]!s_west_eps($B$1,YEAR($A368),$A368,180)</f>
        <v>0.35670000000000002</v>
      </c>
      <c r="D368" cm="1">
        <f t="array" aca="1" ref="D368" ca="1">[1]!s_west_instnum_np($B$1,YEAR($A368),$A368,180)</f>
        <v>23</v>
      </c>
      <c r="E368" cm="1">
        <f t="array" aca="1" ref="E368" ca="1">[1]!s_west_stdnetprofit($B$1,YEAR($A368),$A368,180,1000000)</f>
        <v>160.51783599999999</v>
      </c>
      <c r="F368" cm="1">
        <f t="array" aca="1" ref="F368" ca="1">[1]!s_west_mediannetprofit($B$1,YEAR($A368),$A368,180,1000000)</f>
        <v>364</v>
      </c>
      <c r="G368" cm="1">
        <f t="array" aca="1" ref="G368" ca="1">[1]!s_west_netprofit($B$1,YEAR($A368)+1,$A368,180,1000000)</f>
        <v>132.67259100000001</v>
      </c>
      <c r="H368" cm="1">
        <f t="array" aca="1" ref="H368" ca="1">[1]!s_west_eps($B$1,YEAR($A368)+1,$A368,180)</f>
        <v>0.15060000000000001</v>
      </c>
      <c r="I368" cm="1">
        <f t="array" aca="1" ref="I368" ca="1">[1]!s_west_instnum_np($B$1,YEAR($A368)+1,$A368,180)</f>
        <v>22</v>
      </c>
      <c r="J368" cm="1">
        <f t="array" aca="1" ref="J368" ca="1">[1]!s_west_stdnetprofit($B$1,YEAR($A368)+1,$A368,180,1000000)</f>
        <v>44.659973999999998</v>
      </c>
      <c r="K368" cm="1">
        <f t="array" aca="1" ref="K368" ca="1">[1]!s_west_mediannetprofit($B$1,YEAR($A367)+1,$A367,180,1000000)</f>
        <v>132.2835</v>
      </c>
      <c r="L368" cm="1">
        <f t="array" aca="1" ref="L368" ca="1">[1]!s_dq_close($B$1,$A368,3)</f>
        <v>22.45</v>
      </c>
    </row>
    <row r="369" spans="1:12">
      <c r="A369" s="23">
        <f t="shared" ca="1" si="5"/>
        <v>45806</v>
      </c>
      <c r="B369" cm="1">
        <f t="array" aca="1" ref="B369" ca="1">[1]!s_west_netprofit($B$1,YEAR($A369),$A369,180,1000000)</f>
        <v>319.621217</v>
      </c>
      <c r="C369" cm="1">
        <f t="array" aca="1" ref="C369" ca="1">[1]!s_west_eps($B$1,YEAR($A369),$A369,180)</f>
        <v>0.35670000000000002</v>
      </c>
      <c r="D369" cm="1">
        <f t="array" aca="1" ref="D369" ca="1">[1]!s_west_instnum_np($B$1,YEAR($A369),$A369,180)</f>
        <v>23</v>
      </c>
      <c r="E369" cm="1">
        <f t="array" aca="1" ref="E369" ca="1">[1]!s_west_stdnetprofit($B$1,YEAR($A369),$A369,180,1000000)</f>
        <v>160.51783599999999</v>
      </c>
      <c r="F369" cm="1">
        <f t="array" aca="1" ref="F369" ca="1">[1]!s_west_mediannetprofit($B$1,YEAR($A369),$A369,180,1000000)</f>
        <v>364</v>
      </c>
      <c r="G369" cm="1">
        <f t="array" aca="1" ref="G369" ca="1">[1]!s_west_netprofit($B$1,YEAR($A369)+1,$A369,180,1000000)</f>
        <v>132.67259100000001</v>
      </c>
      <c r="H369" cm="1">
        <f t="array" aca="1" ref="H369" ca="1">[1]!s_west_eps($B$1,YEAR($A369)+1,$A369,180)</f>
        <v>0.15060000000000001</v>
      </c>
      <c r="I369" cm="1">
        <f t="array" aca="1" ref="I369" ca="1">[1]!s_west_instnum_np($B$1,YEAR($A369)+1,$A369,180)</f>
        <v>22</v>
      </c>
      <c r="J369" cm="1">
        <f t="array" aca="1" ref="J369" ca="1">[1]!s_west_stdnetprofit($B$1,YEAR($A369)+1,$A369,180,1000000)</f>
        <v>44.659973999999998</v>
      </c>
      <c r="K369" cm="1">
        <f t="array" aca="1" ref="K369" ca="1">[1]!s_west_mediannetprofit($B$1,YEAR($A368)+1,$A368,180,1000000)</f>
        <v>132.2835</v>
      </c>
      <c r="L369" cm="1">
        <f t="array" aca="1" ref="L369" ca="1">[1]!s_dq_close($B$1,$A369,3)</f>
        <v>21.95</v>
      </c>
    </row>
    <row r="370" spans="1:12">
      <c r="A370" s="23">
        <f t="shared" ca="1" si="5"/>
        <v>45805</v>
      </c>
      <c r="B370" cm="1">
        <f t="array" aca="1" ref="B370" ca="1">[1]!s_west_netprofit($B$1,YEAR($A370),$A370,180,1000000)</f>
        <v>319.621217</v>
      </c>
      <c r="C370" cm="1">
        <f t="array" aca="1" ref="C370" ca="1">[1]!s_west_eps($B$1,YEAR($A370),$A370,180)</f>
        <v>0.35670000000000002</v>
      </c>
      <c r="D370" cm="1">
        <f t="array" aca="1" ref="D370" ca="1">[1]!s_west_instnum_np($B$1,YEAR($A370),$A370,180)</f>
        <v>23</v>
      </c>
      <c r="E370" cm="1">
        <f t="array" aca="1" ref="E370" ca="1">[1]!s_west_stdnetprofit($B$1,YEAR($A370),$A370,180,1000000)</f>
        <v>160.51783599999999</v>
      </c>
      <c r="F370" cm="1">
        <f t="array" aca="1" ref="F370" ca="1">[1]!s_west_mediannetprofit($B$1,YEAR($A370),$A370,180,1000000)</f>
        <v>364</v>
      </c>
      <c r="G370" cm="1">
        <f t="array" aca="1" ref="G370" ca="1">[1]!s_west_netprofit($B$1,YEAR($A370)+1,$A370,180,1000000)</f>
        <v>132.67259100000001</v>
      </c>
      <c r="H370" cm="1">
        <f t="array" aca="1" ref="H370" ca="1">[1]!s_west_eps($B$1,YEAR($A370)+1,$A370,180)</f>
        <v>0.15060000000000001</v>
      </c>
      <c r="I370" cm="1">
        <f t="array" aca="1" ref="I370" ca="1">[1]!s_west_instnum_np($B$1,YEAR($A370)+1,$A370,180)</f>
        <v>22</v>
      </c>
      <c r="J370" cm="1">
        <f t="array" aca="1" ref="J370" ca="1">[1]!s_west_stdnetprofit($B$1,YEAR($A370)+1,$A370,180,1000000)</f>
        <v>44.659973999999998</v>
      </c>
      <c r="K370" cm="1">
        <f t="array" aca="1" ref="K370" ca="1">[1]!s_west_mediannetprofit($B$1,YEAR($A369)+1,$A369,180,1000000)</f>
        <v>132.2835</v>
      </c>
      <c r="L370" cm="1">
        <f t="array" aca="1" ref="L370" ca="1">[1]!s_dq_close($B$1,$A370,3)</f>
        <v>21.05</v>
      </c>
    </row>
    <row r="371" spans="1:12">
      <c r="A371" s="23">
        <f t="shared" ca="1" si="5"/>
        <v>45804</v>
      </c>
      <c r="B371" cm="1">
        <f t="array" aca="1" ref="B371" ca="1">[1]!s_west_netprofit($B$1,YEAR($A371),$A371,180,1000000)</f>
        <v>319.621217</v>
      </c>
      <c r="C371" cm="1">
        <f t="array" aca="1" ref="C371" ca="1">[1]!s_west_eps($B$1,YEAR($A371),$A371,180)</f>
        <v>0.35670000000000002</v>
      </c>
      <c r="D371" cm="1">
        <f t="array" aca="1" ref="D371" ca="1">[1]!s_west_instnum_np($B$1,YEAR($A371),$A371,180)</f>
        <v>23</v>
      </c>
      <c r="E371" cm="1">
        <f t="array" aca="1" ref="E371" ca="1">[1]!s_west_stdnetprofit($B$1,YEAR($A371),$A371,180,1000000)</f>
        <v>160.51783599999999</v>
      </c>
      <c r="F371" cm="1">
        <f t="array" aca="1" ref="F371" ca="1">[1]!s_west_mediannetprofit($B$1,YEAR($A371),$A371,180,1000000)</f>
        <v>364</v>
      </c>
      <c r="G371" cm="1">
        <f t="array" aca="1" ref="G371" ca="1">[1]!s_west_netprofit($B$1,YEAR($A371)+1,$A371,180,1000000)</f>
        <v>132.67259100000001</v>
      </c>
      <c r="H371" cm="1">
        <f t="array" aca="1" ref="H371" ca="1">[1]!s_west_eps($B$1,YEAR($A371)+1,$A371,180)</f>
        <v>0.15060000000000001</v>
      </c>
      <c r="I371" cm="1">
        <f t="array" aca="1" ref="I371" ca="1">[1]!s_west_instnum_np($B$1,YEAR($A371)+1,$A371,180)</f>
        <v>22</v>
      </c>
      <c r="J371" cm="1">
        <f t="array" aca="1" ref="J371" ca="1">[1]!s_west_stdnetprofit($B$1,YEAR($A371)+1,$A371,180,1000000)</f>
        <v>44.659973999999998</v>
      </c>
      <c r="K371" cm="1">
        <f t="array" aca="1" ref="K371" ca="1">[1]!s_west_mediannetprofit($B$1,YEAR($A370)+1,$A370,180,1000000)</f>
        <v>132.2835</v>
      </c>
      <c r="L371" cm="1">
        <f t="array" aca="1" ref="L371" ca="1">[1]!s_dq_close($B$1,$A371,3)</f>
        <v>21.35</v>
      </c>
    </row>
    <row r="372" spans="1:12">
      <c r="A372" s="23">
        <f t="shared" ca="1" si="5"/>
        <v>45803</v>
      </c>
      <c r="B372" cm="1">
        <f t="array" aca="1" ref="B372" ca="1">[1]!s_west_netprofit($B$1,YEAR($A372),$A372,180,1000000)</f>
        <v>319.621217</v>
      </c>
      <c r="C372" cm="1">
        <f t="array" aca="1" ref="C372" ca="1">[1]!s_west_eps($B$1,YEAR($A372),$A372,180)</f>
        <v>0.35670000000000002</v>
      </c>
      <c r="D372" cm="1">
        <f t="array" aca="1" ref="D372" ca="1">[1]!s_west_instnum_np($B$1,YEAR($A372),$A372,180)</f>
        <v>23</v>
      </c>
      <c r="E372" cm="1">
        <f t="array" aca="1" ref="E372" ca="1">[1]!s_west_stdnetprofit($B$1,YEAR($A372),$A372,180,1000000)</f>
        <v>160.51783599999999</v>
      </c>
      <c r="F372" cm="1">
        <f t="array" aca="1" ref="F372" ca="1">[1]!s_west_mediannetprofit($B$1,YEAR($A372),$A372,180,1000000)</f>
        <v>364</v>
      </c>
      <c r="G372" cm="1">
        <f t="array" aca="1" ref="G372" ca="1">[1]!s_west_netprofit($B$1,YEAR($A372)+1,$A372,180,1000000)</f>
        <v>132.67259100000001</v>
      </c>
      <c r="H372" cm="1">
        <f t="array" aca="1" ref="H372" ca="1">[1]!s_west_eps($B$1,YEAR($A372)+1,$A372,180)</f>
        <v>0.15060000000000001</v>
      </c>
      <c r="I372" cm="1">
        <f t="array" aca="1" ref="I372" ca="1">[1]!s_west_instnum_np($B$1,YEAR($A372)+1,$A372,180)</f>
        <v>22</v>
      </c>
      <c r="J372" cm="1">
        <f t="array" aca="1" ref="J372" ca="1">[1]!s_west_stdnetprofit($B$1,YEAR($A372)+1,$A372,180,1000000)</f>
        <v>44.659973999999998</v>
      </c>
      <c r="K372" cm="1">
        <f t="array" aca="1" ref="K372" ca="1">[1]!s_west_mediannetprofit($B$1,YEAR($A371)+1,$A371,180,1000000)</f>
        <v>132.2835</v>
      </c>
      <c r="L372" cm="1">
        <f t="array" aca="1" ref="L372" ca="1">[1]!s_dq_close($B$1,$A372,3)</f>
        <v>20.55</v>
      </c>
    </row>
    <row r="373" spans="1:12">
      <c r="A373" s="23">
        <f t="shared" ca="1" si="5"/>
        <v>45802</v>
      </c>
      <c r="B373" cm="1">
        <f t="array" aca="1" ref="B373" ca="1">[1]!s_west_netprofit($B$1,YEAR($A373),$A373,180,1000000)</f>
        <v>319.621217</v>
      </c>
      <c r="C373" cm="1">
        <f t="array" aca="1" ref="C373" ca="1">[1]!s_west_eps($B$1,YEAR($A373),$A373,180)</f>
        <v>0.35670000000000002</v>
      </c>
      <c r="D373" cm="1">
        <f t="array" aca="1" ref="D373" ca="1">[1]!s_west_instnum_np($B$1,YEAR($A373),$A373,180)</f>
        <v>23</v>
      </c>
      <c r="E373" cm="1">
        <f t="array" aca="1" ref="E373" ca="1">[1]!s_west_stdnetprofit($B$1,YEAR($A373),$A373,180,1000000)</f>
        <v>160.51783599999999</v>
      </c>
      <c r="F373" cm="1">
        <f t="array" aca="1" ref="F373" ca="1">[1]!s_west_mediannetprofit($B$1,YEAR($A373),$A373,180,1000000)</f>
        <v>364</v>
      </c>
      <c r="G373" cm="1">
        <f t="array" aca="1" ref="G373" ca="1">[1]!s_west_netprofit($B$1,YEAR($A373)+1,$A373,180,1000000)</f>
        <v>132.67259100000001</v>
      </c>
      <c r="H373" cm="1">
        <f t="array" aca="1" ref="H373" ca="1">[1]!s_west_eps($B$1,YEAR($A373)+1,$A373,180)</f>
        <v>0.15060000000000001</v>
      </c>
      <c r="I373" cm="1">
        <f t="array" aca="1" ref="I373" ca="1">[1]!s_west_instnum_np($B$1,YEAR($A373)+1,$A373,180)</f>
        <v>22</v>
      </c>
      <c r="J373" cm="1">
        <f t="array" aca="1" ref="J373" ca="1">[1]!s_west_stdnetprofit($B$1,YEAR($A373)+1,$A373,180,1000000)</f>
        <v>44.659973999999998</v>
      </c>
      <c r="K373" cm="1">
        <f t="array" aca="1" ref="K373" ca="1">[1]!s_west_mediannetprofit($B$1,YEAR($A372)+1,$A372,180,1000000)</f>
        <v>132.2835</v>
      </c>
      <c r="L373" cm="1">
        <f t="array" aca="1" ref="L373" ca="1">[1]!s_dq_close($B$1,$A373,3)</f>
        <v>21.3</v>
      </c>
    </row>
    <row r="374" spans="1:12">
      <c r="A374" s="23">
        <f t="shared" ca="1" si="5"/>
        <v>45801</v>
      </c>
      <c r="B374" cm="1">
        <f t="array" aca="1" ref="B374" ca="1">[1]!s_west_netprofit($B$1,YEAR($A374),$A374,180,1000000)</f>
        <v>319.621217</v>
      </c>
      <c r="C374" cm="1">
        <f t="array" aca="1" ref="C374" ca="1">[1]!s_west_eps($B$1,YEAR($A374),$A374,180)</f>
        <v>0.35670000000000002</v>
      </c>
      <c r="D374" cm="1">
        <f t="array" aca="1" ref="D374" ca="1">[1]!s_west_instnum_np($B$1,YEAR($A374),$A374,180)</f>
        <v>23</v>
      </c>
      <c r="E374" cm="1">
        <f t="array" aca="1" ref="E374" ca="1">[1]!s_west_stdnetprofit($B$1,YEAR($A374),$A374,180,1000000)</f>
        <v>160.51783599999999</v>
      </c>
      <c r="F374" cm="1">
        <f t="array" aca="1" ref="F374" ca="1">[1]!s_west_mediannetprofit($B$1,YEAR($A374),$A374,180,1000000)</f>
        <v>364</v>
      </c>
      <c r="G374" cm="1">
        <f t="array" aca="1" ref="G374" ca="1">[1]!s_west_netprofit($B$1,YEAR($A374)+1,$A374,180,1000000)</f>
        <v>132.67259100000001</v>
      </c>
      <c r="H374" cm="1">
        <f t="array" aca="1" ref="H374" ca="1">[1]!s_west_eps($B$1,YEAR($A374)+1,$A374,180)</f>
        <v>0.15060000000000001</v>
      </c>
      <c r="I374" cm="1">
        <f t="array" aca="1" ref="I374" ca="1">[1]!s_west_instnum_np($B$1,YEAR($A374)+1,$A374,180)</f>
        <v>22</v>
      </c>
      <c r="J374" cm="1">
        <f t="array" aca="1" ref="J374" ca="1">[1]!s_west_stdnetprofit($B$1,YEAR($A374)+1,$A374,180,1000000)</f>
        <v>44.659973999999998</v>
      </c>
      <c r="K374" cm="1">
        <f t="array" aca="1" ref="K374" ca="1">[1]!s_west_mediannetprofit($B$1,YEAR($A373)+1,$A373,180,1000000)</f>
        <v>132.2835</v>
      </c>
      <c r="L374" cm="1">
        <f t="array" aca="1" ref="L374" ca="1">[1]!s_dq_close($B$1,$A374,3)</f>
        <v>21.3</v>
      </c>
    </row>
    <row r="375" spans="1:12">
      <c r="A375" s="23">
        <f t="shared" ca="1" si="5"/>
        <v>45800</v>
      </c>
      <c r="B375" cm="1">
        <f t="array" aca="1" ref="B375" ca="1">[1]!s_west_netprofit($B$1,YEAR($A375),$A375,180,1000000)</f>
        <v>319.621217</v>
      </c>
      <c r="C375" cm="1">
        <f t="array" aca="1" ref="C375" ca="1">[1]!s_west_eps($B$1,YEAR($A375),$A375,180)</f>
        <v>0.35670000000000002</v>
      </c>
      <c r="D375" cm="1">
        <f t="array" aca="1" ref="D375" ca="1">[1]!s_west_instnum_np($B$1,YEAR($A375),$A375,180)</f>
        <v>23</v>
      </c>
      <c r="E375" cm="1">
        <f t="array" aca="1" ref="E375" ca="1">[1]!s_west_stdnetprofit($B$1,YEAR($A375),$A375,180,1000000)</f>
        <v>160.51783599999999</v>
      </c>
      <c r="F375" cm="1">
        <f t="array" aca="1" ref="F375" ca="1">[1]!s_west_mediannetprofit($B$1,YEAR($A375),$A375,180,1000000)</f>
        <v>364</v>
      </c>
      <c r="G375" cm="1">
        <f t="array" aca="1" ref="G375" ca="1">[1]!s_west_netprofit($B$1,YEAR($A375)+1,$A375,180,1000000)</f>
        <v>132.67259100000001</v>
      </c>
      <c r="H375" cm="1">
        <f t="array" aca="1" ref="H375" ca="1">[1]!s_west_eps($B$1,YEAR($A375)+1,$A375,180)</f>
        <v>0.15060000000000001</v>
      </c>
      <c r="I375" cm="1">
        <f t="array" aca="1" ref="I375" ca="1">[1]!s_west_instnum_np($B$1,YEAR($A375)+1,$A375,180)</f>
        <v>22</v>
      </c>
      <c r="J375" cm="1">
        <f t="array" aca="1" ref="J375" ca="1">[1]!s_west_stdnetprofit($B$1,YEAR($A375)+1,$A375,180,1000000)</f>
        <v>44.659973999999998</v>
      </c>
      <c r="K375" cm="1">
        <f t="array" aca="1" ref="K375" ca="1">[1]!s_west_mediannetprofit($B$1,YEAR($A374)+1,$A374,180,1000000)</f>
        <v>132.2835</v>
      </c>
      <c r="L375" cm="1">
        <f t="array" aca="1" ref="L375" ca="1">[1]!s_dq_close($B$1,$A375,3)</f>
        <v>21.3</v>
      </c>
    </row>
    <row r="376" spans="1:12">
      <c r="A376" s="23">
        <f t="shared" ca="1" si="5"/>
        <v>45799</v>
      </c>
      <c r="B376" cm="1">
        <f t="array" aca="1" ref="B376" ca="1">[1]!s_west_netprofit($B$1,YEAR($A376),$A376,180,1000000)</f>
        <v>319.621217</v>
      </c>
      <c r="C376" cm="1">
        <f t="array" aca="1" ref="C376" ca="1">[1]!s_west_eps($B$1,YEAR($A376),$A376,180)</f>
        <v>0.35670000000000002</v>
      </c>
      <c r="D376" cm="1">
        <f t="array" aca="1" ref="D376" ca="1">[1]!s_west_instnum_np($B$1,YEAR($A376),$A376,180)</f>
        <v>23</v>
      </c>
      <c r="E376" cm="1">
        <f t="array" aca="1" ref="E376" ca="1">[1]!s_west_stdnetprofit($B$1,YEAR($A376),$A376,180,1000000)</f>
        <v>160.51783599999999</v>
      </c>
      <c r="F376" cm="1">
        <f t="array" aca="1" ref="F376" ca="1">[1]!s_west_mediannetprofit($B$1,YEAR($A376),$A376,180,1000000)</f>
        <v>364</v>
      </c>
      <c r="G376" cm="1">
        <f t="array" aca="1" ref="G376" ca="1">[1]!s_west_netprofit($B$1,YEAR($A376)+1,$A376,180,1000000)</f>
        <v>132.67259100000001</v>
      </c>
      <c r="H376" cm="1">
        <f t="array" aca="1" ref="H376" ca="1">[1]!s_west_eps($B$1,YEAR($A376)+1,$A376,180)</f>
        <v>0.15060000000000001</v>
      </c>
      <c r="I376" cm="1">
        <f t="array" aca="1" ref="I376" ca="1">[1]!s_west_instnum_np($B$1,YEAR($A376)+1,$A376,180)</f>
        <v>22</v>
      </c>
      <c r="J376" cm="1">
        <f t="array" aca="1" ref="J376" ca="1">[1]!s_west_stdnetprofit($B$1,YEAR($A376)+1,$A376,180,1000000)</f>
        <v>44.659973999999998</v>
      </c>
      <c r="K376" cm="1">
        <f t="array" aca="1" ref="K376" ca="1">[1]!s_west_mediannetprofit($B$1,YEAR($A375)+1,$A375,180,1000000)</f>
        <v>132.2835</v>
      </c>
      <c r="L376" cm="1">
        <f t="array" aca="1" ref="L376" ca="1">[1]!s_dq_close($B$1,$A376,3)</f>
        <v>21.05</v>
      </c>
    </row>
    <row r="377" spans="1:12">
      <c r="A377" s="23">
        <f t="shared" ca="1" si="5"/>
        <v>45798</v>
      </c>
      <c r="B377" cm="1">
        <f t="array" aca="1" ref="B377" ca="1">[1]!s_west_netprofit($B$1,YEAR($A377),$A377,180,1000000)</f>
        <v>319.621217</v>
      </c>
      <c r="C377" cm="1">
        <f t="array" aca="1" ref="C377" ca="1">[1]!s_west_eps($B$1,YEAR($A377),$A377,180)</f>
        <v>0.35670000000000002</v>
      </c>
      <c r="D377" cm="1">
        <f t="array" aca="1" ref="D377" ca="1">[1]!s_west_instnum_np($B$1,YEAR($A377),$A377,180)</f>
        <v>23</v>
      </c>
      <c r="E377" cm="1">
        <f t="array" aca="1" ref="E377" ca="1">[1]!s_west_stdnetprofit($B$1,YEAR($A377),$A377,180,1000000)</f>
        <v>160.51783599999999</v>
      </c>
      <c r="F377" cm="1">
        <f t="array" aca="1" ref="F377" ca="1">[1]!s_west_mediannetprofit($B$1,YEAR($A377),$A377,180,1000000)</f>
        <v>364</v>
      </c>
      <c r="G377" cm="1">
        <f t="array" aca="1" ref="G377" ca="1">[1]!s_west_netprofit($B$1,YEAR($A377)+1,$A377,180,1000000)</f>
        <v>132.67259100000001</v>
      </c>
      <c r="H377" cm="1">
        <f t="array" aca="1" ref="H377" ca="1">[1]!s_west_eps($B$1,YEAR($A377)+1,$A377,180)</f>
        <v>0.15060000000000001</v>
      </c>
      <c r="I377" cm="1">
        <f t="array" aca="1" ref="I377" ca="1">[1]!s_west_instnum_np($B$1,YEAR($A377)+1,$A377,180)</f>
        <v>22</v>
      </c>
      <c r="J377" cm="1">
        <f t="array" aca="1" ref="J377" ca="1">[1]!s_west_stdnetprofit($B$1,YEAR($A377)+1,$A377,180,1000000)</f>
        <v>44.659973999999998</v>
      </c>
      <c r="K377" cm="1">
        <f t="array" aca="1" ref="K377" ca="1">[1]!s_west_mediannetprofit($B$1,YEAR($A376)+1,$A376,180,1000000)</f>
        <v>132.2835</v>
      </c>
      <c r="L377" cm="1">
        <f t="array" aca="1" ref="L377" ca="1">[1]!s_dq_close($B$1,$A377,3)</f>
        <v>21.3</v>
      </c>
    </row>
    <row r="378" spans="1:12">
      <c r="A378" s="23">
        <f t="shared" ca="1" si="5"/>
        <v>45797</v>
      </c>
      <c r="B378" cm="1">
        <f t="array" aca="1" ref="B378" ca="1">[1]!s_west_netprofit($B$1,YEAR($A378),$A378,180,1000000)</f>
        <v>319.621217</v>
      </c>
      <c r="C378" cm="1">
        <f t="array" aca="1" ref="C378" ca="1">[1]!s_west_eps($B$1,YEAR($A378),$A378,180)</f>
        <v>0.35670000000000002</v>
      </c>
      <c r="D378" cm="1">
        <f t="array" aca="1" ref="D378" ca="1">[1]!s_west_instnum_np($B$1,YEAR($A378),$A378,180)</f>
        <v>23</v>
      </c>
      <c r="E378" cm="1">
        <f t="array" aca="1" ref="E378" ca="1">[1]!s_west_stdnetprofit($B$1,YEAR($A378),$A378,180,1000000)</f>
        <v>160.51783599999999</v>
      </c>
      <c r="F378" cm="1">
        <f t="array" aca="1" ref="F378" ca="1">[1]!s_west_mediannetprofit($B$1,YEAR($A378),$A378,180,1000000)</f>
        <v>364</v>
      </c>
      <c r="G378" cm="1">
        <f t="array" aca="1" ref="G378" ca="1">[1]!s_west_netprofit($B$1,YEAR($A378)+1,$A378,180,1000000)</f>
        <v>132.67259100000001</v>
      </c>
      <c r="H378" cm="1">
        <f t="array" aca="1" ref="H378" ca="1">[1]!s_west_eps($B$1,YEAR($A378)+1,$A378,180)</f>
        <v>0.15060000000000001</v>
      </c>
      <c r="I378" cm="1">
        <f t="array" aca="1" ref="I378" ca="1">[1]!s_west_instnum_np($B$1,YEAR($A378)+1,$A378,180)</f>
        <v>22</v>
      </c>
      <c r="J378" cm="1">
        <f t="array" aca="1" ref="J378" ca="1">[1]!s_west_stdnetprofit($B$1,YEAR($A378)+1,$A378,180,1000000)</f>
        <v>44.659973999999998</v>
      </c>
      <c r="K378" cm="1">
        <f t="array" aca="1" ref="K378" ca="1">[1]!s_west_mediannetprofit($B$1,YEAR($A377)+1,$A377,180,1000000)</f>
        <v>132.2835</v>
      </c>
      <c r="L378" cm="1">
        <f t="array" aca="1" ref="L378" ca="1">[1]!s_dq_close($B$1,$A378,3)</f>
        <v>21.2</v>
      </c>
    </row>
    <row r="379" spans="1:12">
      <c r="A379" s="23">
        <f t="shared" ca="1" si="5"/>
        <v>45796</v>
      </c>
      <c r="B379" cm="1">
        <f t="array" aca="1" ref="B379" ca="1">[1]!s_west_netprofit($B$1,YEAR($A379),$A379,180,1000000)</f>
        <v>319.621217</v>
      </c>
      <c r="C379" cm="1">
        <f t="array" aca="1" ref="C379" ca="1">[1]!s_west_eps($B$1,YEAR($A379),$A379,180)</f>
        <v>0.35670000000000002</v>
      </c>
      <c r="D379" cm="1">
        <f t="array" aca="1" ref="D379" ca="1">[1]!s_west_instnum_np($B$1,YEAR($A379),$A379,180)</f>
        <v>23</v>
      </c>
      <c r="E379" cm="1">
        <f t="array" aca="1" ref="E379" ca="1">[1]!s_west_stdnetprofit($B$1,YEAR($A379),$A379,180,1000000)</f>
        <v>160.51783599999999</v>
      </c>
      <c r="F379" cm="1">
        <f t="array" aca="1" ref="F379" ca="1">[1]!s_west_mediannetprofit($B$1,YEAR($A379),$A379,180,1000000)</f>
        <v>364</v>
      </c>
      <c r="G379" cm="1">
        <f t="array" aca="1" ref="G379" ca="1">[1]!s_west_netprofit($B$1,YEAR($A379)+1,$A379,180,1000000)</f>
        <v>132.67259100000001</v>
      </c>
      <c r="H379" cm="1">
        <f t="array" aca="1" ref="H379" ca="1">[1]!s_west_eps($B$1,YEAR($A379)+1,$A379,180)</f>
        <v>0.15060000000000001</v>
      </c>
      <c r="I379" cm="1">
        <f t="array" aca="1" ref="I379" ca="1">[1]!s_west_instnum_np($B$1,YEAR($A379)+1,$A379,180)</f>
        <v>22</v>
      </c>
      <c r="J379" cm="1">
        <f t="array" aca="1" ref="J379" ca="1">[1]!s_west_stdnetprofit($B$1,YEAR($A379)+1,$A379,180,1000000)</f>
        <v>44.659973999999998</v>
      </c>
      <c r="K379" cm="1">
        <f t="array" aca="1" ref="K379" ca="1">[1]!s_west_mediannetprofit($B$1,YEAR($A378)+1,$A378,180,1000000)</f>
        <v>132.2835</v>
      </c>
      <c r="L379" cm="1">
        <f t="array" aca="1" ref="L379" ca="1">[1]!s_dq_close($B$1,$A379,3)</f>
        <v>21.35</v>
      </c>
    </row>
    <row r="380" spans="1:12">
      <c r="A380" s="23">
        <f t="shared" ca="1" si="5"/>
        <v>45795</v>
      </c>
      <c r="B380" cm="1">
        <f t="array" aca="1" ref="B380" ca="1">[1]!s_west_netprofit($B$1,YEAR($A380),$A380,180,1000000)</f>
        <v>319.621217</v>
      </c>
      <c r="C380" cm="1">
        <f t="array" aca="1" ref="C380" ca="1">[1]!s_west_eps($B$1,YEAR($A380),$A380,180)</f>
        <v>0.35670000000000002</v>
      </c>
      <c r="D380" cm="1">
        <f t="array" aca="1" ref="D380" ca="1">[1]!s_west_instnum_np($B$1,YEAR($A380),$A380,180)</f>
        <v>23</v>
      </c>
      <c r="E380" cm="1">
        <f t="array" aca="1" ref="E380" ca="1">[1]!s_west_stdnetprofit($B$1,YEAR($A380),$A380,180,1000000)</f>
        <v>160.51783599999999</v>
      </c>
      <c r="F380" cm="1">
        <f t="array" aca="1" ref="F380" ca="1">[1]!s_west_mediannetprofit($B$1,YEAR($A380),$A380,180,1000000)</f>
        <v>364</v>
      </c>
      <c r="G380" cm="1">
        <f t="array" aca="1" ref="G380" ca="1">[1]!s_west_netprofit($B$1,YEAR($A380)+1,$A380,180,1000000)</f>
        <v>132.67259100000001</v>
      </c>
      <c r="H380" cm="1">
        <f t="array" aca="1" ref="H380" ca="1">[1]!s_west_eps($B$1,YEAR($A380)+1,$A380,180)</f>
        <v>0.15060000000000001</v>
      </c>
      <c r="I380" cm="1">
        <f t="array" aca="1" ref="I380" ca="1">[1]!s_west_instnum_np($B$1,YEAR($A380)+1,$A380,180)</f>
        <v>22</v>
      </c>
      <c r="J380" cm="1">
        <f t="array" aca="1" ref="J380" ca="1">[1]!s_west_stdnetprofit($B$1,YEAR($A380)+1,$A380,180,1000000)</f>
        <v>44.659973999999998</v>
      </c>
      <c r="K380" cm="1">
        <f t="array" aca="1" ref="K380" ca="1">[1]!s_west_mediannetprofit($B$1,YEAR($A379)+1,$A379,180,1000000)</f>
        <v>132.2835</v>
      </c>
      <c r="L380" cm="1">
        <f t="array" aca="1" ref="L380" ca="1">[1]!s_dq_close($B$1,$A380,3)</f>
        <v>21.2</v>
      </c>
    </row>
    <row r="381" spans="1:12">
      <c r="A381" s="23">
        <f t="shared" ca="1" si="5"/>
        <v>45794</v>
      </c>
      <c r="B381" cm="1">
        <f t="array" aca="1" ref="B381" ca="1">[1]!s_west_netprofit($B$1,YEAR($A381),$A381,180,1000000)</f>
        <v>319.621217</v>
      </c>
      <c r="C381" cm="1">
        <f t="array" aca="1" ref="C381" ca="1">[1]!s_west_eps($B$1,YEAR($A381),$A381,180)</f>
        <v>0.35670000000000002</v>
      </c>
      <c r="D381" cm="1">
        <f t="array" aca="1" ref="D381" ca="1">[1]!s_west_instnum_np($B$1,YEAR($A381),$A381,180)</f>
        <v>23</v>
      </c>
      <c r="E381" cm="1">
        <f t="array" aca="1" ref="E381" ca="1">[1]!s_west_stdnetprofit($B$1,YEAR($A381),$A381,180,1000000)</f>
        <v>160.51783599999999</v>
      </c>
      <c r="F381" cm="1">
        <f t="array" aca="1" ref="F381" ca="1">[1]!s_west_mediannetprofit($B$1,YEAR($A381),$A381,180,1000000)</f>
        <v>364</v>
      </c>
      <c r="G381" cm="1">
        <f t="array" aca="1" ref="G381" ca="1">[1]!s_west_netprofit($B$1,YEAR($A381)+1,$A381,180,1000000)</f>
        <v>132.67259100000001</v>
      </c>
      <c r="H381" cm="1">
        <f t="array" aca="1" ref="H381" ca="1">[1]!s_west_eps($B$1,YEAR($A381)+1,$A381,180)</f>
        <v>0.15060000000000001</v>
      </c>
      <c r="I381" cm="1">
        <f t="array" aca="1" ref="I381" ca="1">[1]!s_west_instnum_np($B$1,YEAR($A381)+1,$A381,180)</f>
        <v>22</v>
      </c>
      <c r="J381" cm="1">
        <f t="array" aca="1" ref="J381" ca="1">[1]!s_west_stdnetprofit($B$1,YEAR($A381)+1,$A381,180,1000000)</f>
        <v>44.659973999999998</v>
      </c>
      <c r="K381" cm="1">
        <f t="array" aca="1" ref="K381" ca="1">[1]!s_west_mediannetprofit($B$1,YEAR($A380)+1,$A380,180,1000000)</f>
        <v>132.2835</v>
      </c>
      <c r="L381" cm="1">
        <f t="array" aca="1" ref="L381" ca="1">[1]!s_dq_close($B$1,$A381,3)</f>
        <v>21.2</v>
      </c>
    </row>
    <row r="382" spans="1:12">
      <c r="A382" s="23">
        <f t="shared" ca="1" si="5"/>
        <v>45793</v>
      </c>
      <c r="B382" cm="1">
        <f t="array" aca="1" ref="B382" ca="1">[1]!s_west_netprofit($B$1,YEAR($A382),$A382,180,1000000)</f>
        <v>319.621217</v>
      </c>
      <c r="C382" cm="1">
        <f t="array" aca="1" ref="C382" ca="1">[1]!s_west_eps($B$1,YEAR($A382),$A382,180)</f>
        <v>0.35670000000000002</v>
      </c>
      <c r="D382" cm="1">
        <f t="array" aca="1" ref="D382" ca="1">[1]!s_west_instnum_np($B$1,YEAR($A382),$A382,180)</f>
        <v>23</v>
      </c>
      <c r="E382" cm="1">
        <f t="array" aca="1" ref="E382" ca="1">[1]!s_west_stdnetprofit($B$1,YEAR($A382),$A382,180,1000000)</f>
        <v>160.51783599999999</v>
      </c>
      <c r="F382" cm="1">
        <f t="array" aca="1" ref="F382" ca="1">[1]!s_west_mediannetprofit($B$1,YEAR($A382),$A382,180,1000000)</f>
        <v>364</v>
      </c>
      <c r="G382" cm="1">
        <f t="array" aca="1" ref="G382" ca="1">[1]!s_west_netprofit($B$1,YEAR($A382)+1,$A382,180,1000000)</f>
        <v>132.67259100000001</v>
      </c>
      <c r="H382" cm="1">
        <f t="array" aca="1" ref="H382" ca="1">[1]!s_west_eps($B$1,YEAR($A382)+1,$A382,180)</f>
        <v>0.15060000000000001</v>
      </c>
      <c r="I382" cm="1">
        <f t="array" aca="1" ref="I382" ca="1">[1]!s_west_instnum_np($B$1,YEAR($A382)+1,$A382,180)</f>
        <v>22</v>
      </c>
      <c r="J382" cm="1">
        <f t="array" aca="1" ref="J382" ca="1">[1]!s_west_stdnetprofit($B$1,YEAR($A382)+1,$A382,180,1000000)</f>
        <v>44.659973999999998</v>
      </c>
      <c r="K382" cm="1">
        <f t="array" aca="1" ref="K382" ca="1">[1]!s_west_mediannetprofit($B$1,YEAR($A381)+1,$A381,180,1000000)</f>
        <v>132.2835</v>
      </c>
      <c r="L382" cm="1">
        <f t="array" aca="1" ref="L382" ca="1">[1]!s_dq_close($B$1,$A382,3)</f>
        <v>21.2</v>
      </c>
    </row>
    <row r="383" spans="1:12">
      <c r="A383" s="23">
        <f t="shared" ca="1" si="5"/>
        <v>45792</v>
      </c>
      <c r="B383" cm="1">
        <f t="array" aca="1" ref="B383" ca="1">[1]!s_west_netprofit($B$1,YEAR($A383),$A383,180,1000000)</f>
        <v>319.621217</v>
      </c>
      <c r="C383" cm="1">
        <f t="array" aca="1" ref="C383" ca="1">[1]!s_west_eps($B$1,YEAR($A383),$A383,180)</f>
        <v>0.35670000000000002</v>
      </c>
      <c r="D383" cm="1">
        <f t="array" aca="1" ref="D383" ca="1">[1]!s_west_instnum_np($B$1,YEAR($A383),$A383,180)</f>
        <v>23</v>
      </c>
      <c r="E383" cm="1">
        <f t="array" aca="1" ref="E383" ca="1">[1]!s_west_stdnetprofit($B$1,YEAR($A383),$A383,180,1000000)</f>
        <v>160.51783599999999</v>
      </c>
      <c r="F383" cm="1">
        <f t="array" aca="1" ref="F383" ca="1">[1]!s_west_mediannetprofit($B$1,YEAR($A383),$A383,180,1000000)</f>
        <v>364</v>
      </c>
      <c r="G383" cm="1">
        <f t="array" aca="1" ref="G383" ca="1">[1]!s_west_netprofit($B$1,YEAR($A383)+1,$A383,180,1000000)</f>
        <v>132.67259100000001</v>
      </c>
      <c r="H383" cm="1">
        <f t="array" aca="1" ref="H383" ca="1">[1]!s_west_eps($B$1,YEAR($A383)+1,$A383,180)</f>
        <v>0.15060000000000001</v>
      </c>
      <c r="I383" cm="1">
        <f t="array" aca="1" ref="I383" ca="1">[1]!s_west_instnum_np($B$1,YEAR($A383)+1,$A383,180)</f>
        <v>22</v>
      </c>
      <c r="J383" cm="1">
        <f t="array" aca="1" ref="J383" ca="1">[1]!s_west_stdnetprofit($B$1,YEAR($A383)+1,$A383,180,1000000)</f>
        <v>44.659973999999998</v>
      </c>
      <c r="K383" cm="1">
        <f t="array" aca="1" ref="K383" ca="1">[1]!s_west_mediannetprofit($B$1,YEAR($A382)+1,$A382,180,1000000)</f>
        <v>132.2835</v>
      </c>
      <c r="L383" cm="1">
        <f t="array" aca="1" ref="L383" ca="1">[1]!s_dq_close($B$1,$A383,3)</f>
        <v>20.8</v>
      </c>
    </row>
    <row r="384" spans="1:12">
      <c r="A384" s="23">
        <f t="shared" ca="1" si="5"/>
        <v>45791</v>
      </c>
      <c r="B384" cm="1">
        <f t="array" aca="1" ref="B384" ca="1">[1]!s_west_netprofit($B$1,YEAR($A384),$A384,180,1000000)</f>
        <v>319.621217</v>
      </c>
      <c r="C384" cm="1">
        <f t="array" aca="1" ref="C384" ca="1">[1]!s_west_eps($B$1,YEAR($A384),$A384,180)</f>
        <v>0.35670000000000002</v>
      </c>
      <c r="D384" cm="1">
        <f t="array" aca="1" ref="D384" ca="1">[1]!s_west_instnum_np($B$1,YEAR($A384),$A384,180)</f>
        <v>23</v>
      </c>
      <c r="E384" cm="1">
        <f t="array" aca="1" ref="E384" ca="1">[1]!s_west_stdnetprofit($B$1,YEAR($A384),$A384,180,1000000)</f>
        <v>160.51783599999999</v>
      </c>
      <c r="F384" cm="1">
        <f t="array" aca="1" ref="F384" ca="1">[1]!s_west_mediannetprofit($B$1,YEAR($A384),$A384,180,1000000)</f>
        <v>364</v>
      </c>
      <c r="G384" cm="1">
        <f t="array" aca="1" ref="G384" ca="1">[1]!s_west_netprofit($B$1,YEAR($A384)+1,$A384,180,1000000)</f>
        <v>132.67259100000001</v>
      </c>
      <c r="H384" cm="1">
        <f t="array" aca="1" ref="H384" ca="1">[1]!s_west_eps($B$1,YEAR($A384)+1,$A384,180)</f>
        <v>0.15060000000000001</v>
      </c>
      <c r="I384" cm="1">
        <f t="array" aca="1" ref="I384" ca="1">[1]!s_west_instnum_np($B$1,YEAR($A384)+1,$A384,180)</f>
        <v>22</v>
      </c>
      <c r="J384" cm="1">
        <f t="array" aca="1" ref="J384" ca="1">[1]!s_west_stdnetprofit($B$1,YEAR($A384)+1,$A384,180,1000000)</f>
        <v>44.659973999999998</v>
      </c>
      <c r="K384" cm="1">
        <f t="array" aca="1" ref="K384" ca="1">[1]!s_west_mediannetprofit($B$1,YEAR($A383)+1,$A383,180,1000000)</f>
        <v>132.2835</v>
      </c>
      <c r="L384" cm="1">
        <f t="array" aca="1" ref="L384" ca="1">[1]!s_dq_close($B$1,$A384,3)</f>
        <v>21.2</v>
      </c>
    </row>
    <row r="385" spans="1:12">
      <c r="A385" s="23">
        <f t="shared" ca="1" si="5"/>
        <v>45790</v>
      </c>
      <c r="B385" cm="1">
        <f t="array" aca="1" ref="B385" ca="1">[1]!s_west_netprofit($B$1,YEAR($A385),$A385,180,1000000)</f>
        <v>319.621217</v>
      </c>
      <c r="C385" cm="1">
        <f t="array" aca="1" ref="C385" ca="1">[1]!s_west_eps($B$1,YEAR($A385),$A385,180)</f>
        <v>0.35670000000000002</v>
      </c>
      <c r="D385" cm="1">
        <f t="array" aca="1" ref="D385" ca="1">[1]!s_west_instnum_np($B$1,YEAR($A385),$A385,180)</f>
        <v>23</v>
      </c>
      <c r="E385" cm="1">
        <f t="array" aca="1" ref="E385" ca="1">[1]!s_west_stdnetprofit($B$1,YEAR($A385),$A385,180,1000000)</f>
        <v>160.51783599999999</v>
      </c>
      <c r="F385" cm="1">
        <f t="array" aca="1" ref="F385" ca="1">[1]!s_west_mediannetprofit($B$1,YEAR($A385),$A385,180,1000000)</f>
        <v>364</v>
      </c>
      <c r="G385" cm="1">
        <f t="array" aca="1" ref="G385" ca="1">[1]!s_west_netprofit($B$1,YEAR($A385)+1,$A385,180,1000000)</f>
        <v>132.67259100000001</v>
      </c>
      <c r="H385" cm="1">
        <f t="array" aca="1" ref="H385" ca="1">[1]!s_west_eps($B$1,YEAR($A385)+1,$A385,180)</f>
        <v>0.15060000000000001</v>
      </c>
      <c r="I385" cm="1">
        <f t="array" aca="1" ref="I385" ca="1">[1]!s_west_instnum_np($B$1,YEAR($A385)+1,$A385,180)</f>
        <v>22</v>
      </c>
      <c r="J385" cm="1">
        <f t="array" aca="1" ref="J385" ca="1">[1]!s_west_stdnetprofit($B$1,YEAR($A385)+1,$A385,180,1000000)</f>
        <v>44.659973999999998</v>
      </c>
      <c r="K385" cm="1">
        <f t="array" aca="1" ref="K385" ca="1">[1]!s_west_mediannetprofit($B$1,YEAR($A384)+1,$A384,180,1000000)</f>
        <v>132.2835</v>
      </c>
      <c r="L385" cm="1">
        <f t="array" aca="1" ref="L385" ca="1">[1]!s_dq_close($B$1,$A385,3)</f>
        <v>21.2</v>
      </c>
    </row>
    <row r="386" spans="1:12">
      <c r="A386" s="23">
        <f t="shared" ca="1" si="5"/>
        <v>45789</v>
      </c>
      <c r="B386" cm="1">
        <f t="array" aca="1" ref="B386" ca="1">[1]!s_west_netprofit($B$1,YEAR($A386),$A386,180,1000000)</f>
        <v>319.621217</v>
      </c>
      <c r="C386" cm="1">
        <f t="array" aca="1" ref="C386" ca="1">[1]!s_west_eps($B$1,YEAR($A386),$A386,180)</f>
        <v>0.35670000000000002</v>
      </c>
      <c r="D386" cm="1">
        <f t="array" aca="1" ref="D386" ca="1">[1]!s_west_instnum_np($B$1,YEAR($A386),$A386,180)</f>
        <v>23</v>
      </c>
      <c r="E386" cm="1">
        <f t="array" aca="1" ref="E386" ca="1">[1]!s_west_stdnetprofit($B$1,YEAR($A386),$A386,180,1000000)</f>
        <v>160.51783599999999</v>
      </c>
      <c r="F386" cm="1">
        <f t="array" aca="1" ref="F386" ca="1">[1]!s_west_mediannetprofit($B$1,YEAR($A386),$A386,180,1000000)</f>
        <v>364</v>
      </c>
      <c r="G386" cm="1">
        <f t="array" aca="1" ref="G386" ca="1">[1]!s_west_netprofit($B$1,YEAR($A386)+1,$A386,180,1000000)</f>
        <v>132.67259100000001</v>
      </c>
      <c r="H386" cm="1">
        <f t="array" aca="1" ref="H386" ca="1">[1]!s_west_eps($B$1,YEAR($A386)+1,$A386,180)</f>
        <v>0.15060000000000001</v>
      </c>
      <c r="I386" cm="1">
        <f t="array" aca="1" ref="I386" ca="1">[1]!s_west_instnum_np($B$1,YEAR($A386)+1,$A386,180)</f>
        <v>22</v>
      </c>
      <c r="J386" cm="1">
        <f t="array" aca="1" ref="J386" ca="1">[1]!s_west_stdnetprofit($B$1,YEAR($A386)+1,$A386,180,1000000)</f>
        <v>44.659973999999998</v>
      </c>
      <c r="K386" cm="1">
        <f t="array" aca="1" ref="K386" ca="1">[1]!s_west_mediannetprofit($B$1,YEAR($A385)+1,$A385,180,1000000)</f>
        <v>132.2835</v>
      </c>
      <c r="L386" cm="1">
        <f t="array" aca="1" ref="L386" ca="1">[1]!s_dq_close($B$1,$A386,3)</f>
        <v>21.7</v>
      </c>
    </row>
    <row r="387" spans="1:12">
      <c r="A387" s="23">
        <f t="shared" ca="1" si="5"/>
        <v>45788</v>
      </c>
      <c r="B387" cm="1">
        <f t="array" aca="1" ref="B387" ca="1">[1]!s_west_netprofit($B$1,YEAR($A387),$A387,180,1000000)</f>
        <v>319.621217</v>
      </c>
      <c r="C387" cm="1">
        <f t="array" aca="1" ref="C387" ca="1">[1]!s_west_eps($B$1,YEAR($A387),$A387,180)</f>
        <v>0.35670000000000002</v>
      </c>
      <c r="D387" cm="1">
        <f t="array" aca="1" ref="D387" ca="1">[1]!s_west_instnum_np($B$1,YEAR($A387),$A387,180)</f>
        <v>23</v>
      </c>
      <c r="E387" cm="1">
        <f t="array" aca="1" ref="E387" ca="1">[1]!s_west_stdnetprofit($B$1,YEAR($A387),$A387,180,1000000)</f>
        <v>160.51783599999999</v>
      </c>
      <c r="F387" cm="1">
        <f t="array" aca="1" ref="F387" ca="1">[1]!s_west_mediannetprofit($B$1,YEAR($A387),$A387,180,1000000)</f>
        <v>364</v>
      </c>
      <c r="G387" cm="1">
        <f t="array" aca="1" ref="G387" ca="1">[1]!s_west_netprofit($B$1,YEAR($A387)+1,$A387,180,1000000)</f>
        <v>132.67259100000001</v>
      </c>
      <c r="H387" cm="1">
        <f t="array" aca="1" ref="H387" ca="1">[1]!s_west_eps($B$1,YEAR($A387)+1,$A387,180)</f>
        <v>0.15060000000000001</v>
      </c>
      <c r="I387" cm="1">
        <f t="array" aca="1" ref="I387" ca="1">[1]!s_west_instnum_np($B$1,YEAR($A387)+1,$A387,180)</f>
        <v>22</v>
      </c>
      <c r="J387" cm="1">
        <f t="array" aca="1" ref="J387" ca="1">[1]!s_west_stdnetprofit($B$1,YEAR($A387)+1,$A387,180,1000000)</f>
        <v>44.659973999999998</v>
      </c>
      <c r="K387" cm="1">
        <f t="array" aca="1" ref="K387" ca="1">[1]!s_west_mediannetprofit($B$1,YEAR($A386)+1,$A386,180,1000000)</f>
        <v>132.2835</v>
      </c>
      <c r="L387" cm="1">
        <f t="array" aca="1" ref="L387" ca="1">[1]!s_dq_close($B$1,$A387,3)</f>
        <v>22.5</v>
      </c>
    </row>
    <row r="388" spans="1:12">
      <c r="A388" s="23">
        <f t="shared" ca="1" si="5"/>
        <v>45787</v>
      </c>
      <c r="B388" cm="1">
        <f t="array" aca="1" ref="B388" ca="1">[1]!s_west_netprofit($B$1,YEAR($A388),$A388,180,1000000)</f>
        <v>319.621217</v>
      </c>
      <c r="C388" cm="1">
        <f t="array" aca="1" ref="C388" ca="1">[1]!s_west_eps($B$1,YEAR($A388),$A388,180)</f>
        <v>0.35670000000000002</v>
      </c>
      <c r="D388" cm="1">
        <f t="array" aca="1" ref="D388" ca="1">[1]!s_west_instnum_np($B$1,YEAR($A388),$A388,180)</f>
        <v>23</v>
      </c>
      <c r="E388" cm="1">
        <f t="array" aca="1" ref="E388" ca="1">[1]!s_west_stdnetprofit($B$1,YEAR($A388),$A388,180,1000000)</f>
        <v>160.51783599999999</v>
      </c>
      <c r="F388" cm="1">
        <f t="array" aca="1" ref="F388" ca="1">[1]!s_west_mediannetprofit($B$1,YEAR($A388),$A388,180,1000000)</f>
        <v>364</v>
      </c>
      <c r="G388" cm="1">
        <f t="array" aca="1" ref="G388" ca="1">[1]!s_west_netprofit($B$1,YEAR($A388)+1,$A388,180,1000000)</f>
        <v>132.67259100000001</v>
      </c>
      <c r="H388" cm="1">
        <f t="array" aca="1" ref="H388" ca="1">[1]!s_west_eps($B$1,YEAR($A388)+1,$A388,180)</f>
        <v>0.15060000000000001</v>
      </c>
      <c r="I388" cm="1">
        <f t="array" aca="1" ref="I388" ca="1">[1]!s_west_instnum_np($B$1,YEAR($A388)+1,$A388,180)</f>
        <v>22</v>
      </c>
      <c r="J388" cm="1">
        <f t="array" aca="1" ref="J388" ca="1">[1]!s_west_stdnetprofit($B$1,YEAR($A388)+1,$A388,180,1000000)</f>
        <v>44.659973999999998</v>
      </c>
      <c r="K388" cm="1">
        <f t="array" aca="1" ref="K388" ca="1">[1]!s_west_mediannetprofit($B$1,YEAR($A387)+1,$A387,180,1000000)</f>
        <v>132.2835</v>
      </c>
      <c r="L388" cm="1">
        <f t="array" aca="1" ref="L388" ca="1">[1]!s_dq_close($B$1,$A388,3)</f>
        <v>22.5</v>
      </c>
    </row>
    <row r="389" spans="1:12">
      <c r="A389" s="23">
        <f t="shared" ca="1" si="5"/>
        <v>45786</v>
      </c>
      <c r="B389" cm="1">
        <f t="array" aca="1" ref="B389" ca="1">[1]!s_west_netprofit($B$1,YEAR($A389),$A389,180,1000000)</f>
        <v>319.621217</v>
      </c>
      <c r="C389" cm="1">
        <f t="array" aca="1" ref="C389" ca="1">[1]!s_west_eps($B$1,YEAR($A389),$A389,180)</f>
        <v>0.35670000000000002</v>
      </c>
      <c r="D389" cm="1">
        <f t="array" aca="1" ref="D389" ca="1">[1]!s_west_instnum_np($B$1,YEAR($A389),$A389,180)</f>
        <v>23</v>
      </c>
      <c r="E389" cm="1">
        <f t="array" aca="1" ref="E389" ca="1">[1]!s_west_stdnetprofit($B$1,YEAR($A389),$A389,180,1000000)</f>
        <v>160.51783599999999</v>
      </c>
      <c r="F389" cm="1">
        <f t="array" aca="1" ref="F389" ca="1">[1]!s_west_mediannetprofit($B$1,YEAR($A389),$A389,180,1000000)</f>
        <v>364</v>
      </c>
      <c r="G389" cm="1">
        <f t="array" aca="1" ref="G389" ca="1">[1]!s_west_netprofit($B$1,YEAR($A389)+1,$A389,180,1000000)</f>
        <v>132.67259100000001</v>
      </c>
      <c r="H389" cm="1">
        <f t="array" aca="1" ref="H389" ca="1">[1]!s_west_eps($B$1,YEAR($A389)+1,$A389,180)</f>
        <v>0.15060000000000001</v>
      </c>
      <c r="I389" cm="1">
        <f t="array" aca="1" ref="I389" ca="1">[1]!s_west_instnum_np($B$1,YEAR($A389)+1,$A389,180)</f>
        <v>22</v>
      </c>
      <c r="J389" cm="1">
        <f t="array" aca="1" ref="J389" ca="1">[1]!s_west_stdnetprofit($B$1,YEAR($A389)+1,$A389,180,1000000)</f>
        <v>44.659973999999998</v>
      </c>
      <c r="K389" cm="1">
        <f t="array" aca="1" ref="K389" ca="1">[1]!s_west_mediannetprofit($B$1,YEAR($A388)+1,$A388,180,1000000)</f>
        <v>132.2835</v>
      </c>
      <c r="L389" cm="1">
        <f t="array" aca="1" ref="L389" ca="1">[1]!s_dq_close($B$1,$A389,3)</f>
        <v>22.5</v>
      </c>
    </row>
    <row r="390" spans="1:12">
      <c r="A390" s="23">
        <f t="shared" ca="1" si="5"/>
        <v>45785</v>
      </c>
      <c r="B390" cm="1">
        <f t="array" aca="1" ref="B390" ca="1">[1]!s_west_netprofit($B$1,YEAR($A390),$A390,180,1000000)</f>
        <v>319.621217</v>
      </c>
      <c r="C390" cm="1">
        <f t="array" aca="1" ref="C390" ca="1">[1]!s_west_eps($B$1,YEAR($A390),$A390,180)</f>
        <v>0.35670000000000002</v>
      </c>
      <c r="D390" cm="1">
        <f t="array" aca="1" ref="D390" ca="1">[1]!s_west_instnum_np($B$1,YEAR($A390),$A390,180)</f>
        <v>23</v>
      </c>
      <c r="E390" cm="1">
        <f t="array" aca="1" ref="E390" ca="1">[1]!s_west_stdnetprofit($B$1,YEAR($A390),$A390,180,1000000)</f>
        <v>160.51783599999999</v>
      </c>
      <c r="F390" cm="1">
        <f t="array" aca="1" ref="F390" ca="1">[1]!s_west_mediannetprofit($B$1,YEAR($A390),$A390,180,1000000)</f>
        <v>364</v>
      </c>
      <c r="G390" cm="1">
        <f t="array" aca="1" ref="G390" ca="1">[1]!s_west_netprofit($B$1,YEAR($A390)+1,$A390,180,1000000)</f>
        <v>132.67259100000001</v>
      </c>
      <c r="H390" cm="1">
        <f t="array" aca="1" ref="H390" ca="1">[1]!s_west_eps($B$1,YEAR($A390)+1,$A390,180)</f>
        <v>0.15060000000000001</v>
      </c>
      <c r="I390" cm="1">
        <f t="array" aca="1" ref="I390" ca="1">[1]!s_west_instnum_np($B$1,YEAR($A390)+1,$A390,180)</f>
        <v>22</v>
      </c>
      <c r="J390" cm="1">
        <f t="array" aca="1" ref="J390" ca="1">[1]!s_west_stdnetprofit($B$1,YEAR($A390)+1,$A390,180,1000000)</f>
        <v>44.659973999999998</v>
      </c>
      <c r="K390" cm="1">
        <f t="array" aca="1" ref="K390" ca="1">[1]!s_west_mediannetprofit($B$1,YEAR($A389)+1,$A389,180,1000000)</f>
        <v>132.2835</v>
      </c>
      <c r="L390" cm="1">
        <f t="array" aca="1" ref="L390" ca="1">[1]!s_dq_close($B$1,$A390,3)</f>
        <v>22.65</v>
      </c>
    </row>
    <row r="391" spans="1:12">
      <c r="A391" s="23">
        <f t="shared" ca="1" si="5"/>
        <v>45784</v>
      </c>
      <c r="B391" cm="1">
        <f t="array" aca="1" ref="B391" ca="1">[1]!s_west_netprofit($B$1,YEAR($A391),$A391,180,1000000)</f>
        <v>319.621217</v>
      </c>
      <c r="C391" cm="1">
        <f t="array" aca="1" ref="C391" ca="1">[1]!s_west_eps($B$1,YEAR($A391),$A391,180)</f>
        <v>0.35670000000000002</v>
      </c>
      <c r="D391" cm="1">
        <f t="array" aca="1" ref="D391" ca="1">[1]!s_west_instnum_np($B$1,YEAR($A391),$A391,180)</f>
        <v>23</v>
      </c>
      <c r="E391" cm="1">
        <f t="array" aca="1" ref="E391" ca="1">[1]!s_west_stdnetprofit($B$1,YEAR($A391),$A391,180,1000000)</f>
        <v>160.51783599999999</v>
      </c>
      <c r="F391" cm="1">
        <f t="array" aca="1" ref="F391" ca="1">[1]!s_west_mediannetprofit($B$1,YEAR($A391),$A391,180,1000000)</f>
        <v>364</v>
      </c>
      <c r="G391" cm="1">
        <f t="array" aca="1" ref="G391" ca="1">[1]!s_west_netprofit($B$1,YEAR($A391)+1,$A391,180,1000000)</f>
        <v>132.67259100000001</v>
      </c>
      <c r="H391" cm="1">
        <f t="array" aca="1" ref="H391" ca="1">[1]!s_west_eps($B$1,YEAR($A391)+1,$A391,180)</f>
        <v>0.15060000000000001</v>
      </c>
      <c r="I391" cm="1">
        <f t="array" aca="1" ref="I391" ca="1">[1]!s_west_instnum_np($B$1,YEAR($A391)+1,$A391,180)</f>
        <v>22</v>
      </c>
      <c r="J391" cm="1">
        <f t="array" aca="1" ref="J391" ca="1">[1]!s_west_stdnetprofit($B$1,YEAR($A391)+1,$A391,180,1000000)</f>
        <v>44.659973999999998</v>
      </c>
      <c r="K391" cm="1">
        <f t="array" aca="1" ref="K391" ca="1">[1]!s_west_mediannetprofit($B$1,YEAR($A390)+1,$A390,180,1000000)</f>
        <v>132.2835</v>
      </c>
      <c r="L391" cm="1">
        <f t="array" aca="1" ref="L391" ca="1">[1]!s_dq_close($B$1,$A391,3)</f>
        <v>22.7</v>
      </c>
    </row>
    <row r="392" spans="1:12">
      <c r="A392" s="23">
        <f t="shared" ca="1" si="5"/>
        <v>45783</v>
      </c>
      <c r="B392" cm="1">
        <f t="array" aca="1" ref="B392" ca="1">[1]!s_west_netprofit($B$1,YEAR($A392),$A392,180,1000000)</f>
        <v>319.621217</v>
      </c>
      <c r="C392" cm="1">
        <f t="array" aca="1" ref="C392" ca="1">[1]!s_west_eps($B$1,YEAR($A392),$A392,180)</f>
        <v>0.35670000000000002</v>
      </c>
      <c r="D392" cm="1">
        <f t="array" aca="1" ref="D392" ca="1">[1]!s_west_instnum_np($B$1,YEAR($A392),$A392,180)</f>
        <v>23</v>
      </c>
      <c r="E392" cm="1">
        <f t="array" aca="1" ref="E392" ca="1">[1]!s_west_stdnetprofit($B$1,YEAR($A392),$A392,180,1000000)</f>
        <v>160.51783599999999</v>
      </c>
      <c r="F392" cm="1">
        <f t="array" aca="1" ref="F392" ca="1">[1]!s_west_mediannetprofit($B$1,YEAR($A392),$A392,180,1000000)</f>
        <v>364</v>
      </c>
      <c r="G392" cm="1">
        <f t="array" aca="1" ref="G392" ca="1">[1]!s_west_netprofit($B$1,YEAR($A392)+1,$A392,180,1000000)</f>
        <v>132.67259100000001</v>
      </c>
      <c r="H392" cm="1">
        <f t="array" aca="1" ref="H392" ca="1">[1]!s_west_eps($B$1,YEAR($A392)+1,$A392,180)</f>
        <v>0.15060000000000001</v>
      </c>
      <c r="I392" cm="1">
        <f t="array" aca="1" ref="I392" ca="1">[1]!s_west_instnum_np($B$1,YEAR($A392)+1,$A392,180)</f>
        <v>22</v>
      </c>
      <c r="J392" cm="1">
        <f t="array" aca="1" ref="J392" ca="1">[1]!s_west_stdnetprofit($B$1,YEAR($A392)+1,$A392,180,1000000)</f>
        <v>44.659973999999998</v>
      </c>
      <c r="K392" cm="1">
        <f t="array" aca="1" ref="K392" ca="1">[1]!s_west_mediannetprofit($B$1,YEAR($A391)+1,$A391,180,1000000)</f>
        <v>132.2835</v>
      </c>
      <c r="L392" cm="1">
        <f t="array" aca="1" ref="L392" ca="1">[1]!s_dq_close($B$1,$A392,3)</f>
        <v>23.4</v>
      </c>
    </row>
    <row r="393" spans="1:12">
      <c r="A393" s="23">
        <f t="shared" ca="1" si="5"/>
        <v>45782</v>
      </c>
      <c r="B393" cm="1">
        <f t="array" aca="1" ref="B393" ca="1">[1]!s_west_netprofit($B$1,YEAR($A393),$A393,180,1000000)</f>
        <v>319.621217</v>
      </c>
      <c r="C393" cm="1">
        <f t="array" aca="1" ref="C393" ca="1">[1]!s_west_eps($B$1,YEAR($A393),$A393,180)</f>
        <v>0.35670000000000002</v>
      </c>
      <c r="D393" cm="1">
        <f t="array" aca="1" ref="D393" ca="1">[1]!s_west_instnum_np($B$1,YEAR($A393),$A393,180)</f>
        <v>23</v>
      </c>
      <c r="E393" cm="1">
        <f t="array" aca="1" ref="E393" ca="1">[1]!s_west_stdnetprofit($B$1,YEAR($A393),$A393,180,1000000)</f>
        <v>160.51783599999999</v>
      </c>
      <c r="F393" cm="1">
        <f t="array" aca="1" ref="F393" ca="1">[1]!s_west_mediannetprofit($B$1,YEAR($A393),$A393,180,1000000)</f>
        <v>364</v>
      </c>
      <c r="G393" cm="1">
        <f t="array" aca="1" ref="G393" ca="1">[1]!s_west_netprofit($B$1,YEAR($A393)+1,$A393,180,1000000)</f>
        <v>132.67259100000001</v>
      </c>
      <c r="H393" cm="1">
        <f t="array" aca="1" ref="H393" ca="1">[1]!s_west_eps($B$1,YEAR($A393)+1,$A393,180)</f>
        <v>0.15060000000000001</v>
      </c>
      <c r="I393" cm="1">
        <f t="array" aca="1" ref="I393" ca="1">[1]!s_west_instnum_np($B$1,YEAR($A393)+1,$A393,180)</f>
        <v>22</v>
      </c>
      <c r="J393" cm="1">
        <f t="array" aca="1" ref="J393" ca="1">[1]!s_west_stdnetprofit($B$1,YEAR($A393)+1,$A393,180,1000000)</f>
        <v>44.659973999999998</v>
      </c>
      <c r="K393" cm="1">
        <f t="array" aca="1" ref="K393" ca="1">[1]!s_west_mediannetprofit($B$1,YEAR($A392)+1,$A392,180,1000000)</f>
        <v>132.2835</v>
      </c>
      <c r="L393" cm="1">
        <f t="array" aca="1" ref="L393" ca="1">[1]!s_dq_close($B$1,$A393,3)</f>
        <v>24</v>
      </c>
    </row>
    <row r="394" spans="1:12">
      <c r="A394" s="23">
        <f t="shared" ca="1" si="5"/>
        <v>45781</v>
      </c>
      <c r="B394" cm="1">
        <f t="array" aca="1" ref="B394" ca="1">[1]!s_west_netprofit($B$1,YEAR($A394),$A394,180,1000000)</f>
        <v>319.621217</v>
      </c>
      <c r="C394" cm="1">
        <f t="array" aca="1" ref="C394" ca="1">[1]!s_west_eps($B$1,YEAR($A394),$A394,180)</f>
        <v>0.35670000000000002</v>
      </c>
      <c r="D394" cm="1">
        <f t="array" aca="1" ref="D394" ca="1">[1]!s_west_instnum_np($B$1,YEAR($A394),$A394,180)</f>
        <v>23</v>
      </c>
      <c r="E394" cm="1">
        <f t="array" aca="1" ref="E394" ca="1">[1]!s_west_stdnetprofit($B$1,YEAR($A394),$A394,180,1000000)</f>
        <v>160.51783599999999</v>
      </c>
      <c r="F394" cm="1">
        <f t="array" aca="1" ref="F394" ca="1">[1]!s_west_mediannetprofit($B$1,YEAR($A394),$A394,180,1000000)</f>
        <v>364</v>
      </c>
      <c r="G394" cm="1">
        <f t="array" aca="1" ref="G394" ca="1">[1]!s_west_netprofit($B$1,YEAR($A394)+1,$A394,180,1000000)</f>
        <v>132.67259100000001</v>
      </c>
      <c r="H394" cm="1">
        <f t="array" aca="1" ref="H394" ca="1">[1]!s_west_eps($B$1,YEAR($A394)+1,$A394,180)</f>
        <v>0.15060000000000001</v>
      </c>
      <c r="I394" cm="1">
        <f t="array" aca="1" ref="I394" ca="1">[1]!s_west_instnum_np($B$1,YEAR($A394)+1,$A394,180)</f>
        <v>22</v>
      </c>
      <c r="J394" cm="1">
        <f t="array" aca="1" ref="J394" ca="1">[1]!s_west_stdnetprofit($B$1,YEAR($A394)+1,$A394,180,1000000)</f>
        <v>44.659973999999998</v>
      </c>
      <c r="K394" cm="1">
        <f t="array" aca="1" ref="K394" ca="1">[1]!s_west_mediannetprofit($B$1,YEAR($A393)+1,$A393,180,1000000)</f>
        <v>132.2835</v>
      </c>
      <c r="L394" cm="1">
        <f t="array" aca="1" ref="L394" ca="1">[1]!s_dq_close($B$1,$A394,3)</f>
        <v>24</v>
      </c>
    </row>
    <row r="395" spans="1:12">
      <c r="A395" s="23">
        <f t="shared" ca="1" si="5"/>
        <v>45780</v>
      </c>
      <c r="B395" cm="1">
        <f t="array" aca="1" ref="B395" ca="1">[1]!s_west_netprofit($B$1,YEAR($A395),$A395,180,1000000)</f>
        <v>319.621217</v>
      </c>
      <c r="C395" cm="1">
        <f t="array" aca="1" ref="C395" ca="1">[1]!s_west_eps($B$1,YEAR($A395),$A395,180)</f>
        <v>0.35670000000000002</v>
      </c>
      <c r="D395" cm="1">
        <f t="array" aca="1" ref="D395" ca="1">[1]!s_west_instnum_np($B$1,YEAR($A395),$A395,180)</f>
        <v>23</v>
      </c>
      <c r="E395" cm="1">
        <f t="array" aca="1" ref="E395" ca="1">[1]!s_west_stdnetprofit($B$1,YEAR($A395),$A395,180,1000000)</f>
        <v>160.51783599999999</v>
      </c>
      <c r="F395" cm="1">
        <f t="array" aca="1" ref="F395" ca="1">[1]!s_west_mediannetprofit($B$1,YEAR($A395),$A395,180,1000000)</f>
        <v>364</v>
      </c>
      <c r="G395" cm="1">
        <f t="array" aca="1" ref="G395" ca="1">[1]!s_west_netprofit($B$1,YEAR($A395)+1,$A395,180,1000000)</f>
        <v>132.67259100000001</v>
      </c>
      <c r="H395" cm="1">
        <f t="array" aca="1" ref="H395" ca="1">[1]!s_west_eps($B$1,YEAR($A395)+1,$A395,180)</f>
        <v>0.15060000000000001</v>
      </c>
      <c r="I395" cm="1">
        <f t="array" aca="1" ref="I395" ca="1">[1]!s_west_instnum_np($B$1,YEAR($A395)+1,$A395,180)</f>
        <v>22</v>
      </c>
      <c r="J395" cm="1">
        <f t="array" aca="1" ref="J395" ca="1">[1]!s_west_stdnetprofit($B$1,YEAR($A395)+1,$A395,180,1000000)</f>
        <v>44.659973999999998</v>
      </c>
      <c r="K395" cm="1">
        <f t="array" aca="1" ref="K395" ca="1">[1]!s_west_mediannetprofit($B$1,YEAR($A394)+1,$A394,180,1000000)</f>
        <v>132.2835</v>
      </c>
      <c r="L395" cm="1">
        <f t="array" aca="1" ref="L395" ca="1">[1]!s_dq_close($B$1,$A395,3)</f>
        <v>24</v>
      </c>
    </row>
    <row r="396" spans="1:12">
      <c r="A396" s="23">
        <f t="shared" ca="1" si="5"/>
        <v>45779</v>
      </c>
      <c r="B396" cm="1">
        <f t="array" aca="1" ref="B396" ca="1">[1]!s_west_netprofit($B$1,YEAR($A396),$A396,180,1000000)</f>
        <v>319.621217</v>
      </c>
      <c r="C396" cm="1">
        <f t="array" aca="1" ref="C396" ca="1">[1]!s_west_eps($B$1,YEAR($A396),$A396,180)</f>
        <v>0.35670000000000002</v>
      </c>
      <c r="D396" cm="1">
        <f t="array" aca="1" ref="D396" ca="1">[1]!s_west_instnum_np($B$1,YEAR($A396),$A396,180)</f>
        <v>23</v>
      </c>
      <c r="E396" cm="1">
        <f t="array" aca="1" ref="E396" ca="1">[1]!s_west_stdnetprofit($B$1,YEAR($A396),$A396,180,1000000)</f>
        <v>160.51783599999999</v>
      </c>
      <c r="F396" cm="1">
        <f t="array" aca="1" ref="F396" ca="1">[1]!s_west_mediannetprofit($B$1,YEAR($A396),$A396,180,1000000)</f>
        <v>364</v>
      </c>
      <c r="G396" cm="1">
        <f t="array" aca="1" ref="G396" ca="1">[1]!s_west_netprofit($B$1,YEAR($A396)+1,$A396,180,1000000)</f>
        <v>132.67259100000001</v>
      </c>
      <c r="H396" cm="1">
        <f t="array" aca="1" ref="H396" ca="1">[1]!s_west_eps($B$1,YEAR($A396)+1,$A396,180)</f>
        <v>0.15060000000000001</v>
      </c>
      <c r="I396" cm="1">
        <f t="array" aca="1" ref="I396" ca="1">[1]!s_west_instnum_np($B$1,YEAR($A396)+1,$A396,180)</f>
        <v>22</v>
      </c>
      <c r="J396" cm="1">
        <f t="array" aca="1" ref="J396" ca="1">[1]!s_west_stdnetprofit($B$1,YEAR($A396)+1,$A396,180,1000000)</f>
        <v>44.659973999999998</v>
      </c>
      <c r="K396" cm="1">
        <f t="array" aca="1" ref="K396" ca="1">[1]!s_west_mediannetprofit($B$1,YEAR($A395)+1,$A395,180,1000000)</f>
        <v>132.2835</v>
      </c>
      <c r="L396" cm="1">
        <f t="array" aca="1" ref="L396" ca="1">[1]!s_dq_close($B$1,$A396,3)</f>
        <v>24</v>
      </c>
    </row>
    <row r="397" spans="1:12">
      <c r="A397" s="23">
        <f t="shared" ref="A397:A460" ca="1" si="6">A396-1</f>
        <v>45778</v>
      </c>
      <c r="B397" cm="1">
        <f t="array" aca="1" ref="B397" ca="1">[1]!s_west_netprofit($B$1,YEAR($A397),$A397,180,1000000)</f>
        <v>319.621217</v>
      </c>
      <c r="C397" cm="1">
        <f t="array" aca="1" ref="C397" ca="1">[1]!s_west_eps($B$1,YEAR($A397),$A397,180)</f>
        <v>0.35670000000000002</v>
      </c>
      <c r="D397" cm="1">
        <f t="array" aca="1" ref="D397" ca="1">[1]!s_west_instnum_np($B$1,YEAR($A397),$A397,180)</f>
        <v>23</v>
      </c>
      <c r="E397" cm="1">
        <f t="array" aca="1" ref="E397" ca="1">[1]!s_west_stdnetprofit($B$1,YEAR($A397),$A397,180,1000000)</f>
        <v>160.51783599999999</v>
      </c>
      <c r="F397" cm="1">
        <f t="array" aca="1" ref="F397" ca="1">[1]!s_west_mediannetprofit($B$1,YEAR($A397),$A397,180,1000000)</f>
        <v>364</v>
      </c>
      <c r="G397" cm="1">
        <f t="array" aca="1" ref="G397" ca="1">[1]!s_west_netprofit($B$1,YEAR($A397)+1,$A397,180,1000000)</f>
        <v>132.67259100000001</v>
      </c>
      <c r="H397" cm="1">
        <f t="array" aca="1" ref="H397" ca="1">[1]!s_west_eps($B$1,YEAR($A397)+1,$A397,180)</f>
        <v>0.15060000000000001</v>
      </c>
      <c r="I397" cm="1">
        <f t="array" aca="1" ref="I397" ca="1">[1]!s_west_instnum_np($B$1,YEAR($A397)+1,$A397,180)</f>
        <v>22</v>
      </c>
      <c r="J397" cm="1">
        <f t="array" aca="1" ref="J397" ca="1">[1]!s_west_stdnetprofit($B$1,YEAR($A397)+1,$A397,180,1000000)</f>
        <v>44.659973999999998</v>
      </c>
      <c r="K397" cm="1">
        <f t="array" aca="1" ref="K397" ca="1">[1]!s_west_mediannetprofit($B$1,YEAR($A396)+1,$A396,180,1000000)</f>
        <v>132.2835</v>
      </c>
      <c r="L397" cm="1">
        <f t="array" aca="1" ref="L397" ca="1">[1]!s_dq_close($B$1,$A397,3)</f>
        <v>23.2</v>
      </c>
    </row>
    <row r="398" spans="1:12">
      <c r="A398" s="23">
        <f t="shared" ca="1" si="6"/>
        <v>45777</v>
      </c>
      <c r="B398" cm="1">
        <f t="array" aca="1" ref="B398" ca="1">[1]!s_west_netprofit($B$1,YEAR($A398),$A398,180,1000000)</f>
        <v>319.621217</v>
      </c>
      <c r="C398" cm="1">
        <f t="array" aca="1" ref="C398" ca="1">[1]!s_west_eps($B$1,YEAR($A398),$A398,180)</f>
        <v>0.35670000000000002</v>
      </c>
      <c r="D398" cm="1">
        <f t="array" aca="1" ref="D398" ca="1">[1]!s_west_instnum_np($B$1,YEAR($A398),$A398,180)</f>
        <v>23</v>
      </c>
      <c r="E398" cm="1">
        <f t="array" aca="1" ref="E398" ca="1">[1]!s_west_stdnetprofit($B$1,YEAR($A398),$A398,180,1000000)</f>
        <v>160.51783599999999</v>
      </c>
      <c r="F398" cm="1">
        <f t="array" aca="1" ref="F398" ca="1">[1]!s_west_mediannetprofit($B$1,YEAR($A398),$A398,180,1000000)</f>
        <v>364</v>
      </c>
      <c r="G398" cm="1">
        <f t="array" aca="1" ref="G398" ca="1">[1]!s_west_netprofit($B$1,YEAR($A398)+1,$A398,180,1000000)</f>
        <v>132.67259100000001</v>
      </c>
      <c r="H398" cm="1">
        <f t="array" aca="1" ref="H398" ca="1">[1]!s_west_eps($B$1,YEAR($A398)+1,$A398,180)</f>
        <v>0.15060000000000001</v>
      </c>
      <c r="I398" cm="1">
        <f t="array" aca="1" ref="I398" ca="1">[1]!s_west_instnum_np($B$1,YEAR($A398)+1,$A398,180)</f>
        <v>22</v>
      </c>
      <c r="J398" cm="1">
        <f t="array" aca="1" ref="J398" ca="1">[1]!s_west_stdnetprofit($B$1,YEAR($A398)+1,$A398,180,1000000)</f>
        <v>44.659973999999998</v>
      </c>
      <c r="K398" cm="1">
        <f t="array" aca="1" ref="K398" ca="1">[1]!s_west_mediannetprofit($B$1,YEAR($A397)+1,$A397,180,1000000)</f>
        <v>132.2835</v>
      </c>
      <c r="L398" cm="1">
        <f t="array" aca="1" ref="L398" ca="1">[1]!s_dq_close($B$1,$A398,3)</f>
        <v>23.2</v>
      </c>
    </row>
    <row r="399" spans="1:12">
      <c r="A399" s="23">
        <f t="shared" ca="1" si="6"/>
        <v>45776</v>
      </c>
      <c r="B399" cm="1">
        <f t="array" aca="1" ref="B399" ca="1">[1]!s_west_netprofit($B$1,YEAR($A399),$A399,180,1000000)</f>
        <v>319.621217</v>
      </c>
      <c r="C399" cm="1">
        <f t="array" aca="1" ref="C399" ca="1">[1]!s_west_eps($B$1,YEAR($A399),$A399,180)</f>
        <v>0.35670000000000002</v>
      </c>
      <c r="D399" cm="1">
        <f t="array" aca="1" ref="D399" ca="1">[1]!s_west_instnum_np($B$1,YEAR($A399),$A399,180)</f>
        <v>23</v>
      </c>
      <c r="E399" cm="1">
        <f t="array" aca="1" ref="E399" ca="1">[1]!s_west_stdnetprofit($B$1,YEAR($A399),$A399,180,1000000)</f>
        <v>160.51783599999999</v>
      </c>
      <c r="F399" cm="1">
        <f t="array" aca="1" ref="F399" ca="1">[1]!s_west_mediannetprofit($B$1,YEAR($A399),$A399,180,1000000)</f>
        <v>364</v>
      </c>
      <c r="G399" cm="1">
        <f t="array" aca="1" ref="G399" ca="1">[1]!s_west_netprofit($B$1,YEAR($A399)+1,$A399,180,1000000)</f>
        <v>132.67259100000001</v>
      </c>
      <c r="H399" cm="1">
        <f t="array" aca="1" ref="H399" ca="1">[1]!s_west_eps($B$1,YEAR($A399)+1,$A399,180)</f>
        <v>0.15060000000000001</v>
      </c>
      <c r="I399" cm="1">
        <f t="array" aca="1" ref="I399" ca="1">[1]!s_west_instnum_np($B$1,YEAR($A399)+1,$A399,180)</f>
        <v>22</v>
      </c>
      <c r="J399" cm="1">
        <f t="array" aca="1" ref="J399" ca="1">[1]!s_west_stdnetprofit($B$1,YEAR($A399)+1,$A399,180,1000000)</f>
        <v>44.659973999999998</v>
      </c>
      <c r="K399" cm="1">
        <f t="array" aca="1" ref="K399" ca="1">[1]!s_west_mediannetprofit($B$1,YEAR($A398)+1,$A398,180,1000000)</f>
        <v>132.2835</v>
      </c>
      <c r="L399" cm="1">
        <f t="array" aca="1" ref="L399" ca="1">[1]!s_dq_close($B$1,$A399,3)</f>
        <v>23.5</v>
      </c>
    </row>
    <row r="400" spans="1:12">
      <c r="A400" s="23">
        <f t="shared" ca="1" si="6"/>
        <v>45775</v>
      </c>
      <c r="B400" cm="1">
        <f t="array" aca="1" ref="B400" ca="1">[1]!s_west_netprofit($B$1,YEAR($A400),$A400,180,1000000)</f>
        <v>319.621217</v>
      </c>
      <c r="C400" cm="1">
        <f t="array" aca="1" ref="C400" ca="1">[1]!s_west_eps($B$1,YEAR($A400),$A400,180)</f>
        <v>0.35670000000000002</v>
      </c>
      <c r="D400" cm="1">
        <f t="array" aca="1" ref="D400" ca="1">[1]!s_west_instnum_np($B$1,YEAR($A400),$A400,180)</f>
        <v>23</v>
      </c>
      <c r="E400" cm="1">
        <f t="array" aca="1" ref="E400" ca="1">[1]!s_west_stdnetprofit($B$1,YEAR($A400),$A400,180,1000000)</f>
        <v>160.51783599999999</v>
      </c>
      <c r="F400" cm="1">
        <f t="array" aca="1" ref="F400" ca="1">[1]!s_west_mediannetprofit($B$1,YEAR($A400),$A400,180,1000000)</f>
        <v>364</v>
      </c>
      <c r="G400" cm="1">
        <f t="array" aca="1" ref="G400" ca="1">[1]!s_west_netprofit($B$1,YEAR($A400)+1,$A400,180,1000000)</f>
        <v>132.67259100000001</v>
      </c>
      <c r="H400" cm="1">
        <f t="array" aca="1" ref="H400" ca="1">[1]!s_west_eps($B$1,YEAR($A400)+1,$A400,180)</f>
        <v>0.15060000000000001</v>
      </c>
      <c r="I400" cm="1">
        <f t="array" aca="1" ref="I400" ca="1">[1]!s_west_instnum_np($B$1,YEAR($A400)+1,$A400,180)</f>
        <v>22</v>
      </c>
      <c r="J400" cm="1">
        <f t="array" aca="1" ref="J400" ca="1">[1]!s_west_stdnetprofit($B$1,YEAR($A400)+1,$A400,180,1000000)</f>
        <v>44.659973999999998</v>
      </c>
      <c r="K400" cm="1">
        <f t="array" aca="1" ref="K400" ca="1">[1]!s_west_mediannetprofit($B$1,YEAR($A399)+1,$A399,180,1000000)</f>
        <v>132.2835</v>
      </c>
      <c r="L400" cm="1">
        <f t="array" aca="1" ref="L400" ca="1">[1]!s_dq_close($B$1,$A400,3)</f>
        <v>23.35</v>
      </c>
    </row>
    <row r="401" spans="1:12">
      <c r="A401" s="23">
        <f t="shared" ca="1" si="6"/>
        <v>45774</v>
      </c>
      <c r="B401" cm="1">
        <f t="array" aca="1" ref="B401" ca="1">[1]!s_west_netprofit($B$1,YEAR($A401),$A401,180,1000000)</f>
        <v>319.621217</v>
      </c>
      <c r="C401" cm="1">
        <f t="array" aca="1" ref="C401" ca="1">[1]!s_west_eps($B$1,YEAR($A401),$A401,180)</f>
        <v>0.35670000000000002</v>
      </c>
      <c r="D401" cm="1">
        <f t="array" aca="1" ref="D401" ca="1">[1]!s_west_instnum_np($B$1,YEAR($A401),$A401,180)</f>
        <v>23</v>
      </c>
      <c r="E401" cm="1">
        <f t="array" aca="1" ref="E401" ca="1">[1]!s_west_stdnetprofit($B$1,YEAR($A401),$A401,180,1000000)</f>
        <v>160.51783599999999</v>
      </c>
      <c r="F401" cm="1">
        <f t="array" aca="1" ref="F401" ca="1">[1]!s_west_mediannetprofit($B$1,YEAR($A401),$A401,180,1000000)</f>
        <v>364</v>
      </c>
      <c r="G401" cm="1">
        <f t="array" aca="1" ref="G401" ca="1">[1]!s_west_netprofit($B$1,YEAR($A401)+1,$A401,180,1000000)</f>
        <v>132.67259100000001</v>
      </c>
      <c r="H401" cm="1">
        <f t="array" aca="1" ref="H401" ca="1">[1]!s_west_eps($B$1,YEAR($A401)+1,$A401,180)</f>
        <v>0.15060000000000001</v>
      </c>
      <c r="I401" cm="1">
        <f t="array" aca="1" ref="I401" ca="1">[1]!s_west_instnum_np($B$1,YEAR($A401)+1,$A401,180)</f>
        <v>22</v>
      </c>
      <c r="J401" cm="1">
        <f t="array" aca="1" ref="J401" ca="1">[1]!s_west_stdnetprofit($B$1,YEAR($A401)+1,$A401,180,1000000)</f>
        <v>44.659973999999998</v>
      </c>
      <c r="K401" cm="1">
        <f t="array" aca="1" ref="K401" ca="1">[1]!s_west_mediannetprofit($B$1,YEAR($A400)+1,$A400,180,1000000)</f>
        <v>132.2835</v>
      </c>
      <c r="L401" cm="1">
        <f t="array" aca="1" ref="L401" ca="1">[1]!s_dq_close($B$1,$A401,3)</f>
        <v>23.4</v>
      </c>
    </row>
    <row r="402" spans="1:12">
      <c r="A402" s="23">
        <f t="shared" ca="1" si="6"/>
        <v>45773</v>
      </c>
      <c r="B402" cm="1">
        <f t="array" aca="1" ref="B402" ca="1">[1]!s_west_netprofit($B$1,YEAR($A402),$A402,180,1000000)</f>
        <v>319.621217</v>
      </c>
      <c r="C402" cm="1">
        <f t="array" aca="1" ref="C402" ca="1">[1]!s_west_eps($B$1,YEAR($A402),$A402,180)</f>
        <v>0.35670000000000002</v>
      </c>
      <c r="D402" cm="1">
        <f t="array" aca="1" ref="D402" ca="1">[1]!s_west_instnum_np($B$1,YEAR($A402),$A402,180)</f>
        <v>23</v>
      </c>
      <c r="E402" cm="1">
        <f t="array" aca="1" ref="E402" ca="1">[1]!s_west_stdnetprofit($B$1,YEAR($A402),$A402,180,1000000)</f>
        <v>160.51783599999999</v>
      </c>
      <c r="F402" cm="1">
        <f t="array" aca="1" ref="F402" ca="1">[1]!s_west_mediannetprofit($B$1,YEAR($A402),$A402,180,1000000)</f>
        <v>364</v>
      </c>
      <c r="G402" cm="1">
        <f t="array" aca="1" ref="G402" ca="1">[1]!s_west_netprofit($B$1,YEAR($A402)+1,$A402,180,1000000)</f>
        <v>132.67259100000001</v>
      </c>
      <c r="H402" cm="1">
        <f t="array" aca="1" ref="H402" ca="1">[1]!s_west_eps($B$1,YEAR($A402)+1,$A402,180)</f>
        <v>0.15060000000000001</v>
      </c>
      <c r="I402" cm="1">
        <f t="array" aca="1" ref="I402" ca="1">[1]!s_west_instnum_np($B$1,YEAR($A402)+1,$A402,180)</f>
        <v>22</v>
      </c>
      <c r="J402" cm="1">
        <f t="array" aca="1" ref="J402" ca="1">[1]!s_west_stdnetprofit($B$1,YEAR($A402)+1,$A402,180,1000000)</f>
        <v>44.659973999999998</v>
      </c>
      <c r="K402" cm="1">
        <f t="array" aca="1" ref="K402" ca="1">[1]!s_west_mediannetprofit($B$1,YEAR($A401)+1,$A401,180,1000000)</f>
        <v>132.2835</v>
      </c>
      <c r="L402" cm="1">
        <f t="array" aca="1" ref="L402" ca="1">[1]!s_dq_close($B$1,$A402,3)</f>
        <v>23.4</v>
      </c>
    </row>
    <row r="403" spans="1:12">
      <c r="A403" s="23">
        <f t="shared" ca="1" si="6"/>
        <v>45772</v>
      </c>
      <c r="B403" cm="1">
        <f t="array" aca="1" ref="B403" ca="1">[1]!s_west_netprofit($B$1,YEAR($A403),$A403,180,1000000)</f>
        <v>319.621217</v>
      </c>
      <c r="C403" cm="1">
        <f t="array" aca="1" ref="C403" ca="1">[1]!s_west_eps($B$1,YEAR($A403),$A403,180)</f>
        <v>0.35670000000000002</v>
      </c>
      <c r="D403" cm="1">
        <f t="array" aca="1" ref="D403" ca="1">[1]!s_west_instnum_np($B$1,YEAR($A403),$A403,180)</f>
        <v>23</v>
      </c>
      <c r="E403" cm="1">
        <f t="array" aca="1" ref="E403" ca="1">[1]!s_west_stdnetprofit($B$1,YEAR($A403),$A403,180,1000000)</f>
        <v>160.51783599999999</v>
      </c>
      <c r="F403" cm="1">
        <f t="array" aca="1" ref="F403" ca="1">[1]!s_west_mediannetprofit($B$1,YEAR($A403),$A403,180,1000000)</f>
        <v>364</v>
      </c>
      <c r="G403" cm="1">
        <f t="array" aca="1" ref="G403" ca="1">[1]!s_west_netprofit($B$1,YEAR($A403)+1,$A403,180,1000000)</f>
        <v>132.67259100000001</v>
      </c>
      <c r="H403" cm="1">
        <f t="array" aca="1" ref="H403" ca="1">[1]!s_west_eps($B$1,YEAR($A403)+1,$A403,180)</f>
        <v>0.15060000000000001</v>
      </c>
      <c r="I403" cm="1">
        <f t="array" aca="1" ref="I403" ca="1">[1]!s_west_instnum_np($B$1,YEAR($A403)+1,$A403,180)</f>
        <v>22</v>
      </c>
      <c r="J403" cm="1">
        <f t="array" aca="1" ref="J403" ca="1">[1]!s_west_stdnetprofit($B$1,YEAR($A403)+1,$A403,180,1000000)</f>
        <v>44.659973999999998</v>
      </c>
      <c r="K403" cm="1">
        <f t="array" aca="1" ref="K403" ca="1">[1]!s_west_mediannetprofit($B$1,YEAR($A402)+1,$A402,180,1000000)</f>
        <v>132.2835</v>
      </c>
      <c r="L403" cm="1">
        <f t="array" aca="1" ref="L403" ca="1">[1]!s_dq_close($B$1,$A403,3)</f>
        <v>23.4</v>
      </c>
    </row>
    <row r="404" spans="1:12">
      <c r="A404" s="23">
        <f t="shared" ca="1" si="6"/>
        <v>45771</v>
      </c>
      <c r="B404" cm="1">
        <f t="array" aca="1" ref="B404" ca="1">[1]!s_west_netprofit($B$1,YEAR($A404),$A404,180,1000000)</f>
        <v>319.621217</v>
      </c>
      <c r="C404" cm="1">
        <f t="array" aca="1" ref="C404" ca="1">[1]!s_west_eps($B$1,YEAR($A404),$A404,180)</f>
        <v>0.35670000000000002</v>
      </c>
      <c r="D404" cm="1">
        <f t="array" aca="1" ref="D404" ca="1">[1]!s_west_instnum_np($B$1,YEAR($A404),$A404,180)</f>
        <v>23</v>
      </c>
      <c r="E404" cm="1">
        <f t="array" aca="1" ref="E404" ca="1">[1]!s_west_stdnetprofit($B$1,YEAR($A404),$A404,180,1000000)</f>
        <v>160.51783599999999</v>
      </c>
      <c r="F404" cm="1">
        <f t="array" aca="1" ref="F404" ca="1">[1]!s_west_mediannetprofit($B$1,YEAR($A404),$A404,180,1000000)</f>
        <v>364</v>
      </c>
      <c r="G404" cm="1">
        <f t="array" aca="1" ref="G404" ca="1">[1]!s_west_netprofit($B$1,YEAR($A404)+1,$A404,180,1000000)</f>
        <v>132.67259100000001</v>
      </c>
      <c r="H404" cm="1">
        <f t="array" aca="1" ref="H404" ca="1">[1]!s_west_eps($B$1,YEAR($A404)+1,$A404,180)</f>
        <v>0.15060000000000001</v>
      </c>
      <c r="I404" cm="1">
        <f t="array" aca="1" ref="I404" ca="1">[1]!s_west_instnum_np($B$1,YEAR($A404)+1,$A404,180)</f>
        <v>22</v>
      </c>
      <c r="J404" cm="1">
        <f t="array" aca="1" ref="J404" ca="1">[1]!s_west_stdnetprofit($B$1,YEAR($A404)+1,$A404,180,1000000)</f>
        <v>44.659973999999998</v>
      </c>
      <c r="K404" cm="1">
        <f t="array" aca="1" ref="K404" ca="1">[1]!s_west_mediannetprofit($B$1,YEAR($A403)+1,$A403,180,1000000)</f>
        <v>132.2835</v>
      </c>
      <c r="L404" cm="1">
        <f t="array" aca="1" ref="L404" ca="1">[1]!s_dq_close($B$1,$A404,3)</f>
        <v>24.85</v>
      </c>
    </row>
    <row r="405" spans="1:12">
      <c r="A405" s="23">
        <f t="shared" ca="1" si="6"/>
        <v>45770</v>
      </c>
      <c r="B405" cm="1">
        <f t="array" aca="1" ref="B405" ca="1">[1]!s_west_netprofit($B$1,YEAR($A405),$A405,180,1000000)</f>
        <v>319.621217</v>
      </c>
      <c r="C405" cm="1">
        <f t="array" aca="1" ref="C405" ca="1">[1]!s_west_eps($B$1,YEAR($A405),$A405,180)</f>
        <v>0.35670000000000002</v>
      </c>
      <c r="D405" cm="1">
        <f t="array" aca="1" ref="D405" ca="1">[1]!s_west_instnum_np($B$1,YEAR($A405),$A405,180)</f>
        <v>23</v>
      </c>
      <c r="E405" cm="1">
        <f t="array" aca="1" ref="E405" ca="1">[1]!s_west_stdnetprofit($B$1,YEAR($A405),$A405,180,1000000)</f>
        <v>160.51783599999999</v>
      </c>
      <c r="F405" cm="1">
        <f t="array" aca="1" ref="F405" ca="1">[1]!s_west_mediannetprofit($B$1,YEAR($A405),$A405,180,1000000)</f>
        <v>364</v>
      </c>
      <c r="G405" cm="1">
        <f t="array" aca="1" ref="G405" ca="1">[1]!s_west_netprofit($B$1,YEAR($A405)+1,$A405,180,1000000)</f>
        <v>132.67259100000001</v>
      </c>
      <c r="H405" cm="1">
        <f t="array" aca="1" ref="H405" ca="1">[1]!s_west_eps($B$1,YEAR($A405)+1,$A405,180)</f>
        <v>0.15060000000000001</v>
      </c>
      <c r="I405" cm="1">
        <f t="array" aca="1" ref="I405" ca="1">[1]!s_west_instnum_np($B$1,YEAR($A405)+1,$A405,180)</f>
        <v>22</v>
      </c>
      <c r="J405" cm="1">
        <f t="array" aca="1" ref="J405" ca="1">[1]!s_west_stdnetprofit($B$1,YEAR($A405)+1,$A405,180,1000000)</f>
        <v>44.659973999999998</v>
      </c>
      <c r="K405" cm="1">
        <f t="array" aca="1" ref="K405" ca="1">[1]!s_west_mediannetprofit($B$1,YEAR($A404)+1,$A404,180,1000000)</f>
        <v>132.2835</v>
      </c>
      <c r="L405" cm="1">
        <f t="array" aca="1" ref="L405" ca="1">[1]!s_dq_close($B$1,$A405,3)</f>
        <v>24.25</v>
      </c>
    </row>
    <row r="406" spans="1:12">
      <c r="A406" s="23">
        <f t="shared" ca="1" si="6"/>
        <v>45769</v>
      </c>
      <c r="B406" cm="1">
        <f t="array" aca="1" ref="B406" ca="1">[1]!s_west_netprofit($B$1,YEAR($A406),$A406,180,1000000)</f>
        <v>319.621217</v>
      </c>
      <c r="C406" cm="1">
        <f t="array" aca="1" ref="C406" ca="1">[1]!s_west_eps($B$1,YEAR($A406),$A406,180)</f>
        <v>0.35670000000000002</v>
      </c>
      <c r="D406" cm="1">
        <f t="array" aca="1" ref="D406" ca="1">[1]!s_west_instnum_np($B$1,YEAR($A406),$A406,180)</f>
        <v>23</v>
      </c>
      <c r="E406" cm="1">
        <f t="array" aca="1" ref="E406" ca="1">[1]!s_west_stdnetprofit($B$1,YEAR($A406),$A406,180,1000000)</f>
        <v>160.51783599999999</v>
      </c>
      <c r="F406" cm="1">
        <f t="array" aca="1" ref="F406" ca="1">[1]!s_west_mediannetprofit($B$1,YEAR($A406),$A406,180,1000000)</f>
        <v>364</v>
      </c>
      <c r="G406" cm="1">
        <f t="array" aca="1" ref="G406" ca="1">[1]!s_west_netprofit($B$1,YEAR($A406)+1,$A406,180,1000000)</f>
        <v>132.67259100000001</v>
      </c>
      <c r="H406" cm="1">
        <f t="array" aca="1" ref="H406" ca="1">[1]!s_west_eps($B$1,YEAR($A406)+1,$A406,180)</f>
        <v>0.15060000000000001</v>
      </c>
      <c r="I406" cm="1">
        <f t="array" aca="1" ref="I406" ca="1">[1]!s_west_instnum_np($B$1,YEAR($A406)+1,$A406,180)</f>
        <v>22</v>
      </c>
      <c r="J406" cm="1">
        <f t="array" aca="1" ref="J406" ca="1">[1]!s_west_stdnetprofit($B$1,YEAR($A406)+1,$A406,180,1000000)</f>
        <v>44.659973999999998</v>
      </c>
      <c r="K406" cm="1">
        <f t="array" aca="1" ref="K406" ca="1">[1]!s_west_mediannetprofit($B$1,YEAR($A405)+1,$A405,180,1000000)</f>
        <v>132.2835</v>
      </c>
      <c r="L406" cm="1">
        <f t="array" aca="1" ref="L406" ca="1">[1]!s_dq_close($B$1,$A406,3)</f>
        <v>24.7</v>
      </c>
    </row>
    <row r="407" spans="1:12">
      <c r="A407" s="23">
        <f t="shared" ca="1" si="6"/>
        <v>45768</v>
      </c>
      <c r="B407" cm="1">
        <f t="array" aca="1" ref="B407" ca="1">[1]!s_west_netprofit($B$1,YEAR($A407),$A407,180,1000000)</f>
        <v>319.621217</v>
      </c>
      <c r="C407" cm="1">
        <f t="array" aca="1" ref="C407" ca="1">[1]!s_west_eps($B$1,YEAR($A407),$A407,180)</f>
        <v>0.35670000000000002</v>
      </c>
      <c r="D407" cm="1">
        <f t="array" aca="1" ref="D407" ca="1">[1]!s_west_instnum_np($B$1,YEAR($A407),$A407,180)</f>
        <v>23</v>
      </c>
      <c r="E407" cm="1">
        <f t="array" aca="1" ref="E407" ca="1">[1]!s_west_stdnetprofit($B$1,YEAR($A407),$A407,180,1000000)</f>
        <v>160.51783599999999</v>
      </c>
      <c r="F407" cm="1">
        <f t="array" aca="1" ref="F407" ca="1">[1]!s_west_mediannetprofit($B$1,YEAR($A407),$A407,180,1000000)</f>
        <v>364</v>
      </c>
      <c r="G407" cm="1">
        <f t="array" aca="1" ref="G407" ca="1">[1]!s_west_netprofit($B$1,YEAR($A407)+1,$A407,180,1000000)</f>
        <v>132.67259100000001</v>
      </c>
      <c r="H407" cm="1">
        <f t="array" aca="1" ref="H407" ca="1">[1]!s_west_eps($B$1,YEAR($A407)+1,$A407,180)</f>
        <v>0.15060000000000001</v>
      </c>
      <c r="I407" cm="1">
        <f t="array" aca="1" ref="I407" ca="1">[1]!s_west_instnum_np($B$1,YEAR($A407)+1,$A407,180)</f>
        <v>22</v>
      </c>
      <c r="J407" cm="1">
        <f t="array" aca="1" ref="J407" ca="1">[1]!s_west_stdnetprofit($B$1,YEAR($A407)+1,$A407,180,1000000)</f>
        <v>44.659973999999998</v>
      </c>
      <c r="K407" cm="1">
        <f t="array" aca="1" ref="K407" ca="1">[1]!s_west_mediannetprofit($B$1,YEAR($A406)+1,$A406,180,1000000)</f>
        <v>132.2835</v>
      </c>
      <c r="L407" cm="1">
        <f t="array" aca="1" ref="L407" ca="1">[1]!s_dq_close($B$1,$A407,3)</f>
        <v>22.1</v>
      </c>
    </row>
    <row r="408" spans="1:12">
      <c r="A408" s="23">
        <f t="shared" ca="1" si="6"/>
        <v>45767</v>
      </c>
      <c r="B408" cm="1">
        <f t="array" aca="1" ref="B408" ca="1">[1]!s_west_netprofit($B$1,YEAR($A408),$A408,180,1000000)</f>
        <v>319.621217</v>
      </c>
      <c r="C408" cm="1">
        <f t="array" aca="1" ref="C408" ca="1">[1]!s_west_eps($B$1,YEAR($A408),$A408,180)</f>
        <v>0.35670000000000002</v>
      </c>
      <c r="D408" cm="1">
        <f t="array" aca="1" ref="D408" ca="1">[1]!s_west_instnum_np($B$1,YEAR($A408),$A408,180)</f>
        <v>23</v>
      </c>
      <c r="E408" cm="1">
        <f t="array" aca="1" ref="E408" ca="1">[1]!s_west_stdnetprofit($B$1,YEAR($A408),$A408,180,1000000)</f>
        <v>160.51783599999999</v>
      </c>
      <c r="F408" cm="1">
        <f t="array" aca="1" ref="F408" ca="1">[1]!s_west_mediannetprofit($B$1,YEAR($A408),$A408,180,1000000)</f>
        <v>364</v>
      </c>
      <c r="G408" cm="1">
        <f t="array" aca="1" ref="G408" ca="1">[1]!s_west_netprofit($B$1,YEAR($A408)+1,$A408,180,1000000)</f>
        <v>132.67259100000001</v>
      </c>
      <c r="H408" cm="1">
        <f t="array" aca="1" ref="H408" ca="1">[1]!s_west_eps($B$1,YEAR($A408)+1,$A408,180)</f>
        <v>0.15060000000000001</v>
      </c>
      <c r="I408" cm="1">
        <f t="array" aca="1" ref="I408" ca="1">[1]!s_west_instnum_np($B$1,YEAR($A408)+1,$A408,180)</f>
        <v>22</v>
      </c>
      <c r="J408" cm="1">
        <f t="array" aca="1" ref="J408" ca="1">[1]!s_west_stdnetprofit($B$1,YEAR($A408)+1,$A408,180,1000000)</f>
        <v>44.659973999999998</v>
      </c>
      <c r="K408" cm="1">
        <f t="array" aca="1" ref="K408" ca="1">[1]!s_west_mediannetprofit($B$1,YEAR($A407)+1,$A407,180,1000000)</f>
        <v>132.2835</v>
      </c>
      <c r="L408" cm="1">
        <f t="array" aca="1" ref="L408" ca="1">[1]!s_dq_close($B$1,$A408,3)</f>
        <v>22.1</v>
      </c>
    </row>
    <row r="409" spans="1:12">
      <c r="A409" s="23">
        <f t="shared" ca="1" si="6"/>
        <v>45766</v>
      </c>
      <c r="B409" cm="1">
        <f t="array" aca="1" ref="B409" ca="1">[1]!s_west_netprofit($B$1,YEAR($A409),$A409,180,1000000)</f>
        <v>319.621217</v>
      </c>
      <c r="C409" cm="1">
        <f t="array" aca="1" ref="C409" ca="1">[1]!s_west_eps($B$1,YEAR($A409),$A409,180)</f>
        <v>0.35670000000000002</v>
      </c>
      <c r="D409" cm="1">
        <f t="array" aca="1" ref="D409" ca="1">[1]!s_west_instnum_np($B$1,YEAR($A409),$A409,180)</f>
        <v>23</v>
      </c>
      <c r="E409" cm="1">
        <f t="array" aca="1" ref="E409" ca="1">[1]!s_west_stdnetprofit($B$1,YEAR($A409),$A409,180,1000000)</f>
        <v>160.51783599999999</v>
      </c>
      <c r="F409" cm="1">
        <f t="array" aca="1" ref="F409" ca="1">[1]!s_west_mediannetprofit($B$1,YEAR($A409),$A409,180,1000000)</f>
        <v>364</v>
      </c>
      <c r="G409" cm="1">
        <f t="array" aca="1" ref="G409" ca="1">[1]!s_west_netprofit($B$1,YEAR($A409)+1,$A409,180,1000000)</f>
        <v>132.67259100000001</v>
      </c>
      <c r="H409" cm="1">
        <f t="array" aca="1" ref="H409" ca="1">[1]!s_west_eps($B$1,YEAR($A409)+1,$A409,180)</f>
        <v>0.15060000000000001</v>
      </c>
      <c r="I409" cm="1">
        <f t="array" aca="1" ref="I409" ca="1">[1]!s_west_instnum_np($B$1,YEAR($A409)+1,$A409,180)</f>
        <v>22</v>
      </c>
      <c r="J409" cm="1">
        <f t="array" aca="1" ref="J409" ca="1">[1]!s_west_stdnetprofit($B$1,YEAR($A409)+1,$A409,180,1000000)</f>
        <v>44.659973999999998</v>
      </c>
      <c r="K409" cm="1">
        <f t="array" aca="1" ref="K409" ca="1">[1]!s_west_mediannetprofit($B$1,YEAR($A408)+1,$A408,180,1000000)</f>
        <v>132.2835</v>
      </c>
      <c r="L409" cm="1">
        <f t="array" aca="1" ref="L409" ca="1">[1]!s_dq_close($B$1,$A409,3)</f>
        <v>22.1</v>
      </c>
    </row>
    <row r="410" spans="1:12">
      <c r="A410" s="23">
        <f t="shared" ca="1" si="6"/>
        <v>45765</v>
      </c>
      <c r="B410" cm="1">
        <f t="array" aca="1" ref="B410" ca="1">[1]!s_west_netprofit($B$1,YEAR($A410),$A410,180,1000000)</f>
        <v>319.621217</v>
      </c>
      <c r="C410" cm="1">
        <f t="array" aca="1" ref="C410" ca="1">[1]!s_west_eps($B$1,YEAR($A410),$A410,180)</f>
        <v>0.35670000000000002</v>
      </c>
      <c r="D410" cm="1">
        <f t="array" aca="1" ref="D410" ca="1">[1]!s_west_instnum_np($B$1,YEAR($A410),$A410,180)</f>
        <v>23</v>
      </c>
      <c r="E410" cm="1">
        <f t="array" aca="1" ref="E410" ca="1">[1]!s_west_stdnetprofit($B$1,YEAR($A410),$A410,180,1000000)</f>
        <v>160.51783599999999</v>
      </c>
      <c r="F410" cm="1">
        <f t="array" aca="1" ref="F410" ca="1">[1]!s_west_mediannetprofit($B$1,YEAR($A410),$A410,180,1000000)</f>
        <v>364</v>
      </c>
      <c r="G410" cm="1">
        <f t="array" aca="1" ref="G410" ca="1">[1]!s_west_netprofit($B$1,YEAR($A410)+1,$A410,180,1000000)</f>
        <v>132.67259100000001</v>
      </c>
      <c r="H410" cm="1">
        <f t="array" aca="1" ref="H410" ca="1">[1]!s_west_eps($B$1,YEAR($A410)+1,$A410,180)</f>
        <v>0.15060000000000001</v>
      </c>
      <c r="I410" cm="1">
        <f t="array" aca="1" ref="I410" ca="1">[1]!s_west_instnum_np($B$1,YEAR($A410)+1,$A410,180)</f>
        <v>22</v>
      </c>
      <c r="J410" cm="1">
        <f t="array" aca="1" ref="J410" ca="1">[1]!s_west_stdnetprofit($B$1,YEAR($A410)+1,$A410,180,1000000)</f>
        <v>44.659973999999998</v>
      </c>
      <c r="K410" cm="1">
        <f t="array" aca="1" ref="K410" ca="1">[1]!s_west_mediannetprofit($B$1,YEAR($A409)+1,$A409,180,1000000)</f>
        <v>132.2835</v>
      </c>
      <c r="L410" cm="1">
        <f t="array" aca="1" ref="L410" ca="1">[1]!s_dq_close($B$1,$A410,3)</f>
        <v>22.1</v>
      </c>
    </row>
    <row r="411" spans="1:12">
      <c r="A411" s="23">
        <f t="shared" ca="1" si="6"/>
        <v>45764</v>
      </c>
      <c r="B411" cm="1">
        <f t="array" aca="1" ref="B411" ca="1">[1]!s_west_netprofit($B$1,YEAR($A411),$A411,180,1000000)</f>
        <v>319.621217</v>
      </c>
      <c r="C411" cm="1">
        <f t="array" aca="1" ref="C411" ca="1">[1]!s_west_eps($B$1,YEAR($A411),$A411,180)</f>
        <v>0.35670000000000002</v>
      </c>
      <c r="D411" cm="1">
        <f t="array" aca="1" ref="D411" ca="1">[1]!s_west_instnum_np($B$1,YEAR($A411),$A411,180)</f>
        <v>23</v>
      </c>
      <c r="E411" cm="1">
        <f t="array" aca="1" ref="E411" ca="1">[1]!s_west_stdnetprofit($B$1,YEAR($A411),$A411,180,1000000)</f>
        <v>160.51783599999999</v>
      </c>
      <c r="F411" cm="1">
        <f t="array" aca="1" ref="F411" ca="1">[1]!s_west_mediannetprofit($B$1,YEAR($A411),$A411,180,1000000)</f>
        <v>364</v>
      </c>
      <c r="G411" cm="1">
        <f t="array" aca="1" ref="G411" ca="1">[1]!s_west_netprofit($B$1,YEAR($A411)+1,$A411,180,1000000)</f>
        <v>132.67259100000001</v>
      </c>
      <c r="H411" cm="1">
        <f t="array" aca="1" ref="H411" ca="1">[1]!s_west_eps($B$1,YEAR($A411)+1,$A411,180)</f>
        <v>0.15060000000000001</v>
      </c>
      <c r="I411" cm="1">
        <f t="array" aca="1" ref="I411" ca="1">[1]!s_west_instnum_np($B$1,YEAR($A411)+1,$A411,180)</f>
        <v>22</v>
      </c>
      <c r="J411" cm="1">
        <f t="array" aca="1" ref="J411" ca="1">[1]!s_west_stdnetprofit($B$1,YEAR($A411)+1,$A411,180,1000000)</f>
        <v>44.659973999999998</v>
      </c>
      <c r="K411" cm="1">
        <f t="array" aca="1" ref="K411" ca="1">[1]!s_west_mediannetprofit($B$1,YEAR($A410)+1,$A410,180,1000000)</f>
        <v>132.2835</v>
      </c>
      <c r="L411" cm="1">
        <f t="array" aca="1" ref="L411" ca="1">[1]!s_dq_close($B$1,$A411,3)</f>
        <v>22.1</v>
      </c>
    </row>
    <row r="412" spans="1:12">
      <c r="A412" s="23">
        <f t="shared" ca="1" si="6"/>
        <v>45763</v>
      </c>
      <c r="B412" cm="1">
        <f t="array" aca="1" ref="B412" ca="1">[1]!s_west_netprofit($B$1,YEAR($A412),$A412,180,1000000)</f>
        <v>319.621217</v>
      </c>
      <c r="C412" cm="1">
        <f t="array" aca="1" ref="C412" ca="1">[1]!s_west_eps($B$1,YEAR($A412),$A412,180)</f>
        <v>0.35670000000000002</v>
      </c>
      <c r="D412" cm="1">
        <f t="array" aca="1" ref="D412" ca="1">[1]!s_west_instnum_np($B$1,YEAR($A412),$A412,180)</f>
        <v>23</v>
      </c>
      <c r="E412" cm="1">
        <f t="array" aca="1" ref="E412" ca="1">[1]!s_west_stdnetprofit($B$1,YEAR($A412),$A412,180,1000000)</f>
        <v>160.51783599999999</v>
      </c>
      <c r="F412" cm="1">
        <f t="array" aca="1" ref="F412" ca="1">[1]!s_west_mediannetprofit($B$1,YEAR($A412),$A412,180,1000000)</f>
        <v>364</v>
      </c>
      <c r="G412" cm="1">
        <f t="array" aca="1" ref="G412" ca="1">[1]!s_west_netprofit($B$1,YEAR($A412)+1,$A412,180,1000000)</f>
        <v>132.67259100000001</v>
      </c>
      <c r="H412" cm="1">
        <f t="array" aca="1" ref="H412" ca="1">[1]!s_west_eps($B$1,YEAR($A412)+1,$A412,180)</f>
        <v>0.15060000000000001</v>
      </c>
      <c r="I412" cm="1">
        <f t="array" aca="1" ref="I412" ca="1">[1]!s_west_instnum_np($B$1,YEAR($A412)+1,$A412,180)</f>
        <v>22</v>
      </c>
      <c r="J412" cm="1">
        <f t="array" aca="1" ref="J412" ca="1">[1]!s_west_stdnetprofit($B$1,YEAR($A412)+1,$A412,180,1000000)</f>
        <v>44.659973999999998</v>
      </c>
      <c r="K412" cm="1">
        <f t="array" aca="1" ref="K412" ca="1">[1]!s_west_mediannetprofit($B$1,YEAR($A411)+1,$A411,180,1000000)</f>
        <v>132.2835</v>
      </c>
      <c r="L412" cm="1">
        <f t="array" aca="1" ref="L412" ca="1">[1]!s_dq_close($B$1,$A412,3)</f>
        <v>21.8</v>
      </c>
    </row>
    <row r="413" spans="1:12">
      <c r="A413" s="23">
        <f t="shared" ca="1" si="6"/>
        <v>45762</v>
      </c>
      <c r="B413" cm="1">
        <f t="array" aca="1" ref="B413" ca="1">[1]!s_west_netprofit($B$1,YEAR($A413),$A413,180,1000000)</f>
        <v>319.621217</v>
      </c>
      <c r="C413" cm="1">
        <f t="array" aca="1" ref="C413" ca="1">[1]!s_west_eps($B$1,YEAR($A413),$A413,180)</f>
        <v>0.35670000000000002</v>
      </c>
      <c r="D413" cm="1">
        <f t="array" aca="1" ref="D413" ca="1">[1]!s_west_instnum_np($B$1,YEAR($A413),$A413,180)</f>
        <v>23</v>
      </c>
      <c r="E413" cm="1">
        <f t="array" aca="1" ref="E413" ca="1">[1]!s_west_stdnetprofit($B$1,YEAR($A413),$A413,180,1000000)</f>
        <v>160.51783599999999</v>
      </c>
      <c r="F413" cm="1">
        <f t="array" aca="1" ref="F413" ca="1">[1]!s_west_mediannetprofit($B$1,YEAR($A413),$A413,180,1000000)</f>
        <v>364</v>
      </c>
      <c r="G413" cm="1">
        <f t="array" aca="1" ref="G413" ca="1">[1]!s_west_netprofit($B$1,YEAR($A413)+1,$A413,180,1000000)</f>
        <v>132.67259100000001</v>
      </c>
      <c r="H413" cm="1">
        <f t="array" aca="1" ref="H413" ca="1">[1]!s_west_eps($B$1,YEAR($A413)+1,$A413,180)</f>
        <v>0.15060000000000001</v>
      </c>
      <c r="I413" cm="1">
        <f t="array" aca="1" ref="I413" ca="1">[1]!s_west_instnum_np($B$1,YEAR($A413)+1,$A413,180)</f>
        <v>22</v>
      </c>
      <c r="J413" cm="1">
        <f t="array" aca="1" ref="J413" ca="1">[1]!s_west_stdnetprofit($B$1,YEAR($A413)+1,$A413,180,1000000)</f>
        <v>44.659973999999998</v>
      </c>
      <c r="K413" cm="1">
        <f t="array" aca="1" ref="K413" ca="1">[1]!s_west_mediannetprofit($B$1,YEAR($A412)+1,$A412,180,1000000)</f>
        <v>132.2835</v>
      </c>
      <c r="L413" cm="1">
        <f t="array" aca="1" ref="L413" ca="1">[1]!s_dq_close($B$1,$A413,3)</f>
        <v>22.55</v>
      </c>
    </row>
    <row r="414" spans="1:12">
      <c r="A414" s="23">
        <f t="shared" ca="1" si="6"/>
        <v>45761</v>
      </c>
      <c r="B414" cm="1">
        <f t="array" aca="1" ref="B414" ca="1">[1]!s_west_netprofit($B$1,YEAR($A414),$A414,180,1000000)</f>
        <v>319.621217</v>
      </c>
      <c r="C414" cm="1">
        <f t="array" aca="1" ref="C414" ca="1">[1]!s_west_eps($B$1,YEAR($A414),$A414,180)</f>
        <v>0.35670000000000002</v>
      </c>
      <c r="D414" cm="1">
        <f t="array" aca="1" ref="D414" ca="1">[1]!s_west_instnum_np($B$1,YEAR($A414),$A414,180)</f>
        <v>23</v>
      </c>
      <c r="E414" cm="1">
        <f t="array" aca="1" ref="E414" ca="1">[1]!s_west_stdnetprofit($B$1,YEAR($A414),$A414,180,1000000)</f>
        <v>160.51783599999999</v>
      </c>
      <c r="F414" cm="1">
        <f t="array" aca="1" ref="F414" ca="1">[1]!s_west_mediannetprofit($B$1,YEAR($A414),$A414,180,1000000)</f>
        <v>364</v>
      </c>
      <c r="G414" cm="1">
        <f t="array" aca="1" ref="G414" ca="1">[1]!s_west_netprofit($B$1,YEAR($A414)+1,$A414,180,1000000)</f>
        <v>132.67259100000001</v>
      </c>
      <c r="H414" cm="1">
        <f t="array" aca="1" ref="H414" ca="1">[1]!s_west_eps($B$1,YEAR($A414)+1,$A414,180)</f>
        <v>0.15060000000000001</v>
      </c>
      <c r="I414" cm="1">
        <f t="array" aca="1" ref="I414" ca="1">[1]!s_west_instnum_np($B$1,YEAR($A414)+1,$A414,180)</f>
        <v>22</v>
      </c>
      <c r="J414" cm="1">
        <f t="array" aca="1" ref="J414" ca="1">[1]!s_west_stdnetprofit($B$1,YEAR($A414)+1,$A414,180,1000000)</f>
        <v>44.659973999999998</v>
      </c>
      <c r="K414" cm="1">
        <f t="array" aca="1" ref="K414" ca="1">[1]!s_west_mediannetprofit($B$1,YEAR($A413)+1,$A413,180,1000000)</f>
        <v>132.2835</v>
      </c>
      <c r="L414" cm="1">
        <f t="array" aca="1" ref="L414" ca="1">[1]!s_dq_close($B$1,$A414,3)</f>
        <v>23</v>
      </c>
    </row>
    <row r="415" spans="1:12">
      <c r="A415" s="23">
        <f t="shared" ca="1" si="6"/>
        <v>45760</v>
      </c>
      <c r="B415" cm="1">
        <f t="array" aca="1" ref="B415" ca="1">[1]!s_west_netprofit($B$1,YEAR($A415),$A415,180,1000000)</f>
        <v>308.17866700000002</v>
      </c>
      <c r="C415" cm="1">
        <f t="array" aca="1" ref="C415" ca="1">[1]!s_west_eps($B$1,YEAR($A415),$A415,180)</f>
        <v>0.34439999999999998</v>
      </c>
      <c r="D415" cm="1">
        <f t="array" aca="1" ref="D415" ca="1">[1]!s_west_instnum_np($B$1,YEAR($A415),$A415,180)</f>
        <v>24</v>
      </c>
      <c r="E415" cm="1">
        <f t="array" aca="1" ref="E415" ca="1">[1]!s_west_stdnetprofit($B$1,YEAR($A415),$A415,180,1000000)</f>
        <v>166.69757999999999</v>
      </c>
      <c r="F415" cm="1">
        <f t="array" aca="1" ref="F415" ca="1">[1]!s_west_mediannetprofit($B$1,YEAR($A415),$A415,180,1000000)</f>
        <v>355.5</v>
      </c>
      <c r="G415" cm="1">
        <f t="array" aca="1" ref="G415" ca="1">[1]!s_west_netprofit($B$1,YEAR($A415)+1,$A415,180,1000000)</f>
        <v>133.73030399999999</v>
      </c>
      <c r="H415" cm="1">
        <f t="array" aca="1" ref="H415" ca="1">[1]!s_west_eps($B$1,YEAR($A415)+1,$A415,180)</f>
        <v>0.15190000000000001</v>
      </c>
      <c r="I415" cm="1">
        <f t="array" aca="1" ref="I415" ca="1">[1]!s_west_instnum_np($B$1,YEAR($A415)+1,$A415,180)</f>
        <v>23</v>
      </c>
      <c r="J415" cm="1">
        <f t="array" aca="1" ref="J415" ca="1">[1]!s_west_stdnetprofit($B$1,YEAR($A415)+1,$A415,180,1000000)</f>
        <v>43.927042</v>
      </c>
      <c r="K415" cm="1">
        <f t="array" aca="1" ref="K415" ca="1">[1]!s_west_mediannetprofit($B$1,YEAR($A414)+1,$A414,180,1000000)</f>
        <v>132.2835</v>
      </c>
      <c r="L415" cm="1">
        <f t="array" aca="1" ref="L415" ca="1">[1]!s_dq_close($B$1,$A415,3)</f>
        <v>21.5</v>
      </c>
    </row>
    <row r="416" spans="1:12">
      <c r="A416" s="23">
        <f t="shared" ca="1" si="6"/>
        <v>45759</v>
      </c>
      <c r="B416" cm="1">
        <f t="array" aca="1" ref="B416" ca="1">[1]!s_west_netprofit($B$1,YEAR($A416),$A416,180,1000000)</f>
        <v>308.17866700000002</v>
      </c>
      <c r="C416" cm="1">
        <f t="array" aca="1" ref="C416" ca="1">[1]!s_west_eps($B$1,YEAR($A416),$A416,180)</f>
        <v>0.34439999999999998</v>
      </c>
      <c r="D416" cm="1">
        <f t="array" aca="1" ref="D416" ca="1">[1]!s_west_instnum_np($B$1,YEAR($A416),$A416,180)</f>
        <v>24</v>
      </c>
      <c r="E416" cm="1">
        <f t="array" aca="1" ref="E416" ca="1">[1]!s_west_stdnetprofit($B$1,YEAR($A416),$A416,180,1000000)</f>
        <v>166.69757999999999</v>
      </c>
      <c r="F416" cm="1">
        <f t="array" aca="1" ref="F416" ca="1">[1]!s_west_mediannetprofit($B$1,YEAR($A416),$A416,180,1000000)</f>
        <v>355.5</v>
      </c>
      <c r="G416" cm="1">
        <f t="array" aca="1" ref="G416" ca="1">[1]!s_west_netprofit($B$1,YEAR($A416)+1,$A416,180,1000000)</f>
        <v>133.73030399999999</v>
      </c>
      <c r="H416" cm="1">
        <f t="array" aca="1" ref="H416" ca="1">[1]!s_west_eps($B$1,YEAR($A416)+1,$A416,180)</f>
        <v>0.15190000000000001</v>
      </c>
      <c r="I416" cm="1">
        <f t="array" aca="1" ref="I416" ca="1">[1]!s_west_instnum_np($B$1,YEAR($A416)+1,$A416,180)</f>
        <v>23</v>
      </c>
      <c r="J416" cm="1">
        <f t="array" aca="1" ref="J416" ca="1">[1]!s_west_stdnetprofit($B$1,YEAR($A416)+1,$A416,180,1000000)</f>
        <v>43.927042</v>
      </c>
      <c r="K416" cm="1">
        <f t="array" aca="1" ref="K416" ca="1">[1]!s_west_mediannetprofit($B$1,YEAR($A415)+1,$A415,180,1000000)</f>
        <v>136</v>
      </c>
      <c r="L416" cm="1">
        <f t="array" aca="1" ref="L416" ca="1">[1]!s_dq_close($B$1,$A416,3)</f>
        <v>21.5</v>
      </c>
    </row>
    <row r="417" spans="1:12">
      <c r="A417" s="23">
        <f t="shared" ca="1" si="6"/>
        <v>45758</v>
      </c>
      <c r="B417" cm="1">
        <f t="array" aca="1" ref="B417" ca="1">[1]!s_west_netprofit($B$1,YEAR($A417),$A417,180,1000000)</f>
        <v>308.17866700000002</v>
      </c>
      <c r="C417" cm="1">
        <f t="array" aca="1" ref="C417" ca="1">[1]!s_west_eps($B$1,YEAR($A417),$A417,180)</f>
        <v>0.34439999999999998</v>
      </c>
      <c r="D417" cm="1">
        <f t="array" aca="1" ref="D417" ca="1">[1]!s_west_instnum_np($B$1,YEAR($A417),$A417,180)</f>
        <v>24</v>
      </c>
      <c r="E417" cm="1">
        <f t="array" aca="1" ref="E417" ca="1">[1]!s_west_stdnetprofit($B$1,YEAR($A417),$A417,180,1000000)</f>
        <v>166.69757999999999</v>
      </c>
      <c r="F417" cm="1">
        <f t="array" aca="1" ref="F417" ca="1">[1]!s_west_mediannetprofit($B$1,YEAR($A417),$A417,180,1000000)</f>
        <v>355.5</v>
      </c>
      <c r="G417" cm="1">
        <f t="array" aca="1" ref="G417" ca="1">[1]!s_west_netprofit($B$1,YEAR($A417)+1,$A417,180,1000000)</f>
        <v>133.73030399999999</v>
      </c>
      <c r="H417" cm="1">
        <f t="array" aca="1" ref="H417" ca="1">[1]!s_west_eps($B$1,YEAR($A417)+1,$A417,180)</f>
        <v>0.15190000000000001</v>
      </c>
      <c r="I417" cm="1">
        <f t="array" aca="1" ref="I417" ca="1">[1]!s_west_instnum_np($B$1,YEAR($A417)+1,$A417,180)</f>
        <v>23</v>
      </c>
      <c r="J417" cm="1">
        <f t="array" aca="1" ref="J417" ca="1">[1]!s_west_stdnetprofit($B$1,YEAR($A417)+1,$A417,180,1000000)</f>
        <v>43.927042</v>
      </c>
      <c r="K417" cm="1">
        <f t="array" aca="1" ref="K417" ca="1">[1]!s_west_mediannetprofit($B$1,YEAR($A416)+1,$A416,180,1000000)</f>
        <v>136</v>
      </c>
      <c r="L417" cm="1">
        <f t="array" aca="1" ref="L417" ca="1">[1]!s_dq_close($B$1,$A417,3)</f>
        <v>21.5</v>
      </c>
    </row>
    <row r="418" spans="1:12">
      <c r="A418" s="23">
        <f t="shared" ca="1" si="6"/>
        <v>45757</v>
      </c>
      <c r="B418" cm="1">
        <f t="array" aca="1" ref="B418" ca="1">[1]!s_west_netprofit($B$1,YEAR($A418),$A418,180,1000000)</f>
        <v>308.17866700000002</v>
      </c>
      <c r="C418" cm="1">
        <f t="array" aca="1" ref="C418" ca="1">[1]!s_west_eps($B$1,YEAR($A418),$A418,180)</f>
        <v>0.34439999999999998</v>
      </c>
      <c r="D418" cm="1">
        <f t="array" aca="1" ref="D418" ca="1">[1]!s_west_instnum_np($B$1,YEAR($A418),$A418,180)</f>
        <v>24</v>
      </c>
      <c r="E418" cm="1">
        <f t="array" aca="1" ref="E418" ca="1">[1]!s_west_stdnetprofit($B$1,YEAR($A418),$A418,180,1000000)</f>
        <v>166.69757999999999</v>
      </c>
      <c r="F418" cm="1">
        <f t="array" aca="1" ref="F418" ca="1">[1]!s_west_mediannetprofit($B$1,YEAR($A418),$A418,180,1000000)</f>
        <v>355.5</v>
      </c>
      <c r="G418" cm="1">
        <f t="array" aca="1" ref="G418" ca="1">[1]!s_west_netprofit($B$1,YEAR($A418)+1,$A418,180,1000000)</f>
        <v>133.73030399999999</v>
      </c>
      <c r="H418" cm="1">
        <f t="array" aca="1" ref="H418" ca="1">[1]!s_west_eps($B$1,YEAR($A418)+1,$A418,180)</f>
        <v>0.15190000000000001</v>
      </c>
      <c r="I418" cm="1">
        <f t="array" aca="1" ref="I418" ca="1">[1]!s_west_instnum_np($B$1,YEAR($A418)+1,$A418,180)</f>
        <v>23</v>
      </c>
      <c r="J418" cm="1">
        <f t="array" aca="1" ref="J418" ca="1">[1]!s_west_stdnetprofit($B$1,YEAR($A418)+1,$A418,180,1000000)</f>
        <v>43.927042</v>
      </c>
      <c r="K418" cm="1">
        <f t="array" aca="1" ref="K418" ca="1">[1]!s_west_mediannetprofit($B$1,YEAR($A417)+1,$A417,180,1000000)</f>
        <v>136</v>
      </c>
      <c r="L418" cm="1">
        <f t="array" aca="1" ref="L418" ca="1">[1]!s_dq_close($B$1,$A418,3)</f>
        <v>20.95</v>
      </c>
    </row>
    <row r="419" spans="1:12">
      <c r="A419" s="23">
        <f t="shared" ca="1" si="6"/>
        <v>45756</v>
      </c>
      <c r="B419" cm="1">
        <f t="array" aca="1" ref="B419" ca="1">[1]!s_west_netprofit($B$1,YEAR($A419),$A419,180,1000000)</f>
        <v>308.17866700000002</v>
      </c>
      <c r="C419" cm="1">
        <f t="array" aca="1" ref="C419" ca="1">[1]!s_west_eps($B$1,YEAR($A419),$A419,180)</f>
        <v>0.34439999999999998</v>
      </c>
      <c r="D419" cm="1">
        <f t="array" aca="1" ref="D419" ca="1">[1]!s_west_instnum_np($B$1,YEAR($A419),$A419,180)</f>
        <v>24</v>
      </c>
      <c r="E419" cm="1">
        <f t="array" aca="1" ref="E419" ca="1">[1]!s_west_stdnetprofit($B$1,YEAR($A419),$A419,180,1000000)</f>
        <v>166.69757999999999</v>
      </c>
      <c r="F419" cm="1">
        <f t="array" aca="1" ref="F419" ca="1">[1]!s_west_mediannetprofit($B$1,YEAR($A419),$A419,180,1000000)</f>
        <v>355.5</v>
      </c>
      <c r="G419" cm="1">
        <f t="array" aca="1" ref="G419" ca="1">[1]!s_west_netprofit($B$1,YEAR($A419)+1,$A419,180,1000000)</f>
        <v>133.73030399999999</v>
      </c>
      <c r="H419" cm="1">
        <f t="array" aca="1" ref="H419" ca="1">[1]!s_west_eps($B$1,YEAR($A419)+1,$A419,180)</f>
        <v>0.15190000000000001</v>
      </c>
      <c r="I419" cm="1">
        <f t="array" aca="1" ref="I419" ca="1">[1]!s_west_instnum_np($B$1,YEAR($A419)+1,$A419,180)</f>
        <v>23</v>
      </c>
      <c r="J419" cm="1">
        <f t="array" aca="1" ref="J419" ca="1">[1]!s_west_stdnetprofit($B$1,YEAR($A419)+1,$A419,180,1000000)</f>
        <v>43.927042</v>
      </c>
      <c r="K419" cm="1">
        <f t="array" aca="1" ref="K419" ca="1">[1]!s_west_mediannetprofit($B$1,YEAR($A418)+1,$A418,180,1000000)</f>
        <v>136</v>
      </c>
      <c r="L419" cm="1">
        <f t="array" aca="1" ref="L419" ca="1">[1]!s_dq_close($B$1,$A419,3)</f>
        <v>20.5</v>
      </c>
    </row>
    <row r="420" spans="1:12">
      <c r="A420" s="23">
        <f t="shared" ca="1" si="6"/>
        <v>45755</v>
      </c>
      <c r="B420" cm="1">
        <f t="array" aca="1" ref="B420" ca="1">[1]!s_west_netprofit($B$1,YEAR($A420),$A420,180,1000000)</f>
        <v>308.17866700000002</v>
      </c>
      <c r="C420" cm="1">
        <f t="array" aca="1" ref="C420" ca="1">[1]!s_west_eps($B$1,YEAR($A420),$A420,180)</f>
        <v>0.34439999999999998</v>
      </c>
      <c r="D420" cm="1">
        <f t="array" aca="1" ref="D420" ca="1">[1]!s_west_instnum_np($B$1,YEAR($A420),$A420,180)</f>
        <v>24</v>
      </c>
      <c r="E420" cm="1">
        <f t="array" aca="1" ref="E420" ca="1">[1]!s_west_stdnetprofit($B$1,YEAR($A420),$A420,180,1000000)</f>
        <v>166.69757999999999</v>
      </c>
      <c r="F420" cm="1">
        <f t="array" aca="1" ref="F420" ca="1">[1]!s_west_mediannetprofit($B$1,YEAR($A420),$A420,180,1000000)</f>
        <v>355.5</v>
      </c>
      <c r="G420" cm="1">
        <f t="array" aca="1" ref="G420" ca="1">[1]!s_west_netprofit($B$1,YEAR($A420)+1,$A420,180,1000000)</f>
        <v>133.73030399999999</v>
      </c>
      <c r="H420" cm="1">
        <f t="array" aca="1" ref="H420" ca="1">[1]!s_west_eps($B$1,YEAR($A420)+1,$A420,180)</f>
        <v>0.15190000000000001</v>
      </c>
      <c r="I420" cm="1">
        <f t="array" aca="1" ref="I420" ca="1">[1]!s_west_instnum_np($B$1,YEAR($A420)+1,$A420,180)</f>
        <v>23</v>
      </c>
      <c r="J420" cm="1">
        <f t="array" aca="1" ref="J420" ca="1">[1]!s_west_stdnetprofit($B$1,YEAR($A420)+1,$A420,180,1000000)</f>
        <v>43.927042</v>
      </c>
      <c r="K420" cm="1">
        <f t="array" aca="1" ref="K420" ca="1">[1]!s_west_mediannetprofit($B$1,YEAR($A419)+1,$A419,180,1000000)</f>
        <v>136</v>
      </c>
      <c r="L420" cm="1">
        <f t="array" aca="1" ref="L420" ca="1">[1]!s_dq_close($B$1,$A420,3)</f>
        <v>20</v>
      </c>
    </row>
    <row r="421" spans="1:12">
      <c r="A421" s="23">
        <f t="shared" ca="1" si="6"/>
        <v>45754</v>
      </c>
      <c r="B421" cm="1">
        <f t="array" aca="1" ref="B421" ca="1">[1]!s_west_netprofit($B$1,YEAR($A421),$A421,180,1000000)</f>
        <v>308.17866700000002</v>
      </c>
      <c r="C421" cm="1">
        <f t="array" aca="1" ref="C421" ca="1">[1]!s_west_eps($B$1,YEAR($A421),$A421,180)</f>
        <v>0.34439999999999998</v>
      </c>
      <c r="D421" cm="1">
        <f t="array" aca="1" ref="D421" ca="1">[1]!s_west_instnum_np($B$1,YEAR($A421),$A421,180)</f>
        <v>24</v>
      </c>
      <c r="E421" cm="1">
        <f t="array" aca="1" ref="E421" ca="1">[1]!s_west_stdnetprofit($B$1,YEAR($A421),$A421,180,1000000)</f>
        <v>166.69757999999999</v>
      </c>
      <c r="F421" cm="1">
        <f t="array" aca="1" ref="F421" ca="1">[1]!s_west_mediannetprofit($B$1,YEAR($A421),$A421,180,1000000)</f>
        <v>355.5</v>
      </c>
      <c r="G421" cm="1">
        <f t="array" aca="1" ref="G421" ca="1">[1]!s_west_netprofit($B$1,YEAR($A421)+1,$A421,180,1000000)</f>
        <v>133.73030399999999</v>
      </c>
      <c r="H421" cm="1">
        <f t="array" aca="1" ref="H421" ca="1">[1]!s_west_eps($B$1,YEAR($A421)+1,$A421,180)</f>
        <v>0.15190000000000001</v>
      </c>
      <c r="I421" cm="1">
        <f t="array" aca="1" ref="I421" ca="1">[1]!s_west_instnum_np($B$1,YEAR($A421)+1,$A421,180)</f>
        <v>23</v>
      </c>
      <c r="J421" cm="1">
        <f t="array" aca="1" ref="J421" ca="1">[1]!s_west_stdnetprofit($B$1,YEAR($A421)+1,$A421,180,1000000)</f>
        <v>43.927042</v>
      </c>
      <c r="K421" cm="1">
        <f t="array" aca="1" ref="K421" ca="1">[1]!s_west_mediannetprofit($B$1,YEAR($A420)+1,$A420,180,1000000)</f>
        <v>136</v>
      </c>
      <c r="L421" cm="1">
        <f t="array" aca="1" ref="L421" ca="1">[1]!s_dq_close($B$1,$A421,3)</f>
        <v>19.079999999999998</v>
      </c>
    </row>
    <row r="422" spans="1:12">
      <c r="A422" s="23">
        <f t="shared" ca="1" si="6"/>
        <v>45753</v>
      </c>
      <c r="B422" cm="1">
        <f t="array" aca="1" ref="B422" ca="1">[1]!s_west_netprofit($B$1,YEAR($A422),$A422,180,1000000)</f>
        <v>308.17866700000002</v>
      </c>
      <c r="C422" cm="1">
        <f t="array" aca="1" ref="C422" ca="1">[1]!s_west_eps($B$1,YEAR($A422),$A422,180)</f>
        <v>0.34439999999999998</v>
      </c>
      <c r="D422" cm="1">
        <f t="array" aca="1" ref="D422" ca="1">[1]!s_west_instnum_np($B$1,YEAR($A422),$A422,180)</f>
        <v>24</v>
      </c>
      <c r="E422" cm="1">
        <f t="array" aca="1" ref="E422" ca="1">[1]!s_west_stdnetprofit($B$1,YEAR($A422),$A422,180,1000000)</f>
        <v>166.69757999999999</v>
      </c>
      <c r="F422" cm="1">
        <f t="array" aca="1" ref="F422" ca="1">[1]!s_west_mediannetprofit($B$1,YEAR($A422),$A422,180,1000000)</f>
        <v>355.5</v>
      </c>
      <c r="G422" cm="1">
        <f t="array" aca="1" ref="G422" ca="1">[1]!s_west_netprofit($B$1,YEAR($A422)+1,$A422,180,1000000)</f>
        <v>133.73030399999999</v>
      </c>
      <c r="H422" cm="1">
        <f t="array" aca="1" ref="H422" ca="1">[1]!s_west_eps($B$1,YEAR($A422)+1,$A422,180)</f>
        <v>0.15190000000000001</v>
      </c>
      <c r="I422" cm="1">
        <f t="array" aca="1" ref="I422" ca="1">[1]!s_west_instnum_np($B$1,YEAR($A422)+1,$A422,180)</f>
        <v>23</v>
      </c>
      <c r="J422" cm="1">
        <f t="array" aca="1" ref="J422" ca="1">[1]!s_west_stdnetprofit($B$1,YEAR($A422)+1,$A422,180,1000000)</f>
        <v>43.927042</v>
      </c>
      <c r="K422" cm="1">
        <f t="array" aca="1" ref="K422" ca="1">[1]!s_west_mediannetprofit($B$1,YEAR($A421)+1,$A421,180,1000000)</f>
        <v>136</v>
      </c>
      <c r="L422" cm="1">
        <f t="array" aca="1" ref="L422" ca="1">[1]!s_dq_close($B$1,$A422,3)</f>
        <v>24.5</v>
      </c>
    </row>
    <row r="423" spans="1:12">
      <c r="A423" s="23">
        <f t="shared" ca="1" si="6"/>
        <v>45752</v>
      </c>
      <c r="B423" cm="1">
        <f t="array" aca="1" ref="B423" ca="1">[1]!s_west_netprofit($B$1,YEAR($A423),$A423,180,1000000)</f>
        <v>304.44730399999997</v>
      </c>
      <c r="C423" cm="1">
        <f t="array" aca="1" ref="C423" ca="1">[1]!s_west_eps($B$1,YEAR($A423),$A423,180)</f>
        <v>0.33989999999999998</v>
      </c>
      <c r="D423" cm="1">
        <f t="array" aca="1" ref="D423" ca="1">[1]!s_west_instnum_np($B$1,YEAR($A423),$A423,180)</f>
        <v>23</v>
      </c>
      <c r="E423" cm="1">
        <f t="array" aca="1" ref="E423" ca="1">[1]!s_west_stdnetprofit($B$1,YEAR($A423),$A423,180,1000000)</f>
        <v>169.41615999999999</v>
      </c>
      <c r="F423" cm="1">
        <f t="array" aca="1" ref="F423" ca="1">[1]!s_west_mediannetprofit($B$1,YEAR($A423),$A423,180,1000000)</f>
        <v>347</v>
      </c>
      <c r="G423" cm="1">
        <f t="array" aca="1" ref="G423" ca="1">[1]!s_west_netprofit($B$1,YEAR($A423)+1,$A423,180,1000000)</f>
        <v>133.62713600000001</v>
      </c>
      <c r="H423" cm="1">
        <f t="array" aca="1" ref="H423" ca="1">[1]!s_west_eps($B$1,YEAR($A423)+1,$A423,180)</f>
        <v>0.1515</v>
      </c>
      <c r="I423" cm="1">
        <f t="array" aca="1" ref="I423" ca="1">[1]!s_west_instnum_np($B$1,YEAR($A423)+1,$A423,180)</f>
        <v>22</v>
      </c>
      <c r="J423" cm="1">
        <f t="array" aca="1" ref="J423" ca="1">[1]!s_west_stdnetprofit($B$1,YEAR($A423)+1,$A423,180,1000000)</f>
        <v>44.957909000000001</v>
      </c>
      <c r="K423" cm="1">
        <f t="array" aca="1" ref="K423" ca="1">[1]!s_west_mediannetprofit($B$1,YEAR($A422)+1,$A422,180,1000000)</f>
        <v>136</v>
      </c>
      <c r="L423" cm="1">
        <f t="array" aca="1" ref="L423" ca="1">[1]!s_dq_close($B$1,$A423,3)</f>
        <v>24.5</v>
      </c>
    </row>
    <row r="424" spans="1:12">
      <c r="A424" s="23">
        <f t="shared" ca="1" si="6"/>
        <v>45751</v>
      </c>
      <c r="B424" cm="1">
        <f t="array" aca="1" ref="B424" ca="1">[1]!s_west_netprofit($B$1,YEAR($A424),$A424,180,1000000)</f>
        <v>304.44730399999997</v>
      </c>
      <c r="C424" cm="1">
        <f t="array" aca="1" ref="C424" ca="1">[1]!s_west_eps($B$1,YEAR($A424),$A424,180)</f>
        <v>0.33989999999999998</v>
      </c>
      <c r="D424" cm="1">
        <f t="array" aca="1" ref="D424" ca="1">[1]!s_west_instnum_np($B$1,YEAR($A424),$A424,180)</f>
        <v>23</v>
      </c>
      <c r="E424" cm="1">
        <f t="array" aca="1" ref="E424" ca="1">[1]!s_west_stdnetprofit($B$1,YEAR($A424),$A424,180,1000000)</f>
        <v>169.41615999999999</v>
      </c>
      <c r="F424" cm="1">
        <f t="array" aca="1" ref="F424" ca="1">[1]!s_west_mediannetprofit($B$1,YEAR($A424),$A424,180,1000000)</f>
        <v>347</v>
      </c>
      <c r="G424" cm="1">
        <f t="array" aca="1" ref="G424" ca="1">[1]!s_west_netprofit($B$1,YEAR($A424)+1,$A424,180,1000000)</f>
        <v>133.62713600000001</v>
      </c>
      <c r="H424" cm="1">
        <f t="array" aca="1" ref="H424" ca="1">[1]!s_west_eps($B$1,YEAR($A424)+1,$A424,180)</f>
        <v>0.1515</v>
      </c>
      <c r="I424" cm="1">
        <f t="array" aca="1" ref="I424" ca="1">[1]!s_west_instnum_np($B$1,YEAR($A424)+1,$A424,180)</f>
        <v>22</v>
      </c>
      <c r="J424" cm="1">
        <f t="array" aca="1" ref="J424" ca="1">[1]!s_west_stdnetprofit($B$1,YEAR($A424)+1,$A424,180,1000000)</f>
        <v>44.957909000000001</v>
      </c>
      <c r="K424" cm="1">
        <f t="array" aca="1" ref="K424" ca="1">[1]!s_west_mediannetprofit($B$1,YEAR($A423)+1,$A423,180,1000000)</f>
        <v>133.11850000000001</v>
      </c>
      <c r="L424" cm="1">
        <f t="array" aca="1" ref="L424" ca="1">[1]!s_dq_close($B$1,$A424,3)</f>
        <v>24.5</v>
      </c>
    </row>
    <row r="425" spans="1:12">
      <c r="A425" s="23">
        <f t="shared" ca="1" si="6"/>
        <v>45750</v>
      </c>
      <c r="B425" cm="1">
        <f t="array" aca="1" ref="B425" ca="1">[1]!s_west_netprofit($B$1,YEAR($A425),$A425,180,1000000)</f>
        <v>304.44730399999997</v>
      </c>
      <c r="C425" cm="1">
        <f t="array" aca="1" ref="C425" ca="1">[1]!s_west_eps($B$1,YEAR($A425),$A425,180)</f>
        <v>0.33989999999999998</v>
      </c>
      <c r="D425" cm="1">
        <f t="array" aca="1" ref="D425" ca="1">[1]!s_west_instnum_np($B$1,YEAR($A425),$A425,180)</f>
        <v>23</v>
      </c>
      <c r="E425" cm="1">
        <f t="array" aca="1" ref="E425" ca="1">[1]!s_west_stdnetprofit($B$1,YEAR($A425),$A425,180,1000000)</f>
        <v>169.41615999999999</v>
      </c>
      <c r="F425" cm="1">
        <f t="array" aca="1" ref="F425" ca="1">[1]!s_west_mediannetprofit($B$1,YEAR($A425),$A425,180,1000000)</f>
        <v>347</v>
      </c>
      <c r="G425" cm="1">
        <f t="array" aca="1" ref="G425" ca="1">[1]!s_west_netprofit($B$1,YEAR($A425)+1,$A425,180,1000000)</f>
        <v>133.62713600000001</v>
      </c>
      <c r="H425" cm="1">
        <f t="array" aca="1" ref="H425" ca="1">[1]!s_west_eps($B$1,YEAR($A425)+1,$A425,180)</f>
        <v>0.1515</v>
      </c>
      <c r="I425" cm="1">
        <f t="array" aca="1" ref="I425" ca="1">[1]!s_west_instnum_np($B$1,YEAR($A425)+1,$A425,180)</f>
        <v>22</v>
      </c>
      <c r="J425" cm="1">
        <f t="array" aca="1" ref="J425" ca="1">[1]!s_west_stdnetprofit($B$1,YEAR($A425)+1,$A425,180,1000000)</f>
        <v>44.957909000000001</v>
      </c>
      <c r="K425" cm="1">
        <f t="array" aca="1" ref="K425" ca="1">[1]!s_west_mediannetprofit($B$1,YEAR($A424)+1,$A424,180,1000000)</f>
        <v>133.11850000000001</v>
      </c>
      <c r="L425" cm="1">
        <f t="array" aca="1" ref="L425" ca="1">[1]!s_dq_close($B$1,$A425,3)</f>
        <v>24.5</v>
      </c>
    </row>
    <row r="426" spans="1:12">
      <c r="A426" s="23">
        <f t="shared" ca="1" si="6"/>
        <v>45749</v>
      </c>
      <c r="B426" cm="1">
        <f t="array" aca="1" ref="B426" ca="1">[1]!s_west_netprofit($B$1,YEAR($A426),$A426,180,1000000)</f>
        <v>304.44730399999997</v>
      </c>
      <c r="C426" cm="1">
        <f t="array" aca="1" ref="C426" ca="1">[1]!s_west_eps($B$1,YEAR($A426),$A426,180)</f>
        <v>0.33989999999999998</v>
      </c>
      <c r="D426" cm="1">
        <f t="array" aca="1" ref="D426" ca="1">[1]!s_west_instnum_np($B$1,YEAR($A426),$A426,180)</f>
        <v>23</v>
      </c>
      <c r="E426" cm="1">
        <f t="array" aca="1" ref="E426" ca="1">[1]!s_west_stdnetprofit($B$1,YEAR($A426),$A426,180,1000000)</f>
        <v>169.41615999999999</v>
      </c>
      <c r="F426" cm="1">
        <f t="array" aca="1" ref="F426" ca="1">[1]!s_west_mediannetprofit($B$1,YEAR($A426),$A426,180,1000000)</f>
        <v>347</v>
      </c>
      <c r="G426" cm="1">
        <f t="array" aca="1" ref="G426" ca="1">[1]!s_west_netprofit($B$1,YEAR($A426)+1,$A426,180,1000000)</f>
        <v>133.62713600000001</v>
      </c>
      <c r="H426" cm="1">
        <f t="array" aca="1" ref="H426" ca="1">[1]!s_west_eps($B$1,YEAR($A426)+1,$A426,180)</f>
        <v>0.1515</v>
      </c>
      <c r="I426" cm="1">
        <f t="array" aca="1" ref="I426" ca="1">[1]!s_west_instnum_np($B$1,YEAR($A426)+1,$A426,180)</f>
        <v>22</v>
      </c>
      <c r="J426" cm="1">
        <f t="array" aca="1" ref="J426" ca="1">[1]!s_west_stdnetprofit($B$1,YEAR($A426)+1,$A426,180,1000000)</f>
        <v>44.957909000000001</v>
      </c>
      <c r="K426" cm="1">
        <f t="array" aca="1" ref="K426" ca="1">[1]!s_west_mediannetprofit($B$1,YEAR($A425)+1,$A425,180,1000000)</f>
        <v>133.11850000000001</v>
      </c>
      <c r="L426" cm="1">
        <f t="array" aca="1" ref="L426" ca="1">[1]!s_dq_close($B$1,$A426,3)</f>
        <v>25.15</v>
      </c>
    </row>
    <row r="427" spans="1:12">
      <c r="A427" s="23">
        <f t="shared" ca="1" si="6"/>
        <v>45748</v>
      </c>
      <c r="B427" cm="1">
        <f t="array" aca="1" ref="B427" ca="1">[1]!s_west_netprofit($B$1,YEAR($A427),$A427,180,1000000)</f>
        <v>304.44730399999997</v>
      </c>
      <c r="C427" cm="1">
        <f t="array" aca="1" ref="C427" ca="1">[1]!s_west_eps($B$1,YEAR($A427),$A427,180)</f>
        <v>0.33989999999999998</v>
      </c>
      <c r="D427" cm="1">
        <f t="array" aca="1" ref="D427" ca="1">[1]!s_west_instnum_np($B$1,YEAR($A427),$A427,180)</f>
        <v>23</v>
      </c>
      <c r="E427" cm="1">
        <f t="array" aca="1" ref="E427" ca="1">[1]!s_west_stdnetprofit($B$1,YEAR($A427),$A427,180,1000000)</f>
        <v>169.41615999999999</v>
      </c>
      <c r="F427" cm="1">
        <f t="array" aca="1" ref="F427" ca="1">[1]!s_west_mediannetprofit($B$1,YEAR($A427),$A427,180,1000000)</f>
        <v>347</v>
      </c>
      <c r="G427" cm="1">
        <f t="array" aca="1" ref="G427" ca="1">[1]!s_west_netprofit($B$1,YEAR($A427)+1,$A427,180,1000000)</f>
        <v>133.62713600000001</v>
      </c>
      <c r="H427" cm="1">
        <f t="array" aca="1" ref="H427" ca="1">[1]!s_west_eps($B$1,YEAR($A427)+1,$A427,180)</f>
        <v>0.1515</v>
      </c>
      <c r="I427" cm="1">
        <f t="array" aca="1" ref="I427" ca="1">[1]!s_west_instnum_np($B$1,YEAR($A427)+1,$A427,180)</f>
        <v>22</v>
      </c>
      <c r="J427" cm="1">
        <f t="array" aca="1" ref="J427" ca="1">[1]!s_west_stdnetprofit($B$1,YEAR($A427)+1,$A427,180,1000000)</f>
        <v>44.957909000000001</v>
      </c>
      <c r="K427" cm="1">
        <f t="array" aca="1" ref="K427" ca="1">[1]!s_west_mediannetprofit($B$1,YEAR($A426)+1,$A426,180,1000000)</f>
        <v>133.11850000000001</v>
      </c>
      <c r="L427" cm="1">
        <f t="array" aca="1" ref="L427" ca="1">[1]!s_dq_close($B$1,$A427,3)</f>
        <v>26.1</v>
      </c>
    </row>
    <row r="428" spans="1:12">
      <c r="A428" s="23">
        <f t="shared" ca="1" si="6"/>
        <v>45747</v>
      </c>
      <c r="B428" cm="1">
        <f t="array" aca="1" ref="B428" ca="1">[1]!s_west_netprofit($B$1,YEAR($A428),$A428,180,1000000)</f>
        <v>304.44730399999997</v>
      </c>
      <c r="C428" cm="1">
        <f t="array" aca="1" ref="C428" ca="1">[1]!s_west_eps($B$1,YEAR($A428),$A428,180)</f>
        <v>0.33989999999999998</v>
      </c>
      <c r="D428" cm="1">
        <f t="array" aca="1" ref="D428" ca="1">[1]!s_west_instnum_np($B$1,YEAR($A428),$A428,180)</f>
        <v>23</v>
      </c>
      <c r="E428" cm="1">
        <f t="array" aca="1" ref="E428" ca="1">[1]!s_west_stdnetprofit($B$1,YEAR($A428),$A428,180,1000000)</f>
        <v>169.41615999999999</v>
      </c>
      <c r="F428" cm="1">
        <f t="array" aca="1" ref="F428" ca="1">[1]!s_west_mediannetprofit($B$1,YEAR($A428),$A428,180,1000000)</f>
        <v>347</v>
      </c>
      <c r="G428" cm="1">
        <f t="array" aca="1" ref="G428" ca="1">[1]!s_west_netprofit($B$1,YEAR($A428)+1,$A428,180,1000000)</f>
        <v>133.62713600000001</v>
      </c>
      <c r="H428" cm="1">
        <f t="array" aca="1" ref="H428" ca="1">[1]!s_west_eps($B$1,YEAR($A428)+1,$A428,180)</f>
        <v>0.1515</v>
      </c>
      <c r="I428" cm="1">
        <f t="array" aca="1" ref="I428" ca="1">[1]!s_west_instnum_np($B$1,YEAR($A428)+1,$A428,180)</f>
        <v>22</v>
      </c>
      <c r="J428" cm="1">
        <f t="array" aca="1" ref="J428" ca="1">[1]!s_west_stdnetprofit($B$1,YEAR($A428)+1,$A428,180,1000000)</f>
        <v>44.957909000000001</v>
      </c>
      <c r="K428" cm="1">
        <f t="array" aca="1" ref="K428" ca="1">[1]!s_west_mediannetprofit($B$1,YEAR($A427)+1,$A427,180,1000000)</f>
        <v>133.11850000000001</v>
      </c>
      <c r="L428" cm="1">
        <f t="array" aca="1" ref="L428" ca="1">[1]!s_dq_close($B$1,$A428,3)</f>
        <v>23.85</v>
      </c>
    </row>
    <row r="429" spans="1:12">
      <c r="A429" s="23">
        <f t="shared" ca="1" si="6"/>
        <v>45746</v>
      </c>
      <c r="B429" cm="1">
        <f t="array" aca="1" ref="B429" ca="1">[1]!s_west_netprofit($B$1,YEAR($A429),$A429,180,1000000)</f>
        <v>304.44730399999997</v>
      </c>
      <c r="C429" cm="1">
        <f t="array" aca="1" ref="C429" ca="1">[1]!s_west_eps($B$1,YEAR($A429),$A429,180)</f>
        <v>0.33989999999999998</v>
      </c>
      <c r="D429" cm="1">
        <f t="array" aca="1" ref="D429" ca="1">[1]!s_west_instnum_np($B$1,YEAR($A429),$A429,180)</f>
        <v>23</v>
      </c>
      <c r="E429" cm="1">
        <f t="array" aca="1" ref="E429" ca="1">[1]!s_west_stdnetprofit($B$1,YEAR($A429),$A429,180,1000000)</f>
        <v>169.41615999999999</v>
      </c>
      <c r="F429" cm="1">
        <f t="array" aca="1" ref="F429" ca="1">[1]!s_west_mediannetprofit($B$1,YEAR($A429),$A429,180,1000000)</f>
        <v>347</v>
      </c>
      <c r="G429" cm="1">
        <f t="array" aca="1" ref="G429" ca="1">[1]!s_west_netprofit($B$1,YEAR($A429)+1,$A429,180,1000000)</f>
        <v>133.62713600000001</v>
      </c>
      <c r="H429" cm="1">
        <f t="array" aca="1" ref="H429" ca="1">[1]!s_west_eps($B$1,YEAR($A429)+1,$A429,180)</f>
        <v>0.1515</v>
      </c>
      <c r="I429" cm="1">
        <f t="array" aca="1" ref="I429" ca="1">[1]!s_west_instnum_np($B$1,YEAR($A429)+1,$A429,180)</f>
        <v>22</v>
      </c>
      <c r="J429" cm="1">
        <f t="array" aca="1" ref="J429" ca="1">[1]!s_west_stdnetprofit($B$1,YEAR($A429)+1,$A429,180,1000000)</f>
        <v>44.957909000000001</v>
      </c>
      <c r="K429" cm="1">
        <f t="array" aca="1" ref="K429" ca="1">[1]!s_west_mediannetprofit($B$1,YEAR($A428)+1,$A428,180,1000000)</f>
        <v>133.11850000000001</v>
      </c>
      <c r="L429" cm="1">
        <f t="array" aca="1" ref="L429" ca="1">[1]!s_dq_close($B$1,$A429,3)</f>
        <v>24.4</v>
      </c>
    </row>
    <row r="430" spans="1:12">
      <c r="A430" s="23">
        <f t="shared" ca="1" si="6"/>
        <v>45745</v>
      </c>
      <c r="B430" cm="1">
        <f t="array" aca="1" ref="B430" ca="1">[1]!s_west_netprofit($B$1,YEAR($A430),$A430,180,1000000)</f>
        <v>301.64945499999999</v>
      </c>
      <c r="C430" cm="1">
        <f t="array" aca="1" ref="C430" ca="1">[1]!s_west_eps($B$1,YEAR($A430),$A430,180)</f>
        <v>0.33629999999999999</v>
      </c>
      <c r="D430" cm="1">
        <f t="array" aca="1" ref="D430" ca="1">[1]!s_west_instnum_np($B$1,YEAR($A430),$A430,180)</f>
        <v>22</v>
      </c>
      <c r="E430" cm="1">
        <f t="array" aca="1" ref="E430" ca="1">[1]!s_west_stdnetprofit($B$1,YEAR($A430),$A430,180,1000000)</f>
        <v>172.85824500000001</v>
      </c>
      <c r="F430" cm="1">
        <f t="array" aca="1" ref="F430" ca="1">[1]!s_west_mediannetprofit($B$1,YEAR($A430),$A430,180,1000000)</f>
        <v>346.60500000000002</v>
      </c>
      <c r="G430" cm="1">
        <f t="array" aca="1" ref="G430" ca="1">[1]!s_west_netprofit($B$1,YEAR($A430)+1,$A430,180,1000000)</f>
        <v>133.99033299999999</v>
      </c>
      <c r="H430" cm="1">
        <f t="array" aca="1" ref="H430" ca="1">[1]!s_west_eps($B$1,YEAR($A430)+1,$A430,180)</f>
        <v>0.15210000000000001</v>
      </c>
      <c r="I430" cm="1">
        <f t="array" aca="1" ref="I430" ca="1">[1]!s_west_instnum_np($B$1,YEAR($A430)+1,$A430,180)</f>
        <v>21</v>
      </c>
      <c r="J430" cm="1">
        <f t="array" aca="1" ref="J430" ca="1">[1]!s_west_stdnetprofit($B$1,YEAR($A430)+1,$A430,180,1000000)</f>
        <v>46.035063999999998</v>
      </c>
      <c r="K430" cm="1">
        <f t="array" aca="1" ref="K430" ca="1">[1]!s_west_mediannetprofit($B$1,YEAR($A429)+1,$A429,180,1000000)</f>
        <v>133.11850000000001</v>
      </c>
      <c r="L430" cm="1">
        <f t="array" aca="1" ref="L430" ca="1">[1]!s_dq_close($B$1,$A430,3)</f>
        <v>24.4</v>
      </c>
    </row>
    <row r="431" spans="1:12">
      <c r="A431" s="23">
        <f t="shared" ca="1" si="6"/>
        <v>45744</v>
      </c>
      <c r="B431" cm="1">
        <f t="array" aca="1" ref="B431" ca="1">[1]!s_west_netprofit($B$1,YEAR($A431),$A431,180,1000000)</f>
        <v>301.64945499999999</v>
      </c>
      <c r="C431" cm="1">
        <f t="array" aca="1" ref="C431" ca="1">[1]!s_west_eps($B$1,YEAR($A431),$A431,180)</f>
        <v>0.33629999999999999</v>
      </c>
      <c r="D431" cm="1">
        <f t="array" aca="1" ref="D431" ca="1">[1]!s_west_instnum_np($B$1,YEAR($A431),$A431,180)</f>
        <v>22</v>
      </c>
      <c r="E431" cm="1">
        <f t="array" aca="1" ref="E431" ca="1">[1]!s_west_stdnetprofit($B$1,YEAR($A431),$A431,180,1000000)</f>
        <v>172.85824500000001</v>
      </c>
      <c r="F431" cm="1">
        <f t="array" aca="1" ref="F431" ca="1">[1]!s_west_mediannetprofit($B$1,YEAR($A431),$A431,180,1000000)</f>
        <v>346.60500000000002</v>
      </c>
      <c r="G431" cm="1">
        <f t="array" aca="1" ref="G431" ca="1">[1]!s_west_netprofit($B$1,YEAR($A431)+1,$A431,180,1000000)</f>
        <v>133.99033299999999</v>
      </c>
      <c r="H431" cm="1">
        <f t="array" aca="1" ref="H431" ca="1">[1]!s_west_eps($B$1,YEAR($A431)+1,$A431,180)</f>
        <v>0.15210000000000001</v>
      </c>
      <c r="I431" cm="1">
        <f t="array" aca="1" ref="I431" ca="1">[1]!s_west_instnum_np($B$1,YEAR($A431)+1,$A431,180)</f>
        <v>21</v>
      </c>
      <c r="J431" cm="1">
        <f t="array" aca="1" ref="J431" ca="1">[1]!s_west_stdnetprofit($B$1,YEAR($A431)+1,$A431,180,1000000)</f>
        <v>46.035063999999998</v>
      </c>
      <c r="K431" cm="1">
        <f t="array" aca="1" ref="K431" ca="1">[1]!s_west_mediannetprofit($B$1,YEAR($A430)+1,$A430,180,1000000)</f>
        <v>137.66999999999999</v>
      </c>
      <c r="L431" cm="1">
        <f t="array" aca="1" ref="L431" ca="1">[1]!s_dq_close($B$1,$A431,3)</f>
        <v>24.4</v>
      </c>
    </row>
    <row r="432" spans="1:12">
      <c r="A432" s="23">
        <f t="shared" ca="1" si="6"/>
        <v>45743</v>
      </c>
      <c r="B432" cm="1">
        <f t="array" aca="1" ref="B432" ca="1">[1]!s_west_netprofit($B$1,YEAR($A432),$A432,180,1000000)</f>
        <v>285.24127299999998</v>
      </c>
      <c r="C432" cm="1">
        <f t="array" aca="1" ref="C432" ca="1">[1]!s_west_eps($B$1,YEAR($A432),$A432,180)</f>
        <v>0.31759999999999999</v>
      </c>
      <c r="D432" cm="1">
        <f t="array" aca="1" ref="D432" ca="1">[1]!s_west_instnum_np($B$1,YEAR($A432),$A432,180)</f>
        <v>22</v>
      </c>
      <c r="E432" cm="1">
        <f t="array" aca="1" ref="E432" ca="1">[1]!s_west_stdnetprofit($B$1,YEAR($A432),$A432,180,1000000)</f>
        <v>173.40485000000001</v>
      </c>
      <c r="F432" cm="1">
        <f t="array" aca="1" ref="F432" ca="1">[1]!s_west_mediannetprofit($B$1,YEAR($A432),$A432,180,1000000)</f>
        <v>343.60500000000002</v>
      </c>
      <c r="G432" cm="1">
        <f t="array" aca="1" ref="G432" ca="1">[1]!s_west_netprofit($B$1,YEAR($A432)+1,$A432,180,1000000)</f>
        <v>137.64699999999999</v>
      </c>
      <c r="H432" cm="1">
        <f t="array" aca="1" ref="H432" ca="1">[1]!s_west_eps($B$1,YEAR($A432)+1,$A432,180)</f>
        <v>0.15579999999999999</v>
      </c>
      <c r="I432" cm="1">
        <f t="array" aca="1" ref="I432" ca="1">[1]!s_west_instnum_np($B$1,YEAR($A432)+1,$A432,180)</f>
        <v>21</v>
      </c>
      <c r="J432" cm="1">
        <f t="array" aca="1" ref="J432" ca="1">[1]!s_west_stdnetprofit($B$1,YEAR($A432)+1,$A432,180,1000000)</f>
        <v>46.27102</v>
      </c>
      <c r="K432" cm="1">
        <f t="array" aca="1" ref="K432" ca="1">[1]!s_west_mediannetprofit($B$1,YEAR($A431)+1,$A431,180,1000000)</f>
        <v>137.66999999999999</v>
      </c>
      <c r="L432" cm="1">
        <f t="array" aca="1" ref="L432" ca="1">[1]!s_dq_close($B$1,$A432,3)</f>
        <v>24.1</v>
      </c>
    </row>
    <row r="433" spans="1:12">
      <c r="A433" s="23">
        <f t="shared" ca="1" si="6"/>
        <v>45742</v>
      </c>
      <c r="B433" cm="1">
        <f t="array" aca="1" ref="B433" ca="1">[1]!s_west_netprofit($B$1,YEAR($A433),$A433,180,1000000)</f>
        <v>284.681333</v>
      </c>
      <c r="C433" cm="1">
        <f t="array" aca="1" ref="C433" ca="1">[1]!s_west_eps($B$1,YEAR($A433),$A433,180)</f>
        <v>0.31659999999999999</v>
      </c>
      <c r="D433" cm="1">
        <f t="array" aca="1" ref="D433" ca="1">[1]!s_west_instnum_np($B$1,YEAR($A433),$A433,180)</f>
        <v>21</v>
      </c>
      <c r="E433" cm="1">
        <f t="array" aca="1" ref="E433" ca="1">[1]!s_west_stdnetprofit($B$1,YEAR($A433),$A433,180,1000000)</f>
        <v>177.66671400000001</v>
      </c>
      <c r="F433" cm="1">
        <f t="array" aca="1" ref="F433" ca="1">[1]!s_west_mediannetprofit($B$1,YEAR($A433),$A433,180,1000000)</f>
        <v>346.21</v>
      </c>
      <c r="G433" cm="1">
        <f t="array" aca="1" ref="G433" ca="1">[1]!s_west_netprofit($B$1,YEAR($A433)+1,$A433,180,1000000)</f>
        <v>134.97935000000001</v>
      </c>
      <c r="H433" cm="1">
        <f t="array" aca="1" ref="H433" ca="1">[1]!s_west_eps($B$1,YEAR($A433)+1,$A433,180)</f>
        <v>0.1527</v>
      </c>
      <c r="I433" cm="1">
        <f t="array" aca="1" ref="I433" ca="1">[1]!s_west_instnum_np($B$1,YEAR($A433)+1,$A433,180)</f>
        <v>20</v>
      </c>
      <c r="J433" cm="1">
        <f t="array" aca="1" ref="J433" ca="1">[1]!s_west_stdnetprofit($B$1,YEAR($A433)+1,$A433,180,1000000)</f>
        <v>45.786275000000003</v>
      </c>
      <c r="K433" cm="1">
        <f t="array" aca="1" ref="K433" ca="1">[1]!s_west_mediannetprofit($B$1,YEAR($A432)+1,$A432,180,1000000)</f>
        <v>137.66999999999999</v>
      </c>
      <c r="L433" cm="1">
        <f t="array" aca="1" ref="L433" ca="1">[1]!s_dq_close($B$1,$A433,3)</f>
        <v>22.55</v>
      </c>
    </row>
    <row r="434" spans="1:12">
      <c r="A434" s="23">
        <f t="shared" ca="1" si="6"/>
        <v>45741</v>
      </c>
      <c r="B434" cm="1">
        <f t="array" aca="1" ref="B434" ca="1">[1]!s_west_netprofit($B$1,YEAR($A434),$A434,180,1000000)</f>
        <v>284.681333</v>
      </c>
      <c r="C434" cm="1">
        <f t="array" aca="1" ref="C434" ca="1">[1]!s_west_eps($B$1,YEAR($A434),$A434,180)</f>
        <v>0.31659999999999999</v>
      </c>
      <c r="D434" cm="1">
        <f t="array" aca="1" ref="D434" ca="1">[1]!s_west_instnum_np($B$1,YEAR($A434),$A434,180)</f>
        <v>21</v>
      </c>
      <c r="E434" cm="1">
        <f t="array" aca="1" ref="E434" ca="1">[1]!s_west_stdnetprofit($B$1,YEAR($A434),$A434,180,1000000)</f>
        <v>177.66671400000001</v>
      </c>
      <c r="F434" cm="1">
        <f t="array" aca="1" ref="F434" ca="1">[1]!s_west_mediannetprofit($B$1,YEAR($A434),$A434,180,1000000)</f>
        <v>346.21</v>
      </c>
      <c r="G434" cm="1">
        <f t="array" aca="1" ref="G434" ca="1">[1]!s_west_netprofit($B$1,YEAR($A434)+1,$A434,180,1000000)</f>
        <v>134.97935000000001</v>
      </c>
      <c r="H434" cm="1">
        <f t="array" aca="1" ref="H434" ca="1">[1]!s_west_eps($B$1,YEAR($A434)+1,$A434,180)</f>
        <v>0.1527</v>
      </c>
      <c r="I434" cm="1">
        <f t="array" aca="1" ref="I434" ca="1">[1]!s_west_instnum_np($B$1,YEAR($A434)+1,$A434,180)</f>
        <v>20</v>
      </c>
      <c r="J434" cm="1">
        <f t="array" aca="1" ref="J434" ca="1">[1]!s_west_stdnetprofit($B$1,YEAR($A434)+1,$A434,180,1000000)</f>
        <v>45.786275000000003</v>
      </c>
      <c r="K434" cm="1">
        <f t="array" aca="1" ref="K434" ca="1">[1]!s_west_mediannetprofit($B$1,YEAR($A433)+1,$A433,180,1000000)</f>
        <v>137.66999999999999</v>
      </c>
      <c r="L434" cm="1">
        <f t="array" aca="1" ref="L434" ca="1">[1]!s_dq_close($B$1,$A434,3)</f>
        <v>23</v>
      </c>
    </row>
    <row r="435" spans="1:12">
      <c r="A435" s="23">
        <f t="shared" ca="1" si="6"/>
        <v>45740</v>
      </c>
      <c r="B435" cm="1">
        <f t="array" aca="1" ref="B435" ca="1">[1]!s_west_netprofit($B$1,YEAR($A435),$A435,180,1000000)</f>
        <v>252.060947</v>
      </c>
      <c r="C435" cm="1">
        <f t="array" aca="1" ref="C435" ca="1">[1]!s_west_eps($B$1,YEAR($A435),$A435,180)</f>
        <v>0.2802</v>
      </c>
      <c r="D435" cm="1">
        <f t="array" aca="1" ref="D435" ca="1">[1]!s_west_instnum_np($B$1,YEAR($A435),$A435,180)</f>
        <v>19</v>
      </c>
      <c r="E435" cm="1">
        <f t="array" aca="1" ref="E435" ca="1">[1]!s_west_stdnetprofit($B$1,YEAR($A435),$A435,180,1000000)</f>
        <v>194.463978</v>
      </c>
      <c r="F435" cm="1">
        <f t="array" aca="1" ref="F435" ca="1">[1]!s_west_mediannetprofit($B$1,YEAR($A435),$A435,180,1000000)</f>
        <v>323.42</v>
      </c>
      <c r="G435" cm="1">
        <f t="array" aca="1" ref="G435" ca="1">[1]!s_west_netprofit($B$1,YEAR($A435)+1,$A435,180,1000000)</f>
        <v>131.12276499999999</v>
      </c>
      <c r="H435" cm="1">
        <f t="array" aca="1" ref="H435" ca="1">[1]!s_west_eps($B$1,YEAR($A435)+1,$A435,180)</f>
        <v>0.1474</v>
      </c>
      <c r="I435" cm="1">
        <f t="array" aca="1" ref="I435" ca="1">[1]!s_west_instnum_np($B$1,YEAR($A435)+1,$A435,180)</f>
        <v>17</v>
      </c>
      <c r="J435" cm="1">
        <f t="array" aca="1" ref="J435" ca="1">[1]!s_west_stdnetprofit($B$1,YEAR($A435)+1,$A435,180,1000000)</f>
        <v>47.623179</v>
      </c>
      <c r="K435" cm="1">
        <f t="array" aca="1" ref="K435" ca="1">[1]!s_west_mediannetprofit($B$1,YEAR($A434)+1,$A434,180,1000000)</f>
        <v>137.66999999999999</v>
      </c>
      <c r="L435" cm="1">
        <f t="array" aca="1" ref="L435" ca="1">[1]!s_dq_close($B$1,$A435,3)</f>
        <v>23.95</v>
      </c>
    </row>
    <row r="436" spans="1:12">
      <c r="A436" s="23">
        <f t="shared" ca="1" si="6"/>
        <v>45739</v>
      </c>
      <c r="B436" cm="1">
        <f t="array" aca="1" ref="B436" ca="1">[1]!s_west_netprofit($B$1,YEAR($A436),$A436,180,1000000)</f>
        <v>236.43988200000001</v>
      </c>
      <c r="C436" cm="1">
        <f t="array" aca="1" ref="C436" ca="1">[1]!s_west_eps($B$1,YEAR($A436),$A436,180)</f>
        <v>0.26079999999999998</v>
      </c>
      <c r="D436" cm="1">
        <f t="array" aca="1" ref="D436" ca="1">[1]!s_west_instnum_np($B$1,YEAR($A436),$A436,180)</f>
        <v>17</v>
      </c>
      <c r="E436" cm="1">
        <f t="array" aca="1" ref="E436" ca="1">[1]!s_west_stdnetprofit($B$1,YEAR($A436),$A436,180,1000000)</f>
        <v>203.152253</v>
      </c>
      <c r="F436" cm="1">
        <f t="array" aca="1" ref="F436" ca="1">[1]!s_west_mediannetprofit($B$1,YEAR($A436),$A436,180,1000000)</f>
        <v>280</v>
      </c>
      <c r="G436" cm="1">
        <f t="array" aca="1" ref="G436" ca="1">[1]!s_west_netprofit($B$1,YEAR($A436)+1,$A436,180,1000000)</f>
        <v>134.97980000000001</v>
      </c>
      <c r="H436" cm="1">
        <f t="array" aca="1" ref="H436" ca="1">[1]!s_west_eps($B$1,YEAR($A436)+1,$A436,180)</f>
        <v>0.15409999999999999</v>
      </c>
      <c r="I436" cm="1">
        <f t="array" aca="1" ref="I436" ca="1">[1]!s_west_instnum_np($B$1,YEAR($A436)+1,$A436,180)</f>
        <v>15</v>
      </c>
      <c r="J436" cm="1">
        <f t="array" aca="1" ref="J436" ca="1">[1]!s_west_stdnetprofit($B$1,YEAR($A436)+1,$A436,180,1000000)</f>
        <v>49.682465000000001</v>
      </c>
      <c r="K436" cm="1">
        <f t="array" aca="1" ref="K436" ca="1">[1]!s_west_mediannetprofit($B$1,YEAR($A435)+1,$A435,180,1000000)</f>
        <v>137.66999999999999</v>
      </c>
      <c r="L436" cm="1">
        <f t="array" aca="1" ref="L436" ca="1">[1]!s_dq_close($B$1,$A436,3)</f>
        <v>24.35</v>
      </c>
    </row>
    <row r="437" spans="1:12">
      <c r="A437" s="23">
        <f t="shared" ca="1" si="6"/>
        <v>45738</v>
      </c>
      <c r="B437" cm="1">
        <f t="array" aca="1" ref="B437" ca="1">[1]!s_west_netprofit($B$1,YEAR($A437),$A437,180,1000000)</f>
        <v>215.46105900000001</v>
      </c>
      <c r="C437" cm="1">
        <f t="array" aca="1" ref="C437" ca="1">[1]!s_west_eps($B$1,YEAR($A437),$A437,180)</f>
        <v>0.23699999999999999</v>
      </c>
      <c r="D437" cm="1">
        <f t="array" aca="1" ref="D437" ca="1">[1]!s_west_instnum_np($B$1,YEAR($A437),$A437,180)</f>
        <v>17</v>
      </c>
      <c r="E437" cm="1">
        <f t="array" aca="1" ref="E437" ca="1">[1]!s_west_stdnetprofit($B$1,YEAR($A437),$A437,180,1000000)</f>
        <v>202.693578</v>
      </c>
      <c r="F437" cm="1">
        <f t="array" aca="1" ref="F437" ca="1">[1]!s_west_mediannetprofit($B$1,YEAR($A437),$A437,180,1000000)</f>
        <v>107.45</v>
      </c>
      <c r="G437" cm="1">
        <f t="array" aca="1" ref="G437" ca="1">[1]!s_west_netprofit($B$1,YEAR($A437)+1,$A437,180,1000000)</f>
        <v>132.16913299999999</v>
      </c>
      <c r="H437" cm="1">
        <f t="array" aca="1" ref="H437" ca="1">[1]!s_west_eps($B$1,YEAR($A437)+1,$A437,180)</f>
        <v>0.15049999999999999</v>
      </c>
      <c r="I437" cm="1">
        <f t="array" aca="1" ref="I437" ca="1">[1]!s_west_instnum_np($B$1,YEAR($A437)+1,$A437,180)</f>
        <v>15</v>
      </c>
      <c r="J437" cm="1">
        <f t="array" aca="1" ref="J437" ca="1">[1]!s_west_stdnetprofit($B$1,YEAR($A437)+1,$A437,180,1000000)</f>
        <v>47.719113</v>
      </c>
      <c r="K437" cm="1">
        <f t="array" aca="1" ref="K437" ca="1">[1]!s_west_mediannetprofit($B$1,YEAR($A436)+1,$A436,180,1000000)</f>
        <v>137.66999999999999</v>
      </c>
      <c r="L437" cm="1">
        <f t="array" aca="1" ref="L437" ca="1">[1]!s_dq_close($B$1,$A437,3)</f>
        <v>24.35</v>
      </c>
    </row>
    <row r="438" spans="1:12">
      <c r="A438" s="23">
        <f t="shared" ca="1" si="6"/>
        <v>45737</v>
      </c>
      <c r="B438" cm="1">
        <f t="array" aca="1" ref="B438" ca="1">[1]!s_west_netprofit($B$1,YEAR($A438),$A438,180,1000000)</f>
        <v>215.46105900000001</v>
      </c>
      <c r="C438" cm="1">
        <f t="array" aca="1" ref="C438" ca="1">[1]!s_west_eps($B$1,YEAR($A438),$A438,180)</f>
        <v>0.23699999999999999</v>
      </c>
      <c r="D438" cm="1">
        <f t="array" aca="1" ref="D438" ca="1">[1]!s_west_instnum_np($B$1,YEAR($A438),$A438,180)</f>
        <v>17</v>
      </c>
      <c r="E438" cm="1">
        <f t="array" aca="1" ref="E438" ca="1">[1]!s_west_stdnetprofit($B$1,YEAR($A438),$A438,180,1000000)</f>
        <v>202.693578</v>
      </c>
      <c r="F438" cm="1">
        <f t="array" aca="1" ref="F438" ca="1">[1]!s_west_mediannetprofit($B$1,YEAR($A438),$A438,180,1000000)</f>
        <v>107.45</v>
      </c>
      <c r="G438" cm="1">
        <f t="array" aca="1" ref="G438" ca="1">[1]!s_west_netprofit($B$1,YEAR($A438)+1,$A438,180,1000000)</f>
        <v>132.16913299999999</v>
      </c>
      <c r="H438" cm="1">
        <f t="array" aca="1" ref="H438" ca="1">[1]!s_west_eps($B$1,YEAR($A438)+1,$A438,180)</f>
        <v>0.15049999999999999</v>
      </c>
      <c r="I438" cm="1">
        <f t="array" aca="1" ref="I438" ca="1">[1]!s_west_instnum_np($B$1,YEAR($A438)+1,$A438,180)</f>
        <v>15</v>
      </c>
      <c r="J438" cm="1">
        <f t="array" aca="1" ref="J438" ca="1">[1]!s_west_stdnetprofit($B$1,YEAR($A438)+1,$A438,180,1000000)</f>
        <v>47.719113</v>
      </c>
      <c r="K438" cm="1">
        <f t="array" aca="1" ref="K438" ca="1">[1]!s_west_mediannetprofit($B$1,YEAR($A437)+1,$A437,180,1000000)</f>
        <v>137.66999999999999</v>
      </c>
      <c r="L438" cm="1">
        <f t="array" aca="1" ref="L438" ca="1">[1]!s_dq_close($B$1,$A438,3)</f>
        <v>24.35</v>
      </c>
    </row>
    <row r="439" spans="1:12">
      <c r="A439" s="23">
        <f t="shared" ca="1" si="6"/>
        <v>45736</v>
      </c>
      <c r="B439" cm="1">
        <f t="array" aca="1" ref="B439" ca="1">[1]!s_west_netprofit($B$1,YEAR($A439),$A439,180,1000000)</f>
        <v>156.61487500000001</v>
      </c>
      <c r="C439" cm="1">
        <f t="array" aca="1" ref="C439" ca="1">[1]!s_west_eps($B$1,YEAR($A439),$A439,180)</f>
        <v>0.1706</v>
      </c>
      <c r="D439" cm="1">
        <f t="array" aca="1" ref="D439" ca="1">[1]!s_west_instnum_np($B$1,YEAR($A439),$A439,180)</f>
        <v>16</v>
      </c>
      <c r="E439" cm="1">
        <f t="array" aca="1" ref="E439" ca="1">[1]!s_west_stdnetprofit($B$1,YEAR($A439),$A439,180,1000000)</f>
        <v>192.29169400000001</v>
      </c>
      <c r="F439" cm="1">
        <f t="array" aca="1" ref="F439" ca="1">[1]!s_west_mediannetprofit($B$1,YEAR($A439),$A439,180,1000000)</f>
        <v>47.44</v>
      </c>
      <c r="G439" cm="1">
        <f t="array" aca="1" ref="G439" ca="1">[1]!s_west_netprofit($B$1,YEAR($A439)+1,$A439,180,1000000)</f>
        <v>126.733615</v>
      </c>
      <c r="H439" cm="1">
        <f t="array" aca="1" ref="H439" ca="1">[1]!s_west_eps($B$1,YEAR($A439)+1,$A439,180)</f>
        <v>0.14460000000000001</v>
      </c>
      <c r="I439" cm="1">
        <f t="array" aca="1" ref="I439" ca="1">[1]!s_west_instnum_np($B$1,YEAR($A439)+1,$A439,180)</f>
        <v>13</v>
      </c>
      <c r="J439" cm="1">
        <f t="array" aca="1" ref="J439" ca="1">[1]!s_west_stdnetprofit($B$1,YEAR($A439)+1,$A439,180,1000000)</f>
        <v>43.612374000000003</v>
      </c>
      <c r="K439" cm="1">
        <f t="array" aca="1" ref="K439" ca="1">[1]!s_west_mediannetprofit($B$1,YEAR($A438)+1,$A438,180,1000000)</f>
        <v>137.66999999999999</v>
      </c>
      <c r="L439" cm="1">
        <f t="array" aca="1" ref="L439" ca="1">[1]!s_dq_close($B$1,$A439,3)</f>
        <v>25.8</v>
      </c>
    </row>
    <row r="440" spans="1:12">
      <c r="A440" s="23">
        <f t="shared" ca="1" si="6"/>
        <v>45735</v>
      </c>
      <c r="B440" cm="1">
        <f t="array" aca="1" ref="B440" ca="1">[1]!s_west_netprofit($B$1,YEAR($A440),$A440,180,1000000)</f>
        <v>123.741</v>
      </c>
      <c r="C440" cm="1">
        <f t="array" aca="1" ref="C440" ca="1">[1]!s_west_eps($B$1,YEAR($A440),$A440,180)</f>
        <v>0.13800000000000001</v>
      </c>
      <c r="D440" cm="1">
        <f t="array" aca="1" ref="D440" ca="1">[1]!s_west_instnum_np($B$1,YEAR($A440),$A440,180)</f>
        <v>16</v>
      </c>
      <c r="E440" cm="1">
        <f t="array" aca="1" ref="E440" ca="1">[1]!s_west_stdnetprofit($B$1,YEAR($A440),$A440,180,1000000)</f>
        <v>153.494415</v>
      </c>
      <c r="F440" cm="1">
        <f t="array" aca="1" ref="F440" ca="1">[1]!s_west_mediannetprofit($B$1,YEAR($A440),$A440,180,1000000)</f>
        <v>47.44</v>
      </c>
      <c r="G440" cm="1">
        <f t="array" aca="1" ref="G440" ca="1">[1]!s_west_netprofit($B$1,YEAR($A440)+1,$A440,180,1000000)</f>
        <v>129.96330800000001</v>
      </c>
      <c r="H440" cm="1">
        <f t="array" aca="1" ref="H440" ca="1">[1]!s_west_eps($B$1,YEAR($A440)+1,$A440,180)</f>
        <v>0.14699999999999999</v>
      </c>
      <c r="I440" cm="1">
        <f t="array" aca="1" ref="I440" ca="1">[1]!s_west_instnum_np($B$1,YEAR($A440)+1,$A440,180)</f>
        <v>13</v>
      </c>
      <c r="J440" cm="1">
        <f t="array" aca="1" ref="J440" ca="1">[1]!s_west_stdnetprofit($B$1,YEAR($A440)+1,$A440,180,1000000)</f>
        <v>31.334638000000002</v>
      </c>
      <c r="K440" cm="1">
        <f t="array" aca="1" ref="K440" ca="1">[1]!s_west_mediannetprofit($B$1,YEAR($A439)+1,$A439,180,1000000)</f>
        <v>128.56700000000001</v>
      </c>
      <c r="L440" cm="1">
        <f t="array" aca="1" ref="L440" ca="1">[1]!s_dq_close($B$1,$A440,3)</f>
        <v>23.9</v>
      </c>
    </row>
    <row r="441" spans="1:12">
      <c r="A441" s="23">
        <f t="shared" ca="1" si="6"/>
        <v>45734</v>
      </c>
      <c r="B441" cm="1">
        <f t="array" aca="1" ref="B441" ca="1">[1]!s_west_netprofit($B$1,YEAR($A441),$A441,180,1000000)</f>
        <v>123.741</v>
      </c>
      <c r="C441" cm="1">
        <f t="array" aca="1" ref="C441" ca="1">[1]!s_west_eps($B$1,YEAR($A441),$A441,180)</f>
        <v>0.13800000000000001</v>
      </c>
      <c r="D441" cm="1">
        <f t="array" aca="1" ref="D441" ca="1">[1]!s_west_instnum_np($B$1,YEAR($A441),$A441,180)</f>
        <v>16</v>
      </c>
      <c r="E441" cm="1">
        <f t="array" aca="1" ref="E441" ca="1">[1]!s_west_stdnetprofit($B$1,YEAR($A441),$A441,180,1000000)</f>
        <v>153.494415</v>
      </c>
      <c r="F441" cm="1">
        <f t="array" aca="1" ref="F441" ca="1">[1]!s_west_mediannetprofit($B$1,YEAR($A441),$A441,180,1000000)</f>
        <v>47.44</v>
      </c>
      <c r="G441" cm="1">
        <f t="array" aca="1" ref="G441" ca="1">[1]!s_west_netprofit($B$1,YEAR($A441)+1,$A441,180,1000000)</f>
        <v>129.96330800000001</v>
      </c>
      <c r="H441" cm="1">
        <f t="array" aca="1" ref="H441" ca="1">[1]!s_west_eps($B$1,YEAR($A441)+1,$A441,180)</f>
        <v>0.14699999999999999</v>
      </c>
      <c r="I441" cm="1">
        <f t="array" aca="1" ref="I441" ca="1">[1]!s_west_instnum_np($B$1,YEAR($A441)+1,$A441,180)</f>
        <v>13</v>
      </c>
      <c r="J441" cm="1">
        <f t="array" aca="1" ref="J441" ca="1">[1]!s_west_stdnetprofit($B$1,YEAR($A441)+1,$A441,180,1000000)</f>
        <v>31.334638000000002</v>
      </c>
      <c r="K441" cm="1">
        <f t="array" aca="1" ref="K441" ca="1">[1]!s_west_mediannetprofit($B$1,YEAR($A440)+1,$A440,180,1000000)</f>
        <v>125.51</v>
      </c>
      <c r="L441" cm="1">
        <f t="array" aca="1" ref="L441" ca="1">[1]!s_dq_close($B$1,$A441,3)</f>
        <v>23.3</v>
      </c>
    </row>
    <row r="442" spans="1:12">
      <c r="A442" s="23">
        <f t="shared" ca="1" si="6"/>
        <v>45733</v>
      </c>
      <c r="B442" cm="1">
        <f t="array" aca="1" ref="B442" ca="1">[1]!s_west_netprofit($B$1,YEAR($A442),$A442,180,1000000)</f>
        <v>123.741</v>
      </c>
      <c r="C442" cm="1">
        <f t="array" aca="1" ref="C442" ca="1">[1]!s_west_eps($B$1,YEAR($A442),$A442,180)</f>
        <v>0.13800000000000001</v>
      </c>
      <c r="D442" cm="1">
        <f t="array" aca="1" ref="D442" ca="1">[1]!s_west_instnum_np($B$1,YEAR($A442),$A442,180)</f>
        <v>16</v>
      </c>
      <c r="E442" cm="1">
        <f t="array" aca="1" ref="E442" ca="1">[1]!s_west_stdnetprofit($B$1,YEAR($A442),$A442,180,1000000)</f>
        <v>153.494415</v>
      </c>
      <c r="F442" cm="1">
        <f t="array" aca="1" ref="F442" ca="1">[1]!s_west_mediannetprofit($B$1,YEAR($A442),$A442,180,1000000)</f>
        <v>47.44</v>
      </c>
      <c r="G442" cm="1">
        <f t="array" aca="1" ref="G442" ca="1">[1]!s_west_netprofit($B$1,YEAR($A442)+1,$A442,180,1000000)</f>
        <v>129.96330800000001</v>
      </c>
      <c r="H442" cm="1">
        <f t="array" aca="1" ref="H442" ca="1">[1]!s_west_eps($B$1,YEAR($A442)+1,$A442,180)</f>
        <v>0.14699999999999999</v>
      </c>
      <c r="I442" cm="1">
        <f t="array" aca="1" ref="I442" ca="1">[1]!s_west_instnum_np($B$1,YEAR($A442)+1,$A442,180)</f>
        <v>13</v>
      </c>
      <c r="J442" cm="1">
        <f t="array" aca="1" ref="J442" ca="1">[1]!s_west_stdnetprofit($B$1,YEAR($A442)+1,$A442,180,1000000)</f>
        <v>31.334638000000002</v>
      </c>
      <c r="K442" cm="1">
        <f t="array" aca="1" ref="K442" ca="1">[1]!s_west_mediannetprofit($B$1,YEAR($A441)+1,$A441,180,1000000)</f>
        <v>125.51</v>
      </c>
      <c r="L442" cm="1">
        <f t="array" aca="1" ref="L442" ca="1">[1]!s_dq_close($B$1,$A442,3)</f>
        <v>23.2</v>
      </c>
    </row>
    <row r="443" spans="1:12">
      <c r="A443" s="23">
        <f t="shared" ca="1" si="6"/>
        <v>45732</v>
      </c>
      <c r="B443" cm="1">
        <f t="array" aca="1" ref="B443" ca="1">[1]!s_west_netprofit($B$1,YEAR($A443),$A443,180,1000000)</f>
        <v>123.741</v>
      </c>
      <c r="C443" cm="1">
        <f t="array" aca="1" ref="C443" ca="1">[1]!s_west_eps($B$1,YEAR($A443),$A443,180)</f>
        <v>0.13800000000000001</v>
      </c>
      <c r="D443" cm="1">
        <f t="array" aca="1" ref="D443" ca="1">[1]!s_west_instnum_np($B$1,YEAR($A443),$A443,180)</f>
        <v>16</v>
      </c>
      <c r="E443" cm="1">
        <f t="array" aca="1" ref="E443" ca="1">[1]!s_west_stdnetprofit($B$1,YEAR($A443),$A443,180,1000000)</f>
        <v>153.494415</v>
      </c>
      <c r="F443" cm="1">
        <f t="array" aca="1" ref="F443" ca="1">[1]!s_west_mediannetprofit($B$1,YEAR($A443),$A443,180,1000000)</f>
        <v>47.44</v>
      </c>
      <c r="G443" cm="1">
        <f t="array" aca="1" ref="G443" ca="1">[1]!s_west_netprofit($B$1,YEAR($A443)+1,$A443,180,1000000)</f>
        <v>129.96330800000001</v>
      </c>
      <c r="H443" cm="1">
        <f t="array" aca="1" ref="H443" ca="1">[1]!s_west_eps($B$1,YEAR($A443)+1,$A443,180)</f>
        <v>0.14699999999999999</v>
      </c>
      <c r="I443" cm="1">
        <f t="array" aca="1" ref="I443" ca="1">[1]!s_west_instnum_np($B$1,YEAR($A443)+1,$A443,180)</f>
        <v>13</v>
      </c>
      <c r="J443" cm="1">
        <f t="array" aca="1" ref="J443" ca="1">[1]!s_west_stdnetprofit($B$1,YEAR($A443)+1,$A443,180,1000000)</f>
        <v>31.334638000000002</v>
      </c>
      <c r="K443" cm="1">
        <f t="array" aca="1" ref="K443" ca="1">[1]!s_west_mediannetprofit($B$1,YEAR($A442)+1,$A442,180,1000000)</f>
        <v>125.51</v>
      </c>
      <c r="L443" cm="1">
        <f t="array" aca="1" ref="L443" ca="1">[1]!s_dq_close($B$1,$A443,3)</f>
        <v>24.35</v>
      </c>
    </row>
    <row r="444" spans="1:12">
      <c r="A444" s="23">
        <f t="shared" ca="1" si="6"/>
        <v>45731</v>
      </c>
      <c r="B444" cm="1">
        <f t="array" aca="1" ref="B444" ca="1">[1]!s_west_netprofit($B$1,YEAR($A444),$A444,180,1000000)</f>
        <v>123.741</v>
      </c>
      <c r="C444" cm="1">
        <f t="array" aca="1" ref="C444" ca="1">[1]!s_west_eps($B$1,YEAR($A444),$A444,180)</f>
        <v>0.13800000000000001</v>
      </c>
      <c r="D444" cm="1">
        <f t="array" aca="1" ref="D444" ca="1">[1]!s_west_instnum_np($B$1,YEAR($A444),$A444,180)</f>
        <v>16</v>
      </c>
      <c r="E444" cm="1">
        <f t="array" aca="1" ref="E444" ca="1">[1]!s_west_stdnetprofit($B$1,YEAR($A444),$A444,180,1000000)</f>
        <v>153.494415</v>
      </c>
      <c r="F444" cm="1">
        <f t="array" aca="1" ref="F444" ca="1">[1]!s_west_mediannetprofit($B$1,YEAR($A444),$A444,180,1000000)</f>
        <v>47.44</v>
      </c>
      <c r="G444" cm="1">
        <f t="array" aca="1" ref="G444" ca="1">[1]!s_west_netprofit($B$1,YEAR($A444)+1,$A444,180,1000000)</f>
        <v>129.96330800000001</v>
      </c>
      <c r="H444" cm="1">
        <f t="array" aca="1" ref="H444" ca="1">[1]!s_west_eps($B$1,YEAR($A444)+1,$A444,180)</f>
        <v>0.14699999999999999</v>
      </c>
      <c r="I444" cm="1">
        <f t="array" aca="1" ref="I444" ca="1">[1]!s_west_instnum_np($B$1,YEAR($A444)+1,$A444,180)</f>
        <v>13</v>
      </c>
      <c r="J444" cm="1">
        <f t="array" aca="1" ref="J444" ca="1">[1]!s_west_stdnetprofit($B$1,YEAR($A444)+1,$A444,180,1000000)</f>
        <v>31.334638000000002</v>
      </c>
      <c r="K444" cm="1">
        <f t="array" aca="1" ref="K444" ca="1">[1]!s_west_mediannetprofit($B$1,YEAR($A443)+1,$A443,180,1000000)</f>
        <v>125.51</v>
      </c>
      <c r="L444" cm="1">
        <f t="array" aca="1" ref="L444" ca="1">[1]!s_dq_close($B$1,$A444,3)</f>
        <v>24.35</v>
      </c>
    </row>
    <row r="445" spans="1:12">
      <c r="A445" s="23">
        <f t="shared" ca="1" si="6"/>
        <v>45730</v>
      </c>
      <c r="B445" cm="1">
        <f t="array" aca="1" ref="B445" ca="1">[1]!s_west_netprofit($B$1,YEAR($A445),$A445,180,1000000)</f>
        <v>123.741</v>
      </c>
      <c r="C445" cm="1">
        <f t="array" aca="1" ref="C445" ca="1">[1]!s_west_eps($B$1,YEAR($A445),$A445,180)</f>
        <v>0.13800000000000001</v>
      </c>
      <c r="D445" cm="1">
        <f t="array" aca="1" ref="D445" ca="1">[1]!s_west_instnum_np($B$1,YEAR($A445),$A445,180)</f>
        <v>16</v>
      </c>
      <c r="E445" cm="1">
        <f t="array" aca="1" ref="E445" ca="1">[1]!s_west_stdnetprofit($B$1,YEAR($A445),$A445,180,1000000)</f>
        <v>153.494415</v>
      </c>
      <c r="F445" cm="1">
        <f t="array" aca="1" ref="F445" ca="1">[1]!s_west_mediannetprofit($B$1,YEAR($A445),$A445,180,1000000)</f>
        <v>47.44</v>
      </c>
      <c r="G445" cm="1">
        <f t="array" aca="1" ref="G445" ca="1">[1]!s_west_netprofit($B$1,YEAR($A445)+1,$A445,180,1000000)</f>
        <v>129.96330800000001</v>
      </c>
      <c r="H445" cm="1">
        <f t="array" aca="1" ref="H445" ca="1">[1]!s_west_eps($B$1,YEAR($A445)+1,$A445,180)</f>
        <v>0.14699999999999999</v>
      </c>
      <c r="I445" cm="1">
        <f t="array" aca="1" ref="I445" ca="1">[1]!s_west_instnum_np($B$1,YEAR($A445)+1,$A445,180)</f>
        <v>13</v>
      </c>
      <c r="J445" cm="1">
        <f t="array" aca="1" ref="J445" ca="1">[1]!s_west_stdnetprofit($B$1,YEAR($A445)+1,$A445,180,1000000)</f>
        <v>31.334638000000002</v>
      </c>
      <c r="K445" cm="1">
        <f t="array" aca="1" ref="K445" ca="1">[1]!s_west_mediannetprofit($B$1,YEAR($A444)+1,$A444,180,1000000)</f>
        <v>125.51</v>
      </c>
      <c r="L445" cm="1">
        <f t="array" aca="1" ref="L445" ca="1">[1]!s_dq_close($B$1,$A445,3)</f>
        <v>24.35</v>
      </c>
    </row>
    <row r="446" spans="1:12">
      <c r="A446" s="23">
        <f t="shared" ca="1" si="6"/>
        <v>45729</v>
      </c>
      <c r="B446" cm="1">
        <f t="array" aca="1" ref="B446" ca="1">[1]!s_west_netprofit($B$1,YEAR($A446),$A446,180,1000000)</f>
        <v>123.741</v>
      </c>
      <c r="C446" cm="1">
        <f t="array" aca="1" ref="C446" ca="1">[1]!s_west_eps($B$1,YEAR($A446),$A446,180)</f>
        <v>0.13800000000000001</v>
      </c>
      <c r="D446" cm="1">
        <f t="array" aca="1" ref="D446" ca="1">[1]!s_west_instnum_np($B$1,YEAR($A446),$A446,180)</f>
        <v>16</v>
      </c>
      <c r="E446" cm="1">
        <f t="array" aca="1" ref="E446" ca="1">[1]!s_west_stdnetprofit($B$1,YEAR($A446),$A446,180,1000000)</f>
        <v>153.494415</v>
      </c>
      <c r="F446" cm="1">
        <f t="array" aca="1" ref="F446" ca="1">[1]!s_west_mediannetprofit($B$1,YEAR($A446),$A446,180,1000000)</f>
        <v>47.44</v>
      </c>
      <c r="G446" cm="1">
        <f t="array" aca="1" ref="G446" ca="1">[1]!s_west_netprofit($B$1,YEAR($A446)+1,$A446,180,1000000)</f>
        <v>129.96330800000001</v>
      </c>
      <c r="H446" cm="1">
        <f t="array" aca="1" ref="H446" ca="1">[1]!s_west_eps($B$1,YEAR($A446)+1,$A446,180)</f>
        <v>0.14699999999999999</v>
      </c>
      <c r="I446" cm="1">
        <f t="array" aca="1" ref="I446" ca="1">[1]!s_west_instnum_np($B$1,YEAR($A446)+1,$A446,180)</f>
        <v>13</v>
      </c>
      <c r="J446" cm="1">
        <f t="array" aca="1" ref="J446" ca="1">[1]!s_west_stdnetprofit($B$1,YEAR($A446)+1,$A446,180,1000000)</f>
        <v>31.334638000000002</v>
      </c>
      <c r="K446" cm="1">
        <f t="array" aca="1" ref="K446" ca="1">[1]!s_west_mediannetprofit($B$1,YEAR($A445)+1,$A445,180,1000000)</f>
        <v>125.51</v>
      </c>
      <c r="L446" cm="1">
        <f t="array" aca="1" ref="L446" ca="1">[1]!s_dq_close($B$1,$A446,3)</f>
        <v>24</v>
      </c>
    </row>
    <row r="447" spans="1:12">
      <c r="A447" s="23">
        <f t="shared" ca="1" si="6"/>
        <v>45728</v>
      </c>
      <c r="B447" cm="1">
        <f t="array" aca="1" ref="B447" ca="1">[1]!s_west_netprofit($B$1,YEAR($A447),$A447,180,1000000)</f>
        <v>123.741</v>
      </c>
      <c r="C447" cm="1">
        <f t="array" aca="1" ref="C447" ca="1">[1]!s_west_eps($B$1,YEAR($A447),$A447,180)</f>
        <v>0.13800000000000001</v>
      </c>
      <c r="D447" cm="1">
        <f t="array" aca="1" ref="D447" ca="1">[1]!s_west_instnum_np($B$1,YEAR($A447),$A447,180)</f>
        <v>16</v>
      </c>
      <c r="E447" cm="1">
        <f t="array" aca="1" ref="E447" ca="1">[1]!s_west_stdnetprofit($B$1,YEAR($A447),$A447,180,1000000)</f>
        <v>153.494415</v>
      </c>
      <c r="F447" cm="1">
        <f t="array" aca="1" ref="F447" ca="1">[1]!s_west_mediannetprofit($B$1,YEAR($A447),$A447,180,1000000)</f>
        <v>47.44</v>
      </c>
      <c r="G447" cm="1">
        <f t="array" aca="1" ref="G447" ca="1">[1]!s_west_netprofit($B$1,YEAR($A447)+1,$A447,180,1000000)</f>
        <v>129.96330800000001</v>
      </c>
      <c r="H447" cm="1">
        <f t="array" aca="1" ref="H447" ca="1">[1]!s_west_eps($B$1,YEAR($A447)+1,$A447,180)</f>
        <v>0.14699999999999999</v>
      </c>
      <c r="I447" cm="1">
        <f t="array" aca="1" ref="I447" ca="1">[1]!s_west_instnum_np($B$1,YEAR($A447)+1,$A447,180)</f>
        <v>13</v>
      </c>
      <c r="J447" cm="1">
        <f t="array" aca="1" ref="J447" ca="1">[1]!s_west_stdnetprofit($B$1,YEAR($A447)+1,$A447,180,1000000)</f>
        <v>31.334638000000002</v>
      </c>
      <c r="K447" cm="1">
        <f t="array" aca="1" ref="K447" ca="1">[1]!s_west_mediannetprofit($B$1,YEAR($A446)+1,$A446,180,1000000)</f>
        <v>125.51</v>
      </c>
      <c r="L447" cm="1">
        <f t="array" aca="1" ref="L447" ca="1">[1]!s_dq_close($B$1,$A447,3)</f>
        <v>24.25</v>
      </c>
    </row>
    <row r="448" spans="1:12">
      <c r="A448" s="23">
        <f t="shared" ca="1" si="6"/>
        <v>45727</v>
      </c>
      <c r="B448" cm="1">
        <f t="array" aca="1" ref="B448" ca="1">[1]!s_west_netprofit($B$1,YEAR($A448),$A448,180,1000000)</f>
        <v>123.741</v>
      </c>
      <c r="C448" cm="1">
        <f t="array" aca="1" ref="C448" ca="1">[1]!s_west_eps($B$1,YEAR($A448),$A448,180)</f>
        <v>0.13800000000000001</v>
      </c>
      <c r="D448" cm="1">
        <f t="array" aca="1" ref="D448" ca="1">[1]!s_west_instnum_np($B$1,YEAR($A448),$A448,180)</f>
        <v>16</v>
      </c>
      <c r="E448" cm="1">
        <f t="array" aca="1" ref="E448" ca="1">[1]!s_west_stdnetprofit($B$1,YEAR($A448),$A448,180,1000000)</f>
        <v>153.494415</v>
      </c>
      <c r="F448" cm="1">
        <f t="array" aca="1" ref="F448" ca="1">[1]!s_west_mediannetprofit($B$1,YEAR($A448),$A448,180,1000000)</f>
        <v>47.44</v>
      </c>
      <c r="G448" cm="1">
        <f t="array" aca="1" ref="G448" ca="1">[1]!s_west_netprofit($B$1,YEAR($A448)+1,$A448,180,1000000)</f>
        <v>129.96330800000001</v>
      </c>
      <c r="H448" cm="1">
        <f t="array" aca="1" ref="H448" ca="1">[1]!s_west_eps($B$1,YEAR($A448)+1,$A448,180)</f>
        <v>0.14699999999999999</v>
      </c>
      <c r="I448" cm="1">
        <f t="array" aca="1" ref="I448" ca="1">[1]!s_west_instnum_np($B$1,YEAR($A448)+1,$A448,180)</f>
        <v>13</v>
      </c>
      <c r="J448" cm="1">
        <f t="array" aca="1" ref="J448" ca="1">[1]!s_west_stdnetprofit($B$1,YEAR($A448)+1,$A448,180,1000000)</f>
        <v>31.334638000000002</v>
      </c>
      <c r="K448" cm="1">
        <f t="array" aca="1" ref="K448" ca="1">[1]!s_west_mediannetprofit($B$1,YEAR($A447)+1,$A447,180,1000000)</f>
        <v>125.51</v>
      </c>
      <c r="L448" cm="1">
        <f t="array" aca="1" ref="L448" ca="1">[1]!s_dq_close($B$1,$A448,3)</f>
        <v>24.9</v>
      </c>
    </row>
    <row r="449" spans="1:12">
      <c r="A449" s="23">
        <f t="shared" ca="1" si="6"/>
        <v>45726</v>
      </c>
      <c r="B449" cm="1">
        <f t="array" aca="1" ref="B449" ca="1">[1]!s_west_netprofit($B$1,YEAR($A449),$A449,180,1000000)</f>
        <v>123.741</v>
      </c>
      <c r="C449" cm="1">
        <f t="array" aca="1" ref="C449" ca="1">[1]!s_west_eps($B$1,YEAR($A449),$A449,180)</f>
        <v>0.13800000000000001</v>
      </c>
      <c r="D449" cm="1">
        <f t="array" aca="1" ref="D449" ca="1">[1]!s_west_instnum_np($B$1,YEAR($A449),$A449,180)</f>
        <v>16</v>
      </c>
      <c r="E449" cm="1">
        <f t="array" aca="1" ref="E449" ca="1">[1]!s_west_stdnetprofit($B$1,YEAR($A449),$A449,180,1000000)</f>
        <v>153.494415</v>
      </c>
      <c r="F449" cm="1">
        <f t="array" aca="1" ref="F449" ca="1">[1]!s_west_mediannetprofit($B$1,YEAR($A449),$A449,180,1000000)</f>
        <v>47.44</v>
      </c>
      <c r="G449" cm="1">
        <f t="array" aca="1" ref="G449" ca="1">[1]!s_west_netprofit($B$1,YEAR($A449)+1,$A449,180,1000000)</f>
        <v>129.96330800000001</v>
      </c>
      <c r="H449" cm="1">
        <f t="array" aca="1" ref="H449" ca="1">[1]!s_west_eps($B$1,YEAR($A449)+1,$A449,180)</f>
        <v>0.14699999999999999</v>
      </c>
      <c r="I449" cm="1">
        <f t="array" aca="1" ref="I449" ca="1">[1]!s_west_instnum_np($B$1,YEAR($A449)+1,$A449,180)</f>
        <v>13</v>
      </c>
      <c r="J449" cm="1">
        <f t="array" aca="1" ref="J449" ca="1">[1]!s_west_stdnetprofit($B$1,YEAR($A449)+1,$A449,180,1000000)</f>
        <v>31.334638000000002</v>
      </c>
      <c r="K449" cm="1">
        <f t="array" aca="1" ref="K449" ca="1">[1]!s_west_mediannetprofit($B$1,YEAR($A448)+1,$A448,180,1000000)</f>
        <v>125.51</v>
      </c>
      <c r="L449" cm="1">
        <f t="array" aca="1" ref="L449" ca="1">[1]!s_dq_close($B$1,$A449,3)</f>
        <v>24.75</v>
      </c>
    </row>
    <row r="450" spans="1:12">
      <c r="A450" s="23">
        <f t="shared" ca="1" si="6"/>
        <v>45725</v>
      </c>
      <c r="B450" cm="1">
        <f t="array" aca="1" ref="B450" ca="1">[1]!s_west_netprofit($B$1,YEAR($A450),$A450,180,1000000)</f>
        <v>123.741</v>
      </c>
      <c r="C450" cm="1">
        <f t="array" aca="1" ref="C450" ca="1">[1]!s_west_eps($B$1,YEAR($A450),$A450,180)</f>
        <v>0.13800000000000001</v>
      </c>
      <c r="D450" cm="1">
        <f t="array" aca="1" ref="D450" ca="1">[1]!s_west_instnum_np($B$1,YEAR($A450),$A450,180)</f>
        <v>16</v>
      </c>
      <c r="E450" cm="1">
        <f t="array" aca="1" ref="E450" ca="1">[1]!s_west_stdnetprofit($B$1,YEAR($A450),$A450,180,1000000)</f>
        <v>153.494415</v>
      </c>
      <c r="F450" cm="1">
        <f t="array" aca="1" ref="F450" ca="1">[1]!s_west_mediannetprofit($B$1,YEAR($A450),$A450,180,1000000)</f>
        <v>47.44</v>
      </c>
      <c r="G450" cm="1">
        <f t="array" aca="1" ref="G450" ca="1">[1]!s_west_netprofit($B$1,YEAR($A450)+1,$A450,180,1000000)</f>
        <v>129.96330800000001</v>
      </c>
      <c r="H450" cm="1">
        <f t="array" aca="1" ref="H450" ca="1">[1]!s_west_eps($B$1,YEAR($A450)+1,$A450,180)</f>
        <v>0.14699999999999999</v>
      </c>
      <c r="I450" cm="1">
        <f t="array" aca="1" ref="I450" ca="1">[1]!s_west_instnum_np($B$1,YEAR($A450)+1,$A450,180)</f>
        <v>13</v>
      </c>
      <c r="J450" cm="1">
        <f t="array" aca="1" ref="J450" ca="1">[1]!s_west_stdnetprofit($B$1,YEAR($A450)+1,$A450,180,1000000)</f>
        <v>31.334638000000002</v>
      </c>
      <c r="K450" cm="1">
        <f t="array" aca="1" ref="K450" ca="1">[1]!s_west_mediannetprofit($B$1,YEAR($A449)+1,$A449,180,1000000)</f>
        <v>125.51</v>
      </c>
      <c r="L450" cm="1">
        <f t="array" aca="1" ref="L450" ca="1">[1]!s_dq_close($B$1,$A450,3)</f>
        <v>25.8</v>
      </c>
    </row>
    <row r="451" spans="1:12">
      <c r="A451" s="23">
        <f t="shared" ca="1" si="6"/>
        <v>45724</v>
      </c>
      <c r="B451" cm="1">
        <f t="array" aca="1" ref="B451" ca="1">[1]!s_west_netprofit($B$1,YEAR($A451),$A451,180,1000000)</f>
        <v>123.741</v>
      </c>
      <c r="C451" cm="1">
        <f t="array" aca="1" ref="C451" ca="1">[1]!s_west_eps($B$1,YEAR($A451),$A451,180)</f>
        <v>0.13800000000000001</v>
      </c>
      <c r="D451" cm="1">
        <f t="array" aca="1" ref="D451" ca="1">[1]!s_west_instnum_np($B$1,YEAR($A451),$A451,180)</f>
        <v>16</v>
      </c>
      <c r="E451" cm="1">
        <f t="array" aca="1" ref="E451" ca="1">[1]!s_west_stdnetprofit($B$1,YEAR($A451),$A451,180,1000000)</f>
        <v>153.494415</v>
      </c>
      <c r="F451" cm="1">
        <f t="array" aca="1" ref="F451" ca="1">[1]!s_west_mediannetprofit($B$1,YEAR($A451),$A451,180,1000000)</f>
        <v>47.44</v>
      </c>
      <c r="G451" cm="1">
        <f t="array" aca="1" ref="G451" ca="1">[1]!s_west_netprofit($B$1,YEAR($A451)+1,$A451,180,1000000)</f>
        <v>129.96330800000001</v>
      </c>
      <c r="H451" cm="1">
        <f t="array" aca="1" ref="H451" ca="1">[1]!s_west_eps($B$1,YEAR($A451)+1,$A451,180)</f>
        <v>0.14699999999999999</v>
      </c>
      <c r="I451" cm="1">
        <f t="array" aca="1" ref="I451" ca="1">[1]!s_west_instnum_np($B$1,YEAR($A451)+1,$A451,180)</f>
        <v>13</v>
      </c>
      <c r="J451" cm="1">
        <f t="array" aca="1" ref="J451" ca="1">[1]!s_west_stdnetprofit($B$1,YEAR($A451)+1,$A451,180,1000000)</f>
        <v>31.334638000000002</v>
      </c>
      <c r="K451" cm="1">
        <f t="array" aca="1" ref="K451" ca="1">[1]!s_west_mediannetprofit($B$1,YEAR($A450)+1,$A450,180,1000000)</f>
        <v>125.51</v>
      </c>
      <c r="L451" cm="1">
        <f t="array" aca="1" ref="L451" ca="1">[1]!s_dq_close($B$1,$A451,3)</f>
        <v>25.8</v>
      </c>
    </row>
    <row r="452" spans="1:12">
      <c r="A452" s="23">
        <f t="shared" ca="1" si="6"/>
        <v>45723</v>
      </c>
      <c r="B452" cm="1">
        <f t="array" aca="1" ref="B452" ca="1">[1]!s_west_netprofit($B$1,YEAR($A452),$A452,180,1000000)</f>
        <v>123.741</v>
      </c>
      <c r="C452" cm="1">
        <f t="array" aca="1" ref="C452" ca="1">[1]!s_west_eps($B$1,YEAR($A452),$A452,180)</f>
        <v>0.13800000000000001</v>
      </c>
      <c r="D452" cm="1">
        <f t="array" aca="1" ref="D452" ca="1">[1]!s_west_instnum_np($B$1,YEAR($A452),$A452,180)</f>
        <v>16</v>
      </c>
      <c r="E452" cm="1">
        <f t="array" aca="1" ref="E452" ca="1">[1]!s_west_stdnetprofit($B$1,YEAR($A452),$A452,180,1000000)</f>
        <v>153.494415</v>
      </c>
      <c r="F452" cm="1">
        <f t="array" aca="1" ref="F452" ca="1">[1]!s_west_mediannetprofit($B$1,YEAR($A452),$A452,180,1000000)</f>
        <v>47.44</v>
      </c>
      <c r="G452" cm="1">
        <f t="array" aca="1" ref="G452" ca="1">[1]!s_west_netprofit($B$1,YEAR($A452)+1,$A452,180,1000000)</f>
        <v>129.96330800000001</v>
      </c>
      <c r="H452" cm="1">
        <f t="array" aca="1" ref="H452" ca="1">[1]!s_west_eps($B$1,YEAR($A452)+1,$A452,180)</f>
        <v>0.14699999999999999</v>
      </c>
      <c r="I452" cm="1">
        <f t="array" aca="1" ref="I452" ca="1">[1]!s_west_instnum_np($B$1,YEAR($A452)+1,$A452,180)</f>
        <v>13</v>
      </c>
      <c r="J452" cm="1">
        <f t="array" aca="1" ref="J452" ca="1">[1]!s_west_stdnetprofit($B$1,YEAR($A452)+1,$A452,180,1000000)</f>
        <v>31.334638000000002</v>
      </c>
      <c r="K452" cm="1">
        <f t="array" aca="1" ref="K452" ca="1">[1]!s_west_mediannetprofit($B$1,YEAR($A451)+1,$A451,180,1000000)</f>
        <v>125.51</v>
      </c>
      <c r="L452" cm="1">
        <f t="array" aca="1" ref="L452" ca="1">[1]!s_dq_close($B$1,$A452,3)</f>
        <v>25.8</v>
      </c>
    </row>
    <row r="453" spans="1:12">
      <c r="A453" s="23">
        <f t="shared" ca="1" si="6"/>
        <v>45722</v>
      </c>
      <c r="B453" cm="1">
        <f t="array" aca="1" ref="B453" ca="1">[1]!s_west_netprofit($B$1,YEAR($A453),$A453,180,1000000)</f>
        <v>123.741</v>
      </c>
      <c r="C453" cm="1">
        <f t="array" aca="1" ref="C453" ca="1">[1]!s_west_eps($B$1,YEAR($A453),$A453,180)</f>
        <v>0.13800000000000001</v>
      </c>
      <c r="D453" cm="1">
        <f t="array" aca="1" ref="D453" ca="1">[1]!s_west_instnum_np($B$1,YEAR($A453),$A453,180)</f>
        <v>16</v>
      </c>
      <c r="E453" cm="1">
        <f t="array" aca="1" ref="E453" ca="1">[1]!s_west_stdnetprofit($B$1,YEAR($A453),$A453,180,1000000)</f>
        <v>153.494415</v>
      </c>
      <c r="F453" cm="1">
        <f t="array" aca="1" ref="F453" ca="1">[1]!s_west_mediannetprofit($B$1,YEAR($A453),$A453,180,1000000)</f>
        <v>47.44</v>
      </c>
      <c r="G453" cm="1">
        <f t="array" aca="1" ref="G453" ca="1">[1]!s_west_netprofit($B$1,YEAR($A453)+1,$A453,180,1000000)</f>
        <v>129.96330800000001</v>
      </c>
      <c r="H453" cm="1">
        <f t="array" aca="1" ref="H453" ca="1">[1]!s_west_eps($B$1,YEAR($A453)+1,$A453,180)</f>
        <v>0.14699999999999999</v>
      </c>
      <c r="I453" cm="1">
        <f t="array" aca="1" ref="I453" ca="1">[1]!s_west_instnum_np($B$1,YEAR($A453)+1,$A453,180)</f>
        <v>13</v>
      </c>
      <c r="J453" cm="1">
        <f t="array" aca="1" ref="J453" ca="1">[1]!s_west_stdnetprofit($B$1,YEAR($A453)+1,$A453,180,1000000)</f>
        <v>31.334638000000002</v>
      </c>
      <c r="K453" cm="1">
        <f t="array" aca="1" ref="K453" ca="1">[1]!s_west_mediannetprofit($B$1,YEAR($A452)+1,$A452,180,1000000)</f>
        <v>125.51</v>
      </c>
      <c r="L453" cm="1">
        <f t="array" aca="1" ref="L453" ca="1">[1]!s_dq_close($B$1,$A453,3)</f>
        <v>25.4</v>
      </c>
    </row>
    <row r="454" spans="1:12">
      <c r="A454" s="23">
        <f t="shared" ca="1" si="6"/>
        <v>45721</v>
      </c>
      <c r="B454" cm="1">
        <f t="array" aca="1" ref="B454" ca="1">[1]!s_west_netprofit($B$1,YEAR($A454),$A454,180,1000000)</f>
        <v>123.741</v>
      </c>
      <c r="C454" cm="1">
        <f t="array" aca="1" ref="C454" ca="1">[1]!s_west_eps($B$1,YEAR($A454),$A454,180)</f>
        <v>0.13800000000000001</v>
      </c>
      <c r="D454" cm="1">
        <f t="array" aca="1" ref="D454" ca="1">[1]!s_west_instnum_np($B$1,YEAR($A454),$A454,180)</f>
        <v>16</v>
      </c>
      <c r="E454" cm="1">
        <f t="array" aca="1" ref="E454" ca="1">[1]!s_west_stdnetprofit($B$1,YEAR($A454),$A454,180,1000000)</f>
        <v>153.494415</v>
      </c>
      <c r="F454" cm="1">
        <f t="array" aca="1" ref="F454" ca="1">[1]!s_west_mediannetprofit($B$1,YEAR($A454),$A454,180,1000000)</f>
        <v>47.44</v>
      </c>
      <c r="G454" cm="1">
        <f t="array" aca="1" ref="G454" ca="1">[1]!s_west_netprofit($B$1,YEAR($A454)+1,$A454,180,1000000)</f>
        <v>129.96330800000001</v>
      </c>
      <c r="H454" cm="1">
        <f t="array" aca="1" ref="H454" ca="1">[1]!s_west_eps($B$1,YEAR($A454)+1,$A454,180)</f>
        <v>0.14699999999999999</v>
      </c>
      <c r="I454" cm="1">
        <f t="array" aca="1" ref="I454" ca="1">[1]!s_west_instnum_np($B$1,YEAR($A454)+1,$A454,180)</f>
        <v>13</v>
      </c>
      <c r="J454" cm="1">
        <f t="array" aca="1" ref="J454" ca="1">[1]!s_west_stdnetprofit($B$1,YEAR($A454)+1,$A454,180,1000000)</f>
        <v>31.334638000000002</v>
      </c>
      <c r="K454" cm="1">
        <f t="array" aca="1" ref="K454" ca="1">[1]!s_west_mediannetprofit($B$1,YEAR($A453)+1,$A453,180,1000000)</f>
        <v>125.51</v>
      </c>
      <c r="L454" cm="1">
        <f t="array" aca="1" ref="L454" ca="1">[1]!s_dq_close($B$1,$A454,3)</f>
        <v>25.8</v>
      </c>
    </row>
    <row r="455" spans="1:12">
      <c r="A455" s="23">
        <f t="shared" ca="1" si="6"/>
        <v>45720</v>
      </c>
      <c r="B455" cm="1">
        <f t="array" aca="1" ref="B455" ca="1">[1]!s_west_netprofit($B$1,YEAR($A455),$A455,180,1000000)</f>
        <v>123.741</v>
      </c>
      <c r="C455" cm="1">
        <f t="array" aca="1" ref="C455" ca="1">[1]!s_west_eps($B$1,YEAR($A455),$A455,180)</f>
        <v>0.13800000000000001</v>
      </c>
      <c r="D455" cm="1">
        <f t="array" aca="1" ref="D455" ca="1">[1]!s_west_instnum_np($B$1,YEAR($A455),$A455,180)</f>
        <v>16</v>
      </c>
      <c r="E455" cm="1">
        <f t="array" aca="1" ref="E455" ca="1">[1]!s_west_stdnetprofit($B$1,YEAR($A455),$A455,180,1000000)</f>
        <v>153.494415</v>
      </c>
      <c r="F455" cm="1">
        <f t="array" aca="1" ref="F455" ca="1">[1]!s_west_mediannetprofit($B$1,YEAR($A455),$A455,180,1000000)</f>
        <v>47.44</v>
      </c>
      <c r="G455" cm="1">
        <f t="array" aca="1" ref="G455" ca="1">[1]!s_west_netprofit($B$1,YEAR($A455)+1,$A455,180,1000000)</f>
        <v>129.96330800000001</v>
      </c>
      <c r="H455" cm="1">
        <f t="array" aca="1" ref="H455" ca="1">[1]!s_west_eps($B$1,YEAR($A455)+1,$A455,180)</f>
        <v>0.14699999999999999</v>
      </c>
      <c r="I455" cm="1">
        <f t="array" aca="1" ref="I455" ca="1">[1]!s_west_instnum_np($B$1,YEAR($A455)+1,$A455,180)</f>
        <v>13</v>
      </c>
      <c r="J455" cm="1">
        <f t="array" aca="1" ref="J455" ca="1">[1]!s_west_stdnetprofit($B$1,YEAR($A455)+1,$A455,180,1000000)</f>
        <v>31.334638000000002</v>
      </c>
      <c r="K455" cm="1">
        <f t="array" aca="1" ref="K455" ca="1">[1]!s_west_mediannetprofit($B$1,YEAR($A454)+1,$A454,180,1000000)</f>
        <v>125.51</v>
      </c>
      <c r="L455" cm="1">
        <f t="array" aca="1" ref="L455" ca="1">[1]!s_dq_close($B$1,$A455,3)</f>
        <v>25.1</v>
      </c>
    </row>
    <row r="456" spans="1:12">
      <c r="A456" s="23">
        <f t="shared" ca="1" si="6"/>
        <v>45719</v>
      </c>
      <c r="B456" cm="1">
        <f t="array" aca="1" ref="B456" ca="1">[1]!s_west_netprofit($B$1,YEAR($A456),$A456,180,1000000)</f>
        <v>123.741</v>
      </c>
      <c r="C456" cm="1">
        <f t="array" aca="1" ref="C456" ca="1">[1]!s_west_eps($B$1,YEAR($A456),$A456,180)</f>
        <v>0.13800000000000001</v>
      </c>
      <c r="D456" cm="1">
        <f t="array" aca="1" ref="D456" ca="1">[1]!s_west_instnum_np($B$1,YEAR($A456),$A456,180)</f>
        <v>16</v>
      </c>
      <c r="E456" cm="1">
        <f t="array" aca="1" ref="E456" ca="1">[1]!s_west_stdnetprofit($B$1,YEAR($A456),$A456,180,1000000)</f>
        <v>153.494415</v>
      </c>
      <c r="F456" cm="1">
        <f t="array" aca="1" ref="F456" ca="1">[1]!s_west_mediannetprofit($B$1,YEAR($A456),$A456,180,1000000)</f>
        <v>47.44</v>
      </c>
      <c r="G456" cm="1">
        <f t="array" aca="1" ref="G456" ca="1">[1]!s_west_netprofit($B$1,YEAR($A456)+1,$A456,180,1000000)</f>
        <v>129.96330800000001</v>
      </c>
      <c r="H456" cm="1">
        <f t="array" aca="1" ref="H456" ca="1">[1]!s_west_eps($B$1,YEAR($A456)+1,$A456,180)</f>
        <v>0.14699999999999999</v>
      </c>
      <c r="I456" cm="1">
        <f t="array" aca="1" ref="I456" ca="1">[1]!s_west_instnum_np($B$1,YEAR($A456)+1,$A456,180)</f>
        <v>13</v>
      </c>
      <c r="J456" cm="1">
        <f t="array" aca="1" ref="J456" ca="1">[1]!s_west_stdnetprofit($B$1,YEAR($A456)+1,$A456,180,1000000)</f>
        <v>31.334638000000002</v>
      </c>
      <c r="K456" cm="1">
        <f t="array" aca="1" ref="K456" ca="1">[1]!s_west_mediannetprofit($B$1,YEAR($A455)+1,$A455,180,1000000)</f>
        <v>125.51</v>
      </c>
      <c r="L456" cm="1">
        <f t="array" aca="1" ref="L456" ca="1">[1]!s_dq_close($B$1,$A456,3)</f>
        <v>25.2</v>
      </c>
    </row>
    <row r="457" spans="1:12">
      <c r="A457" s="23">
        <f t="shared" ca="1" si="6"/>
        <v>45718</v>
      </c>
      <c r="B457" cm="1">
        <f t="array" aca="1" ref="B457" ca="1">[1]!s_west_netprofit($B$1,YEAR($A457),$A457,180,1000000)</f>
        <v>123.741</v>
      </c>
      <c r="C457" cm="1">
        <f t="array" aca="1" ref="C457" ca="1">[1]!s_west_eps($B$1,YEAR($A457),$A457,180)</f>
        <v>0.13800000000000001</v>
      </c>
      <c r="D457" cm="1">
        <f t="array" aca="1" ref="D457" ca="1">[1]!s_west_instnum_np($B$1,YEAR($A457),$A457,180)</f>
        <v>16</v>
      </c>
      <c r="E457" cm="1">
        <f t="array" aca="1" ref="E457" ca="1">[1]!s_west_stdnetprofit($B$1,YEAR($A457),$A457,180,1000000)</f>
        <v>153.494415</v>
      </c>
      <c r="F457" cm="1">
        <f t="array" aca="1" ref="F457" ca="1">[1]!s_west_mediannetprofit($B$1,YEAR($A457),$A457,180,1000000)</f>
        <v>47.44</v>
      </c>
      <c r="G457" cm="1">
        <f t="array" aca="1" ref="G457" ca="1">[1]!s_west_netprofit($B$1,YEAR($A457)+1,$A457,180,1000000)</f>
        <v>129.96330800000001</v>
      </c>
      <c r="H457" cm="1">
        <f t="array" aca="1" ref="H457" ca="1">[1]!s_west_eps($B$1,YEAR($A457)+1,$A457,180)</f>
        <v>0.14699999999999999</v>
      </c>
      <c r="I457" cm="1">
        <f t="array" aca="1" ref="I457" ca="1">[1]!s_west_instnum_np($B$1,YEAR($A457)+1,$A457,180)</f>
        <v>13</v>
      </c>
      <c r="J457" cm="1">
        <f t="array" aca="1" ref="J457" ca="1">[1]!s_west_stdnetprofit($B$1,YEAR($A457)+1,$A457,180,1000000)</f>
        <v>31.334638000000002</v>
      </c>
      <c r="K457" cm="1">
        <f t="array" aca="1" ref="K457" ca="1">[1]!s_west_mediannetprofit($B$1,YEAR($A456)+1,$A456,180,1000000)</f>
        <v>125.51</v>
      </c>
      <c r="L457" cm="1">
        <f t="array" aca="1" ref="L457" ca="1">[1]!s_dq_close($B$1,$A457,3)</f>
        <v>25.75</v>
      </c>
    </row>
    <row r="458" spans="1:12">
      <c r="A458" s="23">
        <f t="shared" ca="1" si="6"/>
        <v>45717</v>
      </c>
      <c r="B458" cm="1">
        <f t="array" aca="1" ref="B458" ca="1">[1]!s_west_netprofit($B$1,YEAR($A458),$A458,180,1000000)</f>
        <v>123.741</v>
      </c>
      <c r="C458" cm="1">
        <f t="array" aca="1" ref="C458" ca="1">[1]!s_west_eps($B$1,YEAR($A458),$A458,180)</f>
        <v>0.13800000000000001</v>
      </c>
      <c r="D458" cm="1">
        <f t="array" aca="1" ref="D458" ca="1">[1]!s_west_instnum_np($B$1,YEAR($A458),$A458,180)</f>
        <v>16</v>
      </c>
      <c r="E458" cm="1">
        <f t="array" aca="1" ref="E458" ca="1">[1]!s_west_stdnetprofit($B$1,YEAR($A458),$A458,180,1000000)</f>
        <v>153.494415</v>
      </c>
      <c r="F458" cm="1">
        <f t="array" aca="1" ref="F458" ca="1">[1]!s_west_mediannetprofit($B$1,YEAR($A458),$A458,180,1000000)</f>
        <v>47.44</v>
      </c>
      <c r="G458" cm="1">
        <f t="array" aca="1" ref="G458" ca="1">[1]!s_west_netprofit($B$1,YEAR($A458)+1,$A458,180,1000000)</f>
        <v>129.96330800000001</v>
      </c>
      <c r="H458" cm="1">
        <f t="array" aca="1" ref="H458" ca="1">[1]!s_west_eps($B$1,YEAR($A458)+1,$A458,180)</f>
        <v>0.14699999999999999</v>
      </c>
      <c r="I458" cm="1">
        <f t="array" aca="1" ref="I458" ca="1">[1]!s_west_instnum_np($B$1,YEAR($A458)+1,$A458,180)</f>
        <v>13</v>
      </c>
      <c r="J458" cm="1">
        <f t="array" aca="1" ref="J458" ca="1">[1]!s_west_stdnetprofit($B$1,YEAR($A458)+1,$A458,180,1000000)</f>
        <v>31.334638000000002</v>
      </c>
      <c r="K458" cm="1">
        <f t="array" aca="1" ref="K458" ca="1">[1]!s_west_mediannetprofit($B$1,YEAR($A457)+1,$A457,180,1000000)</f>
        <v>125.51</v>
      </c>
      <c r="L458" cm="1">
        <f t="array" aca="1" ref="L458" ca="1">[1]!s_dq_close($B$1,$A458,3)</f>
        <v>25.75</v>
      </c>
    </row>
    <row r="459" spans="1:12">
      <c r="A459" s="23">
        <f t="shared" ca="1" si="6"/>
        <v>45716</v>
      </c>
      <c r="B459" cm="1">
        <f t="array" aca="1" ref="B459" ca="1">[1]!s_west_netprofit($B$1,YEAR($A459),$A459,180,1000000)</f>
        <v>123.741</v>
      </c>
      <c r="C459" cm="1">
        <f t="array" aca="1" ref="C459" ca="1">[1]!s_west_eps($B$1,YEAR($A459),$A459,180)</f>
        <v>0.13800000000000001</v>
      </c>
      <c r="D459" cm="1">
        <f t="array" aca="1" ref="D459" ca="1">[1]!s_west_instnum_np($B$1,YEAR($A459),$A459,180)</f>
        <v>16</v>
      </c>
      <c r="E459" cm="1">
        <f t="array" aca="1" ref="E459" ca="1">[1]!s_west_stdnetprofit($B$1,YEAR($A459),$A459,180,1000000)</f>
        <v>153.494415</v>
      </c>
      <c r="F459" cm="1">
        <f t="array" aca="1" ref="F459" ca="1">[1]!s_west_mediannetprofit($B$1,YEAR($A459),$A459,180,1000000)</f>
        <v>47.44</v>
      </c>
      <c r="G459" cm="1">
        <f t="array" aca="1" ref="G459" ca="1">[1]!s_west_netprofit($B$1,YEAR($A459)+1,$A459,180,1000000)</f>
        <v>129.96330800000001</v>
      </c>
      <c r="H459" cm="1">
        <f t="array" aca="1" ref="H459" ca="1">[1]!s_west_eps($B$1,YEAR($A459)+1,$A459,180)</f>
        <v>0.14699999999999999</v>
      </c>
      <c r="I459" cm="1">
        <f t="array" aca="1" ref="I459" ca="1">[1]!s_west_instnum_np($B$1,YEAR($A459)+1,$A459,180)</f>
        <v>13</v>
      </c>
      <c r="J459" cm="1">
        <f t="array" aca="1" ref="J459" ca="1">[1]!s_west_stdnetprofit($B$1,YEAR($A459)+1,$A459,180,1000000)</f>
        <v>31.334638000000002</v>
      </c>
      <c r="K459" cm="1">
        <f t="array" aca="1" ref="K459" ca="1">[1]!s_west_mediannetprofit($B$1,YEAR($A458)+1,$A458,180,1000000)</f>
        <v>125.51</v>
      </c>
      <c r="L459" cm="1">
        <f t="array" aca="1" ref="L459" ca="1">[1]!s_dq_close($B$1,$A459,3)</f>
        <v>25.75</v>
      </c>
    </row>
    <row r="460" spans="1:12">
      <c r="A460" s="23">
        <f t="shared" ca="1" si="6"/>
        <v>45715</v>
      </c>
      <c r="B460" cm="1">
        <f t="array" aca="1" ref="B460" ca="1">[1]!s_west_netprofit($B$1,YEAR($A460),$A460,180,1000000)</f>
        <v>123.741</v>
      </c>
      <c r="C460" cm="1">
        <f t="array" aca="1" ref="C460" ca="1">[1]!s_west_eps($B$1,YEAR($A460),$A460,180)</f>
        <v>0.13800000000000001</v>
      </c>
      <c r="D460" cm="1">
        <f t="array" aca="1" ref="D460" ca="1">[1]!s_west_instnum_np($B$1,YEAR($A460),$A460,180)</f>
        <v>16</v>
      </c>
      <c r="E460" cm="1">
        <f t="array" aca="1" ref="E460" ca="1">[1]!s_west_stdnetprofit($B$1,YEAR($A460),$A460,180,1000000)</f>
        <v>153.494415</v>
      </c>
      <c r="F460" cm="1">
        <f t="array" aca="1" ref="F460" ca="1">[1]!s_west_mediannetprofit($B$1,YEAR($A460),$A460,180,1000000)</f>
        <v>47.44</v>
      </c>
      <c r="G460" cm="1">
        <f t="array" aca="1" ref="G460" ca="1">[1]!s_west_netprofit($B$1,YEAR($A460)+1,$A460,180,1000000)</f>
        <v>129.96330800000001</v>
      </c>
      <c r="H460" cm="1">
        <f t="array" aca="1" ref="H460" ca="1">[1]!s_west_eps($B$1,YEAR($A460)+1,$A460,180)</f>
        <v>0.14699999999999999</v>
      </c>
      <c r="I460" cm="1">
        <f t="array" aca="1" ref="I460" ca="1">[1]!s_west_instnum_np($B$1,YEAR($A460)+1,$A460,180)</f>
        <v>13</v>
      </c>
      <c r="J460" cm="1">
        <f t="array" aca="1" ref="J460" ca="1">[1]!s_west_stdnetprofit($B$1,YEAR($A460)+1,$A460,180,1000000)</f>
        <v>31.334638000000002</v>
      </c>
      <c r="K460" cm="1">
        <f t="array" aca="1" ref="K460" ca="1">[1]!s_west_mediannetprofit($B$1,YEAR($A459)+1,$A459,180,1000000)</f>
        <v>125.51</v>
      </c>
      <c r="L460" cm="1">
        <f t="array" aca="1" ref="L460" ca="1">[1]!s_dq_close($B$1,$A460,3)</f>
        <v>26.7</v>
      </c>
    </row>
    <row r="461" spans="1:12">
      <c r="A461" s="23">
        <f t="shared" ref="A461:A524" ca="1" si="7">A460-1</f>
        <v>45714</v>
      </c>
      <c r="B461" cm="1">
        <f t="array" aca="1" ref="B461" ca="1">[1]!s_west_netprofit($B$1,YEAR($A461),$A461,180,1000000)</f>
        <v>123.741</v>
      </c>
      <c r="C461" cm="1">
        <f t="array" aca="1" ref="C461" ca="1">[1]!s_west_eps($B$1,YEAR($A461),$A461,180)</f>
        <v>0.13800000000000001</v>
      </c>
      <c r="D461" cm="1">
        <f t="array" aca="1" ref="D461" ca="1">[1]!s_west_instnum_np($B$1,YEAR($A461),$A461,180)</f>
        <v>16</v>
      </c>
      <c r="E461" cm="1">
        <f t="array" aca="1" ref="E461" ca="1">[1]!s_west_stdnetprofit($B$1,YEAR($A461),$A461,180,1000000)</f>
        <v>153.494415</v>
      </c>
      <c r="F461" cm="1">
        <f t="array" aca="1" ref="F461" ca="1">[1]!s_west_mediannetprofit($B$1,YEAR($A461),$A461,180,1000000)</f>
        <v>47.44</v>
      </c>
      <c r="G461" cm="1">
        <f t="array" aca="1" ref="G461" ca="1">[1]!s_west_netprofit($B$1,YEAR($A461)+1,$A461,180,1000000)</f>
        <v>129.96330800000001</v>
      </c>
      <c r="H461" cm="1">
        <f t="array" aca="1" ref="H461" ca="1">[1]!s_west_eps($B$1,YEAR($A461)+1,$A461,180)</f>
        <v>0.14699999999999999</v>
      </c>
      <c r="I461" cm="1">
        <f t="array" aca="1" ref="I461" ca="1">[1]!s_west_instnum_np($B$1,YEAR($A461)+1,$A461,180)</f>
        <v>13</v>
      </c>
      <c r="J461" cm="1">
        <f t="array" aca="1" ref="J461" ca="1">[1]!s_west_stdnetprofit($B$1,YEAR($A461)+1,$A461,180,1000000)</f>
        <v>31.334638000000002</v>
      </c>
      <c r="K461" cm="1">
        <f t="array" aca="1" ref="K461" ca="1">[1]!s_west_mediannetprofit($B$1,YEAR($A460)+1,$A460,180,1000000)</f>
        <v>125.51</v>
      </c>
      <c r="L461" cm="1">
        <f t="array" aca="1" ref="L461" ca="1">[1]!s_dq_close($B$1,$A461,3)</f>
        <v>26.1</v>
      </c>
    </row>
    <row r="462" spans="1:12">
      <c r="A462" s="23">
        <f t="shared" ca="1" si="7"/>
        <v>45713</v>
      </c>
      <c r="B462" cm="1">
        <f t="array" aca="1" ref="B462" ca="1">[1]!s_west_netprofit($B$1,YEAR($A462),$A462,180,1000000)</f>
        <v>123.741</v>
      </c>
      <c r="C462" cm="1">
        <f t="array" aca="1" ref="C462" ca="1">[1]!s_west_eps($B$1,YEAR($A462),$A462,180)</f>
        <v>0.13800000000000001</v>
      </c>
      <c r="D462" cm="1">
        <f t="array" aca="1" ref="D462" ca="1">[1]!s_west_instnum_np($B$1,YEAR($A462),$A462,180)</f>
        <v>16</v>
      </c>
      <c r="E462" cm="1">
        <f t="array" aca="1" ref="E462" ca="1">[1]!s_west_stdnetprofit($B$1,YEAR($A462),$A462,180,1000000)</f>
        <v>153.494415</v>
      </c>
      <c r="F462" cm="1">
        <f t="array" aca="1" ref="F462" ca="1">[1]!s_west_mediannetprofit($B$1,YEAR($A462),$A462,180,1000000)</f>
        <v>47.44</v>
      </c>
      <c r="G462" cm="1">
        <f t="array" aca="1" ref="G462" ca="1">[1]!s_west_netprofit($B$1,YEAR($A462)+1,$A462,180,1000000)</f>
        <v>129.96330800000001</v>
      </c>
      <c r="H462" cm="1">
        <f t="array" aca="1" ref="H462" ca="1">[1]!s_west_eps($B$1,YEAR($A462)+1,$A462,180)</f>
        <v>0.14699999999999999</v>
      </c>
      <c r="I462" cm="1">
        <f t="array" aca="1" ref="I462" ca="1">[1]!s_west_instnum_np($B$1,YEAR($A462)+1,$A462,180)</f>
        <v>13</v>
      </c>
      <c r="J462" cm="1">
        <f t="array" aca="1" ref="J462" ca="1">[1]!s_west_stdnetprofit($B$1,YEAR($A462)+1,$A462,180,1000000)</f>
        <v>31.334638000000002</v>
      </c>
      <c r="K462" cm="1">
        <f t="array" aca="1" ref="K462" ca="1">[1]!s_west_mediannetprofit($B$1,YEAR($A461)+1,$A461,180,1000000)</f>
        <v>125.51</v>
      </c>
      <c r="L462" cm="1">
        <f t="array" aca="1" ref="L462" ca="1">[1]!s_dq_close($B$1,$A462,3)</f>
        <v>24.8</v>
      </c>
    </row>
    <row r="463" spans="1:12">
      <c r="A463" s="23">
        <f t="shared" ca="1" si="7"/>
        <v>45712</v>
      </c>
      <c r="B463" cm="1">
        <f t="array" aca="1" ref="B463" ca="1">[1]!s_west_netprofit($B$1,YEAR($A463),$A463,180,1000000)</f>
        <v>123.741</v>
      </c>
      <c r="C463" cm="1">
        <f t="array" aca="1" ref="C463" ca="1">[1]!s_west_eps($B$1,YEAR($A463),$A463,180)</f>
        <v>0.13800000000000001</v>
      </c>
      <c r="D463" cm="1">
        <f t="array" aca="1" ref="D463" ca="1">[1]!s_west_instnum_np($B$1,YEAR($A463),$A463,180)</f>
        <v>16</v>
      </c>
      <c r="E463" cm="1">
        <f t="array" aca="1" ref="E463" ca="1">[1]!s_west_stdnetprofit($B$1,YEAR($A463),$A463,180,1000000)</f>
        <v>153.494415</v>
      </c>
      <c r="F463" cm="1">
        <f t="array" aca="1" ref="F463" ca="1">[1]!s_west_mediannetprofit($B$1,YEAR($A463),$A463,180,1000000)</f>
        <v>47.44</v>
      </c>
      <c r="G463" cm="1">
        <f t="array" aca="1" ref="G463" ca="1">[1]!s_west_netprofit($B$1,YEAR($A463)+1,$A463,180,1000000)</f>
        <v>129.96330800000001</v>
      </c>
      <c r="H463" cm="1">
        <f t="array" aca="1" ref="H463" ca="1">[1]!s_west_eps($B$1,YEAR($A463)+1,$A463,180)</f>
        <v>0.14699999999999999</v>
      </c>
      <c r="I463" cm="1">
        <f t="array" aca="1" ref="I463" ca="1">[1]!s_west_instnum_np($B$1,YEAR($A463)+1,$A463,180)</f>
        <v>13</v>
      </c>
      <c r="J463" cm="1">
        <f t="array" aca="1" ref="J463" ca="1">[1]!s_west_stdnetprofit($B$1,YEAR($A463)+1,$A463,180,1000000)</f>
        <v>31.334638000000002</v>
      </c>
      <c r="K463" cm="1">
        <f t="array" aca="1" ref="K463" ca="1">[1]!s_west_mediannetprofit($B$1,YEAR($A462)+1,$A462,180,1000000)</f>
        <v>125.51</v>
      </c>
      <c r="L463" cm="1">
        <f t="array" aca="1" ref="L463" ca="1">[1]!s_dq_close($B$1,$A463,3)</f>
        <v>24.8</v>
      </c>
    </row>
    <row r="464" spans="1:12">
      <c r="A464" s="23">
        <f t="shared" ca="1" si="7"/>
        <v>45711</v>
      </c>
      <c r="B464" cm="1">
        <f t="array" aca="1" ref="B464" ca="1">[1]!s_west_netprofit($B$1,YEAR($A464),$A464,180,1000000)</f>
        <v>123.741</v>
      </c>
      <c r="C464" cm="1">
        <f t="array" aca="1" ref="C464" ca="1">[1]!s_west_eps($B$1,YEAR($A464),$A464,180)</f>
        <v>0.13800000000000001</v>
      </c>
      <c r="D464" cm="1">
        <f t="array" aca="1" ref="D464" ca="1">[1]!s_west_instnum_np($B$1,YEAR($A464),$A464,180)</f>
        <v>16</v>
      </c>
      <c r="E464" cm="1">
        <f t="array" aca="1" ref="E464" ca="1">[1]!s_west_stdnetprofit($B$1,YEAR($A464),$A464,180,1000000)</f>
        <v>153.494415</v>
      </c>
      <c r="F464" cm="1">
        <f t="array" aca="1" ref="F464" ca="1">[1]!s_west_mediannetprofit($B$1,YEAR($A464),$A464,180,1000000)</f>
        <v>47.44</v>
      </c>
      <c r="G464" cm="1">
        <f t="array" aca="1" ref="G464" ca="1">[1]!s_west_netprofit($B$1,YEAR($A464)+1,$A464,180,1000000)</f>
        <v>129.96330800000001</v>
      </c>
      <c r="H464" cm="1">
        <f t="array" aca="1" ref="H464" ca="1">[1]!s_west_eps($B$1,YEAR($A464)+1,$A464,180)</f>
        <v>0.14699999999999999</v>
      </c>
      <c r="I464" cm="1">
        <f t="array" aca="1" ref="I464" ca="1">[1]!s_west_instnum_np($B$1,YEAR($A464)+1,$A464,180)</f>
        <v>13</v>
      </c>
      <c r="J464" cm="1">
        <f t="array" aca="1" ref="J464" ca="1">[1]!s_west_stdnetprofit($B$1,YEAR($A464)+1,$A464,180,1000000)</f>
        <v>31.334638000000002</v>
      </c>
      <c r="K464" cm="1">
        <f t="array" aca="1" ref="K464" ca="1">[1]!s_west_mediannetprofit($B$1,YEAR($A463)+1,$A463,180,1000000)</f>
        <v>125.51</v>
      </c>
      <c r="L464" cm="1">
        <f t="array" aca="1" ref="L464" ca="1">[1]!s_dq_close($B$1,$A464,3)</f>
        <v>25.45</v>
      </c>
    </row>
    <row r="465" spans="1:12">
      <c r="A465" s="23">
        <f t="shared" ca="1" si="7"/>
        <v>45710</v>
      </c>
      <c r="B465" cm="1">
        <f t="array" aca="1" ref="B465" ca="1">[1]!s_west_netprofit($B$1,YEAR($A465),$A465,180,1000000)</f>
        <v>123.741</v>
      </c>
      <c r="C465" cm="1">
        <f t="array" aca="1" ref="C465" ca="1">[1]!s_west_eps($B$1,YEAR($A465),$A465,180)</f>
        <v>0.13800000000000001</v>
      </c>
      <c r="D465" cm="1">
        <f t="array" aca="1" ref="D465" ca="1">[1]!s_west_instnum_np($B$1,YEAR($A465),$A465,180)</f>
        <v>16</v>
      </c>
      <c r="E465" cm="1">
        <f t="array" aca="1" ref="E465" ca="1">[1]!s_west_stdnetprofit($B$1,YEAR($A465),$A465,180,1000000)</f>
        <v>153.494415</v>
      </c>
      <c r="F465" cm="1">
        <f t="array" aca="1" ref="F465" ca="1">[1]!s_west_mediannetprofit($B$1,YEAR($A465),$A465,180,1000000)</f>
        <v>47.44</v>
      </c>
      <c r="G465" cm="1">
        <f t="array" aca="1" ref="G465" ca="1">[1]!s_west_netprofit($B$1,YEAR($A465)+1,$A465,180,1000000)</f>
        <v>129.96330800000001</v>
      </c>
      <c r="H465" cm="1">
        <f t="array" aca="1" ref="H465" ca="1">[1]!s_west_eps($B$1,YEAR($A465)+1,$A465,180)</f>
        <v>0.14699999999999999</v>
      </c>
      <c r="I465" cm="1">
        <f t="array" aca="1" ref="I465" ca="1">[1]!s_west_instnum_np($B$1,YEAR($A465)+1,$A465,180)</f>
        <v>13</v>
      </c>
      <c r="J465" cm="1">
        <f t="array" aca="1" ref="J465" ca="1">[1]!s_west_stdnetprofit($B$1,YEAR($A465)+1,$A465,180,1000000)</f>
        <v>31.334638000000002</v>
      </c>
      <c r="K465" cm="1">
        <f t="array" aca="1" ref="K465" ca="1">[1]!s_west_mediannetprofit($B$1,YEAR($A464)+1,$A464,180,1000000)</f>
        <v>125.51</v>
      </c>
      <c r="L465" cm="1">
        <f t="array" aca="1" ref="L465" ca="1">[1]!s_dq_close($B$1,$A465,3)</f>
        <v>25.45</v>
      </c>
    </row>
    <row r="466" spans="1:12">
      <c r="A466" s="23">
        <f t="shared" ca="1" si="7"/>
        <v>45709</v>
      </c>
      <c r="B466" cm="1">
        <f t="array" aca="1" ref="B466" ca="1">[1]!s_west_netprofit($B$1,YEAR($A466),$A466,180,1000000)</f>
        <v>123.741</v>
      </c>
      <c r="C466" cm="1">
        <f t="array" aca="1" ref="C466" ca="1">[1]!s_west_eps($B$1,YEAR($A466),$A466,180)</f>
        <v>0.13800000000000001</v>
      </c>
      <c r="D466" cm="1">
        <f t="array" aca="1" ref="D466" ca="1">[1]!s_west_instnum_np($B$1,YEAR($A466),$A466,180)</f>
        <v>16</v>
      </c>
      <c r="E466" cm="1">
        <f t="array" aca="1" ref="E466" ca="1">[1]!s_west_stdnetprofit($B$1,YEAR($A466),$A466,180,1000000)</f>
        <v>153.494415</v>
      </c>
      <c r="F466" cm="1">
        <f t="array" aca="1" ref="F466" ca="1">[1]!s_west_mediannetprofit($B$1,YEAR($A466),$A466,180,1000000)</f>
        <v>47.44</v>
      </c>
      <c r="G466" cm="1">
        <f t="array" aca="1" ref="G466" ca="1">[1]!s_west_netprofit($B$1,YEAR($A466)+1,$A466,180,1000000)</f>
        <v>129.96330800000001</v>
      </c>
      <c r="H466" cm="1">
        <f t="array" aca="1" ref="H466" ca="1">[1]!s_west_eps($B$1,YEAR($A466)+1,$A466,180)</f>
        <v>0.14699999999999999</v>
      </c>
      <c r="I466" cm="1">
        <f t="array" aca="1" ref="I466" ca="1">[1]!s_west_instnum_np($B$1,YEAR($A466)+1,$A466,180)</f>
        <v>13</v>
      </c>
      <c r="J466" cm="1">
        <f t="array" aca="1" ref="J466" ca="1">[1]!s_west_stdnetprofit($B$1,YEAR($A466)+1,$A466,180,1000000)</f>
        <v>31.334638000000002</v>
      </c>
      <c r="K466" cm="1">
        <f t="array" aca="1" ref="K466" ca="1">[1]!s_west_mediannetprofit($B$1,YEAR($A465)+1,$A465,180,1000000)</f>
        <v>125.51</v>
      </c>
      <c r="L466" cm="1">
        <f t="array" aca="1" ref="L466" ca="1">[1]!s_dq_close($B$1,$A466,3)</f>
        <v>25.45</v>
      </c>
    </row>
    <row r="467" spans="1:12">
      <c r="A467" s="23">
        <f t="shared" ca="1" si="7"/>
        <v>45708</v>
      </c>
      <c r="B467" cm="1">
        <f t="array" aca="1" ref="B467" ca="1">[1]!s_west_netprofit($B$1,YEAR($A467),$A467,180,1000000)</f>
        <v>123.741</v>
      </c>
      <c r="C467" cm="1">
        <f t="array" aca="1" ref="C467" ca="1">[1]!s_west_eps($B$1,YEAR($A467),$A467,180)</f>
        <v>0.13800000000000001</v>
      </c>
      <c r="D467" cm="1">
        <f t="array" aca="1" ref="D467" ca="1">[1]!s_west_instnum_np($B$1,YEAR($A467),$A467,180)</f>
        <v>16</v>
      </c>
      <c r="E467" cm="1">
        <f t="array" aca="1" ref="E467" ca="1">[1]!s_west_stdnetprofit($B$1,YEAR($A467),$A467,180,1000000)</f>
        <v>153.494415</v>
      </c>
      <c r="F467" cm="1">
        <f t="array" aca="1" ref="F467" ca="1">[1]!s_west_mediannetprofit($B$1,YEAR($A467),$A467,180,1000000)</f>
        <v>47.44</v>
      </c>
      <c r="G467" cm="1">
        <f t="array" aca="1" ref="G467" ca="1">[1]!s_west_netprofit($B$1,YEAR($A467)+1,$A467,180,1000000)</f>
        <v>129.96330800000001</v>
      </c>
      <c r="H467" cm="1">
        <f t="array" aca="1" ref="H467" ca="1">[1]!s_west_eps($B$1,YEAR($A467)+1,$A467,180)</f>
        <v>0.14699999999999999</v>
      </c>
      <c r="I467" cm="1">
        <f t="array" aca="1" ref="I467" ca="1">[1]!s_west_instnum_np($B$1,YEAR($A467)+1,$A467,180)</f>
        <v>13</v>
      </c>
      <c r="J467" cm="1">
        <f t="array" aca="1" ref="J467" ca="1">[1]!s_west_stdnetprofit($B$1,YEAR($A467)+1,$A467,180,1000000)</f>
        <v>31.334638000000002</v>
      </c>
      <c r="K467" cm="1">
        <f t="array" aca="1" ref="K467" ca="1">[1]!s_west_mediannetprofit($B$1,YEAR($A466)+1,$A466,180,1000000)</f>
        <v>125.51</v>
      </c>
      <c r="L467" cm="1">
        <f t="array" aca="1" ref="L467" ca="1">[1]!s_dq_close($B$1,$A467,3)</f>
        <v>23.8</v>
      </c>
    </row>
    <row r="468" spans="1:12">
      <c r="A468" s="23">
        <f t="shared" ca="1" si="7"/>
        <v>45707</v>
      </c>
      <c r="B468" cm="1">
        <f t="array" aca="1" ref="B468" ca="1">[1]!s_west_netprofit($B$1,YEAR($A468),$A468,180,1000000)</f>
        <v>123.741</v>
      </c>
      <c r="C468" cm="1">
        <f t="array" aca="1" ref="C468" ca="1">[1]!s_west_eps($B$1,YEAR($A468),$A468,180)</f>
        <v>0.13800000000000001</v>
      </c>
      <c r="D468" cm="1">
        <f t="array" aca="1" ref="D468" ca="1">[1]!s_west_instnum_np($B$1,YEAR($A468),$A468,180)</f>
        <v>16</v>
      </c>
      <c r="E468" cm="1">
        <f t="array" aca="1" ref="E468" ca="1">[1]!s_west_stdnetprofit($B$1,YEAR($A468),$A468,180,1000000)</f>
        <v>153.494415</v>
      </c>
      <c r="F468" cm="1">
        <f t="array" aca="1" ref="F468" ca="1">[1]!s_west_mediannetprofit($B$1,YEAR($A468),$A468,180,1000000)</f>
        <v>47.44</v>
      </c>
      <c r="G468" cm="1">
        <f t="array" aca="1" ref="G468" ca="1">[1]!s_west_netprofit($B$1,YEAR($A468)+1,$A468,180,1000000)</f>
        <v>129.96330800000001</v>
      </c>
      <c r="H468" cm="1">
        <f t="array" aca="1" ref="H468" ca="1">[1]!s_west_eps($B$1,YEAR($A468)+1,$A468,180)</f>
        <v>0.14699999999999999</v>
      </c>
      <c r="I468" cm="1">
        <f t="array" aca="1" ref="I468" ca="1">[1]!s_west_instnum_np($B$1,YEAR($A468)+1,$A468,180)</f>
        <v>13</v>
      </c>
      <c r="J468" cm="1">
        <f t="array" aca="1" ref="J468" ca="1">[1]!s_west_stdnetprofit($B$1,YEAR($A468)+1,$A468,180,1000000)</f>
        <v>31.334638000000002</v>
      </c>
      <c r="K468" cm="1">
        <f t="array" aca="1" ref="K468" ca="1">[1]!s_west_mediannetprofit($B$1,YEAR($A467)+1,$A467,180,1000000)</f>
        <v>125.51</v>
      </c>
      <c r="L468" cm="1">
        <f t="array" aca="1" ref="L468" ca="1">[1]!s_dq_close($B$1,$A468,3)</f>
        <v>22.95</v>
      </c>
    </row>
    <row r="469" spans="1:12">
      <c r="A469" s="23">
        <f t="shared" ca="1" si="7"/>
        <v>45706</v>
      </c>
      <c r="B469" cm="1">
        <f t="array" aca="1" ref="B469" ca="1">[1]!s_west_netprofit($B$1,YEAR($A469),$A469,180,1000000)</f>
        <v>123.741</v>
      </c>
      <c r="C469" cm="1">
        <f t="array" aca="1" ref="C469" ca="1">[1]!s_west_eps($B$1,YEAR($A469),$A469,180)</f>
        <v>0.13800000000000001</v>
      </c>
      <c r="D469" cm="1">
        <f t="array" aca="1" ref="D469" ca="1">[1]!s_west_instnum_np($B$1,YEAR($A469),$A469,180)</f>
        <v>16</v>
      </c>
      <c r="E469" cm="1">
        <f t="array" aca="1" ref="E469" ca="1">[1]!s_west_stdnetprofit($B$1,YEAR($A469),$A469,180,1000000)</f>
        <v>153.494415</v>
      </c>
      <c r="F469" cm="1">
        <f t="array" aca="1" ref="F469" ca="1">[1]!s_west_mediannetprofit($B$1,YEAR($A469),$A469,180,1000000)</f>
        <v>47.44</v>
      </c>
      <c r="G469" cm="1">
        <f t="array" aca="1" ref="G469" ca="1">[1]!s_west_netprofit($B$1,YEAR($A469)+1,$A469,180,1000000)</f>
        <v>129.96330800000001</v>
      </c>
      <c r="H469" cm="1">
        <f t="array" aca="1" ref="H469" ca="1">[1]!s_west_eps($B$1,YEAR($A469)+1,$A469,180)</f>
        <v>0.14699999999999999</v>
      </c>
      <c r="I469" cm="1">
        <f t="array" aca="1" ref="I469" ca="1">[1]!s_west_instnum_np($B$1,YEAR($A469)+1,$A469,180)</f>
        <v>13</v>
      </c>
      <c r="J469" cm="1">
        <f t="array" aca="1" ref="J469" ca="1">[1]!s_west_stdnetprofit($B$1,YEAR($A469)+1,$A469,180,1000000)</f>
        <v>31.334638000000002</v>
      </c>
      <c r="K469" cm="1">
        <f t="array" aca="1" ref="K469" ca="1">[1]!s_west_mediannetprofit($B$1,YEAR($A468)+1,$A468,180,1000000)</f>
        <v>125.51</v>
      </c>
      <c r="L469" cm="1">
        <f t="array" aca="1" ref="L469" ca="1">[1]!s_dq_close($B$1,$A469,3)</f>
        <v>21.5</v>
      </c>
    </row>
    <row r="470" spans="1:12">
      <c r="A470" s="23">
        <f t="shared" ca="1" si="7"/>
        <v>45705</v>
      </c>
      <c r="B470" cm="1">
        <f t="array" aca="1" ref="B470" ca="1">[1]!s_west_netprofit($B$1,YEAR($A470),$A470,180,1000000)</f>
        <v>123.741</v>
      </c>
      <c r="C470" cm="1">
        <f t="array" aca="1" ref="C470" ca="1">[1]!s_west_eps($B$1,YEAR($A470),$A470,180)</f>
        <v>0.13800000000000001</v>
      </c>
      <c r="D470" cm="1">
        <f t="array" aca="1" ref="D470" ca="1">[1]!s_west_instnum_np($B$1,YEAR($A470),$A470,180)</f>
        <v>16</v>
      </c>
      <c r="E470" cm="1">
        <f t="array" aca="1" ref="E470" ca="1">[1]!s_west_stdnetprofit($B$1,YEAR($A470),$A470,180,1000000)</f>
        <v>153.494415</v>
      </c>
      <c r="F470" cm="1">
        <f t="array" aca="1" ref="F470" ca="1">[1]!s_west_mediannetprofit($B$1,YEAR($A470),$A470,180,1000000)</f>
        <v>47.44</v>
      </c>
      <c r="G470" cm="1">
        <f t="array" aca="1" ref="G470" ca="1">[1]!s_west_netprofit($B$1,YEAR($A470)+1,$A470,180,1000000)</f>
        <v>129.96330800000001</v>
      </c>
      <c r="H470" cm="1">
        <f t="array" aca="1" ref="H470" ca="1">[1]!s_west_eps($B$1,YEAR($A470)+1,$A470,180)</f>
        <v>0.14699999999999999</v>
      </c>
      <c r="I470" cm="1">
        <f t="array" aca="1" ref="I470" ca="1">[1]!s_west_instnum_np($B$1,YEAR($A470)+1,$A470,180)</f>
        <v>13</v>
      </c>
      <c r="J470" cm="1">
        <f t="array" aca="1" ref="J470" ca="1">[1]!s_west_stdnetprofit($B$1,YEAR($A470)+1,$A470,180,1000000)</f>
        <v>31.334638000000002</v>
      </c>
      <c r="K470" cm="1">
        <f t="array" aca="1" ref="K470" ca="1">[1]!s_west_mediannetprofit($B$1,YEAR($A469)+1,$A469,180,1000000)</f>
        <v>125.51</v>
      </c>
      <c r="L470" cm="1">
        <f t="array" aca="1" ref="L470" ca="1">[1]!s_dq_close($B$1,$A470,3)</f>
        <v>21.25</v>
      </c>
    </row>
    <row r="471" spans="1:12">
      <c r="A471" s="23">
        <f t="shared" ca="1" si="7"/>
        <v>45704</v>
      </c>
      <c r="B471" cm="1">
        <f t="array" aca="1" ref="B471" ca="1">[1]!s_west_netprofit($B$1,YEAR($A471),$A471,180,1000000)</f>
        <v>117.41917599999999</v>
      </c>
      <c r="C471" cm="1">
        <f t="array" aca="1" ref="C471" ca="1">[1]!s_west_eps($B$1,YEAR($A471),$A471,180)</f>
        <v>0.13170000000000001</v>
      </c>
      <c r="D471" cm="1">
        <f t="array" aca="1" ref="D471" ca="1">[1]!s_west_instnum_np($B$1,YEAR($A471),$A471,180)</f>
        <v>17</v>
      </c>
      <c r="E471" cm="1">
        <f t="array" aca="1" ref="E471" ca="1">[1]!s_west_stdnetprofit($B$1,YEAR($A471),$A471,180,1000000)</f>
        <v>150.88874899999999</v>
      </c>
      <c r="F471" cm="1">
        <f t="array" aca="1" ref="F471" ca="1">[1]!s_west_mediannetprofit($B$1,YEAR($A471),$A471,180,1000000)</f>
        <v>46.05</v>
      </c>
      <c r="G471" cm="1">
        <f t="array" aca="1" ref="G471" ca="1">[1]!s_west_netprofit($B$1,YEAR($A471)+1,$A471,180,1000000)</f>
        <v>124.44450000000001</v>
      </c>
      <c r="H471" cm="1">
        <f t="array" aca="1" ref="H471" ca="1">[1]!s_west_eps($B$1,YEAR($A471)+1,$A471,180)</f>
        <v>0.14080000000000001</v>
      </c>
      <c r="I471" cm="1">
        <f t="array" aca="1" ref="I471" ca="1">[1]!s_west_instnum_np($B$1,YEAR($A471)+1,$A471,180)</f>
        <v>14</v>
      </c>
      <c r="J471" cm="1">
        <f t="array" aca="1" ref="J471" ca="1">[1]!s_west_stdnetprofit($B$1,YEAR($A471)+1,$A471,180,1000000)</f>
        <v>36.506618000000003</v>
      </c>
      <c r="K471" cm="1">
        <f t="array" aca="1" ref="K471" ca="1">[1]!s_west_mediannetprofit($B$1,YEAR($A470)+1,$A470,180,1000000)</f>
        <v>125.51</v>
      </c>
      <c r="L471" cm="1">
        <f t="array" aca="1" ref="L471" ca="1">[1]!s_dq_close($B$1,$A471,3)</f>
        <v>21.3</v>
      </c>
    </row>
    <row r="472" spans="1:12">
      <c r="A472" s="23">
        <f t="shared" ca="1" si="7"/>
        <v>45703</v>
      </c>
      <c r="B472" cm="1">
        <f t="array" aca="1" ref="B472" ca="1">[1]!s_west_netprofit($B$1,YEAR($A472),$A472,180,1000000)</f>
        <v>117.41917599999999</v>
      </c>
      <c r="C472" cm="1">
        <f t="array" aca="1" ref="C472" ca="1">[1]!s_west_eps($B$1,YEAR($A472),$A472,180)</f>
        <v>0.13170000000000001</v>
      </c>
      <c r="D472" cm="1">
        <f t="array" aca="1" ref="D472" ca="1">[1]!s_west_instnum_np($B$1,YEAR($A472),$A472,180)</f>
        <v>17</v>
      </c>
      <c r="E472" cm="1">
        <f t="array" aca="1" ref="E472" ca="1">[1]!s_west_stdnetprofit($B$1,YEAR($A472),$A472,180,1000000)</f>
        <v>150.88874899999999</v>
      </c>
      <c r="F472" cm="1">
        <f t="array" aca="1" ref="F472" ca="1">[1]!s_west_mediannetprofit($B$1,YEAR($A472),$A472,180,1000000)</f>
        <v>46.05</v>
      </c>
      <c r="G472" cm="1">
        <f t="array" aca="1" ref="G472" ca="1">[1]!s_west_netprofit($B$1,YEAR($A472)+1,$A472,180,1000000)</f>
        <v>124.44450000000001</v>
      </c>
      <c r="H472" cm="1">
        <f t="array" aca="1" ref="H472" ca="1">[1]!s_west_eps($B$1,YEAR($A472)+1,$A472,180)</f>
        <v>0.14080000000000001</v>
      </c>
      <c r="I472" cm="1">
        <f t="array" aca="1" ref="I472" ca="1">[1]!s_west_instnum_np($B$1,YEAR($A472)+1,$A472,180)</f>
        <v>14</v>
      </c>
      <c r="J472" cm="1">
        <f t="array" aca="1" ref="J472" ca="1">[1]!s_west_stdnetprofit($B$1,YEAR($A472)+1,$A472,180,1000000)</f>
        <v>36.506618000000003</v>
      </c>
      <c r="K472" cm="1">
        <f t="array" aca="1" ref="K472" ca="1">[1]!s_west_mediannetprofit($B$1,YEAR($A471)+1,$A471,180,1000000)</f>
        <v>121.755</v>
      </c>
      <c r="L472" cm="1">
        <f t="array" aca="1" ref="L472" ca="1">[1]!s_dq_close($B$1,$A472,3)</f>
        <v>21.3</v>
      </c>
    </row>
    <row r="473" spans="1:12">
      <c r="A473" s="23">
        <f t="shared" ca="1" si="7"/>
        <v>45702</v>
      </c>
      <c r="B473" cm="1">
        <f t="array" aca="1" ref="B473" ca="1">[1]!s_west_netprofit($B$1,YEAR($A473),$A473,180,1000000)</f>
        <v>117.41917599999999</v>
      </c>
      <c r="C473" cm="1">
        <f t="array" aca="1" ref="C473" ca="1">[1]!s_west_eps($B$1,YEAR($A473),$A473,180)</f>
        <v>0.13170000000000001</v>
      </c>
      <c r="D473" cm="1">
        <f t="array" aca="1" ref="D473" ca="1">[1]!s_west_instnum_np($B$1,YEAR($A473),$A473,180)</f>
        <v>17</v>
      </c>
      <c r="E473" cm="1">
        <f t="array" aca="1" ref="E473" ca="1">[1]!s_west_stdnetprofit($B$1,YEAR($A473),$A473,180,1000000)</f>
        <v>150.88874899999999</v>
      </c>
      <c r="F473" cm="1">
        <f t="array" aca="1" ref="F473" ca="1">[1]!s_west_mediannetprofit($B$1,YEAR($A473),$A473,180,1000000)</f>
        <v>46.05</v>
      </c>
      <c r="G473" cm="1">
        <f t="array" aca="1" ref="G473" ca="1">[1]!s_west_netprofit($B$1,YEAR($A473)+1,$A473,180,1000000)</f>
        <v>124.44450000000001</v>
      </c>
      <c r="H473" cm="1">
        <f t="array" aca="1" ref="H473" ca="1">[1]!s_west_eps($B$1,YEAR($A473)+1,$A473,180)</f>
        <v>0.14080000000000001</v>
      </c>
      <c r="I473" cm="1">
        <f t="array" aca="1" ref="I473" ca="1">[1]!s_west_instnum_np($B$1,YEAR($A473)+1,$A473,180)</f>
        <v>14</v>
      </c>
      <c r="J473" cm="1">
        <f t="array" aca="1" ref="J473" ca="1">[1]!s_west_stdnetprofit($B$1,YEAR($A473)+1,$A473,180,1000000)</f>
        <v>36.506618000000003</v>
      </c>
      <c r="K473" cm="1">
        <f t="array" aca="1" ref="K473" ca="1">[1]!s_west_mediannetprofit($B$1,YEAR($A472)+1,$A472,180,1000000)</f>
        <v>121.755</v>
      </c>
      <c r="L473" cm="1">
        <f t="array" aca="1" ref="L473" ca="1">[1]!s_dq_close($B$1,$A473,3)</f>
        <v>21.3</v>
      </c>
    </row>
    <row r="474" spans="1:12">
      <c r="A474" s="23">
        <f t="shared" ca="1" si="7"/>
        <v>45701</v>
      </c>
      <c r="B474" cm="1">
        <f t="array" aca="1" ref="B474" ca="1">[1]!s_west_netprofit($B$1,YEAR($A474),$A474,180,1000000)</f>
        <v>117.41917599999999</v>
      </c>
      <c r="C474" cm="1">
        <f t="array" aca="1" ref="C474" ca="1">[1]!s_west_eps($B$1,YEAR($A474),$A474,180)</f>
        <v>0.13170000000000001</v>
      </c>
      <c r="D474" cm="1">
        <f t="array" aca="1" ref="D474" ca="1">[1]!s_west_instnum_np($B$1,YEAR($A474),$A474,180)</f>
        <v>17</v>
      </c>
      <c r="E474" cm="1">
        <f t="array" aca="1" ref="E474" ca="1">[1]!s_west_stdnetprofit($B$1,YEAR($A474),$A474,180,1000000)</f>
        <v>150.88874899999999</v>
      </c>
      <c r="F474" cm="1">
        <f t="array" aca="1" ref="F474" ca="1">[1]!s_west_mediannetprofit($B$1,YEAR($A474),$A474,180,1000000)</f>
        <v>46.05</v>
      </c>
      <c r="G474" cm="1">
        <f t="array" aca="1" ref="G474" ca="1">[1]!s_west_netprofit($B$1,YEAR($A474)+1,$A474,180,1000000)</f>
        <v>124.44450000000001</v>
      </c>
      <c r="H474" cm="1">
        <f t="array" aca="1" ref="H474" ca="1">[1]!s_west_eps($B$1,YEAR($A474)+1,$A474,180)</f>
        <v>0.14080000000000001</v>
      </c>
      <c r="I474" cm="1">
        <f t="array" aca="1" ref="I474" ca="1">[1]!s_west_instnum_np($B$1,YEAR($A474)+1,$A474,180)</f>
        <v>14</v>
      </c>
      <c r="J474" cm="1">
        <f t="array" aca="1" ref="J474" ca="1">[1]!s_west_stdnetprofit($B$1,YEAR($A474)+1,$A474,180,1000000)</f>
        <v>36.506618000000003</v>
      </c>
      <c r="K474" cm="1">
        <f t="array" aca="1" ref="K474" ca="1">[1]!s_west_mediannetprofit($B$1,YEAR($A473)+1,$A473,180,1000000)</f>
        <v>121.755</v>
      </c>
      <c r="L474" cm="1">
        <f t="array" aca="1" ref="L474" ca="1">[1]!s_dq_close($B$1,$A474,3)</f>
        <v>20.350000000000001</v>
      </c>
    </row>
    <row r="475" spans="1:12">
      <c r="A475" s="23">
        <f t="shared" ca="1" si="7"/>
        <v>45700</v>
      </c>
      <c r="B475" cm="1">
        <f t="array" aca="1" ref="B475" ca="1">[1]!s_west_netprofit($B$1,YEAR($A475),$A475,180,1000000)</f>
        <v>117.41917599999999</v>
      </c>
      <c r="C475" cm="1">
        <f t="array" aca="1" ref="C475" ca="1">[1]!s_west_eps($B$1,YEAR($A475),$A475,180)</f>
        <v>0.13170000000000001</v>
      </c>
      <c r="D475" cm="1">
        <f t="array" aca="1" ref="D475" ca="1">[1]!s_west_instnum_np($B$1,YEAR($A475),$A475,180)</f>
        <v>17</v>
      </c>
      <c r="E475" cm="1">
        <f t="array" aca="1" ref="E475" ca="1">[1]!s_west_stdnetprofit($B$1,YEAR($A475),$A475,180,1000000)</f>
        <v>150.88874899999999</v>
      </c>
      <c r="F475" cm="1">
        <f t="array" aca="1" ref="F475" ca="1">[1]!s_west_mediannetprofit($B$1,YEAR($A475),$A475,180,1000000)</f>
        <v>46.05</v>
      </c>
      <c r="G475" cm="1">
        <f t="array" aca="1" ref="G475" ca="1">[1]!s_west_netprofit($B$1,YEAR($A475)+1,$A475,180,1000000)</f>
        <v>124.44450000000001</v>
      </c>
      <c r="H475" cm="1">
        <f t="array" aca="1" ref="H475" ca="1">[1]!s_west_eps($B$1,YEAR($A475)+1,$A475,180)</f>
        <v>0.14080000000000001</v>
      </c>
      <c r="I475" cm="1">
        <f t="array" aca="1" ref="I475" ca="1">[1]!s_west_instnum_np($B$1,YEAR($A475)+1,$A475,180)</f>
        <v>14</v>
      </c>
      <c r="J475" cm="1">
        <f t="array" aca="1" ref="J475" ca="1">[1]!s_west_stdnetprofit($B$1,YEAR($A475)+1,$A475,180,1000000)</f>
        <v>36.506618000000003</v>
      </c>
      <c r="K475" cm="1">
        <f t="array" aca="1" ref="K475" ca="1">[1]!s_west_mediannetprofit($B$1,YEAR($A474)+1,$A474,180,1000000)</f>
        <v>121.755</v>
      </c>
      <c r="L475" cm="1">
        <f t="array" aca="1" ref="L475" ca="1">[1]!s_dq_close($B$1,$A475,3)</f>
        <v>20.25</v>
      </c>
    </row>
    <row r="476" spans="1:12">
      <c r="A476" s="23">
        <f t="shared" ca="1" si="7"/>
        <v>45699</v>
      </c>
      <c r="B476" cm="1">
        <f t="array" aca="1" ref="B476" ca="1">[1]!s_west_netprofit($B$1,YEAR($A476),$A476,180,1000000)</f>
        <v>117.41917599999999</v>
      </c>
      <c r="C476" cm="1">
        <f t="array" aca="1" ref="C476" ca="1">[1]!s_west_eps($B$1,YEAR($A476),$A476,180)</f>
        <v>0.13170000000000001</v>
      </c>
      <c r="D476" cm="1">
        <f t="array" aca="1" ref="D476" ca="1">[1]!s_west_instnum_np($B$1,YEAR($A476),$A476,180)</f>
        <v>17</v>
      </c>
      <c r="E476" cm="1">
        <f t="array" aca="1" ref="E476" ca="1">[1]!s_west_stdnetprofit($B$1,YEAR($A476),$A476,180,1000000)</f>
        <v>150.88874899999999</v>
      </c>
      <c r="F476" cm="1">
        <f t="array" aca="1" ref="F476" ca="1">[1]!s_west_mediannetprofit($B$1,YEAR($A476),$A476,180,1000000)</f>
        <v>46.05</v>
      </c>
      <c r="G476" cm="1">
        <f t="array" aca="1" ref="G476" ca="1">[1]!s_west_netprofit($B$1,YEAR($A476)+1,$A476,180,1000000)</f>
        <v>124.44450000000001</v>
      </c>
      <c r="H476" cm="1">
        <f t="array" aca="1" ref="H476" ca="1">[1]!s_west_eps($B$1,YEAR($A476)+1,$A476,180)</f>
        <v>0.14080000000000001</v>
      </c>
      <c r="I476" cm="1">
        <f t="array" aca="1" ref="I476" ca="1">[1]!s_west_instnum_np($B$1,YEAR($A476)+1,$A476,180)</f>
        <v>14</v>
      </c>
      <c r="J476" cm="1">
        <f t="array" aca="1" ref="J476" ca="1">[1]!s_west_stdnetprofit($B$1,YEAR($A476)+1,$A476,180,1000000)</f>
        <v>36.506618000000003</v>
      </c>
      <c r="K476" cm="1">
        <f t="array" aca="1" ref="K476" ca="1">[1]!s_west_mediannetprofit($B$1,YEAR($A475)+1,$A475,180,1000000)</f>
        <v>121.755</v>
      </c>
      <c r="L476" cm="1">
        <f t="array" aca="1" ref="L476" ca="1">[1]!s_dq_close($B$1,$A476,3)</f>
        <v>20.7</v>
      </c>
    </row>
    <row r="477" spans="1:12">
      <c r="A477" s="23">
        <f t="shared" ca="1" si="7"/>
        <v>45698</v>
      </c>
      <c r="B477" cm="1">
        <f t="array" aca="1" ref="B477" ca="1">[1]!s_west_netprofit($B$1,YEAR($A477),$A477,180,1000000)</f>
        <v>117.41917599999999</v>
      </c>
      <c r="C477" cm="1">
        <f t="array" aca="1" ref="C477" ca="1">[1]!s_west_eps($B$1,YEAR($A477),$A477,180)</f>
        <v>0.13170000000000001</v>
      </c>
      <c r="D477" cm="1">
        <f t="array" aca="1" ref="D477" ca="1">[1]!s_west_instnum_np($B$1,YEAR($A477),$A477,180)</f>
        <v>17</v>
      </c>
      <c r="E477" cm="1">
        <f t="array" aca="1" ref="E477" ca="1">[1]!s_west_stdnetprofit($B$1,YEAR($A477),$A477,180,1000000)</f>
        <v>150.88874899999999</v>
      </c>
      <c r="F477" cm="1">
        <f t="array" aca="1" ref="F477" ca="1">[1]!s_west_mediannetprofit($B$1,YEAR($A477),$A477,180,1000000)</f>
        <v>46.05</v>
      </c>
      <c r="G477" cm="1">
        <f t="array" aca="1" ref="G477" ca="1">[1]!s_west_netprofit($B$1,YEAR($A477)+1,$A477,180,1000000)</f>
        <v>124.44450000000001</v>
      </c>
      <c r="H477" cm="1">
        <f t="array" aca="1" ref="H477" ca="1">[1]!s_west_eps($B$1,YEAR($A477)+1,$A477,180)</f>
        <v>0.14080000000000001</v>
      </c>
      <c r="I477" cm="1">
        <f t="array" aca="1" ref="I477" ca="1">[1]!s_west_instnum_np($B$1,YEAR($A477)+1,$A477,180)</f>
        <v>14</v>
      </c>
      <c r="J477" cm="1">
        <f t="array" aca="1" ref="J477" ca="1">[1]!s_west_stdnetprofit($B$1,YEAR($A477)+1,$A477,180,1000000)</f>
        <v>36.506618000000003</v>
      </c>
      <c r="K477" cm="1">
        <f t="array" aca="1" ref="K477" ca="1">[1]!s_west_mediannetprofit($B$1,YEAR($A476)+1,$A476,180,1000000)</f>
        <v>121.755</v>
      </c>
      <c r="L477" cm="1">
        <f t="array" aca="1" ref="L477" ca="1">[1]!s_dq_close($B$1,$A477,3)</f>
        <v>21</v>
      </c>
    </row>
    <row r="478" spans="1:12">
      <c r="A478" s="23">
        <f t="shared" ca="1" si="7"/>
        <v>45697</v>
      </c>
      <c r="B478" cm="1">
        <f t="array" aca="1" ref="B478" ca="1">[1]!s_west_netprofit($B$1,YEAR($A478),$A478,180,1000000)</f>
        <v>117.41917599999999</v>
      </c>
      <c r="C478" cm="1">
        <f t="array" aca="1" ref="C478" ca="1">[1]!s_west_eps($B$1,YEAR($A478),$A478,180)</f>
        <v>0.13170000000000001</v>
      </c>
      <c r="D478" cm="1">
        <f t="array" aca="1" ref="D478" ca="1">[1]!s_west_instnum_np($B$1,YEAR($A478),$A478,180)</f>
        <v>17</v>
      </c>
      <c r="E478" cm="1">
        <f t="array" aca="1" ref="E478" ca="1">[1]!s_west_stdnetprofit($B$1,YEAR($A478),$A478,180,1000000)</f>
        <v>150.88874899999999</v>
      </c>
      <c r="F478" cm="1">
        <f t="array" aca="1" ref="F478" ca="1">[1]!s_west_mediannetprofit($B$1,YEAR($A478),$A478,180,1000000)</f>
        <v>46.05</v>
      </c>
      <c r="G478" cm="1">
        <f t="array" aca="1" ref="G478" ca="1">[1]!s_west_netprofit($B$1,YEAR($A478)+1,$A478,180,1000000)</f>
        <v>124.44450000000001</v>
      </c>
      <c r="H478" cm="1">
        <f t="array" aca="1" ref="H478" ca="1">[1]!s_west_eps($B$1,YEAR($A478)+1,$A478,180)</f>
        <v>0.14080000000000001</v>
      </c>
      <c r="I478" cm="1">
        <f t="array" aca="1" ref="I478" ca="1">[1]!s_west_instnum_np($B$1,YEAR($A478)+1,$A478,180)</f>
        <v>14</v>
      </c>
      <c r="J478" cm="1">
        <f t="array" aca="1" ref="J478" ca="1">[1]!s_west_stdnetprofit($B$1,YEAR($A478)+1,$A478,180,1000000)</f>
        <v>36.506618000000003</v>
      </c>
      <c r="K478" cm="1">
        <f t="array" aca="1" ref="K478" ca="1">[1]!s_west_mediannetprofit($B$1,YEAR($A477)+1,$A477,180,1000000)</f>
        <v>121.755</v>
      </c>
      <c r="L478" cm="1">
        <f t="array" aca="1" ref="L478" ca="1">[1]!s_dq_close($B$1,$A478,3)</f>
        <v>20.95</v>
      </c>
    </row>
    <row r="479" spans="1:12">
      <c r="A479" s="23">
        <f t="shared" ca="1" si="7"/>
        <v>45696</v>
      </c>
      <c r="B479" cm="1">
        <f t="array" aca="1" ref="B479" ca="1">[1]!s_west_netprofit($B$1,YEAR($A479),$A479,180,1000000)</f>
        <v>117.41917599999999</v>
      </c>
      <c r="C479" cm="1">
        <f t="array" aca="1" ref="C479" ca="1">[1]!s_west_eps($B$1,YEAR($A479),$A479,180)</f>
        <v>0.13170000000000001</v>
      </c>
      <c r="D479" cm="1">
        <f t="array" aca="1" ref="D479" ca="1">[1]!s_west_instnum_np($B$1,YEAR($A479),$A479,180)</f>
        <v>17</v>
      </c>
      <c r="E479" cm="1">
        <f t="array" aca="1" ref="E479" ca="1">[1]!s_west_stdnetprofit($B$1,YEAR($A479),$A479,180,1000000)</f>
        <v>150.88874899999999</v>
      </c>
      <c r="F479" cm="1">
        <f t="array" aca="1" ref="F479" ca="1">[1]!s_west_mediannetprofit($B$1,YEAR($A479),$A479,180,1000000)</f>
        <v>46.05</v>
      </c>
      <c r="G479" cm="1">
        <f t="array" aca="1" ref="G479" ca="1">[1]!s_west_netprofit($B$1,YEAR($A479)+1,$A479,180,1000000)</f>
        <v>124.44450000000001</v>
      </c>
      <c r="H479" cm="1">
        <f t="array" aca="1" ref="H479" ca="1">[1]!s_west_eps($B$1,YEAR($A479)+1,$A479,180)</f>
        <v>0.14080000000000001</v>
      </c>
      <c r="I479" cm="1">
        <f t="array" aca="1" ref="I479" ca="1">[1]!s_west_instnum_np($B$1,YEAR($A479)+1,$A479,180)</f>
        <v>14</v>
      </c>
      <c r="J479" cm="1">
        <f t="array" aca="1" ref="J479" ca="1">[1]!s_west_stdnetprofit($B$1,YEAR($A479)+1,$A479,180,1000000)</f>
        <v>36.506618000000003</v>
      </c>
      <c r="K479" cm="1">
        <f t="array" aca="1" ref="K479" ca="1">[1]!s_west_mediannetprofit($B$1,YEAR($A478)+1,$A478,180,1000000)</f>
        <v>121.755</v>
      </c>
      <c r="L479" cm="1">
        <f t="array" aca="1" ref="L479" ca="1">[1]!s_dq_close($B$1,$A479,3)</f>
        <v>20.95</v>
      </c>
    </row>
    <row r="480" spans="1:12">
      <c r="A480" s="23">
        <f t="shared" ca="1" si="7"/>
        <v>45695</v>
      </c>
      <c r="B480" cm="1">
        <f t="array" aca="1" ref="B480" ca="1">[1]!s_west_netprofit($B$1,YEAR($A480),$A480,180,1000000)</f>
        <v>117.41917599999999</v>
      </c>
      <c r="C480" cm="1">
        <f t="array" aca="1" ref="C480" ca="1">[1]!s_west_eps($B$1,YEAR($A480),$A480,180)</f>
        <v>0.13170000000000001</v>
      </c>
      <c r="D480" cm="1">
        <f t="array" aca="1" ref="D480" ca="1">[1]!s_west_instnum_np($B$1,YEAR($A480),$A480,180)</f>
        <v>17</v>
      </c>
      <c r="E480" cm="1">
        <f t="array" aca="1" ref="E480" ca="1">[1]!s_west_stdnetprofit($B$1,YEAR($A480),$A480,180,1000000)</f>
        <v>150.88874899999999</v>
      </c>
      <c r="F480" cm="1">
        <f t="array" aca="1" ref="F480" ca="1">[1]!s_west_mediannetprofit($B$1,YEAR($A480),$A480,180,1000000)</f>
        <v>46.05</v>
      </c>
      <c r="G480" cm="1">
        <f t="array" aca="1" ref="G480" ca="1">[1]!s_west_netprofit($B$1,YEAR($A480)+1,$A480,180,1000000)</f>
        <v>124.44450000000001</v>
      </c>
      <c r="H480" cm="1">
        <f t="array" aca="1" ref="H480" ca="1">[1]!s_west_eps($B$1,YEAR($A480)+1,$A480,180)</f>
        <v>0.14080000000000001</v>
      </c>
      <c r="I480" cm="1">
        <f t="array" aca="1" ref="I480" ca="1">[1]!s_west_instnum_np($B$1,YEAR($A480)+1,$A480,180)</f>
        <v>14</v>
      </c>
      <c r="J480" cm="1">
        <f t="array" aca="1" ref="J480" ca="1">[1]!s_west_stdnetprofit($B$1,YEAR($A480)+1,$A480,180,1000000)</f>
        <v>36.506618000000003</v>
      </c>
      <c r="K480" cm="1">
        <f t="array" aca="1" ref="K480" ca="1">[1]!s_west_mediannetprofit($B$1,YEAR($A479)+1,$A479,180,1000000)</f>
        <v>121.755</v>
      </c>
      <c r="L480" cm="1">
        <f t="array" aca="1" ref="L480" ca="1">[1]!s_dq_close($B$1,$A480,3)</f>
        <v>20.95</v>
      </c>
    </row>
    <row r="481" spans="1:12">
      <c r="A481" s="23">
        <f t="shared" ca="1" si="7"/>
        <v>45694</v>
      </c>
      <c r="B481" cm="1">
        <f t="array" aca="1" ref="B481" ca="1">[1]!s_west_netprofit($B$1,YEAR($A481),$A481,180,1000000)</f>
        <v>117.41917599999999</v>
      </c>
      <c r="C481" cm="1">
        <f t="array" aca="1" ref="C481" ca="1">[1]!s_west_eps($B$1,YEAR($A481),$A481,180)</f>
        <v>0.13170000000000001</v>
      </c>
      <c r="D481" cm="1">
        <f t="array" aca="1" ref="D481" ca="1">[1]!s_west_instnum_np($B$1,YEAR($A481),$A481,180)</f>
        <v>17</v>
      </c>
      <c r="E481" cm="1">
        <f t="array" aca="1" ref="E481" ca="1">[1]!s_west_stdnetprofit($B$1,YEAR($A481),$A481,180,1000000)</f>
        <v>150.88874899999999</v>
      </c>
      <c r="F481" cm="1">
        <f t="array" aca="1" ref="F481" ca="1">[1]!s_west_mediannetprofit($B$1,YEAR($A481),$A481,180,1000000)</f>
        <v>46.05</v>
      </c>
      <c r="G481" cm="1">
        <f t="array" aca="1" ref="G481" ca="1">[1]!s_west_netprofit($B$1,YEAR($A481)+1,$A481,180,1000000)</f>
        <v>124.44450000000001</v>
      </c>
      <c r="H481" cm="1">
        <f t="array" aca="1" ref="H481" ca="1">[1]!s_west_eps($B$1,YEAR($A481)+1,$A481,180)</f>
        <v>0.14080000000000001</v>
      </c>
      <c r="I481" cm="1">
        <f t="array" aca="1" ref="I481" ca="1">[1]!s_west_instnum_np($B$1,YEAR($A481)+1,$A481,180)</f>
        <v>14</v>
      </c>
      <c r="J481" cm="1">
        <f t="array" aca="1" ref="J481" ca="1">[1]!s_west_stdnetprofit($B$1,YEAR($A481)+1,$A481,180,1000000)</f>
        <v>36.506618000000003</v>
      </c>
      <c r="K481" cm="1">
        <f t="array" aca="1" ref="K481" ca="1">[1]!s_west_mediannetprofit($B$1,YEAR($A480)+1,$A480,180,1000000)</f>
        <v>121.755</v>
      </c>
      <c r="L481" cm="1">
        <f t="array" aca="1" ref="L481" ca="1">[1]!s_dq_close($B$1,$A481,3)</f>
        <v>22.15</v>
      </c>
    </row>
    <row r="482" spans="1:12">
      <c r="A482" s="23">
        <f t="shared" ca="1" si="7"/>
        <v>45693</v>
      </c>
      <c r="B482" cm="1">
        <f t="array" aca="1" ref="B482" ca="1">[1]!s_west_netprofit($B$1,YEAR($A482),$A482,180,1000000)</f>
        <v>117.41917599999999</v>
      </c>
      <c r="C482" cm="1">
        <f t="array" aca="1" ref="C482" ca="1">[1]!s_west_eps($B$1,YEAR($A482),$A482,180)</f>
        <v>0.13170000000000001</v>
      </c>
      <c r="D482" cm="1">
        <f t="array" aca="1" ref="D482" ca="1">[1]!s_west_instnum_np($B$1,YEAR($A482),$A482,180)</f>
        <v>17</v>
      </c>
      <c r="E482" cm="1">
        <f t="array" aca="1" ref="E482" ca="1">[1]!s_west_stdnetprofit($B$1,YEAR($A482),$A482,180,1000000)</f>
        <v>150.88874899999999</v>
      </c>
      <c r="F482" cm="1">
        <f t="array" aca="1" ref="F482" ca="1">[1]!s_west_mediannetprofit($B$1,YEAR($A482),$A482,180,1000000)</f>
        <v>46.05</v>
      </c>
      <c r="G482" cm="1">
        <f t="array" aca="1" ref="G482" ca="1">[1]!s_west_netprofit($B$1,YEAR($A482)+1,$A482,180,1000000)</f>
        <v>124.44450000000001</v>
      </c>
      <c r="H482" cm="1">
        <f t="array" aca="1" ref="H482" ca="1">[1]!s_west_eps($B$1,YEAR($A482)+1,$A482,180)</f>
        <v>0.14080000000000001</v>
      </c>
      <c r="I482" cm="1">
        <f t="array" aca="1" ref="I482" ca="1">[1]!s_west_instnum_np($B$1,YEAR($A482)+1,$A482,180)</f>
        <v>14</v>
      </c>
      <c r="J482" cm="1">
        <f t="array" aca="1" ref="J482" ca="1">[1]!s_west_stdnetprofit($B$1,YEAR($A482)+1,$A482,180,1000000)</f>
        <v>36.506618000000003</v>
      </c>
      <c r="K482" cm="1">
        <f t="array" aca="1" ref="K482" ca="1">[1]!s_west_mediannetprofit($B$1,YEAR($A481)+1,$A481,180,1000000)</f>
        <v>121.755</v>
      </c>
      <c r="L482" cm="1">
        <f t="array" aca="1" ref="L482" ca="1">[1]!s_dq_close($B$1,$A482,3)</f>
        <v>21.45</v>
      </c>
    </row>
    <row r="483" spans="1:12">
      <c r="A483" s="23">
        <f t="shared" ca="1" si="7"/>
        <v>45692</v>
      </c>
      <c r="B483" cm="1">
        <f t="array" aca="1" ref="B483" ca="1">[1]!s_west_netprofit($B$1,YEAR($A483),$A483,180,1000000)</f>
        <v>114.514222</v>
      </c>
      <c r="C483" cm="1">
        <f t="array" aca="1" ref="C483" ca="1">[1]!s_west_eps($B$1,YEAR($A483),$A483,180)</f>
        <v>0.129</v>
      </c>
      <c r="D483" cm="1">
        <f t="array" aca="1" ref="D483" ca="1">[1]!s_west_instnum_np($B$1,YEAR($A483),$A483,180)</f>
        <v>18</v>
      </c>
      <c r="E483" cm="1">
        <f t="array" aca="1" ref="E483" ca="1">[1]!s_west_stdnetprofit($B$1,YEAR($A483),$A483,180,1000000)</f>
        <v>146.90150600000001</v>
      </c>
      <c r="F483" cm="1">
        <f t="array" aca="1" ref="F483" ca="1">[1]!s_west_mediannetprofit($B$1,YEAR($A483),$A483,180,1000000)</f>
        <v>47.44</v>
      </c>
      <c r="G483" cm="1">
        <f t="array" aca="1" ref="G483" ca="1">[1]!s_west_netprofit($B$1,YEAR($A483)+1,$A483,180,1000000)</f>
        <v>124.773533</v>
      </c>
      <c r="H483" cm="1">
        <f t="array" aca="1" ref="H483" ca="1">[1]!s_west_eps($B$1,YEAR($A483)+1,$A483,180)</f>
        <v>0.1414</v>
      </c>
      <c r="I483" cm="1">
        <f t="array" aca="1" ref="I483" ca="1">[1]!s_west_instnum_np($B$1,YEAR($A483)+1,$A483,180)</f>
        <v>15</v>
      </c>
      <c r="J483" cm="1">
        <f t="array" aca="1" ref="J483" ca="1">[1]!s_west_stdnetprofit($B$1,YEAR($A483)+1,$A483,180,1000000)</f>
        <v>35.201732</v>
      </c>
      <c r="K483" cm="1">
        <f t="array" aca="1" ref="K483" ca="1">[1]!s_west_mediannetprofit($B$1,YEAR($A482)+1,$A482,180,1000000)</f>
        <v>121.755</v>
      </c>
      <c r="L483" cm="1">
        <f t="array" aca="1" ref="L483" ca="1">[1]!s_dq_close($B$1,$A483,3)</f>
        <v>20.95</v>
      </c>
    </row>
    <row r="484" spans="1:12">
      <c r="A484" s="23">
        <f t="shared" ca="1" si="7"/>
        <v>45691</v>
      </c>
      <c r="B484" cm="1">
        <f t="array" aca="1" ref="B484" ca="1">[1]!s_west_netprofit($B$1,YEAR($A484),$A484,180,1000000)</f>
        <v>114.514222</v>
      </c>
      <c r="C484" cm="1">
        <f t="array" aca="1" ref="C484" ca="1">[1]!s_west_eps($B$1,YEAR($A484),$A484,180)</f>
        <v>0.129</v>
      </c>
      <c r="D484" cm="1">
        <f t="array" aca="1" ref="D484" ca="1">[1]!s_west_instnum_np($B$1,YEAR($A484),$A484,180)</f>
        <v>18</v>
      </c>
      <c r="E484" cm="1">
        <f t="array" aca="1" ref="E484" ca="1">[1]!s_west_stdnetprofit($B$1,YEAR($A484),$A484,180,1000000)</f>
        <v>146.90150600000001</v>
      </c>
      <c r="F484" cm="1">
        <f t="array" aca="1" ref="F484" ca="1">[1]!s_west_mediannetprofit($B$1,YEAR($A484),$A484,180,1000000)</f>
        <v>47.44</v>
      </c>
      <c r="G484" cm="1">
        <f t="array" aca="1" ref="G484" ca="1">[1]!s_west_netprofit($B$1,YEAR($A484)+1,$A484,180,1000000)</f>
        <v>124.773533</v>
      </c>
      <c r="H484" cm="1">
        <f t="array" aca="1" ref="H484" ca="1">[1]!s_west_eps($B$1,YEAR($A484)+1,$A484,180)</f>
        <v>0.1414</v>
      </c>
      <c r="I484" cm="1">
        <f t="array" aca="1" ref="I484" ca="1">[1]!s_west_instnum_np($B$1,YEAR($A484)+1,$A484,180)</f>
        <v>15</v>
      </c>
      <c r="J484" cm="1">
        <f t="array" aca="1" ref="J484" ca="1">[1]!s_west_stdnetprofit($B$1,YEAR($A484)+1,$A484,180,1000000)</f>
        <v>35.201732</v>
      </c>
      <c r="K484" cm="1">
        <f t="array" aca="1" ref="K484" ca="1">[1]!s_west_mediannetprofit($B$1,YEAR($A483)+1,$A483,180,1000000)</f>
        <v>125.51</v>
      </c>
      <c r="L484" cm="1">
        <f t="array" aca="1" ref="L484" ca="1">[1]!s_dq_close($B$1,$A484,3)</f>
        <v>20.5</v>
      </c>
    </row>
    <row r="485" spans="1:12">
      <c r="A485" s="23">
        <f t="shared" ca="1" si="7"/>
        <v>45690</v>
      </c>
      <c r="B485" cm="1">
        <f t="array" aca="1" ref="B485" ca="1">[1]!s_west_netprofit($B$1,YEAR($A485),$A485,180,1000000)</f>
        <v>114.514222</v>
      </c>
      <c r="C485" cm="1">
        <f t="array" aca="1" ref="C485" ca="1">[1]!s_west_eps($B$1,YEAR($A485),$A485,180)</f>
        <v>0.129</v>
      </c>
      <c r="D485" cm="1">
        <f t="array" aca="1" ref="D485" ca="1">[1]!s_west_instnum_np($B$1,YEAR($A485),$A485,180)</f>
        <v>18</v>
      </c>
      <c r="E485" cm="1">
        <f t="array" aca="1" ref="E485" ca="1">[1]!s_west_stdnetprofit($B$1,YEAR($A485),$A485,180,1000000)</f>
        <v>146.90150600000001</v>
      </c>
      <c r="F485" cm="1">
        <f t="array" aca="1" ref="F485" ca="1">[1]!s_west_mediannetprofit($B$1,YEAR($A485),$A485,180,1000000)</f>
        <v>47.44</v>
      </c>
      <c r="G485" cm="1">
        <f t="array" aca="1" ref="G485" ca="1">[1]!s_west_netprofit($B$1,YEAR($A485)+1,$A485,180,1000000)</f>
        <v>124.773533</v>
      </c>
      <c r="H485" cm="1">
        <f t="array" aca="1" ref="H485" ca="1">[1]!s_west_eps($B$1,YEAR($A485)+1,$A485,180)</f>
        <v>0.1414</v>
      </c>
      <c r="I485" cm="1">
        <f t="array" aca="1" ref="I485" ca="1">[1]!s_west_instnum_np($B$1,YEAR($A485)+1,$A485,180)</f>
        <v>15</v>
      </c>
      <c r="J485" cm="1">
        <f t="array" aca="1" ref="J485" ca="1">[1]!s_west_stdnetprofit($B$1,YEAR($A485)+1,$A485,180,1000000)</f>
        <v>35.201732</v>
      </c>
      <c r="K485" cm="1">
        <f t="array" aca="1" ref="K485" ca="1">[1]!s_west_mediannetprofit($B$1,YEAR($A484)+1,$A484,180,1000000)</f>
        <v>125.51</v>
      </c>
      <c r="L485" cm="1">
        <f t="array" aca="1" ref="L485" ca="1">[1]!s_dq_close($B$1,$A485,3)</f>
        <v>20.9</v>
      </c>
    </row>
    <row r="486" spans="1:12">
      <c r="A486" s="23">
        <f t="shared" ca="1" si="7"/>
        <v>45689</v>
      </c>
      <c r="B486" cm="1">
        <f t="array" aca="1" ref="B486" ca="1">[1]!s_west_netprofit($B$1,YEAR($A486),$A486,180,1000000)</f>
        <v>112.43452600000001</v>
      </c>
      <c r="C486" cm="1">
        <f t="array" aca="1" ref="C486" ca="1">[1]!s_west_eps($B$1,YEAR($A486),$A486,180)</f>
        <v>0.12709999999999999</v>
      </c>
      <c r="D486" cm="1">
        <f t="array" aca="1" ref="D486" ca="1">[1]!s_west_instnum_np($B$1,YEAR($A486),$A486,180)</f>
        <v>19</v>
      </c>
      <c r="E486" cm="1">
        <f t="array" aca="1" ref="E486" ca="1">[1]!s_west_stdnetprofit($B$1,YEAR($A486),$A486,180,1000000)</f>
        <v>143.05012500000001</v>
      </c>
      <c r="F486" cm="1">
        <f t="array" aca="1" ref="F486" ca="1">[1]!s_west_mediannetprofit($B$1,YEAR($A486),$A486,180,1000000)</f>
        <v>48.83</v>
      </c>
      <c r="G486" cm="1">
        <f t="array" aca="1" ref="G486" ca="1">[1]!s_west_netprofit($B$1,YEAR($A486)+1,$A486,180,1000000)</f>
        <v>126.287688</v>
      </c>
      <c r="H486" cm="1">
        <f t="array" aca="1" ref="H486" ca="1">[1]!s_west_eps($B$1,YEAR($A486)+1,$A486,180)</f>
        <v>0.14319999999999999</v>
      </c>
      <c r="I486" cm="1">
        <f t="array" aca="1" ref="I486" ca="1">[1]!s_west_instnum_np($B$1,YEAR($A486)+1,$A486,180)</f>
        <v>16</v>
      </c>
      <c r="J486" cm="1">
        <f t="array" aca="1" ref="J486" ca="1">[1]!s_west_stdnetprofit($B$1,YEAR($A486)+1,$A486,180,1000000)</f>
        <v>34.543214999999996</v>
      </c>
      <c r="K486" cm="1">
        <f t="array" aca="1" ref="K486" ca="1">[1]!s_west_mediannetprofit($B$1,YEAR($A485)+1,$A485,180,1000000)</f>
        <v>125.51</v>
      </c>
      <c r="L486" cm="1">
        <f t="array" aca="1" ref="L486" ca="1">[1]!s_dq_close($B$1,$A486,3)</f>
        <v>20.9</v>
      </c>
    </row>
    <row r="487" spans="1:12">
      <c r="A487" s="23">
        <f t="shared" ca="1" si="7"/>
        <v>45688</v>
      </c>
      <c r="B487" cm="1">
        <f t="array" aca="1" ref="B487" ca="1">[1]!s_west_netprofit($B$1,YEAR($A487),$A487,180,1000000)</f>
        <v>112.43452600000001</v>
      </c>
      <c r="C487" cm="1">
        <f t="array" aca="1" ref="C487" ca="1">[1]!s_west_eps($B$1,YEAR($A487),$A487,180)</f>
        <v>0.12709999999999999</v>
      </c>
      <c r="D487" cm="1">
        <f t="array" aca="1" ref="D487" ca="1">[1]!s_west_instnum_np($B$1,YEAR($A487),$A487,180)</f>
        <v>19</v>
      </c>
      <c r="E487" cm="1">
        <f t="array" aca="1" ref="E487" ca="1">[1]!s_west_stdnetprofit($B$1,YEAR($A487),$A487,180,1000000)</f>
        <v>143.05012500000001</v>
      </c>
      <c r="F487" cm="1">
        <f t="array" aca="1" ref="F487" ca="1">[1]!s_west_mediannetprofit($B$1,YEAR($A487),$A487,180,1000000)</f>
        <v>48.83</v>
      </c>
      <c r="G487" cm="1">
        <f t="array" aca="1" ref="G487" ca="1">[1]!s_west_netprofit($B$1,YEAR($A487)+1,$A487,180,1000000)</f>
        <v>126.287688</v>
      </c>
      <c r="H487" cm="1">
        <f t="array" aca="1" ref="H487" ca="1">[1]!s_west_eps($B$1,YEAR($A487)+1,$A487,180)</f>
        <v>0.14319999999999999</v>
      </c>
      <c r="I487" cm="1">
        <f t="array" aca="1" ref="I487" ca="1">[1]!s_west_instnum_np($B$1,YEAR($A487)+1,$A487,180)</f>
        <v>16</v>
      </c>
      <c r="J487" cm="1">
        <f t="array" aca="1" ref="J487" ca="1">[1]!s_west_stdnetprofit($B$1,YEAR($A487)+1,$A487,180,1000000)</f>
        <v>34.543214999999996</v>
      </c>
      <c r="K487" cm="1">
        <f t="array" aca="1" ref="K487" ca="1">[1]!s_west_mediannetprofit($B$1,YEAR($A486)+1,$A486,180,1000000)</f>
        <v>125.51</v>
      </c>
      <c r="L487" cm="1">
        <f t="array" aca="1" ref="L487" ca="1">[1]!s_dq_close($B$1,$A487,3)</f>
        <v>20.9</v>
      </c>
    </row>
    <row r="488" spans="1:12">
      <c r="A488" s="23">
        <f t="shared" ca="1" si="7"/>
        <v>45687</v>
      </c>
      <c r="B488" cm="1">
        <f t="array" aca="1" ref="B488" ca="1">[1]!s_west_netprofit($B$1,YEAR($A488),$A488,180,1000000)</f>
        <v>108.869333</v>
      </c>
      <c r="C488" cm="1">
        <f t="array" aca="1" ref="C488" ca="1">[1]!s_west_eps($B$1,YEAR($A488),$A488,180)</f>
        <v>0.12379999999999999</v>
      </c>
      <c r="D488" cm="1">
        <f t="array" aca="1" ref="D488" ca="1">[1]!s_west_instnum_np($B$1,YEAR($A488),$A488,180)</f>
        <v>21</v>
      </c>
      <c r="E488" cm="1">
        <f t="array" aca="1" ref="E488" ca="1">[1]!s_west_stdnetprofit($B$1,YEAR($A488),$A488,180,1000000)</f>
        <v>136.281667</v>
      </c>
      <c r="F488" cm="1">
        <f t="array" aca="1" ref="F488" ca="1">[1]!s_west_mediannetprofit($B$1,YEAR($A488),$A488,180,1000000)</f>
        <v>58</v>
      </c>
      <c r="G488" cm="1">
        <f t="array" aca="1" ref="G488" ca="1">[1]!s_west_netprofit($B$1,YEAR($A488)+1,$A488,180,1000000)</f>
        <v>132.36683300000001</v>
      </c>
      <c r="H488" cm="1">
        <f t="array" aca="1" ref="H488" ca="1">[1]!s_west_eps($B$1,YEAR($A488)+1,$A488,180)</f>
        <v>0.15049999999999999</v>
      </c>
      <c r="I488" cm="1">
        <f t="array" aca="1" ref="I488" ca="1">[1]!s_west_instnum_np($B$1,YEAR($A488)+1,$A488,180)</f>
        <v>18</v>
      </c>
      <c r="J488" cm="1">
        <f t="array" aca="1" ref="J488" ca="1">[1]!s_west_stdnetprofit($B$1,YEAR($A488)+1,$A488,180,1000000)</f>
        <v>37.150070999999997</v>
      </c>
      <c r="K488" cm="1">
        <f t="array" aca="1" ref="K488" ca="1">[1]!s_west_mediannetprofit($B$1,YEAR($A487)+1,$A487,180,1000000)</f>
        <v>125.51</v>
      </c>
      <c r="L488" cm="1">
        <f t="array" aca="1" ref="L488" ca="1">[1]!s_dq_close($B$1,$A488,3)</f>
        <v>20.9</v>
      </c>
    </row>
    <row r="489" spans="1:12">
      <c r="A489" s="23">
        <f t="shared" ca="1" si="7"/>
        <v>45686</v>
      </c>
      <c r="B489" cm="1">
        <f t="array" aca="1" ref="B489" ca="1">[1]!s_west_netprofit($B$1,YEAR($A489),$A489,180,1000000)</f>
        <v>107.73890900000001</v>
      </c>
      <c r="C489" cm="1">
        <f t="array" aca="1" ref="C489" ca="1">[1]!s_west_eps($B$1,YEAR($A489),$A489,180)</f>
        <v>0.1227</v>
      </c>
      <c r="D489" cm="1">
        <f t="array" aca="1" ref="D489" ca="1">[1]!s_west_instnum_np($B$1,YEAR($A489),$A489,180)</f>
        <v>22</v>
      </c>
      <c r="E489" cm="1">
        <f t="array" aca="1" ref="E489" ca="1">[1]!s_west_stdnetprofit($B$1,YEAR($A489),$A489,180,1000000)</f>
        <v>133.102936</v>
      </c>
      <c r="F489" cm="1">
        <f t="array" aca="1" ref="F489" ca="1">[1]!s_west_mediannetprofit($B$1,YEAR($A489),$A489,180,1000000)</f>
        <v>59.5</v>
      </c>
      <c r="G489" cm="1">
        <f t="array" aca="1" ref="G489" ca="1">[1]!s_west_netprofit($B$1,YEAR($A489)+1,$A489,180,1000000)</f>
        <v>136.03173699999999</v>
      </c>
      <c r="H489" cm="1">
        <f t="array" aca="1" ref="H489" ca="1">[1]!s_west_eps($B$1,YEAR($A489)+1,$A489,180)</f>
        <v>0.15459999999999999</v>
      </c>
      <c r="I489" cm="1">
        <f t="array" aca="1" ref="I489" ca="1">[1]!s_west_instnum_np($B$1,YEAR($A489)+1,$A489,180)</f>
        <v>19</v>
      </c>
      <c r="J489" cm="1">
        <f t="array" aca="1" ref="J489" ca="1">[1]!s_west_stdnetprofit($B$1,YEAR($A489)+1,$A489,180,1000000)</f>
        <v>39.479776999999999</v>
      </c>
      <c r="K489" cm="1">
        <f t="array" aca="1" ref="K489" ca="1">[1]!s_west_mediannetprofit($B$1,YEAR($A488)+1,$A488,180,1000000)</f>
        <v>127.44499999999999</v>
      </c>
      <c r="L489" cm="1">
        <f t="array" aca="1" ref="L489" ca="1">[1]!s_dq_close($B$1,$A489,3)</f>
        <v>20.9</v>
      </c>
    </row>
    <row r="490" spans="1:12">
      <c r="A490" s="23">
        <f t="shared" ca="1" si="7"/>
        <v>45685</v>
      </c>
      <c r="B490" cm="1">
        <f t="array" aca="1" ref="B490" ca="1">[1]!s_west_netprofit($B$1,YEAR($A490),$A490,180,1000000)</f>
        <v>103.302333</v>
      </c>
      <c r="C490" cm="1">
        <f t="array" aca="1" ref="C490" ca="1">[1]!s_west_eps($B$1,YEAR($A490),$A490,180)</f>
        <v>0.1169</v>
      </c>
      <c r="D490" cm="1">
        <f t="array" aca="1" ref="D490" ca="1">[1]!s_west_instnum_np($B$1,YEAR($A490),$A490,180)</f>
        <v>24</v>
      </c>
      <c r="E490" cm="1">
        <f t="array" aca="1" ref="E490" ca="1">[1]!s_west_stdnetprofit($B$1,YEAR($A490),$A490,180,1000000)</f>
        <v>128.47281699999999</v>
      </c>
      <c r="F490" cm="1">
        <f t="array" aca="1" ref="F490" ca="1">[1]!s_west_mediannetprofit($B$1,YEAR($A490),$A490,180,1000000)</f>
        <v>59.5</v>
      </c>
      <c r="G490" cm="1">
        <f t="array" aca="1" ref="G490" ca="1">[1]!s_west_netprofit($B$1,YEAR($A490)+1,$A490,180,1000000)</f>
        <v>138.36204799999999</v>
      </c>
      <c r="H490" cm="1">
        <f t="array" aca="1" ref="H490" ca="1">[1]!s_west_eps($B$1,YEAR($A490)+1,$A490,180)</f>
        <v>0.1575</v>
      </c>
      <c r="I490" cm="1">
        <f t="array" aca="1" ref="I490" ca="1">[1]!s_west_instnum_np($B$1,YEAR($A490)+1,$A490,180)</f>
        <v>21</v>
      </c>
      <c r="J490" cm="1">
        <f t="array" aca="1" ref="J490" ca="1">[1]!s_west_stdnetprofit($B$1,YEAR($A490)+1,$A490,180,1000000)</f>
        <v>43.427874000000003</v>
      </c>
      <c r="K490" cm="1">
        <f t="array" aca="1" ref="K490" ca="1">[1]!s_west_mediannetprofit($B$1,YEAR($A489)+1,$A489,180,1000000)</f>
        <v>129.38</v>
      </c>
      <c r="L490" cm="1">
        <f t="array" aca="1" ref="L490" ca="1">[1]!s_dq_close($B$1,$A490,3)</f>
        <v>20.9</v>
      </c>
    </row>
    <row r="491" spans="1:12">
      <c r="A491" s="23">
        <f t="shared" ca="1" si="7"/>
        <v>45684</v>
      </c>
      <c r="B491" cm="1">
        <f t="array" aca="1" ref="B491" ca="1">[1]!s_west_netprofit($B$1,YEAR($A491),$A491,180,1000000)</f>
        <v>101.27144</v>
      </c>
      <c r="C491" cm="1">
        <f t="array" aca="1" ref="C491" ca="1">[1]!s_west_eps($B$1,YEAR($A491),$A491,180)</f>
        <v>0.1147</v>
      </c>
      <c r="D491" cm="1">
        <f t="array" aca="1" ref="D491" ca="1">[1]!s_west_instnum_np($B$1,YEAR($A491),$A491,180)</f>
        <v>25</v>
      </c>
      <c r="E491" cm="1">
        <f t="array" aca="1" ref="E491" ca="1">[1]!s_west_stdnetprofit($B$1,YEAR($A491),$A491,180,1000000)</f>
        <v>126.177092</v>
      </c>
      <c r="F491" cm="1">
        <f t="array" aca="1" ref="F491" ca="1">[1]!s_west_mediannetprofit($B$1,YEAR($A491),$A491,180,1000000)</f>
        <v>58</v>
      </c>
      <c r="G491" cm="1">
        <f t="array" aca="1" ref="G491" ca="1">[1]!s_west_netprofit($B$1,YEAR($A491)+1,$A491,180,1000000)</f>
        <v>139.09831800000001</v>
      </c>
      <c r="H491" cm="1">
        <f t="array" aca="1" ref="H491" ca="1">[1]!s_west_eps($B$1,YEAR($A491)+1,$A491,180)</f>
        <v>0.1585</v>
      </c>
      <c r="I491" cm="1">
        <f t="array" aca="1" ref="I491" ca="1">[1]!s_west_instnum_np($B$1,YEAR($A491)+1,$A491,180)</f>
        <v>22</v>
      </c>
      <c r="J491" cm="1">
        <f t="array" aca="1" ref="J491" ca="1">[1]!s_west_stdnetprofit($B$1,YEAR($A491)+1,$A491,180,1000000)</f>
        <v>42.521732999999998</v>
      </c>
      <c r="K491" cm="1">
        <f t="array" aca="1" ref="K491" ca="1">[1]!s_west_mediannetprofit($B$1,YEAR($A490)+1,$A490,180,1000000)</f>
        <v>129.38</v>
      </c>
      <c r="L491" cm="1">
        <f t="array" aca="1" ref="L491" ca="1">[1]!s_dq_close($B$1,$A491,3)</f>
        <v>21.2</v>
      </c>
    </row>
    <row r="492" spans="1:12">
      <c r="A492" s="23">
        <f t="shared" ca="1" si="7"/>
        <v>45683</v>
      </c>
      <c r="B492" cm="1">
        <f t="array" aca="1" ref="B492" ca="1">[1]!s_west_netprofit($B$1,YEAR($A492),$A492,180,1000000)</f>
        <v>101.27144</v>
      </c>
      <c r="C492" cm="1">
        <f t="array" aca="1" ref="C492" ca="1">[1]!s_west_eps($B$1,YEAR($A492),$A492,180)</f>
        <v>0.1147</v>
      </c>
      <c r="D492" cm="1">
        <f t="array" aca="1" ref="D492" ca="1">[1]!s_west_instnum_np($B$1,YEAR($A492),$A492,180)</f>
        <v>25</v>
      </c>
      <c r="E492" cm="1">
        <f t="array" aca="1" ref="E492" ca="1">[1]!s_west_stdnetprofit($B$1,YEAR($A492),$A492,180,1000000)</f>
        <v>126.177092</v>
      </c>
      <c r="F492" cm="1">
        <f t="array" aca="1" ref="F492" ca="1">[1]!s_west_mediannetprofit($B$1,YEAR($A492),$A492,180,1000000)</f>
        <v>58</v>
      </c>
      <c r="G492" cm="1">
        <f t="array" aca="1" ref="G492" ca="1">[1]!s_west_netprofit($B$1,YEAR($A492)+1,$A492,180,1000000)</f>
        <v>139.09831800000001</v>
      </c>
      <c r="H492" cm="1">
        <f t="array" aca="1" ref="H492" ca="1">[1]!s_west_eps($B$1,YEAR($A492)+1,$A492,180)</f>
        <v>0.1585</v>
      </c>
      <c r="I492" cm="1">
        <f t="array" aca="1" ref="I492" ca="1">[1]!s_west_instnum_np($B$1,YEAR($A492)+1,$A492,180)</f>
        <v>22</v>
      </c>
      <c r="J492" cm="1">
        <f t="array" aca="1" ref="J492" ca="1">[1]!s_west_stdnetprofit($B$1,YEAR($A492)+1,$A492,180,1000000)</f>
        <v>42.521732999999998</v>
      </c>
      <c r="K492" cm="1">
        <f t="array" aca="1" ref="K492" ca="1">[1]!s_west_mediannetprofit($B$1,YEAR($A491)+1,$A491,180,1000000)</f>
        <v>131.79</v>
      </c>
      <c r="L492" cm="1">
        <f t="array" aca="1" ref="L492" ca="1">[1]!s_dq_close($B$1,$A492,3)</f>
        <v>20.95</v>
      </c>
    </row>
    <row r="493" spans="1:12">
      <c r="A493" s="23">
        <f t="shared" ca="1" si="7"/>
        <v>45682</v>
      </c>
      <c r="B493" cm="1">
        <f t="array" aca="1" ref="B493" ca="1">[1]!s_west_netprofit($B$1,YEAR($A493),$A493,180,1000000)</f>
        <v>101.27144</v>
      </c>
      <c r="C493" cm="1">
        <f t="array" aca="1" ref="C493" ca="1">[1]!s_west_eps($B$1,YEAR($A493),$A493,180)</f>
        <v>0.1147</v>
      </c>
      <c r="D493" cm="1">
        <f t="array" aca="1" ref="D493" ca="1">[1]!s_west_instnum_np($B$1,YEAR($A493),$A493,180)</f>
        <v>25</v>
      </c>
      <c r="E493" cm="1">
        <f t="array" aca="1" ref="E493" ca="1">[1]!s_west_stdnetprofit($B$1,YEAR($A493),$A493,180,1000000)</f>
        <v>126.177092</v>
      </c>
      <c r="F493" cm="1">
        <f t="array" aca="1" ref="F493" ca="1">[1]!s_west_mediannetprofit($B$1,YEAR($A493),$A493,180,1000000)</f>
        <v>58</v>
      </c>
      <c r="G493" cm="1">
        <f t="array" aca="1" ref="G493" ca="1">[1]!s_west_netprofit($B$1,YEAR($A493)+1,$A493,180,1000000)</f>
        <v>139.09831800000001</v>
      </c>
      <c r="H493" cm="1">
        <f t="array" aca="1" ref="H493" ca="1">[1]!s_west_eps($B$1,YEAR($A493)+1,$A493,180)</f>
        <v>0.1585</v>
      </c>
      <c r="I493" cm="1">
        <f t="array" aca="1" ref="I493" ca="1">[1]!s_west_instnum_np($B$1,YEAR($A493)+1,$A493,180)</f>
        <v>22</v>
      </c>
      <c r="J493" cm="1">
        <f t="array" aca="1" ref="J493" ca="1">[1]!s_west_stdnetprofit($B$1,YEAR($A493)+1,$A493,180,1000000)</f>
        <v>42.521732999999998</v>
      </c>
      <c r="K493" cm="1">
        <f t="array" aca="1" ref="K493" ca="1">[1]!s_west_mediannetprofit($B$1,YEAR($A492)+1,$A492,180,1000000)</f>
        <v>131.79</v>
      </c>
      <c r="L493" cm="1">
        <f t="array" aca="1" ref="L493" ca="1">[1]!s_dq_close($B$1,$A493,3)</f>
        <v>20.95</v>
      </c>
    </row>
    <row r="494" spans="1:12">
      <c r="A494" s="23">
        <f t="shared" ca="1" si="7"/>
        <v>45681</v>
      </c>
      <c r="B494" cm="1">
        <f t="array" aca="1" ref="B494" ca="1">[1]!s_west_netprofit($B$1,YEAR($A494),$A494,180,1000000)</f>
        <v>101.27144</v>
      </c>
      <c r="C494" cm="1">
        <f t="array" aca="1" ref="C494" ca="1">[1]!s_west_eps($B$1,YEAR($A494),$A494,180)</f>
        <v>0.1147</v>
      </c>
      <c r="D494" cm="1">
        <f t="array" aca="1" ref="D494" ca="1">[1]!s_west_instnum_np($B$1,YEAR($A494),$A494,180)</f>
        <v>25</v>
      </c>
      <c r="E494" cm="1">
        <f t="array" aca="1" ref="E494" ca="1">[1]!s_west_stdnetprofit($B$1,YEAR($A494),$A494,180,1000000)</f>
        <v>126.177092</v>
      </c>
      <c r="F494" cm="1">
        <f t="array" aca="1" ref="F494" ca="1">[1]!s_west_mediannetprofit($B$1,YEAR($A494),$A494,180,1000000)</f>
        <v>58</v>
      </c>
      <c r="G494" cm="1">
        <f t="array" aca="1" ref="G494" ca="1">[1]!s_west_netprofit($B$1,YEAR($A494)+1,$A494,180,1000000)</f>
        <v>139.09831800000001</v>
      </c>
      <c r="H494" cm="1">
        <f t="array" aca="1" ref="H494" ca="1">[1]!s_west_eps($B$1,YEAR($A494)+1,$A494,180)</f>
        <v>0.1585</v>
      </c>
      <c r="I494" cm="1">
        <f t="array" aca="1" ref="I494" ca="1">[1]!s_west_instnum_np($B$1,YEAR($A494)+1,$A494,180)</f>
        <v>22</v>
      </c>
      <c r="J494" cm="1">
        <f t="array" aca="1" ref="J494" ca="1">[1]!s_west_stdnetprofit($B$1,YEAR($A494)+1,$A494,180,1000000)</f>
        <v>42.521732999999998</v>
      </c>
      <c r="K494" cm="1">
        <f t="array" aca="1" ref="K494" ca="1">[1]!s_west_mediannetprofit($B$1,YEAR($A493)+1,$A493,180,1000000)</f>
        <v>131.79</v>
      </c>
      <c r="L494" cm="1">
        <f t="array" aca="1" ref="L494" ca="1">[1]!s_dq_close($B$1,$A494,3)</f>
        <v>20.95</v>
      </c>
    </row>
    <row r="495" spans="1:12">
      <c r="A495" s="23">
        <f t="shared" ca="1" si="7"/>
        <v>45680</v>
      </c>
      <c r="B495" cm="1">
        <f t="array" aca="1" ref="B495" ca="1">[1]!s_west_netprofit($B$1,YEAR($A495),$A495,180,1000000)</f>
        <v>101.27144</v>
      </c>
      <c r="C495" cm="1">
        <f t="array" aca="1" ref="C495" ca="1">[1]!s_west_eps($B$1,YEAR($A495),$A495,180)</f>
        <v>0.1147</v>
      </c>
      <c r="D495" cm="1">
        <f t="array" aca="1" ref="D495" ca="1">[1]!s_west_instnum_np($B$1,YEAR($A495),$A495,180)</f>
        <v>25</v>
      </c>
      <c r="E495" cm="1">
        <f t="array" aca="1" ref="E495" ca="1">[1]!s_west_stdnetprofit($B$1,YEAR($A495),$A495,180,1000000)</f>
        <v>126.177092</v>
      </c>
      <c r="F495" cm="1">
        <f t="array" aca="1" ref="F495" ca="1">[1]!s_west_mediannetprofit($B$1,YEAR($A495),$A495,180,1000000)</f>
        <v>58</v>
      </c>
      <c r="G495" cm="1">
        <f t="array" aca="1" ref="G495" ca="1">[1]!s_west_netprofit($B$1,YEAR($A495)+1,$A495,180,1000000)</f>
        <v>139.09831800000001</v>
      </c>
      <c r="H495" cm="1">
        <f t="array" aca="1" ref="H495" ca="1">[1]!s_west_eps($B$1,YEAR($A495)+1,$A495,180)</f>
        <v>0.1585</v>
      </c>
      <c r="I495" cm="1">
        <f t="array" aca="1" ref="I495" ca="1">[1]!s_west_instnum_np($B$1,YEAR($A495)+1,$A495,180)</f>
        <v>22</v>
      </c>
      <c r="J495" cm="1">
        <f t="array" aca="1" ref="J495" ca="1">[1]!s_west_stdnetprofit($B$1,YEAR($A495)+1,$A495,180,1000000)</f>
        <v>42.521732999999998</v>
      </c>
      <c r="K495" cm="1">
        <f t="array" aca="1" ref="K495" ca="1">[1]!s_west_mediannetprofit($B$1,YEAR($A494)+1,$A494,180,1000000)</f>
        <v>131.79</v>
      </c>
      <c r="L495" cm="1">
        <f t="array" aca="1" ref="L495" ca="1">[1]!s_dq_close($B$1,$A495,3)</f>
        <v>20.95</v>
      </c>
    </row>
    <row r="496" spans="1:12">
      <c r="A496" s="23">
        <f t="shared" ca="1" si="7"/>
        <v>45679</v>
      </c>
      <c r="B496" cm="1">
        <f t="array" aca="1" ref="B496" ca="1">[1]!s_west_netprofit($B$1,YEAR($A496),$A496,180,1000000)</f>
        <v>93.824416999999997</v>
      </c>
      <c r="C496" cm="1">
        <f t="array" aca="1" ref="C496" ca="1">[1]!s_west_eps($B$1,YEAR($A496),$A496,180)</f>
        <v>0.1062</v>
      </c>
      <c r="D496" cm="1">
        <f t="array" aca="1" ref="D496" ca="1">[1]!s_west_instnum_np($B$1,YEAR($A496),$A496,180)</f>
        <v>24</v>
      </c>
      <c r="E496" cm="1">
        <f t="array" aca="1" ref="E496" ca="1">[1]!s_west_stdnetprofit($B$1,YEAR($A496),$A496,180,1000000)</f>
        <v>123.150829</v>
      </c>
      <c r="F496" cm="1">
        <f t="array" aca="1" ref="F496" ca="1">[1]!s_west_mediannetprofit($B$1,YEAR($A496),$A496,180,1000000)</f>
        <v>55.265000000000001</v>
      </c>
      <c r="G496" cm="1">
        <f t="array" aca="1" ref="G496" ca="1">[1]!s_west_netprofit($B$1,YEAR($A496)+1,$A496,180,1000000)</f>
        <v>140.293476</v>
      </c>
      <c r="H496" cm="1">
        <f t="array" aca="1" ref="H496" ca="1">[1]!s_west_eps($B$1,YEAR($A496)+1,$A496,180)</f>
        <v>0.15989999999999999</v>
      </c>
      <c r="I496" cm="1">
        <f t="array" aca="1" ref="I496" ca="1">[1]!s_west_instnum_np($B$1,YEAR($A496)+1,$A496,180)</f>
        <v>21</v>
      </c>
      <c r="J496" cm="1">
        <f t="array" aca="1" ref="J496" ca="1">[1]!s_west_stdnetprofit($B$1,YEAR($A496)+1,$A496,180,1000000)</f>
        <v>43.191510000000001</v>
      </c>
      <c r="K496" cm="1">
        <f t="array" aca="1" ref="K496" ca="1">[1]!s_west_mediannetprofit($B$1,YEAR($A495)+1,$A495,180,1000000)</f>
        <v>131.79</v>
      </c>
      <c r="L496" cm="1">
        <f t="array" aca="1" ref="L496" ca="1">[1]!s_dq_close($B$1,$A496,3)</f>
        <v>21.8</v>
      </c>
    </row>
    <row r="497" spans="1:12">
      <c r="A497" s="23">
        <f t="shared" ca="1" si="7"/>
        <v>45678</v>
      </c>
      <c r="B497" cm="1">
        <f t="array" aca="1" ref="B497" ca="1">[1]!s_west_netprofit($B$1,YEAR($A497),$A497,180,1000000)</f>
        <v>93.824416999999997</v>
      </c>
      <c r="C497" cm="1">
        <f t="array" aca="1" ref="C497" ca="1">[1]!s_west_eps($B$1,YEAR($A497),$A497,180)</f>
        <v>0.1062</v>
      </c>
      <c r="D497" cm="1">
        <f t="array" aca="1" ref="D497" ca="1">[1]!s_west_instnum_np($B$1,YEAR($A497),$A497,180)</f>
        <v>24</v>
      </c>
      <c r="E497" cm="1">
        <f t="array" aca="1" ref="E497" ca="1">[1]!s_west_stdnetprofit($B$1,YEAR($A497),$A497,180,1000000)</f>
        <v>123.150829</v>
      </c>
      <c r="F497" cm="1">
        <f t="array" aca="1" ref="F497" ca="1">[1]!s_west_mediannetprofit($B$1,YEAR($A497),$A497,180,1000000)</f>
        <v>55.265000000000001</v>
      </c>
      <c r="G497" cm="1">
        <f t="array" aca="1" ref="G497" ca="1">[1]!s_west_netprofit($B$1,YEAR($A497)+1,$A497,180,1000000)</f>
        <v>140.293476</v>
      </c>
      <c r="H497" cm="1">
        <f t="array" aca="1" ref="H497" ca="1">[1]!s_west_eps($B$1,YEAR($A497)+1,$A497,180)</f>
        <v>0.15989999999999999</v>
      </c>
      <c r="I497" cm="1">
        <f t="array" aca="1" ref="I497" ca="1">[1]!s_west_instnum_np($B$1,YEAR($A497)+1,$A497,180)</f>
        <v>21</v>
      </c>
      <c r="J497" cm="1">
        <f t="array" aca="1" ref="J497" ca="1">[1]!s_west_stdnetprofit($B$1,YEAR($A497)+1,$A497,180,1000000)</f>
        <v>43.191510000000001</v>
      </c>
      <c r="K497" cm="1">
        <f t="array" aca="1" ref="K497" ca="1">[1]!s_west_mediannetprofit($B$1,YEAR($A496)+1,$A496,180,1000000)</f>
        <v>134.19999999999999</v>
      </c>
      <c r="L497" cm="1">
        <f t="array" aca="1" ref="L497" ca="1">[1]!s_dq_close($B$1,$A497,3)</f>
        <v>21.65</v>
      </c>
    </row>
    <row r="498" spans="1:12">
      <c r="A498" s="23">
        <f t="shared" ca="1" si="7"/>
        <v>45677</v>
      </c>
      <c r="B498" cm="1">
        <f t="array" aca="1" ref="B498" ca="1">[1]!s_west_netprofit($B$1,YEAR($A498),$A498,180,1000000)</f>
        <v>93.824416999999997</v>
      </c>
      <c r="C498" cm="1">
        <f t="array" aca="1" ref="C498" ca="1">[1]!s_west_eps($B$1,YEAR($A498),$A498,180)</f>
        <v>0.1062</v>
      </c>
      <c r="D498" cm="1">
        <f t="array" aca="1" ref="D498" ca="1">[1]!s_west_instnum_np($B$1,YEAR($A498),$A498,180)</f>
        <v>24</v>
      </c>
      <c r="E498" cm="1">
        <f t="array" aca="1" ref="E498" ca="1">[1]!s_west_stdnetprofit($B$1,YEAR($A498),$A498,180,1000000)</f>
        <v>123.150829</v>
      </c>
      <c r="F498" cm="1">
        <f t="array" aca="1" ref="F498" ca="1">[1]!s_west_mediannetprofit($B$1,YEAR($A498),$A498,180,1000000)</f>
        <v>55.265000000000001</v>
      </c>
      <c r="G498" cm="1">
        <f t="array" aca="1" ref="G498" ca="1">[1]!s_west_netprofit($B$1,YEAR($A498)+1,$A498,180,1000000)</f>
        <v>140.293476</v>
      </c>
      <c r="H498" cm="1">
        <f t="array" aca="1" ref="H498" ca="1">[1]!s_west_eps($B$1,YEAR($A498)+1,$A498,180)</f>
        <v>0.15989999999999999</v>
      </c>
      <c r="I498" cm="1">
        <f t="array" aca="1" ref="I498" ca="1">[1]!s_west_instnum_np($B$1,YEAR($A498)+1,$A498,180)</f>
        <v>21</v>
      </c>
      <c r="J498" cm="1">
        <f t="array" aca="1" ref="J498" ca="1">[1]!s_west_stdnetprofit($B$1,YEAR($A498)+1,$A498,180,1000000)</f>
        <v>43.191510000000001</v>
      </c>
      <c r="K498" cm="1">
        <f t="array" aca="1" ref="K498" ca="1">[1]!s_west_mediannetprofit($B$1,YEAR($A497)+1,$A497,180,1000000)</f>
        <v>134.19999999999999</v>
      </c>
      <c r="L498" cm="1">
        <f t="array" aca="1" ref="L498" ca="1">[1]!s_dq_close($B$1,$A498,3)</f>
        <v>21.75</v>
      </c>
    </row>
    <row r="499" spans="1:12">
      <c r="A499" s="23">
        <f t="shared" ca="1" si="7"/>
        <v>45676</v>
      </c>
      <c r="B499" cm="1">
        <f t="array" aca="1" ref="B499" ca="1">[1]!s_west_netprofit($B$1,YEAR($A499),$A499,180,1000000)</f>
        <v>93.824416999999997</v>
      </c>
      <c r="C499" cm="1">
        <f t="array" aca="1" ref="C499" ca="1">[1]!s_west_eps($B$1,YEAR($A499),$A499,180)</f>
        <v>0.1062</v>
      </c>
      <c r="D499" cm="1">
        <f t="array" aca="1" ref="D499" ca="1">[1]!s_west_instnum_np($B$1,YEAR($A499),$A499,180)</f>
        <v>24</v>
      </c>
      <c r="E499" cm="1">
        <f t="array" aca="1" ref="E499" ca="1">[1]!s_west_stdnetprofit($B$1,YEAR($A499),$A499,180,1000000)</f>
        <v>123.150829</v>
      </c>
      <c r="F499" cm="1">
        <f t="array" aca="1" ref="F499" ca="1">[1]!s_west_mediannetprofit($B$1,YEAR($A499),$A499,180,1000000)</f>
        <v>55.265000000000001</v>
      </c>
      <c r="G499" cm="1">
        <f t="array" aca="1" ref="G499" ca="1">[1]!s_west_netprofit($B$1,YEAR($A499)+1,$A499,180,1000000)</f>
        <v>140.293476</v>
      </c>
      <c r="H499" cm="1">
        <f t="array" aca="1" ref="H499" ca="1">[1]!s_west_eps($B$1,YEAR($A499)+1,$A499,180)</f>
        <v>0.15989999999999999</v>
      </c>
      <c r="I499" cm="1">
        <f t="array" aca="1" ref="I499" ca="1">[1]!s_west_instnum_np($B$1,YEAR($A499)+1,$A499,180)</f>
        <v>21</v>
      </c>
      <c r="J499" cm="1">
        <f t="array" aca="1" ref="J499" ca="1">[1]!s_west_stdnetprofit($B$1,YEAR($A499)+1,$A499,180,1000000)</f>
        <v>43.191510000000001</v>
      </c>
      <c r="K499" cm="1">
        <f t="array" aca="1" ref="K499" ca="1">[1]!s_west_mediannetprofit($B$1,YEAR($A498)+1,$A498,180,1000000)</f>
        <v>134.19999999999999</v>
      </c>
      <c r="L499" cm="1">
        <f t="array" aca="1" ref="L499" ca="1">[1]!s_dq_close($B$1,$A499,3)</f>
        <v>22</v>
      </c>
    </row>
    <row r="500" spans="1:12">
      <c r="A500" s="23">
        <f t="shared" ca="1" si="7"/>
        <v>45675</v>
      </c>
      <c r="B500" cm="1">
        <f t="array" aca="1" ref="B500" ca="1">[1]!s_west_netprofit($B$1,YEAR($A500),$A500,180,1000000)</f>
        <v>93.824416999999997</v>
      </c>
      <c r="C500" cm="1">
        <f t="array" aca="1" ref="C500" ca="1">[1]!s_west_eps($B$1,YEAR($A500),$A500,180)</f>
        <v>0.1062</v>
      </c>
      <c r="D500" cm="1">
        <f t="array" aca="1" ref="D500" ca="1">[1]!s_west_instnum_np($B$1,YEAR($A500),$A500,180)</f>
        <v>24</v>
      </c>
      <c r="E500" cm="1">
        <f t="array" aca="1" ref="E500" ca="1">[1]!s_west_stdnetprofit($B$1,YEAR($A500),$A500,180,1000000)</f>
        <v>123.150829</v>
      </c>
      <c r="F500" cm="1">
        <f t="array" aca="1" ref="F500" ca="1">[1]!s_west_mediannetprofit($B$1,YEAR($A500),$A500,180,1000000)</f>
        <v>55.265000000000001</v>
      </c>
      <c r="G500" cm="1">
        <f t="array" aca="1" ref="G500" ca="1">[1]!s_west_netprofit($B$1,YEAR($A500)+1,$A500,180,1000000)</f>
        <v>140.293476</v>
      </c>
      <c r="H500" cm="1">
        <f t="array" aca="1" ref="H500" ca="1">[1]!s_west_eps($B$1,YEAR($A500)+1,$A500,180)</f>
        <v>0.15989999999999999</v>
      </c>
      <c r="I500" cm="1">
        <f t="array" aca="1" ref="I500" ca="1">[1]!s_west_instnum_np($B$1,YEAR($A500)+1,$A500,180)</f>
        <v>21</v>
      </c>
      <c r="J500" cm="1">
        <f t="array" aca="1" ref="J500" ca="1">[1]!s_west_stdnetprofit($B$1,YEAR($A500)+1,$A500,180,1000000)</f>
        <v>43.191510000000001</v>
      </c>
      <c r="K500" cm="1">
        <f t="array" aca="1" ref="K500" ca="1">[1]!s_west_mediannetprofit($B$1,YEAR($A499)+1,$A499,180,1000000)</f>
        <v>134.19999999999999</v>
      </c>
      <c r="L500" cm="1">
        <f t="array" aca="1" ref="L500" ca="1">[1]!s_dq_close($B$1,$A500,3)</f>
        <v>22</v>
      </c>
    </row>
    <row r="501" spans="1:12">
      <c r="A501" s="23">
        <f t="shared" ca="1" si="7"/>
        <v>45674</v>
      </c>
      <c r="B501" cm="1">
        <f t="array" aca="1" ref="B501" ca="1">[1]!s_west_netprofit($B$1,YEAR($A501),$A501,180,1000000)</f>
        <v>93.824416999999997</v>
      </c>
      <c r="C501" cm="1">
        <f t="array" aca="1" ref="C501" ca="1">[1]!s_west_eps($B$1,YEAR($A501),$A501,180)</f>
        <v>0.1062</v>
      </c>
      <c r="D501" cm="1">
        <f t="array" aca="1" ref="D501" ca="1">[1]!s_west_instnum_np($B$1,YEAR($A501),$A501,180)</f>
        <v>24</v>
      </c>
      <c r="E501" cm="1">
        <f t="array" aca="1" ref="E501" ca="1">[1]!s_west_stdnetprofit($B$1,YEAR($A501),$A501,180,1000000)</f>
        <v>123.150829</v>
      </c>
      <c r="F501" cm="1">
        <f t="array" aca="1" ref="F501" ca="1">[1]!s_west_mediannetprofit($B$1,YEAR($A501),$A501,180,1000000)</f>
        <v>55.265000000000001</v>
      </c>
      <c r="G501" cm="1">
        <f t="array" aca="1" ref="G501" ca="1">[1]!s_west_netprofit($B$1,YEAR($A501)+1,$A501,180,1000000)</f>
        <v>140.293476</v>
      </c>
      <c r="H501" cm="1">
        <f t="array" aca="1" ref="H501" ca="1">[1]!s_west_eps($B$1,YEAR($A501)+1,$A501,180)</f>
        <v>0.15989999999999999</v>
      </c>
      <c r="I501" cm="1">
        <f t="array" aca="1" ref="I501" ca="1">[1]!s_west_instnum_np($B$1,YEAR($A501)+1,$A501,180)</f>
        <v>21</v>
      </c>
      <c r="J501" cm="1">
        <f t="array" aca="1" ref="J501" ca="1">[1]!s_west_stdnetprofit($B$1,YEAR($A501)+1,$A501,180,1000000)</f>
        <v>43.191510000000001</v>
      </c>
      <c r="K501" cm="1">
        <f t="array" aca="1" ref="K501" ca="1">[1]!s_west_mediannetprofit($B$1,YEAR($A500)+1,$A500,180,1000000)</f>
        <v>134.19999999999999</v>
      </c>
      <c r="L501" cm="1">
        <f t="array" aca="1" ref="L501" ca="1">[1]!s_dq_close($B$1,$A501,3)</f>
        <v>22</v>
      </c>
    </row>
    <row r="502" spans="1:12">
      <c r="A502" s="23">
        <f t="shared" ca="1" si="7"/>
        <v>45673</v>
      </c>
      <c r="B502" cm="1">
        <f t="array" aca="1" ref="B502" ca="1">[1]!s_west_netprofit($B$1,YEAR($A502),$A502,180,1000000)</f>
        <v>93.824416999999997</v>
      </c>
      <c r="C502" cm="1">
        <f t="array" aca="1" ref="C502" ca="1">[1]!s_west_eps($B$1,YEAR($A502),$A502,180)</f>
        <v>0.1062</v>
      </c>
      <c r="D502" cm="1">
        <f t="array" aca="1" ref="D502" ca="1">[1]!s_west_instnum_np($B$1,YEAR($A502),$A502,180)</f>
        <v>24</v>
      </c>
      <c r="E502" cm="1">
        <f t="array" aca="1" ref="E502" ca="1">[1]!s_west_stdnetprofit($B$1,YEAR($A502),$A502,180,1000000)</f>
        <v>123.150829</v>
      </c>
      <c r="F502" cm="1">
        <f t="array" aca="1" ref="F502" ca="1">[1]!s_west_mediannetprofit($B$1,YEAR($A502),$A502,180,1000000)</f>
        <v>55.265000000000001</v>
      </c>
      <c r="G502" cm="1">
        <f t="array" aca="1" ref="G502" ca="1">[1]!s_west_netprofit($B$1,YEAR($A502)+1,$A502,180,1000000)</f>
        <v>140.293476</v>
      </c>
      <c r="H502" cm="1">
        <f t="array" aca="1" ref="H502" ca="1">[1]!s_west_eps($B$1,YEAR($A502)+1,$A502,180)</f>
        <v>0.15989999999999999</v>
      </c>
      <c r="I502" cm="1">
        <f t="array" aca="1" ref="I502" ca="1">[1]!s_west_instnum_np($B$1,YEAR($A502)+1,$A502,180)</f>
        <v>21</v>
      </c>
      <c r="J502" cm="1">
        <f t="array" aca="1" ref="J502" ca="1">[1]!s_west_stdnetprofit($B$1,YEAR($A502)+1,$A502,180,1000000)</f>
        <v>43.191510000000001</v>
      </c>
      <c r="K502" cm="1">
        <f t="array" aca="1" ref="K502" ca="1">[1]!s_west_mediannetprofit($B$1,YEAR($A501)+1,$A501,180,1000000)</f>
        <v>134.19999999999999</v>
      </c>
      <c r="L502" cm="1">
        <f t="array" aca="1" ref="L502" ca="1">[1]!s_dq_close($B$1,$A502,3)</f>
        <v>20.75</v>
      </c>
    </row>
    <row r="503" spans="1:12">
      <c r="A503" s="23">
        <f t="shared" ca="1" si="7"/>
        <v>45672</v>
      </c>
      <c r="B503" cm="1">
        <f t="array" aca="1" ref="B503" ca="1">[1]!s_west_netprofit($B$1,YEAR($A503),$A503,180,1000000)</f>
        <v>93.824416999999997</v>
      </c>
      <c r="C503" cm="1">
        <f t="array" aca="1" ref="C503" ca="1">[1]!s_west_eps($B$1,YEAR($A503),$A503,180)</f>
        <v>0.1062</v>
      </c>
      <c r="D503" cm="1">
        <f t="array" aca="1" ref="D503" ca="1">[1]!s_west_instnum_np($B$1,YEAR($A503),$A503,180)</f>
        <v>24</v>
      </c>
      <c r="E503" cm="1">
        <f t="array" aca="1" ref="E503" ca="1">[1]!s_west_stdnetprofit($B$1,YEAR($A503),$A503,180,1000000)</f>
        <v>123.150829</v>
      </c>
      <c r="F503" cm="1">
        <f t="array" aca="1" ref="F503" ca="1">[1]!s_west_mediannetprofit($B$1,YEAR($A503),$A503,180,1000000)</f>
        <v>55.265000000000001</v>
      </c>
      <c r="G503" cm="1">
        <f t="array" aca="1" ref="G503" ca="1">[1]!s_west_netprofit($B$1,YEAR($A503)+1,$A503,180,1000000)</f>
        <v>140.293476</v>
      </c>
      <c r="H503" cm="1">
        <f t="array" aca="1" ref="H503" ca="1">[1]!s_west_eps($B$1,YEAR($A503)+1,$A503,180)</f>
        <v>0.15989999999999999</v>
      </c>
      <c r="I503" cm="1">
        <f t="array" aca="1" ref="I503" ca="1">[1]!s_west_instnum_np($B$1,YEAR($A503)+1,$A503,180)</f>
        <v>21</v>
      </c>
      <c r="J503" cm="1">
        <f t="array" aca="1" ref="J503" ca="1">[1]!s_west_stdnetprofit($B$1,YEAR($A503)+1,$A503,180,1000000)</f>
        <v>43.191510000000001</v>
      </c>
      <c r="K503" cm="1">
        <f t="array" aca="1" ref="K503" ca="1">[1]!s_west_mediannetprofit($B$1,YEAR($A502)+1,$A502,180,1000000)</f>
        <v>134.19999999999999</v>
      </c>
      <c r="L503" cm="1">
        <f t="array" aca="1" ref="L503" ca="1">[1]!s_dq_close($B$1,$A503,3)</f>
        <v>21.25</v>
      </c>
    </row>
    <row r="504" spans="1:12">
      <c r="A504" s="23">
        <f t="shared" ca="1" si="7"/>
        <v>45671</v>
      </c>
      <c r="B504" cm="1">
        <f t="array" aca="1" ref="B504" ca="1">[1]!s_west_netprofit($B$1,YEAR($A504),$A504,180,1000000)</f>
        <v>93.824416999999997</v>
      </c>
      <c r="C504" cm="1">
        <f t="array" aca="1" ref="C504" ca="1">[1]!s_west_eps($B$1,YEAR($A504),$A504,180)</f>
        <v>0.1062</v>
      </c>
      <c r="D504" cm="1">
        <f t="array" aca="1" ref="D504" ca="1">[1]!s_west_instnum_np($B$1,YEAR($A504),$A504,180)</f>
        <v>24</v>
      </c>
      <c r="E504" cm="1">
        <f t="array" aca="1" ref="E504" ca="1">[1]!s_west_stdnetprofit($B$1,YEAR($A504),$A504,180,1000000)</f>
        <v>123.150829</v>
      </c>
      <c r="F504" cm="1">
        <f t="array" aca="1" ref="F504" ca="1">[1]!s_west_mediannetprofit($B$1,YEAR($A504),$A504,180,1000000)</f>
        <v>55.265000000000001</v>
      </c>
      <c r="G504" cm="1">
        <f t="array" aca="1" ref="G504" ca="1">[1]!s_west_netprofit($B$1,YEAR($A504)+1,$A504,180,1000000)</f>
        <v>140.293476</v>
      </c>
      <c r="H504" cm="1">
        <f t="array" aca="1" ref="H504" ca="1">[1]!s_west_eps($B$1,YEAR($A504)+1,$A504,180)</f>
        <v>0.15989999999999999</v>
      </c>
      <c r="I504" cm="1">
        <f t="array" aca="1" ref="I504" ca="1">[1]!s_west_instnum_np($B$1,YEAR($A504)+1,$A504,180)</f>
        <v>21</v>
      </c>
      <c r="J504" cm="1">
        <f t="array" aca="1" ref="J504" ca="1">[1]!s_west_stdnetprofit($B$1,YEAR($A504)+1,$A504,180,1000000)</f>
        <v>43.191510000000001</v>
      </c>
      <c r="K504" cm="1">
        <f t="array" aca="1" ref="K504" ca="1">[1]!s_west_mediannetprofit($B$1,YEAR($A503)+1,$A503,180,1000000)</f>
        <v>134.19999999999999</v>
      </c>
      <c r="L504" cm="1">
        <f t="array" aca="1" ref="L504" ca="1">[1]!s_dq_close($B$1,$A504,3)</f>
        <v>23.55</v>
      </c>
    </row>
    <row r="505" spans="1:12">
      <c r="A505" s="23">
        <f t="shared" ca="1" si="7"/>
        <v>45670</v>
      </c>
      <c r="B505" cm="1">
        <f t="array" aca="1" ref="B505" ca="1">[1]!s_west_netprofit($B$1,YEAR($A505),$A505,180,1000000)</f>
        <v>93.824416999999997</v>
      </c>
      <c r="C505" cm="1">
        <f t="array" aca="1" ref="C505" ca="1">[1]!s_west_eps($B$1,YEAR($A505),$A505,180)</f>
        <v>0.1062</v>
      </c>
      <c r="D505" cm="1">
        <f t="array" aca="1" ref="D505" ca="1">[1]!s_west_instnum_np($B$1,YEAR($A505),$A505,180)</f>
        <v>24</v>
      </c>
      <c r="E505" cm="1">
        <f t="array" aca="1" ref="E505" ca="1">[1]!s_west_stdnetprofit($B$1,YEAR($A505),$A505,180,1000000)</f>
        <v>123.150829</v>
      </c>
      <c r="F505" cm="1">
        <f t="array" aca="1" ref="F505" ca="1">[1]!s_west_mediannetprofit($B$1,YEAR($A505),$A505,180,1000000)</f>
        <v>55.265000000000001</v>
      </c>
      <c r="G505" cm="1">
        <f t="array" aca="1" ref="G505" ca="1">[1]!s_west_netprofit($B$1,YEAR($A505)+1,$A505,180,1000000)</f>
        <v>140.293476</v>
      </c>
      <c r="H505" cm="1">
        <f t="array" aca="1" ref="H505" ca="1">[1]!s_west_eps($B$1,YEAR($A505)+1,$A505,180)</f>
        <v>0.15989999999999999</v>
      </c>
      <c r="I505" cm="1">
        <f t="array" aca="1" ref="I505" ca="1">[1]!s_west_instnum_np($B$1,YEAR($A505)+1,$A505,180)</f>
        <v>21</v>
      </c>
      <c r="J505" cm="1">
        <f t="array" aca="1" ref="J505" ca="1">[1]!s_west_stdnetprofit($B$1,YEAR($A505)+1,$A505,180,1000000)</f>
        <v>43.191510000000001</v>
      </c>
      <c r="K505" cm="1">
        <f t="array" aca="1" ref="K505" ca="1">[1]!s_west_mediannetprofit($B$1,YEAR($A504)+1,$A504,180,1000000)</f>
        <v>134.19999999999999</v>
      </c>
      <c r="L505" cm="1">
        <f t="array" aca="1" ref="L505" ca="1">[1]!s_dq_close($B$1,$A505,3)</f>
        <v>22.95</v>
      </c>
    </row>
    <row r="506" spans="1:12">
      <c r="A506" s="23">
        <f t="shared" ca="1" si="7"/>
        <v>45669</v>
      </c>
      <c r="B506" cm="1">
        <f t="array" aca="1" ref="B506" ca="1">[1]!s_west_netprofit($B$1,YEAR($A506),$A506,180,1000000)</f>
        <v>97.449912999999995</v>
      </c>
      <c r="C506" cm="1">
        <f t="array" aca="1" ref="C506" ca="1">[1]!s_west_eps($B$1,YEAR($A506),$A506,180)</f>
        <v>0.11119999999999999</v>
      </c>
      <c r="D506" cm="1">
        <f t="array" aca="1" ref="D506" ca="1">[1]!s_west_instnum_np($B$1,YEAR($A506),$A506,180)</f>
        <v>23</v>
      </c>
      <c r="E506" cm="1">
        <f t="array" aca="1" ref="E506" ca="1">[1]!s_west_stdnetprofit($B$1,YEAR($A506),$A506,180,1000000)</f>
        <v>124.602149</v>
      </c>
      <c r="F506" cm="1">
        <f t="array" aca="1" ref="F506" ca="1">[1]!s_west_mediannetprofit($B$1,YEAR($A506),$A506,180,1000000)</f>
        <v>58</v>
      </c>
      <c r="G506" cm="1">
        <f t="array" aca="1" ref="G506" ca="1">[1]!s_west_netprofit($B$1,YEAR($A506)+1,$A506,180,1000000)</f>
        <v>140.293476</v>
      </c>
      <c r="H506" cm="1">
        <f t="array" aca="1" ref="H506" ca="1">[1]!s_west_eps($B$1,YEAR($A506)+1,$A506,180)</f>
        <v>0.15989999999999999</v>
      </c>
      <c r="I506" cm="1">
        <f t="array" aca="1" ref="I506" ca="1">[1]!s_west_instnum_np($B$1,YEAR($A506)+1,$A506,180)</f>
        <v>21</v>
      </c>
      <c r="J506" cm="1">
        <f t="array" aca="1" ref="J506" ca="1">[1]!s_west_stdnetprofit($B$1,YEAR($A506)+1,$A506,180,1000000)</f>
        <v>43.191510000000001</v>
      </c>
      <c r="K506" cm="1">
        <f t="array" aca="1" ref="K506" ca="1">[1]!s_west_mediannetprofit($B$1,YEAR($A505)+1,$A505,180,1000000)</f>
        <v>134.19999999999999</v>
      </c>
      <c r="L506" cm="1">
        <f t="array" aca="1" ref="L506" ca="1">[1]!s_dq_close($B$1,$A506,3)</f>
        <v>23.75</v>
      </c>
    </row>
    <row r="507" spans="1:12">
      <c r="A507" s="23">
        <f t="shared" ca="1" si="7"/>
        <v>45668</v>
      </c>
      <c r="B507" cm="1">
        <f t="array" aca="1" ref="B507" ca="1">[1]!s_west_netprofit($B$1,YEAR($A507),$A507,180,1000000)</f>
        <v>97.449912999999995</v>
      </c>
      <c r="C507" cm="1">
        <f t="array" aca="1" ref="C507" ca="1">[1]!s_west_eps($B$1,YEAR($A507),$A507,180)</f>
        <v>0.11119999999999999</v>
      </c>
      <c r="D507" cm="1">
        <f t="array" aca="1" ref="D507" ca="1">[1]!s_west_instnum_np($B$1,YEAR($A507),$A507,180)</f>
        <v>23</v>
      </c>
      <c r="E507" cm="1">
        <f t="array" aca="1" ref="E507" ca="1">[1]!s_west_stdnetprofit($B$1,YEAR($A507),$A507,180,1000000)</f>
        <v>124.602149</v>
      </c>
      <c r="F507" cm="1">
        <f t="array" aca="1" ref="F507" ca="1">[1]!s_west_mediannetprofit($B$1,YEAR($A507),$A507,180,1000000)</f>
        <v>58</v>
      </c>
      <c r="G507" cm="1">
        <f t="array" aca="1" ref="G507" ca="1">[1]!s_west_netprofit($B$1,YEAR($A507)+1,$A507,180,1000000)</f>
        <v>140.293476</v>
      </c>
      <c r="H507" cm="1">
        <f t="array" aca="1" ref="H507" ca="1">[1]!s_west_eps($B$1,YEAR($A507)+1,$A507,180)</f>
        <v>0.15989999999999999</v>
      </c>
      <c r="I507" cm="1">
        <f t="array" aca="1" ref="I507" ca="1">[1]!s_west_instnum_np($B$1,YEAR($A507)+1,$A507,180)</f>
        <v>21</v>
      </c>
      <c r="J507" cm="1">
        <f t="array" aca="1" ref="J507" ca="1">[1]!s_west_stdnetprofit($B$1,YEAR($A507)+1,$A507,180,1000000)</f>
        <v>43.191510000000001</v>
      </c>
      <c r="K507" cm="1">
        <f t="array" aca="1" ref="K507" ca="1">[1]!s_west_mediannetprofit($B$1,YEAR($A506)+1,$A506,180,1000000)</f>
        <v>134.19999999999999</v>
      </c>
      <c r="L507" cm="1">
        <f t="array" aca="1" ref="L507" ca="1">[1]!s_dq_close($B$1,$A507,3)</f>
        <v>23.75</v>
      </c>
    </row>
    <row r="508" spans="1:12">
      <c r="A508" s="23">
        <f t="shared" ca="1" si="7"/>
        <v>45667</v>
      </c>
      <c r="B508" cm="1">
        <f t="array" aca="1" ref="B508" ca="1">[1]!s_west_netprofit($B$1,YEAR($A508),$A508,180,1000000)</f>
        <v>97.449912999999995</v>
      </c>
      <c r="C508" cm="1">
        <f t="array" aca="1" ref="C508" ca="1">[1]!s_west_eps($B$1,YEAR($A508),$A508,180)</f>
        <v>0.11119999999999999</v>
      </c>
      <c r="D508" cm="1">
        <f t="array" aca="1" ref="D508" ca="1">[1]!s_west_instnum_np($B$1,YEAR($A508),$A508,180)</f>
        <v>23</v>
      </c>
      <c r="E508" cm="1">
        <f t="array" aca="1" ref="E508" ca="1">[1]!s_west_stdnetprofit($B$1,YEAR($A508),$A508,180,1000000)</f>
        <v>124.602149</v>
      </c>
      <c r="F508" cm="1">
        <f t="array" aca="1" ref="F508" ca="1">[1]!s_west_mediannetprofit($B$1,YEAR($A508),$A508,180,1000000)</f>
        <v>58</v>
      </c>
      <c r="G508" cm="1">
        <f t="array" aca="1" ref="G508" ca="1">[1]!s_west_netprofit($B$1,YEAR($A508)+1,$A508,180,1000000)</f>
        <v>140.293476</v>
      </c>
      <c r="H508" cm="1">
        <f t="array" aca="1" ref="H508" ca="1">[1]!s_west_eps($B$1,YEAR($A508)+1,$A508,180)</f>
        <v>0.15989999999999999</v>
      </c>
      <c r="I508" cm="1">
        <f t="array" aca="1" ref="I508" ca="1">[1]!s_west_instnum_np($B$1,YEAR($A508)+1,$A508,180)</f>
        <v>21</v>
      </c>
      <c r="J508" cm="1">
        <f t="array" aca="1" ref="J508" ca="1">[1]!s_west_stdnetprofit($B$1,YEAR($A508)+1,$A508,180,1000000)</f>
        <v>43.191510000000001</v>
      </c>
      <c r="K508" cm="1">
        <f t="array" aca="1" ref="K508" ca="1">[1]!s_west_mediannetprofit($B$1,YEAR($A507)+1,$A507,180,1000000)</f>
        <v>134.19999999999999</v>
      </c>
      <c r="L508" cm="1">
        <f t="array" aca="1" ref="L508" ca="1">[1]!s_dq_close($B$1,$A508,3)</f>
        <v>23.75</v>
      </c>
    </row>
    <row r="509" spans="1:12">
      <c r="A509" s="23">
        <f t="shared" ca="1" si="7"/>
        <v>45666</v>
      </c>
      <c r="B509" cm="1">
        <f t="array" aca="1" ref="B509" ca="1">[1]!s_west_netprofit($B$1,YEAR($A509),$A509,180,1000000)</f>
        <v>97.449912999999995</v>
      </c>
      <c r="C509" cm="1">
        <f t="array" aca="1" ref="C509" ca="1">[1]!s_west_eps($B$1,YEAR($A509),$A509,180)</f>
        <v>0.11119999999999999</v>
      </c>
      <c r="D509" cm="1">
        <f t="array" aca="1" ref="D509" ca="1">[1]!s_west_instnum_np($B$1,YEAR($A509),$A509,180)</f>
        <v>23</v>
      </c>
      <c r="E509" cm="1">
        <f t="array" aca="1" ref="E509" ca="1">[1]!s_west_stdnetprofit($B$1,YEAR($A509),$A509,180,1000000)</f>
        <v>124.602149</v>
      </c>
      <c r="F509" cm="1">
        <f t="array" aca="1" ref="F509" ca="1">[1]!s_west_mediannetprofit($B$1,YEAR($A509),$A509,180,1000000)</f>
        <v>58</v>
      </c>
      <c r="G509" cm="1">
        <f t="array" aca="1" ref="G509" ca="1">[1]!s_west_netprofit($B$1,YEAR($A509)+1,$A509,180,1000000)</f>
        <v>140.293476</v>
      </c>
      <c r="H509" cm="1">
        <f t="array" aca="1" ref="H509" ca="1">[1]!s_west_eps($B$1,YEAR($A509)+1,$A509,180)</f>
        <v>0.15989999999999999</v>
      </c>
      <c r="I509" cm="1">
        <f t="array" aca="1" ref="I509" ca="1">[1]!s_west_instnum_np($B$1,YEAR($A509)+1,$A509,180)</f>
        <v>21</v>
      </c>
      <c r="J509" cm="1">
        <f t="array" aca="1" ref="J509" ca="1">[1]!s_west_stdnetprofit($B$1,YEAR($A509)+1,$A509,180,1000000)</f>
        <v>43.191510000000001</v>
      </c>
      <c r="K509" cm="1">
        <f t="array" aca="1" ref="K509" ca="1">[1]!s_west_mediannetprofit($B$1,YEAR($A508)+1,$A508,180,1000000)</f>
        <v>134.19999999999999</v>
      </c>
      <c r="L509" cm="1">
        <f t="array" aca="1" ref="L509" ca="1">[1]!s_dq_close($B$1,$A509,3)</f>
        <v>24.35</v>
      </c>
    </row>
    <row r="510" spans="1:12">
      <c r="A510" s="23">
        <f t="shared" ca="1" si="7"/>
        <v>45665</v>
      </c>
      <c r="B510" cm="1">
        <f t="array" aca="1" ref="B510" ca="1">[1]!s_west_netprofit($B$1,YEAR($A510),$A510,180,1000000)</f>
        <v>97.449912999999995</v>
      </c>
      <c r="C510" cm="1">
        <f t="array" aca="1" ref="C510" ca="1">[1]!s_west_eps($B$1,YEAR($A510),$A510,180)</f>
        <v>0.11119999999999999</v>
      </c>
      <c r="D510" cm="1">
        <f t="array" aca="1" ref="D510" ca="1">[1]!s_west_instnum_np($B$1,YEAR($A510),$A510,180)</f>
        <v>23</v>
      </c>
      <c r="E510" cm="1">
        <f t="array" aca="1" ref="E510" ca="1">[1]!s_west_stdnetprofit($B$1,YEAR($A510),$A510,180,1000000)</f>
        <v>124.602149</v>
      </c>
      <c r="F510" cm="1">
        <f t="array" aca="1" ref="F510" ca="1">[1]!s_west_mediannetprofit($B$1,YEAR($A510),$A510,180,1000000)</f>
        <v>58</v>
      </c>
      <c r="G510" cm="1">
        <f t="array" aca="1" ref="G510" ca="1">[1]!s_west_netprofit($B$1,YEAR($A510)+1,$A510,180,1000000)</f>
        <v>140.293476</v>
      </c>
      <c r="H510" cm="1">
        <f t="array" aca="1" ref="H510" ca="1">[1]!s_west_eps($B$1,YEAR($A510)+1,$A510,180)</f>
        <v>0.15989999999999999</v>
      </c>
      <c r="I510" cm="1">
        <f t="array" aca="1" ref="I510" ca="1">[1]!s_west_instnum_np($B$1,YEAR($A510)+1,$A510,180)</f>
        <v>21</v>
      </c>
      <c r="J510" cm="1">
        <f t="array" aca="1" ref="J510" ca="1">[1]!s_west_stdnetprofit($B$1,YEAR($A510)+1,$A510,180,1000000)</f>
        <v>43.191510000000001</v>
      </c>
      <c r="K510" cm="1">
        <f t="array" aca="1" ref="K510" ca="1">[1]!s_west_mediannetprofit($B$1,YEAR($A509)+1,$A509,180,1000000)</f>
        <v>134.19999999999999</v>
      </c>
      <c r="L510" cm="1">
        <f t="array" aca="1" ref="L510" ca="1">[1]!s_dq_close($B$1,$A510,3)</f>
        <v>24.15</v>
      </c>
    </row>
    <row r="511" spans="1:12">
      <c r="A511" s="23">
        <f t="shared" ca="1" si="7"/>
        <v>45664</v>
      </c>
      <c r="B511" cm="1">
        <f t="array" aca="1" ref="B511" ca="1">[1]!s_west_netprofit($B$1,YEAR($A511),$A511,180,1000000)</f>
        <v>97.449912999999995</v>
      </c>
      <c r="C511" cm="1">
        <f t="array" aca="1" ref="C511" ca="1">[1]!s_west_eps($B$1,YEAR($A511),$A511,180)</f>
        <v>0.11119999999999999</v>
      </c>
      <c r="D511" cm="1">
        <f t="array" aca="1" ref="D511" ca="1">[1]!s_west_instnum_np($B$1,YEAR($A511),$A511,180)</f>
        <v>23</v>
      </c>
      <c r="E511" cm="1">
        <f t="array" aca="1" ref="E511" ca="1">[1]!s_west_stdnetprofit($B$1,YEAR($A511),$A511,180,1000000)</f>
        <v>124.602149</v>
      </c>
      <c r="F511" cm="1">
        <f t="array" aca="1" ref="F511" ca="1">[1]!s_west_mediannetprofit($B$1,YEAR($A511),$A511,180,1000000)</f>
        <v>58</v>
      </c>
      <c r="G511" cm="1">
        <f t="array" aca="1" ref="G511" ca="1">[1]!s_west_netprofit($B$1,YEAR($A511)+1,$A511,180,1000000)</f>
        <v>140.293476</v>
      </c>
      <c r="H511" cm="1">
        <f t="array" aca="1" ref="H511" ca="1">[1]!s_west_eps($B$1,YEAR($A511)+1,$A511,180)</f>
        <v>0.15989999999999999</v>
      </c>
      <c r="I511" cm="1">
        <f t="array" aca="1" ref="I511" ca="1">[1]!s_west_instnum_np($B$1,YEAR($A511)+1,$A511,180)</f>
        <v>21</v>
      </c>
      <c r="J511" cm="1">
        <f t="array" aca="1" ref="J511" ca="1">[1]!s_west_stdnetprofit($B$1,YEAR($A511)+1,$A511,180,1000000)</f>
        <v>43.191510000000001</v>
      </c>
      <c r="K511" cm="1">
        <f t="array" aca="1" ref="K511" ca="1">[1]!s_west_mediannetprofit($B$1,YEAR($A510)+1,$A510,180,1000000)</f>
        <v>134.19999999999999</v>
      </c>
      <c r="L511" cm="1">
        <f t="array" aca="1" ref="L511" ca="1">[1]!s_dq_close($B$1,$A511,3)</f>
        <v>24.1</v>
      </c>
    </row>
    <row r="512" spans="1:12">
      <c r="A512" s="23">
        <f t="shared" ca="1" si="7"/>
        <v>45663</v>
      </c>
      <c r="B512" cm="1">
        <f t="array" aca="1" ref="B512" ca="1">[1]!s_west_netprofit($B$1,YEAR($A512),$A512,180,1000000)</f>
        <v>71.545434999999998</v>
      </c>
      <c r="C512" cm="1">
        <f t="array" aca="1" ref="C512" ca="1">[1]!s_west_eps($B$1,YEAR($A512),$A512,180)</f>
        <v>8.1699999999999995E-2</v>
      </c>
      <c r="D512" cm="1">
        <f t="array" aca="1" ref="D512" ca="1">[1]!s_west_instnum_np($B$1,YEAR($A512),$A512,180)</f>
        <v>23</v>
      </c>
      <c r="E512" cm="1">
        <f t="array" aca="1" ref="E512" ca="1">[1]!s_west_stdnetprofit($B$1,YEAR($A512),$A512,180,1000000)</f>
        <v>99.024788000000001</v>
      </c>
      <c r="F512" cm="1">
        <f t="array" aca="1" ref="F512" ca="1">[1]!s_west_mediannetprofit($B$1,YEAR($A512),$A512,180,1000000)</f>
        <v>48.83</v>
      </c>
      <c r="G512" cm="1">
        <f t="array" aca="1" ref="G512" ca="1">[1]!s_west_netprofit($B$1,YEAR($A512)+1,$A512,180,1000000)</f>
        <v>141.101381</v>
      </c>
      <c r="H512" cm="1">
        <f t="array" aca="1" ref="H512" ca="1">[1]!s_west_eps($B$1,YEAR($A512)+1,$A512,180)</f>
        <v>0.1608</v>
      </c>
      <c r="I512" cm="1">
        <f t="array" aca="1" ref="I512" ca="1">[1]!s_west_instnum_np($B$1,YEAR($A512)+1,$A512,180)</f>
        <v>21</v>
      </c>
      <c r="J512" cm="1">
        <f t="array" aca="1" ref="J512" ca="1">[1]!s_west_stdnetprofit($B$1,YEAR($A512)+1,$A512,180,1000000)</f>
        <v>42.603971999999999</v>
      </c>
      <c r="K512" cm="1">
        <f t="array" aca="1" ref="K512" ca="1">[1]!s_west_mediannetprofit($B$1,YEAR($A511)+1,$A511,180,1000000)</f>
        <v>134.19999999999999</v>
      </c>
      <c r="L512" cm="1">
        <f t="array" aca="1" ref="L512" ca="1">[1]!s_dq_close($B$1,$A512,3)</f>
        <v>24.55</v>
      </c>
    </row>
    <row r="513" spans="1:12">
      <c r="A513" s="23">
        <f t="shared" ca="1" si="7"/>
        <v>45662</v>
      </c>
      <c r="B513" cm="1">
        <f t="array" aca="1" ref="B513" ca="1">[1]!s_west_netprofit($B$1,YEAR($A513),$A513,180,1000000)</f>
        <v>71.545434999999998</v>
      </c>
      <c r="C513" cm="1">
        <f t="array" aca="1" ref="C513" ca="1">[1]!s_west_eps($B$1,YEAR($A513),$A513,180)</f>
        <v>8.1699999999999995E-2</v>
      </c>
      <c r="D513" cm="1">
        <f t="array" aca="1" ref="D513" ca="1">[1]!s_west_instnum_np($B$1,YEAR($A513),$A513,180)</f>
        <v>23</v>
      </c>
      <c r="E513" cm="1">
        <f t="array" aca="1" ref="E513" ca="1">[1]!s_west_stdnetprofit($B$1,YEAR($A513),$A513,180,1000000)</f>
        <v>99.024788000000001</v>
      </c>
      <c r="F513" cm="1">
        <f t="array" aca="1" ref="F513" ca="1">[1]!s_west_mediannetprofit($B$1,YEAR($A513),$A513,180,1000000)</f>
        <v>48.83</v>
      </c>
      <c r="G513" cm="1">
        <f t="array" aca="1" ref="G513" ca="1">[1]!s_west_netprofit($B$1,YEAR($A513)+1,$A513,180,1000000)</f>
        <v>141.101381</v>
      </c>
      <c r="H513" cm="1">
        <f t="array" aca="1" ref="H513" ca="1">[1]!s_west_eps($B$1,YEAR($A513)+1,$A513,180)</f>
        <v>0.1608</v>
      </c>
      <c r="I513" cm="1">
        <f t="array" aca="1" ref="I513" ca="1">[1]!s_west_instnum_np($B$1,YEAR($A513)+1,$A513,180)</f>
        <v>21</v>
      </c>
      <c r="J513" cm="1">
        <f t="array" aca="1" ref="J513" ca="1">[1]!s_west_stdnetprofit($B$1,YEAR($A513)+1,$A513,180,1000000)</f>
        <v>42.603971999999999</v>
      </c>
      <c r="K513" cm="1">
        <f t="array" aca="1" ref="K513" ca="1">[1]!s_west_mediannetprofit($B$1,YEAR($A512)+1,$A512,180,1000000)</f>
        <v>134.19999999999999</v>
      </c>
      <c r="L513" cm="1">
        <f t="array" aca="1" ref="L513" ca="1">[1]!s_dq_close($B$1,$A513,3)</f>
        <v>23.25</v>
      </c>
    </row>
    <row r="514" spans="1:12">
      <c r="A514" s="23">
        <f t="shared" ca="1" si="7"/>
        <v>45661</v>
      </c>
      <c r="B514" cm="1">
        <f t="array" aca="1" ref="B514" ca="1">[1]!s_west_netprofit($B$1,YEAR($A514),$A514,180,1000000)</f>
        <v>53.458477999999999</v>
      </c>
      <c r="C514" cm="1">
        <f t="array" aca="1" ref="C514" ca="1">[1]!s_west_eps($B$1,YEAR($A514),$A514,180)</f>
        <v>6.1100000000000002E-2</v>
      </c>
      <c r="D514" cm="1">
        <f t="array" aca="1" ref="D514" ca="1">[1]!s_west_instnum_np($B$1,YEAR($A514),$A514,180)</f>
        <v>23</v>
      </c>
      <c r="E514" cm="1">
        <f t="array" aca="1" ref="E514" ca="1">[1]!s_west_stdnetprofit($B$1,YEAR($A514),$A514,180,1000000)</f>
        <v>28.041867</v>
      </c>
      <c r="F514" cm="1">
        <f t="array" aca="1" ref="F514" ca="1">[1]!s_west_mediannetprofit($B$1,YEAR($A514),$A514,180,1000000)</f>
        <v>48.83</v>
      </c>
      <c r="G514" cm="1">
        <f t="array" aca="1" ref="G514" ca="1">[1]!s_west_netprofit($B$1,YEAR($A514)+1,$A514,180,1000000)</f>
        <v>140.86328599999999</v>
      </c>
      <c r="H514" cm="1">
        <f t="array" aca="1" ref="H514" ca="1">[1]!s_west_eps($B$1,YEAR($A514)+1,$A514,180)</f>
        <v>0.1605</v>
      </c>
      <c r="I514" cm="1">
        <f t="array" aca="1" ref="I514" ca="1">[1]!s_west_instnum_np($B$1,YEAR($A514)+1,$A514,180)</f>
        <v>21</v>
      </c>
      <c r="J514" cm="1">
        <f t="array" aca="1" ref="J514" ca="1">[1]!s_west_stdnetprofit($B$1,YEAR($A514)+1,$A514,180,1000000)</f>
        <v>42.483403000000003</v>
      </c>
      <c r="K514" cm="1">
        <f t="array" aca="1" ref="K514" ca="1">[1]!s_west_mediannetprofit($B$1,YEAR($A513)+1,$A513,180,1000000)</f>
        <v>134.19999999999999</v>
      </c>
      <c r="L514" cm="1">
        <f t="array" aca="1" ref="L514" ca="1">[1]!s_dq_close($B$1,$A514,3)</f>
        <v>23.25</v>
      </c>
    </row>
    <row r="515" spans="1:12">
      <c r="A515" s="23">
        <f t="shared" ca="1" si="7"/>
        <v>45660</v>
      </c>
      <c r="B515" cm="1">
        <f t="array" aca="1" ref="B515" ca="1">[1]!s_west_netprofit($B$1,YEAR($A515),$A515,180,1000000)</f>
        <v>53.458477999999999</v>
      </c>
      <c r="C515" cm="1">
        <f t="array" aca="1" ref="C515" ca="1">[1]!s_west_eps($B$1,YEAR($A515),$A515,180)</f>
        <v>6.1100000000000002E-2</v>
      </c>
      <c r="D515" cm="1">
        <f t="array" aca="1" ref="D515" ca="1">[1]!s_west_instnum_np($B$1,YEAR($A515),$A515,180)</f>
        <v>23</v>
      </c>
      <c r="E515" cm="1">
        <f t="array" aca="1" ref="E515" ca="1">[1]!s_west_stdnetprofit($B$1,YEAR($A515),$A515,180,1000000)</f>
        <v>28.041867</v>
      </c>
      <c r="F515" cm="1">
        <f t="array" aca="1" ref="F515" ca="1">[1]!s_west_mediannetprofit($B$1,YEAR($A515),$A515,180,1000000)</f>
        <v>48.83</v>
      </c>
      <c r="G515" cm="1">
        <f t="array" aca="1" ref="G515" ca="1">[1]!s_west_netprofit($B$1,YEAR($A515)+1,$A515,180,1000000)</f>
        <v>140.86328599999999</v>
      </c>
      <c r="H515" cm="1">
        <f t="array" aca="1" ref="H515" ca="1">[1]!s_west_eps($B$1,YEAR($A515)+1,$A515,180)</f>
        <v>0.1605</v>
      </c>
      <c r="I515" cm="1">
        <f t="array" aca="1" ref="I515" ca="1">[1]!s_west_instnum_np($B$1,YEAR($A515)+1,$A515,180)</f>
        <v>21</v>
      </c>
      <c r="J515" cm="1">
        <f t="array" aca="1" ref="J515" ca="1">[1]!s_west_stdnetprofit($B$1,YEAR($A515)+1,$A515,180,1000000)</f>
        <v>42.483403000000003</v>
      </c>
      <c r="K515" cm="1">
        <f t="array" aca="1" ref="K515" ca="1">[1]!s_west_mediannetprofit($B$1,YEAR($A514)+1,$A514,180,1000000)</f>
        <v>134.19999999999999</v>
      </c>
      <c r="L515" cm="1">
        <f t="array" aca="1" ref="L515" ca="1">[1]!s_dq_close($B$1,$A515,3)</f>
        <v>23.25</v>
      </c>
    </row>
    <row r="516" spans="1:12">
      <c r="A516" s="23">
        <f t="shared" ca="1" si="7"/>
        <v>45659</v>
      </c>
      <c r="B516" cm="1">
        <f t="array" aca="1" ref="B516" ca="1">[1]!s_west_netprofit($B$1,YEAR($A516),$A516,180,1000000)</f>
        <v>53.458477999999999</v>
      </c>
      <c r="C516" cm="1">
        <f t="array" aca="1" ref="C516" ca="1">[1]!s_west_eps($B$1,YEAR($A516),$A516,180)</f>
        <v>6.1100000000000002E-2</v>
      </c>
      <c r="D516" cm="1">
        <f t="array" aca="1" ref="D516" ca="1">[1]!s_west_instnum_np($B$1,YEAR($A516),$A516,180)</f>
        <v>23</v>
      </c>
      <c r="E516" cm="1">
        <f t="array" aca="1" ref="E516" ca="1">[1]!s_west_stdnetprofit($B$1,YEAR($A516),$A516,180,1000000)</f>
        <v>28.041867</v>
      </c>
      <c r="F516" cm="1">
        <f t="array" aca="1" ref="F516" ca="1">[1]!s_west_mediannetprofit($B$1,YEAR($A516),$A516,180,1000000)</f>
        <v>48.83</v>
      </c>
      <c r="G516" cm="1">
        <f t="array" aca="1" ref="G516" ca="1">[1]!s_west_netprofit($B$1,YEAR($A516)+1,$A516,180,1000000)</f>
        <v>140.86328599999999</v>
      </c>
      <c r="H516" cm="1">
        <f t="array" aca="1" ref="H516" ca="1">[1]!s_west_eps($B$1,YEAR($A516)+1,$A516,180)</f>
        <v>0.1605</v>
      </c>
      <c r="I516" cm="1">
        <f t="array" aca="1" ref="I516" ca="1">[1]!s_west_instnum_np($B$1,YEAR($A516)+1,$A516,180)</f>
        <v>21</v>
      </c>
      <c r="J516" cm="1">
        <f t="array" aca="1" ref="J516" ca="1">[1]!s_west_stdnetprofit($B$1,YEAR($A516)+1,$A516,180,1000000)</f>
        <v>42.483403000000003</v>
      </c>
      <c r="K516" cm="1">
        <f t="array" aca="1" ref="K516" ca="1">[1]!s_west_mediannetprofit($B$1,YEAR($A515)+1,$A515,180,1000000)</f>
        <v>134.19999999999999</v>
      </c>
      <c r="L516" cm="1">
        <f t="array" aca="1" ref="L516" ca="1">[1]!s_dq_close($B$1,$A516,3)</f>
        <v>23.4</v>
      </c>
    </row>
    <row r="517" spans="1:12">
      <c r="A517" s="23">
        <f t="shared" ca="1" si="7"/>
        <v>45658</v>
      </c>
      <c r="B517" cm="1">
        <f t="array" aca="1" ref="B517" ca="1">[1]!s_west_netprofit($B$1,YEAR($A517),$A517,180,1000000)</f>
        <v>53.795226999999997</v>
      </c>
      <c r="C517" cm="1">
        <f t="array" aca="1" ref="C517" ca="1">[1]!s_west_eps($B$1,YEAR($A517),$A517,180)</f>
        <v>6.1699999999999998E-2</v>
      </c>
      <c r="D517" cm="1">
        <f t="array" aca="1" ref="D517" ca="1">[1]!s_west_instnum_np($B$1,YEAR($A517),$A517,180)</f>
        <v>22</v>
      </c>
      <c r="E517" cm="1">
        <f t="array" aca="1" ref="E517" ca="1">[1]!s_west_stdnetprofit($B$1,YEAR($A517),$A517,180,1000000)</f>
        <v>28.654126000000002</v>
      </c>
      <c r="F517" cm="1">
        <f t="array" aca="1" ref="F517" ca="1">[1]!s_west_mediannetprofit($B$1,YEAR($A517),$A517,180,1000000)</f>
        <v>50.68</v>
      </c>
      <c r="G517" cm="1">
        <f t="array" aca="1" ref="G517" ca="1">[1]!s_west_netprofit($B$1,YEAR($A517)+1,$A517,180,1000000)</f>
        <v>141.63095000000001</v>
      </c>
      <c r="H517" cm="1">
        <f t="array" aca="1" ref="H517" ca="1">[1]!s_west_eps($B$1,YEAR($A517)+1,$A517,180)</f>
        <v>0.16209999999999999</v>
      </c>
      <c r="I517" cm="1">
        <f t="array" aca="1" ref="I517" ca="1">[1]!s_west_instnum_np($B$1,YEAR($A517)+1,$A517,180)</f>
        <v>20</v>
      </c>
      <c r="J517" cm="1">
        <f t="array" aca="1" ref="J517" ca="1">[1]!s_west_stdnetprofit($B$1,YEAR($A517)+1,$A517,180,1000000)</f>
        <v>43.437361000000003</v>
      </c>
      <c r="K517" cm="1">
        <f t="array" aca="1" ref="K517" ca="1">[1]!s_west_mediannetprofit($B$1,YEAR($A516)+1,$A516,180,1000000)</f>
        <v>134.19999999999999</v>
      </c>
      <c r="L517" cm="1">
        <f t="array" aca="1" ref="L517" ca="1">[1]!s_dq_close($B$1,$A517,3)</f>
        <v>22.55</v>
      </c>
    </row>
    <row r="518" spans="1:12">
      <c r="A518" s="23">
        <f t="shared" ca="1" si="7"/>
        <v>45657</v>
      </c>
      <c r="B518" cm="1">
        <f t="array" aca="1" ref="B518" ca="1">[1]!s_west_netprofit($B$1,YEAR($A518),$A518,180,1000000)</f>
        <v>-25.935317999999999</v>
      </c>
      <c r="C518" cm="1">
        <f t="array" aca="1" ref="C518" ca="1">[1]!s_west_eps($B$1,YEAR($A518),$A518,180)</f>
        <v>-2.98E-2</v>
      </c>
      <c r="D518" cm="1">
        <f t="array" aca="1" ref="D518" ca="1">[1]!s_west_instnum_np($B$1,YEAR($A518),$A518,180)</f>
        <v>22</v>
      </c>
      <c r="E518" cm="1">
        <f t="array" aca="1" ref="E518" ca="1">[1]!s_west_stdnetprofit($B$1,YEAR($A518),$A518,180,1000000)</f>
        <v>41.941059000000003</v>
      </c>
      <c r="F518" cm="1">
        <f t="array" aca="1" ref="F518" ca="1">[1]!s_west_mediannetprofit($B$1,YEAR($A518),$A518,180,1000000)</f>
        <v>-14.88</v>
      </c>
      <c r="G518" cm="1">
        <f t="array" aca="1" ref="G518" ca="1">[1]!s_west_netprofit($B$1,YEAR($A518)+1,$A518,180,1000000)</f>
        <v>53.795226999999997</v>
      </c>
      <c r="H518" cm="1">
        <f t="array" aca="1" ref="H518" ca="1">[1]!s_west_eps($B$1,YEAR($A518)+1,$A518,180)</f>
        <v>6.1699999999999998E-2</v>
      </c>
      <c r="I518" cm="1">
        <f t="array" aca="1" ref="I518" ca="1">[1]!s_west_instnum_np($B$1,YEAR($A518)+1,$A518,180)</f>
        <v>22</v>
      </c>
      <c r="J518" cm="1">
        <f t="array" aca="1" ref="J518" ca="1">[1]!s_west_stdnetprofit($B$1,YEAR($A518)+1,$A518,180,1000000)</f>
        <v>28.654126000000002</v>
      </c>
      <c r="K518" cm="1">
        <f t="array" aca="1" ref="K518" ca="1">[1]!s_west_mediannetprofit($B$1,YEAR($A517)+1,$A517,180,1000000)</f>
        <v>141.6</v>
      </c>
      <c r="L518" cm="1">
        <f t="array" aca="1" ref="L518" ca="1">[1]!s_dq_close($B$1,$A518,3)</f>
        <v>22.55</v>
      </c>
    </row>
    <row r="519" spans="1:12">
      <c r="A519" s="23">
        <f t="shared" ca="1" si="7"/>
        <v>45656</v>
      </c>
      <c r="B519" cm="1">
        <f t="array" aca="1" ref="B519" ca="1">[1]!s_west_netprofit($B$1,YEAR($A519),$A519,180,1000000)</f>
        <v>-25.935317999999999</v>
      </c>
      <c r="C519" cm="1">
        <f t="array" aca="1" ref="C519" ca="1">[1]!s_west_eps($B$1,YEAR($A519),$A519,180)</f>
        <v>-2.98E-2</v>
      </c>
      <c r="D519" cm="1">
        <f t="array" aca="1" ref="D519" ca="1">[1]!s_west_instnum_np($B$1,YEAR($A519),$A519,180)</f>
        <v>22</v>
      </c>
      <c r="E519" cm="1">
        <f t="array" aca="1" ref="E519" ca="1">[1]!s_west_stdnetprofit($B$1,YEAR($A519),$A519,180,1000000)</f>
        <v>41.941059000000003</v>
      </c>
      <c r="F519" cm="1">
        <f t="array" aca="1" ref="F519" ca="1">[1]!s_west_mediannetprofit($B$1,YEAR($A519),$A519,180,1000000)</f>
        <v>-14.88</v>
      </c>
      <c r="G519" cm="1">
        <f t="array" aca="1" ref="G519" ca="1">[1]!s_west_netprofit($B$1,YEAR($A519)+1,$A519,180,1000000)</f>
        <v>53.795226999999997</v>
      </c>
      <c r="H519" cm="1">
        <f t="array" aca="1" ref="H519" ca="1">[1]!s_west_eps($B$1,YEAR($A519)+1,$A519,180)</f>
        <v>6.1699999999999998E-2</v>
      </c>
      <c r="I519" cm="1">
        <f t="array" aca="1" ref="I519" ca="1">[1]!s_west_instnum_np($B$1,YEAR($A519)+1,$A519,180)</f>
        <v>22</v>
      </c>
      <c r="J519" cm="1">
        <f t="array" aca="1" ref="J519" ca="1">[1]!s_west_stdnetprofit($B$1,YEAR($A519)+1,$A519,180,1000000)</f>
        <v>28.654126000000002</v>
      </c>
      <c r="K519" cm="1">
        <f t="array" aca="1" ref="K519" ca="1">[1]!s_west_mediannetprofit($B$1,YEAR($A518)+1,$A518,180,1000000)</f>
        <v>50.68</v>
      </c>
      <c r="L519" cm="1">
        <f t="array" aca="1" ref="L519" ca="1">[1]!s_dq_close($B$1,$A519,3)</f>
        <v>22.75</v>
      </c>
    </row>
    <row r="520" spans="1:12">
      <c r="A520" s="23">
        <f t="shared" ca="1" si="7"/>
        <v>45655</v>
      </c>
      <c r="B520" cm="1">
        <f t="array" aca="1" ref="B520" ca="1">[1]!s_west_netprofit($B$1,YEAR($A520),$A520,180,1000000)</f>
        <v>-25.998429000000002</v>
      </c>
      <c r="C520" cm="1">
        <f t="array" aca="1" ref="C520" ca="1">[1]!s_west_eps($B$1,YEAR($A520),$A520,180)</f>
        <v>-2.98E-2</v>
      </c>
      <c r="D520" cm="1">
        <f t="array" aca="1" ref="D520" ca="1">[1]!s_west_instnum_np($B$1,YEAR($A520),$A520,180)</f>
        <v>21</v>
      </c>
      <c r="E520" cm="1">
        <f t="array" aca="1" ref="E520" ca="1">[1]!s_west_stdnetprofit($B$1,YEAR($A520),$A520,180,1000000)</f>
        <v>42.975726000000002</v>
      </c>
      <c r="F520" cm="1">
        <f t="array" aca="1" ref="F520" ca="1">[1]!s_west_mediannetprofit($B$1,YEAR($A520),$A520,180,1000000)</f>
        <v>-14</v>
      </c>
      <c r="G520" cm="1">
        <f t="array" aca="1" ref="G520" ca="1">[1]!s_west_netprofit($B$1,YEAR($A520)+1,$A520,180,1000000)</f>
        <v>54.164048000000001</v>
      </c>
      <c r="H520" cm="1">
        <f t="array" aca="1" ref="H520" ca="1">[1]!s_west_eps($B$1,YEAR($A520)+1,$A520,180)</f>
        <v>6.2100000000000002E-2</v>
      </c>
      <c r="I520" cm="1">
        <f t="array" aca="1" ref="I520" ca="1">[1]!s_west_instnum_np($B$1,YEAR($A520)+1,$A520,180)</f>
        <v>21</v>
      </c>
      <c r="J520" cm="1">
        <f t="array" aca="1" ref="J520" ca="1">[1]!s_west_stdnetprofit($B$1,YEAR($A520)+1,$A520,180,1000000)</f>
        <v>29.308184000000001</v>
      </c>
      <c r="K520" cm="1">
        <f t="array" aca="1" ref="K520" ca="1">[1]!s_west_mediannetprofit($B$1,YEAR($A519)+1,$A519,180,1000000)</f>
        <v>50.68</v>
      </c>
      <c r="L520" cm="1">
        <f t="array" aca="1" ref="L520" ca="1">[1]!s_dq_close($B$1,$A520,3)</f>
        <v>22.3</v>
      </c>
    </row>
    <row r="521" spans="1:12">
      <c r="A521" s="23">
        <f t="shared" ca="1" si="7"/>
        <v>45654</v>
      </c>
      <c r="B521" cm="1">
        <f t="array" aca="1" ref="B521" ca="1">[1]!s_west_netprofit($B$1,YEAR($A521),$A521,180,1000000)</f>
        <v>-25.998429000000002</v>
      </c>
      <c r="C521" cm="1">
        <f t="array" aca="1" ref="C521" ca="1">[1]!s_west_eps($B$1,YEAR($A521),$A521,180)</f>
        <v>-2.98E-2</v>
      </c>
      <c r="D521" cm="1">
        <f t="array" aca="1" ref="D521" ca="1">[1]!s_west_instnum_np($B$1,YEAR($A521),$A521,180)</f>
        <v>21</v>
      </c>
      <c r="E521" cm="1">
        <f t="array" aca="1" ref="E521" ca="1">[1]!s_west_stdnetprofit($B$1,YEAR($A521),$A521,180,1000000)</f>
        <v>42.975726000000002</v>
      </c>
      <c r="F521" cm="1">
        <f t="array" aca="1" ref="F521" ca="1">[1]!s_west_mediannetprofit($B$1,YEAR($A521),$A521,180,1000000)</f>
        <v>-14</v>
      </c>
      <c r="G521" cm="1">
        <f t="array" aca="1" ref="G521" ca="1">[1]!s_west_netprofit($B$1,YEAR($A521)+1,$A521,180,1000000)</f>
        <v>54.164048000000001</v>
      </c>
      <c r="H521" cm="1">
        <f t="array" aca="1" ref="H521" ca="1">[1]!s_west_eps($B$1,YEAR($A521)+1,$A521,180)</f>
        <v>6.2100000000000002E-2</v>
      </c>
      <c r="I521" cm="1">
        <f t="array" aca="1" ref="I521" ca="1">[1]!s_west_instnum_np($B$1,YEAR($A521)+1,$A521,180)</f>
        <v>21</v>
      </c>
      <c r="J521" cm="1">
        <f t="array" aca="1" ref="J521" ca="1">[1]!s_west_stdnetprofit($B$1,YEAR($A521)+1,$A521,180,1000000)</f>
        <v>29.308184000000001</v>
      </c>
      <c r="K521" cm="1">
        <f t="array" aca="1" ref="K521" ca="1">[1]!s_west_mediannetprofit($B$1,YEAR($A520)+1,$A520,180,1000000)</f>
        <v>52.53</v>
      </c>
      <c r="L521" cm="1">
        <f t="array" aca="1" ref="L521" ca="1">[1]!s_dq_close($B$1,$A521,3)</f>
        <v>22.3</v>
      </c>
    </row>
    <row r="522" spans="1:12">
      <c r="A522" s="23">
        <f t="shared" ca="1" si="7"/>
        <v>45653</v>
      </c>
      <c r="B522" cm="1">
        <f t="array" aca="1" ref="B522" ca="1">[1]!s_west_netprofit($B$1,YEAR($A522),$A522,180,1000000)</f>
        <v>-25.998429000000002</v>
      </c>
      <c r="C522" cm="1">
        <f t="array" aca="1" ref="C522" ca="1">[1]!s_west_eps($B$1,YEAR($A522),$A522,180)</f>
        <v>-2.98E-2</v>
      </c>
      <c r="D522" cm="1">
        <f t="array" aca="1" ref="D522" ca="1">[1]!s_west_instnum_np($B$1,YEAR($A522),$A522,180)</f>
        <v>21</v>
      </c>
      <c r="E522" cm="1">
        <f t="array" aca="1" ref="E522" ca="1">[1]!s_west_stdnetprofit($B$1,YEAR($A522),$A522,180,1000000)</f>
        <v>42.975726000000002</v>
      </c>
      <c r="F522" cm="1">
        <f t="array" aca="1" ref="F522" ca="1">[1]!s_west_mediannetprofit($B$1,YEAR($A522),$A522,180,1000000)</f>
        <v>-14</v>
      </c>
      <c r="G522" cm="1">
        <f t="array" aca="1" ref="G522" ca="1">[1]!s_west_netprofit($B$1,YEAR($A522)+1,$A522,180,1000000)</f>
        <v>54.164048000000001</v>
      </c>
      <c r="H522" cm="1">
        <f t="array" aca="1" ref="H522" ca="1">[1]!s_west_eps($B$1,YEAR($A522)+1,$A522,180)</f>
        <v>6.2100000000000002E-2</v>
      </c>
      <c r="I522" cm="1">
        <f t="array" aca="1" ref="I522" ca="1">[1]!s_west_instnum_np($B$1,YEAR($A522)+1,$A522,180)</f>
        <v>21</v>
      </c>
      <c r="J522" cm="1">
        <f t="array" aca="1" ref="J522" ca="1">[1]!s_west_stdnetprofit($B$1,YEAR($A522)+1,$A522,180,1000000)</f>
        <v>29.308184000000001</v>
      </c>
      <c r="K522" cm="1">
        <f t="array" aca="1" ref="K522" ca="1">[1]!s_west_mediannetprofit($B$1,YEAR($A521)+1,$A521,180,1000000)</f>
        <v>52.53</v>
      </c>
      <c r="L522" cm="1">
        <f t="array" aca="1" ref="L522" ca="1">[1]!s_dq_close($B$1,$A522,3)</f>
        <v>22.3</v>
      </c>
    </row>
    <row r="523" spans="1:12">
      <c r="A523" s="23">
        <f t="shared" ca="1" si="7"/>
        <v>45652</v>
      </c>
      <c r="B523" cm="1">
        <f t="array" aca="1" ref="B523" ca="1">[1]!s_west_netprofit($B$1,YEAR($A523),$A523,180,1000000)</f>
        <v>-25.998429000000002</v>
      </c>
      <c r="C523" cm="1">
        <f t="array" aca="1" ref="C523" ca="1">[1]!s_west_eps($B$1,YEAR($A523),$A523,180)</f>
        <v>-2.98E-2</v>
      </c>
      <c r="D523" cm="1">
        <f t="array" aca="1" ref="D523" ca="1">[1]!s_west_instnum_np($B$1,YEAR($A523),$A523,180)</f>
        <v>21</v>
      </c>
      <c r="E523" cm="1">
        <f t="array" aca="1" ref="E523" ca="1">[1]!s_west_stdnetprofit($B$1,YEAR($A523),$A523,180,1000000)</f>
        <v>42.975726000000002</v>
      </c>
      <c r="F523" cm="1">
        <f t="array" aca="1" ref="F523" ca="1">[1]!s_west_mediannetprofit($B$1,YEAR($A523),$A523,180,1000000)</f>
        <v>-14</v>
      </c>
      <c r="G523" cm="1">
        <f t="array" aca="1" ref="G523" ca="1">[1]!s_west_netprofit($B$1,YEAR($A523)+1,$A523,180,1000000)</f>
        <v>54.164048000000001</v>
      </c>
      <c r="H523" cm="1">
        <f t="array" aca="1" ref="H523" ca="1">[1]!s_west_eps($B$1,YEAR($A523)+1,$A523,180)</f>
        <v>6.2100000000000002E-2</v>
      </c>
      <c r="I523" cm="1">
        <f t="array" aca="1" ref="I523" ca="1">[1]!s_west_instnum_np($B$1,YEAR($A523)+1,$A523,180)</f>
        <v>21</v>
      </c>
      <c r="J523" cm="1">
        <f t="array" aca="1" ref="J523" ca="1">[1]!s_west_stdnetprofit($B$1,YEAR($A523)+1,$A523,180,1000000)</f>
        <v>29.308184000000001</v>
      </c>
      <c r="K523" cm="1">
        <f t="array" aca="1" ref="K523" ca="1">[1]!s_west_mediannetprofit($B$1,YEAR($A522)+1,$A522,180,1000000)</f>
        <v>52.53</v>
      </c>
      <c r="L523" cm="1">
        <f t="array" aca="1" ref="L523" ca="1">[1]!s_dq_close($B$1,$A523,3)</f>
        <v>22.4</v>
      </c>
    </row>
    <row r="524" spans="1:12">
      <c r="A524" s="23">
        <f t="shared" ca="1" si="7"/>
        <v>45651</v>
      </c>
      <c r="B524" cm="1">
        <f t="array" aca="1" ref="B524" ca="1">[1]!s_west_netprofit($B$1,YEAR($A524),$A524,180,1000000)</f>
        <v>-27.033349999999999</v>
      </c>
      <c r="C524" cm="1">
        <f t="array" aca="1" ref="C524" ca="1">[1]!s_west_eps($B$1,YEAR($A524),$A524,180)</f>
        <v>-3.1E-2</v>
      </c>
      <c r="D524" cm="1">
        <f t="array" aca="1" ref="D524" ca="1">[1]!s_west_instnum_np($B$1,YEAR($A524),$A524,180)</f>
        <v>20</v>
      </c>
      <c r="E524" cm="1">
        <f t="array" aca="1" ref="E524" ca="1">[1]!s_west_stdnetprofit($B$1,YEAR($A524),$A524,180,1000000)</f>
        <v>43.822857999999997</v>
      </c>
      <c r="F524" cm="1">
        <f t="array" aca="1" ref="F524" ca="1">[1]!s_west_mediannetprofit($B$1,YEAR($A524),$A524,180,1000000)</f>
        <v>-14.88</v>
      </c>
      <c r="G524" cm="1">
        <f t="array" aca="1" ref="G524" ca="1">[1]!s_west_netprofit($B$1,YEAR($A524)+1,$A524,180,1000000)</f>
        <v>51.499749999999999</v>
      </c>
      <c r="H524" cm="1">
        <f t="array" aca="1" ref="H524" ca="1">[1]!s_west_eps($B$1,YEAR($A524)+1,$A524,180)</f>
        <v>5.91E-2</v>
      </c>
      <c r="I524" cm="1">
        <f t="array" aca="1" ref="I524" ca="1">[1]!s_west_instnum_np($B$1,YEAR($A524)+1,$A524,180)</f>
        <v>20</v>
      </c>
      <c r="J524" cm="1">
        <f t="array" aca="1" ref="J524" ca="1">[1]!s_west_stdnetprofit($B$1,YEAR($A524)+1,$A524,180,1000000)</f>
        <v>27.336144000000001</v>
      </c>
      <c r="K524" cm="1">
        <f t="array" aca="1" ref="K524" ca="1">[1]!s_west_mediannetprofit($B$1,YEAR($A523)+1,$A523,180,1000000)</f>
        <v>52.53</v>
      </c>
      <c r="L524" cm="1">
        <f t="array" aca="1" ref="L524" ca="1">[1]!s_dq_close($B$1,$A524,3)</f>
        <v>22.4</v>
      </c>
    </row>
    <row r="525" spans="1:12">
      <c r="A525" s="23">
        <f t="shared" ref="A525:A588" ca="1" si="8">A524-1</f>
        <v>45650</v>
      </c>
      <c r="B525" cm="1">
        <f t="array" aca="1" ref="B525" ca="1">[1]!s_west_netprofit($B$1,YEAR($A525),$A525,180,1000000)</f>
        <v>-27.033349999999999</v>
      </c>
      <c r="C525" cm="1">
        <f t="array" aca="1" ref="C525" ca="1">[1]!s_west_eps($B$1,YEAR($A525),$A525,180)</f>
        <v>-3.1E-2</v>
      </c>
      <c r="D525" cm="1">
        <f t="array" aca="1" ref="D525" ca="1">[1]!s_west_instnum_np($B$1,YEAR($A525),$A525,180)</f>
        <v>20</v>
      </c>
      <c r="E525" cm="1">
        <f t="array" aca="1" ref="E525" ca="1">[1]!s_west_stdnetprofit($B$1,YEAR($A525),$A525,180,1000000)</f>
        <v>43.822857999999997</v>
      </c>
      <c r="F525" cm="1">
        <f t="array" aca="1" ref="F525" ca="1">[1]!s_west_mediannetprofit($B$1,YEAR($A525),$A525,180,1000000)</f>
        <v>-14.88</v>
      </c>
      <c r="G525" cm="1">
        <f t="array" aca="1" ref="G525" ca="1">[1]!s_west_netprofit($B$1,YEAR($A525)+1,$A525,180,1000000)</f>
        <v>51.499749999999999</v>
      </c>
      <c r="H525" cm="1">
        <f t="array" aca="1" ref="H525" ca="1">[1]!s_west_eps($B$1,YEAR($A525)+1,$A525,180)</f>
        <v>5.91E-2</v>
      </c>
      <c r="I525" cm="1">
        <f t="array" aca="1" ref="I525" ca="1">[1]!s_west_instnum_np($B$1,YEAR($A525)+1,$A525,180)</f>
        <v>20</v>
      </c>
      <c r="J525" cm="1">
        <f t="array" aca="1" ref="J525" ca="1">[1]!s_west_stdnetprofit($B$1,YEAR($A525)+1,$A525,180,1000000)</f>
        <v>27.336144000000001</v>
      </c>
      <c r="K525" cm="1">
        <f t="array" aca="1" ref="K525" ca="1">[1]!s_west_mediannetprofit($B$1,YEAR($A524)+1,$A524,180,1000000)</f>
        <v>50.68</v>
      </c>
      <c r="L525" cm="1">
        <f t="array" aca="1" ref="L525" ca="1">[1]!s_dq_close($B$1,$A525,3)</f>
        <v>22.4</v>
      </c>
    </row>
    <row r="526" spans="1:12">
      <c r="A526" s="23">
        <f t="shared" ca="1" si="8"/>
        <v>45649</v>
      </c>
      <c r="B526" cm="1">
        <f t="array" aca="1" ref="B526" ca="1">[1]!s_west_netprofit($B$1,YEAR($A526),$A526,180,1000000)</f>
        <v>-27.033349999999999</v>
      </c>
      <c r="C526" cm="1">
        <f t="array" aca="1" ref="C526" ca="1">[1]!s_west_eps($B$1,YEAR($A526),$A526,180)</f>
        <v>-3.1E-2</v>
      </c>
      <c r="D526" cm="1">
        <f t="array" aca="1" ref="D526" ca="1">[1]!s_west_instnum_np($B$1,YEAR($A526),$A526,180)</f>
        <v>20</v>
      </c>
      <c r="E526" cm="1">
        <f t="array" aca="1" ref="E526" ca="1">[1]!s_west_stdnetprofit($B$1,YEAR($A526),$A526,180,1000000)</f>
        <v>43.822857999999997</v>
      </c>
      <c r="F526" cm="1">
        <f t="array" aca="1" ref="F526" ca="1">[1]!s_west_mediannetprofit($B$1,YEAR($A526),$A526,180,1000000)</f>
        <v>-14.88</v>
      </c>
      <c r="G526" cm="1">
        <f t="array" aca="1" ref="G526" ca="1">[1]!s_west_netprofit($B$1,YEAR($A526)+1,$A526,180,1000000)</f>
        <v>51.499749999999999</v>
      </c>
      <c r="H526" cm="1">
        <f t="array" aca="1" ref="H526" ca="1">[1]!s_west_eps($B$1,YEAR($A526)+1,$A526,180)</f>
        <v>5.91E-2</v>
      </c>
      <c r="I526" cm="1">
        <f t="array" aca="1" ref="I526" ca="1">[1]!s_west_instnum_np($B$1,YEAR($A526)+1,$A526,180)</f>
        <v>20</v>
      </c>
      <c r="J526" cm="1">
        <f t="array" aca="1" ref="J526" ca="1">[1]!s_west_stdnetprofit($B$1,YEAR($A526)+1,$A526,180,1000000)</f>
        <v>27.336144000000001</v>
      </c>
      <c r="K526" cm="1">
        <f t="array" aca="1" ref="K526" ca="1">[1]!s_west_mediannetprofit($B$1,YEAR($A525)+1,$A525,180,1000000)</f>
        <v>50.68</v>
      </c>
      <c r="L526" cm="1">
        <f t="array" aca="1" ref="L526" ca="1">[1]!s_dq_close($B$1,$A526,3)</f>
        <v>22.25</v>
      </c>
    </row>
    <row r="527" spans="1:12">
      <c r="A527" s="23">
        <f t="shared" ca="1" si="8"/>
        <v>45648</v>
      </c>
      <c r="B527" cm="1">
        <f t="array" aca="1" ref="B527" ca="1">[1]!s_west_netprofit($B$1,YEAR($A527),$A527,180,1000000)</f>
        <v>-27.033349999999999</v>
      </c>
      <c r="C527" cm="1">
        <f t="array" aca="1" ref="C527" ca="1">[1]!s_west_eps($B$1,YEAR($A527),$A527,180)</f>
        <v>-3.1E-2</v>
      </c>
      <c r="D527" cm="1">
        <f t="array" aca="1" ref="D527" ca="1">[1]!s_west_instnum_np($B$1,YEAR($A527),$A527,180)</f>
        <v>20</v>
      </c>
      <c r="E527" cm="1">
        <f t="array" aca="1" ref="E527" ca="1">[1]!s_west_stdnetprofit($B$1,YEAR($A527),$A527,180,1000000)</f>
        <v>43.822857999999997</v>
      </c>
      <c r="F527" cm="1">
        <f t="array" aca="1" ref="F527" ca="1">[1]!s_west_mediannetprofit($B$1,YEAR($A527),$A527,180,1000000)</f>
        <v>-14.88</v>
      </c>
      <c r="G527" cm="1">
        <f t="array" aca="1" ref="G527" ca="1">[1]!s_west_netprofit($B$1,YEAR($A527)+1,$A527,180,1000000)</f>
        <v>51.499749999999999</v>
      </c>
      <c r="H527" cm="1">
        <f t="array" aca="1" ref="H527" ca="1">[1]!s_west_eps($B$1,YEAR($A527)+1,$A527,180)</f>
        <v>5.91E-2</v>
      </c>
      <c r="I527" cm="1">
        <f t="array" aca="1" ref="I527" ca="1">[1]!s_west_instnum_np($B$1,YEAR($A527)+1,$A527,180)</f>
        <v>20</v>
      </c>
      <c r="J527" cm="1">
        <f t="array" aca="1" ref="J527" ca="1">[1]!s_west_stdnetprofit($B$1,YEAR($A527)+1,$A527,180,1000000)</f>
        <v>27.336144000000001</v>
      </c>
      <c r="K527" cm="1">
        <f t="array" aca="1" ref="K527" ca="1">[1]!s_west_mediannetprofit($B$1,YEAR($A526)+1,$A526,180,1000000)</f>
        <v>50.68</v>
      </c>
      <c r="L527" cm="1">
        <f t="array" aca="1" ref="L527" ca="1">[1]!s_dq_close($B$1,$A527,3)</f>
        <v>22.15</v>
      </c>
    </row>
    <row r="528" spans="1:12">
      <c r="A528" s="23">
        <f t="shared" ca="1" si="8"/>
        <v>45647</v>
      </c>
      <c r="B528" cm="1">
        <f t="array" aca="1" ref="B528" ca="1">[1]!s_west_netprofit($B$1,YEAR($A528),$A528,180,1000000)</f>
        <v>-46.075560000000003</v>
      </c>
      <c r="C528" cm="1">
        <f t="array" aca="1" ref="C528" ca="1">[1]!s_west_eps($B$1,YEAR($A528),$A528,180)</f>
        <v>-5.2900000000000003E-2</v>
      </c>
      <c r="D528" cm="1">
        <f t="array" aca="1" ref="D528" ca="1">[1]!s_west_instnum_np($B$1,YEAR($A528),$A528,180)</f>
        <v>20</v>
      </c>
      <c r="E528" cm="1">
        <f t="array" aca="1" ref="E528" ca="1">[1]!s_west_stdnetprofit($B$1,YEAR($A528),$A528,180,1000000)</f>
        <v>97.155246000000005</v>
      </c>
      <c r="F528" cm="1">
        <f t="array" aca="1" ref="F528" ca="1">[1]!s_west_mediannetprofit($B$1,YEAR($A528),$A528,180,1000000)</f>
        <v>-15.76</v>
      </c>
      <c r="G528" cm="1">
        <f t="array" aca="1" ref="G528" ca="1">[1]!s_west_netprofit($B$1,YEAR($A528)+1,$A528,180,1000000)</f>
        <v>33.696525000000001</v>
      </c>
      <c r="H528" cm="1">
        <f t="array" aca="1" ref="H528" ca="1">[1]!s_west_eps($B$1,YEAR($A528)+1,$A528,180)</f>
        <v>3.8699999999999998E-2</v>
      </c>
      <c r="I528" cm="1">
        <f t="array" aca="1" ref="I528" ca="1">[1]!s_west_instnum_np($B$1,YEAR($A528)+1,$A528,180)</f>
        <v>20</v>
      </c>
      <c r="J528" cm="1">
        <f t="array" aca="1" ref="J528" ca="1">[1]!s_west_stdnetprofit($B$1,YEAR($A528)+1,$A528,180,1000000)</f>
        <v>85.825130999999999</v>
      </c>
      <c r="K528" cm="1">
        <f t="array" aca="1" ref="K528" ca="1">[1]!s_west_mediannetprofit($B$1,YEAR($A527)+1,$A527,180,1000000)</f>
        <v>50.68</v>
      </c>
      <c r="L528" cm="1">
        <f t="array" aca="1" ref="L528" ca="1">[1]!s_dq_close($B$1,$A528,3)</f>
        <v>22.15</v>
      </c>
    </row>
    <row r="529" spans="1:12">
      <c r="A529" s="23">
        <f t="shared" ca="1" si="8"/>
        <v>45646</v>
      </c>
      <c r="B529" cm="1">
        <f t="array" aca="1" ref="B529" ca="1">[1]!s_west_netprofit($B$1,YEAR($A529),$A529,180,1000000)</f>
        <v>-46.075560000000003</v>
      </c>
      <c r="C529" cm="1">
        <f t="array" aca="1" ref="C529" ca="1">[1]!s_west_eps($B$1,YEAR($A529),$A529,180)</f>
        <v>-5.2900000000000003E-2</v>
      </c>
      <c r="D529" cm="1">
        <f t="array" aca="1" ref="D529" ca="1">[1]!s_west_instnum_np($B$1,YEAR($A529),$A529,180)</f>
        <v>20</v>
      </c>
      <c r="E529" cm="1">
        <f t="array" aca="1" ref="E529" ca="1">[1]!s_west_stdnetprofit($B$1,YEAR($A529),$A529,180,1000000)</f>
        <v>97.155246000000005</v>
      </c>
      <c r="F529" cm="1">
        <f t="array" aca="1" ref="F529" ca="1">[1]!s_west_mediannetprofit($B$1,YEAR($A529),$A529,180,1000000)</f>
        <v>-15.76</v>
      </c>
      <c r="G529" cm="1">
        <f t="array" aca="1" ref="G529" ca="1">[1]!s_west_netprofit($B$1,YEAR($A529)+1,$A529,180,1000000)</f>
        <v>33.696525000000001</v>
      </c>
      <c r="H529" cm="1">
        <f t="array" aca="1" ref="H529" ca="1">[1]!s_west_eps($B$1,YEAR($A529)+1,$A529,180)</f>
        <v>3.8699999999999998E-2</v>
      </c>
      <c r="I529" cm="1">
        <f t="array" aca="1" ref="I529" ca="1">[1]!s_west_instnum_np($B$1,YEAR($A529)+1,$A529,180)</f>
        <v>20</v>
      </c>
      <c r="J529" cm="1">
        <f t="array" aca="1" ref="J529" ca="1">[1]!s_west_stdnetprofit($B$1,YEAR($A529)+1,$A529,180,1000000)</f>
        <v>85.825130999999999</v>
      </c>
      <c r="K529" cm="1">
        <f t="array" aca="1" ref="K529" ca="1">[1]!s_west_mediannetprofit($B$1,YEAR($A528)+1,$A528,180,1000000)</f>
        <v>48.83</v>
      </c>
      <c r="L529" cm="1">
        <f t="array" aca="1" ref="L529" ca="1">[1]!s_dq_close($B$1,$A529,3)</f>
        <v>22.15</v>
      </c>
    </row>
    <row r="530" spans="1:12">
      <c r="A530" s="23">
        <f t="shared" ca="1" si="8"/>
        <v>45645</v>
      </c>
      <c r="B530" cm="1">
        <f t="array" aca="1" ref="B530" ca="1">[1]!s_west_netprofit($B$1,YEAR($A530),$A530,180,1000000)</f>
        <v>-46.075560000000003</v>
      </c>
      <c r="C530" cm="1">
        <f t="array" aca="1" ref="C530" ca="1">[1]!s_west_eps($B$1,YEAR($A530),$A530,180)</f>
        <v>-5.2900000000000003E-2</v>
      </c>
      <c r="D530" cm="1">
        <f t="array" aca="1" ref="D530" ca="1">[1]!s_west_instnum_np($B$1,YEAR($A530),$A530,180)</f>
        <v>20</v>
      </c>
      <c r="E530" cm="1">
        <f t="array" aca="1" ref="E530" ca="1">[1]!s_west_stdnetprofit($B$1,YEAR($A530),$A530,180,1000000)</f>
        <v>97.155246000000005</v>
      </c>
      <c r="F530" cm="1">
        <f t="array" aca="1" ref="F530" ca="1">[1]!s_west_mediannetprofit($B$1,YEAR($A530),$A530,180,1000000)</f>
        <v>-15.76</v>
      </c>
      <c r="G530" cm="1">
        <f t="array" aca="1" ref="G530" ca="1">[1]!s_west_netprofit($B$1,YEAR($A530)+1,$A530,180,1000000)</f>
        <v>33.696525000000001</v>
      </c>
      <c r="H530" cm="1">
        <f t="array" aca="1" ref="H530" ca="1">[1]!s_west_eps($B$1,YEAR($A530)+1,$A530,180)</f>
        <v>3.8699999999999998E-2</v>
      </c>
      <c r="I530" cm="1">
        <f t="array" aca="1" ref="I530" ca="1">[1]!s_west_instnum_np($B$1,YEAR($A530)+1,$A530,180)</f>
        <v>20</v>
      </c>
      <c r="J530" cm="1">
        <f t="array" aca="1" ref="J530" ca="1">[1]!s_west_stdnetprofit($B$1,YEAR($A530)+1,$A530,180,1000000)</f>
        <v>85.825130999999999</v>
      </c>
      <c r="K530" cm="1">
        <f t="array" aca="1" ref="K530" ca="1">[1]!s_west_mediannetprofit($B$1,YEAR($A529)+1,$A529,180,1000000)</f>
        <v>48.83</v>
      </c>
      <c r="L530" cm="1">
        <f t="array" aca="1" ref="L530" ca="1">[1]!s_dq_close($B$1,$A530,3)</f>
        <v>22.95</v>
      </c>
    </row>
    <row r="531" spans="1:12">
      <c r="A531" s="23">
        <f t="shared" ca="1" si="8"/>
        <v>45644</v>
      </c>
      <c r="B531" cm="1">
        <f t="array" aca="1" ref="B531" ca="1">[1]!s_west_netprofit($B$1,YEAR($A531),$A531,180,1000000)</f>
        <v>-46.075560000000003</v>
      </c>
      <c r="C531" cm="1">
        <f t="array" aca="1" ref="C531" ca="1">[1]!s_west_eps($B$1,YEAR($A531),$A531,180)</f>
        <v>-5.2900000000000003E-2</v>
      </c>
      <c r="D531" cm="1">
        <f t="array" aca="1" ref="D531" ca="1">[1]!s_west_instnum_np($B$1,YEAR($A531),$A531,180)</f>
        <v>20</v>
      </c>
      <c r="E531" cm="1">
        <f t="array" aca="1" ref="E531" ca="1">[1]!s_west_stdnetprofit($B$1,YEAR($A531),$A531,180,1000000)</f>
        <v>97.155246000000005</v>
      </c>
      <c r="F531" cm="1">
        <f t="array" aca="1" ref="F531" ca="1">[1]!s_west_mediannetprofit($B$1,YEAR($A531),$A531,180,1000000)</f>
        <v>-15.76</v>
      </c>
      <c r="G531" cm="1">
        <f t="array" aca="1" ref="G531" ca="1">[1]!s_west_netprofit($B$1,YEAR($A531)+1,$A531,180,1000000)</f>
        <v>33.696525000000001</v>
      </c>
      <c r="H531" cm="1">
        <f t="array" aca="1" ref="H531" ca="1">[1]!s_west_eps($B$1,YEAR($A531)+1,$A531,180)</f>
        <v>3.8699999999999998E-2</v>
      </c>
      <c r="I531" cm="1">
        <f t="array" aca="1" ref="I531" ca="1">[1]!s_west_instnum_np($B$1,YEAR($A531)+1,$A531,180)</f>
        <v>20</v>
      </c>
      <c r="J531" cm="1">
        <f t="array" aca="1" ref="J531" ca="1">[1]!s_west_stdnetprofit($B$1,YEAR($A531)+1,$A531,180,1000000)</f>
        <v>85.825130999999999</v>
      </c>
      <c r="K531" cm="1">
        <f t="array" aca="1" ref="K531" ca="1">[1]!s_west_mediannetprofit($B$1,YEAR($A530)+1,$A530,180,1000000)</f>
        <v>48.83</v>
      </c>
      <c r="L531" cm="1">
        <f t="array" aca="1" ref="L531" ca="1">[1]!s_dq_close($B$1,$A531,3)</f>
        <v>23.05</v>
      </c>
    </row>
    <row r="532" spans="1:12">
      <c r="A532" s="23">
        <f t="shared" ca="1" si="8"/>
        <v>45643</v>
      </c>
      <c r="B532" cm="1">
        <f t="array" aca="1" ref="B532" ca="1">[1]!s_west_netprofit($B$1,YEAR($A532),$A532,180,1000000)</f>
        <v>-46.075560000000003</v>
      </c>
      <c r="C532" cm="1">
        <f t="array" aca="1" ref="C532" ca="1">[1]!s_west_eps($B$1,YEAR($A532),$A532,180)</f>
        <v>-5.2900000000000003E-2</v>
      </c>
      <c r="D532" cm="1">
        <f t="array" aca="1" ref="D532" ca="1">[1]!s_west_instnum_np($B$1,YEAR($A532),$A532,180)</f>
        <v>20</v>
      </c>
      <c r="E532" cm="1">
        <f t="array" aca="1" ref="E532" ca="1">[1]!s_west_stdnetprofit($B$1,YEAR($A532),$A532,180,1000000)</f>
        <v>97.155246000000005</v>
      </c>
      <c r="F532" cm="1">
        <f t="array" aca="1" ref="F532" ca="1">[1]!s_west_mediannetprofit($B$1,YEAR($A532),$A532,180,1000000)</f>
        <v>-15.76</v>
      </c>
      <c r="G532" cm="1">
        <f t="array" aca="1" ref="G532" ca="1">[1]!s_west_netprofit($B$1,YEAR($A532)+1,$A532,180,1000000)</f>
        <v>33.696525000000001</v>
      </c>
      <c r="H532" cm="1">
        <f t="array" aca="1" ref="H532" ca="1">[1]!s_west_eps($B$1,YEAR($A532)+1,$A532,180)</f>
        <v>3.8699999999999998E-2</v>
      </c>
      <c r="I532" cm="1">
        <f t="array" aca="1" ref="I532" ca="1">[1]!s_west_instnum_np($B$1,YEAR($A532)+1,$A532,180)</f>
        <v>20</v>
      </c>
      <c r="J532" cm="1">
        <f t="array" aca="1" ref="J532" ca="1">[1]!s_west_stdnetprofit($B$1,YEAR($A532)+1,$A532,180,1000000)</f>
        <v>85.825130999999999</v>
      </c>
      <c r="K532" cm="1">
        <f t="array" aca="1" ref="K532" ca="1">[1]!s_west_mediannetprofit($B$1,YEAR($A531)+1,$A531,180,1000000)</f>
        <v>48.83</v>
      </c>
      <c r="L532" cm="1">
        <f t="array" aca="1" ref="L532" ca="1">[1]!s_dq_close($B$1,$A532,3)</f>
        <v>23.25</v>
      </c>
    </row>
    <row r="533" spans="1:12">
      <c r="A533" s="23">
        <f t="shared" ca="1" si="8"/>
        <v>45642</v>
      </c>
      <c r="B533" cm="1">
        <f t="array" aca="1" ref="B533" ca="1">[1]!s_west_netprofit($B$1,YEAR($A533),$A533,180,1000000)</f>
        <v>-46.075560000000003</v>
      </c>
      <c r="C533" cm="1">
        <f t="array" aca="1" ref="C533" ca="1">[1]!s_west_eps($B$1,YEAR($A533),$A533,180)</f>
        <v>-5.2900000000000003E-2</v>
      </c>
      <c r="D533" cm="1">
        <f t="array" aca="1" ref="D533" ca="1">[1]!s_west_instnum_np($B$1,YEAR($A533),$A533,180)</f>
        <v>20</v>
      </c>
      <c r="E533" cm="1">
        <f t="array" aca="1" ref="E533" ca="1">[1]!s_west_stdnetprofit($B$1,YEAR($A533),$A533,180,1000000)</f>
        <v>97.155246000000005</v>
      </c>
      <c r="F533" cm="1">
        <f t="array" aca="1" ref="F533" ca="1">[1]!s_west_mediannetprofit($B$1,YEAR($A533),$A533,180,1000000)</f>
        <v>-15.76</v>
      </c>
      <c r="G533" cm="1">
        <f t="array" aca="1" ref="G533" ca="1">[1]!s_west_netprofit($B$1,YEAR($A533)+1,$A533,180,1000000)</f>
        <v>33.696525000000001</v>
      </c>
      <c r="H533" cm="1">
        <f t="array" aca="1" ref="H533" ca="1">[1]!s_west_eps($B$1,YEAR($A533)+1,$A533,180)</f>
        <v>3.8699999999999998E-2</v>
      </c>
      <c r="I533" cm="1">
        <f t="array" aca="1" ref="I533" ca="1">[1]!s_west_instnum_np($B$1,YEAR($A533)+1,$A533,180)</f>
        <v>20</v>
      </c>
      <c r="J533" cm="1">
        <f t="array" aca="1" ref="J533" ca="1">[1]!s_west_stdnetprofit($B$1,YEAR($A533)+1,$A533,180,1000000)</f>
        <v>85.825130999999999</v>
      </c>
      <c r="K533" cm="1">
        <f t="array" aca="1" ref="K533" ca="1">[1]!s_west_mediannetprofit($B$1,YEAR($A532)+1,$A532,180,1000000)</f>
        <v>48.83</v>
      </c>
      <c r="L533" cm="1">
        <f t="array" aca="1" ref="L533" ca="1">[1]!s_dq_close($B$1,$A533,3)</f>
        <v>23.45</v>
      </c>
    </row>
    <row r="534" spans="1:12">
      <c r="A534" s="23">
        <f t="shared" ca="1" si="8"/>
        <v>45641</v>
      </c>
      <c r="B534" cm="1">
        <f t="array" aca="1" ref="B534" ca="1">[1]!s_west_netprofit($B$1,YEAR($A534),$A534,180,1000000)</f>
        <v>-46.075560000000003</v>
      </c>
      <c r="C534" cm="1">
        <f t="array" aca="1" ref="C534" ca="1">[1]!s_west_eps($B$1,YEAR($A534),$A534,180)</f>
        <v>-5.2900000000000003E-2</v>
      </c>
      <c r="D534" cm="1">
        <f t="array" aca="1" ref="D534" ca="1">[1]!s_west_instnum_np($B$1,YEAR($A534),$A534,180)</f>
        <v>20</v>
      </c>
      <c r="E534" cm="1">
        <f t="array" aca="1" ref="E534" ca="1">[1]!s_west_stdnetprofit($B$1,YEAR($A534),$A534,180,1000000)</f>
        <v>97.155246000000005</v>
      </c>
      <c r="F534" cm="1">
        <f t="array" aca="1" ref="F534" ca="1">[1]!s_west_mediannetprofit($B$1,YEAR($A534),$A534,180,1000000)</f>
        <v>-15.76</v>
      </c>
      <c r="G534" cm="1">
        <f t="array" aca="1" ref="G534" ca="1">[1]!s_west_netprofit($B$1,YEAR($A534)+1,$A534,180,1000000)</f>
        <v>33.696525000000001</v>
      </c>
      <c r="H534" cm="1">
        <f t="array" aca="1" ref="H534" ca="1">[1]!s_west_eps($B$1,YEAR($A534)+1,$A534,180)</f>
        <v>3.8699999999999998E-2</v>
      </c>
      <c r="I534" cm="1">
        <f t="array" aca="1" ref="I534" ca="1">[1]!s_west_instnum_np($B$1,YEAR($A534)+1,$A534,180)</f>
        <v>20</v>
      </c>
      <c r="J534" cm="1">
        <f t="array" aca="1" ref="J534" ca="1">[1]!s_west_stdnetprofit($B$1,YEAR($A534)+1,$A534,180,1000000)</f>
        <v>85.825130999999999</v>
      </c>
      <c r="K534" cm="1">
        <f t="array" aca="1" ref="K534" ca="1">[1]!s_west_mediannetprofit($B$1,YEAR($A533)+1,$A533,180,1000000)</f>
        <v>48.83</v>
      </c>
      <c r="L534" cm="1">
        <f t="array" aca="1" ref="L534" ca="1">[1]!s_dq_close($B$1,$A534,3)</f>
        <v>24.55</v>
      </c>
    </row>
    <row r="535" spans="1:12">
      <c r="A535" s="23">
        <f t="shared" ca="1" si="8"/>
        <v>45640</v>
      </c>
      <c r="B535" cm="1">
        <f t="array" aca="1" ref="B535" ca="1">[1]!s_west_netprofit($B$1,YEAR($A535),$A535,180,1000000)</f>
        <v>-46.075560000000003</v>
      </c>
      <c r="C535" cm="1">
        <f t="array" aca="1" ref="C535" ca="1">[1]!s_west_eps($B$1,YEAR($A535),$A535,180)</f>
        <v>-5.2900000000000003E-2</v>
      </c>
      <c r="D535" cm="1">
        <f t="array" aca="1" ref="D535" ca="1">[1]!s_west_instnum_np($B$1,YEAR($A535),$A535,180)</f>
        <v>20</v>
      </c>
      <c r="E535" cm="1">
        <f t="array" aca="1" ref="E535" ca="1">[1]!s_west_stdnetprofit($B$1,YEAR($A535),$A535,180,1000000)</f>
        <v>97.155246000000005</v>
      </c>
      <c r="F535" cm="1">
        <f t="array" aca="1" ref="F535" ca="1">[1]!s_west_mediannetprofit($B$1,YEAR($A535),$A535,180,1000000)</f>
        <v>-15.76</v>
      </c>
      <c r="G535" cm="1">
        <f t="array" aca="1" ref="G535" ca="1">[1]!s_west_netprofit($B$1,YEAR($A535)+1,$A535,180,1000000)</f>
        <v>33.696525000000001</v>
      </c>
      <c r="H535" cm="1">
        <f t="array" aca="1" ref="H535" ca="1">[1]!s_west_eps($B$1,YEAR($A535)+1,$A535,180)</f>
        <v>3.8699999999999998E-2</v>
      </c>
      <c r="I535" cm="1">
        <f t="array" aca="1" ref="I535" ca="1">[1]!s_west_instnum_np($B$1,YEAR($A535)+1,$A535,180)</f>
        <v>20</v>
      </c>
      <c r="J535" cm="1">
        <f t="array" aca="1" ref="J535" ca="1">[1]!s_west_stdnetprofit($B$1,YEAR($A535)+1,$A535,180,1000000)</f>
        <v>85.825130999999999</v>
      </c>
      <c r="K535" cm="1">
        <f t="array" aca="1" ref="K535" ca="1">[1]!s_west_mediannetprofit($B$1,YEAR($A534)+1,$A534,180,1000000)</f>
        <v>48.83</v>
      </c>
      <c r="L535" cm="1">
        <f t="array" aca="1" ref="L535" ca="1">[1]!s_dq_close($B$1,$A535,3)</f>
        <v>24.55</v>
      </c>
    </row>
    <row r="536" spans="1:12">
      <c r="A536" s="23">
        <f t="shared" ca="1" si="8"/>
        <v>45639</v>
      </c>
      <c r="B536" cm="1">
        <f t="array" aca="1" ref="B536" ca="1">[1]!s_west_netprofit($B$1,YEAR($A536),$A536,180,1000000)</f>
        <v>-46.075560000000003</v>
      </c>
      <c r="C536" cm="1">
        <f t="array" aca="1" ref="C536" ca="1">[1]!s_west_eps($B$1,YEAR($A536),$A536,180)</f>
        <v>-5.2900000000000003E-2</v>
      </c>
      <c r="D536" cm="1">
        <f t="array" aca="1" ref="D536" ca="1">[1]!s_west_instnum_np($B$1,YEAR($A536),$A536,180)</f>
        <v>20</v>
      </c>
      <c r="E536" cm="1">
        <f t="array" aca="1" ref="E536" ca="1">[1]!s_west_stdnetprofit($B$1,YEAR($A536),$A536,180,1000000)</f>
        <v>97.155246000000005</v>
      </c>
      <c r="F536" cm="1">
        <f t="array" aca="1" ref="F536" ca="1">[1]!s_west_mediannetprofit($B$1,YEAR($A536),$A536,180,1000000)</f>
        <v>-15.76</v>
      </c>
      <c r="G536" cm="1">
        <f t="array" aca="1" ref="G536" ca="1">[1]!s_west_netprofit($B$1,YEAR($A536)+1,$A536,180,1000000)</f>
        <v>33.696525000000001</v>
      </c>
      <c r="H536" cm="1">
        <f t="array" aca="1" ref="H536" ca="1">[1]!s_west_eps($B$1,YEAR($A536)+1,$A536,180)</f>
        <v>3.8699999999999998E-2</v>
      </c>
      <c r="I536" cm="1">
        <f t="array" aca="1" ref="I536" ca="1">[1]!s_west_instnum_np($B$1,YEAR($A536)+1,$A536,180)</f>
        <v>20</v>
      </c>
      <c r="J536" cm="1">
        <f t="array" aca="1" ref="J536" ca="1">[1]!s_west_stdnetprofit($B$1,YEAR($A536)+1,$A536,180,1000000)</f>
        <v>85.825130999999999</v>
      </c>
      <c r="K536" cm="1">
        <f t="array" aca="1" ref="K536" ca="1">[1]!s_west_mediannetprofit($B$1,YEAR($A535)+1,$A535,180,1000000)</f>
        <v>48.83</v>
      </c>
      <c r="L536" cm="1">
        <f t="array" aca="1" ref="L536" ca="1">[1]!s_dq_close($B$1,$A536,3)</f>
        <v>24.55</v>
      </c>
    </row>
    <row r="537" spans="1:12">
      <c r="A537" s="23">
        <f t="shared" ca="1" si="8"/>
        <v>45638</v>
      </c>
      <c r="B537" cm="1">
        <f t="array" aca="1" ref="B537" ca="1">[1]!s_west_netprofit($B$1,YEAR($A537),$A537,180,1000000)</f>
        <v>-46.075560000000003</v>
      </c>
      <c r="C537" cm="1">
        <f t="array" aca="1" ref="C537" ca="1">[1]!s_west_eps($B$1,YEAR($A537),$A537,180)</f>
        <v>-5.2900000000000003E-2</v>
      </c>
      <c r="D537" cm="1">
        <f t="array" aca="1" ref="D537" ca="1">[1]!s_west_instnum_np($B$1,YEAR($A537),$A537,180)</f>
        <v>20</v>
      </c>
      <c r="E537" cm="1">
        <f t="array" aca="1" ref="E537" ca="1">[1]!s_west_stdnetprofit($B$1,YEAR($A537),$A537,180,1000000)</f>
        <v>97.155246000000005</v>
      </c>
      <c r="F537" cm="1">
        <f t="array" aca="1" ref="F537" ca="1">[1]!s_west_mediannetprofit($B$1,YEAR($A537),$A537,180,1000000)</f>
        <v>-15.76</v>
      </c>
      <c r="G537" cm="1">
        <f t="array" aca="1" ref="G537" ca="1">[1]!s_west_netprofit($B$1,YEAR($A537)+1,$A537,180,1000000)</f>
        <v>33.696525000000001</v>
      </c>
      <c r="H537" cm="1">
        <f t="array" aca="1" ref="H537" ca="1">[1]!s_west_eps($B$1,YEAR($A537)+1,$A537,180)</f>
        <v>3.8699999999999998E-2</v>
      </c>
      <c r="I537" cm="1">
        <f t="array" aca="1" ref="I537" ca="1">[1]!s_west_instnum_np($B$1,YEAR($A537)+1,$A537,180)</f>
        <v>20</v>
      </c>
      <c r="J537" cm="1">
        <f t="array" aca="1" ref="J537" ca="1">[1]!s_west_stdnetprofit($B$1,YEAR($A537)+1,$A537,180,1000000)</f>
        <v>85.825130999999999</v>
      </c>
      <c r="K537" cm="1">
        <f t="array" aca="1" ref="K537" ca="1">[1]!s_west_mediannetprofit($B$1,YEAR($A536)+1,$A536,180,1000000)</f>
        <v>48.83</v>
      </c>
      <c r="L537" cm="1">
        <f t="array" aca="1" ref="L537" ca="1">[1]!s_dq_close($B$1,$A537,3)</f>
        <v>25.3</v>
      </c>
    </row>
    <row r="538" spans="1:12">
      <c r="A538" s="23">
        <f t="shared" ca="1" si="8"/>
        <v>45637</v>
      </c>
      <c r="B538" cm="1">
        <f t="array" aca="1" ref="B538" ca="1">[1]!s_west_netprofit($B$1,YEAR($A538),$A538,180,1000000)</f>
        <v>-46.075560000000003</v>
      </c>
      <c r="C538" cm="1">
        <f t="array" aca="1" ref="C538" ca="1">[1]!s_west_eps($B$1,YEAR($A538),$A538,180)</f>
        <v>-5.2900000000000003E-2</v>
      </c>
      <c r="D538" cm="1">
        <f t="array" aca="1" ref="D538" ca="1">[1]!s_west_instnum_np($B$1,YEAR($A538),$A538,180)</f>
        <v>20</v>
      </c>
      <c r="E538" cm="1">
        <f t="array" aca="1" ref="E538" ca="1">[1]!s_west_stdnetprofit($B$1,YEAR($A538),$A538,180,1000000)</f>
        <v>97.155246000000005</v>
      </c>
      <c r="F538" cm="1">
        <f t="array" aca="1" ref="F538" ca="1">[1]!s_west_mediannetprofit($B$1,YEAR($A538),$A538,180,1000000)</f>
        <v>-15.76</v>
      </c>
      <c r="G538" cm="1">
        <f t="array" aca="1" ref="G538" ca="1">[1]!s_west_netprofit($B$1,YEAR($A538)+1,$A538,180,1000000)</f>
        <v>33.696525000000001</v>
      </c>
      <c r="H538" cm="1">
        <f t="array" aca="1" ref="H538" ca="1">[1]!s_west_eps($B$1,YEAR($A538)+1,$A538,180)</f>
        <v>3.8699999999999998E-2</v>
      </c>
      <c r="I538" cm="1">
        <f t="array" aca="1" ref="I538" ca="1">[1]!s_west_instnum_np($B$1,YEAR($A538)+1,$A538,180)</f>
        <v>20</v>
      </c>
      <c r="J538" cm="1">
        <f t="array" aca="1" ref="J538" ca="1">[1]!s_west_stdnetprofit($B$1,YEAR($A538)+1,$A538,180,1000000)</f>
        <v>85.825130999999999</v>
      </c>
      <c r="K538" cm="1">
        <f t="array" aca="1" ref="K538" ca="1">[1]!s_west_mediannetprofit($B$1,YEAR($A537)+1,$A537,180,1000000)</f>
        <v>48.83</v>
      </c>
      <c r="L538" cm="1">
        <f t="array" aca="1" ref="L538" ca="1">[1]!s_dq_close($B$1,$A538,3)</f>
        <v>25.6</v>
      </c>
    </row>
    <row r="539" spans="1:12">
      <c r="A539" s="23">
        <f t="shared" ca="1" si="8"/>
        <v>45636</v>
      </c>
      <c r="B539" cm="1">
        <f t="array" aca="1" ref="B539" ca="1">[1]!s_west_netprofit($B$1,YEAR($A539),$A539,180,1000000)</f>
        <v>-46.075560000000003</v>
      </c>
      <c r="C539" cm="1">
        <f t="array" aca="1" ref="C539" ca="1">[1]!s_west_eps($B$1,YEAR($A539),$A539,180)</f>
        <v>-5.2900000000000003E-2</v>
      </c>
      <c r="D539" cm="1">
        <f t="array" aca="1" ref="D539" ca="1">[1]!s_west_instnum_np($B$1,YEAR($A539),$A539,180)</f>
        <v>20</v>
      </c>
      <c r="E539" cm="1">
        <f t="array" aca="1" ref="E539" ca="1">[1]!s_west_stdnetprofit($B$1,YEAR($A539),$A539,180,1000000)</f>
        <v>97.155246000000005</v>
      </c>
      <c r="F539" cm="1">
        <f t="array" aca="1" ref="F539" ca="1">[1]!s_west_mediannetprofit($B$1,YEAR($A539),$A539,180,1000000)</f>
        <v>-15.76</v>
      </c>
      <c r="G539" cm="1">
        <f t="array" aca="1" ref="G539" ca="1">[1]!s_west_netprofit($B$1,YEAR($A539)+1,$A539,180,1000000)</f>
        <v>33.696525000000001</v>
      </c>
      <c r="H539" cm="1">
        <f t="array" aca="1" ref="H539" ca="1">[1]!s_west_eps($B$1,YEAR($A539)+1,$A539,180)</f>
        <v>3.8699999999999998E-2</v>
      </c>
      <c r="I539" cm="1">
        <f t="array" aca="1" ref="I539" ca="1">[1]!s_west_instnum_np($B$1,YEAR($A539)+1,$A539,180)</f>
        <v>20</v>
      </c>
      <c r="J539" cm="1">
        <f t="array" aca="1" ref="J539" ca="1">[1]!s_west_stdnetprofit($B$1,YEAR($A539)+1,$A539,180,1000000)</f>
        <v>85.825130999999999</v>
      </c>
      <c r="K539" cm="1">
        <f t="array" aca="1" ref="K539" ca="1">[1]!s_west_mediannetprofit($B$1,YEAR($A538)+1,$A538,180,1000000)</f>
        <v>48.83</v>
      </c>
      <c r="L539" cm="1">
        <f t="array" aca="1" ref="L539" ca="1">[1]!s_dq_close($B$1,$A539,3)</f>
        <v>26.6</v>
      </c>
    </row>
    <row r="540" spans="1:12">
      <c r="A540" s="23">
        <f t="shared" ca="1" si="8"/>
        <v>45635</v>
      </c>
      <c r="B540" cm="1">
        <f t="array" aca="1" ref="B540" ca="1">[1]!s_west_netprofit($B$1,YEAR($A540),$A540,180,1000000)</f>
        <v>-51.837465000000002</v>
      </c>
      <c r="C540" cm="1">
        <f t="array" aca="1" ref="C540" ca="1">[1]!s_west_eps($B$1,YEAR($A540),$A540,180)</f>
        <v>-5.9499999999999997E-2</v>
      </c>
      <c r="D540" cm="1">
        <f t="array" aca="1" ref="D540" ca="1">[1]!s_west_instnum_np($B$1,YEAR($A540),$A540,180)</f>
        <v>20</v>
      </c>
      <c r="E540" cm="1">
        <f t="array" aca="1" ref="E540" ca="1">[1]!s_west_stdnetprofit($B$1,YEAR($A540),$A540,180,1000000)</f>
        <v>97.561868000000004</v>
      </c>
      <c r="F540" cm="1">
        <f t="array" aca="1" ref="F540" ca="1">[1]!s_west_mediannetprofit($B$1,YEAR($A540),$A540,180,1000000)</f>
        <v>-17.239999999999998</v>
      </c>
      <c r="G540" cm="1">
        <f t="array" aca="1" ref="G540" ca="1">[1]!s_west_netprofit($B$1,YEAR($A540)+1,$A540,180,1000000)</f>
        <v>32.791763000000003</v>
      </c>
      <c r="H540" cm="1">
        <f t="array" aca="1" ref="H540" ca="1">[1]!s_west_eps($B$1,YEAR($A540)+1,$A540,180)</f>
        <v>3.7600000000000001E-2</v>
      </c>
      <c r="I540" cm="1">
        <f t="array" aca="1" ref="I540" ca="1">[1]!s_west_instnum_np($B$1,YEAR($A540)+1,$A540,180)</f>
        <v>20</v>
      </c>
      <c r="J540" cm="1">
        <f t="array" aca="1" ref="J540" ca="1">[1]!s_west_stdnetprofit($B$1,YEAR($A540)+1,$A540,180,1000000)</f>
        <v>86.076517999999993</v>
      </c>
      <c r="K540" cm="1">
        <f t="array" aca="1" ref="K540" ca="1">[1]!s_west_mediannetprofit($B$1,YEAR($A539)+1,$A539,180,1000000)</f>
        <v>48.83</v>
      </c>
      <c r="L540" cm="1">
        <f t="array" aca="1" ref="L540" ca="1">[1]!s_dq_close($B$1,$A540,3)</f>
        <v>26.9</v>
      </c>
    </row>
    <row r="541" spans="1:12">
      <c r="A541" s="23">
        <f t="shared" ca="1" si="8"/>
        <v>45634</v>
      </c>
      <c r="B541" cm="1">
        <f t="array" aca="1" ref="B541" ca="1">[1]!s_west_netprofit($B$1,YEAR($A541),$A541,180,1000000)</f>
        <v>-51.837465000000002</v>
      </c>
      <c r="C541" cm="1">
        <f t="array" aca="1" ref="C541" ca="1">[1]!s_west_eps($B$1,YEAR($A541),$A541,180)</f>
        <v>-5.9499999999999997E-2</v>
      </c>
      <c r="D541" cm="1">
        <f t="array" aca="1" ref="D541" ca="1">[1]!s_west_instnum_np($B$1,YEAR($A541),$A541,180)</f>
        <v>20</v>
      </c>
      <c r="E541" cm="1">
        <f t="array" aca="1" ref="E541" ca="1">[1]!s_west_stdnetprofit($B$1,YEAR($A541),$A541,180,1000000)</f>
        <v>97.561868000000004</v>
      </c>
      <c r="F541" cm="1">
        <f t="array" aca="1" ref="F541" ca="1">[1]!s_west_mediannetprofit($B$1,YEAR($A541),$A541,180,1000000)</f>
        <v>-17.239999999999998</v>
      </c>
      <c r="G541" cm="1">
        <f t="array" aca="1" ref="G541" ca="1">[1]!s_west_netprofit($B$1,YEAR($A541)+1,$A541,180,1000000)</f>
        <v>32.791763000000003</v>
      </c>
      <c r="H541" cm="1">
        <f t="array" aca="1" ref="H541" ca="1">[1]!s_west_eps($B$1,YEAR($A541)+1,$A541,180)</f>
        <v>3.7600000000000001E-2</v>
      </c>
      <c r="I541" cm="1">
        <f t="array" aca="1" ref="I541" ca="1">[1]!s_west_instnum_np($B$1,YEAR($A541)+1,$A541,180)</f>
        <v>20</v>
      </c>
      <c r="J541" cm="1">
        <f t="array" aca="1" ref="J541" ca="1">[1]!s_west_stdnetprofit($B$1,YEAR($A541)+1,$A541,180,1000000)</f>
        <v>86.076517999999993</v>
      </c>
      <c r="K541" cm="1">
        <f t="array" aca="1" ref="K541" ca="1">[1]!s_west_mediannetprofit($B$1,YEAR($A540)+1,$A540,180,1000000)</f>
        <v>48.83</v>
      </c>
      <c r="L541" cm="1">
        <f t="array" aca="1" ref="L541" ca="1">[1]!s_dq_close($B$1,$A541,3)</f>
        <v>26.65</v>
      </c>
    </row>
    <row r="542" spans="1:12">
      <c r="A542" s="23">
        <f t="shared" ca="1" si="8"/>
        <v>45633</v>
      </c>
      <c r="B542" cm="1">
        <f t="array" aca="1" ref="B542" ca="1">[1]!s_west_netprofit($B$1,YEAR($A542),$A542,180,1000000)</f>
        <v>-51.837465000000002</v>
      </c>
      <c r="C542" cm="1">
        <f t="array" aca="1" ref="C542" ca="1">[1]!s_west_eps($B$1,YEAR($A542),$A542,180)</f>
        <v>-5.9499999999999997E-2</v>
      </c>
      <c r="D542" cm="1">
        <f t="array" aca="1" ref="D542" ca="1">[1]!s_west_instnum_np($B$1,YEAR($A542),$A542,180)</f>
        <v>20</v>
      </c>
      <c r="E542" cm="1">
        <f t="array" aca="1" ref="E542" ca="1">[1]!s_west_stdnetprofit($B$1,YEAR($A542),$A542,180,1000000)</f>
        <v>97.561868000000004</v>
      </c>
      <c r="F542" cm="1">
        <f t="array" aca="1" ref="F542" ca="1">[1]!s_west_mediannetprofit($B$1,YEAR($A542),$A542,180,1000000)</f>
        <v>-17.239999999999998</v>
      </c>
      <c r="G542" cm="1">
        <f t="array" aca="1" ref="G542" ca="1">[1]!s_west_netprofit($B$1,YEAR($A542)+1,$A542,180,1000000)</f>
        <v>32.791763000000003</v>
      </c>
      <c r="H542" cm="1">
        <f t="array" aca="1" ref="H542" ca="1">[1]!s_west_eps($B$1,YEAR($A542)+1,$A542,180)</f>
        <v>3.7600000000000001E-2</v>
      </c>
      <c r="I542" cm="1">
        <f t="array" aca="1" ref="I542" ca="1">[1]!s_west_instnum_np($B$1,YEAR($A542)+1,$A542,180)</f>
        <v>20</v>
      </c>
      <c r="J542" cm="1">
        <f t="array" aca="1" ref="J542" ca="1">[1]!s_west_stdnetprofit($B$1,YEAR($A542)+1,$A542,180,1000000)</f>
        <v>86.076517999999993</v>
      </c>
      <c r="K542" cm="1">
        <f t="array" aca="1" ref="K542" ca="1">[1]!s_west_mediannetprofit($B$1,YEAR($A541)+1,$A541,180,1000000)</f>
        <v>48.83</v>
      </c>
      <c r="L542" cm="1">
        <f t="array" aca="1" ref="L542" ca="1">[1]!s_dq_close($B$1,$A542,3)</f>
        <v>26.65</v>
      </c>
    </row>
    <row r="543" spans="1:12">
      <c r="A543" s="23">
        <f t="shared" ca="1" si="8"/>
        <v>45632</v>
      </c>
      <c r="B543" cm="1">
        <f t="array" aca="1" ref="B543" ca="1">[1]!s_west_netprofit($B$1,YEAR($A543),$A543,180,1000000)</f>
        <v>-51.837465000000002</v>
      </c>
      <c r="C543" cm="1">
        <f t="array" aca="1" ref="C543" ca="1">[1]!s_west_eps($B$1,YEAR($A543),$A543,180)</f>
        <v>-5.9499999999999997E-2</v>
      </c>
      <c r="D543" cm="1">
        <f t="array" aca="1" ref="D543" ca="1">[1]!s_west_instnum_np($B$1,YEAR($A543),$A543,180)</f>
        <v>20</v>
      </c>
      <c r="E543" cm="1">
        <f t="array" aca="1" ref="E543" ca="1">[1]!s_west_stdnetprofit($B$1,YEAR($A543),$A543,180,1000000)</f>
        <v>97.561868000000004</v>
      </c>
      <c r="F543" cm="1">
        <f t="array" aca="1" ref="F543" ca="1">[1]!s_west_mediannetprofit($B$1,YEAR($A543),$A543,180,1000000)</f>
        <v>-17.239999999999998</v>
      </c>
      <c r="G543" cm="1">
        <f t="array" aca="1" ref="G543" ca="1">[1]!s_west_netprofit($B$1,YEAR($A543)+1,$A543,180,1000000)</f>
        <v>32.791763000000003</v>
      </c>
      <c r="H543" cm="1">
        <f t="array" aca="1" ref="H543" ca="1">[1]!s_west_eps($B$1,YEAR($A543)+1,$A543,180)</f>
        <v>3.7600000000000001E-2</v>
      </c>
      <c r="I543" cm="1">
        <f t="array" aca="1" ref="I543" ca="1">[1]!s_west_instnum_np($B$1,YEAR($A543)+1,$A543,180)</f>
        <v>20</v>
      </c>
      <c r="J543" cm="1">
        <f t="array" aca="1" ref="J543" ca="1">[1]!s_west_stdnetprofit($B$1,YEAR($A543)+1,$A543,180,1000000)</f>
        <v>86.076517999999993</v>
      </c>
      <c r="K543" cm="1">
        <f t="array" aca="1" ref="K543" ca="1">[1]!s_west_mediannetprofit($B$1,YEAR($A542)+1,$A542,180,1000000)</f>
        <v>48.83</v>
      </c>
      <c r="L543" cm="1">
        <f t="array" aca="1" ref="L543" ca="1">[1]!s_dq_close($B$1,$A543,3)</f>
        <v>26.65</v>
      </c>
    </row>
    <row r="544" spans="1:12">
      <c r="A544" s="23">
        <f t="shared" ca="1" si="8"/>
        <v>45631</v>
      </c>
      <c r="B544" cm="1">
        <f t="array" aca="1" ref="B544" ca="1">[1]!s_west_netprofit($B$1,YEAR($A544),$A544,180,1000000)</f>
        <v>-51.837465000000002</v>
      </c>
      <c r="C544" cm="1">
        <f t="array" aca="1" ref="C544" ca="1">[1]!s_west_eps($B$1,YEAR($A544),$A544,180)</f>
        <v>-5.9499999999999997E-2</v>
      </c>
      <c r="D544" cm="1">
        <f t="array" aca="1" ref="D544" ca="1">[1]!s_west_instnum_np($B$1,YEAR($A544),$A544,180)</f>
        <v>20</v>
      </c>
      <c r="E544" cm="1">
        <f t="array" aca="1" ref="E544" ca="1">[1]!s_west_stdnetprofit($B$1,YEAR($A544),$A544,180,1000000)</f>
        <v>97.561868000000004</v>
      </c>
      <c r="F544" cm="1">
        <f t="array" aca="1" ref="F544" ca="1">[1]!s_west_mediannetprofit($B$1,YEAR($A544),$A544,180,1000000)</f>
        <v>-17.239999999999998</v>
      </c>
      <c r="G544" cm="1">
        <f t="array" aca="1" ref="G544" ca="1">[1]!s_west_netprofit($B$1,YEAR($A544)+1,$A544,180,1000000)</f>
        <v>32.791763000000003</v>
      </c>
      <c r="H544" cm="1">
        <f t="array" aca="1" ref="H544" ca="1">[1]!s_west_eps($B$1,YEAR($A544)+1,$A544,180)</f>
        <v>3.7600000000000001E-2</v>
      </c>
      <c r="I544" cm="1">
        <f t="array" aca="1" ref="I544" ca="1">[1]!s_west_instnum_np($B$1,YEAR($A544)+1,$A544,180)</f>
        <v>20</v>
      </c>
      <c r="J544" cm="1">
        <f t="array" aca="1" ref="J544" ca="1">[1]!s_west_stdnetprofit($B$1,YEAR($A544)+1,$A544,180,1000000)</f>
        <v>86.076517999999993</v>
      </c>
      <c r="K544" cm="1">
        <f t="array" aca="1" ref="K544" ca="1">[1]!s_west_mediannetprofit($B$1,YEAR($A543)+1,$A543,180,1000000)</f>
        <v>48.83</v>
      </c>
      <c r="L544" cm="1">
        <f t="array" aca="1" ref="L544" ca="1">[1]!s_dq_close($B$1,$A544,3)</f>
        <v>26.5</v>
      </c>
    </row>
    <row r="545" spans="1:12">
      <c r="A545" s="23">
        <f t="shared" ca="1" si="8"/>
        <v>45630</v>
      </c>
      <c r="B545" cm="1">
        <f t="array" aca="1" ref="B545" ca="1">[1]!s_west_netprofit($B$1,YEAR($A545),$A545,180,1000000)</f>
        <v>-51.837465000000002</v>
      </c>
      <c r="C545" cm="1">
        <f t="array" aca="1" ref="C545" ca="1">[1]!s_west_eps($B$1,YEAR($A545),$A545,180)</f>
        <v>-5.9499999999999997E-2</v>
      </c>
      <c r="D545" cm="1">
        <f t="array" aca="1" ref="D545" ca="1">[1]!s_west_instnum_np($B$1,YEAR($A545),$A545,180)</f>
        <v>20</v>
      </c>
      <c r="E545" cm="1">
        <f t="array" aca="1" ref="E545" ca="1">[1]!s_west_stdnetprofit($B$1,YEAR($A545),$A545,180,1000000)</f>
        <v>97.561868000000004</v>
      </c>
      <c r="F545" cm="1">
        <f t="array" aca="1" ref="F545" ca="1">[1]!s_west_mediannetprofit($B$1,YEAR($A545),$A545,180,1000000)</f>
        <v>-17.239999999999998</v>
      </c>
      <c r="G545" cm="1">
        <f t="array" aca="1" ref="G545" ca="1">[1]!s_west_netprofit($B$1,YEAR($A545)+1,$A545,180,1000000)</f>
        <v>32.791763000000003</v>
      </c>
      <c r="H545" cm="1">
        <f t="array" aca="1" ref="H545" ca="1">[1]!s_west_eps($B$1,YEAR($A545)+1,$A545,180)</f>
        <v>3.7600000000000001E-2</v>
      </c>
      <c r="I545" cm="1">
        <f t="array" aca="1" ref="I545" ca="1">[1]!s_west_instnum_np($B$1,YEAR($A545)+1,$A545,180)</f>
        <v>20</v>
      </c>
      <c r="J545" cm="1">
        <f t="array" aca="1" ref="J545" ca="1">[1]!s_west_stdnetprofit($B$1,YEAR($A545)+1,$A545,180,1000000)</f>
        <v>86.076517999999993</v>
      </c>
      <c r="K545" cm="1">
        <f t="array" aca="1" ref="K545" ca="1">[1]!s_west_mediannetprofit($B$1,YEAR($A544)+1,$A544,180,1000000)</f>
        <v>48.83</v>
      </c>
      <c r="L545" cm="1">
        <f t="array" aca="1" ref="L545" ca="1">[1]!s_dq_close($B$1,$A545,3)</f>
        <v>26.85</v>
      </c>
    </row>
    <row r="546" spans="1:12">
      <c r="A546" s="23">
        <f t="shared" ca="1" si="8"/>
        <v>45629</v>
      </c>
      <c r="B546" cm="1">
        <f t="array" aca="1" ref="B546" ca="1">[1]!s_west_netprofit($B$1,YEAR($A546),$A546,180,1000000)</f>
        <v>-51.837465000000002</v>
      </c>
      <c r="C546" cm="1">
        <f t="array" aca="1" ref="C546" ca="1">[1]!s_west_eps($B$1,YEAR($A546),$A546,180)</f>
        <v>-5.9499999999999997E-2</v>
      </c>
      <c r="D546" cm="1">
        <f t="array" aca="1" ref="D546" ca="1">[1]!s_west_instnum_np($B$1,YEAR($A546),$A546,180)</f>
        <v>20</v>
      </c>
      <c r="E546" cm="1">
        <f t="array" aca="1" ref="E546" ca="1">[1]!s_west_stdnetprofit($B$1,YEAR($A546),$A546,180,1000000)</f>
        <v>97.561868000000004</v>
      </c>
      <c r="F546" cm="1">
        <f t="array" aca="1" ref="F546" ca="1">[1]!s_west_mediannetprofit($B$1,YEAR($A546),$A546,180,1000000)</f>
        <v>-17.239999999999998</v>
      </c>
      <c r="G546" cm="1">
        <f t="array" aca="1" ref="G546" ca="1">[1]!s_west_netprofit($B$1,YEAR($A546)+1,$A546,180,1000000)</f>
        <v>32.791763000000003</v>
      </c>
      <c r="H546" cm="1">
        <f t="array" aca="1" ref="H546" ca="1">[1]!s_west_eps($B$1,YEAR($A546)+1,$A546,180)</f>
        <v>3.7600000000000001E-2</v>
      </c>
      <c r="I546" cm="1">
        <f t="array" aca="1" ref="I546" ca="1">[1]!s_west_instnum_np($B$1,YEAR($A546)+1,$A546,180)</f>
        <v>20</v>
      </c>
      <c r="J546" cm="1">
        <f t="array" aca="1" ref="J546" ca="1">[1]!s_west_stdnetprofit($B$1,YEAR($A546)+1,$A546,180,1000000)</f>
        <v>86.076517999999993</v>
      </c>
      <c r="K546" cm="1">
        <f t="array" aca="1" ref="K546" ca="1">[1]!s_west_mediannetprofit($B$1,YEAR($A545)+1,$A545,180,1000000)</f>
        <v>48.83</v>
      </c>
      <c r="L546" cm="1">
        <f t="array" aca="1" ref="L546" ca="1">[1]!s_dq_close($B$1,$A546,3)</f>
        <v>27.2</v>
      </c>
    </row>
    <row r="547" spans="1:12">
      <c r="A547" s="23">
        <f t="shared" ca="1" si="8"/>
        <v>45628</v>
      </c>
      <c r="B547" cm="1">
        <f t="array" aca="1" ref="B547" ca="1">[1]!s_west_netprofit($B$1,YEAR($A547),$A547,180,1000000)</f>
        <v>-51.837465000000002</v>
      </c>
      <c r="C547" cm="1">
        <f t="array" aca="1" ref="C547" ca="1">[1]!s_west_eps($B$1,YEAR($A547),$A547,180)</f>
        <v>-5.9499999999999997E-2</v>
      </c>
      <c r="D547" cm="1">
        <f t="array" aca="1" ref="D547" ca="1">[1]!s_west_instnum_np($B$1,YEAR($A547),$A547,180)</f>
        <v>20</v>
      </c>
      <c r="E547" cm="1">
        <f t="array" aca="1" ref="E547" ca="1">[1]!s_west_stdnetprofit($B$1,YEAR($A547),$A547,180,1000000)</f>
        <v>97.561868000000004</v>
      </c>
      <c r="F547" cm="1">
        <f t="array" aca="1" ref="F547" ca="1">[1]!s_west_mediannetprofit($B$1,YEAR($A547),$A547,180,1000000)</f>
        <v>-17.239999999999998</v>
      </c>
      <c r="G547" cm="1">
        <f t="array" aca="1" ref="G547" ca="1">[1]!s_west_netprofit($B$1,YEAR($A547)+1,$A547,180,1000000)</f>
        <v>32.791763000000003</v>
      </c>
      <c r="H547" cm="1">
        <f t="array" aca="1" ref="H547" ca="1">[1]!s_west_eps($B$1,YEAR($A547)+1,$A547,180)</f>
        <v>3.7600000000000001E-2</v>
      </c>
      <c r="I547" cm="1">
        <f t="array" aca="1" ref="I547" ca="1">[1]!s_west_instnum_np($B$1,YEAR($A547)+1,$A547,180)</f>
        <v>20</v>
      </c>
      <c r="J547" cm="1">
        <f t="array" aca="1" ref="J547" ca="1">[1]!s_west_stdnetprofit($B$1,YEAR($A547)+1,$A547,180,1000000)</f>
        <v>86.076517999999993</v>
      </c>
      <c r="K547" cm="1">
        <f t="array" aca="1" ref="K547" ca="1">[1]!s_west_mediannetprofit($B$1,YEAR($A546)+1,$A546,180,1000000)</f>
        <v>48.83</v>
      </c>
      <c r="L547" cm="1">
        <f t="array" aca="1" ref="L547" ca="1">[1]!s_dq_close($B$1,$A547,3)</f>
        <v>27.25</v>
      </c>
    </row>
    <row r="548" spans="1:12">
      <c r="A548" s="23">
        <f t="shared" ca="1" si="8"/>
        <v>45627</v>
      </c>
      <c r="B548" cm="1">
        <f t="array" aca="1" ref="B548" ca="1">[1]!s_west_netprofit($B$1,YEAR($A548),$A548,180,1000000)</f>
        <v>-51.837465000000002</v>
      </c>
      <c r="C548" cm="1">
        <f t="array" aca="1" ref="C548" ca="1">[1]!s_west_eps($B$1,YEAR($A548),$A548,180)</f>
        <v>-5.9499999999999997E-2</v>
      </c>
      <c r="D548" cm="1">
        <f t="array" aca="1" ref="D548" ca="1">[1]!s_west_instnum_np($B$1,YEAR($A548),$A548,180)</f>
        <v>20</v>
      </c>
      <c r="E548" cm="1">
        <f t="array" aca="1" ref="E548" ca="1">[1]!s_west_stdnetprofit($B$1,YEAR($A548),$A548,180,1000000)</f>
        <v>97.561868000000004</v>
      </c>
      <c r="F548" cm="1">
        <f t="array" aca="1" ref="F548" ca="1">[1]!s_west_mediannetprofit($B$1,YEAR($A548),$A548,180,1000000)</f>
        <v>-17.239999999999998</v>
      </c>
      <c r="G548" cm="1">
        <f t="array" aca="1" ref="G548" ca="1">[1]!s_west_netprofit($B$1,YEAR($A548)+1,$A548,180,1000000)</f>
        <v>32.791763000000003</v>
      </c>
      <c r="H548" cm="1">
        <f t="array" aca="1" ref="H548" ca="1">[1]!s_west_eps($B$1,YEAR($A548)+1,$A548,180)</f>
        <v>3.7600000000000001E-2</v>
      </c>
      <c r="I548" cm="1">
        <f t="array" aca="1" ref="I548" ca="1">[1]!s_west_instnum_np($B$1,YEAR($A548)+1,$A548,180)</f>
        <v>20</v>
      </c>
      <c r="J548" cm="1">
        <f t="array" aca="1" ref="J548" ca="1">[1]!s_west_stdnetprofit($B$1,YEAR($A548)+1,$A548,180,1000000)</f>
        <v>86.076517999999993</v>
      </c>
      <c r="K548" cm="1">
        <f t="array" aca="1" ref="K548" ca="1">[1]!s_west_mediannetprofit($B$1,YEAR($A547)+1,$A547,180,1000000)</f>
        <v>48.83</v>
      </c>
      <c r="L548" cm="1">
        <f t="array" aca="1" ref="L548" ca="1">[1]!s_dq_close($B$1,$A548,3)</f>
        <v>26.5</v>
      </c>
    </row>
    <row r="549" spans="1:12">
      <c r="A549" s="23">
        <f t="shared" ca="1" si="8"/>
        <v>45626</v>
      </c>
      <c r="B549" cm="1">
        <f t="array" aca="1" ref="B549" ca="1">[1]!s_west_netprofit($B$1,YEAR($A549),$A549,180,1000000)</f>
        <v>-51.837465000000002</v>
      </c>
      <c r="C549" cm="1">
        <f t="array" aca="1" ref="C549" ca="1">[1]!s_west_eps($B$1,YEAR($A549),$A549,180)</f>
        <v>-5.9499999999999997E-2</v>
      </c>
      <c r="D549" cm="1">
        <f t="array" aca="1" ref="D549" ca="1">[1]!s_west_instnum_np($B$1,YEAR($A549),$A549,180)</f>
        <v>20</v>
      </c>
      <c r="E549" cm="1">
        <f t="array" aca="1" ref="E549" ca="1">[1]!s_west_stdnetprofit($B$1,YEAR($A549),$A549,180,1000000)</f>
        <v>97.561868000000004</v>
      </c>
      <c r="F549" cm="1">
        <f t="array" aca="1" ref="F549" ca="1">[1]!s_west_mediannetprofit($B$1,YEAR($A549),$A549,180,1000000)</f>
        <v>-17.239999999999998</v>
      </c>
      <c r="G549" cm="1">
        <f t="array" aca="1" ref="G549" ca="1">[1]!s_west_netprofit($B$1,YEAR($A549)+1,$A549,180,1000000)</f>
        <v>32.791763000000003</v>
      </c>
      <c r="H549" cm="1">
        <f t="array" aca="1" ref="H549" ca="1">[1]!s_west_eps($B$1,YEAR($A549)+1,$A549,180)</f>
        <v>3.7600000000000001E-2</v>
      </c>
      <c r="I549" cm="1">
        <f t="array" aca="1" ref="I549" ca="1">[1]!s_west_instnum_np($B$1,YEAR($A549)+1,$A549,180)</f>
        <v>20</v>
      </c>
      <c r="J549" cm="1">
        <f t="array" aca="1" ref="J549" ca="1">[1]!s_west_stdnetprofit($B$1,YEAR($A549)+1,$A549,180,1000000)</f>
        <v>86.076517999999993</v>
      </c>
      <c r="K549" cm="1">
        <f t="array" aca="1" ref="K549" ca="1">[1]!s_west_mediannetprofit($B$1,YEAR($A548)+1,$A548,180,1000000)</f>
        <v>48.83</v>
      </c>
      <c r="L549" cm="1">
        <f t="array" aca="1" ref="L549" ca="1">[1]!s_dq_close($B$1,$A549,3)</f>
        <v>26.5</v>
      </c>
    </row>
    <row r="550" spans="1:12">
      <c r="A550" s="23">
        <f t="shared" ca="1" si="8"/>
        <v>45625</v>
      </c>
      <c r="B550" cm="1">
        <f t="array" aca="1" ref="B550" ca="1">[1]!s_west_netprofit($B$1,YEAR($A550),$A550,180,1000000)</f>
        <v>-51.837465000000002</v>
      </c>
      <c r="C550" cm="1">
        <f t="array" aca="1" ref="C550" ca="1">[1]!s_west_eps($B$1,YEAR($A550),$A550,180)</f>
        <v>-5.9499999999999997E-2</v>
      </c>
      <c r="D550" cm="1">
        <f t="array" aca="1" ref="D550" ca="1">[1]!s_west_instnum_np($B$1,YEAR($A550),$A550,180)</f>
        <v>20</v>
      </c>
      <c r="E550" cm="1">
        <f t="array" aca="1" ref="E550" ca="1">[1]!s_west_stdnetprofit($B$1,YEAR($A550),$A550,180,1000000)</f>
        <v>97.561868000000004</v>
      </c>
      <c r="F550" cm="1">
        <f t="array" aca="1" ref="F550" ca="1">[1]!s_west_mediannetprofit($B$1,YEAR($A550),$A550,180,1000000)</f>
        <v>-17.239999999999998</v>
      </c>
      <c r="G550" cm="1">
        <f t="array" aca="1" ref="G550" ca="1">[1]!s_west_netprofit($B$1,YEAR($A550)+1,$A550,180,1000000)</f>
        <v>32.791763000000003</v>
      </c>
      <c r="H550" cm="1">
        <f t="array" aca="1" ref="H550" ca="1">[1]!s_west_eps($B$1,YEAR($A550)+1,$A550,180)</f>
        <v>3.7600000000000001E-2</v>
      </c>
      <c r="I550" cm="1">
        <f t="array" aca="1" ref="I550" ca="1">[1]!s_west_instnum_np($B$1,YEAR($A550)+1,$A550,180)</f>
        <v>20</v>
      </c>
      <c r="J550" cm="1">
        <f t="array" aca="1" ref="J550" ca="1">[1]!s_west_stdnetprofit($B$1,YEAR($A550)+1,$A550,180,1000000)</f>
        <v>86.076517999999993</v>
      </c>
      <c r="K550" cm="1">
        <f t="array" aca="1" ref="K550" ca="1">[1]!s_west_mediannetprofit($B$1,YEAR($A549)+1,$A549,180,1000000)</f>
        <v>48.83</v>
      </c>
      <c r="L550" cm="1">
        <f t="array" aca="1" ref="L550" ca="1">[1]!s_dq_close($B$1,$A550,3)</f>
        <v>26.5</v>
      </c>
    </row>
    <row r="551" spans="1:12">
      <c r="A551" s="23">
        <f t="shared" ca="1" si="8"/>
        <v>45624</v>
      </c>
      <c r="B551" cm="1">
        <f t="array" aca="1" ref="B551" ca="1">[1]!s_west_netprofit($B$1,YEAR($A551),$A551,180,1000000)</f>
        <v>-51.837465000000002</v>
      </c>
      <c r="C551" cm="1">
        <f t="array" aca="1" ref="C551" ca="1">[1]!s_west_eps($B$1,YEAR($A551),$A551,180)</f>
        <v>-5.9499999999999997E-2</v>
      </c>
      <c r="D551" cm="1">
        <f t="array" aca="1" ref="D551" ca="1">[1]!s_west_instnum_np($B$1,YEAR($A551),$A551,180)</f>
        <v>20</v>
      </c>
      <c r="E551" cm="1">
        <f t="array" aca="1" ref="E551" ca="1">[1]!s_west_stdnetprofit($B$1,YEAR($A551),$A551,180,1000000)</f>
        <v>97.561868000000004</v>
      </c>
      <c r="F551" cm="1">
        <f t="array" aca="1" ref="F551" ca="1">[1]!s_west_mediannetprofit($B$1,YEAR($A551),$A551,180,1000000)</f>
        <v>-17.239999999999998</v>
      </c>
      <c r="G551" cm="1">
        <f t="array" aca="1" ref="G551" ca="1">[1]!s_west_netprofit($B$1,YEAR($A551)+1,$A551,180,1000000)</f>
        <v>32.791763000000003</v>
      </c>
      <c r="H551" cm="1">
        <f t="array" aca="1" ref="H551" ca="1">[1]!s_west_eps($B$1,YEAR($A551)+1,$A551,180)</f>
        <v>3.7600000000000001E-2</v>
      </c>
      <c r="I551" cm="1">
        <f t="array" aca="1" ref="I551" ca="1">[1]!s_west_instnum_np($B$1,YEAR($A551)+1,$A551,180)</f>
        <v>20</v>
      </c>
      <c r="J551" cm="1">
        <f t="array" aca="1" ref="J551" ca="1">[1]!s_west_stdnetprofit($B$1,YEAR($A551)+1,$A551,180,1000000)</f>
        <v>86.076517999999993</v>
      </c>
      <c r="K551" cm="1">
        <f t="array" aca="1" ref="K551" ca="1">[1]!s_west_mediannetprofit($B$1,YEAR($A550)+1,$A550,180,1000000)</f>
        <v>48.83</v>
      </c>
      <c r="L551" cm="1">
        <f t="array" aca="1" ref="L551" ca="1">[1]!s_dq_close($B$1,$A551,3)</f>
        <v>27.85</v>
      </c>
    </row>
    <row r="552" spans="1:12">
      <c r="A552" s="23">
        <f t="shared" ca="1" si="8"/>
        <v>45623</v>
      </c>
      <c r="B552" cm="1">
        <f t="array" aca="1" ref="B552" ca="1">[1]!s_west_netprofit($B$1,YEAR($A552),$A552,180,1000000)</f>
        <v>-51.837465000000002</v>
      </c>
      <c r="C552" cm="1">
        <f t="array" aca="1" ref="C552" ca="1">[1]!s_west_eps($B$1,YEAR($A552),$A552,180)</f>
        <v>-5.9499999999999997E-2</v>
      </c>
      <c r="D552" cm="1">
        <f t="array" aca="1" ref="D552" ca="1">[1]!s_west_instnum_np($B$1,YEAR($A552),$A552,180)</f>
        <v>20</v>
      </c>
      <c r="E552" cm="1">
        <f t="array" aca="1" ref="E552" ca="1">[1]!s_west_stdnetprofit($B$1,YEAR($A552),$A552,180,1000000)</f>
        <v>97.561868000000004</v>
      </c>
      <c r="F552" cm="1">
        <f t="array" aca="1" ref="F552" ca="1">[1]!s_west_mediannetprofit($B$1,YEAR($A552),$A552,180,1000000)</f>
        <v>-17.239999999999998</v>
      </c>
      <c r="G552" cm="1">
        <f t="array" aca="1" ref="G552" ca="1">[1]!s_west_netprofit($B$1,YEAR($A552)+1,$A552,180,1000000)</f>
        <v>32.791763000000003</v>
      </c>
      <c r="H552" cm="1">
        <f t="array" aca="1" ref="H552" ca="1">[1]!s_west_eps($B$1,YEAR($A552)+1,$A552,180)</f>
        <v>3.7600000000000001E-2</v>
      </c>
      <c r="I552" cm="1">
        <f t="array" aca="1" ref="I552" ca="1">[1]!s_west_instnum_np($B$1,YEAR($A552)+1,$A552,180)</f>
        <v>20</v>
      </c>
      <c r="J552" cm="1">
        <f t="array" aca="1" ref="J552" ca="1">[1]!s_west_stdnetprofit($B$1,YEAR($A552)+1,$A552,180,1000000)</f>
        <v>86.076517999999993</v>
      </c>
      <c r="K552" cm="1">
        <f t="array" aca="1" ref="K552" ca="1">[1]!s_west_mediannetprofit($B$1,YEAR($A551)+1,$A551,180,1000000)</f>
        <v>48.83</v>
      </c>
      <c r="L552" cm="1">
        <f t="array" aca="1" ref="L552" ca="1">[1]!s_dq_close($B$1,$A552,3)</f>
        <v>28.8</v>
      </c>
    </row>
    <row r="553" spans="1:12">
      <c r="A553" s="23">
        <f t="shared" ca="1" si="8"/>
        <v>45622</v>
      </c>
      <c r="B553" cm="1">
        <f t="array" aca="1" ref="B553" ca="1">[1]!s_west_netprofit($B$1,YEAR($A553),$A553,180,1000000)</f>
        <v>-51.837465000000002</v>
      </c>
      <c r="C553" cm="1">
        <f t="array" aca="1" ref="C553" ca="1">[1]!s_west_eps($B$1,YEAR($A553),$A553,180)</f>
        <v>-5.9499999999999997E-2</v>
      </c>
      <c r="D553" cm="1">
        <f t="array" aca="1" ref="D553" ca="1">[1]!s_west_instnum_np($B$1,YEAR($A553),$A553,180)</f>
        <v>20</v>
      </c>
      <c r="E553" cm="1">
        <f t="array" aca="1" ref="E553" ca="1">[1]!s_west_stdnetprofit($B$1,YEAR($A553),$A553,180,1000000)</f>
        <v>97.561868000000004</v>
      </c>
      <c r="F553" cm="1">
        <f t="array" aca="1" ref="F553" ca="1">[1]!s_west_mediannetprofit($B$1,YEAR($A553),$A553,180,1000000)</f>
        <v>-17.239999999999998</v>
      </c>
      <c r="G553" cm="1">
        <f t="array" aca="1" ref="G553" ca="1">[1]!s_west_netprofit($B$1,YEAR($A553)+1,$A553,180,1000000)</f>
        <v>32.791763000000003</v>
      </c>
      <c r="H553" cm="1">
        <f t="array" aca="1" ref="H553" ca="1">[1]!s_west_eps($B$1,YEAR($A553)+1,$A553,180)</f>
        <v>3.7600000000000001E-2</v>
      </c>
      <c r="I553" cm="1">
        <f t="array" aca="1" ref="I553" ca="1">[1]!s_west_instnum_np($B$1,YEAR($A553)+1,$A553,180)</f>
        <v>20</v>
      </c>
      <c r="J553" cm="1">
        <f t="array" aca="1" ref="J553" ca="1">[1]!s_west_stdnetprofit($B$1,YEAR($A553)+1,$A553,180,1000000)</f>
        <v>86.076517999999993</v>
      </c>
      <c r="K553" cm="1">
        <f t="array" aca="1" ref="K553" ca="1">[1]!s_west_mediannetprofit($B$1,YEAR($A552)+1,$A552,180,1000000)</f>
        <v>48.83</v>
      </c>
      <c r="L553" cm="1">
        <f t="array" aca="1" ref="L553" ca="1">[1]!s_dq_close($B$1,$A553,3)</f>
        <v>27.45</v>
      </c>
    </row>
    <row r="554" spans="1:12">
      <c r="A554" s="23">
        <f t="shared" ca="1" si="8"/>
        <v>45621</v>
      </c>
      <c r="B554" cm="1">
        <f t="array" aca="1" ref="B554" ca="1">[1]!s_west_netprofit($B$1,YEAR($A554),$A554,180,1000000)</f>
        <v>-51.837465000000002</v>
      </c>
      <c r="C554" cm="1">
        <f t="array" aca="1" ref="C554" ca="1">[1]!s_west_eps($B$1,YEAR($A554),$A554,180)</f>
        <v>-5.9499999999999997E-2</v>
      </c>
      <c r="D554" cm="1">
        <f t="array" aca="1" ref="D554" ca="1">[1]!s_west_instnum_np($B$1,YEAR($A554),$A554,180)</f>
        <v>20</v>
      </c>
      <c r="E554" cm="1">
        <f t="array" aca="1" ref="E554" ca="1">[1]!s_west_stdnetprofit($B$1,YEAR($A554),$A554,180,1000000)</f>
        <v>97.561868000000004</v>
      </c>
      <c r="F554" cm="1">
        <f t="array" aca="1" ref="F554" ca="1">[1]!s_west_mediannetprofit($B$1,YEAR($A554),$A554,180,1000000)</f>
        <v>-17.239999999999998</v>
      </c>
      <c r="G554" cm="1">
        <f t="array" aca="1" ref="G554" ca="1">[1]!s_west_netprofit($B$1,YEAR($A554)+1,$A554,180,1000000)</f>
        <v>32.791763000000003</v>
      </c>
      <c r="H554" cm="1">
        <f t="array" aca="1" ref="H554" ca="1">[1]!s_west_eps($B$1,YEAR($A554)+1,$A554,180)</f>
        <v>3.7600000000000001E-2</v>
      </c>
      <c r="I554" cm="1">
        <f t="array" aca="1" ref="I554" ca="1">[1]!s_west_instnum_np($B$1,YEAR($A554)+1,$A554,180)</f>
        <v>20</v>
      </c>
      <c r="J554" cm="1">
        <f t="array" aca="1" ref="J554" ca="1">[1]!s_west_stdnetprofit($B$1,YEAR($A554)+1,$A554,180,1000000)</f>
        <v>86.076517999999993</v>
      </c>
      <c r="K554" cm="1">
        <f t="array" aca="1" ref="K554" ca="1">[1]!s_west_mediannetprofit($B$1,YEAR($A553)+1,$A553,180,1000000)</f>
        <v>48.83</v>
      </c>
      <c r="L554" cm="1">
        <f t="array" aca="1" ref="L554" ca="1">[1]!s_dq_close($B$1,$A554,3)</f>
        <v>27.1</v>
      </c>
    </row>
    <row r="555" spans="1:12">
      <c r="A555" s="23">
        <f t="shared" ca="1" si="8"/>
        <v>45620</v>
      </c>
      <c r="B555" cm="1">
        <f t="array" aca="1" ref="B555" ca="1">[1]!s_west_netprofit($B$1,YEAR($A555),$A555,180,1000000)</f>
        <v>-51.837465000000002</v>
      </c>
      <c r="C555" cm="1">
        <f t="array" aca="1" ref="C555" ca="1">[1]!s_west_eps($B$1,YEAR($A555),$A555,180)</f>
        <v>-5.9499999999999997E-2</v>
      </c>
      <c r="D555" cm="1">
        <f t="array" aca="1" ref="D555" ca="1">[1]!s_west_instnum_np($B$1,YEAR($A555),$A555,180)</f>
        <v>20</v>
      </c>
      <c r="E555" cm="1">
        <f t="array" aca="1" ref="E555" ca="1">[1]!s_west_stdnetprofit($B$1,YEAR($A555),$A555,180,1000000)</f>
        <v>97.561868000000004</v>
      </c>
      <c r="F555" cm="1">
        <f t="array" aca="1" ref="F555" ca="1">[1]!s_west_mediannetprofit($B$1,YEAR($A555),$A555,180,1000000)</f>
        <v>-17.239999999999998</v>
      </c>
      <c r="G555" cm="1">
        <f t="array" aca="1" ref="G555" ca="1">[1]!s_west_netprofit($B$1,YEAR($A555)+1,$A555,180,1000000)</f>
        <v>32.791763000000003</v>
      </c>
      <c r="H555" cm="1">
        <f t="array" aca="1" ref="H555" ca="1">[1]!s_west_eps($B$1,YEAR($A555)+1,$A555,180)</f>
        <v>3.7600000000000001E-2</v>
      </c>
      <c r="I555" cm="1">
        <f t="array" aca="1" ref="I555" ca="1">[1]!s_west_instnum_np($B$1,YEAR($A555)+1,$A555,180)</f>
        <v>20</v>
      </c>
      <c r="J555" cm="1">
        <f t="array" aca="1" ref="J555" ca="1">[1]!s_west_stdnetprofit($B$1,YEAR($A555)+1,$A555,180,1000000)</f>
        <v>86.076517999999993</v>
      </c>
      <c r="K555" cm="1">
        <f t="array" aca="1" ref="K555" ca="1">[1]!s_west_mediannetprofit($B$1,YEAR($A554)+1,$A554,180,1000000)</f>
        <v>48.83</v>
      </c>
      <c r="L555" cm="1">
        <f t="array" aca="1" ref="L555" ca="1">[1]!s_dq_close($B$1,$A555,3)</f>
        <v>27.3</v>
      </c>
    </row>
    <row r="556" spans="1:12">
      <c r="A556" s="23">
        <f t="shared" ca="1" si="8"/>
        <v>45619</v>
      </c>
      <c r="B556" cm="1">
        <f t="array" aca="1" ref="B556" ca="1">[1]!s_west_netprofit($B$1,YEAR($A556),$A556,180,1000000)</f>
        <v>-51.837465000000002</v>
      </c>
      <c r="C556" cm="1">
        <f t="array" aca="1" ref="C556" ca="1">[1]!s_west_eps($B$1,YEAR($A556),$A556,180)</f>
        <v>-5.9499999999999997E-2</v>
      </c>
      <c r="D556" cm="1">
        <f t="array" aca="1" ref="D556" ca="1">[1]!s_west_instnum_np($B$1,YEAR($A556),$A556,180)</f>
        <v>20</v>
      </c>
      <c r="E556" cm="1">
        <f t="array" aca="1" ref="E556" ca="1">[1]!s_west_stdnetprofit($B$1,YEAR($A556),$A556,180,1000000)</f>
        <v>97.561868000000004</v>
      </c>
      <c r="F556" cm="1">
        <f t="array" aca="1" ref="F556" ca="1">[1]!s_west_mediannetprofit($B$1,YEAR($A556),$A556,180,1000000)</f>
        <v>-17.239999999999998</v>
      </c>
      <c r="G556" cm="1">
        <f t="array" aca="1" ref="G556" ca="1">[1]!s_west_netprofit($B$1,YEAR($A556)+1,$A556,180,1000000)</f>
        <v>32.791763000000003</v>
      </c>
      <c r="H556" cm="1">
        <f t="array" aca="1" ref="H556" ca="1">[1]!s_west_eps($B$1,YEAR($A556)+1,$A556,180)</f>
        <v>3.7600000000000001E-2</v>
      </c>
      <c r="I556" cm="1">
        <f t="array" aca="1" ref="I556" ca="1">[1]!s_west_instnum_np($B$1,YEAR($A556)+1,$A556,180)</f>
        <v>20</v>
      </c>
      <c r="J556" cm="1">
        <f t="array" aca="1" ref="J556" ca="1">[1]!s_west_stdnetprofit($B$1,YEAR($A556)+1,$A556,180,1000000)</f>
        <v>86.076517999999993</v>
      </c>
      <c r="K556" cm="1">
        <f t="array" aca="1" ref="K556" ca="1">[1]!s_west_mediannetprofit($B$1,YEAR($A555)+1,$A555,180,1000000)</f>
        <v>48.83</v>
      </c>
      <c r="L556" cm="1">
        <f t="array" aca="1" ref="L556" ca="1">[1]!s_dq_close($B$1,$A556,3)</f>
        <v>27.3</v>
      </c>
    </row>
    <row r="557" spans="1:12">
      <c r="A557" s="23">
        <f t="shared" ca="1" si="8"/>
        <v>45618</v>
      </c>
      <c r="B557" cm="1">
        <f t="array" aca="1" ref="B557" ca="1">[1]!s_west_netprofit($B$1,YEAR($A557),$A557,180,1000000)</f>
        <v>-51.837465000000002</v>
      </c>
      <c r="C557" cm="1">
        <f t="array" aca="1" ref="C557" ca="1">[1]!s_west_eps($B$1,YEAR($A557),$A557,180)</f>
        <v>-5.9499999999999997E-2</v>
      </c>
      <c r="D557" cm="1">
        <f t="array" aca="1" ref="D557" ca="1">[1]!s_west_instnum_np($B$1,YEAR($A557),$A557,180)</f>
        <v>20</v>
      </c>
      <c r="E557" cm="1">
        <f t="array" aca="1" ref="E557" ca="1">[1]!s_west_stdnetprofit($B$1,YEAR($A557),$A557,180,1000000)</f>
        <v>97.561868000000004</v>
      </c>
      <c r="F557" cm="1">
        <f t="array" aca="1" ref="F557" ca="1">[1]!s_west_mediannetprofit($B$1,YEAR($A557),$A557,180,1000000)</f>
        <v>-17.239999999999998</v>
      </c>
      <c r="G557" cm="1">
        <f t="array" aca="1" ref="G557" ca="1">[1]!s_west_netprofit($B$1,YEAR($A557)+1,$A557,180,1000000)</f>
        <v>32.791763000000003</v>
      </c>
      <c r="H557" cm="1">
        <f t="array" aca="1" ref="H557" ca="1">[1]!s_west_eps($B$1,YEAR($A557)+1,$A557,180)</f>
        <v>3.7600000000000001E-2</v>
      </c>
      <c r="I557" cm="1">
        <f t="array" aca="1" ref="I557" ca="1">[1]!s_west_instnum_np($B$1,YEAR($A557)+1,$A557,180)</f>
        <v>20</v>
      </c>
      <c r="J557" cm="1">
        <f t="array" aca="1" ref="J557" ca="1">[1]!s_west_stdnetprofit($B$1,YEAR($A557)+1,$A557,180,1000000)</f>
        <v>86.076517999999993</v>
      </c>
      <c r="K557" cm="1">
        <f t="array" aca="1" ref="K557" ca="1">[1]!s_west_mediannetprofit($B$1,YEAR($A556)+1,$A556,180,1000000)</f>
        <v>48.83</v>
      </c>
      <c r="L557" cm="1">
        <f t="array" aca="1" ref="L557" ca="1">[1]!s_dq_close($B$1,$A557,3)</f>
        <v>27.3</v>
      </c>
    </row>
    <row r="558" spans="1:12">
      <c r="A558" s="23">
        <f t="shared" ca="1" si="8"/>
        <v>45617</v>
      </c>
      <c r="B558" cm="1">
        <f t="array" aca="1" ref="B558" ca="1">[1]!s_west_netprofit($B$1,YEAR($A558),$A558,180,1000000)</f>
        <v>-51.837465000000002</v>
      </c>
      <c r="C558" cm="1">
        <f t="array" aca="1" ref="C558" ca="1">[1]!s_west_eps($B$1,YEAR($A558),$A558,180)</f>
        <v>-5.9499999999999997E-2</v>
      </c>
      <c r="D558" cm="1">
        <f t="array" aca="1" ref="D558" ca="1">[1]!s_west_instnum_np($B$1,YEAR($A558),$A558,180)</f>
        <v>20</v>
      </c>
      <c r="E558" cm="1">
        <f t="array" aca="1" ref="E558" ca="1">[1]!s_west_stdnetprofit($B$1,YEAR($A558),$A558,180,1000000)</f>
        <v>97.561868000000004</v>
      </c>
      <c r="F558" cm="1">
        <f t="array" aca="1" ref="F558" ca="1">[1]!s_west_mediannetprofit($B$1,YEAR($A558),$A558,180,1000000)</f>
        <v>-17.239999999999998</v>
      </c>
      <c r="G558" cm="1">
        <f t="array" aca="1" ref="G558" ca="1">[1]!s_west_netprofit($B$1,YEAR($A558)+1,$A558,180,1000000)</f>
        <v>32.791763000000003</v>
      </c>
      <c r="H558" cm="1">
        <f t="array" aca="1" ref="H558" ca="1">[1]!s_west_eps($B$1,YEAR($A558)+1,$A558,180)</f>
        <v>3.7600000000000001E-2</v>
      </c>
      <c r="I558" cm="1">
        <f t="array" aca="1" ref="I558" ca="1">[1]!s_west_instnum_np($B$1,YEAR($A558)+1,$A558,180)</f>
        <v>20</v>
      </c>
      <c r="J558" cm="1">
        <f t="array" aca="1" ref="J558" ca="1">[1]!s_west_stdnetprofit($B$1,YEAR($A558)+1,$A558,180,1000000)</f>
        <v>86.076517999999993</v>
      </c>
      <c r="K558" cm="1">
        <f t="array" aca="1" ref="K558" ca="1">[1]!s_west_mediannetprofit($B$1,YEAR($A557)+1,$A557,180,1000000)</f>
        <v>48.83</v>
      </c>
      <c r="L558" cm="1">
        <f t="array" aca="1" ref="L558" ca="1">[1]!s_dq_close($B$1,$A558,3)</f>
        <v>27.9</v>
      </c>
    </row>
    <row r="559" spans="1:12">
      <c r="A559" s="23">
        <f t="shared" ca="1" si="8"/>
        <v>45616</v>
      </c>
      <c r="B559" cm="1">
        <f t="array" aca="1" ref="B559" ca="1">[1]!s_west_netprofit($B$1,YEAR($A559),$A559,180,1000000)</f>
        <v>-51.837465000000002</v>
      </c>
      <c r="C559" cm="1">
        <f t="array" aca="1" ref="C559" ca="1">[1]!s_west_eps($B$1,YEAR($A559),$A559,180)</f>
        <v>-5.9499999999999997E-2</v>
      </c>
      <c r="D559" cm="1">
        <f t="array" aca="1" ref="D559" ca="1">[1]!s_west_instnum_np($B$1,YEAR($A559),$A559,180)</f>
        <v>20</v>
      </c>
      <c r="E559" cm="1">
        <f t="array" aca="1" ref="E559" ca="1">[1]!s_west_stdnetprofit($B$1,YEAR($A559),$A559,180,1000000)</f>
        <v>97.561868000000004</v>
      </c>
      <c r="F559" cm="1">
        <f t="array" aca="1" ref="F559" ca="1">[1]!s_west_mediannetprofit($B$1,YEAR($A559),$A559,180,1000000)</f>
        <v>-17.239999999999998</v>
      </c>
      <c r="G559" cm="1">
        <f t="array" aca="1" ref="G559" ca="1">[1]!s_west_netprofit($B$1,YEAR($A559)+1,$A559,180,1000000)</f>
        <v>32.791763000000003</v>
      </c>
      <c r="H559" cm="1">
        <f t="array" aca="1" ref="H559" ca="1">[1]!s_west_eps($B$1,YEAR($A559)+1,$A559,180)</f>
        <v>3.7600000000000001E-2</v>
      </c>
      <c r="I559" cm="1">
        <f t="array" aca="1" ref="I559" ca="1">[1]!s_west_instnum_np($B$1,YEAR($A559)+1,$A559,180)</f>
        <v>20</v>
      </c>
      <c r="J559" cm="1">
        <f t="array" aca="1" ref="J559" ca="1">[1]!s_west_stdnetprofit($B$1,YEAR($A559)+1,$A559,180,1000000)</f>
        <v>86.076517999999993</v>
      </c>
      <c r="K559" cm="1">
        <f t="array" aca="1" ref="K559" ca="1">[1]!s_west_mediannetprofit($B$1,YEAR($A558)+1,$A558,180,1000000)</f>
        <v>48.83</v>
      </c>
      <c r="L559" cm="1">
        <f t="array" aca="1" ref="L559" ca="1">[1]!s_dq_close($B$1,$A559,3)</f>
        <v>27.9</v>
      </c>
    </row>
    <row r="560" spans="1:12">
      <c r="A560" s="23">
        <f t="shared" ca="1" si="8"/>
        <v>45615</v>
      </c>
      <c r="B560" cm="1">
        <f t="array" aca="1" ref="B560" ca="1">[1]!s_west_netprofit($B$1,YEAR($A560),$A560,180,1000000)</f>
        <v>-51.837465000000002</v>
      </c>
      <c r="C560" cm="1">
        <f t="array" aca="1" ref="C560" ca="1">[1]!s_west_eps($B$1,YEAR($A560),$A560,180)</f>
        <v>-5.9499999999999997E-2</v>
      </c>
      <c r="D560" cm="1">
        <f t="array" aca="1" ref="D560" ca="1">[1]!s_west_instnum_np($B$1,YEAR($A560),$A560,180)</f>
        <v>20</v>
      </c>
      <c r="E560" cm="1">
        <f t="array" aca="1" ref="E560" ca="1">[1]!s_west_stdnetprofit($B$1,YEAR($A560),$A560,180,1000000)</f>
        <v>97.561868000000004</v>
      </c>
      <c r="F560" cm="1">
        <f t="array" aca="1" ref="F560" ca="1">[1]!s_west_mediannetprofit($B$1,YEAR($A560),$A560,180,1000000)</f>
        <v>-17.239999999999998</v>
      </c>
      <c r="G560" cm="1">
        <f t="array" aca="1" ref="G560" ca="1">[1]!s_west_netprofit($B$1,YEAR($A560)+1,$A560,180,1000000)</f>
        <v>32.791763000000003</v>
      </c>
      <c r="H560" cm="1">
        <f t="array" aca="1" ref="H560" ca="1">[1]!s_west_eps($B$1,YEAR($A560)+1,$A560,180)</f>
        <v>3.7600000000000001E-2</v>
      </c>
      <c r="I560" cm="1">
        <f t="array" aca="1" ref="I560" ca="1">[1]!s_west_instnum_np($B$1,YEAR($A560)+1,$A560,180)</f>
        <v>20</v>
      </c>
      <c r="J560" cm="1">
        <f t="array" aca="1" ref="J560" ca="1">[1]!s_west_stdnetprofit($B$1,YEAR($A560)+1,$A560,180,1000000)</f>
        <v>86.076517999999993</v>
      </c>
      <c r="K560" cm="1">
        <f t="array" aca="1" ref="K560" ca="1">[1]!s_west_mediannetprofit($B$1,YEAR($A559)+1,$A559,180,1000000)</f>
        <v>48.83</v>
      </c>
      <c r="L560" cm="1">
        <f t="array" aca="1" ref="L560" ca="1">[1]!s_dq_close($B$1,$A560,3)</f>
        <v>26.3</v>
      </c>
    </row>
    <row r="561" spans="1:12">
      <c r="A561" s="23">
        <f t="shared" ca="1" si="8"/>
        <v>45614</v>
      </c>
      <c r="B561" cm="1">
        <f t="array" aca="1" ref="B561" ca="1">[1]!s_west_netprofit($B$1,YEAR($A561),$A561,180,1000000)</f>
        <v>-51.837465000000002</v>
      </c>
      <c r="C561" cm="1">
        <f t="array" aca="1" ref="C561" ca="1">[1]!s_west_eps($B$1,YEAR($A561),$A561,180)</f>
        <v>-5.9499999999999997E-2</v>
      </c>
      <c r="D561" cm="1">
        <f t="array" aca="1" ref="D561" ca="1">[1]!s_west_instnum_np($B$1,YEAR($A561),$A561,180)</f>
        <v>20</v>
      </c>
      <c r="E561" cm="1">
        <f t="array" aca="1" ref="E561" ca="1">[1]!s_west_stdnetprofit($B$1,YEAR($A561),$A561,180,1000000)</f>
        <v>97.561868000000004</v>
      </c>
      <c r="F561" cm="1">
        <f t="array" aca="1" ref="F561" ca="1">[1]!s_west_mediannetprofit($B$1,YEAR($A561),$A561,180,1000000)</f>
        <v>-17.239999999999998</v>
      </c>
      <c r="G561" cm="1">
        <f t="array" aca="1" ref="G561" ca="1">[1]!s_west_netprofit($B$1,YEAR($A561)+1,$A561,180,1000000)</f>
        <v>32.791763000000003</v>
      </c>
      <c r="H561" cm="1">
        <f t="array" aca="1" ref="H561" ca="1">[1]!s_west_eps($B$1,YEAR($A561)+1,$A561,180)</f>
        <v>3.7600000000000001E-2</v>
      </c>
      <c r="I561" cm="1">
        <f t="array" aca="1" ref="I561" ca="1">[1]!s_west_instnum_np($B$1,YEAR($A561)+1,$A561,180)</f>
        <v>20</v>
      </c>
      <c r="J561" cm="1">
        <f t="array" aca="1" ref="J561" ca="1">[1]!s_west_stdnetprofit($B$1,YEAR($A561)+1,$A561,180,1000000)</f>
        <v>86.076517999999993</v>
      </c>
      <c r="K561" cm="1">
        <f t="array" aca="1" ref="K561" ca="1">[1]!s_west_mediannetprofit($B$1,YEAR($A560)+1,$A560,180,1000000)</f>
        <v>48.83</v>
      </c>
      <c r="L561" cm="1">
        <f t="array" aca="1" ref="L561" ca="1">[1]!s_dq_close($B$1,$A561,3)</f>
        <v>26.35</v>
      </c>
    </row>
    <row r="562" spans="1:12">
      <c r="A562" s="23">
        <f t="shared" ca="1" si="8"/>
        <v>45613</v>
      </c>
      <c r="B562" cm="1">
        <f t="array" aca="1" ref="B562" ca="1">[1]!s_west_netprofit($B$1,YEAR($A562),$A562,180,1000000)</f>
        <v>-51.837465000000002</v>
      </c>
      <c r="C562" cm="1">
        <f t="array" aca="1" ref="C562" ca="1">[1]!s_west_eps($B$1,YEAR($A562),$A562,180)</f>
        <v>-5.9499999999999997E-2</v>
      </c>
      <c r="D562" cm="1">
        <f t="array" aca="1" ref="D562" ca="1">[1]!s_west_instnum_np($B$1,YEAR($A562),$A562,180)</f>
        <v>20</v>
      </c>
      <c r="E562" cm="1">
        <f t="array" aca="1" ref="E562" ca="1">[1]!s_west_stdnetprofit($B$1,YEAR($A562),$A562,180,1000000)</f>
        <v>97.561868000000004</v>
      </c>
      <c r="F562" cm="1">
        <f t="array" aca="1" ref="F562" ca="1">[1]!s_west_mediannetprofit($B$1,YEAR($A562),$A562,180,1000000)</f>
        <v>-17.239999999999998</v>
      </c>
      <c r="G562" cm="1">
        <f t="array" aca="1" ref="G562" ca="1">[1]!s_west_netprofit($B$1,YEAR($A562)+1,$A562,180,1000000)</f>
        <v>32.791763000000003</v>
      </c>
      <c r="H562" cm="1">
        <f t="array" aca="1" ref="H562" ca="1">[1]!s_west_eps($B$1,YEAR($A562)+1,$A562,180)</f>
        <v>3.7600000000000001E-2</v>
      </c>
      <c r="I562" cm="1">
        <f t="array" aca="1" ref="I562" ca="1">[1]!s_west_instnum_np($B$1,YEAR($A562)+1,$A562,180)</f>
        <v>20</v>
      </c>
      <c r="J562" cm="1">
        <f t="array" aca="1" ref="J562" ca="1">[1]!s_west_stdnetprofit($B$1,YEAR($A562)+1,$A562,180,1000000)</f>
        <v>86.076517999999993</v>
      </c>
      <c r="K562" cm="1">
        <f t="array" aca="1" ref="K562" ca="1">[1]!s_west_mediannetprofit($B$1,YEAR($A561)+1,$A561,180,1000000)</f>
        <v>48.83</v>
      </c>
      <c r="L562" cm="1">
        <f t="array" aca="1" ref="L562" ca="1">[1]!s_dq_close($B$1,$A562,3)</f>
        <v>26.55</v>
      </c>
    </row>
    <row r="563" spans="1:12">
      <c r="A563" s="23">
        <f t="shared" ca="1" si="8"/>
        <v>45612</v>
      </c>
      <c r="B563" cm="1">
        <f t="array" aca="1" ref="B563" ca="1">[1]!s_west_netprofit($B$1,YEAR($A563),$A563,180,1000000)</f>
        <v>-51.837465000000002</v>
      </c>
      <c r="C563" cm="1">
        <f t="array" aca="1" ref="C563" ca="1">[1]!s_west_eps($B$1,YEAR($A563),$A563,180)</f>
        <v>-5.9499999999999997E-2</v>
      </c>
      <c r="D563" cm="1">
        <f t="array" aca="1" ref="D563" ca="1">[1]!s_west_instnum_np($B$1,YEAR($A563),$A563,180)</f>
        <v>20</v>
      </c>
      <c r="E563" cm="1">
        <f t="array" aca="1" ref="E563" ca="1">[1]!s_west_stdnetprofit($B$1,YEAR($A563),$A563,180,1000000)</f>
        <v>97.561868000000004</v>
      </c>
      <c r="F563" cm="1">
        <f t="array" aca="1" ref="F563" ca="1">[1]!s_west_mediannetprofit($B$1,YEAR($A563),$A563,180,1000000)</f>
        <v>-17.239999999999998</v>
      </c>
      <c r="G563" cm="1">
        <f t="array" aca="1" ref="G563" ca="1">[1]!s_west_netprofit($B$1,YEAR($A563)+1,$A563,180,1000000)</f>
        <v>32.791763000000003</v>
      </c>
      <c r="H563" cm="1">
        <f t="array" aca="1" ref="H563" ca="1">[1]!s_west_eps($B$1,YEAR($A563)+1,$A563,180)</f>
        <v>3.7600000000000001E-2</v>
      </c>
      <c r="I563" cm="1">
        <f t="array" aca="1" ref="I563" ca="1">[1]!s_west_instnum_np($B$1,YEAR($A563)+1,$A563,180)</f>
        <v>20</v>
      </c>
      <c r="J563" cm="1">
        <f t="array" aca="1" ref="J563" ca="1">[1]!s_west_stdnetprofit($B$1,YEAR($A563)+1,$A563,180,1000000)</f>
        <v>86.076517999999993</v>
      </c>
      <c r="K563" cm="1">
        <f t="array" aca="1" ref="K563" ca="1">[1]!s_west_mediannetprofit($B$1,YEAR($A562)+1,$A562,180,1000000)</f>
        <v>48.83</v>
      </c>
      <c r="L563" cm="1">
        <f t="array" aca="1" ref="L563" ca="1">[1]!s_dq_close($B$1,$A563,3)</f>
        <v>26.55</v>
      </c>
    </row>
    <row r="564" spans="1:12">
      <c r="A564" s="23">
        <f t="shared" ca="1" si="8"/>
        <v>45611</v>
      </c>
      <c r="B564" cm="1">
        <f t="array" aca="1" ref="B564" ca="1">[1]!s_west_netprofit($B$1,YEAR($A564),$A564,180,1000000)</f>
        <v>-51.837465000000002</v>
      </c>
      <c r="C564" cm="1">
        <f t="array" aca="1" ref="C564" ca="1">[1]!s_west_eps($B$1,YEAR($A564),$A564,180)</f>
        <v>-5.9499999999999997E-2</v>
      </c>
      <c r="D564" cm="1">
        <f t="array" aca="1" ref="D564" ca="1">[1]!s_west_instnum_np($B$1,YEAR($A564),$A564,180)</f>
        <v>20</v>
      </c>
      <c r="E564" cm="1">
        <f t="array" aca="1" ref="E564" ca="1">[1]!s_west_stdnetprofit($B$1,YEAR($A564),$A564,180,1000000)</f>
        <v>97.561868000000004</v>
      </c>
      <c r="F564" cm="1">
        <f t="array" aca="1" ref="F564" ca="1">[1]!s_west_mediannetprofit($B$1,YEAR($A564),$A564,180,1000000)</f>
        <v>-17.239999999999998</v>
      </c>
      <c r="G564" cm="1">
        <f t="array" aca="1" ref="G564" ca="1">[1]!s_west_netprofit($B$1,YEAR($A564)+1,$A564,180,1000000)</f>
        <v>32.791763000000003</v>
      </c>
      <c r="H564" cm="1">
        <f t="array" aca="1" ref="H564" ca="1">[1]!s_west_eps($B$1,YEAR($A564)+1,$A564,180)</f>
        <v>3.7600000000000001E-2</v>
      </c>
      <c r="I564" cm="1">
        <f t="array" aca="1" ref="I564" ca="1">[1]!s_west_instnum_np($B$1,YEAR($A564)+1,$A564,180)</f>
        <v>20</v>
      </c>
      <c r="J564" cm="1">
        <f t="array" aca="1" ref="J564" ca="1">[1]!s_west_stdnetprofit($B$1,YEAR($A564)+1,$A564,180,1000000)</f>
        <v>86.076517999999993</v>
      </c>
      <c r="K564" cm="1">
        <f t="array" aca="1" ref="K564" ca="1">[1]!s_west_mediannetprofit($B$1,YEAR($A563)+1,$A563,180,1000000)</f>
        <v>48.83</v>
      </c>
      <c r="L564" cm="1">
        <f t="array" aca="1" ref="L564" ca="1">[1]!s_dq_close($B$1,$A564,3)</f>
        <v>26.55</v>
      </c>
    </row>
    <row r="565" spans="1:12">
      <c r="A565" s="23">
        <f t="shared" ca="1" si="8"/>
        <v>45610</v>
      </c>
      <c r="B565" cm="1">
        <f t="array" aca="1" ref="B565" ca="1">[1]!s_west_netprofit($B$1,YEAR($A565),$A565,180,1000000)</f>
        <v>-51.837465000000002</v>
      </c>
      <c r="C565" cm="1">
        <f t="array" aca="1" ref="C565" ca="1">[1]!s_west_eps($B$1,YEAR($A565),$A565,180)</f>
        <v>-5.9499999999999997E-2</v>
      </c>
      <c r="D565" cm="1">
        <f t="array" aca="1" ref="D565" ca="1">[1]!s_west_instnum_np($B$1,YEAR($A565),$A565,180)</f>
        <v>20</v>
      </c>
      <c r="E565" cm="1">
        <f t="array" aca="1" ref="E565" ca="1">[1]!s_west_stdnetprofit($B$1,YEAR($A565),$A565,180,1000000)</f>
        <v>97.561868000000004</v>
      </c>
      <c r="F565" cm="1">
        <f t="array" aca="1" ref="F565" ca="1">[1]!s_west_mediannetprofit($B$1,YEAR($A565),$A565,180,1000000)</f>
        <v>-17.239999999999998</v>
      </c>
      <c r="G565" cm="1">
        <f t="array" aca="1" ref="G565" ca="1">[1]!s_west_netprofit($B$1,YEAR($A565)+1,$A565,180,1000000)</f>
        <v>32.791763000000003</v>
      </c>
      <c r="H565" cm="1">
        <f t="array" aca="1" ref="H565" ca="1">[1]!s_west_eps($B$1,YEAR($A565)+1,$A565,180)</f>
        <v>3.7600000000000001E-2</v>
      </c>
      <c r="I565" cm="1">
        <f t="array" aca="1" ref="I565" ca="1">[1]!s_west_instnum_np($B$1,YEAR($A565)+1,$A565,180)</f>
        <v>20</v>
      </c>
      <c r="J565" cm="1">
        <f t="array" aca="1" ref="J565" ca="1">[1]!s_west_stdnetprofit($B$1,YEAR($A565)+1,$A565,180,1000000)</f>
        <v>86.076517999999993</v>
      </c>
      <c r="K565" cm="1">
        <f t="array" aca="1" ref="K565" ca="1">[1]!s_west_mediannetprofit($B$1,YEAR($A564)+1,$A564,180,1000000)</f>
        <v>48.83</v>
      </c>
      <c r="L565" cm="1">
        <f t="array" aca="1" ref="L565" ca="1">[1]!s_dq_close($B$1,$A565,3)</f>
        <v>26.6</v>
      </c>
    </row>
    <row r="566" spans="1:12">
      <c r="A566" s="23">
        <f t="shared" ca="1" si="8"/>
        <v>45609</v>
      </c>
      <c r="B566" cm="1">
        <f t="array" aca="1" ref="B566" ca="1">[1]!s_west_netprofit($B$1,YEAR($A566),$A566,180,1000000)</f>
        <v>-51.837465000000002</v>
      </c>
      <c r="C566" cm="1">
        <f t="array" aca="1" ref="C566" ca="1">[1]!s_west_eps($B$1,YEAR($A566),$A566,180)</f>
        <v>-5.9499999999999997E-2</v>
      </c>
      <c r="D566" cm="1">
        <f t="array" aca="1" ref="D566" ca="1">[1]!s_west_instnum_np($B$1,YEAR($A566),$A566,180)</f>
        <v>20</v>
      </c>
      <c r="E566" cm="1">
        <f t="array" aca="1" ref="E566" ca="1">[1]!s_west_stdnetprofit($B$1,YEAR($A566),$A566,180,1000000)</f>
        <v>97.561868000000004</v>
      </c>
      <c r="F566" cm="1">
        <f t="array" aca="1" ref="F566" ca="1">[1]!s_west_mediannetprofit($B$1,YEAR($A566),$A566,180,1000000)</f>
        <v>-17.239999999999998</v>
      </c>
      <c r="G566" cm="1">
        <f t="array" aca="1" ref="G566" ca="1">[1]!s_west_netprofit($B$1,YEAR($A566)+1,$A566,180,1000000)</f>
        <v>32.791763000000003</v>
      </c>
      <c r="H566" cm="1">
        <f t="array" aca="1" ref="H566" ca="1">[1]!s_west_eps($B$1,YEAR($A566)+1,$A566,180)</f>
        <v>3.7600000000000001E-2</v>
      </c>
      <c r="I566" cm="1">
        <f t="array" aca="1" ref="I566" ca="1">[1]!s_west_instnum_np($B$1,YEAR($A566)+1,$A566,180)</f>
        <v>20</v>
      </c>
      <c r="J566" cm="1">
        <f t="array" aca="1" ref="J566" ca="1">[1]!s_west_stdnetprofit($B$1,YEAR($A566)+1,$A566,180,1000000)</f>
        <v>86.076517999999993</v>
      </c>
      <c r="K566" cm="1">
        <f t="array" aca="1" ref="K566" ca="1">[1]!s_west_mediannetprofit($B$1,YEAR($A565)+1,$A565,180,1000000)</f>
        <v>48.83</v>
      </c>
      <c r="L566" cm="1">
        <f t="array" aca="1" ref="L566" ca="1">[1]!s_dq_close($B$1,$A566,3)</f>
        <v>27</v>
      </c>
    </row>
    <row r="567" spans="1:12">
      <c r="A567" s="23">
        <f t="shared" ca="1" si="8"/>
        <v>45608</v>
      </c>
      <c r="B567" cm="1">
        <f t="array" aca="1" ref="B567" ca="1">[1]!s_west_netprofit($B$1,YEAR($A567),$A567,180,1000000)</f>
        <v>-51.837465000000002</v>
      </c>
      <c r="C567" cm="1">
        <f t="array" aca="1" ref="C567" ca="1">[1]!s_west_eps($B$1,YEAR($A567),$A567,180)</f>
        <v>-5.9499999999999997E-2</v>
      </c>
      <c r="D567" cm="1">
        <f t="array" aca="1" ref="D567" ca="1">[1]!s_west_instnum_np($B$1,YEAR($A567),$A567,180)</f>
        <v>20</v>
      </c>
      <c r="E567" cm="1">
        <f t="array" aca="1" ref="E567" ca="1">[1]!s_west_stdnetprofit($B$1,YEAR($A567),$A567,180,1000000)</f>
        <v>97.561868000000004</v>
      </c>
      <c r="F567" cm="1">
        <f t="array" aca="1" ref="F567" ca="1">[1]!s_west_mediannetprofit($B$1,YEAR($A567),$A567,180,1000000)</f>
        <v>-17.239999999999998</v>
      </c>
      <c r="G567" cm="1">
        <f t="array" aca="1" ref="G567" ca="1">[1]!s_west_netprofit($B$1,YEAR($A567)+1,$A567,180,1000000)</f>
        <v>32.791763000000003</v>
      </c>
      <c r="H567" cm="1">
        <f t="array" aca="1" ref="H567" ca="1">[1]!s_west_eps($B$1,YEAR($A567)+1,$A567,180)</f>
        <v>3.7600000000000001E-2</v>
      </c>
      <c r="I567" cm="1">
        <f t="array" aca="1" ref="I567" ca="1">[1]!s_west_instnum_np($B$1,YEAR($A567)+1,$A567,180)</f>
        <v>20</v>
      </c>
      <c r="J567" cm="1">
        <f t="array" aca="1" ref="J567" ca="1">[1]!s_west_stdnetprofit($B$1,YEAR($A567)+1,$A567,180,1000000)</f>
        <v>86.076517999999993</v>
      </c>
      <c r="K567" cm="1">
        <f t="array" aca="1" ref="K567" ca="1">[1]!s_west_mediannetprofit($B$1,YEAR($A566)+1,$A566,180,1000000)</f>
        <v>48.83</v>
      </c>
      <c r="L567" cm="1">
        <f t="array" aca="1" ref="L567" ca="1">[1]!s_dq_close($B$1,$A567,3)</f>
        <v>27.7</v>
      </c>
    </row>
    <row r="568" spans="1:12">
      <c r="A568" s="23">
        <f t="shared" ca="1" si="8"/>
        <v>45607</v>
      </c>
      <c r="B568" cm="1">
        <f t="array" aca="1" ref="B568" ca="1">[1]!s_west_netprofit($B$1,YEAR($A568),$A568,180,1000000)</f>
        <v>-51.837465000000002</v>
      </c>
      <c r="C568" cm="1">
        <f t="array" aca="1" ref="C568" ca="1">[1]!s_west_eps($B$1,YEAR($A568),$A568,180)</f>
        <v>-5.9499999999999997E-2</v>
      </c>
      <c r="D568" cm="1">
        <f t="array" aca="1" ref="D568" ca="1">[1]!s_west_instnum_np($B$1,YEAR($A568),$A568,180)</f>
        <v>20</v>
      </c>
      <c r="E568" cm="1">
        <f t="array" aca="1" ref="E568" ca="1">[1]!s_west_stdnetprofit($B$1,YEAR($A568),$A568,180,1000000)</f>
        <v>97.561868000000004</v>
      </c>
      <c r="F568" cm="1">
        <f t="array" aca="1" ref="F568" ca="1">[1]!s_west_mediannetprofit($B$1,YEAR($A568),$A568,180,1000000)</f>
        <v>-17.239999999999998</v>
      </c>
      <c r="G568" cm="1">
        <f t="array" aca="1" ref="G568" ca="1">[1]!s_west_netprofit($B$1,YEAR($A568)+1,$A568,180,1000000)</f>
        <v>32.791763000000003</v>
      </c>
      <c r="H568" cm="1">
        <f t="array" aca="1" ref="H568" ca="1">[1]!s_west_eps($B$1,YEAR($A568)+1,$A568,180)</f>
        <v>3.7600000000000001E-2</v>
      </c>
      <c r="I568" cm="1">
        <f t="array" aca="1" ref="I568" ca="1">[1]!s_west_instnum_np($B$1,YEAR($A568)+1,$A568,180)</f>
        <v>20</v>
      </c>
      <c r="J568" cm="1">
        <f t="array" aca="1" ref="J568" ca="1">[1]!s_west_stdnetprofit($B$1,YEAR($A568)+1,$A568,180,1000000)</f>
        <v>86.076517999999993</v>
      </c>
      <c r="K568" cm="1">
        <f t="array" aca="1" ref="K568" ca="1">[1]!s_west_mediannetprofit($B$1,YEAR($A567)+1,$A567,180,1000000)</f>
        <v>48.83</v>
      </c>
      <c r="L568" cm="1">
        <f t="array" aca="1" ref="L568" ca="1">[1]!s_dq_close($B$1,$A568,3)</f>
        <v>27.5</v>
      </c>
    </row>
    <row r="569" spans="1:12">
      <c r="A569" s="23">
        <f t="shared" ca="1" si="8"/>
        <v>45606</v>
      </c>
      <c r="B569" cm="1">
        <f t="array" aca="1" ref="B569" ca="1">[1]!s_west_netprofit($B$1,YEAR($A569),$A569,180,1000000)</f>
        <v>-51.837465000000002</v>
      </c>
      <c r="C569" cm="1">
        <f t="array" aca="1" ref="C569" ca="1">[1]!s_west_eps($B$1,YEAR($A569),$A569,180)</f>
        <v>-5.9499999999999997E-2</v>
      </c>
      <c r="D569" cm="1">
        <f t="array" aca="1" ref="D569" ca="1">[1]!s_west_instnum_np($B$1,YEAR($A569),$A569,180)</f>
        <v>20</v>
      </c>
      <c r="E569" cm="1">
        <f t="array" aca="1" ref="E569" ca="1">[1]!s_west_stdnetprofit($B$1,YEAR($A569),$A569,180,1000000)</f>
        <v>97.561868000000004</v>
      </c>
      <c r="F569" cm="1">
        <f t="array" aca="1" ref="F569" ca="1">[1]!s_west_mediannetprofit($B$1,YEAR($A569),$A569,180,1000000)</f>
        <v>-17.239999999999998</v>
      </c>
      <c r="G569" cm="1">
        <f t="array" aca="1" ref="G569" ca="1">[1]!s_west_netprofit($B$1,YEAR($A569)+1,$A569,180,1000000)</f>
        <v>32.791763000000003</v>
      </c>
      <c r="H569" cm="1">
        <f t="array" aca="1" ref="H569" ca="1">[1]!s_west_eps($B$1,YEAR($A569)+1,$A569,180)</f>
        <v>3.7600000000000001E-2</v>
      </c>
      <c r="I569" cm="1">
        <f t="array" aca="1" ref="I569" ca="1">[1]!s_west_instnum_np($B$1,YEAR($A569)+1,$A569,180)</f>
        <v>20</v>
      </c>
      <c r="J569" cm="1">
        <f t="array" aca="1" ref="J569" ca="1">[1]!s_west_stdnetprofit($B$1,YEAR($A569)+1,$A569,180,1000000)</f>
        <v>86.076517999999993</v>
      </c>
      <c r="K569" cm="1">
        <f t="array" aca="1" ref="K569" ca="1">[1]!s_west_mediannetprofit($B$1,YEAR($A568)+1,$A568,180,1000000)</f>
        <v>48.83</v>
      </c>
      <c r="L569" cm="1">
        <f t="array" aca="1" ref="L569" ca="1">[1]!s_dq_close($B$1,$A569,3)</f>
        <v>28.35</v>
      </c>
    </row>
    <row r="570" spans="1:12">
      <c r="A570" s="23">
        <f t="shared" ca="1" si="8"/>
        <v>45605</v>
      </c>
      <c r="B570" cm="1">
        <f t="array" aca="1" ref="B570" ca="1">[1]!s_west_netprofit($B$1,YEAR($A570),$A570,180,1000000)</f>
        <v>-51.837465000000002</v>
      </c>
      <c r="C570" cm="1">
        <f t="array" aca="1" ref="C570" ca="1">[1]!s_west_eps($B$1,YEAR($A570),$A570,180)</f>
        <v>-5.9499999999999997E-2</v>
      </c>
      <c r="D570" cm="1">
        <f t="array" aca="1" ref="D570" ca="1">[1]!s_west_instnum_np($B$1,YEAR($A570),$A570,180)</f>
        <v>20</v>
      </c>
      <c r="E570" cm="1">
        <f t="array" aca="1" ref="E570" ca="1">[1]!s_west_stdnetprofit($B$1,YEAR($A570),$A570,180,1000000)</f>
        <v>97.561868000000004</v>
      </c>
      <c r="F570" cm="1">
        <f t="array" aca="1" ref="F570" ca="1">[1]!s_west_mediannetprofit($B$1,YEAR($A570),$A570,180,1000000)</f>
        <v>-17.239999999999998</v>
      </c>
      <c r="G570" cm="1">
        <f t="array" aca="1" ref="G570" ca="1">[1]!s_west_netprofit($B$1,YEAR($A570)+1,$A570,180,1000000)</f>
        <v>32.791763000000003</v>
      </c>
      <c r="H570" cm="1">
        <f t="array" aca="1" ref="H570" ca="1">[1]!s_west_eps($B$1,YEAR($A570)+1,$A570,180)</f>
        <v>3.7600000000000001E-2</v>
      </c>
      <c r="I570" cm="1">
        <f t="array" aca="1" ref="I570" ca="1">[1]!s_west_instnum_np($B$1,YEAR($A570)+1,$A570,180)</f>
        <v>20</v>
      </c>
      <c r="J570" cm="1">
        <f t="array" aca="1" ref="J570" ca="1">[1]!s_west_stdnetprofit($B$1,YEAR($A570)+1,$A570,180,1000000)</f>
        <v>86.076517999999993</v>
      </c>
      <c r="K570" cm="1">
        <f t="array" aca="1" ref="K570" ca="1">[1]!s_west_mediannetprofit($B$1,YEAR($A569)+1,$A569,180,1000000)</f>
        <v>48.83</v>
      </c>
      <c r="L570" cm="1">
        <f t="array" aca="1" ref="L570" ca="1">[1]!s_dq_close($B$1,$A570,3)</f>
        <v>28.35</v>
      </c>
    </row>
    <row r="571" spans="1:12">
      <c r="A571" s="23">
        <f t="shared" ca="1" si="8"/>
        <v>45604</v>
      </c>
      <c r="B571" cm="1">
        <f t="array" aca="1" ref="B571" ca="1">[1]!s_west_netprofit($B$1,YEAR($A571),$A571,180,1000000)</f>
        <v>-51.837465000000002</v>
      </c>
      <c r="C571" cm="1">
        <f t="array" aca="1" ref="C571" ca="1">[1]!s_west_eps($B$1,YEAR($A571),$A571,180)</f>
        <v>-5.9499999999999997E-2</v>
      </c>
      <c r="D571" cm="1">
        <f t="array" aca="1" ref="D571" ca="1">[1]!s_west_instnum_np($B$1,YEAR($A571),$A571,180)</f>
        <v>20</v>
      </c>
      <c r="E571" cm="1">
        <f t="array" aca="1" ref="E571" ca="1">[1]!s_west_stdnetprofit($B$1,YEAR($A571),$A571,180,1000000)</f>
        <v>97.561868000000004</v>
      </c>
      <c r="F571" cm="1">
        <f t="array" aca="1" ref="F571" ca="1">[1]!s_west_mediannetprofit($B$1,YEAR($A571),$A571,180,1000000)</f>
        <v>-17.239999999999998</v>
      </c>
      <c r="G571" cm="1">
        <f t="array" aca="1" ref="G571" ca="1">[1]!s_west_netprofit($B$1,YEAR($A571)+1,$A571,180,1000000)</f>
        <v>32.791763000000003</v>
      </c>
      <c r="H571" cm="1">
        <f t="array" aca="1" ref="H571" ca="1">[1]!s_west_eps($B$1,YEAR($A571)+1,$A571,180)</f>
        <v>3.7600000000000001E-2</v>
      </c>
      <c r="I571" cm="1">
        <f t="array" aca="1" ref="I571" ca="1">[1]!s_west_instnum_np($B$1,YEAR($A571)+1,$A571,180)</f>
        <v>20</v>
      </c>
      <c r="J571" cm="1">
        <f t="array" aca="1" ref="J571" ca="1">[1]!s_west_stdnetprofit($B$1,YEAR($A571)+1,$A571,180,1000000)</f>
        <v>86.076517999999993</v>
      </c>
      <c r="K571" cm="1">
        <f t="array" aca="1" ref="K571" ca="1">[1]!s_west_mediannetprofit($B$1,YEAR($A570)+1,$A570,180,1000000)</f>
        <v>48.83</v>
      </c>
      <c r="L571" cm="1">
        <f t="array" aca="1" ref="L571" ca="1">[1]!s_dq_close($B$1,$A571,3)</f>
        <v>28.35</v>
      </c>
    </row>
    <row r="572" spans="1:12">
      <c r="A572" s="23">
        <f t="shared" ca="1" si="8"/>
        <v>45603</v>
      </c>
      <c r="B572" cm="1">
        <f t="array" aca="1" ref="B572" ca="1">[1]!s_west_netprofit($B$1,YEAR($A572),$A572,180,1000000)</f>
        <v>-51.837465000000002</v>
      </c>
      <c r="C572" cm="1">
        <f t="array" aca="1" ref="C572" ca="1">[1]!s_west_eps($B$1,YEAR($A572),$A572,180)</f>
        <v>-5.9499999999999997E-2</v>
      </c>
      <c r="D572" cm="1">
        <f t="array" aca="1" ref="D572" ca="1">[1]!s_west_instnum_np($B$1,YEAR($A572),$A572,180)</f>
        <v>20</v>
      </c>
      <c r="E572" cm="1">
        <f t="array" aca="1" ref="E572" ca="1">[1]!s_west_stdnetprofit($B$1,YEAR($A572),$A572,180,1000000)</f>
        <v>97.561868000000004</v>
      </c>
      <c r="F572" cm="1">
        <f t="array" aca="1" ref="F572" ca="1">[1]!s_west_mediannetprofit($B$1,YEAR($A572),$A572,180,1000000)</f>
        <v>-17.239999999999998</v>
      </c>
      <c r="G572" cm="1">
        <f t="array" aca="1" ref="G572" ca="1">[1]!s_west_netprofit($B$1,YEAR($A572)+1,$A572,180,1000000)</f>
        <v>32.791763000000003</v>
      </c>
      <c r="H572" cm="1">
        <f t="array" aca="1" ref="H572" ca="1">[1]!s_west_eps($B$1,YEAR($A572)+1,$A572,180)</f>
        <v>3.7600000000000001E-2</v>
      </c>
      <c r="I572" cm="1">
        <f t="array" aca="1" ref="I572" ca="1">[1]!s_west_instnum_np($B$1,YEAR($A572)+1,$A572,180)</f>
        <v>20</v>
      </c>
      <c r="J572" cm="1">
        <f t="array" aca="1" ref="J572" ca="1">[1]!s_west_stdnetprofit($B$1,YEAR($A572)+1,$A572,180,1000000)</f>
        <v>86.076517999999993</v>
      </c>
      <c r="K572" cm="1">
        <f t="array" aca="1" ref="K572" ca="1">[1]!s_west_mediannetprofit($B$1,YEAR($A571)+1,$A571,180,1000000)</f>
        <v>48.83</v>
      </c>
      <c r="L572" cm="1">
        <f t="array" aca="1" ref="L572" ca="1">[1]!s_dq_close($B$1,$A572,3)</f>
        <v>28.7</v>
      </c>
    </row>
    <row r="573" spans="1:12">
      <c r="A573" s="23">
        <f t="shared" ca="1" si="8"/>
        <v>45602</v>
      </c>
      <c r="B573" cm="1">
        <f t="array" aca="1" ref="B573" ca="1">[1]!s_west_netprofit($B$1,YEAR($A573),$A573,180,1000000)</f>
        <v>-51.837465000000002</v>
      </c>
      <c r="C573" cm="1">
        <f t="array" aca="1" ref="C573" ca="1">[1]!s_west_eps($B$1,YEAR($A573),$A573,180)</f>
        <v>-5.9499999999999997E-2</v>
      </c>
      <c r="D573" cm="1">
        <f t="array" aca="1" ref="D573" ca="1">[1]!s_west_instnum_np($B$1,YEAR($A573),$A573,180)</f>
        <v>20</v>
      </c>
      <c r="E573" cm="1">
        <f t="array" aca="1" ref="E573" ca="1">[1]!s_west_stdnetprofit($B$1,YEAR($A573),$A573,180,1000000)</f>
        <v>97.561868000000004</v>
      </c>
      <c r="F573" cm="1">
        <f t="array" aca="1" ref="F573" ca="1">[1]!s_west_mediannetprofit($B$1,YEAR($A573),$A573,180,1000000)</f>
        <v>-17.239999999999998</v>
      </c>
      <c r="G573" cm="1">
        <f t="array" aca="1" ref="G573" ca="1">[1]!s_west_netprofit($B$1,YEAR($A573)+1,$A573,180,1000000)</f>
        <v>32.791763000000003</v>
      </c>
      <c r="H573" cm="1">
        <f t="array" aca="1" ref="H573" ca="1">[1]!s_west_eps($B$1,YEAR($A573)+1,$A573,180)</f>
        <v>3.7600000000000001E-2</v>
      </c>
      <c r="I573" cm="1">
        <f t="array" aca="1" ref="I573" ca="1">[1]!s_west_instnum_np($B$1,YEAR($A573)+1,$A573,180)</f>
        <v>20</v>
      </c>
      <c r="J573" cm="1">
        <f t="array" aca="1" ref="J573" ca="1">[1]!s_west_stdnetprofit($B$1,YEAR($A573)+1,$A573,180,1000000)</f>
        <v>86.076517999999993</v>
      </c>
      <c r="K573" cm="1">
        <f t="array" aca="1" ref="K573" ca="1">[1]!s_west_mediannetprofit($B$1,YEAR($A572)+1,$A572,180,1000000)</f>
        <v>48.83</v>
      </c>
      <c r="L573" cm="1">
        <f t="array" aca="1" ref="L573" ca="1">[1]!s_dq_close($B$1,$A573,3)</f>
        <v>29.1</v>
      </c>
    </row>
    <row r="574" spans="1:12">
      <c r="A574" s="23">
        <f t="shared" ca="1" si="8"/>
        <v>45601</v>
      </c>
      <c r="B574" cm="1">
        <f t="array" aca="1" ref="B574" ca="1">[1]!s_west_netprofit($B$1,YEAR($A574),$A574,180,1000000)</f>
        <v>-51.837465000000002</v>
      </c>
      <c r="C574" cm="1">
        <f t="array" aca="1" ref="C574" ca="1">[1]!s_west_eps($B$1,YEAR($A574),$A574,180)</f>
        <v>-5.9499999999999997E-2</v>
      </c>
      <c r="D574" cm="1">
        <f t="array" aca="1" ref="D574" ca="1">[1]!s_west_instnum_np($B$1,YEAR($A574),$A574,180)</f>
        <v>20</v>
      </c>
      <c r="E574" cm="1">
        <f t="array" aca="1" ref="E574" ca="1">[1]!s_west_stdnetprofit($B$1,YEAR($A574),$A574,180,1000000)</f>
        <v>97.561868000000004</v>
      </c>
      <c r="F574" cm="1">
        <f t="array" aca="1" ref="F574" ca="1">[1]!s_west_mediannetprofit($B$1,YEAR($A574),$A574,180,1000000)</f>
        <v>-17.239999999999998</v>
      </c>
      <c r="G574" cm="1">
        <f t="array" aca="1" ref="G574" ca="1">[1]!s_west_netprofit($B$1,YEAR($A574)+1,$A574,180,1000000)</f>
        <v>32.791763000000003</v>
      </c>
      <c r="H574" cm="1">
        <f t="array" aca="1" ref="H574" ca="1">[1]!s_west_eps($B$1,YEAR($A574)+1,$A574,180)</f>
        <v>3.7600000000000001E-2</v>
      </c>
      <c r="I574" cm="1">
        <f t="array" aca="1" ref="I574" ca="1">[1]!s_west_instnum_np($B$1,YEAR($A574)+1,$A574,180)</f>
        <v>20</v>
      </c>
      <c r="J574" cm="1">
        <f t="array" aca="1" ref="J574" ca="1">[1]!s_west_stdnetprofit($B$1,YEAR($A574)+1,$A574,180,1000000)</f>
        <v>86.076517999999993</v>
      </c>
      <c r="K574" cm="1">
        <f t="array" aca="1" ref="K574" ca="1">[1]!s_west_mediannetprofit($B$1,YEAR($A573)+1,$A573,180,1000000)</f>
        <v>48.83</v>
      </c>
      <c r="L574" cm="1">
        <f t="array" aca="1" ref="L574" ca="1">[1]!s_dq_close($B$1,$A574,3)</f>
        <v>29.25</v>
      </c>
    </row>
    <row r="575" spans="1:12">
      <c r="A575" s="23">
        <f t="shared" ca="1" si="8"/>
        <v>45600</v>
      </c>
      <c r="B575" cm="1">
        <f t="array" aca="1" ref="B575" ca="1">[1]!s_west_netprofit($B$1,YEAR($A575),$A575,180,1000000)</f>
        <v>-51.837465000000002</v>
      </c>
      <c r="C575" cm="1">
        <f t="array" aca="1" ref="C575" ca="1">[1]!s_west_eps($B$1,YEAR($A575),$A575,180)</f>
        <v>-5.9499999999999997E-2</v>
      </c>
      <c r="D575" cm="1">
        <f t="array" aca="1" ref="D575" ca="1">[1]!s_west_instnum_np($B$1,YEAR($A575),$A575,180)</f>
        <v>20</v>
      </c>
      <c r="E575" cm="1">
        <f t="array" aca="1" ref="E575" ca="1">[1]!s_west_stdnetprofit($B$1,YEAR($A575),$A575,180,1000000)</f>
        <v>97.561868000000004</v>
      </c>
      <c r="F575" cm="1">
        <f t="array" aca="1" ref="F575" ca="1">[1]!s_west_mediannetprofit($B$1,YEAR($A575),$A575,180,1000000)</f>
        <v>-17.239999999999998</v>
      </c>
      <c r="G575" cm="1">
        <f t="array" aca="1" ref="G575" ca="1">[1]!s_west_netprofit($B$1,YEAR($A575)+1,$A575,180,1000000)</f>
        <v>32.791763000000003</v>
      </c>
      <c r="H575" cm="1">
        <f t="array" aca="1" ref="H575" ca="1">[1]!s_west_eps($B$1,YEAR($A575)+1,$A575,180)</f>
        <v>3.7600000000000001E-2</v>
      </c>
      <c r="I575" cm="1">
        <f t="array" aca="1" ref="I575" ca="1">[1]!s_west_instnum_np($B$1,YEAR($A575)+1,$A575,180)</f>
        <v>20</v>
      </c>
      <c r="J575" cm="1">
        <f t="array" aca="1" ref="J575" ca="1">[1]!s_west_stdnetprofit($B$1,YEAR($A575)+1,$A575,180,1000000)</f>
        <v>86.076517999999993</v>
      </c>
      <c r="K575" cm="1">
        <f t="array" aca="1" ref="K575" ca="1">[1]!s_west_mediannetprofit($B$1,YEAR($A574)+1,$A574,180,1000000)</f>
        <v>48.83</v>
      </c>
      <c r="L575" cm="1">
        <f t="array" aca="1" ref="L575" ca="1">[1]!s_dq_close($B$1,$A575,3)</f>
        <v>29.15</v>
      </c>
    </row>
    <row r="576" spans="1:12">
      <c r="A576" s="23">
        <f t="shared" ca="1" si="8"/>
        <v>45599</v>
      </c>
      <c r="B576" cm="1">
        <f t="array" aca="1" ref="B576" ca="1">[1]!s_west_netprofit($B$1,YEAR($A576),$A576,180,1000000)</f>
        <v>-51.837465000000002</v>
      </c>
      <c r="C576" cm="1">
        <f t="array" aca="1" ref="C576" ca="1">[1]!s_west_eps($B$1,YEAR($A576),$A576,180)</f>
        <v>-5.9499999999999997E-2</v>
      </c>
      <c r="D576" cm="1">
        <f t="array" aca="1" ref="D576" ca="1">[1]!s_west_instnum_np($B$1,YEAR($A576),$A576,180)</f>
        <v>20</v>
      </c>
      <c r="E576" cm="1">
        <f t="array" aca="1" ref="E576" ca="1">[1]!s_west_stdnetprofit($B$1,YEAR($A576),$A576,180,1000000)</f>
        <v>97.561868000000004</v>
      </c>
      <c r="F576" cm="1">
        <f t="array" aca="1" ref="F576" ca="1">[1]!s_west_mediannetprofit($B$1,YEAR($A576),$A576,180,1000000)</f>
        <v>-17.239999999999998</v>
      </c>
      <c r="G576" cm="1">
        <f t="array" aca="1" ref="G576" ca="1">[1]!s_west_netprofit($B$1,YEAR($A576)+1,$A576,180,1000000)</f>
        <v>32.791763000000003</v>
      </c>
      <c r="H576" cm="1">
        <f t="array" aca="1" ref="H576" ca="1">[1]!s_west_eps($B$1,YEAR($A576)+1,$A576,180)</f>
        <v>3.7600000000000001E-2</v>
      </c>
      <c r="I576" cm="1">
        <f t="array" aca="1" ref="I576" ca="1">[1]!s_west_instnum_np($B$1,YEAR($A576)+1,$A576,180)</f>
        <v>20</v>
      </c>
      <c r="J576" cm="1">
        <f t="array" aca="1" ref="J576" ca="1">[1]!s_west_stdnetprofit($B$1,YEAR($A576)+1,$A576,180,1000000)</f>
        <v>86.076517999999993</v>
      </c>
      <c r="K576" cm="1">
        <f t="array" aca="1" ref="K576" ca="1">[1]!s_west_mediannetprofit($B$1,YEAR($A575)+1,$A575,180,1000000)</f>
        <v>48.83</v>
      </c>
      <c r="L576" cm="1">
        <f t="array" aca="1" ref="L576" ca="1">[1]!s_dq_close($B$1,$A576,3)</f>
        <v>29.25</v>
      </c>
    </row>
    <row r="577" spans="1:12">
      <c r="A577" s="23">
        <f t="shared" ca="1" si="8"/>
        <v>45598</v>
      </c>
      <c r="B577" cm="1">
        <f t="array" aca="1" ref="B577" ca="1">[1]!s_west_netprofit($B$1,YEAR($A577),$A577,180,1000000)</f>
        <v>-51.837465000000002</v>
      </c>
      <c r="C577" cm="1">
        <f t="array" aca="1" ref="C577" ca="1">[1]!s_west_eps($B$1,YEAR($A577),$A577,180)</f>
        <v>-5.9499999999999997E-2</v>
      </c>
      <c r="D577" cm="1">
        <f t="array" aca="1" ref="D577" ca="1">[1]!s_west_instnum_np($B$1,YEAR($A577),$A577,180)</f>
        <v>20</v>
      </c>
      <c r="E577" cm="1">
        <f t="array" aca="1" ref="E577" ca="1">[1]!s_west_stdnetprofit($B$1,YEAR($A577),$A577,180,1000000)</f>
        <v>97.561868000000004</v>
      </c>
      <c r="F577" cm="1">
        <f t="array" aca="1" ref="F577" ca="1">[1]!s_west_mediannetprofit($B$1,YEAR($A577),$A577,180,1000000)</f>
        <v>-17.239999999999998</v>
      </c>
      <c r="G577" cm="1">
        <f t="array" aca="1" ref="G577" ca="1">[1]!s_west_netprofit($B$1,YEAR($A577)+1,$A577,180,1000000)</f>
        <v>32.791763000000003</v>
      </c>
      <c r="H577" cm="1">
        <f t="array" aca="1" ref="H577" ca="1">[1]!s_west_eps($B$1,YEAR($A577)+1,$A577,180)</f>
        <v>3.7600000000000001E-2</v>
      </c>
      <c r="I577" cm="1">
        <f t="array" aca="1" ref="I577" ca="1">[1]!s_west_instnum_np($B$1,YEAR($A577)+1,$A577,180)</f>
        <v>20</v>
      </c>
      <c r="J577" cm="1">
        <f t="array" aca="1" ref="J577" ca="1">[1]!s_west_stdnetprofit($B$1,YEAR($A577)+1,$A577,180,1000000)</f>
        <v>86.076517999999993</v>
      </c>
      <c r="K577" cm="1">
        <f t="array" aca="1" ref="K577" ca="1">[1]!s_west_mediannetprofit($B$1,YEAR($A576)+1,$A576,180,1000000)</f>
        <v>48.83</v>
      </c>
      <c r="L577" cm="1">
        <f t="array" aca="1" ref="L577" ca="1">[1]!s_dq_close($B$1,$A577,3)</f>
        <v>29.25</v>
      </c>
    </row>
    <row r="578" spans="1:12">
      <c r="A578" s="23">
        <f t="shared" ca="1" si="8"/>
        <v>45597</v>
      </c>
      <c r="B578" cm="1">
        <f t="array" aca="1" ref="B578" ca="1">[1]!s_west_netprofit($B$1,YEAR($A578),$A578,180,1000000)</f>
        <v>-51.837465000000002</v>
      </c>
      <c r="C578" cm="1">
        <f t="array" aca="1" ref="C578" ca="1">[1]!s_west_eps($B$1,YEAR($A578),$A578,180)</f>
        <v>-5.9499999999999997E-2</v>
      </c>
      <c r="D578" cm="1">
        <f t="array" aca="1" ref="D578" ca="1">[1]!s_west_instnum_np($B$1,YEAR($A578),$A578,180)</f>
        <v>20</v>
      </c>
      <c r="E578" cm="1">
        <f t="array" aca="1" ref="E578" ca="1">[1]!s_west_stdnetprofit($B$1,YEAR($A578),$A578,180,1000000)</f>
        <v>97.561868000000004</v>
      </c>
      <c r="F578" cm="1">
        <f t="array" aca="1" ref="F578" ca="1">[1]!s_west_mediannetprofit($B$1,YEAR($A578),$A578,180,1000000)</f>
        <v>-17.239999999999998</v>
      </c>
      <c r="G578" cm="1">
        <f t="array" aca="1" ref="G578" ca="1">[1]!s_west_netprofit($B$1,YEAR($A578)+1,$A578,180,1000000)</f>
        <v>32.791763000000003</v>
      </c>
      <c r="H578" cm="1">
        <f t="array" aca="1" ref="H578" ca="1">[1]!s_west_eps($B$1,YEAR($A578)+1,$A578,180)</f>
        <v>3.7600000000000001E-2</v>
      </c>
      <c r="I578" cm="1">
        <f t="array" aca="1" ref="I578" ca="1">[1]!s_west_instnum_np($B$1,YEAR($A578)+1,$A578,180)</f>
        <v>20</v>
      </c>
      <c r="J578" cm="1">
        <f t="array" aca="1" ref="J578" ca="1">[1]!s_west_stdnetprofit($B$1,YEAR($A578)+1,$A578,180,1000000)</f>
        <v>86.076517999999993</v>
      </c>
      <c r="K578" cm="1">
        <f t="array" aca="1" ref="K578" ca="1">[1]!s_west_mediannetprofit($B$1,YEAR($A577)+1,$A577,180,1000000)</f>
        <v>48.83</v>
      </c>
      <c r="L578" cm="1">
        <f t="array" aca="1" ref="L578" ca="1">[1]!s_dq_close($B$1,$A578,3)</f>
        <v>29.25</v>
      </c>
    </row>
    <row r="579" spans="1:12">
      <c r="A579" s="23">
        <f t="shared" ca="1" si="8"/>
        <v>45596</v>
      </c>
      <c r="B579" cm="1">
        <f t="array" aca="1" ref="B579" ca="1">[1]!s_west_netprofit($B$1,YEAR($A579),$A579,180,1000000)</f>
        <v>-51.837465000000002</v>
      </c>
      <c r="C579" cm="1">
        <f t="array" aca="1" ref="C579" ca="1">[1]!s_west_eps($B$1,YEAR($A579),$A579,180)</f>
        <v>-5.9499999999999997E-2</v>
      </c>
      <c r="D579" cm="1">
        <f t="array" aca="1" ref="D579" ca="1">[1]!s_west_instnum_np($B$1,YEAR($A579),$A579,180)</f>
        <v>20</v>
      </c>
      <c r="E579" cm="1">
        <f t="array" aca="1" ref="E579" ca="1">[1]!s_west_stdnetprofit($B$1,YEAR($A579),$A579,180,1000000)</f>
        <v>97.561868000000004</v>
      </c>
      <c r="F579" cm="1">
        <f t="array" aca="1" ref="F579" ca="1">[1]!s_west_mediannetprofit($B$1,YEAR($A579),$A579,180,1000000)</f>
        <v>-17.239999999999998</v>
      </c>
      <c r="G579" cm="1">
        <f t="array" aca="1" ref="G579" ca="1">[1]!s_west_netprofit($B$1,YEAR($A579)+1,$A579,180,1000000)</f>
        <v>32.791763000000003</v>
      </c>
      <c r="H579" cm="1">
        <f t="array" aca="1" ref="H579" ca="1">[1]!s_west_eps($B$1,YEAR($A579)+1,$A579,180)</f>
        <v>3.7600000000000001E-2</v>
      </c>
      <c r="I579" cm="1">
        <f t="array" aca="1" ref="I579" ca="1">[1]!s_west_instnum_np($B$1,YEAR($A579)+1,$A579,180)</f>
        <v>20</v>
      </c>
      <c r="J579" cm="1">
        <f t="array" aca="1" ref="J579" ca="1">[1]!s_west_stdnetprofit($B$1,YEAR($A579)+1,$A579,180,1000000)</f>
        <v>86.076517999999993</v>
      </c>
      <c r="K579" cm="1">
        <f t="array" aca="1" ref="K579" ca="1">[1]!s_west_mediannetprofit($B$1,YEAR($A578)+1,$A578,180,1000000)</f>
        <v>48.83</v>
      </c>
      <c r="L579" cm="1">
        <f t="array" aca="1" ref="L579" ca="1">[1]!s_dq_close($B$1,$A579,3)</f>
        <v>28.4</v>
      </c>
    </row>
    <row r="580" spans="1:12">
      <c r="A580" s="23">
        <f t="shared" ca="1" si="8"/>
        <v>45595</v>
      </c>
      <c r="B580" cm="1">
        <f t="array" aca="1" ref="B580" ca="1">[1]!s_west_netprofit($B$1,YEAR($A580),$A580,180,1000000)</f>
        <v>-51.837465000000002</v>
      </c>
      <c r="C580" cm="1">
        <f t="array" aca="1" ref="C580" ca="1">[1]!s_west_eps($B$1,YEAR($A580),$A580,180)</f>
        <v>-5.9499999999999997E-2</v>
      </c>
      <c r="D580" cm="1">
        <f t="array" aca="1" ref="D580" ca="1">[1]!s_west_instnum_np($B$1,YEAR($A580),$A580,180)</f>
        <v>20</v>
      </c>
      <c r="E580" cm="1">
        <f t="array" aca="1" ref="E580" ca="1">[1]!s_west_stdnetprofit($B$1,YEAR($A580),$A580,180,1000000)</f>
        <v>97.561868000000004</v>
      </c>
      <c r="F580" cm="1">
        <f t="array" aca="1" ref="F580" ca="1">[1]!s_west_mediannetprofit($B$1,YEAR($A580),$A580,180,1000000)</f>
        <v>-17.239999999999998</v>
      </c>
      <c r="G580" cm="1">
        <f t="array" aca="1" ref="G580" ca="1">[1]!s_west_netprofit($B$1,YEAR($A580)+1,$A580,180,1000000)</f>
        <v>32.791763000000003</v>
      </c>
      <c r="H580" cm="1">
        <f t="array" aca="1" ref="H580" ca="1">[1]!s_west_eps($B$1,YEAR($A580)+1,$A580,180)</f>
        <v>3.7600000000000001E-2</v>
      </c>
      <c r="I580" cm="1">
        <f t="array" aca="1" ref="I580" ca="1">[1]!s_west_instnum_np($B$1,YEAR($A580)+1,$A580,180)</f>
        <v>20</v>
      </c>
      <c r="J580" cm="1">
        <f t="array" aca="1" ref="J580" ca="1">[1]!s_west_stdnetprofit($B$1,YEAR($A580)+1,$A580,180,1000000)</f>
        <v>86.076517999999993</v>
      </c>
      <c r="K580" cm="1">
        <f t="array" aca="1" ref="K580" ca="1">[1]!s_west_mediannetprofit($B$1,YEAR($A579)+1,$A579,180,1000000)</f>
        <v>48.83</v>
      </c>
      <c r="L580" cm="1">
        <f t="array" aca="1" ref="L580" ca="1">[1]!s_dq_close($B$1,$A580,3)</f>
        <v>29.9</v>
      </c>
    </row>
    <row r="581" spans="1:12">
      <c r="A581" s="23">
        <f t="shared" ca="1" si="8"/>
        <v>45594</v>
      </c>
      <c r="B581" cm="1">
        <f t="array" aca="1" ref="B581" ca="1">[1]!s_west_netprofit($B$1,YEAR($A581),$A581,180,1000000)</f>
        <v>-51.837465000000002</v>
      </c>
      <c r="C581" cm="1">
        <f t="array" aca="1" ref="C581" ca="1">[1]!s_west_eps($B$1,YEAR($A581),$A581,180)</f>
        <v>-5.9499999999999997E-2</v>
      </c>
      <c r="D581" cm="1">
        <f t="array" aca="1" ref="D581" ca="1">[1]!s_west_instnum_np($B$1,YEAR($A581),$A581,180)</f>
        <v>20</v>
      </c>
      <c r="E581" cm="1">
        <f t="array" aca="1" ref="E581" ca="1">[1]!s_west_stdnetprofit($B$1,YEAR($A581),$A581,180,1000000)</f>
        <v>97.561868000000004</v>
      </c>
      <c r="F581" cm="1">
        <f t="array" aca="1" ref="F581" ca="1">[1]!s_west_mediannetprofit($B$1,YEAR($A581),$A581,180,1000000)</f>
        <v>-17.239999999999998</v>
      </c>
      <c r="G581" cm="1">
        <f t="array" aca="1" ref="G581" ca="1">[1]!s_west_netprofit($B$1,YEAR($A581)+1,$A581,180,1000000)</f>
        <v>32.791763000000003</v>
      </c>
      <c r="H581" cm="1">
        <f t="array" aca="1" ref="H581" ca="1">[1]!s_west_eps($B$1,YEAR($A581)+1,$A581,180)</f>
        <v>3.7600000000000001E-2</v>
      </c>
      <c r="I581" cm="1">
        <f t="array" aca="1" ref="I581" ca="1">[1]!s_west_instnum_np($B$1,YEAR($A581)+1,$A581,180)</f>
        <v>20</v>
      </c>
      <c r="J581" cm="1">
        <f t="array" aca="1" ref="J581" ca="1">[1]!s_west_stdnetprofit($B$1,YEAR($A581)+1,$A581,180,1000000)</f>
        <v>86.076517999999993</v>
      </c>
      <c r="K581" cm="1">
        <f t="array" aca="1" ref="K581" ca="1">[1]!s_west_mediannetprofit($B$1,YEAR($A580)+1,$A580,180,1000000)</f>
        <v>48.83</v>
      </c>
      <c r="L581" cm="1">
        <f t="array" aca="1" ref="L581" ca="1">[1]!s_dq_close($B$1,$A581,3)</f>
        <v>31</v>
      </c>
    </row>
    <row r="582" spans="1:12">
      <c r="A582" s="23">
        <f t="shared" ca="1" si="8"/>
        <v>45593</v>
      </c>
      <c r="B582" cm="1">
        <f t="array" aca="1" ref="B582" ca="1">[1]!s_west_netprofit($B$1,YEAR($A582),$A582,180,1000000)</f>
        <v>-51.837465000000002</v>
      </c>
      <c r="C582" cm="1">
        <f t="array" aca="1" ref="C582" ca="1">[1]!s_west_eps($B$1,YEAR($A582),$A582,180)</f>
        <v>-5.9499999999999997E-2</v>
      </c>
      <c r="D582" cm="1">
        <f t="array" aca="1" ref="D582" ca="1">[1]!s_west_instnum_np($B$1,YEAR($A582),$A582,180)</f>
        <v>20</v>
      </c>
      <c r="E582" cm="1">
        <f t="array" aca="1" ref="E582" ca="1">[1]!s_west_stdnetprofit($B$1,YEAR($A582),$A582,180,1000000)</f>
        <v>97.561868000000004</v>
      </c>
      <c r="F582" cm="1">
        <f t="array" aca="1" ref="F582" ca="1">[1]!s_west_mediannetprofit($B$1,YEAR($A582),$A582,180,1000000)</f>
        <v>-17.239999999999998</v>
      </c>
      <c r="G582" cm="1">
        <f t="array" aca="1" ref="G582" ca="1">[1]!s_west_netprofit($B$1,YEAR($A582)+1,$A582,180,1000000)</f>
        <v>32.791763000000003</v>
      </c>
      <c r="H582" cm="1">
        <f t="array" aca="1" ref="H582" ca="1">[1]!s_west_eps($B$1,YEAR($A582)+1,$A582,180)</f>
        <v>3.7600000000000001E-2</v>
      </c>
      <c r="I582" cm="1">
        <f t="array" aca="1" ref="I582" ca="1">[1]!s_west_instnum_np($B$1,YEAR($A582)+1,$A582,180)</f>
        <v>20</v>
      </c>
      <c r="J582" cm="1">
        <f t="array" aca="1" ref="J582" ca="1">[1]!s_west_stdnetprofit($B$1,YEAR($A582)+1,$A582,180,1000000)</f>
        <v>86.076517999999993</v>
      </c>
      <c r="K582" cm="1">
        <f t="array" aca="1" ref="K582" ca="1">[1]!s_west_mediannetprofit($B$1,YEAR($A581)+1,$A581,180,1000000)</f>
        <v>48.83</v>
      </c>
      <c r="L582" cm="1">
        <f t="array" aca="1" ref="L582" ca="1">[1]!s_dq_close($B$1,$A582,3)</f>
        <v>32.549999999999997</v>
      </c>
    </row>
    <row r="583" spans="1:12">
      <c r="A583" s="23">
        <f t="shared" ca="1" si="8"/>
        <v>45592</v>
      </c>
      <c r="B583" cm="1">
        <f t="array" aca="1" ref="B583" ca="1">[1]!s_west_netprofit($B$1,YEAR($A583),$A583,180,1000000)</f>
        <v>-51.837465000000002</v>
      </c>
      <c r="C583" cm="1">
        <f t="array" aca="1" ref="C583" ca="1">[1]!s_west_eps($B$1,YEAR($A583),$A583,180)</f>
        <v>-5.9499999999999997E-2</v>
      </c>
      <c r="D583" cm="1">
        <f t="array" aca="1" ref="D583" ca="1">[1]!s_west_instnum_np($B$1,YEAR($A583),$A583,180)</f>
        <v>20</v>
      </c>
      <c r="E583" cm="1">
        <f t="array" aca="1" ref="E583" ca="1">[1]!s_west_stdnetprofit($B$1,YEAR($A583),$A583,180,1000000)</f>
        <v>97.561868000000004</v>
      </c>
      <c r="F583" cm="1">
        <f t="array" aca="1" ref="F583" ca="1">[1]!s_west_mediannetprofit($B$1,YEAR($A583),$A583,180,1000000)</f>
        <v>-17.239999999999998</v>
      </c>
      <c r="G583" cm="1">
        <f t="array" aca="1" ref="G583" ca="1">[1]!s_west_netprofit($B$1,YEAR($A583)+1,$A583,180,1000000)</f>
        <v>32.791763000000003</v>
      </c>
      <c r="H583" cm="1">
        <f t="array" aca="1" ref="H583" ca="1">[1]!s_west_eps($B$1,YEAR($A583)+1,$A583,180)</f>
        <v>3.7600000000000001E-2</v>
      </c>
      <c r="I583" cm="1">
        <f t="array" aca="1" ref="I583" ca="1">[1]!s_west_instnum_np($B$1,YEAR($A583)+1,$A583,180)</f>
        <v>20</v>
      </c>
      <c r="J583" cm="1">
        <f t="array" aca="1" ref="J583" ca="1">[1]!s_west_stdnetprofit($B$1,YEAR($A583)+1,$A583,180,1000000)</f>
        <v>86.076517999999993</v>
      </c>
      <c r="K583" cm="1">
        <f t="array" aca="1" ref="K583" ca="1">[1]!s_west_mediannetprofit($B$1,YEAR($A582)+1,$A582,180,1000000)</f>
        <v>48.83</v>
      </c>
      <c r="L583" cm="1">
        <f t="array" aca="1" ref="L583" ca="1">[1]!s_dq_close($B$1,$A583,3)</f>
        <v>32.950000000000003</v>
      </c>
    </row>
    <row r="584" spans="1:12">
      <c r="A584" s="23">
        <f t="shared" ca="1" si="8"/>
        <v>45591</v>
      </c>
      <c r="B584" cm="1">
        <f t="array" aca="1" ref="B584" ca="1">[1]!s_west_netprofit($B$1,YEAR($A584),$A584,180,1000000)</f>
        <v>-51.837465000000002</v>
      </c>
      <c r="C584" cm="1">
        <f t="array" aca="1" ref="C584" ca="1">[1]!s_west_eps($B$1,YEAR($A584),$A584,180)</f>
        <v>-5.9499999999999997E-2</v>
      </c>
      <c r="D584" cm="1">
        <f t="array" aca="1" ref="D584" ca="1">[1]!s_west_instnum_np($B$1,YEAR($A584),$A584,180)</f>
        <v>20</v>
      </c>
      <c r="E584" cm="1">
        <f t="array" aca="1" ref="E584" ca="1">[1]!s_west_stdnetprofit($B$1,YEAR($A584),$A584,180,1000000)</f>
        <v>97.561868000000004</v>
      </c>
      <c r="F584" cm="1">
        <f t="array" aca="1" ref="F584" ca="1">[1]!s_west_mediannetprofit($B$1,YEAR($A584),$A584,180,1000000)</f>
        <v>-17.239999999999998</v>
      </c>
      <c r="G584" cm="1">
        <f t="array" aca="1" ref="G584" ca="1">[1]!s_west_netprofit($B$1,YEAR($A584)+1,$A584,180,1000000)</f>
        <v>32.791763000000003</v>
      </c>
      <c r="H584" cm="1">
        <f t="array" aca="1" ref="H584" ca="1">[1]!s_west_eps($B$1,YEAR($A584)+1,$A584,180)</f>
        <v>3.7600000000000001E-2</v>
      </c>
      <c r="I584" cm="1">
        <f t="array" aca="1" ref="I584" ca="1">[1]!s_west_instnum_np($B$1,YEAR($A584)+1,$A584,180)</f>
        <v>20</v>
      </c>
      <c r="J584" cm="1">
        <f t="array" aca="1" ref="J584" ca="1">[1]!s_west_stdnetprofit($B$1,YEAR($A584)+1,$A584,180,1000000)</f>
        <v>86.076517999999993</v>
      </c>
      <c r="K584" cm="1">
        <f t="array" aca="1" ref="K584" ca="1">[1]!s_west_mediannetprofit($B$1,YEAR($A583)+1,$A583,180,1000000)</f>
        <v>48.83</v>
      </c>
      <c r="L584" cm="1">
        <f t="array" aca="1" ref="L584" ca="1">[1]!s_dq_close($B$1,$A584,3)</f>
        <v>32.950000000000003</v>
      </c>
    </row>
    <row r="585" spans="1:12">
      <c r="A585" s="23">
        <f t="shared" ca="1" si="8"/>
        <v>45590</v>
      </c>
      <c r="B585" cm="1">
        <f t="array" aca="1" ref="B585" ca="1">[1]!s_west_netprofit($B$1,YEAR($A585),$A585,180,1000000)</f>
        <v>-51.837465000000002</v>
      </c>
      <c r="C585" cm="1">
        <f t="array" aca="1" ref="C585" ca="1">[1]!s_west_eps($B$1,YEAR($A585),$A585,180)</f>
        <v>-5.9499999999999997E-2</v>
      </c>
      <c r="D585" cm="1">
        <f t="array" aca="1" ref="D585" ca="1">[1]!s_west_instnum_np($B$1,YEAR($A585),$A585,180)</f>
        <v>20</v>
      </c>
      <c r="E585" cm="1">
        <f t="array" aca="1" ref="E585" ca="1">[1]!s_west_stdnetprofit($B$1,YEAR($A585),$A585,180,1000000)</f>
        <v>97.561868000000004</v>
      </c>
      <c r="F585" cm="1">
        <f t="array" aca="1" ref="F585" ca="1">[1]!s_west_mediannetprofit($B$1,YEAR($A585),$A585,180,1000000)</f>
        <v>-17.239999999999998</v>
      </c>
      <c r="G585" cm="1">
        <f t="array" aca="1" ref="G585" ca="1">[1]!s_west_netprofit($B$1,YEAR($A585)+1,$A585,180,1000000)</f>
        <v>32.791763000000003</v>
      </c>
      <c r="H585" cm="1">
        <f t="array" aca="1" ref="H585" ca="1">[1]!s_west_eps($B$1,YEAR($A585)+1,$A585,180)</f>
        <v>3.7600000000000001E-2</v>
      </c>
      <c r="I585" cm="1">
        <f t="array" aca="1" ref="I585" ca="1">[1]!s_west_instnum_np($B$1,YEAR($A585)+1,$A585,180)</f>
        <v>20</v>
      </c>
      <c r="J585" cm="1">
        <f t="array" aca="1" ref="J585" ca="1">[1]!s_west_stdnetprofit($B$1,YEAR($A585)+1,$A585,180,1000000)</f>
        <v>86.076517999999993</v>
      </c>
      <c r="K585" cm="1">
        <f t="array" aca="1" ref="K585" ca="1">[1]!s_west_mediannetprofit($B$1,YEAR($A584)+1,$A584,180,1000000)</f>
        <v>48.83</v>
      </c>
      <c r="L585" cm="1">
        <f t="array" aca="1" ref="L585" ca="1">[1]!s_dq_close($B$1,$A585,3)</f>
        <v>32.950000000000003</v>
      </c>
    </row>
    <row r="586" spans="1:12">
      <c r="A586" s="23">
        <f t="shared" ca="1" si="8"/>
        <v>45589</v>
      </c>
      <c r="B586" cm="1">
        <f t="array" aca="1" ref="B586" ca="1">[1]!s_west_netprofit($B$1,YEAR($A586),$A586,180,1000000)</f>
        <v>-51.837465000000002</v>
      </c>
      <c r="C586" cm="1">
        <f t="array" aca="1" ref="C586" ca="1">[1]!s_west_eps($B$1,YEAR($A586),$A586,180)</f>
        <v>-5.9499999999999997E-2</v>
      </c>
      <c r="D586" cm="1">
        <f t="array" aca="1" ref="D586" ca="1">[1]!s_west_instnum_np($B$1,YEAR($A586),$A586,180)</f>
        <v>20</v>
      </c>
      <c r="E586" cm="1">
        <f t="array" aca="1" ref="E586" ca="1">[1]!s_west_stdnetprofit($B$1,YEAR($A586),$A586,180,1000000)</f>
        <v>97.561868000000004</v>
      </c>
      <c r="F586" cm="1">
        <f t="array" aca="1" ref="F586" ca="1">[1]!s_west_mediannetprofit($B$1,YEAR($A586),$A586,180,1000000)</f>
        <v>-17.239999999999998</v>
      </c>
      <c r="G586" cm="1">
        <f t="array" aca="1" ref="G586" ca="1">[1]!s_west_netprofit($B$1,YEAR($A586)+1,$A586,180,1000000)</f>
        <v>32.791763000000003</v>
      </c>
      <c r="H586" cm="1">
        <f t="array" aca="1" ref="H586" ca="1">[1]!s_west_eps($B$1,YEAR($A586)+1,$A586,180)</f>
        <v>3.7600000000000001E-2</v>
      </c>
      <c r="I586" cm="1">
        <f t="array" aca="1" ref="I586" ca="1">[1]!s_west_instnum_np($B$1,YEAR($A586)+1,$A586,180)</f>
        <v>20</v>
      </c>
      <c r="J586" cm="1">
        <f t="array" aca="1" ref="J586" ca="1">[1]!s_west_stdnetprofit($B$1,YEAR($A586)+1,$A586,180,1000000)</f>
        <v>86.076517999999993</v>
      </c>
      <c r="K586" cm="1">
        <f t="array" aca="1" ref="K586" ca="1">[1]!s_west_mediannetprofit($B$1,YEAR($A585)+1,$A585,180,1000000)</f>
        <v>48.83</v>
      </c>
      <c r="L586" cm="1">
        <f t="array" aca="1" ref="L586" ca="1">[1]!s_dq_close($B$1,$A586,3)</f>
        <v>32.5</v>
      </c>
    </row>
    <row r="587" spans="1:12">
      <c r="A587" s="23">
        <f t="shared" ca="1" si="8"/>
        <v>45588</v>
      </c>
      <c r="B587" cm="1">
        <f t="array" aca="1" ref="B587" ca="1">[1]!s_west_netprofit($B$1,YEAR($A587),$A587,180,1000000)</f>
        <v>-51.932702999999997</v>
      </c>
      <c r="C587" cm="1">
        <f t="array" aca="1" ref="C587" ca="1">[1]!s_west_eps($B$1,YEAR($A587),$A587,180)</f>
        <v>-5.96E-2</v>
      </c>
      <c r="D587" cm="1">
        <f t="array" aca="1" ref="D587" ca="1">[1]!s_west_instnum_np($B$1,YEAR($A587),$A587,180)</f>
        <v>20</v>
      </c>
      <c r="E587" cm="1">
        <f t="array" aca="1" ref="E587" ca="1">[1]!s_west_stdnetprofit($B$1,YEAR($A587),$A587,180,1000000)</f>
        <v>97.606049999999996</v>
      </c>
      <c r="F587" cm="1">
        <f t="array" aca="1" ref="F587" ca="1">[1]!s_west_mediannetprofit($B$1,YEAR($A587),$A587,180,1000000)</f>
        <v>-17.239999999999998</v>
      </c>
      <c r="G587" cm="1">
        <f t="array" aca="1" ref="G587" ca="1">[1]!s_west_netprofit($B$1,YEAR($A587)+1,$A587,180,1000000)</f>
        <v>32.172714999999997</v>
      </c>
      <c r="H587" cm="1">
        <f t="array" aca="1" ref="H587" ca="1">[1]!s_west_eps($B$1,YEAR($A587)+1,$A587,180)</f>
        <v>3.6900000000000002E-2</v>
      </c>
      <c r="I587" cm="1">
        <f t="array" aca="1" ref="I587" ca="1">[1]!s_west_instnum_np($B$1,YEAR($A587)+1,$A587,180)</f>
        <v>20</v>
      </c>
      <c r="J587" cm="1">
        <f t="array" aca="1" ref="J587" ca="1">[1]!s_west_stdnetprofit($B$1,YEAR($A587)+1,$A587,180,1000000)</f>
        <v>86.234818000000004</v>
      </c>
      <c r="K587" cm="1">
        <f t="array" aca="1" ref="K587" ca="1">[1]!s_west_mediannetprofit($B$1,YEAR($A586)+1,$A586,180,1000000)</f>
        <v>48.83</v>
      </c>
      <c r="L587" cm="1">
        <f t="array" aca="1" ref="L587" ca="1">[1]!s_dq_close($B$1,$A587,3)</f>
        <v>33.75</v>
      </c>
    </row>
    <row r="588" spans="1:12">
      <c r="A588" s="23">
        <f t="shared" ca="1" si="8"/>
        <v>45587</v>
      </c>
      <c r="B588" cm="1">
        <f t="array" aca="1" ref="B588" ca="1">[1]!s_west_netprofit($B$1,YEAR($A588),$A588,180,1000000)</f>
        <v>-51.932702999999997</v>
      </c>
      <c r="C588" cm="1">
        <f t="array" aca="1" ref="C588" ca="1">[1]!s_west_eps($B$1,YEAR($A588),$A588,180)</f>
        <v>-5.96E-2</v>
      </c>
      <c r="D588" cm="1">
        <f t="array" aca="1" ref="D588" ca="1">[1]!s_west_instnum_np($B$1,YEAR($A588),$A588,180)</f>
        <v>20</v>
      </c>
      <c r="E588" cm="1">
        <f t="array" aca="1" ref="E588" ca="1">[1]!s_west_stdnetprofit($B$1,YEAR($A588),$A588,180,1000000)</f>
        <v>97.606049999999996</v>
      </c>
      <c r="F588" cm="1">
        <f t="array" aca="1" ref="F588" ca="1">[1]!s_west_mediannetprofit($B$1,YEAR($A588),$A588,180,1000000)</f>
        <v>-17.239999999999998</v>
      </c>
      <c r="G588" cm="1">
        <f t="array" aca="1" ref="G588" ca="1">[1]!s_west_netprofit($B$1,YEAR($A588)+1,$A588,180,1000000)</f>
        <v>32.172714999999997</v>
      </c>
      <c r="H588" cm="1">
        <f t="array" aca="1" ref="H588" ca="1">[1]!s_west_eps($B$1,YEAR($A588)+1,$A588,180)</f>
        <v>3.6900000000000002E-2</v>
      </c>
      <c r="I588" cm="1">
        <f t="array" aca="1" ref="I588" ca="1">[1]!s_west_instnum_np($B$1,YEAR($A588)+1,$A588,180)</f>
        <v>20</v>
      </c>
      <c r="J588" cm="1">
        <f t="array" aca="1" ref="J588" ca="1">[1]!s_west_stdnetprofit($B$1,YEAR($A588)+1,$A588,180,1000000)</f>
        <v>86.234818000000004</v>
      </c>
      <c r="K588" cm="1">
        <f t="array" aca="1" ref="K588" ca="1">[1]!s_west_mediannetprofit($B$1,YEAR($A587)+1,$A587,180,1000000)</f>
        <v>48.83</v>
      </c>
      <c r="L588" cm="1">
        <f t="array" aca="1" ref="L588" ca="1">[1]!s_dq_close($B$1,$A588,3)</f>
        <v>33.25</v>
      </c>
    </row>
    <row r="589" spans="1:12">
      <c r="A589" s="23">
        <f t="shared" ref="A589:A652" ca="1" si="9">A588-1</f>
        <v>45586</v>
      </c>
      <c r="B589" cm="1">
        <f t="array" aca="1" ref="B589" ca="1">[1]!s_west_netprofit($B$1,YEAR($A589),$A589,180,1000000)</f>
        <v>-51.932702999999997</v>
      </c>
      <c r="C589" cm="1">
        <f t="array" aca="1" ref="C589" ca="1">[1]!s_west_eps($B$1,YEAR($A589),$A589,180)</f>
        <v>-5.96E-2</v>
      </c>
      <c r="D589" cm="1">
        <f t="array" aca="1" ref="D589" ca="1">[1]!s_west_instnum_np($B$1,YEAR($A589),$A589,180)</f>
        <v>20</v>
      </c>
      <c r="E589" cm="1">
        <f t="array" aca="1" ref="E589" ca="1">[1]!s_west_stdnetprofit($B$1,YEAR($A589),$A589,180,1000000)</f>
        <v>97.606049999999996</v>
      </c>
      <c r="F589" cm="1">
        <f t="array" aca="1" ref="F589" ca="1">[1]!s_west_mediannetprofit($B$1,YEAR($A589),$A589,180,1000000)</f>
        <v>-17.239999999999998</v>
      </c>
      <c r="G589" cm="1">
        <f t="array" aca="1" ref="G589" ca="1">[1]!s_west_netprofit($B$1,YEAR($A589)+1,$A589,180,1000000)</f>
        <v>32.172714999999997</v>
      </c>
      <c r="H589" cm="1">
        <f t="array" aca="1" ref="H589" ca="1">[1]!s_west_eps($B$1,YEAR($A589)+1,$A589,180)</f>
        <v>3.6900000000000002E-2</v>
      </c>
      <c r="I589" cm="1">
        <f t="array" aca="1" ref="I589" ca="1">[1]!s_west_instnum_np($B$1,YEAR($A589)+1,$A589,180)</f>
        <v>20</v>
      </c>
      <c r="J589" cm="1">
        <f t="array" aca="1" ref="J589" ca="1">[1]!s_west_stdnetprofit($B$1,YEAR($A589)+1,$A589,180,1000000)</f>
        <v>86.234818000000004</v>
      </c>
      <c r="K589" cm="1">
        <f t="array" aca="1" ref="K589" ca="1">[1]!s_west_mediannetprofit($B$1,YEAR($A588)+1,$A588,180,1000000)</f>
        <v>48.83</v>
      </c>
      <c r="L589" cm="1">
        <f t="array" aca="1" ref="L589" ca="1">[1]!s_dq_close($B$1,$A589,3)</f>
        <v>32.9</v>
      </c>
    </row>
    <row r="590" spans="1:12">
      <c r="A590" s="23">
        <f t="shared" ca="1" si="9"/>
        <v>45585</v>
      </c>
      <c r="B590" cm="1">
        <f t="array" aca="1" ref="B590" ca="1">[1]!s_west_netprofit($B$1,YEAR($A590),$A590,180,1000000)</f>
        <v>-51.932702999999997</v>
      </c>
      <c r="C590" cm="1">
        <f t="array" aca="1" ref="C590" ca="1">[1]!s_west_eps($B$1,YEAR($A590),$A590,180)</f>
        <v>-5.96E-2</v>
      </c>
      <c r="D590" cm="1">
        <f t="array" aca="1" ref="D590" ca="1">[1]!s_west_instnum_np($B$1,YEAR($A590),$A590,180)</f>
        <v>20</v>
      </c>
      <c r="E590" cm="1">
        <f t="array" aca="1" ref="E590" ca="1">[1]!s_west_stdnetprofit($B$1,YEAR($A590),$A590,180,1000000)</f>
        <v>97.606049999999996</v>
      </c>
      <c r="F590" cm="1">
        <f t="array" aca="1" ref="F590" ca="1">[1]!s_west_mediannetprofit($B$1,YEAR($A590),$A590,180,1000000)</f>
        <v>-17.239999999999998</v>
      </c>
      <c r="G590" cm="1">
        <f t="array" aca="1" ref="G590" ca="1">[1]!s_west_netprofit($B$1,YEAR($A590)+1,$A590,180,1000000)</f>
        <v>32.172714999999997</v>
      </c>
      <c r="H590" cm="1">
        <f t="array" aca="1" ref="H590" ca="1">[1]!s_west_eps($B$1,YEAR($A590)+1,$A590,180)</f>
        <v>3.6900000000000002E-2</v>
      </c>
      <c r="I590" cm="1">
        <f t="array" aca="1" ref="I590" ca="1">[1]!s_west_instnum_np($B$1,YEAR($A590)+1,$A590,180)</f>
        <v>20</v>
      </c>
      <c r="J590" cm="1">
        <f t="array" aca="1" ref="J590" ca="1">[1]!s_west_stdnetprofit($B$1,YEAR($A590)+1,$A590,180,1000000)</f>
        <v>86.234818000000004</v>
      </c>
      <c r="K590" cm="1">
        <f t="array" aca="1" ref="K590" ca="1">[1]!s_west_mediannetprofit($B$1,YEAR($A589)+1,$A589,180,1000000)</f>
        <v>48.83</v>
      </c>
      <c r="L590" cm="1">
        <f t="array" aca="1" ref="L590" ca="1">[1]!s_dq_close($B$1,$A590,3)</f>
        <v>33.049999999999997</v>
      </c>
    </row>
    <row r="591" spans="1:12">
      <c r="A591" s="23">
        <f t="shared" ca="1" si="9"/>
        <v>45584</v>
      </c>
      <c r="B591" cm="1">
        <f t="array" aca="1" ref="B591" ca="1">[1]!s_west_netprofit($B$1,YEAR($A591),$A591,180,1000000)</f>
        <v>-51.932702999999997</v>
      </c>
      <c r="C591" cm="1">
        <f t="array" aca="1" ref="C591" ca="1">[1]!s_west_eps($B$1,YEAR($A591),$A591,180)</f>
        <v>-5.96E-2</v>
      </c>
      <c r="D591" cm="1">
        <f t="array" aca="1" ref="D591" ca="1">[1]!s_west_instnum_np($B$1,YEAR($A591),$A591,180)</f>
        <v>20</v>
      </c>
      <c r="E591" cm="1">
        <f t="array" aca="1" ref="E591" ca="1">[1]!s_west_stdnetprofit($B$1,YEAR($A591),$A591,180,1000000)</f>
        <v>97.606049999999996</v>
      </c>
      <c r="F591" cm="1">
        <f t="array" aca="1" ref="F591" ca="1">[1]!s_west_mediannetprofit($B$1,YEAR($A591),$A591,180,1000000)</f>
        <v>-17.239999999999998</v>
      </c>
      <c r="G591" cm="1">
        <f t="array" aca="1" ref="G591" ca="1">[1]!s_west_netprofit($B$1,YEAR($A591)+1,$A591,180,1000000)</f>
        <v>32.172714999999997</v>
      </c>
      <c r="H591" cm="1">
        <f t="array" aca="1" ref="H591" ca="1">[1]!s_west_eps($B$1,YEAR($A591)+1,$A591,180)</f>
        <v>3.6900000000000002E-2</v>
      </c>
      <c r="I591" cm="1">
        <f t="array" aca="1" ref="I591" ca="1">[1]!s_west_instnum_np($B$1,YEAR($A591)+1,$A591,180)</f>
        <v>20</v>
      </c>
      <c r="J591" cm="1">
        <f t="array" aca="1" ref="J591" ca="1">[1]!s_west_stdnetprofit($B$1,YEAR($A591)+1,$A591,180,1000000)</f>
        <v>86.234818000000004</v>
      </c>
      <c r="K591" cm="1">
        <f t="array" aca="1" ref="K591" ca="1">[1]!s_west_mediannetprofit($B$1,YEAR($A590)+1,$A590,180,1000000)</f>
        <v>48.83</v>
      </c>
      <c r="L591" cm="1">
        <f t="array" aca="1" ref="L591" ca="1">[1]!s_dq_close($B$1,$A591,3)</f>
        <v>33.049999999999997</v>
      </c>
    </row>
    <row r="592" spans="1:12">
      <c r="A592" s="23">
        <f t="shared" ca="1" si="9"/>
        <v>45583</v>
      </c>
      <c r="B592" cm="1">
        <f t="array" aca="1" ref="B592" ca="1">[1]!s_west_netprofit($B$1,YEAR($A592),$A592,180,1000000)</f>
        <v>-51.932702999999997</v>
      </c>
      <c r="C592" cm="1">
        <f t="array" aca="1" ref="C592" ca="1">[1]!s_west_eps($B$1,YEAR($A592),$A592,180)</f>
        <v>-5.96E-2</v>
      </c>
      <c r="D592" cm="1">
        <f t="array" aca="1" ref="D592" ca="1">[1]!s_west_instnum_np($B$1,YEAR($A592),$A592,180)</f>
        <v>20</v>
      </c>
      <c r="E592" cm="1">
        <f t="array" aca="1" ref="E592" ca="1">[1]!s_west_stdnetprofit($B$1,YEAR($A592),$A592,180,1000000)</f>
        <v>97.606049999999996</v>
      </c>
      <c r="F592" cm="1">
        <f t="array" aca="1" ref="F592" ca="1">[1]!s_west_mediannetprofit($B$1,YEAR($A592),$A592,180,1000000)</f>
        <v>-17.239999999999998</v>
      </c>
      <c r="G592" cm="1">
        <f t="array" aca="1" ref="G592" ca="1">[1]!s_west_netprofit($B$1,YEAR($A592)+1,$A592,180,1000000)</f>
        <v>32.172714999999997</v>
      </c>
      <c r="H592" cm="1">
        <f t="array" aca="1" ref="H592" ca="1">[1]!s_west_eps($B$1,YEAR($A592)+1,$A592,180)</f>
        <v>3.6900000000000002E-2</v>
      </c>
      <c r="I592" cm="1">
        <f t="array" aca="1" ref="I592" ca="1">[1]!s_west_instnum_np($B$1,YEAR($A592)+1,$A592,180)</f>
        <v>20</v>
      </c>
      <c r="J592" cm="1">
        <f t="array" aca="1" ref="J592" ca="1">[1]!s_west_stdnetprofit($B$1,YEAR($A592)+1,$A592,180,1000000)</f>
        <v>86.234818000000004</v>
      </c>
      <c r="K592" cm="1">
        <f t="array" aca="1" ref="K592" ca="1">[1]!s_west_mediannetprofit($B$1,YEAR($A591)+1,$A591,180,1000000)</f>
        <v>48.83</v>
      </c>
      <c r="L592" cm="1">
        <f t="array" aca="1" ref="L592" ca="1">[1]!s_dq_close($B$1,$A592,3)</f>
        <v>33.049999999999997</v>
      </c>
    </row>
    <row r="593" spans="1:12">
      <c r="A593" s="23">
        <f t="shared" ca="1" si="9"/>
        <v>45582</v>
      </c>
      <c r="B593" cm="1">
        <f t="array" aca="1" ref="B593" ca="1">[1]!s_west_netprofit($B$1,YEAR($A593),$A593,180,1000000)</f>
        <v>-51.932702999999997</v>
      </c>
      <c r="C593" cm="1">
        <f t="array" aca="1" ref="C593" ca="1">[1]!s_west_eps($B$1,YEAR($A593),$A593,180)</f>
        <v>-5.96E-2</v>
      </c>
      <c r="D593" cm="1">
        <f t="array" aca="1" ref="D593" ca="1">[1]!s_west_instnum_np($B$1,YEAR($A593),$A593,180)</f>
        <v>20</v>
      </c>
      <c r="E593" cm="1">
        <f t="array" aca="1" ref="E593" ca="1">[1]!s_west_stdnetprofit($B$1,YEAR($A593),$A593,180,1000000)</f>
        <v>97.606049999999996</v>
      </c>
      <c r="F593" cm="1">
        <f t="array" aca="1" ref="F593" ca="1">[1]!s_west_mediannetprofit($B$1,YEAR($A593),$A593,180,1000000)</f>
        <v>-17.239999999999998</v>
      </c>
      <c r="G593" cm="1">
        <f t="array" aca="1" ref="G593" ca="1">[1]!s_west_netprofit($B$1,YEAR($A593)+1,$A593,180,1000000)</f>
        <v>32.172714999999997</v>
      </c>
      <c r="H593" cm="1">
        <f t="array" aca="1" ref="H593" ca="1">[1]!s_west_eps($B$1,YEAR($A593)+1,$A593,180)</f>
        <v>3.6900000000000002E-2</v>
      </c>
      <c r="I593" cm="1">
        <f t="array" aca="1" ref="I593" ca="1">[1]!s_west_instnum_np($B$1,YEAR($A593)+1,$A593,180)</f>
        <v>20</v>
      </c>
      <c r="J593" cm="1">
        <f t="array" aca="1" ref="J593" ca="1">[1]!s_west_stdnetprofit($B$1,YEAR($A593)+1,$A593,180,1000000)</f>
        <v>86.234818000000004</v>
      </c>
      <c r="K593" cm="1">
        <f t="array" aca="1" ref="K593" ca="1">[1]!s_west_mediannetprofit($B$1,YEAR($A592)+1,$A592,180,1000000)</f>
        <v>48.83</v>
      </c>
      <c r="L593" cm="1">
        <f t="array" aca="1" ref="L593" ca="1">[1]!s_dq_close($B$1,$A593,3)</f>
        <v>30.8</v>
      </c>
    </row>
    <row r="594" spans="1:12">
      <c r="A594" s="23">
        <f t="shared" ca="1" si="9"/>
        <v>45581</v>
      </c>
      <c r="B594" cm="1">
        <f t="array" aca="1" ref="B594" ca="1">[1]!s_west_netprofit($B$1,YEAR($A594),$A594,180,1000000)</f>
        <v>-51.932702999999997</v>
      </c>
      <c r="C594" cm="1">
        <f t="array" aca="1" ref="C594" ca="1">[1]!s_west_eps($B$1,YEAR($A594),$A594,180)</f>
        <v>-5.96E-2</v>
      </c>
      <c r="D594" cm="1">
        <f t="array" aca="1" ref="D594" ca="1">[1]!s_west_instnum_np($B$1,YEAR($A594),$A594,180)</f>
        <v>20</v>
      </c>
      <c r="E594" cm="1">
        <f t="array" aca="1" ref="E594" ca="1">[1]!s_west_stdnetprofit($B$1,YEAR($A594),$A594,180,1000000)</f>
        <v>97.606049999999996</v>
      </c>
      <c r="F594" cm="1">
        <f t="array" aca="1" ref="F594" ca="1">[1]!s_west_mediannetprofit($B$1,YEAR($A594),$A594,180,1000000)</f>
        <v>-17.239999999999998</v>
      </c>
      <c r="G594" cm="1">
        <f t="array" aca="1" ref="G594" ca="1">[1]!s_west_netprofit($B$1,YEAR($A594)+1,$A594,180,1000000)</f>
        <v>32.172714999999997</v>
      </c>
      <c r="H594" cm="1">
        <f t="array" aca="1" ref="H594" ca="1">[1]!s_west_eps($B$1,YEAR($A594)+1,$A594,180)</f>
        <v>3.6900000000000002E-2</v>
      </c>
      <c r="I594" cm="1">
        <f t="array" aca="1" ref="I594" ca="1">[1]!s_west_instnum_np($B$1,YEAR($A594)+1,$A594,180)</f>
        <v>20</v>
      </c>
      <c r="J594" cm="1">
        <f t="array" aca="1" ref="J594" ca="1">[1]!s_west_stdnetprofit($B$1,YEAR($A594)+1,$A594,180,1000000)</f>
        <v>86.234818000000004</v>
      </c>
      <c r="K594" cm="1">
        <f t="array" aca="1" ref="K594" ca="1">[1]!s_west_mediannetprofit($B$1,YEAR($A593)+1,$A593,180,1000000)</f>
        <v>48.83</v>
      </c>
      <c r="L594" cm="1">
        <f t="array" aca="1" ref="L594" ca="1">[1]!s_dq_close($B$1,$A594,3)</f>
        <v>30.4</v>
      </c>
    </row>
    <row r="595" spans="1:12">
      <c r="A595" s="23">
        <f t="shared" ca="1" si="9"/>
        <v>45580</v>
      </c>
      <c r="B595" cm="1">
        <f t="array" aca="1" ref="B595" ca="1">[1]!s_west_netprofit($B$1,YEAR($A595),$A595,180,1000000)</f>
        <v>-51.932702999999997</v>
      </c>
      <c r="C595" cm="1">
        <f t="array" aca="1" ref="C595" ca="1">[1]!s_west_eps($B$1,YEAR($A595),$A595,180)</f>
        <v>-5.96E-2</v>
      </c>
      <c r="D595" cm="1">
        <f t="array" aca="1" ref="D595" ca="1">[1]!s_west_instnum_np($B$1,YEAR($A595),$A595,180)</f>
        <v>20</v>
      </c>
      <c r="E595" cm="1">
        <f t="array" aca="1" ref="E595" ca="1">[1]!s_west_stdnetprofit($B$1,YEAR($A595),$A595,180,1000000)</f>
        <v>97.606049999999996</v>
      </c>
      <c r="F595" cm="1">
        <f t="array" aca="1" ref="F595" ca="1">[1]!s_west_mediannetprofit($B$1,YEAR($A595),$A595,180,1000000)</f>
        <v>-17.239999999999998</v>
      </c>
      <c r="G595" cm="1">
        <f t="array" aca="1" ref="G595" ca="1">[1]!s_west_netprofit($B$1,YEAR($A595)+1,$A595,180,1000000)</f>
        <v>32.172714999999997</v>
      </c>
      <c r="H595" cm="1">
        <f t="array" aca="1" ref="H595" ca="1">[1]!s_west_eps($B$1,YEAR($A595)+1,$A595,180)</f>
        <v>3.6900000000000002E-2</v>
      </c>
      <c r="I595" cm="1">
        <f t="array" aca="1" ref="I595" ca="1">[1]!s_west_instnum_np($B$1,YEAR($A595)+1,$A595,180)</f>
        <v>20</v>
      </c>
      <c r="J595" cm="1">
        <f t="array" aca="1" ref="J595" ca="1">[1]!s_west_stdnetprofit($B$1,YEAR($A595)+1,$A595,180,1000000)</f>
        <v>86.234818000000004</v>
      </c>
      <c r="K595" cm="1">
        <f t="array" aca="1" ref="K595" ca="1">[1]!s_west_mediannetprofit($B$1,YEAR($A594)+1,$A594,180,1000000)</f>
        <v>48.83</v>
      </c>
      <c r="L595" cm="1">
        <f t="array" aca="1" ref="L595" ca="1">[1]!s_dq_close($B$1,$A595,3)</f>
        <v>30</v>
      </c>
    </row>
    <row r="596" spans="1:12">
      <c r="A596" s="23">
        <f t="shared" ca="1" si="9"/>
        <v>45579</v>
      </c>
      <c r="B596" cm="1">
        <f t="array" aca="1" ref="B596" ca="1">[1]!s_west_netprofit($B$1,YEAR($A596),$A596,180,1000000)</f>
        <v>-51.932702999999997</v>
      </c>
      <c r="C596" cm="1">
        <f t="array" aca="1" ref="C596" ca="1">[1]!s_west_eps($B$1,YEAR($A596),$A596,180)</f>
        <v>-5.96E-2</v>
      </c>
      <c r="D596" cm="1">
        <f t="array" aca="1" ref="D596" ca="1">[1]!s_west_instnum_np($B$1,YEAR($A596),$A596,180)</f>
        <v>20</v>
      </c>
      <c r="E596" cm="1">
        <f t="array" aca="1" ref="E596" ca="1">[1]!s_west_stdnetprofit($B$1,YEAR($A596),$A596,180,1000000)</f>
        <v>97.606049999999996</v>
      </c>
      <c r="F596" cm="1">
        <f t="array" aca="1" ref="F596" ca="1">[1]!s_west_mediannetprofit($B$1,YEAR($A596),$A596,180,1000000)</f>
        <v>-17.239999999999998</v>
      </c>
      <c r="G596" cm="1">
        <f t="array" aca="1" ref="G596" ca="1">[1]!s_west_netprofit($B$1,YEAR($A596)+1,$A596,180,1000000)</f>
        <v>32.172714999999997</v>
      </c>
      <c r="H596" cm="1">
        <f t="array" aca="1" ref="H596" ca="1">[1]!s_west_eps($B$1,YEAR($A596)+1,$A596,180)</f>
        <v>3.6900000000000002E-2</v>
      </c>
      <c r="I596" cm="1">
        <f t="array" aca="1" ref="I596" ca="1">[1]!s_west_instnum_np($B$1,YEAR($A596)+1,$A596,180)</f>
        <v>20</v>
      </c>
      <c r="J596" cm="1">
        <f t="array" aca="1" ref="J596" ca="1">[1]!s_west_stdnetprofit($B$1,YEAR($A596)+1,$A596,180,1000000)</f>
        <v>86.234818000000004</v>
      </c>
      <c r="K596" cm="1">
        <f t="array" aca="1" ref="K596" ca="1">[1]!s_west_mediannetprofit($B$1,YEAR($A595)+1,$A595,180,1000000)</f>
        <v>48.83</v>
      </c>
      <c r="L596" cm="1">
        <f t="array" aca="1" ref="L596" ca="1">[1]!s_dq_close($B$1,$A596,3)</f>
        <v>30.65</v>
      </c>
    </row>
    <row r="597" spans="1:12">
      <c r="A597" s="23">
        <f t="shared" ca="1" si="9"/>
        <v>45578</v>
      </c>
      <c r="B597" cm="1">
        <f t="array" aca="1" ref="B597" ca="1">[1]!s_west_netprofit($B$1,YEAR($A597),$A597,180,1000000)</f>
        <v>-51.932702999999997</v>
      </c>
      <c r="C597" cm="1">
        <f t="array" aca="1" ref="C597" ca="1">[1]!s_west_eps($B$1,YEAR($A597),$A597,180)</f>
        <v>-5.96E-2</v>
      </c>
      <c r="D597" cm="1">
        <f t="array" aca="1" ref="D597" ca="1">[1]!s_west_instnum_np($B$1,YEAR($A597),$A597,180)</f>
        <v>20</v>
      </c>
      <c r="E597" cm="1">
        <f t="array" aca="1" ref="E597" ca="1">[1]!s_west_stdnetprofit($B$1,YEAR($A597),$A597,180,1000000)</f>
        <v>97.606049999999996</v>
      </c>
      <c r="F597" cm="1">
        <f t="array" aca="1" ref="F597" ca="1">[1]!s_west_mediannetprofit($B$1,YEAR($A597),$A597,180,1000000)</f>
        <v>-17.239999999999998</v>
      </c>
      <c r="G597" cm="1">
        <f t="array" aca="1" ref="G597" ca="1">[1]!s_west_netprofit($B$1,YEAR($A597)+1,$A597,180,1000000)</f>
        <v>32.172714999999997</v>
      </c>
      <c r="H597" cm="1">
        <f t="array" aca="1" ref="H597" ca="1">[1]!s_west_eps($B$1,YEAR($A597)+1,$A597,180)</f>
        <v>3.6900000000000002E-2</v>
      </c>
      <c r="I597" cm="1">
        <f t="array" aca="1" ref="I597" ca="1">[1]!s_west_instnum_np($B$1,YEAR($A597)+1,$A597,180)</f>
        <v>20</v>
      </c>
      <c r="J597" cm="1">
        <f t="array" aca="1" ref="J597" ca="1">[1]!s_west_stdnetprofit($B$1,YEAR($A597)+1,$A597,180,1000000)</f>
        <v>86.234818000000004</v>
      </c>
      <c r="K597" cm="1">
        <f t="array" aca="1" ref="K597" ca="1">[1]!s_west_mediannetprofit($B$1,YEAR($A596)+1,$A596,180,1000000)</f>
        <v>48.83</v>
      </c>
      <c r="L597" cm="1">
        <f t="array" aca="1" ref="L597" ca="1">[1]!s_dq_close($B$1,$A597,3)</f>
        <v>31.35</v>
      </c>
    </row>
    <row r="598" spans="1:12">
      <c r="A598" s="23">
        <f t="shared" ca="1" si="9"/>
        <v>45577</v>
      </c>
      <c r="B598" cm="1">
        <f t="array" aca="1" ref="B598" ca="1">[1]!s_west_netprofit($B$1,YEAR($A598),$A598,180,1000000)</f>
        <v>-51.932702999999997</v>
      </c>
      <c r="C598" cm="1">
        <f t="array" aca="1" ref="C598" ca="1">[1]!s_west_eps($B$1,YEAR($A598),$A598,180)</f>
        <v>-5.96E-2</v>
      </c>
      <c r="D598" cm="1">
        <f t="array" aca="1" ref="D598" ca="1">[1]!s_west_instnum_np($B$1,YEAR($A598),$A598,180)</f>
        <v>20</v>
      </c>
      <c r="E598" cm="1">
        <f t="array" aca="1" ref="E598" ca="1">[1]!s_west_stdnetprofit($B$1,YEAR($A598),$A598,180,1000000)</f>
        <v>97.606049999999996</v>
      </c>
      <c r="F598" cm="1">
        <f t="array" aca="1" ref="F598" ca="1">[1]!s_west_mediannetprofit($B$1,YEAR($A598),$A598,180,1000000)</f>
        <v>-17.239999999999998</v>
      </c>
      <c r="G598" cm="1">
        <f t="array" aca="1" ref="G598" ca="1">[1]!s_west_netprofit($B$1,YEAR($A598)+1,$A598,180,1000000)</f>
        <v>32.172714999999997</v>
      </c>
      <c r="H598" cm="1">
        <f t="array" aca="1" ref="H598" ca="1">[1]!s_west_eps($B$1,YEAR($A598)+1,$A598,180)</f>
        <v>3.6900000000000002E-2</v>
      </c>
      <c r="I598" cm="1">
        <f t="array" aca="1" ref="I598" ca="1">[1]!s_west_instnum_np($B$1,YEAR($A598)+1,$A598,180)</f>
        <v>20</v>
      </c>
      <c r="J598" cm="1">
        <f t="array" aca="1" ref="J598" ca="1">[1]!s_west_stdnetprofit($B$1,YEAR($A598)+1,$A598,180,1000000)</f>
        <v>86.234818000000004</v>
      </c>
      <c r="K598" cm="1">
        <f t="array" aca="1" ref="K598" ca="1">[1]!s_west_mediannetprofit($B$1,YEAR($A597)+1,$A597,180,1000000)</f>
        <v>48.83</v>
      </c>
      <c r="L598" cm="1">
        <f t="array" aca="1" ref="L598" ca="1">[1]!s_dq_close($B$1,$A598,3)</f>
        <v>31.35</v>
      </c>
    </row>
    <row r="599" spans="1:12">
      <c r="A599" s="23">
        <f t="shared" ca="1" si="9"/>
        <v>45576</v>
      </c>
      <c r="B599" cm="1">
        <f t="array" aca="1" ref="B599" ca="1">[1]!s_west_netprofit($B$1,YEAR($A599),$A599,180,1000000)</f>
        <v>-51.932702999999997</v>
      </c>
      <c r="C599" cm="1">
        <f t="array" aca="1" ref="C599" ca="1">[1]!s_west_eps($B$1,YEAR($A599),$A599,180)</f>
        <v>-5.96E-2</v>
      </c>
      <c r="D599" cm="1">
        <f t="array" aca="1" ref="D599" ca="1">[1]!s_west_instnum_np($B$1,YEAR($A599),$A599,180)</f>
        <v>20</v>
      </c>
      <c r="E599" cm="1">
        <f t="array" aca="1" ref="E599" ca="1">[1]!s_west_stdnetprofit($B$1,YEAR($A599),$A599,180,1000000)</f>
        <v>97.606049999999996</v>
      </c>
      <c r="F599" cm="1">
        <f t="array" aca="1" ref="F599" ca="1">[1]!s_west_mediannetprofit($B$1,YEAR($A599),$A599,180,1000000)</f>
        <v>-17.239999999999998</v>
      </c>
      <c r="G599" cm="1">
        <f t="array" aca="1" ref="G599" ca="1">[1]!s_west_netprofit($B$1,YEAR($A599)+1,$A599,180,1000000)</f>
        <v>32.172714999999997</v>
      </c>
      <c r="H599" cm="1">
        <f t="array" aca="1" ref="H599" ca="1">[1]!s_west_eps($B$1,YEAR($A599)+1,$A599,180)</f>
        <v>3.6900000000000002E-2</v>
      </c>
      <c r="I599" cm="1">
        <f t="array" aca="1" ref="I599" ca="1">[1]!s_west_instnum_np($B$1,YEAR($A599)+1,$A599,180)</f>
        <v>20</v>
      </c>
      <c r="J599" cm="1">
        <f t="array" aca="1" ref="J599" ca="1">[1]!s_west_stdnetprofit($B$1,YEAR($A599)+1,$A599,180,1000000)</f>
        <v>86.234818000000004</v>
      </c>
      <c r="K599" cm="1">
        <f t="array" aca="1" ref="K599" ca="1">[1]!s_west_mediannetprofit($B$1,YEAR($A598)+1,$A598,180,1000000)</f>
        <v>48.83</v>
      </c>
      <c r="L599" cm="1">
        <f t="array" aca="1" ref="L599" ca="1">[1]!s_dq_close($B$1,$A599,3)</f>
        <v>31.35</v>
      </c>
    </row>
    <row r="600" spans="1:12">
      <c r="A600" s="23">
        <f t="shared" ca="1" si="9"/>
        <v>45575</v>
      </c>
      <c r="B600" cm="1">
        <f t="array" aca="1" ref="B600" ca="1">[1]!s_west_netprofit($B$1,YEAR($A600),$A600,180,1000000)</f>
        <v>-51.932702999999997</v>
      </c>
      <c r="C600" cm="1">
        <f t="array" aca="1" ref="C600" ca="1">[1]!s_west_eps($B$1,YEAR($A600),$A600,180)</f>
        <v>-5.96E-2</v>
      </c>
      <c r="D600" cm="1">
        <f t="array" aca="1" ref="D600" ca="1">[1]!s_west_instnum_np($B$1,YEAR($A600),$A600,180)</f>
        <v>20</v>
      </c>
      <c r="E600" cm="1">
        <f t="array" aca="1" ref="E600" ca="1">[1]!s_west_stdnetprofit($B$1,YEAR($A600),$A600,180,1000000)</f>
        <v>97.606049999999996</v>
      </c>
      <c r="F600" cm="1">
        <f t="array" aca="1" ref="F600" ca="1">[1]!s_west_mediannetprofit($B$1,YEAR($A600),$A600,180,1000000)</f>
        <v>-17.239999999999998</v>
      </c>
      <c r="G600" cm="1">
        <f t="array" aca="1" ref="G600" ca="1">[1]!s_west_netprofit($B$1,YEAR($A600)+1,$A600,180,1000000)</f>
        <v>32.172714999999997</v>
      </c>
      <c r="H600" cm="1">
        <f t="array" aca="1" ref="H600" ca="1">[1]!s_west_eps($B$1,YEAR($A600)+1,$A600,180)</f>
        <v>3.6900000000000002E-2</v>
      </c>
      <c r="I600" cm="1">
        <f t="array" aca="1" ref="I600" ca="1">[1]!s_west_instnum_np($B$1,YEAR($A600)+1,$A600,180)</f>
        <v>20</v>
      </c>
      <c r="J600" cm="1">
        <f t="array" aca="1" ref="J600" ca="1">[1]!s_west_stdnetprofit($B$1,YEAR($A600)+1,$A600,180,1000000)</f>
        <v>86.234818000000004</v>
      </c>
      <c r="K600" cm="1">
        <f t="array" aca="1" ref="K600" ca="1">[1]!s_west_mediannetprofit($B$1,YEAR($A599)+1,$A599,180,1000000)</f>
        <v>48.83</v>
      </c>
      <c r="L600" cm="1">
        <f t="array" aca="1" ref="L600" ca="1">[1]!s_dq_close($B$1,$A600,3)</f>
        <v>31.35</v>
      </c>
    </row>
    <row r="601" spans="1:12">
      <c r="A601" s="23">
        <f t="shared" ca="1" si="9"/>
        <v>45574</v>
      </c>
      <c r="B601" cm="1">
        <f t="array" aca="1" ref="B601" ca="1">[1]!s_west_netprofit($B$1,YEAR($A601),$A601,180,1000000)</f>
        <v>-51.932702999999997</v>
      </c>
      <c r="C601" cm="1">
        <f t="array" aca="1" ref="C601" ca="1">[1]!s_west_eps($B$1,YEAR($A601),$A601,180)</f>
        <v>-5.96E-2</v>
      </c>
      <c r="D601" cm="1">
        <f t="array" aca="1" ref="D601" ca="1">[1]!s_west_instnum_np($B$1,YEAR($A601),$A601,180)</f>
        <v>20</v>
      </c>
      <c r="E601" cm="1">
        <f t="array" aca="1" ref="E601" ca="1">[1]!s_west_stdnetprofit($B$1,YEAR($A601),$A601,180,1000000)</f>
        <v>97.606049999999996</v>
      </c>
      <c r="F601" cm="1">
        <f t="array" aca="1" ref="F601" ca="1">[1]!s_west_mediannetprofit($B$1,YEAR($A601),$A601,180,1000000)</f>
        <v>-17.239999999999998</v>
      </c>
      <c r="G601" cm="1">
        <f t="array" aca="1" ref="G601" ca="1">[1]!s_west_netprofit($B$1,YEAR($A601)+1,$A601,180,1000000)</f>
        <v>32.172714999999997</v>
      </c>
      <c r="H601" cm="1">
        <f t="array" aca="1" ref="H601" ca="1">[1]!s_west_eps($B$1,YEAR($A601)+1,$A601,180)</f>
        <v>3.6900000000000002E-2</v>
      </c>
      <c r="I601" cm="1">
        <f t="array" aca="1" ref="I601" ca="1">[1]!s_west_instnum_np($B$1,YEAR($A601)+1,$A601,180)</f>
        <v>20</v>
      </c>
      <c r="J601" cm="1">
        <f t="array" aca="1" ref="J601" ca="1">[1]!s_west_stdnetprofit($B$1,YEAR($A601)+1,$A601,180,1000000)</f>
        <v>86.234818000000004</v>
      </c>
      <c r="K601" cm="1">
        <f t="array" aca="1" ref="K601" ca="1">[1]!s_west_mediannetprofit($B$1,YEAR($A600)+1,$A600,180,1000000)</f>
        <v>48.83</v>
      </c>
      <c r="L601" cm="1">
        <f t="array" aca="1" ref="L601" ca="1">[1]!s_dq_close($B$1,$A601,3)</f>
        <v>30.65</v>
      </c>
    </row>
    <row r="602" spans="1:12">
      <c r="A602" s="23">
        <f t="shared" ca="1" si="9"/>
        <v>45573</v>
      </c>
      <c r="B602" cm="1">
        <f t="array" aca="1" ref="B602" ca="1">[1]!s_west_netprofit($B$1,YEAR($A602),$A602,180,1000000)</f>
        <v>-51.932702999999997</v>
      </c>
      <c r="C602" cm="1">
        <f t="array" aca="1" ref="C602" ca="1">[1]!s_west_eps($B$1,YEAR($A602),$A602,180)</f>
        <v>-5.96E-2</v>
      </c>
      <c r="D602" cm="1">
        <f t="array" aca="1" ref="D602" ca="1">[1]!s_west_instnum_np($B$1,YEAR($A602),$A602,180)</f>
        <v>20</v>
      </c>
      <c r="E602" cm="1">
        <f t="array" aca="1" ref="E602" ca="1">[1]!s_west_stdnetprofit($B$1,YEAR($A602),$A602,180,1000000)</f>
        <v>97.606049999999996</v>
      </c>
      <c r="F602" cm="1">
        <f t="array" aca="1" ref="F602" ca="1">[1]!s_west_mediannetprofit($B$1,YEAR($A602),$A602,180,1000000)</f>
        <v>-17.239999999999998</v>
      </c>
      <c r="G602" cm="1">
        <f t="array" aca="1" ref="G602" ca="1">[1]!s_west_netprofit($B$1,YEAR($A602)+1,$A602,180,1000000)</f>
        <v>32.172714999999997</v>
      </c>
      <c r="H602" cm="1">
        <f t="array" aca="1" ref="H602" ca="1">[1]!s_west_eps($B$1,YEAR($A602)+1,$A602,180)</f>
        <v>3.6900000000000002E-2</v>
      </c>
      <c r="I602" cm="1">
        <f t="array" aca="1" ref="I602" ca="1">[1]!s_west_instnum_np($B$1,YEAR($A602)+1,$A602,180)</f>
        <v>20</v>
      </c>
      <c r="J602" cm="1">
        <f t="array" aca="1" ref="J602" ca="1">[1]!s_west_stdnetprofit($B$1,YEAR($A602)+1,$A602,180,1000000)</f>
        <v>86.234818000000004</v>
      </c>
      <c r="K602" cm="1">
        <f t="array" aca="1" ref="K602" ca="1">[1]!s_west_mediannetprofit($B$1,YEAR($A601)+1,$A601,180,1000000)</f>
        <v>48.83</v>
      </c>
      <c r="L602" cm="1">
        <f t="array" aca="1" ref="L602" ca="1">[1]!s_dq_close($B$1,$A602,3)</f>
        <v>31.35</v>
      </c>
    </row>
    <row r="603" spans="1:12">
      <c r="A603" s="23">
        <f t="shared" ca="1" si="9"/>
        <v>45572</v>
      </c>
      <c r="B603" cm="1">
        <f t="array" aca="1" ref="B603" ca="1">[1]!s_west_netprofit($B$1,YEAR($A603),$A603,180,1000000)</f>
        <v>-51.932702999999997</v>
      </c>
      <c r="C603" cm="1">
        <f t="array" aca="1" ref="C603" ca="1">[1]!s_west_eps($B$1,YEAR($A603),$A603,180)</f>
        <v>-5.96E-2</v>
      </c>
      <c r="D603" cm="1">
        <f t="array" aca="1" ref="D603" ca="1">[1]!s_west_instnum_np($B$1,YEAR($A603),$A603,180)</f>
        <v>20</v>
      </c>
      <c r="E603" cm="1">
        <f t="array" aca="1" ref="E603" ca="1">[1]!s_west_stdnetprofit($B$1,YEAR($A603),$A603,180,1000000)</f>
        <v>97.606049999999996</v>
      </c>
      <c r="F603" cm="1">
        <f t="array" aca="1" ref="F603" ca="1">[1]!s_west_mediannetprofit($B$1,YEAR($A603),$A603,180,1000000)</f>
        <v>-17.239999999999998</v>
      </c>
      <c r="G603" cm="1">
        <f t="array" aca="1" ref="G603" ca="1">[1]!s_west_netprofit($B$1,YEAR($A603)+1,$A603,180,1000000)</f>
        <v>32.172714999999997</v>
      </c>
      <c r="H603" cm="1">
        <f t="array" aca="1" ref="H603" ca="1">[1]!s_west_eps($B$1,YEAR($A603)+1,$A603,180)</f>
        <v>3.6900000000000002E-2</v>
      </c>
      <c r="I603" cm="1">
        <f t="array" aca="1" ref="I603" ca="1">[1]!s_west_instnum_np($B$1,YEAR($A603)+1,$A603,180)</f>
        <v>20</v>
      </c>
      <c r="J603" cm="1">
        <f t="array" aca="1" ref="J603" ca="1">[1]!s_west_stdnetprofit($B$1,YEAR($A603)+1,$A603,180,1000000)</f>
        <v>86.234818000000004</v>
      </c>
      <c r="K603" cm="1">
        <f t="array" aca="1" ref="K603" ca="1">[1]!s_west_mediannetprofit($B$1,YEAR($A602)+1,$A602,180,1000000)</f>
        <v>48.83</v>
      </c>
      <c r="L603" cm="1">
        <f t="array" aca="1" ref="L603" ca="1">[1]!s_dq_close($B$1,$A603,3)</f>
        <v>33.4</v>
      </c>
    </row>
    <row r="604" spans="1:12">
      <c r="A604" s="23">
        <f t="shared" ca="1" si="9"/>
        <v>45571</v>
      </c>
      <c r="B604" cm="1">
        <f t="array" aca="1" ref="B604" ca="1">[1]!s_west_netprofit($B$1,YEAR($A604),$A604,180,1000000)</f>
        <v>-51.932702999999997</v>
      </c>
      <c r="C604" cm="1">
        <f t="array" aca="1" ref="C604" ca="1">[1]!s_west_eps($B$1,YEAR($A604),$A604,180)</f>
        <v>-5.96E-2</v>
      </c>
      <c r="D604" cm="1">
        <f t="array" aca="1" ref="D604" ca="1">[1]!s_west_instnum_np($B$1,YEAR($A604),$A604,180)</f>
        <v>20</v>
      </c>
      <c r="E604" cm="1">
        <f t="array" aca="1" ref="E604" ca="1">[1]!s_west_stdnetprofit($B$1,YEAR($A604),$A604,180,1000000)</f>
        <v>97.606049999999996</v>
      </c>
      <c r="F604" cm="1">
        <f t="array" aca="1" ref="F604" ca="1">[1]!s_west_mediannetprofit($B$1,YEAR($A604),$A604,180,1000000)</f>
        <v>-17.239999999999998</v>
      </c>
      <c r="G604" cm="1">
        <f t="array" aca="1" ref="G604" ca="1">[1]!s_west_netprofit($B$1,YEAR($A604)+1,$A604,180,1000000)</f>
        <v>32.172714999999997</v>
      </c>
      <c r="H604" cm="1">
        <f t="array" aca="1" ref="H604" ca="1">[1]!s_west_eps($B$1,YEAR($A604)+1,$A604,180)</f>
        <v>3.6900000000000002E-2</v>
      </c>
      <c r="I604" cm="1">
        <f t="array" aca="1" ref="I604" ca="1">[1]!s_west_instnum_np($B$1,YEAR($A604)+1,$A604,180)</f>
        <v>20</v>
      </c>
      <c r="J604" cm="1">
        <f t="array" aca="1" ref="J604" ca="1">[1]!s_west_stdnetprofit($B$1,YEAR($A604)+1,$A604,180,1000000)</f>
        <v>86.234818000000004</v>
      </c>
      <c r="K604" cm="1">
        <f t="array" aca="1" ref="K604" ca="1">[1]!s_west_mediannetprofit($B$1,YEAR($A603)+1,$A603,180,1000000)</f>
        <v>48.83</v>
      </c>
      <c r="L604" cm="1">
        <f t="array" aca="1" ref="L604" ca="1">[1]!s_dq_close($B$1,$A604,3)</f>
        <v>33.549999999999997</v>
      </c>
    </row>
    <row r="605" spans="1:12">
      <c r="A605" s="23">
        <f t="shared" ca="1" si="9"/>
        <v>45570</v>
      </c>
      <c r="B605" cm="1">
        <f t="array" aca="1" ref="B605" ca="1">[1]!s_west_netprofit($B$1,YEAR($A605),$A605,180,1000000)</f>
        <v>-51.932702999999997</v>
      </c>
      <c r="C605" cm="1">
        <f t="array" aca="1" ref="C605" ca="1">[1]!s_west_eps($B$1,YEAR($A605),$A605,180)</f>
        <v>-5.96E-2</v>
      </c>
      <c r="D605" cm="1">
        <f t="array" aca="1" ref="D605" ca="1">[1]!s_west_instnum_np($B$1,YEAR($A605),$A605,180)</f>
        <v>20</v>
      </c>
      <c r="E605" cm="1">
        <f t="array" aca="1" ref="E605" ca="1">[1]!s_west_stdnetprofit($B$1,YEAR($A605),$A605,180,1000000)</f>
        <v>97.606049999999996</v>
      </c>
      <c r="F605" cm="1">
        <f t="array" aca="1" ref="F605" ca="1">[1]!s_west_mediannetprofit($B$1,YEAR($A605),$A605,180,1000000)</f>
        <v>-17.239999999999998</v>
      </c>
      <c r="G605" cm="1">
        <f t="array" aca="1" ref="G605" ca="1">[1]!s_west_netprofit($B$1,YEAR($A605)+1,$A605,180,1000000)</f>
        <v>32.172714999999997</v>
      </c>
      <c r="H605" cm="1">
        <f t="array" aca="1" ref="H605" ca="1">[1]!s_west_eps($B$1,YEAR($A605)+1,$A605,180)</f>
        <v>3.6900000000000002E-2</v>
      </c>
      <c r="I605" cm="1">
        <f t="array" aca="1" ref="I605" ca="1">[1]!s_west_instnum_np($B$1,YEAR($A605)+1,$A605,180)</f>
        <v>20</v>
      </c>
      <c r="J605" cm="1">
        <f t="array" aca="1" ref="J605" ca="1">[1]!s_west_stdnetprofit($B$1,YEAR($A605)+1,$A605,180,1000000)</f>
        <v>86.234818000000004</v>
      </c>
      <c r="K605" cm="1">
        <f t="array" aca="1" ref="K605" ca="1">[1]!s_west_mediannetprofit($B$1,YEAR($A604)+1,$A604,180,1000000)</f>
        <v>48.83</v>
      </c>
      <c r="L605" cm="1">
        <f t="array" aca="1" ref="L605" ca="1">[1]!s_dq_close($B$1,$A605,3)</f>
        <v>33.549999999999997</v>
      </c>
    </row>
    <row r="606" spans="1:12">
      <c r="A606" s="23">
        <f t="shared" ca="1" si="9"/>
        <v>45569</v>
      </c>
      <c r="B606" cm="1">
        <f t="array" aca="1" ref="B606" ca="1">[1]!s_west_netprofit($B$1,YEAR($A606),$A606,180,1000000)</f>
        <v>-51.932702999999997</v>
      </c>
      <c r="C606" cm="1">
        <f t="array" aca="1" ref="C606" ca="1">[1]!s_west_eps($B$1,YEAR($A606),$A606,180)</f>
        <v>-5.96E-2</v>
      </c>
      <c r="D606" cm="1">
        <f t="array" aca="1" ref="D606" ca="1">[1]!s_west_instnum_np($B$1,YEAR($A606),$A606,180)</f>
        <v>20</v>
      </c>
      <c r="E606" cm="1">
        <f t="array" aca="1" ref="E606" ca="1">[1]!s_west_stdnetprofit($B$1,YEAR($A606),$A606,180,1000000)</f>
        <v>97.606049999999996</v>
      </c>
      <c r="F606" cm="1">
        <f t="array" aca="1" ref="F606" ca="1">[1]!s_west_mediannetprofit($B$1,YEAR($A606),$A606,180,1000000)</f>
        <v>-17.239999999999998</v>
      </c>
      <c r="G606" cm="1">
        <f t="array" aca="1" ref="G606" ca="1">[1]!s_west_netprofit($B$1,YEAR($A606)+1,$A606,180,1000000)</f>
        <v>32.172714999999997</v>
      </c>
      <c r="H606" cm="1">
        <f t="array" aca="1" ref="H606" ca="1">[1]!s_west_eps($B$1,YEAR($A606)+1,$A606,180)</f>
        <v>3.6900000000000002E-2</v>
      </c>
      <c r="I606" cm="1">
        <f t="array" aca="1" ref="I606" ca="1">[1]!s_west_instnum_np($B$1,YEAR($A606)+1,$A606,180)</f>
        <v>20</v>
      </c>
      <c r="J606" cm="1">
        <f t="array" aca="1" ref="J606" ca="1">[1]!s_west_stdnetprofit($B$1,YEAR($A606)+1,$A606,180,1000000)</f>
        <v>86.234818000000004</v>
      </c>
      <c r="K606" cm="1">
        <f t="array" aca="1" ref="K606" ca="1">[1]!s_west_mediannetprofit($B$1,YEAR($A605)+1,$A605,180,1000000)</f>
        <v>48.83</v>
      </c>
      <c r="L606" cm="1">
        <f t="array" aca="1" ref="L606" ca="1">[1]!s_dq_close($B$1,$A606,3)</f>
        <v>33.549999999999997</v>
      </c>
    </row>
    <row r="607" spans="1:12">
      <c r="A607" s="23">
        <f t="shared" ca="1" si="9"/>
        <v>45568</v>
      </c>
      <c r="B607" cm="1">
        <f t="array" aca="1" ref="B607" ca="1">[1]!s_west_netprofit($B$1,YEAR($A607),$A607,180,1000000)</f>
        <v>-51.932702999999997</v>
      </c>
      <c r="C607" cm="1">
        <f t="array" aca="1" ref="C607" ca="1">[1]!s_west_eps($B$1,YEAR($A607),$A607,180)</f>
        <v>-5.96E-2</v>
      </c>
      <c r="D607" cm="1">
        <f t="array" aca="1" ref="D607" ca="1">[1]!s_west_instnum_np($B$1,YEAR($A607),$A607,180)</f>
        <v>20</v>
      </c>
      <c r="E607" cm="1">
        <f t="array" aca="1" ref="E607" ca="1">[1]!s_west_stdnetprofit($B$1,YEAR($A607),$A607,180,1000000)</f>
        <v>97.606049999999996</v>
      </c>
      <c r="F607" cm="1">
        <f t="array" aca="1" ref="F607" ca="1">[1]!s_west_mediannetprofit($B$1,YEAR($A607),$A607,180,1000000)</f>
        <v>-17.239999999999998</v>
      </c>
      <c r="G607" cm="1">
        <f t="array" aca="1" ref="G607" ca="1">[1]!s_west_netprofit($B$1,YEAR($A607)+1,$A607,180,1000000)</f>
        <v>32.172714999999997</v>
      </c>
      <c r="H607" cm="1">
        <f t="array" aca="1" ref="H607" ca="1">[1]!s_west_eps($B$1,YEAR($A607)+1,$A607,180)</f>
        <v>3.6900000000000002E-2</v>
      </c>
      <c r="I607" cm="1">
        <f t="array" aca="1" ref="I607" ca="1">[1]!s_west_instnum_np($B$1,YEAR($A607)+1,$A607,180)</f>
        <v>20</v>
      </c>
      <c r="J607" cm="1">
        <f t="array" aca="1" ref="J607" ca="1">[1]!s_west_stdnetprofit($B$1,YEAR($A607)+1,$A607,180,1000000)</f>
        <v>86.234818000000004</v>
      </c>
      <c r="K607" cm="1">
        <f t="array" aca="1" ref="K607" ca="1">[1]!s_west_mediannetprofit($B$1,YEAR($A606)+1,$A606,180,1000000)</f>
        <v>48.83</v>
      </c>
      <c r="L607" cm="1">
        <f t="array" aca="1" ref="L607" ca="1">[1]!s_dq_close($B$1,$A607,3)</f>
        <v>31.25</v>
      </c>
    </row>
    <row r="608" spans="1:12">
      <c r="A608" s="23">
        <f t="shared" ca="1" si="9"/>
        <v>45567</v>
      </c>
      <c r="B608" cm="1">
        <f t="array" aca="1" ref="B608" ca="1">[1]!s_west_netprofit($B$1,YEAR($A608),$A608,180,1000000)</f>
        <v>-51.932702999999997</v>
      </c>
      <c r="C608" cm="1">
        <f t="array" aca="1" ref="C608" ca="1">[1]!s_west_eps($B$1,YEAR($A608),$A608,180)</f>
        <v>-5.96E-2</v>
      </c>
      <c r="D608" cm="1">
        <f t="array" aca="1" ref="D608" ca="1">[1]!s_west_instnum_np($B$1,YEAR($A608),$A608,180)</f>
        <v>20</v>
      </c>
      <c r="E608" cm="1">
        <f t="array" aca="1" ref="E608" ca="1">[1]!s_west_stdnetprofit($B$1,YEAR($A608),$A608,180,1000000)</f>
        <v>97.606049999999996</v>
      </c>
      <c r="F608" cm="1">
        <f t="array" aca="1" ref="F608" ca="1">[1]!s_west_mediannetprofit($B$1,YEAR($A608),$A608,180,1000000)</f>
        <v>-17.239999999999998</v>
      </c>
      <c r="G608" cm="1">
        <f t="array" aca="1" ref="G608" ca="1">[1]!s_west_netprofit($B$1,YEAR($A608)+1,$A608,180,1000000)</f>
        <v>32.172714999999997</v>
      </c>
      <c r="H608" cm="1">
        <f t="array" aca="1" ref="H608" ca="1">[1]!s_west_eps($B$1,YEAR($A608)+1,$A608,180)</f>
        <v>3.6900000000000002E-2</v>
      </c>
      <c r="I608" cm="1">
        <f t="array" aca="1" ref="I608" ca="1">[1]!s_west_instnum_np($B$1,YEAR($A608)+1,$A608,180)</f>
        <v>20</v>
      </c>
      <c r="J608" cm="1">
        <f t="array" aca="1" ref="J608" ca="1">[1]!s_west_stdnetprofit($B$1,YEAR($A608)+1,$A608,180,1000000)</f>
        <v>86.234818000000004</v>
      </c>
      <c r="K608" cm="1">
        <f t="array" aca="1" ref="K608" ca="1">[1]!s_west_mediannetprofit($B$1,YEAR($A607)+1,$A607,180,1000000)</f>
        <v>48.83</v>
      </c>
      <c r="L608" cm="1">
        <f t="array" aca="1" ref="L608" ca="1">[1]!s_dq_close($B$1,$A608,3)</f>
        <v>33.1</v>
      </c>
    </row>
    <row r="609" spans="1:12">
      <c r="A609" s="23">
        <f t="shared" ca="1" si="9"/>
        <v>45566</v>
      </c>
      <c r="B609" cm="1">
        <f t="array" aca="1" ref="B609" ca="1">[1]!s_west_netprofit($B$1,YEAR($A609),$A609,180,1000000)</f>
        <v>-51.932702999999997</v>
      </c>
      <c r="C609" cm="1">
        <f t="array" aca="1" ref="C609" ca="1">[1]!s_west_eps($B$1,YEAR($A609),$A609,180)</f>
        <v>-5.96E-2</v>
      </c>
      <c r="D609" cm="1">
        <f t="array" aca="1" ref="D609" ca="1">[1]!s_west_instnum_np($B$1,YEAR($A609),$A609,180)</f>
        <v>20</v>
      </c>
      <c r="E609" cm="1">
        <f t="array" aca="1" ref="E609" ca="1">[1]!s_west_stdnetprofit($B$1,YEAR($A609),$A609,180,1000000)</f>
        <v>97.606049999999996</v>
      </c>
      <c r="F609" cm="1">
        <f t="array" aca="1" ref="F609" ca="1">[1]!s_west_mediannetprofit($B$1,YEAR($A609),$A609,180,1000000)</f>
        <v>-17.239999999999998</v>
      </c>
      <c r="G609" cm="1">
        <f t="array" aca="1" ref="G609" ca="1">[1]!s_west_netprofit($B$1,YEAR($A609)+1,$A609,180,1000000)</f>
        <v>32.172714999999997</v>
      </c>
      <c r="H609" cm="1">
        <f t="array" aca="1" ref="H609" ca="1">[1]!s_west_eps($B$1,YEAR($A609)+1,$A609,180)</f>
        <v>3.6900000000000002E-2</v>
      </c>
      <c r="I609" cm="1">
        <f t="array" aca="1" ref="I609" ca="1">[1]!s_west_instnum_np($B$1,YEAR($A609)+1,$A609,180)</f>
        <v>20</v>
      </c>
      <c r="J609" cm="1">
        <f t="array" aca="1" ref="J609" ca="1">[1]!s_west_stdnetprofit($B$1,YEAR($A609)+1,$A609,180,1000000)</f>
        <v>86.234818000000004</v>
      </c>
      <c r="K609" cm="1">
        <f t="array" aca="1" ref="K609" ca="1">[1]!s_west_mediannetprofit($B$1,YEAR($A608)+1,$A608,180,1000000)</f>
        <v>48.83</v>
      </c>
      <c r="L609" cm="1">
        <f t="array" aca="1" ref="L609" ca="1">[1]!s_dq_close($B$1,$A609,3)</f>
        <v>32.200000000000003</v>
      </c>
    </row>
    <row r="610" spans="1:12">
      <c r="A610" s="23">
        <f t="shared" ca="1" si="9"/>
        <v>45565</v>
      </c>
      <c r="B610" cm="1">
        <f t="array" aca="1" ref="B610" ca="1">[1]!s_west_netprofit($B$1,YEAR($A610),$A610,180,1000000)</f>
        <v>-51.932702999999997</v>
      </c>
      <c r="C610" cm="1">
        <f t="array" aca="1" ref="C610" ca="1">[1]!s_west_eps($B$1,YEAR($A610),$A610,180)</f>
        <v>-5.96E-2</v>
      </c>
      <c r="D610" cm="1">
        <f t="array" aca="1" ref="D610" ca="1">[1]!s_west_instnum_np($B$1,YEAR($A610),$A610,180)</f>
        <v>20</v>
      </c>
      <c r="E610" cm="1">
        <f t="array" aca="1" ref="E610" ca="1">[1]!s_west_stdnetprofit($B$1,YEAR($A610),$A610,180,1000000)</f>
        <v>97.606049999999996</v>
      </c>
      <c r="F610" cm="1">
        <f t="array" aca="1" ref="F610" ca="1">[1]!s_west_mediannetprofit($B$1,YEAR($A610),$A610,180,1000000)</f>
        <v>-17.239999999999998</v>
      </c>
      <c r="G610" cm="1">
        <f t="array" aca="1" ref="G610" ca="1">[1]!s_west_netprofit($B$1,YEAR($A610)+1,$A610,180,1000000)</f>
        <v>32.172714999999997</v>
      </c>
      <c r="H610" cm="1">
        <f t="array" aca="1" ref="H610" ca="1">[1]!s_west_eps($B$1,YEAR($A610)+1,$A610,180)</f>
        <v>3.6900000000000002E-2</v>
      </c>
      <c r="I610" cm="1">
        <f t="array" aca="1" ref="I610" ca="1">[1]!s_west_instnum_np($B$1,YEAR($A610)+1,$A610,180)</f>
        <v>20</v>
      </c>
      <c r="J610" cm="1">
        <f t="array" aca="1" ref="J610" ca="1">[1]!s_west_stdnetprofit($B$1,YEAR($A610)+1,$A610,180,1000000)</f>
        <v>86.234818000000004</v>
      </c>
      <c r="K610" cm="1">
        <f t="array" aca="1" ref="K610" ca="1">[1]!s_west_mediannetprofit($B$1,YEAR($A609)+1,$A609,180,1000000)</f>
        <v>48.83</v>
      </c>
      <c r="L610" cm="1">
        <f t="array" aca="1" ref="L610" ca="1">[1]!s_dq_close($B$1,$A610,3)</f>
        <v>32.200000000000003</v>
      </c>
    </row>
    <row r="611" spans="1:12">
      <c r="A611" s="23">
        <f t="shared" ca="1" si="9"/>
        <v>45564</v>
      </c>
      <c r="B611" cm="1">
        <f t="array" aca="1" ref="B611" ca="1">[1]!s_west_netprofit($B$1,YEAR($A611),$A611,180,1000000)</f>
        <v>-51.932702999999997</v>
      </c>
      <c r="C611" cm="1">
        <f t="array" aca="1" ref="C611" ca="1">[1]!s_west_eps($B$1,YEAR($A611),$A611,180)</f>
        <v>-5.96E-2</v>
      </c>
      <c r="D611" cm="1">
        <f t="array" aca="1" ref="D611" ca="1">[1]!s_west_instnum_np($B$1,YEAR($A611),$A611,180)</f>
        <v>20</v>
      </c>
      <c r="E611" cm="1">
        <f t="array" aca="1" ref="E611" ca="1">[1]!s_west_stdnetprofit($B$1,YEAR($A611),$A611,180,1000000)</f>
        <v>97.606049999999996</v>
      </c>
      <c r="F611" cm="1">
        <f t="array" aca="1" ref="F611" ca="1">[1]!s_west_mediannetprofit($B$1,YEAR($A611),$A611,180,1000000)</f>
        <v>-17.239999999999998</v>
      </c>
      <c r="G611" cm="1">
        <f t="array" aca="1" ref="G611" ca="1">[1]!s_west_netprofit($B$1,YEAR($A611)+1,$A611,180,1000000)</f>
        <v>32.172714999999997</v>
      </c>
      <c r="H611" cm="1">
        <f t="array" aca="1" ref="H611" ca="1">[1]!s_west_eps($B$1,YEAR($A611)+1,$A611,180)</f>
        <v>3.6900000000000002E-2</v>
      </c>
      <c r="I611" cm="1">
        <f t="array" aca="1" ref="I611" ca="1">[1]!s_west_instnum_np($B$1,YEAR($A611)+1,$A611,180)</f>
        <v>20</v>
      </c>
      <c r="J611" cm="1">
        <f t="array" aca="1" ref="J611" ca="1">[1]!s_west_stdnetprofit($B$1,YEAR($A611)+1,$A611,180,1000000)</f>
        <v>86.234818000000004</v>
      </c>
      <c r="K611" cm="1">
        <f t="array" aca="1" ref="K611" ca="1">[1]!s_west_mediannetprofit($B$1,YEAR($A610)+1,$A610,180,1000000)</f>
        <v>48.83</v>
      </c>
      <c r="L611" cm="1">
        <f t="array" aca="1" ref="L611" ca="1">[1]!s_dq_close($B$1,$A611,3)</f>
        <v>30.2</v>
      </c>
    </row>
    <row r="612" spans="1:12">
      <c r="A612" s="23">
        <f t="shared" ca="1" si="9"/>
        <v>45563</v>
      </c>
      <c r="B612" cm="1">
        <f t="array" aca="1" ref="B612" ca="1">[1]!s_west_netprofit($B$1,YEAR($A612),$A612,180,1000000)</f>
        <v>-51.932702999999997</v>
      </c>
      <c r="C612" cm="1">
        <f t="array" aca="1" ref="C612" ca="1">[1]!s_west_eps($B$1,YEAR($A612),$A612,180)</f>
        <v>-5.96E-2</v>
      </c>
      <c r="D612" cm="1">
        <f t="array" aca="1" ref="D612" ca="1">[1]!s_west_instnum_np($B$1,YEAR($A612),$A612,180)</f>
        <v>20</v>
      </c>
      <c r="E612" cm="1">
        <f t="array" aca="1" ref="E612" ca="1">[1]!s_west_stdnetprofit($B$1,YEAR($A612),$A612,180,1000000)</f>
        <v>97.606049999999996</v>
      </c>
      <c r="F612" cm="1">
        <f t="array" aca="1" ref="F612" ca="1">[1]!s_west_mediannetprofit($B$1,YEAR($A612),$A612,180,1000000)</f>
        <v>-17.239999999999998</v>
      </c>
      <c r="G612" cm="1">
        <f t="array" aca="1" ref="G612" ca="1">[1]!s_west_netprofit($B$1,YEAR($A612)+1,$A612,180,1000000)</f>
        <v>32.172714999999997</v>
      </c>
      <c r="H612" cm="1">
        <f t="array" aca="1" ref="H612" ca="1">[1]!s_west_eps($B$1,YEAR($A612)+1,$A612,180)</f>
        <v>3.6900000000000002E-2</v>
      </c>
      <c r="I612" cm="1">
        <f t="array" aca="1" ref="I612" ca="1">[1]!s_west_instnum_np($B$1,YEAR($A612)+1,$A612,180)</f>
        <v>20</v>
      </c>
      <c r="J612" cm="1">
        <f t="array" aca="1" ref="J612" ca="1">[1]!s_west_stdnetprofit($B$1,YEAR($A612)+1,$A612,180,1000000)</f>
        <v>86.234818000000004</v>
      </c>
      <c r="K612" cm="1">
        <f t="array" aca="1" ref="K612" ca="1">[1]!s_west_mediannetprofit($B$1,YEAR($A611)+1,$A611,180,1000000)</f>
        <v>48.83</v>
      </c>
      <c r="L612" cm="1">
        <f t="array" aca="1" ref="L612" ca="1">[1]!s_dq_close($B$1,$A612,3)</f>
        <v>30.2</v>
      </c>
    </row>
    <row r="613" spans="1:12">
      <c r="A613" s="23">
        <f t="shared" ca="1" si="9"/>
        <v>45562</v>
      </c>
      <c r="B613" cm="1">
        <f t="array" aca="1" ref="B613" ca="1">[1]!s_west_netprofit($B$1,YEAR($A613),$A613,180,1000000)</f>
        <v>-51.932702999999997</v>
      </c>
      <c r="C613" cm="1">
        <f t="array" aca="1" ref="C613" ca="1">[1]!s_west_eps($B$1,YEAR($A613),$A613,180)</f>
        <v>-5.96E-2</v>
      </c>
      <c r="D613" cm="1">
        <f t="array" aca="1" ref="D613" ca="1">[1]!s_west_instnum_np($B$1,YEAR($A613),$A613,180)</f>
        <v>20</v>
      </c>
      <c r="E613" cm="1">
        <f t="array" aca="1" ref="E613" ca="1">[1]!s_west_stdnetprofit($B$1,YEAR($A613),$A613,180,1000000)</f>
        <v>97.606049999999996</v>
      </c>
      <c r="F613" cm="1">
        <f t="array" aca="1" ref="F613" ca="1">[1]!s_west_mediannetprofit($B$1,YEAR($A613),$A613,180,1000000)</f>
        <v>-17.239999999999998</v>
      </c>
      <c r="G613" cm="1">
        <f t="array" aca="1" ref="G613" ca="1">[1]!s_west_netprofit($B$1,YEAR($A613)+1,$A613,180,1000000)</f>
        <v>32.172714999999997</v>
      </c>
      <c r="H613" cm="1">
        <f t="array" aca="1" ref="H613" ca="1">[1]!s_west_eps($B$1,YEAR($A613)+1,$A613,180)</f>
        <v>3.6900000000000002E-2</v>
      </c>
      <c r="I613" cm="1">
        <f t="array" aca="1" ref="I613" ca="1">[1]!s_west_instnum_np($B$1,YEAR($A613)+1,$A613,180)</f>
        <v>20</v>
      </c>
      <c r="J613" cm="1">
        <f t="array" aca="1" ref="J613" ca="1">[1]!s_west_stdnetprofit($B$1,YEAR($A613)+1,$A613,180,1000000)</f>
        <v>86.234818000000004</v>
      </c>
      <c r="K613" cm="1">
        <f t="array" aca="1" ref="K613" ca="1">[1]!s_west_mediannetprofit($B$1,YEAR($A612)+1,$A612,180,1000000)</f>
        <v>48.83</v>
      </c>
      <c r="L613" cm="1">
        <f t="array" aca="1" ref="L613" ca="1">[1]!s_dq_close($B$1,$A613,3)</f>
        <v>30.2</v>
      </c>
    </row>
    <row r="614" spans="1:12">
      <c r="A614" s="23">
        <f t="shared" ca="1" si="9"/>
        <v>45561</v>
      </c>
      <c r="B614" cm="1">
        <f t="array" aca="1" ref="B614" ca="1">[1]!s_west_netprofit($B$1,YEAR($A614),$A614,180,1000000)</f>
        <v>-51.932702999999997</v>
      </c>
      <c r="C614" cm="1">
        <f t="array" aca="1" ref="C614" ca="1">[1]!s_west_eps($B$1,YEAR($A614),$A614,180)</f>
        <v>-5.96E-2</v>
      </c>
      <c r="D614" cm="1">
        <f t="array" aca="1" ref="D614" ca="1">[1]!s_west_instnum_np($B$1,YEAR($A614),$A614,180)</f>
        <v>20</v>
      </c>
      <c r="E614" cm="1">
        <f t="array" aca="1" ref="E614" ca="1">[1]!s_west_stdnetprofit($B$1,YEAR($A614),$A614,180,1000000)</f>
        <v>97.606049999999996</v>
      </c>
      <c r="F614" cm="1">
        <f t="array" aca="1" ref="F614" ca="1">[1]!s_west_mediannetprofit($B$1,YEAR($A614),$A614,180,1000000)</f>
        <v>-17.239999999999998</v>
      </c>
      <c r="G614" cm="1">
        <f t="array" aca="1" ref="G614" ca="1">[1]!s_west_netprofit($B$1,YEAR($A614)+1,$A614,180,1000000)</f>
        <v>32.172714999999997</v>
      </c>
      <c r="H614" cm="1">
        <f t="array" aca="1" ref="H614" ca="1">[1]!s_west_eps($B$1,YEAR($A614)+1,$A614,180)</f>
        <v>3.6900000000000002E-2</v>
      </c>
      <c r="I614" cm="1">
        <f t="array" aca="1" ref="I614" ca="1">[1]!s_west_instnum_np($B$1,YEAR($A614)+1,$A614,180)</f>
        <v>20</v>
      </c>
      <c r="J614" cm="1">
        <f t="array" aca="1" ref="J614" ca="1">[1]!s_west_stdnetprofit($B$1,YEAR($A614)+1,$A614,180,1000000)</f>
        <v>86.234818000000004</v>
      </c>
      <c r="K614" cm="1">
        <f t="array" aca="1" ref="K614" ca="1">[1]!s_west_mediannetprofit($B$1,YEAR($A613)+1,$A613,180,1000000)</f>
        <v>48.83</v>
      </c>
      <c r="L614" cm="1">
        <f t="array" aca="1" ref="L614" ca="1">[1]!s_dq_close($B$1,$A614,3)</f>
        <v>28.2</v>
      </c>
    </row>
    <row r="615" spans="1:12">
      <c r="A615" s="23">
        <f t="shared" ca="1" si="9"/>
        <v>45560</v>
      </c>
      <c r="B615" cm="1">
        <f t="array" aca="1" ref="B615" ca="1">[1]!s_west_netprofit($B$1,YEAR($A615),$A615,180,1000000)</f>
        <v>-50.980322000000001</v>
      </c>
      <c r="C615" cm="1">
        <f t="array" aca="1" ref="C615" ca="1">[1]!s_west_eps($B$1,YEAR($A615),$A615,180)</f>
        <v>-5.8500000000000003E-2</v>
      </c>
      <c r="D615" cm="1">
        <f t="array" aca="1" ref="D615" ca="1">[1]!s_west_instnum_np($B$1,YEAR($A615),$A615,180)</f>
        <v>20</v>
      </c>
      <c r="E615" cm="1">
        <f t="array" aca="1" ref="E615" ca="1">[1]!s_west_stdnetprofit($B$1,YEAR($A615),$A615,180,1000000)</f>
        <v>98.609604000000004</v>
      </c>
      <c r="F615" cm="1">
        <f t="array" aca="1" ref="F615" ca="1">[1]!s_west_mediannetprofit($B$1,YEAR($A615),$A615,180,1000000)</f>
        <v>-17.239999999999998</v>
      </c>
      <c r="G615" cm="1">
        <f t="array" aca="1" ref="G615" ca="1">[1]!s_west_netprofit($B$1,YEAR($A615)+1,$A615,180,1000000)</f>
        <v>33.125095999999999</v>
      </c>
      <c r="H615" cm="1">
        <f t="array" aca="1" ref="H615" ca="1">[1]!s_west_eps($B$1,YEAR($A615)+1,$A615,180)</f>
        <v>3.7999999999999999E-2</v>
      </c>
      <c r="I615" cm="1">
        <f t="array" aca="1" ref="I615" ca="1">[1]!s_west_instnum_np($B$1,YEAR($A615)+1,$A615,180)</f>
        <v>20</v>
      </c>
      <c r="J615" cm="1">
        <f t="array" aca="1" ref="J615" ca="1">[1]!s_west_stdnetprofit($B$1,YEAR($A615)+1,$A615,180,1000000)</f>
        <v>87.046803999999995</v>
      </c>
      <c r="K615" cm="1">
        <f t="array" aca="1" ref="K615" ca="1">[1]!s_west_mediannetprofit($B$1,YEAR($A614)+1,$A614,180,1000000)</f>
        <v>48.83</v>
      </c>
      <c r="L615" cm="1">
        <f t="array" aca="1" ref="L615" ca="1">[1]!s_dq_close($B$1,$A615,3)</f>
        <v>27.7</v>
      </c>
    </row>
    <row r="616" spans="1:12">
      <c r="A616" s="23">
        <f t="shared" ca="1" si="9"/>
        <v>45559</v>
      </c>
      <c r="B616" cm="1">
        <f t="array" aca="1" ref="B616" ca="1">[1]!s_west_netprofit($B$1,YEAR($A616),$A616,180,1000000)</f>
        <v>-52.879337999999997</v>
      </c>
      <c r="C616" cm="1">
        <f t="array" aca="1" ref="C616" ca="1">[1]!s_west_eps($B$1,YEAR($A616),$A616,180)</f>
        <v>-6.0499999999999998E-2</v>
      </c>
      <c r="D616" cm="1">
        <f t="array" aca="1" ref="D616" ca="1">[1]!s_west_instnum_np($B$1,YEAR($A616),$A616,180)</f>
        <v>19</v>
      </c>
      <c r="E616" cm="1">
        <f t="array" aca="1" ref="E616" ca="1">[1]!s_west_stdnetprofit($B$1,YEAR($A616),$A616,180,1000000)</f>
        <v>100.776577</v>
      </c>
      <c r="F616" cm="1">
        <f t="array" aca="1" ref="F616" ca="1">[1]!s_west_mediannetprofit($B$1,YEAR($A616),$A616,180,1000000)</f>
        <v>-24.605</v>
      </c>
      <c r="G616" cm="1">
        <f t="array" aca="1" ref="G616" ca="1">[1]!s_west_netprofit($B$1,YEAR($A616)+1,$A616,180,1000000)</f>
        <v>32.831350999999998</v>
      </c>
      <c r="H616" cm="1">
        <f t="array" aca="1" ref="H616" ca="1">[1]!s_west_eps($B$1,YEAR($A616)+1,$A616,180)</f>
        <v>3.7699999999999997E-2</v>
      </c>
      <c r="I616" cm="1">
        <f t="array" aca="1" ref="I616" ca="1">[1]!s_west_instnum_np($B$1,YEAR($A616)+1,$A616,180)</f>
        <v>19</v>
      </c>
      <c r="J616" cm="1">
        <f t="array" aca="1" ref="J616" ca="1">[1]!s_west_stdnetprofit($B$1,YEAR($A616)+1,$A616,180,1000000)</f>
        <v>89.297456999999994</v>
      </c>
      <c r="K616" cm="1">
        <f t="array" aca="1" ref="K616" ca="1">[1]!s_west_mediannetprofit($B$1,YEAR($A615)+1,$A615,180,1000000)</f>
        <v>48.83</v>
      </c>
      <c r="L616" cm="1">
        <f t="array" aca="1" ref="L616" ca="1">[1]!s_dq_close($B$1,$A616,3)</f>
        <v>26.65</v>
      </c>
    </row>
    <row r="617" spans="1:12">
      <c r="A617" s="23">
        <f t="shared" ca="1" si="9"/>
        <v>45558</v>
      </c>
      <c r="B617" cm="1">
        <f t="array" aca="1" ref="B617" ca="1">[1]!s_west_netprofit($B$1,YEAR($A617),$A617,180,1000000)</f>
        <v>-52.879337999999997</v>
      </c>
      <c r="C617" cm="1">
        <f t="array" aca="1" ref="C617" ca="1">[1]!s_west_eps($B$1,YEAR($A617),$A617,180)</f>
        <v>-6.0499999999999998E-2</v>
      </c>
      <c r="D617" cm="1">
        <f t="array" aca="1" ref="D617" ca="1">[1]!s_west_instnum_np($B$1,YEAR($A617),$A617,180)</f>
        <v>19</v>
      </c>
      <c r="E617" cm="1">
        <f t="array" aca="1" ref="E617" ca="1">[1]!s_west_stdnetprofit($B$1,YEAR($A617),$A617,180,1000000)</f>
        <v>100.776577</v>
      </c>
      <c r="F617" cm="1">
        <f t="array" aca="1" ref="F617" ca="1">[1]!s_west_mediannetprofit($B$1,YEAR($A617),$A617,180,1000000)</f>
        <v>-24.605</v>
      </c>
      <c r="G617" cm="1">
        <f t="array" aca="1" ref="G617" ca="1">[1]!s_west_netprofit($B$1,YEAR($A617)+1,$A617,180,1000000)</f>
        <v>32.831350999999998</v>
      </c>
      <c r="H617" cm="1">
        <f t="array" aca="1" ref="H617" ca="1">[1]!s_west_eps($B$1,YEAR($A617)+1,$A617,180)</f>
        <v>3.7699999999999997E-2</v>
      </c>
      <c r="I617" cm="1">
        <f t="array" aca="1" ref="I617" ca="1">[1]!s_west_instnum_np($B$1,YEAR($A617)+1,$A617,180)</f>
        <v>19</v>
      </c>
      <c r="J617" cm="1">
        <f t="array" aca="1" ref="J617" ca="1">[1]!s_west_stdnetprofit($B$1,YEAR($A617)+1,$A617,180,1000000)</f>
        <v>89.297456999999994</v>
      </c>
      <c r="K617" cm="1">
        <f t="array" aca="1" ref="K617" ca="1">[1]!s_west_mediannetprofit($B$1,YEAR($A616)+1,$A616,180,1000000)</f>
        <v>50.68</v>
      </c>
      <c r="L617" cm="1">
        <f t="array" aca="1" ref="L617" ca="1">[1]!s_dq_close($B$1,$A617,3)</f>
        <v>25.9</v>
      </c>
    </row>
    <row r="618" spans="1:12">
      <c r="A618" s="23">
        <f t="shared" ca="1" si="9"/>
        <v>45557</v>
      </c>
      <c r="B618" cm="1">
        <f t="array" aca="1" ref="B618" ca="1">[1]!s_west_netprofit($B$1,YEAR($A618),$A618,180,1000000)</f>
        <v>-52.879337999999997</v>
      </c>
      <c r="C618" cm="1">
        <f t="array" aca="1" ref="C618" ca="1">[1]!s_west_eps($B$1,YEAR($A618),$A618,180)</f>
        <v>-6.0499999999999998E-2</v>
      </c>
      <c r="D618" cm="1">
        <f t="array" aca="1" ref="D618" ca="1">[1]!s_west_instnum_np($B$1,YEAR($A618),$A618,180)</f>
        <v>19</v>
      </c>
      <c r="E618" cm="1">
        <f t="array" aca="1" ref="E618" ca="1">[1]!s_west_stdnetprofit($B$1,YEAR($A618),$A618,180,1000000)</f>
        <v>100.776577</v>
      </c>
      <c r="F618" cm="1">
        <f t="array" aca="1" ref="F618" ca="1">[1]!s_west_mediannetprofit($B$1,YEAR($A618),$A618,180,1000000)</f>
        <v>-24.605</v>
      </c>
      <c r="G618" cm="1">
        <f t="array" aca="1" ref="G618" ca="1">[1]!s_west_netprofit($B$1,YEAR($A618)+1,$A618,180,1000000)</f>
        <v>32.831350999999998</v>
      </c>
      <c r="H618" cm="1">
        <f t="array" aca="1" ref="H618" ca="1">[1]!s_west_eps($B$1,YEAR($A618)+1,$A618,180)</f>
        <v>3.7699999999999997E-2</v>
      </c>
      <c r="I618" cm="1">
        <f t="array" aca="1" ref="I618" ca="1">[1]!s_west_instnum_np($B$1,YEAR($A618)+1,$A618,180)</f>
        <v>19</v>
      </c>
      <c r="J618" cm="1">
        <f t="array" aca="1" ref="J618" ca="1">[1]!s_west_stdnetprofit($B$1,YEAR($A618)+1,$A618,180,1000000)</f>
        <v>89.297456999999994</v>
      </c>
      <c r="K618" cm="1">
        <f t="array" aca="1" ref="K618" ca="1">[1]!s_west_mediannetprofit($B$1,YEAR($A617)+1,$A617,180,1000000)</f>
        <v>50.68</v>
      </c>
      <c r="L618" cm="1">
        <f t="array" aca="1" ref="L618" ca="1">[1]!s_dq_close($B$1,$A618,3)</f>
        <v>27.2</v>
      </c>
    </row>
    <row r="619" spans="1:12">
      <c r="A619" s="23">
        <f t="shared" ca="1" si="9"/>
        <v>45556</v>
      </c>
      <c r="B619" cm="1">
        <f t="array" aca="1" ref="B619" ca="1">[1]!s_west_netprofit($B$1,YEAR($A619),$A619,180,1000000)</f>
        <v>-52.879337999999997</v>
      </c>
      <c r="C619" cm="1">
        <f t="array" aca="1" ref="C619" ca="1">[1]!s_west_eps($B$1,YEAR($A619),$A619,180)</f>
        <v>-6.0499999999999998E-2</v>
      </c>
      <c r="D619" cm="1">
        <f t="array" aca="1" ref="D619" ca="1">[1]!s_west_instnum_np($B$1,YEAR($A619),$A619,180)</f>
        <v>19</v>
      </c>
      <c r="E619" cm="1">
        <f t="array" aca="1" ref="E619" ca="1">[1]!s_west_stdnetprofit($B$1,YEAR($A619),$A619,180,1000000)</f>
        <v>100.776577</v>
      </c>
      <c r="F619" cm="1">
        <f t="array" aca="1" ref="F619" ca="1">[1]!s_west_mediannetprofit($B$1,YEAR($A619),$A619,180,1000000)</f>
        <v>-24.605</v>
      </c>
      <c r="G619" cm="1">
        <f t="array" aca="1" ref="G619" ca="1">[1]!s_west_netprofit($B$1,YEAR($A619)+1,$A619,180,1000000)</f>
        <v>32.831350999999998</v>
      </c>
      <c r="H619" cm="1">
        <f t="array" aca="1" ref="H619" ca="1">[1]!s_west_eps($B$1,YEAR($A619)+1,$A619,180)</f>
        <v>3.7699999999999997E-2</v>
      </c>
      <c r="I619" cm="1">
        <f t="array" aca="1" ref="I619" ca="1">[1]!s_west_instnum_np($B$1,YEAR($A619)+1,$A619,180)</f>
        <v>19</v>
      </c>
      <c r="J619" cm="1">
        <f t="array" aca="1" ref="J619" ca="1">[1]!s_west_stdnetprofit($B$1,YEAR($A619)+1,$A619,180,1000000)</f>
        <v>89.297456999999994</v>
      </c>
      <c r="K619" cm="1">
        <f t="array" aca="1" ref="K619" ca="1">[1]!s_west_mediannetprofit($B$1,YEAR($A618)+1,$A618,180,1000000)</f>
        <v>50.68</v>
      </c>
      <c r="L619" cm="1">
        <f t="array" aca="1" ref="L619" ca="1">[1]!s_dq_close($B$1,$A619,3)</f>
        <v>27.2</v>
      </c>
    </row>
    <row r="620" spans="1:12">
      <c r="A620" s="23">
        <f t="shared" ca="1" si="9"/>
        <v>45555</v>
      </c>
      <c r="B620" cm="1">
        <f t="array" aca="1" ref="B620" ca="1">[1]!s_west_netprofit($B$1,YEAR($A620),$A620,180,1000000)</f>
        <v>-52.879337999999997</v>
      </c>
      <c r="C620" cm="1">
        <f t="array" aca="1" ref="C620" ca="1">[1]!s_west_eps($B$1,YEAR($A620),$A620,180)</f>
        <v>-6.0499999999999998E-2</v>
      </c>
      <c r="D620" cm="1">
        <f t="array" aca="1" ref="D620" ca="1">[1]!s_west_instnum_np($B$1,YEAR($A620),$A620,180)</f>
        <v>19</v>
      </c>
      <c r="E620" cm="1">
        <f t="array" aca="1" ref="E620" ca="1">[1]!s_west_stdnetprofit($B$1,YEAR($A620),$A620,180,1000000)</f>
        <v>100.776577</v>
      </c>
      <c r="F620" cm="1">
        <f t="array" aca="1" ref="F620" ca="1">[1]!s_west_mediannetprofit($B$1,YEAR($A620),$A620,180,1000000)</f>
        <v>-24.605</v>
      </c>
      <c r="G620" cm="1">
        <f t="array" aca="1" ref="G620" ca="1">[1]!s_west_netprofit($B$1,YEAR($A620)+1,$A620,180,1000000)</f>
        <v>32.831350999999998</v>
      </c>
      <c r="H620" cm="1">
        <f t="array" aca="1" ref="H620" ca="1">[1]!s_west_eps($B$1,YEAR($A620)+1,$A620,180)</f>
        <v>3.7699999999999997E-2</v>
      </c>
      <c r="I620" cm="1">
        <f t="array" aca="1" ref="I620" ca="1">[1]!s_west_instnum_np($B$1,YEAR($A620)+1,$A620,180)</f>
        <v>19</v>
      </c>
      <c r="J620" cm="1">
        <f t="array" aca="1" ref="J620" ca="1">[1]!s_west_stdnetprofit($B$1,YEAR($A620)+1,$A620,180,1000000)</f>
        <v>89.297456999999994</v>
      </c>
      <c r="K620" cm="1">
        <f t="array" aca="1" ref="K620" ca="1">[1]!s_west_mediannetprofit($B$1,YEAR($A619)+1,$A619,180,1000000)</f>
        <v>50.68</v>
      </c>
      <c r="L620" cm="1">
        <f t="array" aca="1" ref="L620" ca="1">[1]!s_dq_close($B$1,$A620,3)</f>
        <v>27.2</v>
      </c>
    </row>
    <row r="621" spans="1:12">
      <c r="A621" s="23">
        <f t="shared" ca="1" si="9"/>
        <v>45554</v>
      </c>
      <c r="B621" cm="1">
        <f t="array" aca="1" ref="B621" ca="1">[1]!s_west_netprofit($B$1,YEAR($A621),$A621,180,1000000)</f>
        <v>-52.879337999999997</v>
      </c>
      <c r="C621" cm="1">
        <f t="array" aca="1" ref="C621" ca="1">[1]!s_west_eps($B$1,YEAR($A621),$A621,180)</f>
        <v>-6.0499999999999998E-2</v>
      </c>
      <c r="D621" cm="1">
        <f t="array" aca="1" ref="D621" ca="1">[1]!s_west_instnum_np($B$1,YEAR($A621),$A621,180)</f>
        <v>19</v>
      </c>
      <c r="E621" cm="1">
        <f t="array" aca="1" ref="E621" ca="1">[1]!s_west_stdnetprofit($B$1,YEAR($A621),$A621,180,1000000)</f>
        <v>100.776577</v>
      </c>
      <c r="F621" cm="1">
        <f t="array" aca="1" ref="F621" ca="1">[1]!s_west_mediannetprofit($B$1,YEAR($A621),$A621,180,1000000)</f>
        <v>-24.605</v>
      </c>
      <c r="G621" cm="1">
        <f t="array" aca="1" ref="G621" ca="1">[1]!s_west_netprofit($B$1,YEAR($A621)+1,$A621,180,1000000)</f>
        <v>32.831350999999998</v>
      </c>
      <c r="H621" cm="1">
        <f t="array" aca="1" ref="H621" ca="1">[1]!s_west_eps($B$1,YEAR($A621)+1,$A621,180)</f>
        <v>3.7699999999999997E-2</v>
      </c>
      <c r="I621" cm="1">
        <f t="array" aca="1" ref="I621" ca="1">[1]!s_west_instnum_np($B$1,YEAR($A621)+1,$A621,180)</f>
        <v>19</v>
      </c>
      <c r="J621" cm="1">
        <f t="array" aca="1" ref="J621" ca="1">[1]!s_west_stdnetprofit($B$1,YEAR($A621)+1,$A621,180,1000000)</f>
        <v>89.297456999999994</v>
      </c>
      <c r="K621" cm="1">
        <f t="array" aca="1" ref="K621" ca="1">[1]!s_west_mediannetprofit($B$1,YEAR($A620)+1,$A620,180,1000000)</f>
        <v>50.68</v>
      </c>
      <c r="L621" cm="1">
        <f t="array" aca="1" ref="L621" ca="1">[1]!s_dq_close($B$1,$A621,3)</f>
        <v>26.4</v>
      </c>
    </row>
    <row r="622" spans="1:12">
      <c r="A622" s="23">
        <f t="shared" ca="1" si="9"/>
        <v>45553</v>
      </c>
      <c r="B622" cm="1">
        <f t="array" aca="1" ref="B622" ca="1">[1]!s_west_netprofit($B$1,YEAR($A622),$A622,180,1000000)</f>
        <v>-52.879337999999997</v>
      </c>
      <c r="C622" cm="1">
        <f t="array" aca="1" ref="C622" ca="1">[1]!s_west_eps($B$1,YEAR($A622),$A622,180)</f>
        <v>-6.0499999999999998E-2</v>
      </c>
      <c r="D622" cm="1">
        <f t="array" aca="1" ref="D622" ca="1">[1]!s_west_instnum_np($B$1,YEAR($A622),$A622,180)</f>
        <v>19</v>
      </c>
      <c r="E622" cm="1">
        <f t="array" aca="1" ref="E622" ca="1">[1]!s_west_stdnetprofit($B$1,YEAR($A622),$A622,180,1000000)</f>
        <v>100.776577</v>
      </c>
      <c r="F622" cm="1">
        <f t="array" aca="1" ref="F622" ca="1">[1]!s_west_mediannetprofit($B$1,YEAR($A622),$A622,180,1000000)</f>
        <v>-24.605</v>
      </c>
      <c r="G622" cm="1">
        <f t="array" aca="1" ref="G622" ca="1">[1]!s_west_netprofit($B$1,YEAR($A622)+1,$A622,180,1000000)</f>
        <v>32.831350999999998</v>
      </c>
      <c r="H622" cm="1">
        <f t="array" aca="1" ref="H622" ca="1">[1]!s_west_eps($B$1,YEAR($A622)+1,$A622,180)</f>
        <v>3.7699999999999997E-2</v>
      </c>
      <c r="I622" cm="1">
        <f t="array" aca="1" ref="I622" ca="1">[1]!s_west_instnum_np($B$1,YEAR($A622)+1,$A622,180)</f>
        <v>19</v>
      </c>
      <c r="J622" cm="1">
        <f t="array" aca="1" ref="J622" ca="1">[1]!s_west_stdnetprofit($B$1,YEAR($A622)+1,$A622,180,1000000)</f>
        <v>89.297456999999994</v>
      </c>
      <c r="K622" cm="1">
        <f t="array" aca="1" ref="K622" ca="1">[1]!s_west_mediannetprofit($B$1,YEAR($A621)+1,$A621,180,1000000)</f>
        <v>50.68</v>
      </c>
      <c r="L622" cm="1">
        <f t="array" aca="1" ref="L622" ca="1">[1]!s_dq_close($B$1,$A622,3)</f>
        <v>25.85</v>
      </c>
    </row>
    <row r="623" spans="1:12">
      <c r="A623" s="23">
        <f t="shared" ca="1" si="9"/>
        <v>45552</v>
      </c>
      <c r="B623" cm="1">
        <f t="array" aca="1" ref="B623" ca="1">[1]!s_west_netprofit($B$1,YEAR($A623),$A623,180,1000000)</f>
        <v>-52.879337999999997</v>
      </c>
      <c r="C623" cm="1">
        <f t="array" aca="1" ref="C623" ca="1">[1]!s_west_eps($B$1,YEAR($A623),$A623,180)</f>
        <v>-6.0499999999999998E-2</v>
      </c>
      <c r="D623" cm="1">
        <f t="array" aca="1" ref="D623" ca="1">[1]!s_west_instnum_np($B$1,YEAR($A623),$A623,180)</f>
        <v>19</v>
      </c>
      <c r="E623" cm="1">
        <f t="array" aca="1" ref="E623" ca="1">[1]!s_west_stdnetprofit($B$1,YEAR($A623),$A623,180,1000000)</f>
        <v>100.776577</v>
      </c>
      <c r="F623" cm="1">
        <f t="array" aca="1" ref="F623" ca="1">[1]!s_west_mediannetprofit($B$1,YEAR($A623),$A623,180,1000000)</f>
        <v>-24.605</v>
      </c>
      <c r="G623" cm="1">
        <f t="array" aca="1" ref="G623" ca="1">[1]!s_west_netprofit($B$1,YEAR($A623)+1,$A623,180,1000000)</f>
        <v>32.831350999999998</v>
      </c>
      <c r="H623" cm="1">
        <f t="array" aca="1" ref="H623" ca="1">[1]!s_west_eps($B$1,YEAR($A623)+1,$A623,180)</f>
        <v>3.7699999999999997E-2</v>
      </c>
      <c r="I623" cm="1">
        <f t="array" aca="1" ref="I623" ca="1">[1]!s_west_instnum_np($B$1,YEAR($A623)+1,$A623,180)</f>
        <v>19</v>
      </c>
      <c r="J623" cm="1">
        <f t="array" aca="1" ref="J623" ca="1">[1]!s_west_stdnetprofit($B$1,YEAR($A623)+1,$A623,180,1000000)</f>
        <v>89.297456999999994</v>
      </c>
      <c r="K623" cm="1">
        <f t="array" aca="1" ref="K623" ca="1">[1]!s_west_mediannetprofit($B$1,YEAR($A622)+1,$A622,180,1000000)</f>
        <v>50.68</v>
      </c>
      <c r="L623" cm="1">
        <f t="array" aca="1" ref="L623" ca="1">[1]!s_dq_close($B$1,$A623,3)</f>
        <v>25.85</v>
      </c>
    </row>
    <row r="624" spans="1:12">
      <c r="A624" s="23">
        <f t="shared" ca="1" si="9"/>
        <v>45551</v>
      </c>
      <c r="B624" cm="1">
        <f t="array" aca="1" ref="B624" ca="1">[1]!s_west_netprofit($B$1,YEAR($A624),$A624,180,1000000)</f>
        <v>-52.879337999999997</v>
      </c>
      <c r="C624" cm="1">
        <f t="array" aca="1" ref="C624" ca="1">[1]!s_west_eps($B$1,YEAR($A624),$A624,180)</f>
        <v>-6.0499999999999998E-2</v>
      </c>
      <c r="D624" cm="1">
        <f t="array" aca="1" ref="D624" ca="1">[1]!s_west_instnum_np($B$1,YEAR($A624),$A624,180)</f>
        <v>19</v>
      </c>
      <c r="E624" cm="1">
        <f t="array" aca="1" ref="E624" ca="1">[1]!s_west_stdnetprofit($B$1,YEAR($A624),$A624,180,1000000)</f>
        <v>100.776577</v>
      </c>
      <c r="F624" cm="1">
        <f t="array" aca="1" ref="F624" ca="1">[1]!s_west_mediannetprofit($B$1,YEAR($A624),$A624,180,1000000)</f>
        <v>-24.605</v>
      </c>
      <c r="G624" cm="1">
        <f t="array" aca="1" ref="G624" ca="1">[1]!s_west_netprofit($B$1,YEAR($A624)+1,$A624,180,1000000)</f>
        <v>32.831350999999998</v>
      </c>
      <c r="H624" cm="1">
        <f t="array" aca="1" ref="H624" ca="1">[1]!s_west_eps($B$1,YEAR($A624)+1,$A624,180)</f>
        <v>3.7699999999999997E-2</v>
      </c>
      <c r="I624" cm="1">
        <f t="array" aca="1" ref="I624" ca="1">[1]!s_west_instnum_np($B$1,YEAR($A624)+1,$A624,180)</f>
        <v>19</v>
      </c>
      <c r="J624" cm="1">
        <f t="array" aca="1" ref="J624" ca="1">[1]!s_west_stdnetprofit($B$1,YEAR($A624)+1,$A624,180,1000000)</f>
        <v>89.297456999999994</v>
      </c>
      <c r="K624" cm="1">
        <f t="array" aca="1" ref="K624" ca="1">[1]!s_west_mediannetprofit($B$1,YEAR($A623)+1,$A623,180,1000000)</f>
        <v>50.68</v>
      </c>
      <c r="L624" cm="1">
        <f t="array" aca="1" ref="L624" ca="1">[1]!s_dq_close($B$1,$A624,3)</f>
        <v>26.2</v>
      </c>
    </row>
    <row r="625" spans="1:12">
      <c r="A625" s="23">
        <f t="shared" ca="1" si="9"/>
        <v>45550</v>
      </c>
      <c r="B625" cm="1">
        <f t="array" aca="1" ref="B625" ca="1">[1]!s_west_netprofit($B$1,YEAR($A625),$A625,180,1000000)</f>
        <v>-52.879337999999997</v>
      </c>
      <c r="C625" cm="1">
        <f t="array" aca="1" ref="C625" ca="1">[1]!s_west_eps($B$1,YEAR($A625),$A625,180)</f>
        <v>-6.0499999999999998E-2</v>
      </c>
      <c r="D625" cm="1">
        <f t="array" aca="1" ref="D625" ca="1">[1]!s_west_instnum_np($B$1,YEAR($A625),$A625,180)</f>
        <v>19</v>
      </c>
      <c r="E625" cm="1">
        <f t="array" aca="1" ref="E625" ca="1">[1]!s_west_stdnetprofit($B$1,YEAR($A625),$A625,180,1000000)</f>
        <v>100.776577</v>
      </c>
      <c r="F625" cm="1">
        <f t="array" aca="1" ref="F625" ca="1">[1]!s_west_mediannetprofit($B$1,YEAR($A625),$A625,180,1000000)</f>
        <v>-24.605</v>
      </c>
      <c r="G625" cm="1">
        <f t="array" aca="1" ref="G625" ca="1">[1]!s_west_netprofit($B$1,YEAR($A625)+1,$A625,180,1000000)</f>
        <v>32.831350999999998</v>
      </c>
      <c r="H625" cm="1">
        <f t="array" aca="1" ref="H625" ca="1">[1]!s_west_eps($B$1,YEAR($A625)+1,$A625,180)</f>
        <v>3.7699999999999997E-2</v>
      </c>
      <c r="I625" cm="1">
        <f t="array" aca="1" ref="I625" ca="1">[1]!s_west_instnum_np($B$1,YEAR($A625)+1,$A625,180)</f>
        <v>19</v>
      </c>
      <c r="J625" cm="1">
        <f t="array" aca="1" ref="J625" ca="1">[1]!s_west_stdnetprofit($B$1,YEAR($A625)+1,$A625,180,1000000)</f>
        <v>89.297456999999994</v>
      </c>
      <c r="K625" cm="1">
        <f t="array" aca="1" ref="K625" ca="1">[1]!s_west_mediannetprofit($B$1,YEAR($A624)+1,$A624,180,1000000)</f>
        <v>50.68</v>
      </c>
      <c r="L625" cm="1">
        <f t="array" aca="1" ref="L625" ca="1">[1]!s_dq_close($B$1,$A625,3)</f>
        <v>27</v>
      </c>
    </row>
    <row r="626" spans="1:12">
      <c r="A626" s="23">
        <f t="shared" ca="1" si="9"/>
        <v>45549</v>
      </c>
      <c r="B626" cm="1">
        <f t="array" aca="1" ref="B626" ca="1">[1]!s_west_netprofit($B$1,YEAR($A626),$A626,180,1000000)</f>
        <v>-52.879337999999997</v>
      </c>
      <c r="C626" cm="1">
        <f t="array" aca="1" ref="C626" ca="1">[1]!s_west_eps($B$1,YEAR($A626),$A626,180)</f>
        <v>-6.0499999999999998E-2</v>
      </c>
      <c r="D626" cm="1">
        <f t="array" aca="1" ref="D626" ca="1">[1]!s_west_instnum_np($B$1,YEAR($A626),$A626,180)</f>
        <v>19</v>
      </c>
      <c r="E626" cm="1">
        <f t="array" aca="1" ref="E626" ca="1">[1]!s_west_stdnetprofit($B$1,YEAR($A626),$A626,180,1000000)</f>
        <v>100.776577</v>
      </c>
      <c r="F626" cm="1">
        <f t="array" aca="1" ref="F626" ca="1">[1]!s_west_mediannetprofit($B$1,YEAR($A626),$A626,180,1000000)</f>
        <v>-24.605</v>
      </c>
      <c r="G626" cm="1">
        <f t="array" aca="1" ref="G626" ca="1">[1]!s_west_netprofit($B$1,YEAR($A626)+1,$A626,180,1000000)</f>
        <v>32.831350999999998</v>
      </c>
      <c r="H626" cm="1">
        <f t="array" aca="1" ref="H626" ca="1">[1]!s_west_eps($B$1,YEAR($A626)+1,$A626,180)</f>
        <v>3.7699999999999997E-2</v>
      </c>
      <c r="I626" cm="1">
        <f t="array" aca="1" ref="I626" ca="1">[1]!s_west_instnum_np($B$1,YEAR($A626)+1,$A626,180)</f>
        <v>19</v>
      </c>
      <c r="J626" cm="1">
        <f t="array" aca="1" ref="J626" ca="1">[1]!s_west_stdnetprofit($B$1,YEAR($A626)+1,$A626,180,1000000)</f>
        <v>89.297456999999994</v>
      </c>
      <c r="K626" cm="1">
        <f t="array" aca="1" ref="K626" ca="1">[1]!s_west_mediannetprofit($B$1,YEAR($A625)+1,$A625,180,1000000)</f>
        <v>50.68</v>
      </c>
      <c r="L626" cm="1">
        <f t="array" aca="1" ref="L626" ca="1">[1]!s_dq_close($B$1,$A626,3)</f>
        <v>27</v>
      </c>
    </row>
    <row r="627" spans="1:12">
      <c r="A627" s="23">
        <f t="shared" ca="1" si="9"/>
        <v>45548</v>
      </c>
      <c r="B627" cm="1">
        <f t="array" aca="1" ref="B627" ca="1">[1]!s_west_netprofit($B$1,YEAR($A627),$A627,180,1000000)</f>
        <v>-52.879337999999997</v>
      </c>
      <c r="C627" cm="1">
        <f t="array" aca="1" ref="C627" ca="1">[1]!s_west_eps($B$1,YEAR($A627),$A627,180)</f>
        <v>-6.0499999999999998E-2</v>
      </c>
      <c r="D627" cm="1">
        <f t="array" aca="1" ref="D627" ca="1">[1]!s_west_instnum_np($B$1,YEAR($A627),$A627,180)</f>
        <v>19</v>
      </c>
      <c r="E627" cm="1">
        <f t="array" aca="1" ref="E627" ca="1">[1]!s_west_stdnetprofit($B$1,YEAR($A627),$A627,180,1000000)</f>
        <v>100.776577</v>
      </c>
      <c r="F627" cm="1">
        <f t="array" aca="1" ref="F627" ca="1">[1]!s_west_mediannetprofit($B$1,YEAR($A627),$A627,180,1000000)</f>
        <v>-24.605</v>
      </c>
      <c r="G627" cm="1">
        <f t="array" aca="1" ref="G627" ca="1">[1]!s_west_netprofit($B$1,YEAR($A627)+1,$A627,180,1000000)</f>
        <v>32.831350999999998</v>
      </c>
      <c r="H627" cm="1">
        <f t="array" aca="1" ref="H627" ca="1">[1]!s_west_eps($B$1,YEAR($A627)+1,$A627,180)</f>
        <v>3.7699999999999997E-2</v>
      </c>
      <c r="I627" cm="1">
        <f t="array" aca="1" ref="I627" ca="1">[1]!s_west_instnum_np($B$1,YEAR($A627)+1,$A627,180)</f>
        <v>19</v>
      </c>
      <c r="J627" cm="1">
        <f t="array" aca="1" ref="J627" ca="1">[1]!s_west_stdnetprofit($B$1,YEAR($A627)+1,$A627,180,1000000)</f>
        <v>89.297456999999994</v>
      </c>
      <c r="K627" cm="1">
        <f t="array" aca="1" ref="K627" ca="1">[1]!s_west_mediannetprofit($B$1,YEAR($A626)+1,$A626,180,1000000)</f>
        <v>50.68</v>
      </c>
      <c r="L627" cm="1">
        <f t="array" aca="1" ref="L627" ca="1">[1]!s_dq_close($B$1,$A627,3)</f>
        <v>27</v>
      </c>
    </row>
    <row r="628" spans="1:12">
      <c r="A628" s="23">
        <f t="shared" ca="1" si="9"/>
        <v>45547</v>
      </c>
      <c r="B628" cm="1">
        <f t="array" aca="1" ref="B628" ca="1">[1]!s_west_netprofit($B$1,YEAR($A628),$A628,180,1000000)</f>
        <v>-52.879337999999997</v>
      </c>
      <c r="C628" cm="1">
        <f t="array" aca="1" ref="C628" ca="1">[1]!s_west_eps($B$1,YEAR($A628),$A628,180)</f>
        <v>-6.0499999999999998E-2</v>
      </c>
      <c r="D628" cm="1">
        <f t="array" aca="1" ref="D628" ca="1">[1]!s_west_instnum_np($B$1,YEAR($A628),$A628,180)</f>
        <v>19</v>
      </c>
      <c r="E628" cm="1">
        <f t="array" aca="1" ref="E628" ca="1">[1]!s_west_stdnetprofit($B$1,YEAR($A628),$A628,180,1000000)</f>
        <v>100.776577</v>
      </c>
      <c r="F628" cm="1">
        <f t="array" aca="1" ref="F628" ca="1">[1]!s_west_mediannetprofit($B$1,YEAR($A628),$A628,180,1000000)</f>
        <v>-24.605</v>
      </c>
      <c r="G628" cm="1">
        <f t="array" aca="1" ref="G628" ca="1">[1]!s_west_netprofit($B$1,YEAR($A628)+1,$A628,180,1000000)</f>
        <v>32.831350999999998</v>
      </c>
      <c r="H628" cm="1">
        <f t="array" aca="1" ref="H628" ca="1">[1]!s_west_eps($B$1,YEAR($A628)+1,$A628,180)</f>
        <v>3.7699999999999997E-2</v>
      </c>
      <c r="I628" cm="1">
        <f t="array" aca="1" ref="I628" ca="1">[1]!s_west_instnum_np($B$1,YEAR($A628)+1,$A628,180)</f>
        <v>19</v>
      </c>
      <c r="J628" cm="1">
        <f t="array" aca="1" ref="J628" ca="1">[1]!s_west_stdnetprofit($B$1,YEAR($A628)+1,$A628,180,1000000)</f>
        <v>89.297456999999994</v>
      </c>
      <c r="K628" cm="1">
        <f t="array" aca="1" ref="K628" ca="1">[1]!s_west_mediannetprofit($B$1,YEAR($A627)+1,$A627,180,1000000)</f>
        <v>50.68</v>
      </c>
      <c r="L628" cm="1">
        <f t="array" aca="1" ref="L628" ca="1">[1]!s_dq_close($B$1,$A628,3)</f>
        <v>26.15</v>
      </c>
    </row>
    <row r="629" spans="1:12">
      <c r="A629" s="23">
        <f t="shared" ca="1" si="9"/>
        <v>45546</v>
      </c>
      <c r="B629" cm="1">
        <f t="array" aca="1" ref="B629" ca="1">[1]!s_west_netprofit($B$1,YEAR($A629),$A629,180,1000000)</f>
        <v>-52.879337999999997</v>
      </c>
      <c r="C629" cm="1">
        <f t="array" aca="1" ref="C629" ca="1">[1]!s_west_eps($B$1,YEAR($A629),$A629,180)</f>
        <v>-6.0499999999999998E-2</v>
      </c>
      <c r="D629" cm="1">
        <f t="array" aca="1" ref="D629" ca="1">[1]!s_west_instnum_np($B$1,YEAR($A629),$A629,180)</f>
        <v>19</v>
      </c>
      <c r="E629" cm="1">
        <f t="array" aca="1" ref="E629" ca="1">[1]!s_west_stdnetprofit($B$1,YEAR($A629),$A629,180,1000000)</f>
        <v>100.776577</v>
      </c>
      <c r="F629" cm="1">
        <f t="array" aca="1" ref="F629" ca="1">[1]!s_west_mediannetprofit($B$1,YEAR($A629),$A629,180,1000000)</f>
        <v>-24.605</v>
      </c>
      <c r="G629" cm="1">
        <f t="array" aca="1" ref="G629" ca="1">[1]!s_west_netprofit($B$1,YEAR($A629)+1,$A629,180,1000000)</f>
        <v>32.831350999999998</v>
      </c>
      <c r="H629" cm="1">
        <f t="array" aca="1" ref="H629" ca="1">[1]!s_west_eps($B$1,YEAR($A629)+1,$A629,180)</f>
        <v>3.7699999999999997E-2</v>
      </c>
      <c r="I629" cm="1">
        <f t="array" aca="1" ref="I629" ca="1">[1]!s_west_instnum_np($B$1,YEAR($A629)+1,$A629,180)</f>
        <v>19</v>
      </c>
      <c r="J629" cm="1">
        <f t="array" aca="1" ref="J629" ca="1">[1]!s_west_stdnetprofit($B$1,YEAR($A629)+1,$A629,180,1000000)</f>
        <v>89.297456999999994</v>
      </c>
      <c r="K629" cm="1">
        <f t="array" aca="1" ref="K629" ca="1">[1]!s_west_mediannetprofit($B$1,YEAR($A628)+1,$A628,180,1000000)</f>
        <v>50.68</v>
      </c>
      <c r="L629" cm="1">
        <f t="array" aca="1" ref="L629" ca="1">[1]!s_dq_close($B$1,$A629,3)</f>
        <v>26</v>
      </c>
    </row>
    <row r="630" spans="1:12">
      <c r="A630" s="23">
        <f t="shared" ca="1" si="9"/>
        <v>45545</v>
      </c>
      <c r="B630" cm="1">
        <f t="array" aca="1" ref="B630" ca="1">[1]!s_west_netprofit($B$1,YEAR($A630),$A630,180,1000000)</f>
        <v>-52.879337999999997</v>
      </c>
      <c r="C630" cm="1">
        <f t="array" aca="1" ref="C630" ca="1">[1]!s_west_eps($B$1,YEAR($A630),$A630,180)</f>
        <v>-6.0499999999999998E-2</v>
      </c>
      <c r="D630" cm="1">
        <f t="array" aca="1" ref="D630" ca="1">[1]!s_west_instnum_np($B$1,YEAR($A630),$A630,180)</f>
        <v>19</v>
      </c>
      <c r="E630" cm="1">
        <f t="array" aca="1" ref="E630" ca="1">[1]!s_west_stdnetprofit($B$1,YEAR($A630),$A630,180,1000000)</f>
        <v>100.776577</v>
      </c>
      <c r="F630" cm="1">
        <f t="array" aca="1" ref="F630" ca="1">[1]!s_west_mediannetprofit($B$1,YEAR($A630),$A630,180,1000000)</f>
        <v>-24.605</v>
      </c>
      <c r="G630" cm="1">
        <f t="array" aca="1" ref="G630" ca="1">[1]!s_west_netprofit($B$1,YEAR($A630)+1,$A630,180,1000000)</f>
        <v>32.831350999999998</v>
      </c>
      <c r="H630" cm="1">
        <f t="array" aca="1" ref="H630" ca="1">[1]!s_west_eps($B$1,YEAR($A630)+1,$A630,180)</f>
        <v>3.7699999999999997E-2</v>
      </c>
      <c r="I630" cm="1">
        <f t="array" aca="1" ref="I630" ca="1">[1]!s_west_instnum_np($B$1,YEAR($A630)+1,$A630,180)</f>
        <v>19</v>
      </c>
      <c r="J630" cm="1">
        <f t="array" aca="1" ref="J630" ca="1">[1]!s_west_stdnetprofit($B$1,YEAR($A630)+1,$A630,180,1000000)</f>
        <v>89.297456999999994</v>
      </c>
      <c r="K630" cm="1">
        <f t="array" aca="1" ref="K630" ca="1">[1]!s_west_mediannetprofit($B$1,YEAR($A629)+1,$A629,180,1000000)</f>
        <v>50.68</v>
      </c>
      <c r="L630" cm="1">
        <f t="array" aca="1" ref="L630" ca="1">[1]!s_dq_close($B$1,$A630,3)</f>
        <v>25.25</v>
      </c>
    </row>
    <row r="631" spans="1:12">
      <c r="A631" s="23">
        <f t="shared" ca="1" si="9"/>
        <v>45544</v>
      </c>
      <c r="B631" cm="1">
        <f t="array" aca="1" ref="B631" ca="1">[1]!s_west_netprofit($B$1,YEAR($A631),$A631,180,1000000)</f>
        <v>-52.879337999999997</v>
      </c>
      <c r="C631" cm="1">
        <f t="array" aca="1" ref="C631" ca="1">[1]!s_west_eps($B$1,YEAR($A631),$A631,180)</f>
        <v>-6.0499999999999998E-2</v>
      </c>
      <c r="D631" cm="1">
        <f t="array" aca="1" ref="D631" ca="1">[1]!s_west_instnum_np($B$1,YEAR($A631),$A631,180)</f>
        <v>19</v>
      </c>
      <c r="E631" cm="1">
        <f t="array" aca="1" ref="E631" ca="1">[1]!s_west_stdnetprofit($B$1,YEAR($A631),$A631,180,1000000)</f>
        <v>100.776577</v>
      </c>
      <c r="F631" cm="1">
        <f t="array" aca="1" ref="F631" ca="1">[1]!s_west_mediannetprofit($B$1,YEAR($A631),$A631,180,1000000)</f>
        <v>-24.605</v>
      </c>
      <c r="G631" cm="1">
        <f t="array" aca="1" ref="G631" ca="1">[1]!s_west_netprofit($B$1,YEAR($A631)+1,$A631,180,1000000)</f>
        <v>32.831350999999998</v>
      </c>
      <c r="H631" cm="1">
        <f t="array" aca="1" ref="H631" ca="1">[1]!s_west_eps($B$1,YEAR($A631)+1,$A631,180)</f>
        <v>3.7699999999999997E-2</v>
      </c>
      <c r="I631" cm="1">
        <f t="array" aca="1" ref="I631" ca="1">[1]!s_west_instnum_np($B$1,YEAR($A631)+1,$A631,180)</f>
        <v>19</v>
      </c>
      <c r="J631" cm="1">
        <f t="array" aca="1" ref="J631" ca="1">[1]!s_west_stdnetprofit($B$1,YEAR($A631)+1,$A631,180,1000000)</f>
        <v>89.297456999999994</v>
      </c>
      <c r="K631" cm="1">
        <f t="array" aca="1" ref="K631" ca="1">[1]!s_west_mediannetprofit($B$1,YEAR($A630)+1,$A630,180,1000000)</f>
        <v>50.68</v>
      </c>
      <c r="L631" cm="1">
        <f t="array" aca="1" ref="L631" ca="1">[1]!s_dq_close($B$1,$A631,3)</f>
        <v>26.9</v>
      </c>
    </row>
    <row r="632" spans="1:12">
      <c r="A632" s="23">
        <f t="shared" ca="1" si="9"/>
        <v>45543</v>
      </c>
      <c r="B632" cm="1">
        <f t="array" aca="1" ref="B632" ca="1">[1]!s_west_netprofit($B$1,YEAR($A632),$A632,180,1000000)</f>
        <v>-52.879337999999997</v>
      </c>
      <c r="C632" cm="1">
        <f t="array" aca="1" ref="C632" ca="1">[1]!s_west_eps($B$1,YEAR($A632),$A632,180)</f>
        <v>-6.0499999999999998E-2</v>
      </c>
      <c r="D632" cm="1">
        <f t="array" aca="1" ref="D632" ca="1">[1]!s_west_instnum_np($B$1,YEAR($A632),$A632,180)</f>
        <v>19</v>
      </c>
      <c r="E632" cm="1">
        <f t="array" aca="1" ref="E632" ca="1">[1]!s_west_stdnetprofit($B$1,YEAR($A632),$A632,180,1000000)</f>
        <v>100.776577</v>
      </c>
      <c r="F632" cm="1">
        <f t="array" aca="1" ref="F632" ca="1">[1]!s_west_mediannetprofit($B$1,YEAR($A632),$A632,180,1000000)</f>
        <v>-24.605</v>
      </c>
      <c r="G632" cm="1">
        <f t="array" aca="1" ref="G632" ca="1">[1]!s_west_netprofit($B$1,YEAR($A632)+1,$A632,180,1000000)</f>
        <v>32.831350999999998</v>
      </c>
      <c r="H632" cm="1">
        <f t="array" aca="1" ref="H632" ca="1">[1]!s_west_eps($B$1,YEAR($A632)+1,$A632,180)</f>
        <v>3.7699999999999997E-2</v>
      </c>
      <c r="I632" cm="1">
        <f t="array" aca="1" ref="I632" ca="1">[1]!s_west_instnum_np($B$1,YEAR($A632)+1,$A632,180)</f>
        <v>19</v>
      </c>
      <c r="J632" cm="1">
        <f t="array" aca="1" ref="J632" ca="1">[1]!s_west_stdnetprofit($B$1,YEAR($A632)+1,$A632,180,1000000)</f>
        <v>89.297456999999994</v>
      </c>
      <c r="K632" cm="1">
        <f t="array" aca="1" ref="K632" ca="1">[1]!s_west_mediannetprofit($B$1,YEAR($A631)+1,$A631,180,1000000)</f>
        <v>50.68</v>
      </c>
      <c r="L632" cm="1">
        <f t="array" aca="1" ref="L632" ca="1">[1]!s_dq_close($B$1,$A632,3)</f>
        <v>27.9</v>
      </c>
    </row>
    <row r="633" spans="1:12">
      <c r="A633" s="23">
        <f t="shared" ca="1" si="9"/>
        <v>45542</v>
      </c>
      <c r="B633" cm="1">
        <f t="array" aca="1" ref="B633" ca="1">[1]!s_west_netprofit($B$1,YEAR($A633),$A633,180,1000000)</f>
        <v>-52.879337999999997</v>
      </c>
      <c r="C633" cm="1">
        <f t="array" aca="1" ref="C633" ca="1">[1]!s_west_eps($B$1,YEAR($A633),$A633,180)</f>
        <v>-6.0499999999999998E-2</v>
      </c>
      <c r="D633" cm="1">
        <f t="array" aca="1" ref="D633" ca="1">[1]!s_west_instnum_np($B$1,YEAR($A633),$A633,180)</f>
        <v>19</v>
      </c>
      <c r="E633" cm="1">
        <f t="array" aca="1" ref="E633" ca="1">[1]!s_west_stdnetprofit($B$1,YEAR($A633),$A633,180,1000000)</f>
        <v>100.776577</v>
      </c>
      <c r="F633" cm="1">
        <f t="array" aca="1" ref="F633" ca="1">[1]!s_west_mediannetprofit($B$1,YEAR($A633),$A633,180,1000000)</f>
        <v>-24.605</v>
      </c>
      <c r="G633" cm="1">
        <f t="array" aca="1" ref="G633" ca="1">[1]!s_west_netprofit($B$1,YEAR($A633)+1,$A633,180,1000000)</f>
        <v>32.831350999999998</v>
      </c>
      <c r="H633" cm="1">
        <f t="array" aca="1" ref="H633" ca="1">[1]!s_west_eps($B$1,YEAR($A633)+1,$A633,180)</f>
        <v>3.7699999999999997E-2</v>
      </c>
      <c r="I633" cm="1">
        <f t="array" aca="1" ref="I633" ca="1">[1]!s_west_instnum_np($B$1,YEAR($A633)+1,$A633,180)</f>
        <v>19</v>
      </c>
      <c r="J633" cm="1">
        <f t="array" aca="1" ref="J633" ca="1">[1]!s_west_stdnetprofit($B$1,YEAR($A633)+1,$A633,180,1000000)</f>
        <v>89.297456999999994</v>
      </c>
      <c r="K633" cm="1">
        <f t="array" aca="1" ref="K633" ca="1">[1]!s_west_mediannetprofit($B$1,YEAR($A632)+1,$A632,180,1000000)</f>
        <v>50.68</v>
      </c>
      <c r="L633" cm="1">
        <f t="array" aca="1" ref="L633" ca="1">[1]!s_dq_close($B$1,$A633,3)</f>
        <v>27.9</v>
      </c>
    </row>
    <row r="634" spans="1:12">
      <c r="A634" s="23">
        <f t="shared" ca="1" si="9"/>
        <v>45541</v>
      </c>
      <c r="B634" cm="1">
        <f t="array" aca="1" ref="B634" ca="1">[1]!s_west_netprofit($B$1,YEAR($A634),$A634,180,1000000)</f>
        <v>-52.879337999999997</v>
      </c>
      <c r="C634" cm="1">
        <f t="array" aca="1" ref="C634" ca="1">[1]!s_west_eps($B$1,YEAR($A634),$A634,180)</f>
        <v>-6.0499999999999998E-2</v>
      </c>
      <c r="D634" cm="1">
        <f t="array" aca="1" ref="D634" ca="1">[1]!s_west_instnum_np($B$1,YEAR($A634),$A634,180)</f>
        <v>19</v>
      </c>
      <c r="E634" cm="1">
        <f t="array" aca="1" ref="E634" ca="1">[1]!s_west_stdnetprofit($B$1,YEAR($A634),$A634,180,1000000)</f>
        <v>100.776577</v>
      </c>
      <c r="F634" cm="1">
        <f t="array" aca="1" ref="F634" ca="1">[1]!s_west_mediannetprofit($B$1,YEAR($A634),$A634,180,1000000)</f>
        <v>-24.605</v>
      </c>
      <c r="G634" cm="1">
        <f t="array" aca="1" ref="G634" ca="1">[1]!s_west_netprofit($B$1,YEAR($A634)+1,$A634,180,1000000)</f>
        <v>32.831350999999998</v>
      </c>
      <c r="H634" cm="1">
        <f t="array" aca="1" ref="H634" ca="1">[1]!s_west_eps($B$1,YEAR($A634)+1,$A634,180)</f>
        <v>3.7699999999999997E-2</v>
      </c>
      <c r="I634" cm="1">
        <f t="array" aca="1" ref="I634" ca="1">[1]!s_west_instnum_np($B$1,YEAR($A634)+1,$A634,180)</f>
        <v>19</v>
      </c>
      <c r="J634" cm="1">
        <f t="array" aca="1" ref="J634" ca="1">[1]!s_west_stdnetprofit($B$1,YEAR($A634)+1,$A634,180,1000000)</f>
        <v>89.297456999999994</v>
      </c>
      <c r="K634" cm="1">
        <f t="array" aca="1" ref="K634" ca="1">[1]!s_west_mediannetprofit($B$1,YEAR($A633)+1,$A633,180,1000000)</f>
        <v>50.68</v>
      </c>
      <c r="L634" cm="1">
        <f t="array" aca="1" ref="L634" ca="1">[1]!s_dq_close($B$1,$A634,3)</f>
        <v>27.9</v>
      </c>
    </row>
    <row r="635" spans="1:12">
      <c r="A635" s="23">
        <f t="shared" ca="1" si="9"/>
        <v>45540</v>
      </c>
      <c r="B635" cm="1">
        <f t="array" aca="1" ref="B635" ca="1">[1]!s_west_netprofit($B$1,YEAR($A635),$A635,180,1000000)</f>
        <v>-52.879337999999997</v>
      </c>
      <c r="C635" cm="1">
        <f t="array" aca="1" ref="C635" ca="1">[1]!s_west_eps($B$1,YEAR($A635),$A635,180)</f>
        <v>-6.0499999999999998E-2</v>
      </c>
      <c r="D635" cm="1">
        <f t="array" aca="1" ref="D635" ca="1">[1]!s_west_instnum_np($B$1,YEAR($A635),$A635,180)</f>
        <v>19</v>
      </c>
      <c r="E635" cm="1">
        <f t="array" aca="1" ref="E635" ca="1">[1]!s_west_stdnetprofit($B$1,YEAR($A635),$A635,180,1000000)</f>
        <v>100.776577</v>
      </c>
      <c r="F635" cm="1">
        <f t="array" aca="1" ref="F635" ca="1">[1]!s_west_mediannetprofit($B$1,YEAR($A635),$A635,180,1000000)</f>
        <v>-24.605</v>
      </c>
      <c r="G635" cm="1">
        <f t="array" aca="1" ref="G635" ca="1">[1]!s_west_netprofit($B$1,YEAR($A635)+1,$A635,180,1000000)</f>
        <v>32.831350999999998</v>
      </c>
      <c r="H635" cm="1">
        <f t="array" aca="1" ref="H635" ca="1">[1]!s_west_eps($B$1,YEAR($A635)+1,$A635,180)</f>
        <v>3.7699999999999997E-2</v>
      </c>
      <c r="I635" cm="1">
        <f t="array" aca="1" ref="I635" ca="1">[1]!s_west_instnum_np($B$1,YEAR($A635)+1,$A635,180)</f>
        <v>19</v>
      </c>
      <c r="J635" cm="1">
        <f t="array" aca="1" ref="J635" ca="1">[1]!s_west_stdnetprofit($B$1,YEAR($A635)+1,$A635,180,1000000)</f>
        <v>89.297456999999994</v>
      </c>
      <c r="K635" cm="1">
        <f t="array" aca="1" ref="K635" ca="1">[1]!s_west_mediannetprofit($B$1,YEAR($A634)+1,$A634,180,1000000)</f>
        <v>50.68</v>
      </c>
      <c r="L635" cm="1">
        <f t="array" aca="1" ref="L635" ca="1">[1]!s_dq_close($B$1,$A635,3)</f>
        <v>27.9</v>
      </c>
    </row>
    <row r="636" spans="1:12">
      <c r="A636" s="23">
        <f t="shared" ca="1" si="9"/>
        <v>45539</v>
      </c>
      <c r="B636" cm="1">
        <f t="array" aca="1" ref="B636" ca="1">[1]!s_west_netprofit($B$1,YEAR($A636),$A636,180,1000000)</f>
        <v>-52.879337999999997</v>
      </c>
      <c r="C636" cm="1">
        <f t="array" aca="1" ref="C636" ca="1">[1]!s_west_eps($B$1,YEAR($A636),$A636,180)</f>
        <v>-6.0499999999999998E-2</v>
      </c>
      <c r="D636" cm="1">
        <f t="array" aca="1" ref="D636" ca="1">[1]!s_west_instnum_np($B$1,YEAR($A636),$A636,180)</f>
        <v>19</v>
      </c>
      <c r="E636" cm="1">
        <f t="array" aca="1" ref="E636" ca="1">[1]!s_west_stdnetprofit($B$1,YEAR($A636),$A636,180,1000000)</f>
        <v>100.776577</v>
      </c>
      <c r="F636" cm="1">
        <f t="array" aca="1" ref="F636" ca="1">[1]!s_west_mediannetprofit($B$1,YEAR($A636),$A636,180,1000000)</f>
        <v>-24.605</v>
      </c>
      <c r="G636" cm="1">
        <f t="array" aca="1" ref="G636" ca="1">[1]!s_west_netprofit($B$1,YEAR($A636)+1,$A636,180,1000000)</f>
        <v>32.831350999999998</v>
      </c>
      <c r="H636" cm="1">
        <f t="array" aca="1" ref="H636" ca="1">[1]!s_west_eps($B$1,YEAR($A636)+1,$A636,180)</f>
        <v>3.7699999999999997E-2</v>
      </c>
      <c r="I636" cm="1">
        <f t="array" aca="1" ref="I636" ca="1">[1]!s_west_instnum_np($B$1,YEAR($A636)+1,$A636,180)</f>
        <v>19</v>
      </c>
      <c r="J636" cm="1">
        <f t="array" aca="1" ref="J636" ca="1">[1]!s_west_stdnetprofit($B$1,YEAR($A636)+1,$A636,180,1000000)</f>
        <v>89.297456999999994</v>
      </c>
      <c r="K636" cm="1">
        <f t="array" aca="1" ref="K636" ca="1">[1]!s_west_mediannetprofit($B$1,YEAR($A635)+1,$A635,180,1000000)</f>
        <v>50.68</v>
      </c>
      <c r="L636" cm="1">
        <f t="array" aca="1" ref="L636" ca="1">[1]!s_dq_close($B$1,$A636,3)</f>
        <v>27.6</v>
      </c>
    </row>
    <row r="637" spans="1:12">
      <c r="A637" s="23">
        <f t="shared" ca="1" si="9"/>
        <v>45538</v>
      </c>
      <c r="B637" cm="1">
        <f t="array" aca="1" ref="B637" ca="1">[1]!s_west_netprofit($B$1,YEAR($A637),$A637,180,1000000)</f>
        <v>-52.879337999999997</v>
      </c>
      <c r="C637" cm="1">
        <f t="array" aca="1" ref="C637" ca="1">[1]!s_west_eps($B$1,YEAR($A637),$A637,180)</f>
        <v>-6.0499999999999998E-2</v>
      </c>
      <c r="D637" cm="1">
        <f t="array" aca="1" ref="D637" ca="1">[1]!s_west_instnum_np($B$1,YEAR($A637),$A637,180)</f>
        <v>19</v>
      </c>
      <c r="E637" cm="1">
        <f t="array" aca="1" ref="E637" ca="1">[1]!s_west_stdnetprofit($B$1,YEAR($A637),$A637,180,1000000)</f>
        <v>100.776577</v>
      </c>
      <c r="F637" cm="1">
        <f t="array" aca="1" ref="F637" ca="1">[1]!s_west_mediannetprofit($B$1,YEAR($A637),$A637,180,1000000)</f>
        <v>-24.605</v>
      </c>
      <c r="G637" cm="1">
        <f t="array" aca="1" ref="G637" ca="1">[1]!s_west_netprofit($B$1,YEAR($A637)+1,$A637,180,1000000)</f>
        <v>32.831350999999998</v>
      </c>
      <c r="H637" cm="1">
        <f t="array" aca="1" ref="H637" ca="1">[1]!s_west_eps($B$1,YEAR($A637)+1,$A637,180)</f>
        <v>3.7699999999999997E-2</v>
      </c>
      <c r="I637" cm="1">
        <f t="array" aca="1" ref="I637" ca="1">[1]!s_west_instnum_np($B$1,YEAR($A637)+1,$A637,180)</f>
        <v>19</v>
      </c>
      <c r="J637" cm="1">
        <f t="array" aca="1" ref="J637" ca="1">[1]!s_west_stdnetprofit($B$1,YEAR($A637)+1,$A637,180,1000000)</f>
        <v>89.297456999999994</v>
      </c>
      <c r="K637" cm="1">
        <f t="array" aca="1" ref="K637" ca="1">[1]!s_west_mediannetprofit($B$1,YEAR($A636)+1,$A636,180,1000000)</f>
        <v>50.68</v>
      </c>
      <c r="L637" cm="1">
        <f t="array" aca="1" ref="L637" ca="1">[1]!s_dq_close($B$1,$A637,3)</f>
        <v>27.7</v>
      </c>
    </row>
    <row r="638" spans="1:12">
      <c r="A638" s="23">
        <f t="shared" ca="1" si="9"/>
        <v>45537</v>
      </c>
      <c r="B638" cm="1">
        <f t="array" aca="1" ref="B638" ca="1">[1]!s_west_netprofit($B$1,YEAR($A638),$A638,180,1000000)</f>
        <v>-52.879337999999997</v>
      </c>
      <c r="C638" cm="1">
        <f t="array" aca="1" ref="C638" ca="1">[1]!s_west_eps($B$1,YEAR($A638),$A638,180)</f>
        <v>-6.0499999999999998E-2</v>
      </c>
      <c r="D638" cm="1">
        <f t="array" aca="1" ref="D638" ca="1">[1]!s_west_instnum_np($B$1,YEAR($A638),$A638,180)</f>
        <v>19</v>
      </c>
      <c r="E638" cm="1">
        <f t="array" aca="1" ref="E638" ca="1">[1]!s_west_stdnetprofit($B$1,YEAR($A638),$A638,180,1000000)</f>
        <v>100.776577</v>
      </c>
      <c r="F638" cm="1">
        <f t="array" aca="1" ref="F638" ca="1">[1]!s_west_mediannetprofit($B$1,YEAR($A638),$A638,180,1000000)</f>
        <v>-24.605</v>
      </c>
      <c r="G638" cm="1">
        <f t="array" aca="1" ref="G638" ca="1">[1]!s_west_netprofit($B$1,YEAR($A638)+1,$A638,180,1000000)</f>
        <v>32.831350999999998</v>
      </c>
      <c r="H638" cm="1">
        <f t="array" aca="1" ref="H638" ca="1">[1]!s_west_eps($B$1,YEAR($A638)+1,$A638,180)</f>
        <v>3.7699999999999997E-2</v>
      </c>
      <c r="I638" cm="1">
        <f t="array" aca="1" ref="I638" ca="1">[1]!s_west_instnum_np($B$1,YEAR($A638)+1,$A638,180)</f>
        <v>19</v>
      </c>
      <c r="J638" cm="1">
        <f t="array" aca="1" ref="J638" ca="1">[1]!s_west_stdnetprofit($B$1,YEAR($A638)+1,$A638,180,1000000)</f>
        <v>89.297456999999994</v>
      </c>
      <c r="K638" cm="1">
        <f t="array" aca="1" ref="K638" ca="1">[1]!s_west_mediannetprofit($B$1,YEAR($A637)+1,$A637,180,1000000)</f>
        <v>50.68</v>
      </c>
      <c r="L638" cm="1">
        <f t="array" aca="1" ref="L638" ca="1">[1]!s_dq_close($B$1,$A638,3)</f>
        <v>27.85</v>
      </c>
    </row>
    <row r="639" spans="1:12">
      <c r="A639" s="23">
        <f t="shared" ca="1" si="9"/>
        <v>45536</v>
      </c>
      <c r="B639" cm="1">
        <f t="array" aca="1" ref="B639" ca="1">[1]!s_west_netprofit($B$1,YEAR($A639),$A639,180,1000000)</f>
        <v>-52.879337999999997</v>
      </c>
      <c r="C639" cm="1">
        <f t="array" aca="1" ref="C639" ca="1">[1]!s_west_eps($B$1,YEAR($A639),$A639,180)</f>
        <v>-6.0499999999999998E-2</v>
      </c>
      <c r="D639" cm="1">
        <f t="array" aca="1" ref="D639" ca="1">[1]!s_west_instnum_np($B$1,YEAR($A639),$A639,180)</f>
        <v>19</v>
      </c>
      <c r="E639" cm="1">
        <f t="array" aca="1" ref="E639" ca="1">[1]!s_west_stdnetprofit($B$1,YEAR($A639),$A639,180,1000000)</f>
        <v>100.776577</v>
      </c>
      <c r="F639" cm="1">
        <f t="array" aca="1" ref="F639" ca="1">[1]!s_west_mediannetprofit($B$1,YEAR($A639),$A639,180,1000000)</f>
        <v>-24.605</v>
      </c>
      <c r="G639" cm="1">
        <f t="array" aca="1" ref="G639" ca="1">[1]!s_west_netprofit($B$1,YEAR($A639)+1,$A639,180,1000000)</f>
        <v>32.831350999999998</v>
      </c>
      <c r="H639" cm="1">
        <f t="array" aca="1" ref="H639" ca="1">[1]!s_west_eps($B$1,YEAR($A639)+1,$A639,180)</f>
        <v>3.7699999999999997E-2</v>
      </c>
      <c r="I639" cm="1">
        <f t="array" aca="1" ref="I639" ca="1">[1]!s_west_instnum_np($B$1,YEAR($A639)+1,$A639,180)</f>
        <v>19</v>
      </c>
      <c r="J639" cm="1">
        <f t="array" aca="1" ref="J639" ca="1">[1]!s_west_stdnetprofit($B$1,YEAR($A639)+1,$A639,180,1000000)</f>
        <v>89.297456999999994</v>
      </c>
      <c r="K639" cm="1">
        <f t="array" aca="1" ref="K639" ca="1">[1]!s_west_mediannetprofit($B$1,YEAR($A638)+1,$A638,180,1000000)</f>
        <v>50.68</v>
      </c>
      <c r="L639" cm="1">
        <f t="array" aca="1" ref="L639" ca="1">[1]!s_dq_close($B$1,$A639,3)</f>
        <v>27.75</v>
      </c>
    </row>
    <row r="640" spans="1:12">
      <c r="A640" s="23">
        <f t="shared" ca="1" si="9"/>
        <v>45535</v>
      </c>
      <c r="B640" cm="1">
        <f t="array" aca="1" ref="B640" ca="1">[1]!s_west_netprofit($B$1,YEAR($A640),$A640,180,1000000)</f>
        <v>-52.879337999999997</v>
      </c>
      <c r="C640" cm="1">
        <f t="array" aca="1" ref="C640" ca="1">[1]!s_west_eps($B$1,YEAR($A640),$A640,180)</f>
        <v>-6.0499999999999998E-2</v>
      </c>
      <c r="D640" cm="1">
        <f t="array" aca="1" ref="D640" ca="1">[1]!s_west_instnum_np($B$1,YEAR($A640),$A640,180)</f>
        <v>19</v>
      </c>
      <c r="E640" cm="1">
        <f t="array" aca="1" ref="E640" ca="1">[1]!s_west_stdnetprofit($B$1,YEAR($A640),$A640,180,1000000)</f>
        <v>100.776577</v>
      </c>
      <c r="F640" cm="1">
        <f t="array" aca="1" ref="F640" ca="1">[1]!s_west_mediannetprofit($B$1,YEAR($A640),$A640,180,1000000)</f>
        <v>-24.605</v>
      </c>
      <c r="G640" cm="1">
        <f t="array" aca="1" ref="G640" ca="1">[1]!s_west_netprofit($B$1,YEAR($A640)+1,$A640,180,1000000)</f>
        <v>32.831350999999998</v>
      </c>
      <c r="H640" cm="1">
        <f t="array" aca="1" ref="H640" ca="1">[1]!s_west_eps($B$1,YEAR($A640)+1,$A640,180)</f>
        <v>3.7699999999999997E-2</v>
      </c>
      <c r="I640" cm="1">
        <f t="array" aca="1" ref="I640" ca="1">[1]!s_west_instnum_np($B$1,YEAR($A640)+1,$A640,180)</f>
        <v>19</v>
      </c>
      <c r="J640" cm="1">
        <f t="array" aca="1" ref="J640" ca="1">[1]!s_west_stdnetprofit($B$1,YEAR($A640)+1,$A640,180,1000000)</f>
        <v>89.297456999999994</v>
      </c>
      <c r="K640" cm="1">
        <f t="array" aca="1" ref="K640" ca="1">[1]!s_west_mediannetprofit($B$1,YEAR($A639)+1,$A639,180,1000000)</f>
        <v>50.68</v>
      </c>
      <c r="L640" cm="1">
        <f t="array" aca="1" ref="L640" ca="1">[1]!s_dq_close($B$1,$A640,3)</f>
        <v>27.75</v>
      </c>
    </row>
    <row r="641" spans="1:12">
      <c r="A641" s="23">
        <f t="shared" ca="1" si="9"/>
        <v>45534</v>
      </c>
      <c r="B641" cm="1">
        <f t="array" aca="1" ref="B641" ca="1">[1]!s_west_netprofit($B$1,YEAR($A641),$A641,180,1000000)</f>
        <v>-52.879337999999997</v>
      </c>
      <c r="C641" cm="1">
        <f t="array" aca="1" ref="C641" ca="1">[1]!s_west_eps($B$1,YEAR($A641),$A641,180)</f>
        <v>-6.0499999999999998E-2</v>
      </c>
      <c r="D641" cm="1">
        <f t="array" aca="1" ref="D641" ca="1">[1]!s_west_instnum_np($B$1,YEAR($A641),$A641,180)</f>
        <v>19</v>
      </c>
      <c r="E641" cm="1">
        <f t="array" aca="1" ref="E641" ca="1">[1]!s_west_stdnetprofit($B$1,YEAR($A641),$A641,180,1000000)</f>
        <v>100.776577</v>
      </c>
      <c r="F641" cm="1">
        <f t="array" aca="1" ref="F641" ca="1">[1]!s_west_mediannetprofit($B$1,YEAR($A641),$A641,180,1000000)</f>
        <v>-24.605</v>
      </c>
      <c r="G641" cm="1">
        <f t="array" aca="1" ref="G641" ca="1">[1]!s_west_netprofit($B$1,YEAR($A641)+1,$A641,180,1000000)</f>
        <v>32.831350999999998</v>
      </c>
      <c r="H641" cm="1">
        <f t="array" aca="1" ref="H641" ca="1">[1]!s_west_eps($B$1,YEAR($A641)+1,$A641,180)</f>
        <v>3.7699999999999997E-2</v>
      </c>
      <c r="I641" cm="1">
        <f t="array" aca="1" ref="I641" ca="1">[1]!s_west_instnum_np($B$1,YEAR($A641)+1,$A641,180)</f>
        <v>19</v>
      </c>
      <c r="J641" cm="1">
        <f t="array" aca="1" ref="J641" ca="1">[1]!s_west_stdnetprofit($B$1,YEAR($A641)+1,$A641,180,1000000)</f>
        <v>89.297456999999994</v>
      </c>
      <c r="K641" cm="1">
        <f t="array" aca="1" ref="K641" ca="1">[1]!s_west_mediannetprofit($B$1,YEAR($A640)+1,$A640,180,1000000)</f>
        <v>50.68</v>
      </c>
      <c r="L641" cm="1">
        <f t="array" aca="1" ref="L641" ca="1">[1]!s_dq_close($B$1,$A641,3)</f>
        <v>27.75</v>
      </c>
    </row>
    <row r="642" spans="1:12">
      <c r="A642" s="23">
        <f t="shared" ca="1" si="9"/>
        <v>45533</v>
      </c>
      <c r="B642" cm="1">
        <f t="array" aca="1" ref="B642" ca="1">[1]!s_west_netprofit($B$1,YEAR($A642),$A642,180,1000000)</f>
        <v>-52.879337999999997</v>
      </c>
      <c r="C642" cm="1">
        <f t="array" aca="1" ref="C642" ca="1">[1]!s_west_eps($B$1,YEAR($A642),$A642,180)</f>
        <v>-6.0499999999999998E-2</v>
      </c>
      <c r="D642" cm="1">
        <f t="array" aca="1" ref="D642" ca="1">[1]!s_west_instnum_np($B$1,YEAR($A642),$A642,180)</f>
        <v>19</v>
      </c>
      <c r="E642" cm="1">
        <f t="array" aca="1" ref="E642" ca="1">[1]!s_west_stdnetprofit($B$1,YEAR($A642),$A642,180,1000000)</f>
        <v>100.776577</v>
      </c>
      <c r="F642" cm="1">
        <f t="array" aca="1" ref="F642" ca="1">[1]!s_west_mediannetprofit($B$1,YEAR($A642),$A642,180,1000000)</f>
        <v>-24.605</v>
      </c>
      <c r="G642" cm="1">
        <f t="array" aca="1" ref="G642" ca="1">[1]!s_west_netprofit($B$1,YEAR($A642)+1,$A642,180,1000000)</f>
        <v>32.831350999999998</v>
      </c>
      <c r="H642" cm="1">
        <f t="array" aca="1" ref="H642" ca="1">[1]!s_west_eps($B$1,YEAR($A642)+1,$A642,180)</f>
        <v>3.7699999999999997E-2</v>
      </c>
      <c r="I642" cm="1">
        <f t="array" aca="1" ref="I642" ca="1">[1]!s_west_instnum_np($B$1,YEAR($A642)+1,$A642,180)</f>
        <v>19</v>
      </c>
      <c r="J642" cm="1">
        <f t="array" aca="1" ref="J642" ca="1">[1]!s_west_stdnetprofit($B$1,YEAR($A642)+1,$A642,180,1000000)</f>
        <v>89.297456999999994</v>
      </c>
      <c r="K642" cm="1">
        <f t="array" aca="1" ref="K642" ca="1">[1]!s_west_mediannetprofit($B$1,YEAR($A641)+1,$A641,180,1000000)</f>
        <v>50.68</v>
      </c>
      <c r="L642" cm="1">
        <f t="array" aca="1" ref="L642" ca="1">[1]!s_dq_close($B$1,$A642,3)</f>
        <v>27.9</v>
      </c>
    </row>
    <row r="643" spans="1:12">
      <c r="A643" s="23">
        <f t="shared" ca="1" si="9"/>
        <v>45532</v>
      </c>
      <c r="B643" cm="1">
        <f t="array" aca="1" ref="B643" ca="1">[1]!s_west_netprofit($B$1,YEAR($A643),$A643,180,1000000)</f>
        <v>-52.879337999999997</v>
      </c>
      <c r="C643" cm="1">
        <f t="array" aca="1" ref="C643" ca="1">[1]!s_west_eps($B$1,YEAR($A643),$A643,180)</f>
        <v>-6.0499999999999998E-2</v>
      </c>
      <c r="D643" cm="1">
        <f t="array" aca="1" ref="D643" ca="1">[1]!s_west_instnum_np($B$1,YEAR($A643),$A643,180)</f>
        <v>19</v>
      </c>
      <c r="E643" cm="1">
        <f t="array" aca="1" ref="E643" ca="1">[1]!s_west_stdnetprofit($B$1,YEAR($A643),$A643,180,1000000)</f>
        <v>100.776577</v>
      </c>
      <c r="F643" cm="1">
        <f t="array" aca="1" ref="F643" ca="1">[1]!s_west_mediannetprofit($B$1,YEAR($A643),$A643,180,1000000)</f>
        <v>-24.605</v>
      </c>
      <c r="G643" cm="1">
        <f t="array" aca="1" ref="G643" ca="1">[1]!s_west_netprofit($B$1,YEAR($A643)+1,$A643,180,1000000)</f>
        <v>32.831350999999998</v>
      </c>
      <c r="H643" cm="1">
        <f t="array" aca="1" ref="H643" ca="1">[1]!s_west_eps($B$1,YEAR($A643)+1,$A643,180)</f>
        <v>3.7699999999999997E-2</v>
      </c>
      <c r="I643" cm="1">
        <f t="array" aca="1" ref="I643" ca="1">[1]!s_west_instnum_np($B$1,YEAR($A643)+1,$A643,180)</f>
        <v>19</v>
      </c>
      <c r="J643" cm="1">
        <f t="array" aca="1" ref="J643" ca="1">[1]!s_west_stdnetprofit($B$1,YEAR($A643)+1,$A643,180,1000000)</f>
        <v>89.297456999999994</v>
      </c>
      <c r="K643" cm="1">
        <f t="array" aca="1" ref="K643" ca="1">[1]!s_west_mediannetprofit($B$1,YEAR($A642)+1,$A642,180,1000000)</f>
        <v>50.68</v>
      </c>
      <c r="L643" cm="1">
        <f t="array" aca="1" ref="L643" ca="1">[1]!s_dq_close($B$1,$A643,3)</f>
        <v>27.45</v>
      </c>
    </row>
    <row r="644" spans="1:12">
      <c r="A644" s="23">
        <f t="shared" ca="1" si="9"/>
        <v>45531</v>
      </c>
      <c r="B644" cm="1">
        <f t="array" aca="1" ref="B644" ca="1">[1]!s_west_netprofit($B$1,YEAR($A644),$A644,180,1000000)</f>
        <v>-52.879337999999997</v>
      </c>
      <c r="C644" cm="1">
        <f t="array" aca="1" ref="C644" ca="1">[1]!s_west_eps($B$1,YEAR($A644),$A644,180)</f>
        <v>-6.0499999999999998E-2</v>
      </c>
      <c r="D644" cm="1">
        <f t="array" aca="1" ref="D644" ca="1">[1]!s_west_instnum_np($B$1,YEAR($A644),$A644,180)</f>
        <v>19</v>
      </c>
      <c r="E644" cm="1">
        <f t="array" aca="1" ref="E644" ca="1">[1]!s_west_stdnetprofit($B$1,YEAR($A644),$A644,180,1000000)</f>
        <v>100.776577</v>
      </c>
      <c r="F644" cm="1">
        <f t="array" aca="1" ref="F644" ca="1">[1]!s_west_mediannetprofit($B$1,YEAR($A644),$A644,180,1000000)</f>
        <v>-24.605</v>
      </c>
      <c r="G644" cm="1">
        <f t="array" aca="1" ref="G644" ca="1">[1]!s_west_netprofit($B$1,YEAR($A644)+1,$A644,180,1000000)</f>
        <v>32.831350999999998</v>
      </c>
      <c r="H644" cm="1">
        <f t="array" aca="1" ref="H644" ca="1">[1]!s_west_eps($B$1,YEAR($A644)+1,$A644,180)</f>
        <v>3.7699999999999997E-2</v>
      </c>
      <c r="I644" cm="1">
        <f t="array" aca="1" ref="I644" ca="1">[1]!s_west_instnum_np($B$1,YEAR($A644)+1,$A644,180)</f>
        <v>19</v>
      </c>
      <c r="J644" cm="1">
        <f t="array" aca="1" ref="J644" ca="1">[1]!s_west_stdnetprofit($B$1,YEAR($A644)+1,$A644,180,1000000)</f>
        <v>89.297456999999994</v>
      </c>
      <c r="K644" cm="1">
        <f t="array" aca="1" ref="K644" ca="1">[1]!s_west_mediannetprofit($B$1,YEAR($A643)+1,$A643,180,1000000)</f>
        <v>50.68</v>
      </c>
      <c r="L644" cm="1">
        <f t="array" aca="1" ref="L644" ca="1">[1]!s_dq_close($B$1,$A644,3)</f>
        <v>27.4</v>
      </c>
    </row>
    <row r="645" spans="1:12">
      <c r="A645" s="23">
        <f t="shared" ca="1" si="9"/>
        <v>45530</v>
      </c>
      <c r="B645" cm="1">
        <f t="array" aca="1" ref="B645" ca="1">[1]!s_west_netprofit($B$1,YEAR($A645),$A645,180,1000000)</f>
        <v>-52.879337999999997</v>
      </c>
      <c r="C645" cm="1">
        <f t="array" aca="1" ref="C645" ca="1">[1]!s_west_eps($B$1,YEAR($A645),$A645,180)</f>
        <v>-6.0499999999999998E-2</v>
      </c>
      <c r="D645" cm="1">
        <f t="array" aca="1" ref="D645" ca="1">[1]!s_west_instnum_np($B$1,YEAR($A645),$A645,180)</f>
        <v>19</v>
      </c>
      <c r="E645" cm="1">
        <f t="array" aca="1" ref="E645" ca="1">[1]!s_west_stdnetprofit($B$1,YEAR($A645),$A645,180,1000000)</f>
        <v>100.776577</v>
      </c>
      <c r="F645" cm="1">
        <f t="array" aca="1" ref="F645" ca="1">[1]!s_west_mediannetprofit($B$1,YEAR($A645),$A645,180,1000000)</f>
        <v>-24.605</v>
      </c>
      <c r="G645" cm="1">
        <f t="array" aca="1" ref="G645" ca="1">[1]!s_west_netprofit($B$1,YEAR($A645)+1,$A645,180,1000000)</f>
        <v>32.831350999999998</v>
      </c>
      <c r="H645" cm="1">
        <f t="array" aca="1" ref="H645" ca="1">[1]!s_west_eps($B$1,YEAR($A645)+1,$A645,180)</f>
        <v>3.7699999999999997E-2</v>
      </c>
      <c r="I645" cm="1">
        <f t="array" aca="1" ref="I645" ca="1">[1]!s_west_instnum_np($B$1,YEAR($A645)+1,$A645,180)</f>
        <v>19</v>
      </c>
      <c r="J645" cm="1">
        <f t="array" aca="1" ref="J645" ca="1">[1]!s_west_stdnetprofit($B$1,YEAR($A645)+1,$A645,180,1000000)</f>
        <v>89.297456999999994</v>
      </c>
      <c r="K645" cm="1">
        <f t="array" aca="1" ref="K645" ca="1">[1]!s_west_mediannetprofit($B$1,YEAR($A644)+1,$A644,180,1000000)</f>
        <v>50.68</v>
      </c>
      <c r="L645" cm="1">
        <f t="array" aca="1" ref="L645" ca="1">[1]!s_dq_close($B$1,$A645,3)</f>
        <v>27.3</v>
      </c>
    </row>
    <row r="646" spans="1:12">
      <c r="A646" s="23">
        <f t="shared" ca="1" si="9"/>
        <v>45529</v>
      </c>
      <c r="B646" cm="1">
        <f t="array" aca="1" ref="B646" ca="1">[1]!s_west_netprofit($B$1,YEAR($A646),$A646,180,1000000)</f>
        <v>-52.879337999999997</v>
      </c>
      <c r="C646" cm="1">
        <f t="array" aca="1" ref="C646" ca="1">[1]!s_west_eps($B$1,YEAR($A646),$A646,180)</f>
        <v>-6.0499999999999998E-2</v>
      </c>
      <c r="D646" cm="1">
        <f t="array" aca="1" ref="D646" ca="1">[1]!s_west_instnum_np($B$1,YEAR($A646),$A646,180)</f>
        <v>19</v>
      </c>
      <c r="E646" cm="1">
        <f t="array" aca="1" ref="E646" ca="1">[1]!s_west_stdnetprofit($B$1,YEAR($A646),$A646,180,1000000)</f>
        <v>100.776577</v>
      </c>
      <c r="F646" cm="1">
        <f t="array" aca="1" ref="F646" ca="1">[1]!s_west_mediannetprofit($B$1,YEAR($A646),$A646,180,1000000)</f>
        <v>-24.605</v>
      </c>
      <c r="G646" cm="1">
        <f t="array" aca="1" ref="G646" ca="1">[1]!s_west_netprofit($B$1,YEAR($A646)+1,$A646,180,1000000)</f>
        <v>32.831350999999998</v>
      </c>
      <c r="H646" cm="1">
        <f t="array" aca="1" ref="H646" ca="1">[1]!s_west_eps($B$1,YEAR($A646)+1,$A646,180)</f>
        <v>3.7699999999999997E-2</v>
      </c>
      <c r="I646" cm="1">
        <f t="array" aca="1" ref="I646" ca="1">[1]!s_west_instnum_np($B$1,YEAR($A646)+1,$A646,180)</f>
        <v>19</v>
      </c>
      <c r="J646" cm="1">
        <f t="array" aca="1" ref="J646" ca="1">[1]!s_west_stdnetprofit($B$1,YEAR($A646)+1,$A646,180,1000000)</f>
        <v>89.297456999999994</v>
      </c>
      <c r="K646" cm="1">
        <f t="array" aca="1" ref="K646" ca="1">[1]!s_west_mediannetprofit($B$1,YEAR($A645)+1,$A645,180,1000000)</f>
        <v>50.68</v>
      </c>
      <c r="L646" cm="1">
        <f t="array" aca="1" ref="L646" ca="1">[1]!s_dq_close($B$1,$A646,3)</f>
        <v>26.95</v>
      </c>
    </row>
    <row r="647" spans="1:12">
      <c r="A647" s="23">
        <f t="shared" ca="1" si="9"/>
        <v>45528</v>
      </c>
      <c r="B647" cm="1">
        <f t="array" aca="1" ref="B647" ca="1">[1]!s_west_netprofit($B$1,YEAR($A647),$A647,180,1000000)</f>
        <v>-52.879337999999997</v>
      </c>
      <c r="C647" cm="1">
        <f t="array" aca="1" ref="C647" ca="1">[1]!s_west_eps($B$1,YEAR($A647),$A647,180)</f>
        <v>-6.0499999999999998E-2</v>
      </c>
      <c r="D647" cm="1">
        <f t="array" aca="1" ref="D647" ca="1">[1]!s_west_instnum_np($B$1,YEAR($A647),$A647,180)</f>
        <v>19</v>
      </c>
      <c r="E647" cm="1">
        <f t="array" aca="1" ref="E647" ca="1">[1]!s_west_stdnetprofit($B$1,YEAR($A647),$A647,180,1000000)</f>
        <v>100.776577</v>
      </c>
      <c r="F647" cm="1">
        <f t="array" aca="1" ref="F647" ca="1">[1]!s_west_mediannetprofit($B$1,YEAR($A647),$A647,180,1000000)</f>
        <v>-24.605</v>
      </c>
      <c r="G647" cm="1">
        <f t="array" aca="1" ref="G647" ca="1">[1]!s_west_netprofit($B$1,YEAR($A647)+1,$A647,180,1000000)</f>
        <v>32.831350999999998</v>
      </c>
      <c r="H647" cm="1">
        <f t="array" aca="1" ref="H647" ca="1">[1]!s_west_eps($B$1,YEAR($A647)+1,$A647,180)</f>
        <v>3.7699999999999997E-2</v>
      </c>
      <c r="I647" cm="1">
        <f t="array" aca="1" ref="I647" ca="1">[1]!s_west_instnum_np($B$1,YEAR($A647)+1,$A647,180)</f>
        <v>19</v>
      </c>
      <c r="J647" cm="1">
        <f t="array" aca="1" ref="J647" ca="1">[1]!s_west_stdnetprofit($B$1,YEAR($A647)+1,$A647,180,1000000)</f>
        <v>89.297456999999994</v>
      </c>
      <c r="K647" cm="1">
        <f t="array" aca="1" ref="K647" ca="1">[1]!s_west_mediannetprofit($B$1,YEAR($A646)+1,$A646,180,1000000)</f>
        <v>50.68</v>
      </c>
      <c r="L647" cm="1">
        <f t="array" aca="1" ref="L647" ca="1">[1]!s_dq_close($B$1,$A647,3)</f>
        <v>26.95</v>
      </c>
    </row>
    <row r="648" spans="1:12">
      <c r="A648" s="23">
        <f t="shared" ca="1" si="9"/>
        <v>45527</v>
      </c>
      <c r="B648" cm="1">
        <f t="array" aca="1" ref="B648" ca="1">[1]!s_west_netprofit($B$1,YEAR($A648),$A648,180,1000000)</f>
        <v>-52.879337999999997</v>
      </c>
      <c r="C648" cm="1">
        <f t="array" aca="1" ref="C648" ca="1">[1]!s_west_eps($B$1,YEAR($A648),$A648,180)</f>
        <v>-6.0499999999999998E-2</v>
      </c>
      <c r="D648" cm="1">
        <f t="array" aca="1" ref="D648" ca="1">[1]!s_west_instnum_np($B$1,YEAR($A648),$A648,180)</f>
        <v>19</v>
      </c>
      <c r="E648" cm="1">
        <f t="array" aca="1" ref="E648" ca="1">[1]!s_west_stdnetprofit($B$1,YEAR($A648),$A648,180,1000000)</f>
        <v>100.776577</v>
      </c>
      <c r="F648" cm="1">
        <f t="array" aca="1" ref="F648" ca="1">[1]!s_west_mediannetprofit($B$1,YEAR($A648),$A648,180,1000000)</f>
        <v>-24.605</v>
      </c>
      <c r="G648" cm="1">
        <f t="array" aca="1" ref="G648" ca="1">[1]!s_west_netprofit($B$1,YEAR($A648)+1,$A648,180,1000000)</f>
        <v>32.831350999999998</v>
      </c>
      <c r="H648" cm="1">
        <f t="array" aca="1" ref="H648" ca="1">[1]!s_west_eps($B$1,YEAR($A648)+1,$A648,180)</f>
        <v>3.7699999999999997E-2</v>
      </c>
      <c r="I648" cm="1">
        <f t="array" aca="1" ref="I648" ca="1">[1]!s_west_instnum_np($B$1,YEAR($A648)+1,$A648,180)</f>
        <v>19</v>
      </c>
      <c r="J648" cm="1">
        <f t="array" aca="1" ref="J648" ca="1">[1]!s_west_stdnetprofit($B$1,YEAR($A648)+1,$A648,180,1000000)</f>
        <v>89.297456999999994</v>
      </c>
      <c r="K648" cm="1">
        <f t="array" aca="1" ref="K648" ca="1">[1]!s_west_mediannetprofit($B$1,YEAR($A647)+1,$A647,180,1000000)</f>
        <v>50.68</v>
      </c>
      <c r="L648" cm="1">
        <f t="array" aca="1" ref="L648" ca="1">[1]!s_dq_close($B$1,$A648,3)</f>
        <v>26.95</v>
      </c>
    </row>
    <row r="649" spans="1:12">
      <c r="A649" s="23">
        <f t="shared" ca="1" si="9"/>
        <v>45526</v>
      </c>
      <c r="B649" cm="1">
        <f t="array" aca="1" ref="B649" ca="1">[1]!s_west_netprofit($B$1,YEAR($A649),$A649,180,1000000)</f>
        <v>-52.879337999999997</v>
      </c>
      <c r="C649" cm="1">
        <f t="array" aca="1" ref="C649" ca="1">[1]!s_west_eps($B$1,YEAR($A649),$A649,180)</f>
        <v>-6.0499999999999998E-2</v>
      </c>
      <c r="D649" cm="1">
        <f t="array" aca="1" ref="D649" ca="1">[1]!s_west_instnum_np($B$1,YEAR($A649),$A649,180)</f>
        <v>19</v>
      </c>
      <c r="E649" cm="1">
        <f t="array" aca="1" ref="E649" ca="1">[1]!s_west_stdnetprofit($B$1,YEAR($A649),$A649,180,1000000)</f>
        <v>100.776577</v>
      </c>
      <c r="F649" cm="1">
        <f t="array" aca="1" ref="F649" ca="1">[1]!s_west_mediannetprofit($B$1,YEAR($A649),$A649,180,1000000)</f>
        <v>-24.605</v>
      </c>
      <c r="G649" cm="1">
        <f t="array" aca="1" ref="G649" ca="1">[1]!s_west_netprofit($B$1,YEAR($A649)+1,$A649,180,1000000)</f>
        <v>32.831350999999998</v>
      </c>
      <c r="H649" cm="1">
        <f t="array" aca="1" ref="H649" ca="1">[1]!s_west_eps($B$1,YEAR($A649)+1,$A649,180)</f>
        <v>3.7699999999999997E-2</v>
      </c>
      <c r="I649" cm="1">
        <f t="array" aca="1" ref="I649" ca="1">[1]!s_west_instnum_np($B$1,YEAR($A649)+1,$A649,180)</f>
        <v>19</v>
      </c>
      <c r="J649" cm="1">
        <f t="array" aca="1" ref="J649" ca="1">[1]!s_west_stdnetprofit($B$1,YEAR($A649)+1,$A649,180,1000000)</f>
        <v>89.297456999999994</v>
      </c>
      <c r="K649" cm="1">
        <f t="array" aca="1" ref="K649" ca="1">[1]!s_west_mediannetprofit($B$1,YEAR($A648)+1,$A648,180,1000000)</f>
        <v>50.68</v>
      </c>
      <c r="L649" cm="1">
        <f t="array" aca="1" ref="L649" ca="1">[1]!s_dq_close($B$1,$A649,3)</f>
        <v>28.35</v>
      </c>
    </row>
    <row r="650" spans="1:12">
      <c r="A650" s="23">
        <f t="shared" ca="1" si="9"/>
        <v>45525</v>
      </c>
      <c r="B650" cm="1">
        <f t="array" aca="1" ref="B650" ca="1">[1]!s_west_netprofit($B$1,YEAR($A650),$A650,180,1000000)</f>
        <v>-52.879337999999997</v>
      </c>
      <c r="C650" cm="1">
        <f t="array" aca="1" ref="C650" ca="1">[1]!s_west_eps($B$1,YEAR($A650),$A650,180)</f>
        <v>-6.0499999999999998E-2</v>
      </c>
      <c r="D650" cm="1">
        <f t="array" aca="1" ref="D650" ca="1">[1]!s_west_instnum_np($B$1,YEAR($A650),$A650,180)</f>
        <v>19</v>
      </c>
      <c r="E650" cm="1">
        <f t="array" aca="1" ref="E650" ca="1">[1]!s_west_stdnetprofit($B$1,YEAR($A650),$A650,180,1000000)</f>
        <v>100.776577</v>
      </c>
      <c r="F650" cm="1">
        <f t="array" aca="1" ref="F650" ca="1">[1]!s_west_mediannetprofit($B$1,YEAR($A650),$A650,180,1000000)</f>
        <v>-24.605</v>
      </c>
      <c r="G650" cm="1">
        <f t="array" aca="1" ref="G650" ca="1">[1]!s_west_netprofit($B$1,YEAR($A650)+1,$A650,180,1000000)</f>
        <v>32.831350999999998</v>
      </c>
      <c r="H650" cm="1">
        <f t="array" aca="1" ref="H650" ca="1">[1]!s_west_eps($B$1,YEAR($A650)+1,$A650,180)</f>
        <v>3.7699999999999997E-2</v>
      </c>
      <c r="I650" cm="1">
        <f t="array" aca="1" ref="I650" ca="1">[1]!s_west_instnum_np($B$1,YEAR($A650)+1,$A650,180)</f>
        <v>19</v>
      </c>
      <c r="J650" cm="1">
        <f t="array" aca="1" ref="J650" ca="1">[1]!s_west_stdnetprofit($B$1,YEAR($A650)+1,$A650,180,1000000)</f>
        <v>89.297456999999994</v>
      </c>
      <c r="K650" cm="1">
        <f t="array" aca="1" ref="K650" ca="1">[1]!s_west_mediannetprofit($B$1,YEAR($A649)+1,$A649,180,1000000)</f>
        <v>50.68</v>
      </c>
      <c r="L650" cm="1">
        <f t="array" aca="1" ref="L650" ca="1">[1]!s_dq_close($B$1,$A650,3)</f>
        <v>28.15</v>
      </c>
    </row>
    <row r="651" spans="1:12">
      <c r="A651" s="23">
        <f t="shared" ca="1" si="9"/>
        <v>45524</v>
      </c>
      <c r="B651" cm="1">
        <f t="array" aca="1" ref="B651" ca="1">[1]!s_west_netprofit($B$1,YEAR($A651),$A651,180,1000000)</f>
        <v>-53.97983</v>
      </c>
      <c r="C651" cm="1">
        <f t="array" aca="1" ref="C651" ca="1">[1]!s_west_eps($B$1,YEAR($A651),$A651,180)</f>
        <v>-6.1499999999999999E-2</v>
      </c>
      <c r="D651" cm="1">
        <f t="array" aca="1" ref="D651" ca="1">[1]!s_west_instnum_np($B$1,YEAR($A651),$A651,180)</f>
        <v>18</v>
      </c>
      <c r="E651" cm="1">
        <f t="array" aca="1" ref="E651" ca="1">[1]!s_west_stdnetprofit($B$1,YEAR($A651),$A651,180,1000000)</f>
        <v>103.41454899999999</v>
      </c>
      <c r="F651" cm="1">
        <f t="array" aca="1" ref="F651" ca="1">[1]!s_west_mediannetprofit($B$1,YEAR($A651),$A651,180,1000000)</f>
        <v>-17.239999999999998</v>
      </c>
      <c r="G651" cm="1">
        <f t="array" aca="1" ref="G651" ca="1">[1]!s_west_netprofit($B$1,YEAR($A651)+1,$A651,180,1000000)</f>
        <v>33.703001</v>
      </c>
      <c r="H651" cm="1">
        <f t="array" aca="1" ref="H651" ca="1">[1]!s_west_eps($B$1,YEAR($A651)+1,$A651,180)</f>
        <v>3.8699999999999998E-2</v>
      </c>
      <c r="I651" cm="1">
        <f t="array" aca="1" ref="I651" ca="1">[1]!s_west_instnum_np($B$1,YEAR($A651)+1,$A651,180)</f>
        <v>18</v>
      </c>
      <c r="J651" cm="1">
        <f t="array" aca="1" ref="J651" ca="1">[1]!s_west_stdnetprofit($B$1,YEAR($A651)+1,$A651,180,1000000)</f>
        <v>91.656959000000001</v>
      </c>
      <c r="K651" cm="1">
        <f t="array" aca="1" ref="K651" ca="1">[1]!s_west_mediannetprofit($B$1,YEAR($A650)+1,$A650,180,1000000)</f>
        <v>50.68</v>
      </c>
      <c r="L651" cm="1">
        <f t="array" aca="1" ref="L651" ca="1">[1]!s_dq_close($B$1,$A651,3)</f>
        <v>28.4</v>
      </c>
    </row>
    <row r="652" spans="1:12">
      <c r="A652" s="23">
        <f t="shared" ca="1" si="9"/>
        <v>45523</v>
      </c>
      <c r="B652" cm="1">
        <f t="array" aca="1" ref="B652" ca="1">[1]!s_west_netprofit($B$1,YEAR($A652),$A652,180,1000000)</f>
        <v>-53.97983</v>
      </c>
      <c r="C652" cm="1">
        <f t="array" aca="1" ref="C652" ca="1">[1]!s_west_eps($B$1,YEAR($A652),$A652,180)</f>
        <v>-6.1499999999999999E-2</v>
      </c>
      <c r="D652" cm="1">
        <f t="array" aca="1" ref="D652" ca="1">[1]!s_west_instnum_np($B$1,YEAR($A652),$A652,180)</f>
        <v>18</v>
      </c>
      <c r="E652" cm="1">
        <f t="array" aca="1" ref="E652" ca="1">[1]!s_west_stdnetprofit($B$1,YEAR($A652),$A652,180,1000000)</f>
        <v>103.41454899999999</v>
      </c>
      <c r="F652" cm="1">
        <f t="array" aca="1" ref="F652" ca="1">[1]!s_west_mediannetprofit($B$1,YEAR($A652),$A652,180,1000000)</f>
        <v>-17.239999999999998</v>
      </c>
      <c r="G652" cm="1">
        <f t="array" aca="1" ref="G652" ca="1">[1]!s_west_netprofit($B$1,YEAR($A652)+1,$A652,180,1000000)</f>
        <v>33.703001</v>
      </c>
      <c r="H652" cm="1">
        <f t="array" aca="1" ref="H652" ca="1">[1]!s_west_eps($B$1,YEAR($A652)+1,$A652,180)</f>
        <v>3.8699999999999998E-2</v>
      </c>
      <c r="I652" cm="1">
        <f t="array" aca="1" ref="I652" ca="1">[1]!s_west_instnum_np($B$1,YEAR($A652)+1,$A652,180)</f>
        <v>18</v>
      </c>
      <c r="J652" cm="1">
        <f t="array" aca="1" ref="J652" ca="1">[1]!s_west_stdnetprofit($B$1,YEAR($A652)+1,$A652,180,1000000)</f>
        <v>91.656959000000001</v>
      </c>
      <c r="K652" cm="1">
        <f t="array" aca="1" ref="K652" ca="1">[1]!s_west_mediannetprofit($B$1,YEAR($A651)+1,$A651,180,1000000)</f>
        <v>52.53</v>
      </c>
      <c r="L652" cm="1">
        <f t="array" aca="1" ref="L652" ca="1">[1]!s_dq_close($B$1,$A652,3)</f>
        <v>29.15</v>
      </c>
    </row>
    <row r="653" spans="1:12">
      <c r="A653" s="23">
        <f t="shared" ref="A653:A716" ca="1" si="10">A652-1</f>
        <v>45522</v>
      </c>
      <c r="B653" cm="1">
        <f t="array" aca="1" ref="B653" ca="1">[1]!s_west_netprofit($B$1,YEAR($A653),$A653,180,1000000)</f>
        <v>-53.97983</v>
      </c>
      <c r="C653" cm="1">
        <f t="array" aca="1" ref="C653" ca="1">[1]!s_west_eps($B$1,YEAR($A653),$A653,180)</f>
        <v>-6.1499999999999999E-2</v>
      </c>
      <c r="D653" cm="1">
        <f t="array" aca="1" ref="D653" ca="1">[1]!s_west_instnum_np($B$1,YEAR($A653),$A653,180)</f>
        <v>18</v>
      </c>
      <c r="E653" cm="1">
        <f t="array" aca="1" ref="E653" ca="1">[1]!s_west_stdnetprofit($B$1,YEAR($A653),$A653,180,1000000)</f>
        <v>103.41454899999999</v>
      </c>
      <c r="F653" cm="1">
        <f t="array" aca="1" ref="F653" ca="1">[1]!s_west_mediannetprofit($B$1,YEAR($A653),$A653,180,1000000)</f>
        <v>-17.239999999999998</v>
      </c>
      <c r="G653" cm="1">
        <f t="array" aca="1" ref="G653" ca="1">[1]!s_west_netprofit($B$1,YEAR($A653)+1,$A653,180,1000000)</f>
        <v>33.703001</v>
      </c>
      <c r="H653" cm="1">
        <f t="array" aca="1" ref="H653" ca="1">[1]!s_west_eps($B$1,YEAR($A653)+1,$A653,180)</f>
        <v>3.8699999999999998E-2</v>
      </c>
      <c r="I653" cm="1">
        <f t="array" aca="1" ref="I653" ca="1">[1]!s_west_instnum_np($B$1,YEAR($A653)+1,$A653,180)</f>
        <v>18</v>
      </c>
      <c r="J653" cm="1">
        <f t="array" aca="1" ref="J653" ca="1">[1]!s_west_stdnetprofit($B$1,YEAR($A653)+1,$A653,180,1000000)</f>
        <v>91.656959000000001</v>
      </c>
      <c r="K653" cm="1">
        <f t="array" aca="1" ref="K653" ca="1">[1]!s_west_mediannetprofit($B$1,YEAR($A652)+1,$A652,180,1000000)</f>
        <v>52.53</v>
      </c>
      <c r="L653" cm="1">
        <f t="array" aca="1" ref="L653" ca="1">[1]!s_dq_close($B$1,$A653,3)</f>
        <v>29.2</v>
      </c>
    </row>
    <row r="654" spans="1:12">
      <c r="A654" s="23">
        <f t="shared" ca="1" si="10"/>
        <v>45521</v>
      </c>
      <c r="B654" cm="1">
        <f t="array" aca="1" ref="B654" ca="1">[1]!s_west_netprofit($B$1,YEAR($A654),$A654,180,1000000)</f>
        <v>-53.97983</v>
      </c>
      <c r="C654" cm="1">
        <f t="array" aca="1" ref="C654" ca="1">[1]!s_west_eps($B$1,YEAR($A654),$A654,180)</f>
        <v>-6.1499999999999999E-2</v>
      </c>
      <c r="D654" cm="1">
        <f t="array" aca="1" ref="D654" ca="1">[1]!s_west_instnum_np($B$1,YEAR($A654),$A654,180)</f>
        <v>18</v>
      </c>
      <c r="E654" cm="1">
        <f t="array" aca="1" ref="E654" ca="1">[1]!s_west_stdnetprofit($B$1,YEAR($A654),$A654,180,1000000)</f>
        <v>103.41454899999999</v>
      </c>
      <c r="F654" cm="1">
        <f t="array" aca="1" ref="F654" ca="1">[1]!s_west_mediannetprofit($B$1,YEAR($A654),$A654,180,1000000)</f>
        <v>-17.239999999999998</v>
      </c>
      <c r="G654" cm="1">
        <f t="array" aca="1" ref="G654" ca="1">[1]!s_west_netprofit($B$1,YEAR($A654)+1,$A654,180,1000000)</f>
        <v>33.703001</v>
      </c>
      <c r="H654" cm="1">
        <f t="array" aca="1" ref="H654" ca="1">[1]!s_west_eps($B$1,YEAR($A654)+1,$A654,180)</f>
        <v>3.8699999999999998E-2</v>
      </c>
      <c r="I654" cm="1">
        <f t="array" aca="1" ref="I654" ca="1">[1]!s_west_instnum_np($B$1,YEAR($A654)+1,$A654,180)</f>
        <v>18</v>
      </c>
      <c r="J654" cm="1">
        <f t="array" aca="1" ref="J654" ca="1">[1]!s_west_stdnetprofit($B$1,YEAR($A654)+1,$A654,180,1000000)</f>
        <v>91.656959000000001</v>
      </c>
      <c r="K654" cm="1">
        <f t="array" aca="1" ref="K654" ca="1">[1]!s_west_mediannetprofit($B$1,YEAR($A653)+1,$A653,180,1000000)</f>
        <v>52.53</v>
      </c>
      <c r="L654" cm="1">
        <f t="array" aca="1" ref="L654" ca="1">[1]!s_dq_close($B$1,$A654,3)</f>
        <v>29.2</v>
      </c>
    </row>
    <row r="655" spans="1:12">
      <c r="A655" s="23">
        <f t="shared" ca="1" si="10"/>
        <v>45520</v>
      </c>
      <c r="B655" cm="1">
        <f t="array" aca="1" ref="B655" ca="1">[1]!s_west_netprofit($B$1,YEAR($A655),$A655,180,1000000)</f>
        <v>-53.97983</v>
      </c>
      <c r="C655" cm="1">
        <f t="array" aca="1" ref="C655" ca="1">[1]!s_west_eps($B$1,YEAR($A655),$A655,180)</f>
        <v>-6.1499999999999999E-2</v>
      </c>
      <c r="D655" cm="1">
        <f t="array" aca="1" ref="D655" ca="1">[1]!s_west_instnum_np($B$1,YEAR($A655),$A655,180)</f>
        <v>18</v>
      </c>
      <c r="E655" cm="1">
        <f t="array" aca="1" ref="E655" ca="1">[1]!s_west_stdnetprofit($B$1,YEAR($A655),$A655,180,1000000)</f>
        <v>103.41454899999999</v>
      </c>
      <c r="F655" cm="1">
        <f t="array" aca="1" ref="F655" ca="1">[1]!s_west_mediannetprofit($B$1,YEAR($A655),$A655,180,1000000)</f>
        <v>-17.239999999999998</v>
      </c>
      <c r="G655" cm="1">
        <f t="array" aca="1" ref="G655" ca="1">[1]!s_west_netprofit($B$1,YEAR($A655)+1,$A655,180,1000000)</f>
        <v>33.703001</v>
      </c>
      <c r="H655" cm="1">
        <f t="array" aca="1" ref="H655" ca="1">[1]!s_west_eps($B$1,YEAR($A655)+1,$A655,180)</f>
        <v>3.8699999999999998E-2</v>
      </c>
      <c r="I655" cm="1">
        <f t="array" aca="1" ref="I655" ca="1">[1]!s_west_instnum_np($B$1,YEAR($A655)+1,$A655,180)</f>
        <v>18</v>
      </c>
      <c r="J655" cm="1">
        <f t="array" aca="1" ref="J655" ca="1">[1]!s_west_stdnetprofit($B$1,YEAR($A655)+1,$A655,180,1000000)</f>
        <v>91.656959000000001</v>
      </c>
      <c r="K655" cm="1">
        <f t="array" aca="1" ref="K655" ca="1">[1]!s_west_mediannetprofit($B$1,YEAR($A654)+1,$A654,180,1000000)</f>
        <v>52.53</v>
      </c>
      <c r="L655" cm="1">
        <f t="array" aca="1" ref="L655" ca="1">[1]!s_dq_close($B$1,$A655,3)</f>
        <v>29.2</v>
      </c>
    </row>
    <row r="656" spans="1:12">
      <c r="A656" s="23">
        <f t="shared" ca="1" si="10"/>
        <v>45519</v>
      </c>
      <c r="B656" cm="1">
        <f t="array" aca="1" ref="B656" ca="1">[1]!s_west_netprofit($B$1,YEAR($A656),$A656,180,1000000)</f>
        <v>-53.97983</v>
      </c>
      <c r="C656" cm="1">
        <f t="array" aca="1" ref="C656" ca="1">[1]!s_west_eps($B$1,YEAR($A656),$A656,180)</f>
        <v>-6.1499999999999999E-2</v>
      </c>
      <c r="D656" cm="1">
        <f t="array" aca="1" ref="D656" ca="1">[1]!s_west_instnum_np($B$1,YEAR($A656),$A656,180)</f>
        <v>18</v>
      </c>
      <c r="E656" cm="1">
        <f t="array" aca="1" ref="E656" ca="1">[1]!s_west_stdnetprofit($B$1,YEAR($A656),$A656,180,1000000)</f>
        <v>103.41454899999999</v>
      </c>
      <c r="F656" cm="1">
        <f t="array" aca="1" ref="F656" ca="1">[1]!s_west_mediannetprofit($B$1,YEAR($A656),$A656,180,1000000)</f>
        <v>-17.239999999999998</v>
      </c>
      <c r="G656" cm="1">
        <f t="array" aca="1" ref="G656" ca="1">[1]!s_west_netprofit($B$1,YEAR($A656)+1,$A656,180,1000000)</f>
        <v>33.703001</v>
      </c>
      <c r="H656" cm="1">
        <f t="array" aca="1" ref="H656" ca="1">[1]!s_west_eps($B$1,YEAR($A656)+1,$A656,180)</f>
        <v>3.8699999999999998E-2</v>
      </c>
      <c r="I656" cm="1">
        <f t="array" aca="1" ref="I656" ca="1">[1]!s_west_instnum_np($B$1,YEAR($A656)+1,$A656,180)</f>
        <v>18</v>
      </c>
      <c r="J656" cm="1">
        <f t="array" aca="1" ref="J656" ca="1">[1]!s_west_stdnetprofit($B$1,YEAR($A656)+1,$A656,180,1000000)</f>
        <v>91.656959000000001</v>
      </c>
      <c r="K656" cm="1">
        <f t="array" aca="1" ref="K656" ca="1">[1]!s_west_mediannetprofit($B$1,YEAR($A655)+1,$A655,180,1000000)</f>
        <v>52.53</v>
      </c>
      <c r="L656" cm="1">
        <f t="array" aca="1" ref="L656" ca="1">[1]!s_dq_close($B$1,$A656,3)</f>
        <v>30.9</v>
      </c>
    </row>
    <row r="657" spans="1:12">
      <c r="A657" s="23">
        <f t="shared" ca="1" si="10"/>
        <v>45518</v>
      </c>
      <c r="B657" cm="1">
        <f t="array" aca="1" ref="B657" ca="1">[1]!s_west_netprofit($B$1,YEAR($A657),$A657,180,1000000)</f>
        <v>-53.97983</v>
      </c>
      <c r="C657" cm="1">
        <f t="array" aca="1" ref="C657" ca="1">[1]!s_west_eps($B$1,YEAR($A657),$A657,180)</f>
        <v>-6.1499999999999999E-2</v>
      </c>
      <c r="D657" cm="1">
        <f t="array" aca="1" ref="D657" ca="1">[1]!s_west_instnum_np($B$1,YEAR($A657),$A657,180)</f>
        <v>18</v>
      </c>
      <c r="E657" cm="1">
        <f t="array" aca="1" ref="E657" ca="1">[1]!s_west_stdnetprofit($B$1,YEAR($A657),$A657,180,1000000)</f>
        <v>103.41454899999999</v>
      </c>
      <c r="F657" cm="1">
        <f t="array" aca="1" ref="F657" ca="1">[1]!s_west_mediannetprofit($B$1,YEAR($A657),$A657,180,1000000)</f>
        <v>-17.239999999999998</v>
      </c>
      <c r="G657" cm="1">
        <f t="array" aca="1" ref="G657" ca="1">[1]!s_west_netprofit($B$1,YEAR($A657)+1,$A657,180,1000000)</f>
        <v>33.703001</v>
      </c>
      <c r="H657" cm="1">
        <f t="array" aca="1" ref="H657" ca="1">[1]!s_west_eps($B$1,YEAR($A657)+1,$A657,180)</f>
        <v>3.8699999999999998E-2</v>
      </c>
      <c r="I657" cm="1">
        <f t="array" aca="1" ref="I657" ca="1">[1]!s_west_instnum_np($B$1,YEAR($A657)+1,$A657,180)</f>
        <v>18</v>
      </c>
      <c r="J657" cm="1">
        <f t="array" aca="1" ref="J657" ca="1">[1]!s_west_stdnetprofit($B$1,YEAR($A657)+1,$A657,180,1000000)</f>
        <v>91.656959000000001</v>
      </c>
      <c r="K657" cm="1">
        <f t="array" aca="1" ref="K657" ca="1">[1]!s_west_mediannetprofit($B$1,YEAR($A656)+1,$A656,180,1000000)</f>
        <v>52.53</v>
      </c>
      <c r="L657" cm="1">
        <f t="array" aca="1" ref="L657" ca="1">[1]!s_dq_close($B$1,$A657,3)</f>
        <v>30.3</v>
      </c>
    </row>
    <row r="658" spans="1:12">
      <c r="A658" s="23">
        <f t="shared" ca="1" si="10"/>
        <v>45517</v>
      </c>
      <c r="B658" cm="1">
        <f t="array" aca="1" ref="B658" ca="1">[1]!s_west_netprofit($B$1,YEAR($A658),$A658,180,1000000)</f>
        <v>-53.97983</v>
      </c>
      <c r="C658" cm="1">
        <f t="array" aca="1" ref="C658" ca="1">[1]!s_west_eps($B$1,YEAR($A658),$A658,180)</f>
        <v>-6.1499999999999999E-2</v>
      </c>
      <c r="D658" cm="1">
        <f t="array" aca="1" ref="D658" ca="1">[1]!s_west_instnum_np($B$1,YEAR($A658),$A658,180)</f>
        <v>18</v>
      </c>
      <c r="E658" cm="1">
        <f t="array" aca="1" ref="E658" ca="1">[1]!s_west_stdnetprofit($B$1,YEAR($A658),$A658,180,1000000)</f>
        <v>103.41454899999999</v>
      </c>
      <c r="F658" cm="1">
        <f t="array" aca="1" ref="F658" ca="1">[1]!s_west_mediannetprofit($B$1,YEAR($A658),$A658,180,1000000)</f>
        <v>-17.239999999999998</v>
      </c>
      <c r="G658" cm="1">
        <f t="array" aca="1" ref="G658" ca="1">[1]!s_west_netprofit($B$1,YEAR($A658)+1,$A658,180,1000000)</f>
        <v>33.703001</v>
      </c>
      <c r="H658" cm="1">
        <f t="array" aca="1" ref="H658" ca="1">[1]!s_west_eps($B$1,YEAR($A658)+1,$A658,180)</f>
        <v>3.8699999999999998E-2</v>
      </c>
      <c r="I658" cm="1">
        <f t="array" aca="1" ref="I658" ca="1">[1]!s_west_instnum_np($B$1,YEAR($A658)+1,$A658,180)</f>
        <v>18</v>
      </c>
      <c r="J658" cm="1">
        <f t="array" aca="1" ref="J658" ca="1">[1]!s_west_stdnetprofit($B$1,YEAR($A658)+1,$A658,180,1000000)</f>
        <v>91.656959000000001</v>
      </c>
      <c r="K658" cm="1">
        <f t="array" aca="1" ref="K658" ca="1">[1]!s_west_mediannetprofit($B$1,YEAR($A657)+1,$A657,180,1000000)</f>
        <v>52.53</v>
      </c>
      <c r="L658" cm="1">
        <f t="array" aca="1" ref="L658" ca="1">[1]!s_dq_close($B$1,$A658,3)</f>
        <v>31.7</v>
      </c>
    </row>
    <row r="659" spans="1:12">
      <c r="A659" s="23">
        <f t="shared" ca="1" si="10"/>
        <v>45516</v>
      </c>
      <c r="B659" cm="1">
        <f t="array" aca="1" ref="B659" ca="1">[1]!s_west_netprofit($B$1,YEAR($A659),$A659,180,1000000)</f>
        <v>-53.97983</v>
      </c>
      <c r="C659" cm="1">
        <f t="array" aca="1" ref="C659" ca="1">[1]!s_west_eps($B$1,YEAR($A659),$A659,180)</f>
        <v>-6.1499999999999999E-2</v>
      </c>
      <c r="D659" cm="1">
        <f t="array" aca="1" ref="D659" ca="1">[1]!s_west_instnum_np($B$1,YEAR($A659),$A659,180)</f>
        <v>18</v>
      </c>
      <c r="E659" cm="1">
        <f t="array" aca="1" ref="E659" ca="1">[1]!s_west_stdnetprofit($B$1,YEAR($A659),$A659,180,1000000)</f>
        <v>103.41454899999999</v>
      </c>
      <c r="F659" cm="1">
        <f t="array" aca="1" ref="F659" ca="1">[1]!s_west_mediannetprofit($B$1,YEAR($A659),$A659,180,1000000)</f>
        <v>-17.239999999999998</v>
      </c>
      <c r="G659" cm="1">
        <f t="array" aca="1" ref="G659" ca="1">[1]!s_west_netprofit($B$1,YEAR($A659)+1,$A659,180,1000000)</f>
        <v>33.703001</v>
      </c>
      <c r="H659" cm="1">
        <f t="array" aca="1" ref="H659" ca="1">[1]!s_west_eps($B$1,YEAR($A659)+1,$A659,180)</f>
        <v>3.8699999999999998E-2</v>
      </c>
      <c r="I659" cm="1">
        <f t="array" aca="1" ref="I659" ca="1">[1]!s_west_instnum_np($B$1,YEAR($A659)+1,$A659,180)</f>
        <v>18</v>
      </c>
      <c r="J659" cm="1">
        <f t="array" aca="1" ref="J659" ca="1">[1]!s_west_stdnetprofit($B$1,YEAR($A659)+1,$A659,180,1000000)</f>
        <v>91.656959000000001</v>
      </c>
      <c r="K659" cm="1">
        <f t="array" aca="1" ref="K659" ca="1">[1]!s_west_mediannetprofit($B$1,YEAR($A658)+1,$A658,180,1000000)</f>
        <v>52.53</v>
      </c>
      <c r="L659" cm="1">
        <f t="array" aca="1" ref="L659" ca="1">[1]!s_dq_close($B$1,$A659,3)</f>
        <v>31.75</v>
      </c>
    </row>
    <row r="660" spans="1:12">
      <c r="A660" s="23">
        <f t="shared" ca="1" si="10"/>
        <v>45515</v>
      </c>
      <c r="B660" cm="1">
        <f t="array" aca="1" ref="B660" ca="1">[1]!s_west_netprofit($B$1,YEAR($A660),$A660,180,1000000)</f>
        <v>-53.97983</v>
      </c>
      <c r="C660" cm="1">
        <f t="array" aca="1" ref="C660" ca="1">[1]!s_west_eps($B$1,YEAR($A660),$A660,180)</f>
        <v>-6.1499999999999999E-2</v>
      </c>
      <c r="D660" cm="1">
        <f t="array" aca="1" ref="D660" ca="1">[1]!s_west_instnum_np($B$1,YEAR($A660),$A660,180)</f>
        <v>18</v>
      </c>
      <c r="E660" cm="1">
        <f t="array" aca="1" ref="E660" ca="1">[1]!s_west_stdnetprofit($B$1,YEAR($A660),$A660,180,1000000)</f>
        <v>103.41454899999999</v>
      </c>
      <c r="F660" cm="1">
        <f t="array" aca="1" ref="F660" ca="1">[1]!s_west_mediannetprofit($B$1,YEAR($A660),$A660,180,1000000)</f>
        <v>-17.239999999999998</v>
      </c>
      <c r="G660" cm="1">
        <f t="array" aca="1" ref="G660" ca="1">[1]!s_west_netprofit($B$1,YEAR($A660)+1,$A660,180,1000000)</f>
        <v>33.703001</v>
      </c>
      <c r="H660" cm="1">
        <f t="array" aca="1" ref="H660" ca="1">[1]!s_west_eps($B$1,YEAR($A660)+1,$A660,180)</f>
        <v>3.8699999999999998E-2</v>
      </c>
      <c r="I660" cm="1">
        <f t="array" aca="1" ref="I660" ca="1">[1]!s_west_instnum_np($B$1,YEAR($A660)+1,$A660,180)</f>
        <v>18</v>
      </c>
      <c r="J660" cm="1">
        <f t="array" aca="1" ref="J660" ca="1">[1]!s_west_stdnetprofit($B$1,YEAR($A660)+1,$A660,180,1000000)</f>
        <v>91.656959000000001</v>
      </c>
      <c r="K660" cm="1">
        <f t="array" aca="1" ref="K660" ca="1">[1]!s_west_mediannetprofit($B$1,YEAR($A659)+1,$A659,180,1000000)</f>
        <v>52.53</v>
      </c>
      <c r="L660" cm="1">
        <f t="array" aca="1" ref="L660" ca="1">[1]!s_dq_close($B$1,$A660,3)</f>
        <v>31.15</v>
      </c>
    </row>
    <row r="661" spans="1:12">
      <c r="A661" s="23">
        <f t="shared" ca="1" si="10"/>
        <v>45514</v>
      </c>
      <c r="B661" cm="1">
        <f t="array" aca="1" ref="B661" ca="1">[1]!s_west_netprofit($B$1,YEAR($A661),$A661,180,1000000)</f>
        <v>-53.97983</v>
      </c>
      <c r="C661" cm="1">
        <f t="array" aca="1" ref="C661" ca="1">[1]!s_west_eps($B$1,YEAR($A661),$A661,180)</f>
        <v>-6.1499999999999999E-2</v>
      </c>
      <c r="D661" cm="1">
        <f t="array" aca="1" ref="D661" ca="1">[1]!s_west_instnum_np($B$1,YEAR($A661),$A661,180)</f>
        <v>18</v>
      </c>
      <c r="E661" cm="1">
        <f t="array" aca="1" ref="E661" ca="1">[1]!s_west_stdnetprofit($B$1,YEAR($A661),$A661,180,1000000)</f>
        <v>103.41454899999999</v>
      </c>
      <c r="F661" cm="1">
        <f t="array" aca="1" ref="F661" ca="1">[1]!s_west_mediannetprofit($B$1,YEAR($A661),$A661,180,1000000)</f>
        <v>-17.239999999999998</v>
      </c>
      <c r="G661" cm="1">
        <f t="array" aca="1" ref="G661" ca="1">[1]!s_west_netprofit($B$1,YEAR($A661)+1,$A661,180,1000000)</f>
        <v>33.703001</v>
      </c>
      <c r="H661" cm="1">
        <f t="array" aca="1" ref="H661" ca="1">[1]!s_west_eps($B$1,YEAR($A661)+1,$A661,180)</f>
        <v>3.8699999999999998E-2</v>
      </c>
      <c r="I661" cm="1">
        <f t="array" aca="1" ref="I661" ca="1">[1]!s_west_instnum_np($B$1,YEAR($A661)+1,$A661,180)</f>
        <v>18</v>
      </c>
      <c r="J661" cm="1">
        <f t="array" aca="1" ref="J661" ca="1">[1]!s_west_stdnetprofit($B$1,YEAR($A661)+1,$A661,180,1000000)</f>
        <v>91.656959000000001</v>
      </c>
      <c r="K661" cm="1">
        <f t="array" aca="1" ref="K661" ca="1">[1]!s_west_mediannetprofit($B$1,YEAR($A660)+1,$A660,180,1000000)</f>
        <v>52.53</v>
      </c>
      <c r="L661" cm="1">
        <f t="array" aca="1" ref="L661" ca="1">[1]!s_dq_close($B$1,$A661,3)</f>
        <v>31.15</v>
      </c>
    </row>
    <row r="662" spans="1:12">
      <c r="A662" s="23">
        <f t="shared" ca="1" si="10"/>
        <v>45513</v>
      </c>
      <c r="B662" cm="1">
        <f t="array" aca="1" ref="B662" ca="1">[1]!s_west_netprofit($B$1,YEAR($A662),$A662,180,1000000)</f>
        <v>-53.97983</v>
      </c>
      <c r="C662" cm="1">
        <f t="array" aca="1" ref="C662" ca="1">[1]!s_west_eps($B$1,YEAR($A662),$A662,180)</f>
        <v>-6.1499999999999999E-2</v>
      </c>
      <c r="D662" cm="1">
        <f t="array" aca="1" ref="D662" ca="1">[1]!s_west_instnum_np($B$1,YEAR($A662),$A662,180)</f>
        <v>18</v>
      </c>
      <c r="E662" cm="1">
        <f t="array" aca="1" ref="E662" ca="1">[1]!s_west_stdnetprofit($B$1,YEAR($A662),$A662,180,1000000)</f>
        <v>103.41454899999999</v>
      </c>
      <c r="F662" cm="1">
        <f t="array" aca="1" ref="F662" ca="1">[1]!s_west_mediannetprofit($B$1,YEAR($A662),$A662,180,1000000)</f>
        <v>-17.239999999999998</v>
      </c>
      <c r="G662" cm="1">
        <f t="array" aca="1" ref="G662" ca="1">[1]!s_west_netprofit($B$1,YEAR($A662)+1,$A662,180,1000000)</f>
        <v>33.703001</v>
      </c>
      <c r="H662" cm="1">
        <f t="array" aca="1" ref="H662" ca="1">[1]!s_west_eps($B$1,YEAR($A662)+1,$A662,180)</f>
        <v>3.8699999999999998E-2</v>
      </c>
      <c r="I662" cm="1">
        <f t="array" aca="1" ref="I662" ca="1">[1]!s_west_instnum_np($B$1,YEAR($A662)+1,$A662,180)</f>
        <v>18</v>
      </c>
      <c r="J662" cm="1">
        <f t="array" aca="1" ref="J662" ca="1">[1]!s_west_stdnetprofit($B$1,YEAR($A662)+1,$A662,180,1000000)</f>
        <v>91.656959000000001</v>
      </c>
      <c r="K662" cm="1">
        <f t="array" aca="1" ref="K662" ca="1">[1]!s_west_mediannetprofit($B$1,YEAR($A661)+1,$A661,180,1000000)</f>
        <v>52.53</v>
      </c>
      <c r="L662" cm="1">
        <f t="array" aca="1" ref="L662" ca="1">[1]!s_dq_close($B$1,$A662,3)</f>
        <v>31.15</v>
      </c>
    </row>
    <row r="663" spans="1:12">
      <c r="A663" s="23">
        <f t="shared" ca="1" si="10"/>
        <v>45512</v>
      </c>
      <c r="B663" cm="1">
        <f t="array" aca="1" ref="B663" ca="1">[1]!s_west_netprofit($B$1,YEAR($A663),$A663,180,1000000)</f>
        <v>-55.23404</v>
      </c>
      <c r="C663" cm="1">
        <f t="array" aca="1" ref="C663" ca="1">[1]!s_west_eps($B$1,YEAR($A663),$A663,180)</f>
        <v>-6.2600000000000003E-2</v>
      </c>
      <c r="D663" cm="1">
        <f t="array" aca="1" ref="D663" ca="1">[1]!s_west_instnum_np($B$1,YEAR($A663),$A663,180)</f>
        <v>18</v>
      </c>
      <c r="E663" cm="1">
        <f t="array" aca="1" ref="E663" ca="1">[1]!s_west_stdnetprofit($B$1,YEAR($A663),$A663,180,1000000)</f>
        <v>103.06919600000001</v>
      </c>
      <c r="F663" cm="1">
        <f t="array" aca="1" ref="F663" ca="1">[1]!s_west_mediannetprofit($B$1,YEAR($A663),$A663,180,1000000)</f>
        <v>-39.590000000000003</v>
      </c>
      <c r="G663" cm="1">
        <f t="array" aca="1" ref="G663" ca="1">[1]!s_west_netprofit($B$1,YEAR($A663)+1,$A663,180,1000000)</f>
        <v>34.870896000000002</v>
      </c>
      <c r="H663" cm="1">
        <f t="array" aca="1" ref="H663" ca="1">[1]!s_west_eps($B$1,YEAR($A663)+1,$A663,180)</f>
        <v>0.04</v>
      </c>
      <c r="I663" cm="1">
        <f t="array" aca="1" ref="I663" ca="1">[1]!s_west_instnum_np($B$1,YEAR($A663)+1,$A663,180)</f>
        <v>18</v>
      </c>
      <c r="J663" cm="1">
        <f t="array" aca="1" ref="J663" ca="1">[1]!s_west_stdnetprofit($B$1,YEAR($A663)+1,$A663,180,1000000)</f>
        <v>92.219296999999997</v>
      </c>
      <c r="K663" cm="1">
        <f t="array" aca="1" ref="K663" ca="1">[1]!s_west_mediannetprofit($B$1,YEAR($A662)+1,$A662,180,1000000)</f>
        <v>52.53</v>
      </c>
      <c r="L663" cm="1">
        <f t="array" aca="1" ref="L663" ca="1">[1]!s_dq_close($B$1,$A663,3)</f>
        <v>31.1</v>
      </c>
    </row>
    <row r="664" spans="1:12">
      <c r="A664" s="23">
        <f t="shared" ca="1" si="10"/>
        <v>45511</v>
      </c>
      <c r="B664" cm="1">
        <f t="array" aca="1" ref="B664" ca="1">[1]!s_west_netprofit($B$1,YEAR($A664),$A664,180,1000000)</f>
        <v>-55.23404</v>
      </c>
      <c r="C664" cm="1">
        <f t="array" aca="1" ref="C664" ca="1">[1]!s_west_eps($B$1,YEAR($A664),$A664,180)</f>
        <v>-6.2600000000000003E-2</v>
      </c>
      <c r="D664" cm="1">
        <f t="array" aca="1" ref="D664" ca="1">[1]!s_west_instnum_np($B$1,YEAR($A664),$A664,180)</f>
        <v>18</v>
      </c>
      <c r="E664" cm="1">
        <f t="array" aca="1" ref="E664" ca="1">[1]!s_west_stdnetprofit($B$1,YEAR($A664),$A664,180,1000000)</f>
        <v>103.06919600000001</v>
      </c>
      <c r="F664" cm="1">
        <f t="array" aca="1" ref="F664" ca="1">[1]!s_west_mediannetprofit($B$1,YEAR($A664),$A664,180,1000000)</f>
        <v>-39.590000000000003</v>
      </c>
      <c r="G664" cm="1">
        <f t="array" aca="1" ref="G664" ca="1">[1]!s_west_netprofit($B$1,YEAR($A664)+1,$A664,180,1000000)</f>
        <v>34.870896000000002</v>
      </c>
      <c r="H664" cm="1">
        <f t="array" aca="1" ref="H664" ca="1">[1]!s_west_eps($B$1,YEAR($A664)+1,$A664,180)</f>
        <v>0.04</v>
      </c>
      <c r="I664" cm="1">
        <f t="array" aca="1" ref="I664" ca="1">[1]!s_west_instnum_np($B$1,YEAR($A664)+1,$A664,180)</f>
        <v>18</v>
      </c>
      <c r="J664" cm="1">
        <f t="array" aca="1" ref="J664" ca="1">[1]!s_west_stdnetprofit($B$1,YEAR($A664)+1,$A664,180,1000000)</f>
        <v>92.219296999999997</v>
      </c>
      <c r="K664" cm="1">
        <f t="array" aca="1" ref="K664" ca="1">[1]!s_west_mediannetprofit($B$1,YEAR($A663)+1,$A663,180,1000000)</f>
        <v>52.53</v>
      </c>
      <c r="L664" cm="1">
        <f t="array" aca="1" ref="L664" ca="1">[1]!s_dq_close($B$1,$A664,3)</f>
        <v>31.3</v>
      </c>
    </row>
    <row r="665" spans="1:12">
      <c r="A665" s="23">
        <f t="shared" ca="1" si="10"/>
        <v>45510</v>
      </c>
      <c r="B665" cm="1">
        <f t="array" aca="1" ref="B665" ca="1">[1]!s_west_netprofit($B$1,YEAR($A665),$A665,180,1000000)</f>
        <v>-55.23404</v>
      </c>
      <c r="C665" cm="1">
        <f t="array" aca="1" ref="C665" ca="1">[1]!s_west_eps($B$1,YEAR($A665),$A665,180)</f>
        <v>-6.2600000000000003E-2</v>
      </c>
      <c r="D665" cm="1">
        <f t="array" aca="1" ref="D665" ca="1">[1]!s_west_instnum_np($B$1,YEAR($A665),$A665,180)</f>
        <v>18</v>
      </c>
      <c r="E665" cm="1">
        <f t="array" aca="1" ref="E665" ca="1">[1]!s_west_stdnetprofit($B$1,YEAR($A665),$A665,180,1000000)</f>
        <v>103.06919600000001</v>
      </c>
      <c r="F665" cm="1">
        <f t="array" aca="1" ref="F665" ca="1">[1]!s_west_mediannetprofit($B$1,YEAR($A665),$A665,180,1000000)</f>
        <v>-39.590000000000003</v>
      </c>
      <c r="G665" cm="1">
        <f t="array" aca="1" ref="G665" ca="1">[1]!s_west_netprofit($B$1,YEAR($A665)+1,$A665,180,1000000)</f>
        <v>34.870896000000002</v>
      </c>
      <c r="H665" cm="1">
        <f t="array" aca="1" ref="H665" ca="1">[1]!s_west_eps($B$1,YEAR($A665)+1,$A665,180)</f>
        <v>0.04</v>
      </c>
      <c r="I665" cm="1">
        <f t="array" aca="1" ref="I665" ca="1">[1]!s_west_instnum_np($B$1,YEAR($A665)+1,$A665,180)</f>
        <v>18</v>
      </c>
      <c r="J665" cm="1">
        <f t="array" aca="1" ref="J665" ca="1">[1]!s_west_stdnetprofit($B$1,YEAR($A665)+1,$A665,180,1000000)</f>
        <v>92.219296999999997</v>
      </c>
      <c r="K665" cm="1">
        <f t="array" aca="1" ref="K665" ca="1">[1]!s_west_mediannetprofit($B$1,YEAR($A664)+1,$A664,180,1000000)</f>
        <v>52.53</v>
      </c>
      <c r="L665" cm="1">
        <f t="array" aca="1" ref="L665" ca="1">[1]!s_dq_close($B$1,$A665,3)</f>
        <v>31.2</v>
      </c>
    </row>
    <row r="666" spans="1:12">
      <c r="A666" s="23">
        <f t="shared" ca="1" si="10"/>
        <v>45509</v>
      </c>
      <c r="B666" cm="1">
        <f t="array" aca="1" ref="B666" ca="1">[1]!s_west_netprofit($B$1,YEAR($A666),$A666,180,1000000)</f>
        <v>-53.691487000000002</v>
      </c>
      <c r="C666" cm="1">
        <f t="array" aca="1" ref="C666" ca="1">[1]!s_west_eps($B$1,YEAR($A666),$A666,180)</f>
        <v>-6.0699999999999997E-2</v>
      </c>
      <c r="D666" cm="1">
        <f t="array" aca="1" ref="D666" ca="1">[1]!s_west_instnum_np($B$1,YEAR($A666),$A666,180)</f>
        <v>17</v>
      </c>
      <c r="E666" cm="1">
        <f t="array" aca="1" ref="E666" ca="1">[1]!s_west_stdnetprofit($B$1,YEAR($A666),$A666,180,1000000)</f>
        <v>105.83141000000001</v>
      </c>
      <c r="F666" cm="1">
        <f t="array" aca="1" ref="F666" ca="1">[1]!s_west_mediannetprofit($B$1,YEAR($A666),$A666,180,1000000)</f>
        <v>-28.414999999999999</v>
      </c>
      <c r="G666" cm="1">
        <f t="array" aca="1" ref="G666" ca="1">[1]!s_west_netprofit($B$1,YEAR($A666)+1,$A666,180,1000000)</f>
        <v>32.641500999999998</v>
      </c>
      <c r="H666" cm="1">
        <f t="array" aca="1" ref="H666" ca="1">[1]!s_west_eps($B$1,YEAR($A666)+1,$A666,180)</f>
        <v>3.7499999999999999E-2</v>
      </c>
      <c r="I666" cm="1">
        <f t="array" aca="1" ref="I666" ca="1">[1]!s_west_instnum_np($B$1,YEAR($A666)+1,$A666,180)</f>
        <v>17</v>
      </c>
      <c r="J666" cm="1">
        <f t="array" aca="1" ref="J666" ca="1">[1]!s_west_stdnetprofit($B$1,YEAR($A666)+1,$A666,180,1000000)</f>
        <v>94.364552000000003</v>
      </c>
      <c r="K666" cm="1">
        <f t="array" aca="1" ref="K666" ca="1">[1]!s_west_mediannetprofit($B$1,YEAR($A665)+1,$A665,180,1000000)</f>
        <v>52.53</v>
      </c>
      <c r="L666" cm="1">
        <f t="array" aca="1" ref="L666" ca="1">[1]!s_dq_close($B$1,$A666,3)</f>
        <v>29.1</v>
      </c>
    </row>
    <row r="667" spans="1:12">
      <c r="A667" s="23">
        <f t="shared" ca="1" si="10"/>
        <v>45508</v>
      </c>
      <c r="B667" cm="1">
        <f t="array" aca="1" ref="B667" ca="1">[1]!s_west_netprofit($B$1,YEAR($A667),$A667,180,1000000)</f>
        <v>-53.691487000000002</v>
      </c>
      <c r="C667" cm="1">
        <f t="array" aca="1" ref="C667" ca="1">[1]!s_west_eps($B$1,YEAR($A667),$A667,180)</f>
        <v>-6.0699999999999997E-2</v>
      </c>
      <c r="D667" cm="1">
        <f t="array" aca="1" ref="D667" ca="1">[1]!s_west_instnum_np($B$1,YEAR($A667),$A667,180)</f>
        <v>17</v>
      </c>
      <c r="E667" cm="1">
        <f t="array" aca="1" ref="E667" ca="1">[1]!s_west_stdnetprofit($B$1,YEAR($A667),$A667,180,1000000)</f>
        <v>105.83141000000001</v>
      </c>
      <c r="F667" cm="1">
        <f t="array" aca="1" ref="F667" ca="1">[1]!s_west_mediannetprofit($B$1,YEAR($A667),$A667,180,1000000)</f>
        <v>-28.414999999999999</v>
      </c>
      <c r="G667" cm="1">
        <f t="array" aca="1" ref="G667" ca="1">[1]!s_west_netprofit($B$1,YEAR($A667)+1,$A667,180,1000000)</f>
        <v>32.641500999999998</v>
      </c>
      <c r="H667" cm="1">
        <f t="array" aca="1" ref="H667" ca="1">[1]!s_west_eps($B$1,YEAR($A667)+1,$A667,180)</f>
        <v>3.7499999999999999E-2</v>
      </c>
      <c r="I667" cm="1">
        <f t="array" aca="1" ref="I667" ca="1">[1]!s_west_instnum_np($B$1,YEAR($A667)+1,$A667,180)</f>
        <v>17</v>
      </c>
      <c r="J667" cm="1">
        <f t="array" aca="1" ref="J667" ca="1">[1]!s_west_stdnetprofit($B$1,YEAR($A667)+1,$A667,180,1000000)</f>
        <v>94.364552000000003</v>
      </c>
      <c r="K667" cm="1">
        <f t="array" aca="1" ref="K667" ca="1">[1]!s_west_mediannetprofit($B$1,YEAR($A666)+1,$A666,180,1000000)</f>
        <v>50.68</v>
      </c>
      <c r="L667" cm="1">
        <f t="array" aca="1" ref="L667" ca="1">[1]!s_dq_close($B$1,$A667,3)</f>
        <v>28.8</v>
      </c>
    </row>
    <row r="668" spans="1:12">
      <c r="A668" s="23">
        <f t="shared" ca="1" si="10"/>
        <v>45507</v>
      </c>
      <c r="B668" cm="1">
        <f t="array" aca="1" ref="B668" ca="1">[1]!s_west_netprofit($B$1,YEAR($A668),$A668,180,1000000)</f>
        <v>-61.413708999999997</v>
      </c>
      <c r="C668" cm="1">
        <f t="array" aca="1" ref="C668" ca="1">[1]!s_west_eps($B$1,YEAR($A668),$A668,180)</f>
        <v>-7.0199999999999999E-2</v>
      </c>
      <c r="D668" cm="1">
        <f t="array" aca="1" ref="D668" ca="1">[1]!s_west_instnum_np($B$1,YEAR($A668),$A668,180)</f>
        <v>17</v>
      </c>
      <c r="E668" cm="1">
        <f t="array" aca="1" ref="E668" ca="1">[1]!s_west_stdnetprofit($B$1,YEAR($A668),$A668,180,1000000)</f>
        <v>104.88095800000001</v>
      </c>
      <c r="F668" cm="1">
        <f t="array" aca="1" ref="F668" ca="1">[1]!s_west_mediannetprofit($B$1,YEAR($A668),$A668,180,1000000)</f>
        <v>-41.335000000000001</v>
      </c>
      <c r="G668" cm="1">
        <f t="array" aca="1" ref="G668" ca="1">[1]!s_west_netprofit($B$1,YEAR($A668)+1,$A668,180,1000000)</f>
        <v>28.705945</v>
      </c>
      <c r="H668" cm="1">
        <f t="array" aca="1" ref="H668" ca="1">[1]!s_west_eps($B$1,YEAR($A668)+1,$A668,180)</f>
        <v>3.2899999999999999E-2</v>
      </c>
      <c r="I668" cm="1">
        <f t="array" aca="1" ref="I668" ca="1">[1]!s_west_instnum_np($B$1,YEAR($A668)+1,$A668,180)</f>
        <v>17</v>
      </c>
      <c r="J668" cm="1">
        <f t="array" aca="1" ref="J668" ca="1">[1]!s_west_stdnetprofit($B$1,YEAR($A668)+1,$A668,180,1000000)</f>
        <v>93.057184000000007</v>
      </c>
      <c r="K668" cm="1">
        <f t="array" aca="1" ref="K668" ca="1">[1]!s_west_mediannetprofit($B$1,YEAR($A667)+1,$A667,180,1000000)</f>
        <v>50.68</v>
      </c>
      <c r="L668" cm="1">
        <f t="array" aca="1" ref="L668" ca="1">[1]!s_dq_close($B$1,$A668,3)</f>
        <v>28.8</v>
      </c>
    </row>
    <row r="669" spans="1:12">
      <c r="A669" s="23">
        <f t="shared" ca="1" si="10"/>
        <v>45506</v>
      </c>
      <c r="B669" cm="1">
        <f t="array" aca="1" ref="B669" ca="1">[1]!s_west_netprofit($B$1,YEAR($A669),$A669,180,1000000)</f>
        <v>-63.469265</v>
      </c>
      <c r="C669" cm="1">
        <f t="array" aca="1" ref="C669" ca="1">[1]!s_west_eps($B$1,YEAR($A669),$A669,180)</f>
        <v>-7.1800000000000003E-2</v>
      </c>
      <c r="D669" cm="1">
        <f t="array" aca="1" ref="D669" ca="1">[1]!s_west_instnum_np($B$1,YEAR($A669),$A669,180)</f>
        <v>17</v>
      </c>
      <c r="E669" cm="1">
        <f t="array" aca="1" ref="E669" ca="1">[1]!s_west_stdnetprofit($B$1,YEAR($A669),$A669,180,1000000)</f>
        <v>104.257767</v>
      </c>
      <c r="F669" cm="1">
        <f t="array" aca="1" ref="F669" ca="1">[1]!s_west_mediannetprofit($B$1,YEAR($A669),$A669,180,1000000)</f>
        <v>-46.39</v>
      </c>
      <c r="G669" cm="1">
        <f t="array" aca="1" ref="G669" ca="1">[1]!s_west_netprofit($B$1,YEAR($A669)+1,$A669,180,1000000)</f>
        <v>26.539279000000001</v>
      </c>
      <c r="H669" cm="1">
        <f t="array" aca="1" ref="H669" ca="1">[1]!s_west_eps($B$1,YEAR($A669)+1,$A669,180)</f>
        <v>3.0300000000000001E-2</v>
      </c>
      <c r="I669" cm="1">
        <f t="array" aca="1" ref="I669" ca="1">[1]!s_west_instnum_np($B$1,YEAR($A669)+1,$A669,180)</f>
        <v>17</v>
      </c>
      <c r="J669" cm="1">
        <f t="array" aca="1" ref="J669" ca="1">[1]!s_west_stdnetprofit($B$1,YEAR($A669)+1,$A669,180,1000000)</f>
        <v>92.143569999999997</v>
      </c>
      <c r="K669" cm="1">
        <f t="array" aca="1" ref="K669" ca="1">[1]!s_west_mediannetprofit($B$1,YEAR($A668)+1,$A668,180,1000000)</f>
        <v>46.994999999999997</v>
      </c>
      <c r="L669" cm="1">
        <f t="array" aca="1" ref="L669" ca="1">[1]!s_dq_close($B$1,$A669,3)</f>
        <v>28.8</v>
      </c>
    </row>
    <row r="670" spans="1:12">
      <c r="A670" s="23">
        <f t="shared" ca="1" si="10"/>
        <v>45505</v>
      </c>
      <c r="B670" cm="1">
        <f t="array" aca="1" ref="B670" ca="1">[1]!s_west_netprofit($B$1,YEAR($A670),$A670,180,1000000)</f>
        <v>-73.614514999999997</v>
      </c>
      <c r="C670" cm="1">
        <f t="array" aca="1" ref="C670" ca="1">[1]!s_west_eps($B$1,YEAR($A670),$A670,180)</f>
        <v>-8.4500000000000006E-2</v>
      </c>
      <c r="D670" cm="1">
        <f t="array" aca="1" ref="D670" ca="1">[1]!s_west_instnum_np($B$1,YEAR($A670),$A670,180)</f>
        <v>16</v>
      </c>
      <c r="E670" cm="1">
        <f t="array" aca="1" ref="E670" ca="1">[1]!s_west_stdnetprofit($B$1,YEAR($A670),$A670,180,1000000)</f>
        <v>103.439959</v>
      </c>
      <c r="F670" cm="1">
        <f t="array" aca="1" ref="F670" ca="1">[1]!s_west_mediannetprofit($B$1,YEAR($A670),$A670,180,1000000)</f>
        <v>-52</v>
      </c>
      <c r="G670" cm="1">
        <f t="array" aca="1" ref="G670" ca="1">[1]!s_west_netprofit($B$1,YEAR($A670)+1,$A670,180,1000000)</f>
        <v>21.688648000000001</v>
      </c>
      <c r="H670" cm="1">
        <f t="array" aca="1" ref="H670" ca="1">[1]!s_west_eps($B$1,YEAR($A670)+1,$A670,180)</f>
        <v>2.4799999999999999E-2</v>
      </c>
      <c r="I670" cm="1">
        <f t="array" aca="1" ref="I670" ca="1">[1]!s_west_instnum_np($B$1,YEAR($A670)+1,$A670,180)</f>
        <v>16</v>
      </c>
      <c r="J670" cm="1">
        <f t="array" aca="1" ref="J670" ca="1">[1]!s_west_stdnetprofit($B$1,YEAR($A670)+1,$A670,180,1000000)</f>
        <v>93.226095999999998</v>
      </c>
      <c r="K670" cm="1">
        <f t="array" aca="1" ref="K670" ca="1">[1]!s_west_mediannetprofit($B$1,YEAR($A669)+1,$A669,180,1000000)</f>
        <v>45</v>
      </c>
      <c r="L670" cm="1">
        <f t="array" aca="1" ref="L670" ca="1">[1]!s_dq_close($B$1,$A670,3)</f>
        <v>29.45</v>
      </c>
    </row>
    <row r="671" spans="1:12">
      <c r="A671" s="23">
        <f t="shared" ca="1" si="10"/>
        <v>45504</v>
      </c>
      <c r="B671" cm="1">
        <f t="array" aca="1" ref="B671" ca="1">[1]!s_west_netprofit($B$1,YEAR($A671),$A671,180,1000000)</f>
        <v>-103.196574</v>
      </c>
      <c r="C671" cm="1">
        <f t="array" aca="1" ref="C671" ca="1">[1]!s_west_eps($B$1,YEAR($A671),$A671,180)</f>
        <v>-0.11840000000000001</v>
      </c>
      <c r="D671" cm="1">
        <f t="array" aca="1" ref="D671" ca="1">[1]!s_west_instnum_np($B$1,YEAR($A671),$A671,180)</f>
        <v>16</v>
      </c>
      <c r="E671" cm="1">
        <f t="array" aca="1" ref="E671" ca="1">[1]!s_west_stdnetprofit($B$1,YEAR($A671),$A671,180,1000000)</f>
        <v>94.884512000000001</v>
      </c>
      <c r="F671" cm="1">
        <f t="array" aca="1" ref="F671" ca="1">[1]!s_west_mediannetprofit($B$1,YEAR($A671),$A671,180,1000000)</f>
        <v>-86</v>
      </c>
      <c r="G671" cm="1">
        <f t="array" aca="1" ref="G671" ca="1">[1]!s_west_netprofit($B$1,YEAR($A671)+1,$A671,180,1000000)</f>
        <v>9.1125299999999996</v>
      </c>
      <c r="H671" cm="1">
        <f t="array" aca="1" ref="H671" ca="1">[1]!s_west_eps($B$1,YEAR($A671)+1,$A671,180)</f>
        <v>1.04E-2</v>
      </c>
      <c r="I671" cm="1">
        <f t="array" aca="1" ref="I671" ca="1">[1]!s_west_instnum_np($B$1,YEAR($A671)+1,$A671,180)</f>
        <v>16</v>
      </c>
      <c r="J671" cm="1">
        <f t="array" aca="1" ref="J671" ca="1">[1]!s_west_stdnetprofit($B$1,YEAR($A671)+1,$A671,180,1000000)</f>
        <v>92.418456000000006</v>
      </c>
      <c r="K671" cm="1">
        <f t="array" aca="1" ref="K671" ca="1">[1]!s_west_mediannetprofit($B$1,YEAR($A670)+1,$A670,180,1000000)</f>
        <v>41</v>
      </c>
      <c r="L671" cm="1">
        <f t="array" aca="1" ref="L671" ca="1">[1]!s_dq_close($B$1,$A671,3)</f>
        <v>30.25</v>
      </c>
    </row>
    <row r="672" spans="1:12">
      <c r="A672" s="23">
        <f t="shared" ca="1" si="10"/>
        <v>45503</v>
      </c>
      <c r="B672" cm="1">
        <f t="array" aca="1" ref="B672" ca="1">[1]!s_west_netprofit($B$1,YEAR($A672),$A672,180,1000000)</f>
        <v>-103.196574</v>
      </c>
      <c r="C672" cm="1">
        <f t="array" aca="1" ref="C672" ca="1">[1]!s_west_eps($B$1,YEAR($A672),$A672,180)</f>
        <v>-0.11840000000000001</v>
      </c>
      <c r="D672" cm="1">
        <f t="array" aca="1" ref="D672" ca="1">[1]!s_west_instnum_np($B$1,YEAR($A672),$A672,180)</f>
        <v>16</v>
      </c>
      <c r="E672" cm="1">
        <f t="array" aca="1" ref="E672" ca="1">[1]!s_west_stdnetprofit($B$1,YEAR($A672),$A672,180,1000000)</f>
        <v>94.884512000000001</v>
      </c>
      <c r="F672" cm="1">
        <f t="array" aca="1" ref="F672" ca="1">[1]!s_west_mediannetprofit($B$1,YEAR($A672),$A672,180,1000000)</f>
        <v>-86</v>
      </c>
      <c r="G672" cm="1">
        <f t="array" aca="1" ref="G672" ca="1">[1]!s_west_netprofit($B$1,YEAR($A672)+1,$A672,180,1000000)</f>
        <v>9.1125299999999996</v>
      </c>
      <c r="H672" cm="1">
        <f t="array" aca="1" ref="H672" ca="1">[1]!s_west_eps($B$1,YEAR($A672)+1,$A672,180)</f>
        <v>1.04E-2</v>
      </c>
      <c r="I672" cm="1">
        <f t="array" aca="1" ref="I672" ca="1">[1]!s_west_instnum_np($B$1,YEAR($A672)+1,$A672,180)</f>
        <v>16</v>
      </c>
      <c r="J672" cm="1">
        <f t="array" aca="1" ref="J672" ca="1">[1]!s_west_stdnetprofit($B$1,YEAR($A672)+1,$A672,180,1000000)</f>
        <v>92.418456000000006</v>
      </c>
      <c r="K672" cm="1">
        <f t="array" aca="1" ref="K672" ca="1">[1]!s_west_mediannetprofit($B$1,YEAR($A671)+1,$A671,180,1000000)</f>
        <v>38</v>
      </c>
      <c r="L672" cm="1">
        <f t="array" aca="1" ref="L672" ca="1">[1]!s_dq_close($B$1,$A672,3)</f>
        <v>28.6</v>
      </c>
    </row>
    <row r="673" spans="1:12">
      <c r="A673" s="23">
        <f t="shared" ca="1" si="10"/>
        <v>45502</v>
      </c>
      <c r="B673" cm="1">
        <f t="array" aca="1" ref="B673" ca="1">[1]!s_west_netprofit($B$1,YEAR($A673),$A673,180,1000000)</f>
        <v>-103.196574</v>
      </c>
      <c r="C673" cm="1">
        <f t="array" aca="1" ref="C673" ca="1">[1]!s_west_eps($B$1,YEAR($A673),$A673,180)</f>
        <v>-0.11840000000000001</v>
      </c>
      <c r="D673" cm="1">
        <f t="array" aca="1" ref="D673" ca="1">[1]!s_west_instnum_np($B$1,YEAR($A673),$A673,180)</f>
        <v>16</v>
      </c>
      <c r="E673" cm="1">
        <f t="array" aca="1" ref="E673" ca="1">[1]!s_west_stdnetprofit($B$1,YEAR($A673),$A673,180,1000000)</f>
        <v>94.884512000000001</v>
      </c>
      <c r="F673" cm="1">
        <f t="array" aca="1" ref="F673" ca="1">[1]!s_west_mediannetprofit($B$1,YEAR($A673),$A673,180,1000000)</f>
        <v>-86</v>
      </c>
      <c r="G673" cm="1">
        <f t="array" aca="1" ref="G673" ca="1">[1]!s_west_netprofit($B$1,YEAR($A673)+1,$A673,180,1000000)</f>
        <v>9.1125299999999996</v>
      </c>
      <c r="H673" cm="1">
        <f t="array" aca="1" ref="H673" ca="1">[1]!s_west_eps($B$1,YEAR($A673)+1,$A673,180)</f>
        <v>1.04E-2</v>
      </c>
      <c r="I673" cm="1">
        <f t="array" aca="1" ref="I673" ca="1">[1]!s_west_instnum_np($B$1,YEAR($A673)+1,$A673,180)</f>
        <v>16</v>
      </c>
      <c r="J673" cm="1">
        <f t="array" aca="1" ref="J673" ca="1">[1]!s_west_stdnetprofit($B$1,YEAR($A673)+1,$A673,180,1000000)</f>
        <v>92.418456000000006</v>
      </c>
      <c r="K673" cm="1">
        <f t="array" aca="1" ref="K673" ca="1">[1]!s_west_mediannetprofit($B$1,YEAR($A672)+1,$A672,180,1000000)</f>
        <v>38</v>
      </c>
      <c r="L673" cm="1">
        <f t="array" aca="1" ref="L673" ca="1">[1]!s_dq_close($B$1,$A673,3)</f>
        <v>28.9</v>
      </c>
    </row>
    <row r="674" spans="1:12">
      <c r="A674" s="23">
        <f t="shared" ca="1" si="10"/>
        <v>45501</v>
      </c>
      <c r="B674" cm="1">
        <f t="array" aca="1" ref="B674" ca="1">[1]!s_west_netprofit($B$1,YEAR($A674),$A674,180,1000000)</f>
        <v>-103.196574</v>
      </c>
      <c r="C674" cm="1">
        <f t="array" aca="1" ref="C674" ca="1">[1]!s_west_eps($B$1,YEAR($A674),$A674,180)</f>
        <v>-0.11840000000000001</v>
      </c>
      <c r="D674" cm="1">
        <f t="array" aca="1" ref="D674" ca="1">[1]!s_west_instnum_np($B$1,YEAR($A674),$A674,180)</f>
        <v>16</v>
      </c>
      <c r="E674" cm="1">
        <f t="array" aca="1" ref="E674" ca="1">[1]!s_west_stdnetprofit($B$1,YEAR($A674),$A674,180,1000000)</f>
        <v>94.884512000000001</v>
      </c>
      <c r="F674" cm="1">
        <f t="array" aca="1" ref="F674" ca="1">[1]!s_west_mediannetprofit($B$1,YEAR($A674),$A674,180,1000000)</f>
        <v>-86</v>
      </c>
      <c r="G674" cm="1">
        <f t="array" aca="1" ref="G674" ca="1">[1]!s_west_netprofit($B$1,YEAR($A674)+1,$A674,180,1000000)</f>
        <v>9.1125299999999996</v>
      </c>
      <c r="H674" cm="1">
        <f t="array" aca="1" ref="H674" ca="1">[1]!s_west_eps($B$1,YEAR($A674)+1,$A674,180)</f>
        <v>1.04E-2</v>
      </c>
      <c r="I674" cm="1">
        <f t="array" aca="1" ref="I674" ca="1">[1]!s_west_instnum_np($B$1,YEAR($A674)+1,$A674,180)</f>
        <v>16</v>
      </c>
      <c r="J674" cm="1">
        <f t="array" aca="1" ref="J674" ca="1">[1]!s_west_stdnetprofit($B$1,YEAR($A674)+1,$A674,180,1000000)</f>
        <v>92.418456000000006</v>
      </c>
      <c r="K674" cm="1">
        <f t="array" aca="1" ref="K674" ca="1">[1]!s_west_mediannetprofit($B$1,YEAR($A673)+1,$A673,180,1000000)</f>
        <v>38</v>
      </c>
      <c r="L674" cm="1">
        <f t="array" aca="1" ref="L674" ca="1">[1]!s_dq_close($B$1,$A674,3)</f>
        <v>29.05</v>
      </c>
    </row>
    <row r="675" spans="1:12">
      <c r="A675" s="23">
        <f t="shared" ca="1" si="10"/>
        <v>45500</v>
      </c>
      <c r="B675" cm="1">
        <f t="array" aca="1" ref="B675" ca="1">[1]!s_west_netprofit($B$1,YEAR($A675),$A675,180,1000000)</f>
        <v>-103.196574</v>
      </c>
      <c r="C675" cm="1">
        <f t="array" aca="1" ref="C675" ca="1">[1]!s_west_eps($B$1,YEAR($A675),$A675,180)</f>
        <v>-0.11840000000000001</v>
      </c>
      <c r="D675" cm="1">
        <f t="array" aca="1" ref="D675" ca="1">[1]!s_west_instnum_np($B$1,YEAR($A675),$A675,180)</f>
        <v>16</v>
      </c>
      <c r="E675" cm="1">
        <f t="array" aca="1" ref="E675" ca="1">[1]!s_west_stdnetprofit($B$1,YEAR($A675),$A675,180,1000000)</f>
        <v>94.884512000000001</v>
      </c>
      <c r="F675" cm="1">
        <f t="array" aca="1" ref="F675" ca="1">[1]!s_west_mediannetprofit($B$1,YEAR($A675),$A675,180,1000000)</f>
        <v>-86</v>
      </c>
      <c r="G675" cm="1">
        <f t="array" aca="1" ref="G675" ca="1">[1]!s_west_netprofit($B$1,YEAR($A675)+1,$A675,180,1000000)</f>
        <v>9.1125299999999996</v>
      </c>
      <c r="H675" cm="1">
        <f t="array" aca="1" ref="H675" ca="1">[1]!s_west_eps($B$1,YEAR($A675)+1,$A675,180)</f>
        <v>1.04E-2</v>
      </c>
      <c r="I675" cm="1">
        <f t="array" aca="1" ref="I675" ca="1">[1]!s_west_instnum_np($B$1,YEAR($A675)+1,$A675,180)</f>
        <v>16</v>
      </c>
      <c r="J675" cm="1">
        <f t="array" aca="1" ref="J675" ca="1">[1]!s_west_stdnetprofit($B$1,YEAR($A675)+1,$A675,180,1000000)</f>
        <v>92.418456000000006</v>
      </c>
      <c r="K675" cm="1">
        <f t="array" aca="1" ref="K675" ca="1">[1]!s_west_mediannetprofit($B$1,YEAR($A674)+1,$A674,180,1000000)</f>
        <v>38</v>
      </c>
      <c r="L675" cm="1">
        <f t="array" aca="1" ref="L675" ca="1">[1]!s_dq_close($B$1,$A675,3)</f>
        <v>29.05</v>
      </c>
    </row>
    <row r="676" spans="1:12">
      <c r="A676" s="23">
        <f t="shared" ca="1" si="10"/>
        <v>45499</v>
      </c>
      <c r="B676" cm="1">
        <f t="array" aca="1" ref="B676" ca="1">[1]!s_west_netprofit($B$1,YEAR($A676),$A676,180,1000000)</f>
        <v>-103.196574</v>
      </c>
      <c r="C676" cm="1">
        <f t="array" aca="1" ref="C676" ca="1">[1]!s_west_eps($B$1,YEAR($A676),$A676,180)</f>
        <v>-0.11840000000000001</v>
      </c>
      <c r="D676" cm="1">
        <f t="array" aca="1" ref="D676" ca="1">[1]!s_west_instnum_np($B$1,YEAR($A676),$A676,180)</f>
        <v>16</v>
      </c>
      <c r="E676" cm="1">
        <f t="array" aca="1" ref="E676" ca="1">[1]!s_west_stdnetprofit($B$1,YEAR($A676),$A676,180,1000000)</f>
        <v>94.884512000000001</v>
      </c>
      <c r="F676" cm="1">
        <f t="array" aca="1" ref="F676" ca="1">[1]!s_west_mediannetprofit($B$1,YEAR($A676),$A676,180,1000000)</f>
        <v>-86</v>
      </c>
      <c r="G676" cm="1">
        <f t="array" aca="1" ref="G676" ca="1">[1]!s_west_netprofit($B$1,YEAR($A676)+1,$A676,180,1000000)</f>
        <v>9.1125299999999996</v>
      </c>
      <c r="H676" cm="1">
        <f t="array" aca="1" ref="H676" ca="1">[1]!s_west_eps($B$1,YEAR($A676)+1,$A676,180)</f>
        <v>1.04E-2</v>
      </c>
      <c r="I676" cm="1">
        <f t="array" aca="1" ref="I676" ca="1">[1]!s_west_instnum_np($B$1,YEAR($A676)+1,$A676,180)</f>
        <v>16</v>
      </c>
      <c r="J676" cm="1">
        <f t="array" aca="1" ref="J676" ca="1">[1]!s_west_stdnetprofit($B$1,YEAR($A676)+1,$A676,180,1000000)</f>
        <v>92.418456000000006</v>
      </c>
      <c r="K676" cm="1">
        <f t="array" aca="1" ref="K676" ca="1">[1]!s_west_mediannetprofit($B$1,YEAR($A675)+1,$A675,180,1000000)</f>
        <v>38</v>
      </c>
      <c r="L676" cm="1">
        <f t="array" aca="1" ref="L676" ca="1">[1]!s_dq_close($B$1,$A676,3)</f>
        <v>29.05</v>
      </c>
    </row>
    <row r="677" spans="1:12">
      <c r="A677" s="23">
        <f t="shared" ca="1" si="10"/>
        <v>45498</v>
      </c>
      <c r="B677" cm="1">
        <f t="array" aca="1" ref="B677" ca="1">[1]!s_west_netprofit($B$1,YEAR($A677),$A677,180,1000000)</f>
        <v>-103.196574</v>
      </c>
      <c r="C677" cm="1">
        <f t="array" aca="1" ref="C677" ca="1">[1]!s_west_eps($B$1,YEAR($A677),$A677,180)</f>
        <v>-0.11840000000000001</v>
      </c>
      <c r="D677" cm="1">
        <f t="array" aca="1" ref="D677" ca="1">[1]!s_west_instnum_np($B$1,YEAR($A677),$A677,180)</f>
        <v>16</v>
      </c>
      <c r="E677" cm="1">
        <f t="array" aca="1" ref="E677" ca="1">[1]!s_west_stdnetprofit($B$1,YEAR($A677),$A677,180,1000000)</f>
        <v>94.884512000000001</v>
      </c>
      <c r="F677" cm="1">
        <f t="array" aca="1" ref="F677" ca="1">[1]!s_west_mediannetprofit($B$1,YEAR($A677),$A677,180,1000000)</f>
        <v>-86</v>
      </c>
      <c r="G677" cm="1">
        <f t="array" aca="1" ref="G677" ca="1">[1]!s_west_netprofit($B$1,YEAR($A677)+1,$A677,180,1000000)</f>
        <v>9.1125299999999996</v>
      </c>
      <c r="H677" cm="1">
        <f t="array" aca="1" ref="H677" ca="1">[1]!s_west_eps($B$1,YEAR($A677)+1,$A677,180)</f>
        <v>1.04E-2</v>
      </c>
      <c r="I677" cm="1">
        <f t="array" aca="1" ref="I677" ca="1">[1]!s_west_instnum_np($B$1,YEAR($A677)+1,$A677,180)</f>
        <v>16</v>
      </c>
      <c r="J677" cm="1">
        <f t="array" aca="1" ref="J677" ca="1">[1]!s_west_stdnetprofit($B$1,YEAR($A677)+1,$A677,180,1000000)</f>
        <v>92.418456000000006</v>
      </c>
      <c r="K677" cm="1">
        <f t="array" aca="1" ref="K677" ca="1">[1]!s_west_mediannetprofit($B$1,YEAR($A676)+1,$A676,180,1000000)</f>
        <v>38</v>
      </c>
      <c r="L677" cm="1">
        <f t="array" aca="1" ref="L677" ca="1">[1]!s_dq_close($B$1,$A677,3)</f>
        <v>28.5</v>
      </c>
    </row>
    <row r="678" spans="1:12">
      <c r="A678" s="23">
        <f t="shared" ca="1" si="10"/>
        <v>45497</v>
      </c>
      <c r="B678" cm="1">
        <f t="array" aca="1" ref="B678" ca="1">[1]!s_west_netprofit($B$1,YEAR($A678),$A678,180,1000000)</f>
        <v>-103.196574</v>
      </c>
      <c r="C678" cm="1">
        <f t="array" aca="1" ref="C678" ca="1">[1]!s_west_eps($B$1,YEAR($A678),$A678,180)</f>
        <v>-0.11840000000000001</v>
      </c>
      <c r="D678" cm="1">
        <f t="array" aca="1" ref="D678" ca="1">[1]!s_west_instnum_np($B$1,YEAR($A678),$A678,180)</f>
        <v>16</v>
      </c>
      <c r="E678" cm="1">
        <f t="array" aca="1" ref="E678" ca="1">[1]!s_west_stdnetprofit($B$1,YEAR($A678),$A678,180,1000000)</f>
        <v>94.884512000000001</v>
      </c>
      <c r="F678" cm="1">
        <f t="array" aca="1" ref="F678" ca="1">[1]!s_west_mediannetprofit($B$1,YEAR($A678),$A678,180,1000000)</f>
        <v>-86</v>
      </c>
      <c r="G678" cm="1">
        <f t="array" aca="1" ref="G678" ca="1">[1]!s_west_netprofit($B$1,YEAR($A678)+1,$A678,180,1000000)</f>
        <v>9.1125299999999996</v>
      </c>
      <c r="H678" cm="1">
        <f t="array" aca="1" ref="H678" ca="1">[1]!s_west_eps($B$1,YEAR($A678)+1,$A678,180)</f>
        <v>1.04E-2</v>
      </c>
      <c r="I678" cm="1">
        <f t="array" aca="1" ref="I678" ca="1">[1]!s_west_instnum_np($B$1,YEAR($A678)+1,$A678,180)</f>
        <v>16</v>
      </c>
      <c r="J678" cm="1">
        <f t="array" aca="1" ref="J678" ca="1">[1]!s_west_stdnetprofit($B$1,YEAR($A678)+1,$A678,180,1000000)</f>
        <v>92.418456000000006</v>
      </c>
      <c r="K678" cm="1">
        <f t="array" aca="1" ref="K678" ca="1">[1]!s_west_mediannetprofit($B$1,YEAR($A677)+1,$A677,180,1000000)</f>
        <v>38</v>
      </c>
      <c r="L678" cm="1">
        <f t="array" aca="1" ref="L678" ca="1">[1]!s_dq_close($B$1,$A678,3)</f>
        <v>29.4</v>
      </c>
    </row>
    <row r="679" spans="1:12">
      <c r="A679" s="23">
        <f t="shared" ca="1" si="10"/>
        <v>45496</v>
      </c>
      <c r="B679" cm="1">
        <f t="array" aca="1" ref="B679" ca="1">[1]!s_west_netprofit($B$1,YEAR($A679),$A679,180,1000000)</f>
        <v>-103.196574</v>
      </c>
      <c r="C679" cm="1">
        <f t="array" aca="1" ref="C679" ca="1">[1]!s_west_eps($B$1,YEAR($A679),$A679,180)</f>
        <v>-0.11840000000000001</v>
      </c>
      <c r="D679" cm="1">
        <f t="array" aca="1" ref="D679" ca="1">[1]!s_west_instnum_np($B$1,YEAR($A679),$A679,180)</f>
        <v>16</v>
      </c>
      <c r="E679" cm="1">
        <f t="array" aca="1" ref="E679" ca="1">[1]!s_west_stdnetprofit($B$1,YEAR($A679),$A679,180,1000000)</f>
        <v>94.884512000000001</v>
      </c>
      <c r="F679" cm="1">
        <f t="array" aca="1" ref="F679" ca="1">[1]!s_west_mediannetprofit($B$1,YEAR($A679),$A679,180,1000000)</f>
        <v>-86</v>
      </c>
      <c r="G679" cm="1">
        <f t="array" aca="1" ref="G679" ca="1">[1]!s_west_netprofit($B$1,YEAR($A679)+1,$A679,180,1000000)</f>
        <v>9.1125299999999996</v>
      </c>
      <c r="H679" cm="1">
        <f t="array" aca="1" ref="H679" ca="1">[1]!s_west_eps($B$1,YEAR($A679)+1,$A679,180)</f>
        <v>1.04E-2</v>
      </c>
      <c r="I679" cm="1">
        <f t="array" aca="1" ref="I679" ca="1">[1]!s_west_instnum_np($B$1,YEAR($A679)+1,$A679,180)</f>
        <v>16</v>
      </c>
      <c r="J679" cm="1">
        <f t="array" aca="1" ref="J679" ca="1">[1]!s_west_stdnetprofit($B$1,YEAR($A679)+1,$A679,180,1000000)</f>
        <v>92.418456000000006</v>
      </c>
      <c r="K679" cm="1">
        <f t="array" aca="1" ref="K679" ca="1">[1]!s_west_mediannetprofit($B$1,YEAR($A678)+1,$A678,180,1000000)</f>
        <v>38</v>
      </c>
      <c r="L679" cm="1">
        <f t="array" aca="1" ref="L679" ca="1">[1]!s_dq_close($B$1,$A679,3)</f>
        <v>29.7</v>
      </c>
    </row>
    <row r="680" spans="1:12">
      <c r="A680" s="23">
        <f t="shared" ca="1" si="10"/>
        <v>45495</v>
      </c>
      <c r="B680" cm="1">
        <f t="array" aca="1" ref="B680" ca="1">[1]!s_west_netprofit($B$1,YEAR($A680),$A680,180,1000000)</f>
        <v>-103.196574</v>
      </c>
      <c r="C680" cm="1">
        <f t="array" aca="1" ref="C680" ca="1">[1]!s_west_eps($B$1,YEAR($A680),$A680,180)</f>
        <v>-0.11840000000000001</v>
      </c>
      <c r="D680" cm="1">
        <f t="array" aca="1" ref="D680" ca="1">[1]!s_west_instnum_np($B$1,YEAR($A680),$A680,180)</f>
        <v>16</v>
      </c>
      <c r="E680" cm="1">
        <f t="array" aca="1" ref="E680" ca="1">[1]!s_west_stdnetprofit($B$1,YEAR($A680),$A680,180,1000000)</f>
        <v>94.884512000000001</v>
      </c>
      <c r="F680" cm="1">
        <f t="array" aca="1" ref="F680" ca="1">[1]!s_west_mediannetprofit($B$1,YEAR($A680),$A680,180,1000000)</f>
        <v>-86</v>
      </c>
      <c r="G680" cm="1">
        <f t="array" aca="1" ref="G680" ca="1">[1]!s_west_netprofit($B$1,YEAR($A680)+1,$A680,180,1000000)</f>
        <v>9.1125299999999996</v>
      </c>
      <c r="H680" cm="1">
        <f t="array" aca="1" ref="H680" ca="1">[1]!s_west_eps($B$1,YEAR($A680)+1,$A680,180)</f>
        <v>1.04E-2</v>
      </c>
      <c r="I680" cm="1">
        <f t="array" aca="1" ref="I680" ca="1">[1]!s_west_instnum_np($B$1,YEAR($A680)+1,$A680,180)</f>
        <v>16</v>
      </c>
      <c r="J680" cm="1">
        <f t="array" aca="1" ref="J680" ca="1">[1]!s_west_stdnetprofit($B$1,YEAR($A680)+1,$A680,180,1000000)</f>
        <v>92.418456000000006</v>
      </c>
      <c r="K680" cm="1">
        <f t="array" aca="1" ref="K680" ca="1">[1]!s_west_mediannetprofit($B$1,YEAR($A679)+1,$A679,180,1000000)</f>
        <v>38</v>
      </c>
      <c r="L680" cm="1">
        <f t="array" aca="1" ref="L680" ca="1">[1]!s_dq_close($B$1,$A680,3)</f>
        <v>31.25</v>
      </c>
    </row>
    <row r="681" spans="1:12">
      <c r="A681" s="23">
        <f t="shared" ca="1" si="10"/>
        <v>45494</v>
      </c>
      <c r="B681" cm="1">
        <f t="array" aca="1" ref="B681" ca="1">[1]!s_west_netprofit($B$1,YEAR($A681),$A681,180,1000000)</f>
        <v>-103.196574</v>
      </c>
      <c r="C681" cm="1">
        <f t="array" aca="1" ref="C681" ca="1">[1]!s_west_eps($B$1,YEAR($A681),$A681,180)</f>
        <v>-0.11840000000000001</v>
      </c>
      <c r="D681" cm="1">
        <f t="array" aca="1" ref="D681" ca="1">[1]!s_west_instnum_np($B$1,YEAR($A681),$A681,180)</f>
        <v>16</v>
      </c>
      <c r="E681" cm="1">
        <f t="array" aca="1" ref="E681" ca="1">[1]!s_west_stdnetprofit($B$1,YEAR($A681),$A681,180,1000000)</f>
        <v>94.884512000000001</v>
      </c>
      <c r="F681" cm="1">
        <f t="array" aca="1" ref="F681" ca="1">[1]!s_west_mediannetprofit($B$1,YEAR($A681),$A681,180,1000000)</f>
        <v>-86</v>
      </c>
      <c r="G681" cm="1">
        <f t="array" aca="1" ref="G681" ca="1">[1]!s_west_netprofit($B$1,YEAR($A681)+1,$A681,180,1000000)</f>
        <v>9.1125299999999996</v>
      </c>
      <c r="H681" cm="1">
        <f t="array" aca="1" ref="H681" ca="1">[1]!s_west_eps($B$1,YEAR($A681)+1,$A681,180)</f>
        <v>1.04E-2</v>
      </c>
      <c r="I681" cm="1">
        <f t="array" aca="1" ref="I681" ca="1">[1]!s_west_instnum_np($B$1,YEAR($A681)+1,$A681,180)</f>
        <v>16</v>
      </c>
      <c r="J681" cm="1">
        <f t="array" aca="1" ref="J681" ca="1">[1]!s_west_stdnetprofit($B$1,YEAR($A681)+1,$A681,180,1000000)</f>
        <v>92.418456000000006</v>
      </c>
      <c r="K681" cm="1">
        <f t="array" aca="1" ref="K681" ca="1">[1]!s_west_mediannetprofit($B$1,YEAR($A680)+1,$A680,180,1000000)</f>
        <v>38</v>
      </c>
      <c r="L681" cm="1">
        <f t="array" aca="1" ref="L681" ca="1">[1]!s_dq_close($B$1,$A681,3)</f>
        <v>29.6</v>
      </c>
    </row>
    <row r="682" spans="1:12">
      <c r="A682" s="23">
        <f t="shared" ca="1" si="10"/>
        <v>45493</v>
      </c>
      <c r="B682" cm="1">
        <f t="array" aca="1" ref="B682" ca="1">[1]!s_west_netprofit($B$1,YEAR($A682),$A682,180,1000000)</f>
        <v>-103.196574</v>
      </c>
      <c r="C682" cm="1">
        <f t="array" aca="1" ref="C682" ca="1">[1]!s_west_eps($B$1,YEAR($A682),$A682,180)</f>
        <v>-0.11840000000000001</v>
      </c>
      <c r="D682" cm="1">
        <f t="array" aca="1" ref="D682" ca="1">[1]!s_west_instnum_np($B$1,YEAR($A682),$A682,180)</f>
        <v>16</v>
      </c>
      <c r="E682" cm="1">
        <f t="array" aca="1" ref="E682" ca="1">[1]!s_west_stdnetprofit($B$1,YEAR($A682),$A682,180,1000000)</f>
        <v>94.884512000000001</v>
      </c>
      <c r="F682" cm="1">
        <f t="array" aca="1" ref="F682" ca="1">[1]!s_west_mediannetprofit($B$1,YEAR($A682),$A682,180,1000000)</f>
        <v>-86</v>
      </c>
      <c r="G682" cm="1">
        <f t="array" aca="1" ref="G682" ca="1">[1]!s_west_netprofit($B$1,YEAR($A682)+1,$A682,180,1000000)</f>
        <v>9.1125299999999996</v>
      </c>
      <c r="H682" cm="1">
        <f t="array" aca="1" ref="H682" ca="1">[1]!s_west_eps($B$1,YEAR($A682)+1,$A682,180)</f>
        <v>1.04E-2</v>
      </c>
      <c r="I682" cm="1">
        <f t="array" aca="1" ref="I682" ca="1">[1]!s_west_instnum_np($B$1,YEAR($A682)+1,$A682,180)</f>
        <v>16</v>
      </c>
      <c r="J682" cm="1">
        <f t="array" aca="1" ref="J682" ca="1">[1]!s_west_stdnetprofit($B$1,YEAR($A682)+1,$A682,180,1000000)</f>
        <v>92.418456000000006</v>
      </c>
      <c r="K682" cm="1">
        <f t="array" aca="1" ref="K682" ca="1">[1]!s_west_mediannetprofit($B$1,YEAR($A681)+1,$A681,180,1000000)</f>
        <v>38</v>
      </c>
      <c r="L682" cm="1">
        <f t="array" aca="1" ref="L682" ca="1">[1]!s_dq_close($B$1,$A682,3)</f>
        <v>29.6</v>
      </c>
    </row>
    <row r="683" spans="1:12">
      <c r="A683" s="23">
        <f t="shared" ca="1" si="10"/>
        <v>45492</v>
      </c>
      <c r="B683" cm="1">
        <f t="array" aca="1" ref="B683" ca="1">[1]!s_west_netprofit($B$1,YEAR($A683),$A683,180,1000000)</f>
        <v>-103.196574</v>
      </c>
      <c r="C683" cm="1">
        <f t="array" aca="1" ref="C683" ca="1">[1]!s_west_eps($B$1,YEAR($A683),$A683,180)</f>
        <v>-0.11840000000000001</v>
      </c>
      <c r="D683" cm="1">
        <f t="array" aca="1" ref="D683" ca="1">[1]!s_west_instnum_np($B$1,YEAR($A683),$A683,180)</f>
        <v>16</v>
      </c>
      <c r="E683" cm="1">
        <f t="array" aca="1" ref="E683" ca="1">[1]!s_west_stdnetprofit($B$1,YEAR($A683),$A683,180,1000000)</f>
        <v>94.884512000000001</v>
      </c>
      <c r="F683" cm="1">
        <f t="array" aca="1" ref="F683" ca="1">[1]!s_west_mediannetprofit($B$1,YEAR($A683),$A683,180,1000000)</f>
        <v>-86</v>
      </c>
      <c r="G683" cm="1">
        <f t="array" aca="1" ref="G683" ca="1">[1]!s_west_netprofit($B$1,YEAR($A683)+1,$A683,180,1000000)</f>
        <v>9.1125299999999996</v>
      </c>
      <c r="H683" cm="1">
        <f t="array" aca="1" ref="H683" ca="1">[1]!s_west_eps($B$1,YEAR($A683)+1,$A683,180)</f>
        <v>1.04E-2</v>
      </c>
      <c r="I683" cm="1">
        <f t="array" aca="1" ref="I683" ca="1">[1]!s_west_instnum_np($B$1,YEAR($A683)+1,$A683,180)</f>
        <v>16</v>
      </c>
      <c r="J683" cm="1">
        <f t="array" aca="1" ref="J683" ca="1">[1]!s_west_stdnetprofit($B$1,YEAR($A683)+1,$A683,180,1000000)</f>
        <v>92.418456000000006</v>
      </c>
      <c r="K683" cm="1">
        <f t="array" aca="1" ref="K683" ca="1">[1]!s_west_mediannetprofit($B$1,YEAR($A682)+1,$A682,180,1000000)</f>
        <v>38</v>
      </c>
      <c r="L683" cm="1">
        <f t="array" aca="1" ref="L683" ca="1">[1]!s_dq_close($B$1,$A683,3)</f>
        <v>29.6</v>
      </c>
    </row>
    <row r="684" spans="1:12">
      <c r="A684" s="23">
        <f t="shared" ca="1" si="10"/>
        <v>45491</v>
      </c>
      <c r="B684" cm="1">
        <f t="array" aca="1" ref="B684" ca="1">[1]!s_west_netprofit($B$1,YEAR($A684),$A684,180,1000000)</f>
        <v>-103.196574</v>
      </c>
      <c r="C684" cm="1">
        <f t="array" aca="1" ref="C684" ca="1">[1]!s_west_eps($B$1,YEAR($A684),$A684,180)</f>
        <v>-0.11840000000000001</v>
      </c>
      <c r="D684" cm="1">
        <f t="array" aca="1" ref="D684" ca="1">[1]!s_west_instnum_np($B$1,YEAR($A684),$A684,180)</f>
        <v>16</v>
      </c>
      <c r="E684" cm="1">
        <f t="array" aca="1" ref="E684" ca="1">[1]!s_west_stdnetprofit($B$1,YEAR($A684),$A684,180,1000000)</f>
        <v>94.884512000000001</v>
      </c>
      <c r="F684" cm="1">
        <f t="array" aca="1" ref="F684" ca="1">[1]!s_west_mediannetprofit($B$1,YEAR($A684),$A684,180,1000000)</f>
        <v>-86</v>
      </c>
      <c r="G684" cm="1">
        <f t="array" aca="1" ref="G684" ca="1">[1]!s_west_netprofit($B$1,YEAR($A684)+1,$A684,180,1000000)</f>
        <v>9.1125299999999996</v>
      </c>
      <c r="H684" cm="1">
        <f t="array" aca="1" ref="H684" ca="1">[1]!s_west_eps($B$1,YEAR($A684)+1,$A684,180)</f>
        <v>1.04E-2</v>
      </c>
      <c r="I684" cm="1">
        <f t="array" aca="1" ref="I684" ca="1">[1]!s_west_instnum_np($B$1,YEAR($A684)+1,$A684,180)</f>
        <v>16</v>
      </c>
      <c r="J684" cm="1">
        <f t="array" aca="1" ref="J684" ca="1">[1]!s_west_stdnetprofit($B$1,YEAR($A684)+1,$A684,180,1000000)</f>
        <v>92.418456000000006</v>
      </c>
      <c r="K684" cm="1">
        <f t="array" aca="1" ref="K684" ca="1">[1]!s_west_mediannetprofit($B$1,YEAR($A683)+1,$A683,180,1000000)</f>
        <v>38</v>
      </c>
      <c r="L684" cm="1">
        <f t="array" aca="1" ref="L684" ca="1">[1]!s_dq_close($B$1,$A684,3)</f>
        <v>30.55</v>
      </c>
    </row>
    <row r="685" spans="1:12">
      <c r="A685" s="23">
        <f t="shared" ca="1" si="10"/>
        <v>45490</v>
      </c>
      <c r="B685" cm="1">
        <f t="array" aca="1" ref="B685" ca="1">[1]!s_west_netprofit($B$1,YEAR($A685),$A685,180,1000000)</f>
        <v>-103.196574</v>
      </c>
      <c r="C685" cm="1">
        <f t="array" aca="1" ref="C685" ca="1">[1]!s_west_eps($B$1,YEAR($A685),$A685,180)</f>
        <v>-0.11840000000000001</v>
      </c>
      <c r="D685" cm="1">
        <f t="array" aca="1" ref="D685" ca="1">[1]!s_west_instnum_np($B$1,YEAR($A685),$A685,180)</f>
        <v>16</v>
      </c>
      <c r="E685" cm="1">
        <f t="array" aca="1" ref="E685" ca="1">[1]!s_west_stdnetprofit($B$1,YEAR($A685),$A685,180,1000000)</f>
        <v>94.884512000000001</v>
      </c>
      <c r="F685" cm="1">
        <f t="array" aca="1" ref="F685" ca="1">[1]!s_west_mediannetprofit($B$1,YEAR($A685),$A685,180,1000000)</f>
        <v>-86</v>
      </c>
      <c r="G685" cm="1">
        <f t="array" aca="1" ref="G685" ca="1">[1]!s_west_netprofit($B$1,YEAR($A685)+1,$A685,180,1000000)</f>
        <v>9.1125299999999996</v>
      </c>
      <c r="H685" cm="1">
        <f t="array" aca="1" ref="H685" ca="1">[1]!s_west_eps($B$1,YEAR($A685)+1,$A685,180)</f>
        <v>1.04E-2</v>
      </c>
      <c r="I685" cm="1">
        <f t="array" aca="1" ref="I685" ca="1">[1]!s_west_instnum_np($B$1,YEAR($A685)+1,$A685,180)</f>
        <v>16</v>
      </c>
      <c r="J685" cm="1">
        <f t="array" aca="1" ref="J685" ca="1">[1]!s_west_stdnetprofit($B$1,YEAR($A685)+1,$A685,180,1000000)</f>
        <v>92.418456000000006</v>
      </c>
      <c r="K685" cm="1">
        <f t="array" aca="1" ref="K685" ca="1">[1]!s_west_mediannetprofit($B$1,YEAR($A684)+1,$A684,180,1000000)</f>
        <v>38</v>
      </c>
      <c r="L685" cm="1">
        <f t="array" aca="1" ref="L685" ca="1">[1]!s_dq_close($B$1,$A685,3)</f>
        <v>30.1</v>
      </c>
    </row>
    <row r="686" spans="1:12">
      <c r="A686" s="23">
        <f t="shared" ca="1" si="10"/>
        <v>45489</v>
      </c>
      <c r="B686" cm="1">
        <f t="array" aca="1" ref="B686" ca="1">[1]!s_west_netprofit($B$1,YEAR($A686),$A686,180,1000000)</f>
        <v>-103.196574</v>
      </c>
      <c r="C686" cm="1">
        <f t="array" aca="1" ref="C686" ca="1">[1]!s_west_eps($B$1,YEAR($A686),$A686,180)</f>
        <v>-0.11840000000000001</v>
      </c>
      <c r="D686" cm="1">
        <f t="array" aca="1" ref="D686" ca="1">[1]!s_west_instnum_np($B$1,YEAR($A686),$A686,180)</f>
        <v>16</v>
      </c>
      <c r="E686" cm="1">
        <f t="array" aca="1" ref="E686" ca="1">[1]!s_west_stdnetprofit($B$1,YEAR($A686),$A686,180,1000000)</f>
        <v>94.884512000000001</v>
      </c>
      <c r="F686" cm="1">
        <f t="array" aca="1" ref="F686" ca="1">[1]!s_west_mediannetprofit($B$1,YEAR($A686),$A686,180,1000000)</f>
        <v>-86</v>
      </c>
      <c r="G686" cm="1">
        <f t="array" aca="1" ref="G686" ca="1">[1]!s_west_netprofit($B$1,YEAR($A686)+1,$A686,180,1000000)</f>
        <v>9.1125299999999996</v>
      </c>
      <c r="H686" cm="1">
        <f t="array" aca="1" ref="H686" ca="1">[1]!s_west_eps($B$1,YEAR($A686)+1,$A686,180)</f>
        <v>1.04E-2</v>
      </c>
      <c r="I686" cm="1">
        <f t="array" aca="1" ref="I686" ca="1">[1]!s_west_instnum_np($B$1,YEAR($A686)+1,$A686,180)</f>
        <v>16</v>
      </c>
      <c r="J686" cm="1">
        <f t="array" aca="1" ref="J686" ca="1">[1]!s_west_stdnetprofit($B$1,YEAR($A686)+1,$A686,180,1000000)</f>
        <v>92.418456000000006</v>
      </c>
      <c r="K686" cm="1">
        <f t="array" aca="1" ref="K686" ca="1">[1]!s_west_mediannetprofit($B$1,YEAR($A685)+1,$A685,180,1000000)</f>
        <v>38</v>
      </c>
      <c r="L686" cm="1">
        <f t="array" aca="1" ref="L686" ca="1">[1]!s_dq_close($B$1,$A686,3)</f>
        <v>29.3</v>
      </c>
    </row>
    <row r="687" spans="1:12">
      <c r="A687" s="23">
        <f t="shared" ca="1" si="10"/>
        <v>45488</v>
      </c>
      <c r="B687" cm="1">
        <f t="array" aca="1" ref="B687" ca="1">[1]!s_west_netprofit($B$1,YEAR($A687),$A687,180,1000000)</f>
        <v>-103.196574</v>
      </c>
      <c r="C687" cm="1">
        <f t="array" aca="1" ref="C687" ca="1">[1]!s_west_eps($B$1,YEAR($A687),$A687,180)</f>
        <v>-0.11840000000000001</v>
      </c>
      <c r="D687" cm="1">
        <f t="array" aca="1" ref="D687" ca="1">[1]!s_west_instnum_np($B$1,YEAR($A687),$A687,180)</f>
        <v>16</v>
      </c>
      <c r="E687" cm="1">
        <f t="array" aca="1" ref="E687" ca="1">[1]!s_west_stdnetprofit($B$1,YEAR($A687),$A687,180,1000000)</f>
        <v>94.884512000000001</v>
      </c>
      <c r="F687" cm="1">
        <f t="array" aca="1" ref="F687" ca="1">[1]!s_west_mediannetprofit($B$1,YEAR($A687),$A687,180,1000000)</f>
        <v>-86</v>
      </c>
      <c r="G687" cm="1">
        <f t="array" aca="1" ref="G687" ca="1">[1]!s_west_netprofit($B$1,YEAR($A687)+1,$A687,180,1000000)</f>
        <v>9.1125299999999996</v>
      </c>
      <c r="H687" cm="1">
        <f t="array" aca="1" ref="H687" ca="1">[1]!s_west_eps($B$1,YEAR($A687)+1,$A687,180)</f>
        <v>1.04E-2</v>
      </c>
      <c r="I687" cm="1">
        <f t="array" aca="1" ref="I687" ca="1">[1]!s_west_instnum_np($B$1,YEAR($A687)+1,$A687,180)</f>
        <v>16</v>
      </c>
      <c r="J687" cm="1">
        <f t="array" aca="1" ref="J687" ca="1">[1]!s_west_stdnetprofit($B$1,YEAR($A687)+1,$A687,180,1000000)</f>
        <v>92.418456000000006</v>
      </c>
      <c r="K687" cm="1">
        <f t="array" aca="1" ref="K687" ca="1">[1]!s_west_mediannetprofit($B$1,YEAR($A686)+1,$A686,180,1000000)</f>
        <v>38</v>
      </c>
      <c r="L687" cm="1">
        <f t="array" aca="1" ref="L687" ca="1">[1]!s_dq_close($B$1,$A687,3)</f>
        <v>29.95</v>
      </c>
    </row>
    <row r="688" spans="1:12">
      <c r="A688" s="23">
        <f t="shared" ca="1" si="10"/>
        <v>45487</v>
      </c>
      <c r="B688" cm="1">
        <f t="array" aca="1" ref="B688" ca="1">[1]!s_west_netprofit($B$1,YEAR($A688),$A688,180,1000000)</f>
        <v>-103.196574</v>
      </c>
      <c r="C688" cm="1">
        <f t="array" aca="1" ref="C688" ca="1">[1]!s_west_eps($B$1,YEAR($A688),$A688,180)</f>
        <v>-0.11840000000000001</v>
      </c>
      <c r="D688" cm="1">
        <f t="array" aca="1" ref="D688" ca="1">[1]!s_west_instnum_np($B$1,YEAR($A688),$A688,180)</f>
        <v>16</v>
      </c>
      <c r="E688" cm="1">
        <f t="array" aca="1" ref="E688" ca="1">[1]!s_west_stdnetprofit($B$1,YEAR($A688),$A688,180,1000000)</f>
        <v>94.884512000000001</v>
      </c>
      <c r="F688" cm="1">
        <f t="array" aca="1" ref="F688" ca="1">[1]!s_west_mediannetprofit($B$1,YEAR($A688),$A688,180,1000000)</f>
        <v>-86</v>
      </c>
      <c r="G688" cm="1">
        <f t="array" aca="1" ref="G688" ca="1">[1]!s_west_netprofit($B$1,YEAR($A688)+1,$A688,180,1000000)</f>
        <v>9.1125299999999996</v>
      </c>
      <c r="H688" cm="1">
        <f t="array" aca="1" ref="H688" ca="1">[1]!s_west_eps($B$1,YEAR($A688)+1,$A688,180)</f>
        <v>1.04E-2</v>
      </c>
      <c r="I688" cm="1">
        <f t="array" aca="1" ref="I688" ca="1">[1]!s_west_instnum_np($B$1,YEAR($A688)+1,$A688,180)</f>
        <v>16</v>
      </c>
      <c r="J688" cm="1">
        <f t="array" aca="1" ref="J688" ca="1">[1]!s_west_stdnetprofit($B$1,YEAR($A688)+1,$A688,180,1000000)</f>
        <v>92.418456000000006</v>
      </c>
      <c r="K688" cm="1">
        <f t="array" aca="1" ref="K688" ca="1">[1]!s_west_mediannetprofit($B$1,YEAR($A687)+1,$A687,180,1000000)</f>
        <v>38</v>
      </c>
      <c r="L688" cm="1">
        <f t="array" aca="1" ref="L688" ca="1">[1]!s_dq_close($B$1,$A688,3)</f>
        <v>29.75</v>
      </c>
    </row>
    <row r="689" spans="1:12">
      <c r="A689" s="23">
        <f t="shared" ca="1" si="10"/>
        <v>45486</v>
      </c>
      <c r="B689" cm="1">
        <f t="array" aca="1" ref="B689" ca="1">[1]!s_west_netprofit($B$1,YEAR($A689),$A689,180,1000000)</f>
        <v>-103.196574</v>
      </c>
      <c r="C689" cm="1">
        <f t="array" aca="1" ref="C689" ca="1">[1]!s_west_eps($B$1,YEAR($A689),$A689,180)</f>
        <v>-0.11840000000000001</v>
      </c>
      <c r="D689" cm="1">
        <f t="array" aca="1" ref="D689" ca="1">[1]!s_west_instnum_np($B$1,YEAR($A689),$A689,180)</f>
        <v>16</v>
      </c>
      <c r="E689" cm="1">
        <f t="array" aca="1" ref="E689" ca="1">[1]!s_west_stdnetprofit($B$1,YEAR($A689),$A689,180,1000000)</f>
        <v>94.884512000000001</v>
      </c>
      <c r="F689" cm="1">
        <f t="array" aca="1" ref="F689" ca="1">[1]!s_west_mediannetprofit($B$1,YEAR($A689),$A689,180,1000000)</f>
        <v>-86</v>
      </c>
      <c r="G689" cm="1">
        <f t="array" aca="1" ref="G689" ca="1">[1]!s_west_netprofit($B$1,YEAR($A689)+1,$A689,180,1000000)</f>
        <v>9.1125299999999996</v>
      </c>
      <c r="H689" cm="1">
        <f t="array" aca="1" ref="H689" ca="1">[1]!s_west_eps($B$1,YEAR($A689)+1,$A689,180)</f>
        <v>1.04E-2</v>
      </c>
      <c r="I689" cm="1">
        <f t="array" aca="1" ref="I689" ca="1">[1]!s_west_instnum_np($B$1,YEAR($A689)+1,$A689,180)</f>
        <v>16</v>
      </c>
      <c r="J689" cm="1">
        <f t="array" aca="1" ref="J689" ca="1">[1]!s_west_stdnetprofit($B$1,YEAR($A689)+1,$A689,180,1000000)</f>
        <v>92.418456000000006</v>
      </c>
      <c r="K689" cm="1">
        <f t="array" aca="1" ref="K689" ca="1">[1]!s_west_mediannetprofit($B$1,YEAR($A688)+1,$A688,180,1000000)</f>
        <v>38</v>
      </c>
      <c r="L689" cm="1">
        <f t="array" aca="1" ref="L689" ca="1">[1]!s_dq_close($B$1,$A689,3)</f>
        <v>29.75</v>
      </c>
    </row>
    <row r="690" spans="1:12">
      <c r="A690" s="23">
        <f t="shared" ca="1" si="10"/>
        <v>45485</v>
      </c>
      <c r="B690" cm="1">
        <f t="array" aca="1" ref="B690" ca="1">[1]!s_west_netprofit($B$1,YEAR($A690),$A690,180,1000000)</f>
        <v>-103.196574</v>
      </c>
      <c r="C690" cm="1">
        <f t="array" aca="1" ref="C690" ca="1">[1]!s_west_eps($B$1,YEAR($A690),$A690,180)</f>
        <v>-0.11840000000000001</v>
      </c>
      <c r="D690" cm="1">
        <f t="array" aca="1" ref="D690" ca="1">[1]!s_west_instnum_np($B$1,YEAR($A690),$A690,180)</f>
        <v>16</v>
      </c>
      <c r="E690" cm="1">
        <f t="array" aca="1" ref="E690" ca="1">[1]!s_west_stdnetprofit($B$1,YEAR($A690),$A690,180,1000000)</f>
        <v>94.884512000000001</v>
      </c>
      <c r="F690" cm="1">
        <f t="array" aca="1" ref="F690" ca="1">[1]!s_west_mediannetprofit($B$1,YEAR($A690),$A690,180,1000000)</f>
        <v>-86</v>
      </c>
      <c r="G690" cm="1">
        <f t="array" aca="1" ref="G690" ca="1">[1]!s_west_netprofit($B$1,YEAR($A690)+1,$A690,180,1000000)</f>
        <v>9.1125299999999996</v>
      </c>
      <c r="H690" cm="1">
        <f t="array" aca="1" ref="H690" ca="1">[1]!s_west_eps($B$1,YEAR($A690)+1,$A690,180)</f>
        <v>1.04E-2</v>
      </c>
      <c r="I690" cm="1">
        <f t="array" aca="1" ref="I690" ca="1">[1]!s_west_instnum_np($B$1,YEAR($A690)+1,$A690,180)</f>
        <v>16</v>
      </c>
      <c r="J690" cm="1">
        <f t="array" aca="1" ref="J690" ca="1">[1]!s_west_stdnetprofit($B$1,YEAR($A690)+1,$A690,180,1000000)</f>
        <v>92.418456000000006</v>
      </c>
      <c r="K690" cm="1">
        <f t="array" aca="1" ref="K690" ca="1">[1]!s_west_mediannetprofit($B$1,YEAR($A689)+1,$A689,180,1000000)</f>
        <v>38</v>
      </c>
      <c r="L690" cm="1">
        <f t="array" aca="1" ref="L690" ca="1">[1]!s_dq_close($B$1,$A690,3)</f>
        <v>29.75</v>
      </c>
    </row>
    <row r="691" spans="1:12">
      <c r="A691" s="23">
        <f t="shared" ca="1" si="10"/>
        <v>45484</v>
      </c>
      <c r="B691" cm="1">
        <f t="array" aca="1" ref="B691" ca="1">[1]!s_west_netprofit($B$1,YEAR($A691),$A691,180,1000000)</f>
        <v>-103.196574</v>
      </c>
      <c r="C691" cm="1">
        <f t="array" aca="1" ref="C691" ca="1">[1]!s_west_eps($B$1,YEAR($A691),$A691,180)</f>
        <v>-0.11840000000000001</v>
      </c>
      <c r="D691" cm="1">
        <f t="array" aca="1" ref="D691" ca="1">[1]!s_west_instnum_np($B$1,YEAR($A691),$A691,180)</f>
        <v>16</v>
      </c>
      <c r="E691" cm="1">
        <f t="array" aca="1" ref="E691" ca="1">[1]!s_west_stdnetprofit($B$1,YEAR($A691),$A691,180,1000000)</f>
        <v>94.884512000000001</v>
      </c>
      <c r="F691" cm="1">
        <f t="array" aca="1" ref="F691" ca="1">[1]!s_west_mediannetprofit($B$1,YEAR($A691),$A691,180,1000000)</f>
        <v>-86</v>
      </c>
      <c r="G691" cm="1">
        <f t="array" aca="1" ref="G691" ca="1">[1]!s_west_netprofit($B$1,YEAR($A691)+1,$A691,180,1000000)</f>
        <v>9.1125299999999996</v>
      </c>
      <c r="H691" cm="1">
        <f t="array" aca="1" ref="H691" ca="1">[1]!s_west_eps($B$1,YEAR($A691)+1,$A691,180)</f>
        <v>1.04E-2</v>
      </c>
      <c r="I691" cm="1">
        <f t="array" aca="1" ref="I691" ca="1">[1]!s_west_instnum_np($B$1,YEAR($A691)+1,$A691,180)</f>
        <v>16</v>
      </c>
      <c r="J691" cm="1">
        <f t="array" aca="1" ref="J691" ca="1">[1]!s_west_stdnetprofit($B$1,YEAR($A691)+1,$A691,180,1000000)</f>
        <v>92.418456000000006</v>
      </c>
      <c r="K691" cm="1">
        <f t="array" aca="1" ref="K691" ca="1">[1]!s_west_mediannetprofit($B$1,YEAR($A690)+1,$A690,180,1000000)</f>
        <v>38</v>
      </c>
      <c r="L691" cm="1">
        <f t="array" aca="1" ref="L691" ca="1">[1]!s_dq_close($B$1,$A691,3)</f>
        <v>27.75</v>
      </c>
    </row>
    <row r="692" spans="1:12">
      <c r="A692" s="23">
        <f t="shared" ca="1" si="10"/>
        <v>45483</v>
      </c>
      <c r="B692" cm="1">
        <f t="array" aca="1" ref="B692" ca="1">[1]!s_west_netprofit($B$1,YEAR($A692),$A692,180,1000000)</f>
        <v>-103.196574</v>
      </c>
      <c r="C692" cm="1">
        <f t="array" aca="1" ref="C692" ca="1">[1]!s_west_eps($B$1,YEAR($A692),$A692,180)</f>
        <v>-0.11840000000000001</v>
      </c>
      <c r="D692" cm="1">
        <f t="array" aca="1" ref="D692" ca="1">[1]!s_west_instnum_np($B$1,YEAR($A692),$A692,180)</f>
        <v>16</v>
      </c>
      <c r="E692" cm="1">
        <f t="array" aca="1" ref="E692" ca="1">[1]!s_west_stdnetprofit($B$1,YEAR($A692),$A692,180,1000000)</f>
        <v>94.884512000000001</v>
      </c>
      <c r="F692" cm="1">
        <f t="array" aca="1" ref="F692" ca="1">[1]!s_west_mediannetprofit($B$1,YEAR($A692),$A692,180,1000000)</f>
        <v>-86</v>
      </c>
      <c r="G692" cm="1">
        <f t="array" aca="1" ref="G692" ca="1">[1]!s_west_netprofit($B$1,YEAR($A692)+1,$A692,180,1000000)</f>
        <v>9.1125299999999996</v>
      </c>
      <c r="H692" cm="1">
        <f t="array" aca="1" ref="H692" ca="1">[1]!s_west_eps($B$1,YEAR($A692)+1,$A692,180)</f>
        <v>1.04E-2</v>
      </c>
      <c r="I692" cm="1">
        <f t="array" aca="1" ref="I692" ca="1">[1]!s_west_instnum_np($B$1,YEAR($A692)+1,$A692,180)</f>
        <v>16</v>
      </c>
      <c r="J692" cm="1">
        <f t="array" aca="1" ref="J692" ca="1">[1]!s_west_stdnetprofit($B$1,YEAR($A692)+1,$A692,180,1000000)</f>
        <v>92.418456000000006</v>
      </c>
      <c r="K692" cm="1">
        <f t="array" aca="1" ref="K692" ca="1">[1]!s_west_mediannetprofit($B$1,YEAR($A691)+1,$A691,180,1000000)</f>
        <v>38</v>
      </c>
      <c r="L692" cm="1">
        <f t="array" aca="1" ref="L692" ca="1">[1]!s_dq_close($B$1,$A692,3)</f>
        <v>27</v>
      </c>
    </row>
    <row r="693" spans="1:12">
      <c r="A693" s="23">
        <f t="shared" ca="1" si="10"/>
        <v>45482</v>
      </c>
      <c r="B693" cm="1">
        <f t="array" aca="1" ref="B693" ca="1">[1]!s_west_netprofit($B$1,YEAR($A693),$A693,180,1000000)</f>
        <v>-111.251735</v>
      </c>
      <c r="C693" cm="1">
        <f t="array" aca="1" ref="C693" ca="1">[1]!s_west_eps($B$1,YEAR($A693),$A693,180)</f>
        <v>-0.12770000000000001</v>
      </c>
      <c r="D693" cm="1">
        <f t="array" aca="1" ref="D693" ca="1">[1]!s_west_instnum_np($B$1,YEAR($A693),$A693,180)</f>
        <v>15</v>
      </c>
      <c r="E693" cm="1">
        <f t="array" aca="1" ref="E693" ca="1">[1]!s_west_stdnetprofit($B$1,YEAR($A693),$A693,180,1000000)</f>
        <v>96.013750000000002</v>
      </c>
      <c r="F693" cm="1">
        <f t="array" aca="1" ref="F693" ca="1">[1]!s_west_mediannetprofit($B$1,YEAR($A693),$A693,180,1000000)</f>
        <v>-101</v>
      </c>
      <c r="G693" cm="1">
        <f t="array" aca="1" ref="G693" ca="1">[1]!s_west_netprofit($B$1,YEAR($A693)+1,$A693,180,1000000)</f>
        <v>10.838001</v>
      </c>
      <c r="H693" cm="1">
        <f t="array" aca="1" ref="H693" ca="1">[1]!s_west_eps($B$1,YEAR($A693)+1,$A693,180)</f>
        <v>1.24E-2</v>
      </c>
      <c r="I693" cm="1">
        <f t="array" aca="1" ref="I693" ca="1">[1]!s_west_instnum_np($B$1,YEAR($A693)+1,$A693,180)</f>
        <v>15</v>
      </c>
      <c r="J693" cm="1">
        <f t="array" aca="1" ref="J693" ca="1">[1]!s_west_stdnetprofit($B$1,YEAR($A693)+1,$A693,180,1000000)</f>
        <v>97.338333000000006</v>
      </c>
      <c r="K693" cm="1">
        <f t="array" aca="1" ref="K693" ca="1">[1]!s_west_mediannetprofit($B$1,YEAR($A692)+1,$A692,180,1000000)</f>
        <v>38</v>
      </c>
      <c r="L693" cm="1">
        <f t="array" aca="1" ref="L693" ca="1">[1]!s_dq_close($B$1,$A693,3)</f>
        <v>26.95</v>
      </c>
    </row>
    <row r="694" spans="1:12">
      <c r="A694" s="23">
        <f t="shared" ca="1" si="10"/>
        <v>45481</v>
      </c>
      <c r="B694" cm="1">
        <f t="array" aca="1" ref="B694" ca="1">[1]!s_west_netprofit($B$1,YEAR($A694),$A694,180,1000000)</f>
        <v>-111.251735</v>
      </c>
      <c r="C694" cm="1">
        <f t="array" aca="1" ref="C694" ca="1">[1]!s_west_eps($B$1,YEAR($A694),$A694,180)</f>
        <v>-0.12770000000000001</v>
      </c>
      <c r="D694" cm="1">
        <f t="array" aca="1" ref="D694" ca="1">[1]!s_west_instnum_np($B$1,YEAR($A694),$A694,180)</f>
        <v>15</v>
      </c>
      <c r="E694" cm="1">
        <f t="array" aca="1" ref="E694" ca="1">[1]!s_west_stdnetprofit($B$1,YEAR($A694),$A694,180,1000000)</f>
        <v>96.013750000000002</v>
      </c>
      <c r="F694" cm="1">
        <f t="array" aca="1" ref="F694" ca="1">[1]!s_west_mediannetprofit($B$1,YEAR($A694),$A694,180,1000000)</f>
        <v>-101</v>
      </c>
      <c r="G694" cm="1">
        <f t="array" aca="1" ref="G694" ca="1">[1]!s_west_netprofit($B$1,YEAR($A694)+1,$A694,180,1000000)</f>
        <v>10.838001</v>
      </c>
      <c r="H694" cm="1">
        <f t="array" aca="1" ref="H694" ca="1">[1]!s_west_eps($B$1,YEAR($A694)+1,$A694,180)</f>
        <v>1.24E-2</v>
      </c>
      <c r="I694" cm="1">
        <f t="array" aca="1" ref="I694" ca="1">[1]!s_west_instnum_np($B$1,YEAR($A694)+1,$A694,180)</f>
        <v>15</v>
      </c>
      <c r="J694" cm="1">
        <f t="array" aca="1" ref="J694" ca="1">[1]!s_west_stdnetprofit($B$1,YEAR($A694)+1,$A694,180,1000000)</f>
        <v>97.338333000000006</v>
      </c>
      <c r="K694" cm="1">
        <f t="array" aca="1" ref="K694" ca="1">[1]!s_west_mediannetprofit($B$1,YEAR($A693)+1,$A693,180,1000000)</f>
        <v>35.5</v>
      </c>
      <c r="L694" cm="1">
        <f t="array" aca="1" ref="L694" ca="1">[1]!s_dq_close($B$1,$A694,3)</f>
        <v>26.8</v>
      </c>
    </row>
    <row r="695" spans="1:12">
      <c r="A695" s="23">
        <f t="shared" ca="1" si="10"/>
        <v>45480</v>
      </c>
      <c r="B695" cm="1">
        <f t="array" aca="1" ref="B695" ca="1">[1]!s_west_netprofit($B$1,YEAR($A695),$A695,180,1000000)</f>
        <v>-111.251735</v>
      </c>
      <c r="C695" cm="1">
        <f t="array" aca="1" ref="C695" ca="1">[1]!s_west_eps($B$1,YEAR($A695),$A695,180)</f>
        <v>-0.12770000000000001</v>
      </c>
      <c r="D695" cm="1">
        <f t="array" aca="1" ref="D695" ca="1">[1]!s_west_instnum_np($B$1,YEAR($A695),$A695,180)</f>
        <v>15</v>
      </c>
      <c r="E695" cm="1">
        <f t="array" aca="1" ref="E695" ca="1">[1]!s_west_stdnetprofit($B$1,YEAR($A695),$A695,180,1000000)</f>
        <v>96.013750000000002</v>
      </c>
      <c r="F695" cm="1">
        <f t="array" aca="1" ref="F695" ca="1">[1]!s_west_mediannetprofit($B$1,YEAR($A695),$A695,180,1000000)</f>
        <v>-101</v>
      </c>
      <c r="G695" cm="1">
        <f t="array" aca="1" ref="G695" ca="1">[1]!s_west_netprofit($B$1,YEAR($A695)+1,$A695,180,1000000)</f>
        <v>10.838001</v>
      </c>
      <c r="H695" cm="1">
        <f t="array" aca="1" ref="H695" ca="1">[1]!s_west_eps($B$1,YEAR($A695)+1,$A695,180)</f>
        <v>1.24E-2</v>
      </c>
      <c r="I695" cm="1">
        <f t="array" aca="1" ref="I695" ca="1">[1]!s_west_instnum_np($B$1,YEAR($A695)+1,$A695,180)</f>
        <v>15</v>
      </c>
      <c r="J695" cm="1">
        <f t="array" aca="1" ref="J695" ca="1">[1]!s_west_stdnetprofit($B$1,YEAR($A695)+1,$A695,180,1000000)</f>
        <v>97.338333000000006</v>
      </c>
      <c r="K695" cm="1">
        <f t="array" aca="1" ref="K695" ca="1">[1]!s_west_mediannetprofit($B$1,YEAR($A694)+1,$A694,180,1000000)</f>
        <v>35.5</v>
      </c>
      <c r="L695" cm="1">
        <f t="array" aca="1" ref="L695" ca="1">[1]!s_dq_close($B$1,$A695,3)</f>
        <v>28.85</v>
      </c>
    </row>
    <row r="696" spans="1:12">
      <c r="A696" s="23">
        <f t="shared" ca="1" si="10"/>
        <v>45479</v>
      </c>
      <c r="B696" cm="1">
        <f t="array" aca="1" ref="B696" ca="1">[1]!s_west_netprofit($B$1,YEAR($A696),$A696,180,1000000)</f>
        <v>-111.251735</v>
      </c>
      <c r="C696" cm="1">
        <f t="array" aca="1" ref="C696" ca="1">[1]!s_west_eps($B$1,YEAR($A696),$A696,180)</f>
        <v>-0.12770000000000001</v>
      </c>
      <c r="D696" cm="1">
        <f t="array" aca="1" ref="D696" ca="1">[1]!s_west_instnum_np($B$1,YEAR($A696),$A696,180)</f>
        <v>15</v>
      </c>
      <c r="E696" cm="1">
        <f t="array" aca="1" ref="E696" ca="1">[1]!s_west_stdnetprofit($B$1,YEAR($A696),$A696,180,1000000)</f>
        <v>96.013750000000002</v>
      </c>
      <c r="F696" cm="1">
        <f t="array" aca="1" ref="F696" ca="1">[1]!s_west_mediannetprofit($B$1,YEAR($A696),$A696,180,1000000)</f>
        <v>-101</v>
      </c>
      <c r="G696" cm="1">
        <f t="array" aca="1" ref="G696" ca="1">[1]!s_west_netprofit($B$1,YEAR($A696)+1,$A696,180,1000000)</f>
        <v>10.838001</v>
      </c>
      <c r="H696" cm="1">
        <f t="array" aca="1" ref="H696" ca="1">[1]!s_west_eps($B$1,YEAR($A696)+1,$A696,180)</f>
        <v>1.24E-2</v>
      </c>
      <c r="I696" cm="1">
        <f t="array" aca="1" ref="I696" ca="1">[1]!s_west_instnum_np($B$1,YEAR($A696)+1,$A696,180)</f>
        <v>15</v>
      </c>
      <c r="J696" cm="1">
        <f t="array" aca="1" ref="J696" ca="1">[1]!s_west_stdnetprofit($B$1,YEAR($A696)+1,$A696,180,1000000)</f>
        <v>97.338333000000006</v>
      </c>
      <c r="K696" cm="1">
        <f t="array" aca="1" ref="K696" ca="1">[1]!s_west_mediannetprofit($B$1,YEAR($A695)+1,$A695,180,1000000)</f>
        <v>35.5</v>
      </c>
      <c r="L696" cm="1">
        <f t="array" aca="1" ref="L696" ca="1">[1]!s_dq_close($B$1,$A696,3)</f>
        <v>28.85</v>
      </c>
    </row>
    <row r="697" spans="1:12">
      <c r="A697" s="23">
        <f t="shared" ca="1" si="10"/>
        <v>45478</v>
      </c>
      <c r="B697" cm="1">
        <f t="array" aca="1" ref="B697" ca="1">[1]!s_west_netprofit($B$1,YEAR($A697),$A697,180,1000000)</f>
        <v>-111.251735</v>
      </c>
      <c r="C697" cm="1">
        <f t="array" aca="1" ref="C697" ca="1">[1]!s_west_eps($B$1,YEAR($A697),$A697,180)</f>
        <v>-0.12770000000000001</v>
      </c>
      <c r="D697" cm="1">
        <f t="array" aca="1" ref="D697" ca="1">[1]!s_west_instnum_np($B$1,YEAR($A697),$A697,180)</f>
        <v>15</v>
      </c>
      <c r="E697" cm="1">
        <f t="array" aca="1" ref="E697" ca="1">[1]!s_west_stdnetprofit($B$1,YEAR($A697),$A697,180,1000000)</f>
        <v>96.013750000000002</v>
      </c>
      <c r="F697" cm="1">
        <f t="array" aca="1" ref="F697" ca="1">[1]!s_west_mediannetprofit($B$1,YEAR($A697),$A697,180,1000000)</f>
        <v>-101</v>
      </c>
      <c r="G697" cm="1">
        <f t="array" aca="1" ref="G697" ca="1">[1]!s_west_netprofit($B$1,YEAR($A697)+1,$A697,180,1000000)</f>
        <v>10.838001</v>
      </c>
      <c r="H697" cm="1">
        <f t="array" aca="1" ref="H697" ca="1">[1]!s_west_eps($B$1,YEAR($A697)+1,$A697,180)</f>
        <v>1.24E-2</v>
      </c>
      <c r="I697" cm="1">
        <f t="array" aca="1" ref="I697" ca="1">[1]!s_west_instnum_np($B$1,YEAR($A697)+1,$A697,180)</f>
        <v>15</v>
      </c>
      <c r="J697" cm="1">
        <f t="array" aca="1" ref="J697" ca="1">[1]!s_west_stdnetprofit($B$1,YEAR($A697)+1,$A697,180,1000000)</f>
        <v>97.338333000000006</v>
      </c>
      <c r="K697" cm="1">
        <f t="array" aca="1" ref="K697" ca="1">[1]!s_west_mediannetprofit($B$1,YEAR($A696)+1,$A696,180,1000000)</f>
        <v>35.5</v>
      </c>
      <c r="L697" cm="1">
        <f t="array" aca="1" ref="L697" ca="1">[1]!s_dq_close($B$1,$A697,3)</f>
        <v>28.85</v>
      </c>
    </row>
    <row r="698" spans="1:12">
      <c r="A698" s="23">
        <f t="shared" ca="1" si="10"/>
        <v>45477</v>
      </c>
      <c r="B698" cm="1">
        <f t="array" aca="1" ref="B698" ca="1">[1]!s_west_netprofit($B$1,YEAR($A698),$A698,180,1000000)</f>
        <v>-111.251735</v>
      </c>
      <c r="C698" cm="1">
        <f t="array" aca="1" ref="C698" ca="1">[1]!s_west_eps($B$1,YEAR($A698),$A698,180)</f>
        <v>-0.12770000000000001</v>
      </c>
      <c r="D698" cm="1">
        <f t="array" aca="1" ref="D698" ca="1">[1]!s_west_instnum_np($B$1,YEAR($A698),$A698,180)</f>
        <v>15</v>
      </c>
      <c r="E698" cm="1">
        <f t="array" aca="1" ref="E698" ca="1">[1]!s_west_stdnetprofit($B$1,YEAR($A698),$A698,180,1000000)</f>
        <v>96.013750000000002</v>
      </c>
      <c r="F698" cm="1">
        <f t="array" aca="1" ref="F698" ca="1">[1]!s_west_mediannetprofit($B$1,YEAR($A698),$A698,180,1000000)</f>
        <v>-101</v>
      </c>
      <c r="G698" cm="1">
        <f t="array" aca="1" ref="G698" ca="1">[1]!s_west_netprofit($B$1,YEAR($A698)+1,$A698,180,1000000)</f>
        <v>10.838001</v>
      </c>
      <c r="H698" cm="1">
        <f t="array" aca="1" ref="H698" ca="1">[1]!s_west_eps($B$1,YEAR($A698)+1,$A698,180)</f>
        <v>1.24E-2</v>
      </c>
      <c r="I698" cm="1">
        <f t="array" aca="1" ref="I698" ca="1">[1]!s_west_instnum_np($B$1,YEAR($A698)+1,$A698,180)</f>
        <v>15</v>
      </c>
      <c r="J698" cm="1">
        <f t="array" aca="1" ref="J698" ca="1">[1]!s_west_stdnetprofit($B$1,YEAR($A698)+1,$A698,180,1000000)</f>
        <v>97.338333000000006</v>
      </c>
      <c r="K698" cm="1">
        <f t="array" aca="1" ref="K698" ca="1">[1]!s_west_mediannetprofit($B$1,YEAR($A697)+1,$A697,180,1000000)</f>
        <v>35.5</v>
      </c>
      <c r="L698" cm="1">
        <f t="array" aca="1" ref="L698" ca="1">[1]!s_dq_close($B$1,$A698,3)</f>
        <v>27.25</v>
      </c>
    </row>
    <row r="699" spans="1:12">
      <c r="A699" s="23">
        <f t="shared" ca="1" si="10"/>
        <v>45476</v>
      </c>
      <c r="B699" cm="1">
        <f t="array" aca="1" ref="B699" ca="1">[1]!s_west_netprofit($B$1,YEAR($A699),$A699,180,1000000)</f>
        <v>-111.251735</v>
      </c>
      <c r="C699" cm="1">
        <f t="array" aca="1" ref="C699" ca="1">[1]!s_west_eps($B$1,YEAR($A699),$A699,180)</f>
        <v>-0.12770000000000001</v>
      </c>
      <c r="D699" cm="1">
        <f t="array" aca="1" ref="D699" ca="1">[1]!s_west_instnum_np($B$1,YEAR($A699),$A699,180)</f>
        <v>15</v>
      </c>
      <c r="E699" cm="1">
        <f t="array" aca="1" ref="E699" ca="1">[1]!s_west_stdnetprofit($B$1,YEAR($A699),$A699,180,1000000)</f>
        <v>96.013750000000002</v>
      </c>
      <c r="F699" cm="1">
        <f t="array" aca="1" ref="F699" ca="1">[1]!s_west_mediannetprofit($B$1,YEAR($A699),$A699,180,1000000)</f>
        <v>-101</v>
      </c>
      <c r="G699" cm="1">
        <f t="array" aca="1" ref="G699" ca="1">[1]!s_west_netprofit($B$1,YEAR($A699)+1,$A699,180,1000000)</f>
        <v>10.838001</v>
      </c>
      <c r="H699" cm="1">
        <f t="array" aca="1" ref="H699" ca="1">[1]!s_west_eps($B$1,YEAR($A699)+1,$A699,180)</f>
        <v>1.24E-2</v>
      </c>
      <c r="I699" cm="1">
        <f t="array" aca="1" ref="I699" ca="1">[1]!s_west_instnum_np($B$1,YEAR($A699)+1,$A699,180)</f>
        <v>15</v>
      </c>
      <c r="J699" cm="1">
        <f t="array" aca="1" ref="J699" ca="1">[1]!s_west_stdnetprofit($B$1,YEAR($A699)+1,$A699,180,1000000)</f>
        <v>97.338333000000006</v>
      </c>
      <c r="K699" cm="1">
        <f t="array" aca="1" ref="K699" ca="1">[1]!s_west_mediannetprofit($B$1,YEAR($A698)+1,$A698,180,1000000)</f>
        <v>35.5</v>
      </c>
      <c r="L699" cm="1">
        <f t="array" aca="1" ref="L699" ca="1">[1]!s_dq_close($B$1,$A699,3)</f>
        <v>27.55</v>
      </c>
    </row>
    <row r="700" spans="1:12">
      <c r="A700" s="23">
        <f t="shared" ca="1" si="10"/>
        <v>45475</v>
      </c>
      <c r="B700" cm="1">
        <f t="array" aca="1" ref="B700" ca="1">[1]!s_west_netprofit($B$1,YEAR($A700),$A700,180,1000000)</f>
        <v>-111.251735</v>
      </c>
      <c r="C700" cm="1">
        <f t="array" aca="1" ref="C700" ca="1">[1]!s_west_eps($B$1,YEAR($A700),$A700,180)</f>
        <v>-0.12770000000000001</v>
      </c>
      <c r="D700" cm="1">
        <f t="array" aca="1" ref="D700" ca="1">[1]!s_west_instnum_np($B$1,YEAR($A700),$A700,180)</f>
        <v>15</v>
      </c>
      <c r="E700" cm="1">
        <f t="array" aca="1" ref="E700" ca="1">[1]!s_west_stdnetprofit($B$1,YEAR($A700),$A700,180,1000000)</f>
        <v>96.013750000000002</v>
      </c>
      <c r="F700" cm="1">
        <f t="array" aca="1" ref="F700" ca="1">[1]!s_west_mediannetprofit($B$1,YEAR($A700),$A700,180,1000000)</f>
        <v>-101</v>
      </c>
      <c r="G700" cm="1">
        <f t="array" aca="1" ref="G700" ca="1">[1]!s_west_netprofit($B$1,YEAR($A700)+1,$A700,180,1000000)</f>
        <v>10.838001</v>
      </c>
      <c r="H700" cm="1">
        <f t="array" aca="1" ref="H700" ca="1">[1]!s_west_eps($B$1,YEAR($A700)+1,$A700,180)</f>
        <v>1.24E-2</v>
      </c>
      <c r="I700" cm="1">
        <f t="array" aca="1" ref="I700" ca="1">[1]!s_west_instnum_np($B$1,YEAR($A700)+1,$A700,180)</f>
        <v>15</v>
      </c>
      <c r="J700" cm="1">
        <f t="array" aca="1" ref="J700" ca="1">[1]!s_west_stdnetprofit($B$1,YEAR($A700)+1,$A700,180,1000000)</f>
        <v>97.338333000000006</v>
      </c>
      <c r="K700" cm="1">
        <f t="array" aca="1" ref="K700" ca="1">[1]!s_west_mediannetprofit($B$1,YEAR($A699)+1,$A699,180,1000000)</f>
        <v>35.5</v>
      </c>
      <c r="L700" cm="1">
        <f t="array" aca="1" ref="L700" ca="1">[1]!s_dq_close($B$1,$A700,3)</f>
        <v>27.15</v>
      </c>
    </row>
    <row r="701" spans="1:12">
      <c r="A701" s="23">
        <f t="shared" ca="1" si="10"/>
        <v>45474</v>
      </c>
      <c r="B701" cm="1">
        <f t="array" aca="1" ref="B701" ca="1">[1]!s_west_netprofit($B$1,YEAR($A701),$A701,180,1000000)</f>
        <v>-111.251735</v>
      </c>
      <c r="C701" cm="1">
        <f t="array" aca="1" ref="C701" ca="1">[1]!s_west_eps($B$1,YEAR($A701),$A701,180)</f>
        <v>-0.12770000000000001</v>
      </c>
      <c r="D701" cm="1">
        <f t="array" aca="1" ref="D701" ca="1">[1]!s_west_instnum_np($B$1,YEAR($A701),$A701,180)</f>
        <v>15</v>
      </c>
      <c r="E701" cm="1">
        <f t="array" aca="1" ref="E701" ca="1">[1]!s_west_stdnetprofit($B$1,YEAR($A701),$A701,180,1000000)</f>
        <v>96.013750000000002</v>
      </c>
      <c r="F701" cm="1">
        <f t="array" aca="1" ref="F701" ca="1">[1]!s_west_mediannetprofit($B$1,YEAR($A701),$A701,180,1000000)</f>
        <v>-101</v>
      </c>
      <c r="G701" cm="1">
        <f t="array" aca="1" ref="G701" ca="1">[1]!s_west_netprofit($B$1,YEAR($A701)+1,$A701,180,1000000)</f>
        <v>10.838001</v>
      </c>
      <c r="H701" cm="1">
        <f t="array" aca="1" ref="H701" ca="1">[1]!s_west_eps($B$1,YEAR($A701)+1,$A701,180)</f>
        <v>1.24E-2</v>
      </c>
      <c r="I701" cm="1">
        <f t="array" aca="1" ref="I701" ca="1">[1]!s_west_instnum_np($B$1,YEAR($A701)+1,$A701,180)</f>
        <v>15</v>
      </c>
      <c r="J701" cm="1">
        <f t="array" aca="1" ref="J701" ca="1">[1]!s_west_stdnetprofit($B$1,YEAR($A701)+1,$A701,180,1000000)</f>
        <v>97.338333000000006</v>
      </c>
      <c r="K701" cm="1">
        <f t="array" aca="1" ref="K701" ca="1">[1]!s_west_mediannetprofit($B$1,YEAR($A700)+1,$A700,180,1000000)</f>
        <v>35.5</v>
      </c>
      <c r="L701" cm="1">
        <f t="array" aca="1" ref="L701" ca="1">[1]!s_dq_close($B$1,$A701,3)</f>
        <v>27.5</v>
      </c>
    </row>
    <row r="702" spans="1:12">
      <c r="A702" s="23">
        <f t="shared" ca="1" si="10"/>
        <v>45473</v>
      </c>
      <c r="B702" cm="1">
        <f t="array" aca="1" ref="B702" ca="1">[1]!s_west_netprofit($B$1,YEAR($A702),$A702,180,1000000)</f>
        <v>-111.251735</v>
      </c>
      <c r="C702" cm="1">
        <f t="array" aca="1" ref="C702" ca="1">[1]!s_west_eps($B$1,YEAR($A702),$A702,180)</f>
        <v>-0.12770000000000001</v>
      </c>
      <c r="D702" cm="1">
        <f t="array" aca="1" ref="D702" ca="1">[1]!s_west_instnum_np($B$1,YEAR($A702),$A702,180)</f>
        <v>15</v>
      </c>
      <c r="E702" cm="1">
        <f t="array" aca="1" ref="E702" ca="1">[1]!s_west_stdnetprofit($B$1,YEAR($A702),$A702,180,1000000)</f>
        <v>96.013750000000002</v>
      </c>
      <c r="F702" cm="1">
        <f t="array" aca="1" ref="F702" ca="1">[1]!s_west_mediannetprofit($B$1,YEAR($A702),$A702,180,1000000)</f>
        <v>-101</v>
      </c>
      <c r="G702" cm="1">
        <f t="array" aca="1" ref="G702" ca="1">[1]!s_west_netprofit($B$1,YEAR($A702)+1,$A702,180,1000000)</f>
        <v>10.838001</v>
      </c>
      <c r="H702" cm="1">
        <f t="array" aca="1" ref="H702" ca="1">[1]!s_west_eps($B$1,YEAR($A702)+1,$A702,180)</f>
        <v>1.24E-2</v>
      </c>
      <c r="I702" cm="1">
        <f t="array" aca="1" ref="I702" ca="1">[1]!s_west_instnum_np($B$1,YEAR($A702)+1,$A702,180)</f>
        <v>15</v>
      </c>
      <c r="J702" cm="1">
        <f t="array" aca="1" ref="J702" ca="1">[1]!s_west_stdnetprofit($B$1,YEAR($A702)+1,$A702,180,1000000)</f>
        <v>97.338333000000006</v>
      </c>
      <c r="K702" cm="1">
        <f t="array" aca="1" ref="K702" ca="1">[1]!s_west_mediannetprofit($B$1,YEAR($A701)+1,$A701,180,1000000)</f>
        <v>35.5</v>
      </c>
      <c r="L702" cm="1">
        <f t="array" aca="1" ref="L702" ca="1">[1]!s_dq_close($B$1,$A702,3)</f>
        <v>27.5</v>
      </c>
    </row>
    <row r="703" spans="1:12">
      <c r="A703" s="23">
        <f t="shared" ca="1" si="10"/>
        <v>45472</v>
      </c>
      <c r="B703" cm="1">
        <f t="array" aca="1" ref="B703" ca="1">[1]!s_west_netprofit($B$1,YEAR($A703),$A703,180,1000000)</f>
        <v>-111.251735</v>
      </c>
      <c r="C703" cm="1">
        <f t="array" aca="1" ref="C703" ca="1">[1]!s_west_eps($B$1,YEAR($A703),$A703,180)</f>
        <v>-0.12770000000000001</v>
      </c>
      <c r="D703" cm="1">
        <f t="array" aca="1" ref="D703" ca="1">[1]!s_west_instnum_np($B$1,YEAR($A703),$A703,180)</f>
        <v>15</v>
      </c>
      <c r="E703" cm="1">
        <f t="array" aca="1" ref="E703" ca="1">[1]!s_west_stdnetprofit($B$1,YEAR($A703),$A703,180,1000000)</f>
        <v>96.013750000000002</v>
      </c>
      <c r="F703" cm="1">
        <f t="array" aca="1" ref="F703" ca="1">[1]!s_west_mediannetprofit($B$1,YEAR($A703),$A703,180,1000000)</f>
        <v>-101</v>
      </c>
      <c r="G703" cm="1">
        <f t="array" aca="1" ref="G703" ca="1">[1]!s_west_netprofit($B$1,YEAR($A703)+1,$A703,180,1000000)</f>
        <v>10.838001</v>
      </c>
      <c r="H703" cm="1">
        <f t="array" aca="1" ref="H703" ca="1">[1]!s_west_eps($B$1,YEAR($A703)+1,$A703,180)</f>
        <v>1.24E-2</v>
      </c>
      <c r="I703" cm="1">
        <f t="array" aca="1" ref="I703" ca="1">[1]!s_west_instnum_np($B$1,YEAR($A703)+1,$A703,180)</f>
        <v>15</v>
      </c>
      <c r="J703" cm="1">
        <f t="array" aca="1" ref="J703" ca="1">[1]!s_west_stdnetprofit($B$1,YEAR($A703)+1,$A703,180,1000000)</f>
        <v>97.338333000000006</v>
      </c>
      <c r="K703" cm="1">
        <f t="array" aca="1" ref="K703" ca="1">[1]!s_west_mediannetprofit($B$1,YEAR($A702)+1,$A702,180,1000000)</f>
        <v>35.5</v>
      </c>
      <c r="L703" cm="1">
        <f t="array" aca="1" ref="L703" ca="1">[1]!s_dq_close($B$1,$A703,3)</f>
        <v>27.5</v>
      </c>
    </row>
    <row r="704" spans="1:12">
      <c r="A704" s="23">
        <f t="shared" ca="1" si="10"/>
        <v>45471</v>
      </c>
      <c r="B704" cm="1">
        <f t="array" aca="1" ref="B704" ca="1">[1]!s_west_netprofit($B$1,YEAR($A704),$A704,180,1000000)</f>
        <v>-111.251735</v>
      </c>
      <c r="C704" cm="1">
        <f t="array" aca="1" ref="C704" ca="1">[1]!s_west_eps($B$1,YEAR($A704),$A704,180)</f>
        <v>-0.12770000000000001</v>
      </c>
      <c r="D704" cm="1">
        <f t="array" aca="1" ref="D704" ca="1">[1]!s_west_instnum_np($B$1,YEAR($A704),$A704,180)</f>
        <v>15</v>
      </c>
      <c r="E704" cm="1">
        <f t="array" aca="1" ref="E704" ca="1">[1]!s_west_stdnetprofit($B$1,YEAR($A704),$A704,180,1000000)</f>
        <v>96.013750000000002</v>
      </c>
      <c r="F704" cm="1">
        <f t="array" aca="1" ref="F704" ca="1">[1]!s_west_mediannetprofit($B$1,YEAR($A704),$A704,180,1000000)</f>
        <v>-101</v>
      </c>
      <c r="G704" cm="1">
        <f t="array" aca="1" ref="G704" ca="1">[1]!s_west_netprofit($B$1,YEAR($A704)+1,$A704,180,1000000)</f>
        <v>10.838001</v>
      </c>
      <c r="H704" cm="1">
        <f t="array" aca="1" ref="H704" ca="1">[1]!s_west_eps($B$1,YEAR($A704)+1,$A704,180)</f>
        <v>1.24E-2</v>
      </c>
      <c r="I704" cm="1">
        <f t="array" aca="1" ref="I704" ca="1">[1]!s_west_instnum_np($B$1,YEAR($A704)+1,$A704,180)</f>
        <v>15</v>
      </c>
      <c r="J704" cm="1">
        <f t="array" aca="1" ref="J704" ca="1">[1]!s_west_stdnetprofit($B$1,YEAR($A704)+1,$A704,180,1000000)</f>
        <v>97.338333000000006</v>
      </c>
      <c r="K704" cm="1">
        <f t="array" aca="1" ref="K704" ca="1">[1]!s_west_mediannetprofit($B$1,YEAR($A703)+1,$A703,180,1000000)</f>
        <v>35.5</v>
      </c>
      <c r="L704" cm="1">
        <f t="array" aca="1" ref="L704" ca="1">[1]!s_dq_close($B$1,$A704,3)</f>
        <v>27.5</v>
      </c>
    </row>
    <row r="705" spans="1:12">
      <c r="A705" s="23">
        <f t="shared" ca="1" si="10"/>
        <v>45470</v>
      </c>
      <c r="B705" cm="1">
        <f t="array" aca="1" ref="B705" ca="1">[1]!s_west_netprofit($B$1,YEAR($A705),$A705,180,1000000)</f>
        <v>-111.251735</v>
      </c>
      <c r="C705" cm="1">
        <f t="array" aca="1" ref="C705" ca="1">[1]!s_west_eps($B$1,YEAR($A705),$A705,180)</f>
        <v>-0.12770000000000001</v>
      </c>
      <c r="D705" cm="1">
        <f t="array" aca="1" ref="D705" ca="1">[1]!s_west_instnum_np($B$1,YEAR($A705),$A705,180)</f>
        <v>15</v>
      </c>
      <c r="E705" cm="1">
        <f t="array" aca="1" ref="E705" ca="1">[1]!s_west_stdnetprofit($B$1,YEAR($A705),$A705,180,1000000)</f>
        <v>96.013750000000002</v>
      </c>
      <c r="F705" cm="1">
        <f t="array" aca="1" ref="F705" ca="1">[1]!s_west_mediannetprofit($B$1,YEAR($A705),$A705,180,1000000)</f>
        <v>-101</v>
      </c>
      <c r="G705" cm="1">
        <f t="array" aca="1" ref="G705" ca="1">[1]!s_west_netprofit($B$1,YEAR($A705)+1,$A705,180,1000000)</f>
        <v>10.838001</v>
      </c>
      <c r="H705" cm="1">
        <f t="array" aca="1" ref="H705" ca="1">[1]!s_west_eps($B$1,YEAR($A705)+1,$A705,180)</f>
        <v>1.24E-2</v>
      </c>
      <c r="I705" cm="1">
        <f t="array" aca="1" ref="I705" ca="1">[1]!s_west_instnum_np($B$1,YEAR($A705)+1,$A705,180)</f>
        <v>15</v>
      </c>
      <c r="J705" cm="1">
        <f t="array" aca="1" ref="J705" ca="1">[1]!s_west_stdnetprofit($B$1,YEAR($A705)+1,$A705,180,1000000)</f>
        <v>97.338333000000006</v>
      </c>
      <c r="K705" cm="1">
        <f t="array" aca="1" ref="K705" ca="1">[1]!s_west_mediannetprofit($B$1,YEAR($A704)+1,$A704,180,1000000)</f>
        <v>35.5</v>
      </c>
      <c r="L705" cm="1">
        <f t="array" aca="1" ref="L705" ca="1">[1]!s_dq_close($B$1,$A705,3)</f>
        <v>27.7</v>
      </c>
    </row>
    <row r="706" spans="1:12">
      <c r="A706" s="23">
        <f t="shared" ca="1" si="10"/>
        <v>45469</v>
      </c>
      <c r="B706" cm="1">
        <f t="array" aca="1" ref="B706" ca="1">[1]!s_west_netprofit($B$1,YEAR($A706),$A706,180,1000000)</f>
        <v>-111.251735</v>
      </c>
      <c r="C706" cm="1">
        <f t="array" aca="1" ref="C706" ca="1">[1]!s_west_eps($B$1,YEAR($A706),$A706,180)</f>
        <v>-0.12770000000000001</v>
      </c>
      <c r="D706" cm="1">
        <f t="array" aca="1" ref="D706" ca="1">[1]!s_west_instnum_np($B$1,YEAR($A706),$A706,180)</f>
        <v>15</v>
      </c>
      <c r="E706" cm="1">
        <f t="array" aca="1" ref="E706" ca="1">[1]!s_west_stdnetprofit($B$1,YEAR($A706),$A706,180,1000000)</f>
        <v>96.013750000000002</v>
      </c>
      <c r="F706" cm="1">
        <f t="array" aca="1" ref="F706" ca="1">[1]!s_west_mediannetprofit($B$1,YEAR($A706),$A706,180,1000000)</f>
        <v>-101</v>
      </c>
      <c r="G706" cm="1">
        <f t="array" aca="1" ref="G706" ca="1">[1]!s_west_netprofit($B$1,YEAR($A706)+1,$A706,180,1000000)</f>
        <v>10.838001</v>
      </c>
      <c r="H706" cm="1">
        <f t="array" aca="1" ref="H706" ca="1">[1]!s_west_eps($B$1,YEAR($A706)+1,$A706,180)</f>
        <v>1.24E-2</v>
      </c>
      <c r="I706" cm="1">
        <f t="array" aca="1" ref="I706" ca="1">[1]!s_west_instnum_np($B$1,YEAR($A706)+1,$A706,180)</f>
        <v>15</v>
      </c>
      <c r="J706" cm="1">
        <f t="array" aca="1" ref="J706" ca="1">[1]!s_west_stdnetprofit($B$1,YEAR($A706)+1,$A706,180,1000000)</f>
        <v>97.338333000000006</v>
      </c>
      <c r="K706" cm="1">
        <f t="array" aca="1" ref="K706" ca="1">[1]!s_west_mediannetprofit($B$1,YEAR($A705)+1,$A705,180,1000000)</f>
        <v>35.5</v>
      </c>
      <c r="L706" cm="1">
        <f t="array" aca="1" ref="L706" ca="1">[1]!s_dq_close($B$1,$A706,3)</f>
        <v>28.4</v>
      </c>
    </row>
    <row r="707" spans="1:12">
      <c r="A707" s="23">
        <f t="shared" ca="1" si="10"/>
        <v>45468</v>
      </c>
      <c r="B707" cm="1">
        <f t="array" aca="1" ref="B707" ca="1">[1]!s_west_netprofit($B$1,YEAR($A707),$A707,180,1000000)</f>
        <v>-111.251735</v>
      </c>
      <c r="C707" cm="1">
        <f t="array" aca="1" ref="C707" ca="1">[1]!s_west_eps($B$1,YEAR($A707),$A707,180)</f>
        <v>-0.12770000000000001</v>
      </c>
      <c r="D707" cm="1">
        <f t="array" aca="1" ref="D707" ca="1">[1]!s_west_instnum_np($B$1,YEAR($A707),$A707,180)</f>
        <v>15</v>
      </c>
      <c r="E707" cm="1">
        <f t="array" aca="1" ref="E707" ca="1">[1]!s_west_stdnetprofit($B$1,YEAR($A707),$A707,180,1000000)</f>
        <v>96.013750000000002</v>
      </c>
      <c r="F707" cm="1">
        <f t="array" aca="1" ref="F707" ca="1">[1]!s_west_mediannetprofit($B$1,YEAR($A707),$A707,180,1000000)</f>
        <v>-101</v>
      </c>
      <c r="G707" cm="1">
        <f t="array" aca="1" ref="G707" ca="1">[1]!s_west_netprofit($B$1,YEAR($A707)+1,$A707,180,1000000)</f>
        <v>10.838001</v>
      </c>
      <c r="H707" cm="1">
        <f t="array" aca="1" ref="H707" ca="1">[1]!s_west_eps($B$1,YEAR($A707)+1,$A707,180)</f>
        <v>1.24E-2</v>
      </c>
      <c r="I707" cm="1">
        <f t="array" aca="1" ref="I707" ca="1">[1]!s_west_instnum_np($B$1,YEAR($A707)+1,$A707,180)</f>
        <v>15</v>
      </c>
      <c r="J707" cm="1">
        <f t="array" aca="1" ref="J707" ca="1">[1]!s_west_stdnetprofit($B$1,YEAR($A707)+1,$A707,180,1000000)</f>
        <v>97.338333000000006</v>
      </c>
      <c r="K707" cm="1">
        <f t="array" aca="1" ref="K707" ca="1">[1]!s_west_mediannetprofit($B$1,YEAR($A706)+1,$A706,180,1000000)</f>
        <v>35.5</v>
      </c>
      <c r="L707" cm="1">
        <f t="array" aca="1" ref="L707" ca="1">[1]!s_dq_close($B$1,$A707,3)</f>
        <v>28.2</v>
      </c>
    </row>
    <row r="708" spans="1:12">
      <c r="A708" s="23">
        <f t="shared" ca="1" si="10"/>
        <v>45467</v>
      </c>
      <c r="B708" cm="1">
        <f t="array" aca="1" ref="B708" ca="1">[1]!s_west_netprofit($B$1,YEAR($A708),$A708,180,1000000)</f>
        <v>-111.251735</v>
      </c>
      <c r="C708" cm="1">
        <f t="array" aca="1" ref="C708" ca="1">[1]!s_west_eps($B$1,YEAR($A708),$A708,180)</f>
        <v>-0.12770000000000001</v>
      </c>
      <c r="D708" cm="1">
        <f t="array" aca="1" ref="D708" ca="1">[1]!s_west_instnum_np($B$1,YEAR($A708),$A708,180)</f>
        <v>15</v>
      </c>
      <c r="E708" cm="1">
        <f t="array" aca="1" ref="E708" ca="1">[1]!s_west_stdnetprofit($B$1,YEAR($A708),$A708,180,1000000)</f>
        <v>96.013750000000002</v>
      </c>
      <c r="F708" cm="1">
        <f t="array" aca="1" ref="F708" ca="1">[1]!s_west_mediannetprofit($B$1,YEAR($A708),$A708,180,1000000)</f>
        <v>-101</v>
      </c>
      <c r="G708" cm="1">
        <f t="array" aca="1" ref="G708" ca="1">[1]!s_west_netprofit($B$1,YEAR($A708)+1,$A708,180,1000000)</f>
        <v>10.838001</v>
      </c>
      <c r="H708" cm="1">
        <f t="array" aca="1" ref="H708" ca="1">[1]!s_west_eps($B$1,YEAR($A708)+1,$A708,180)</f>
        <v>1.24E-2</v>
      </c>
      <c r="I708" cm="1">
        <f t="array" aca="1" ref="I708" ca="1">[1]!s_west_instnum_np($B$1,YEAR($A708)+1,$A708,180)</f>
        <v>15</v>
      </c>
      <c r="J708" cm="1">
        <f t="array" aca="1" ref="J708" ca="1">[1]!s_west_stdnetprofit($B$1,YEAR($A708)+1,$A708,180,1000000)</f>
        <v>97.338333000000006</v>
      </c>
      <c r="K708" cm="1">
        <f t="array" aca="1" ref="K708" ca="1">[1]!s_west_mediannetprofit($B$1,YEAR($A707)+1,$A707,180,1000000)</f>
        <v>35.5</v>
      </c>
      <c r="L708" cm="1">
        <f t="array" aca="1" ref="L708" ca="1">[1]!s_dq_close($B$1,$A708,3)</f>
        <v>28.55</v>
      </c>
    </row>
    <row r="709" spans="1:12">
      <c r="A709" s="23">
        <f t="shared" ca="1" si="10"/>
        <v>45466</v>
      </c>
      <c r="B709" cm="1">
        <f t="array" aca="1" ref="B709" ca="1">[1]!s_west_netprofit($B$1,YEAR($A709),$A709,180,1000000)</f>
        <v>-111.251735</v>
      </c>
      <c r="C709" cm="1">
        <f t="array" aca="1" ref="C709" ca="1">[1]!s_west_eps($B$1,YEAR($A709),$A709,180)</f>
        <v>-0.12770000000000001</v>
      </c>
      <c r="D709" cm="1">
        <f t="array" aca="1" ref="D709" ca="1">[1]!s_west_instnum_np($B$1,YEAR($A709),$A709,180)</f>
        <v>15</v>
      </c>
      <c r="E709" cm="1">
        <f t="array" aca="1" ref="E709" ca="1">[1]!s_west_stdnetprofit($B$1,YEAR($A709),$A709,180,1000000)</f>
        <v>96.013750000000002</v>
      </c>
      <c r="F709" cm="1">
        <f t="array" aca="1" ref="F709" ca="1">[1]!s_west_mediannetprofit($B$1,YEAR($A709),$A709,180,1000000)</f>
        <v>-101</v>
      </c>
      <c r="G709" cm="1">
        <f t="array" aca="1" ref="G709" ca="1">[1]!s_west_netprofit($B$1,YEAR($A709)+1,$A709,180,1000000)</f>
        <v>10.838001</v>
      </c>
      <c r="H709" cm="1">
        <f t="array" aca="1" ref="H709" ca="1">[1]!s_west_eps($B$1,YEAR($A709)+1,$A709,180)</f>
        <v>1.24E-2</v>
      </c>
      <c r="I709" cm="1">
        <f t="array" aca="1" ref="I709" ca="1">[1]!s_west_instnum_np($B$1,YEAR($A709)+1,$A709,180)</f>
        <v>15</v>
      </c>
      <c r="J709" cm="1">
        <f t="array" aca="1" ref="J709" ca="1">[1]!s_west_stdnetprofit($B$1,YEAR($A709)+1,$A709,180,1000000)</f>
        <v>97.338333000000006</v>
      </c>
      <c r="K709" cm="1">
        <f t="array" aca="1" ref="K709" ca="1">[1]!s_west_mediannetprofit($B$1,YEAR($A708)+1,$A708,180,1000000)</f>
        <v>35.5</v>
      </c>
      <c r="L709" cm="1">
        <f t="array" aca="1" ref="L709" ca="1">[1]!s_dq_close($B$1,$A709,3)</f>
        <v>28.2</v>
      </c>
    </row>
    <row r="710" spans="1:12">
      <c r="A710" s="23">
        <f t="shared" ca="1" si="10"/>
        <v>45465</v>
      </c>
      <c r="B710" cm="1">
        <f t="array" aca="1" ref="B710" ca="1">[1]!s_west_netprofit($B$1,YEAR($A710),$A710,180,1000000)</f>
        <v>-110.939235</v>
      </c>
      <c r="C710" cm="1">
        <f t="array" aca="1" ref="C710" ca="1">[1]!s_west_eps($B$1,YEAR($A710),$A710,180)</f>
        <v>-0.12709999999999999</v>
      </c>
      <c r="D710" cm="1">
        <f t="array" aca="1" ref="D710" ca="1">[1]!s_west_instnum_np($B$1,YEAR($A710),$A710,180)</f>
        <v>15</v>
      </c>
      <c r="E710" cm="1">
        <f t="array" aca="1" ref="E710" ca="1">[1]!s_west_stdnetprofit($B$1,YEAR($A710),$A710,180,1000000)</f>
        <v>96.230818999999997</v>
      </c>
      <c r="F710" cm="1">
        <f t="array" aca="1" ref="F710" ca="1">[1]!s_west_mediannetprofit($B$1,YEAR($A710),$A710,180,1000000)</f>
        <v>-101</v>
      </c>
      <c r="G710" cm="1">
        <f t="array" aca="1" ref="G710" ca="1">[1]!s_west_netprofit($B$1,YEAR($A710)+1,$A710,180,1000000)</f>
        <v>10.775501</v>
      </c>
      <c r="H710" cm="1">
        <f t="array" aca="1" ref="H710" ca="1">[1]!s_west_eps($B$1,YEAR($A710)+1,$A710,180)</f>
        <v>1.24E-2</v>
      </c>
      <c r="I710" cm="1">
        <f t="array" aca="1" ref="I710" ca="1">[1]!s_west_instnum_np($B$1,YEAR($A710)+1,$A710,180)</f>
        <v>15</v>
      </c>
      <c r="J710" cm="1">
        <f t="array" aca="1" ref="J710" ca="1">[1]!s_west_stdnetprofit($B$1,YEAR($A710)+1,$A710,180,1000000)</f>
        <v>97.315253999999996</v>
      </c>
      <c r="K710" cm="1">
        <f t="array" aca="1" ref="K710" ca="1">[1]!s_west_mediannetprofit($B$1,YEAR($A709)+1,$A709,180,1000000)</f>
        <v>35.5</v>
      </c>
      <c r="L710" cm="1">
        <f t="array" aca="1" ref="L710" ca="1">[1]!s_dq_close($B$1,$A710,3)</f>
        <v>28.2</v>
      </c>
    </row>
    <row r="711" spans="1:12">
      <c r="A711" s="23">
        <f t="shared" ca="1" si="10"/>
        <v>45464</v>
      </c>
      <c r="B711" cm="1">
        <f t="array" aca="1" ref="B711" ca="1">[1]!s_west_netprofit($B$1,YEAR($A711),$A711,180,1000000)</f>
        <v>-110.939235</v>
      </c>
      <c r="C711" cm="1">
        <f t="array" aca="1" ref="C711" ca="1">[1]!s_west_eps($B$1,YEAR($A711),$A711,180)</f>
        <v>-0.12709999999999999</v>
      </c>
      <c r="D711" cm="1">
        <f t="array" aca="1" ref="D711" ca="1">[1]!s_west_instnum_np($B$1,YEAR($A711),$A711,180)</f>
        <v>15</v>
      </c>
      <c r="E711" cm="1">
        <f t="array" aca="1" ref="E711" ca="1">[1]!s_west_stdnetprofit($B$1,YEAR($A711),$A711,180,1000000)</f>
        <v>96.230818999999997</v>
      </c>
      <c r="F711" cm="1">
        <f t="array" aca="1" ref="F711" ca="1">[1]!s_west_mediannetprofit($B$1,YEAR($A711),$A711,180,1000000)</f>
        <v>-101</v>
      </c>
      <c r="G711" cm="1">
        <f t="array" aca="1" ref="G711" ca="1">[1]!s_west_netprofit($B$1,YEAR($A711)+1,$A711,180,1000000)</f>
        <v>10.775501</v>
      </c>
      <c r="H711" cm="1">
        <f t="array" aca="1" ref="H711" ca="1">[1]!s_west_eps($B$1,YEAR($A711)+1,$A711,180)</f>
        <v>1.24E-2</v>
      </c>
      <c r="I711" cm="1">
        <f t="array" aca="1" ref="I711" ca="1">[1]!s_west_instnum_np($B$1,YEAR($A711)+1,$A711,180)</f>
        <v>15</v>
      </c>
      <c r="J711" cm="1">
        <f t="array" aca="1" ref="J711" ca="1">[1]!s_west_stdnetprofit($B$1,YEAR($A711)+1,$A711,180,1000000)</f>
        <v>97.315253999999996</v>
      </c>
      <c r="K711" cm="1">
        <f t="array" aca="1" ref="K711" ca="1">[1]!s_west_mediannetprofit($B$1,YEAR($A710)+1,$A710,180,1000000)</f>
        <v>35.5</v>
      </c>
      <c r="L711" cm="1">
        <f t="array" aca="1" ref="L711" ca="1">[1]!s_dq_close($B$1,$A711,3)</f>
        <v>28.2</v>
      </c>
    </row>
    <row r="712" spans="1:12">
      <c r="A712" s="23">
        <f t="shared" ca="1" si="10"/>
        <v>45463</v>
      </c>
      <c r="B712" cm="1">
        <f t="array" aca="1" ref="B712" ca="1">[1]!s_west_netprofit($B$1,YEAR($A712),$A712,180,1000000)</f>
        <v>-110.939235</v>
      </c>
      <c r="C712" cm="1">
        <f t="array" aca="1" ref="C712" ca="1">[1]!s_west_eps($B$1,YEAR($A712),$A712,180)</f>
        <v>-0.12709999999999999</v>
      </c>
      <c r="D712" cm="1">
        <f t="array" aca="1" ref="D712" ca="1">[1]!s_west_instnum_np($B$1,YEAR($A712),$A712,180)</f>
        <v>15</v>
      </c>
      <c r="E712" cm="1">
        <f t="array" aca="1" ref="E712" ca="1">[1]!s_west_stdnetprofit($B$1,YEAR($A712),$A712,180,1000000)</f>
        <v>96.230818999999997</v>
      </c>
      <c r="F712" cm="1">
        <f t="array" aca="1" ref="F712" ca="1">[1]!s_west_mediannetprofit($B$1,YEAR($A712),$A712,180,1000000)</f>
        <v>-101</v>
      </c>
      <c r="G712" cm="1">
        <f t="array" aca="1" ref="G712" ca="1">[1]!s_west_netprofit($B$1,YEAR($A712)+1,$A712,180,1000000)</f>
        <v>10.775501</v>
      </c>
      <c r="H712" cm="1">
        <f t="array" aca="1" ref="H712" ca="1">[1]!s_west_eps($B$1,YEAR($A712)+1,$A712,180)</f>
        <v>1.24E-2</v>
      </c>
      <c r="I712" cm="1">
        <f t="array" aca="1" ref="I712" ca="1">[1]!s_west_instnum_np($B$1,YEAR($A712)+1,$A712,180)</f>
        <v>15</v>
      </c>
      <c r="J712" cm="1">
        <f t="array" aca="1" ref="J712" ca="1">[1]!s_west_stdnetprofit($B$1,YEAR($A712)+1,$A712,180,1000000)</f>
        <v>97.315253999999996</v>
      </c>
      <c r="K712" cm="1">
        <f t="array" aca="1" ref="K712" ca="1">[1]!s_west_mediannetprofit($B$1,YEAR($A711)+1,$A711,180,1000000)</f>
        <v>35.5</v>
      </c>
      <c r="L712" cm="1">
        <f t="array" aca="1" ref="L712" ca="1">[1]!s_dq_close($B$1,$A712,3)</f>
        <v>27.6</v>
      </c>
    </row>
    <row r="713" spans="1:12">
      <c r="A713" s="23">
        <f t="shared" ca="1" si="10"/>
        <v>45462</v>
      </c>
      <c r="B713" cm="1">
        <f t="array" aca="1" ref="B713" ca="1">[1]!s_west_netprofit($B$1,YEAR($A713),$A713,180,1000000)</f>
        <v>-110.939235</v>
      </c>
      <c r="C713" cm="1">
        <f t="array" aca="1" ref="C713" ca="1">[1]!s_west_eps($B$1,YEAR($A713),$A713,180)</f>
        <v>-0.12709999999999999</v>
      </c>
      <c r="D713" cm="1">
        <f t="array" aca="1" ref="D713" ca="1">[1]!s_west_instnum_np($B$1,YEAR($A713),$A713,180)</f>
        <v>15</v>
      </c>
      <c r="E713" cm="1">
        <f t="array" aca="1" ref="E713" ca="1">[1]!s_west_stdnetprofit($B$1,YEAR($A713),$A713,180,1000000)</f>
        <v>96.230818999999997</v>
      </c>
      <c r="F713" cm="1">
        <f t="array" aca="1" ref="F713" ca="1">[1]!s_west_mediannetprofit($B$1,YEAR($A713),$A713,180,1000000)</f>
        <v>-101</v>
      </c>
      <c r="G713" cm="1">
        <f t="array" aca="1" ref="G713" ca="1">[1]!s_west_netprofit($B$1,YEAR($A713)+1,$A713,180,1000000)</f>
        <v>10.775501</v>
      </c>
      <c r="H713" cm="1">
        <f t="array" aca="1" ref="H713" ca="1">[1]!s_west_eps($B$1,YEAR($A713)+1,$A713,180)</f>
        <v>1.24E-2</v>
      </c>
      <c r="I713" cm="1">
        <f t="array" aca="1" ref="I713" ca="1">[1]!s_west_instnum_np($B$1,YEAR($A713)+1,$A713,180)</f>
        <v>15</v>
      </c>
      <c r="J713" cm="1">
        <f t="array" aca="1" ref="J713" ca="1">[1]!s_west_stdnetprofit($B$1,YEAR($A713)+1,$A713,180,1000000)</f>
        <v>97.315253999999996</v>
      </c>
      <c r="K713" cm="1">
        <f t="array" aca="1" ref="K713" ca="1">[1]!s_west_mediannetprofit($B$1,YEAR($A712)+1,$A712,180,1000000)</f>
        <v>35.5</v>
      </c>
      <c r="L713" cm="1">
        <f t="array" aca="1" ref="L713" ca="1">[1]!s_dq_close($B$1,$A713,3)</f>
        <v>28.8</v>
      </c>
    </row>
    <row r="714" spans="1:12">
      <c r="A714" s="23">
        <f t="shared" ca="1" si="10"/>
        <v>45461</v>
      </c>
      <c r="B714" cm="1">
        <f t="array" aca="1" ref="B714" ca="1">[1]!s_west_netprofit($B$1,YEAR($A714),$A714,180,1000000)</f>
        <v>-110.939235</v>
      </c>
      <c r="C714" cm="1">
        <f t="array" aca="1" ref="C714" ca="1">[1]!s_west_eps($B$1,YEAR($A714),$A714,180)</f>
        <v>-0.12709999999999999</v>
      </c>
      <c r="D714" cm="1">
        <f t="array" aca="1" ref="D714" ca="1">[1]!s_west_instnum_np($B$1,YEAR($A714),$A714,180)</f>
        <v>15</v>
      </c>
      <c r="E714" cm="1">
        <f t="array" aca="1" ref="E714" ca="1">[1]!s_west_stdnetprofit($B$1,YEAR($A714),$A714,180,1000000)</f>
        <v>96.230818999999997</v>
      </c>
      <c r="F714" cm="1">
        <f t="array" aca="1" ref="F714" ca="1">[1]!s_west_mediannetprofit($B$1,YEAR($A714),$A714,180,1000000)</f>
        <v>-101</v>
      </c>
      <c r="G714" cm="1">
        <f t="array" aca="1" ref="G714" ca="1">[1]!s_west_netprofit($B$1,YEAR($A714)+1,$A714,180,1000000)</f>
        <v>10.775501</v>
      </c>
      <c r="H714" cm="1">
        <f t="array" aca="1" ref="H714" ca="1">[1]!s_west_eps($B$1,YEAR($A714)+1,$A714,180)</f>
        <v>1.24E-2</v>
      </c>
      <c r="I714" cm="1">
        <f t="array" aca="1" ref="I714" ca="1">[1]!s_west_instnum_np($B$1,YEAR($A714)+1,$A714,180)</f>
        <v>15</v>
      </c>
      <c r="J714" cm="1">
        <f t="array" aca="1" ref="J714" ca="1">[1]!s_west_stdnetprofit($B$1,YEAR($A714)+1,$A714,180,1000000)</f>
        <v>97.315253999999996</v>
      </c>
      <c r="K714" cm="1">
        <f t="array" aca="1" ref="K714" ca="1">[1]!s_west_mediannetprofit($B$1,YEAR($A713)+1,$A713,180,1000000)</f>
        <v>35.5</v>
      </c>
      <c r="L714" cm="1">
        <f t="array" aca="1" ref="L714" ca="1">[1]!s_dq_close($B$1,$A714,3)</f>
        <v>28.05</v>
      </c>
    </row>
    <row r="715" spans="1:12">
      <c r="A715" s="23">
        <f t="shared" ca="1" si="10"/>
        <v>45460</v>
      </c>
      <c r="B715" cm="1">
        <f t="array" aca="1" ref="B715" ca="1">[1]!s_west_netprofit($B$1,YEAR($A715),$A715,180,1000000)</f>
        <v>-110.939235</v>
      </c>
      <c r="C715" cm="1">
        <f t="array" aca="1" ref="C715" ca="1">[1]!s_west_eps($B$1,YEAR($A715),$A715,180)</f>
        <v>-0.12709999999999999</v>
      </c>
      <c r="D715" cm="1">
        <f t="array" aca="1" ref="D715" ca="1">[1]!s_west_instnum_np($B$1,YEAR($A715),$A715,180)</f>
        <v>15</v>
      </c>
      <c r="E715" cm="1">
        <f t="array" aca="1" ref="E715" ca="1">[1]!s_west_stdnetprofit($B$1,YEAR($A715),$A715,180,1000000)</f>
        <v>96.230818999999997</v>
      </c>
      <c r="F715" cm="1">
        <f t="array" aca="1" ref="F715" ca="1">[1]!s_west_mediannetprofit($B$1,YEAR($A715),$A715,180,1000000)</f>
        <v>-101</v>
      </c>
      <c r="G715" cm="1">
        <f t="array" aca="1" ref="G715" ca="1">[1]!s_west_netprofit($B$1,YEAR($A715)+1,$A715,180,1000000)</f>
        <v>10.775501</v>
      </c>
      <c r="H715" cm="1">
        <f t="array" aca="1" ref="H715" ca="1">[1]!s_west_eps($B$1,YEAR($A715)+1,$A715,180)</f>
        <v>1.24E-2</v>
      </c>
      <c r="I715" cm="1">
        <f t="array" aca="1" ref="I715" ca="1">[1]!s_west_instnum_np($B$1,YEAR($A715)+1,$A715,180)</f>
        <v>15</v>
      </c>
      <c r="J715" cm="1">
        <f t="array" aca="1" ref="J715" ca="1">[1]!s_west_stdnetprofit($B$1,YEAR($A715)+1,$A715,180,1000000)</f>
        <v>97.315253999999996</v>
      </c>
      <c r="K715" cm="1">
        <f t="array" aca="1" ref="K715" ca="1">[1]!s_west_mediannetprofit($B$1,YEAR($A714)+1,$A714,180,1000000)</f>
        <v>35.5</v>
      </c>
      <c r="L715" cm="1">
        <f t="array" aca="1" ref="L715" ca="1">[1]!s_dq_close($B$1,$A715,3)</f>
        <v>28.5</v>
      </c>
    </row>
    <row r="716" spans="1:12">
      <c r="A716" s="23">
        <f t="shared" ca="1" si="10"/>
        <v>45459</v>
      </c>
      <c r="B716" cm="1">
        <f t="array" aca="1" ref="B716" ca="1">[1]!s_west_netprofit($B$1,YEAR($A716),$A716,180,1000000)</f>
        <v>-110.939235</v>
      </c>
      <c r="C716" cm="1">
        <f t="array" aca="1" ref="C716" ca="1">[1]!s_west_eps($B$1,YEAR($A716),$A716,180)</f>
        <v>-0.12709999999999999</v>
      </c>
      <c r="D716" cm="1">
        <f t="array" aca="1" ref="D716" ca="1">[1]!s_west_instnum_np($B$1,YEAR($A716),$A716,180)</f>
        <v>15</v>
      </c>
      <c r="E716" cm="1">
        <f t="array" aca="1" ref="E716" ca="1">[1]!s_west_stdnetprofit($B$1,YEAR($A716),$A716,180,1000000)</f>
        <v>96.230818999999997</v>
      </c>
      <c r="F716" cm="1">
        <f t="array" aca="1" ref="F716" ca="1">[1]!s_west_mediannetprofit($B$1,YEAR($A716),$A716,180,1000000)</f>
        <v>-101</v>
      </c>
      <c r="G716" cm="1">
        <f t="array" aca="1" ref="G716" ca="1">[1]!s_west_netprofit($B$1,YEAR($A716)+1,$A716,180,1000000)</f>
        <v>10.775501</v>
      </c>
      <c r="H716" cm="1">
        <f t="array" aca="1" ref="H716" ca="1">[1]!s_west_eps($B$1,YEAR($A716)+1,$A716,180)</f>
        <v>1.24E-2</v>
      </c>
      <c r="I716" cm="1">
        <f t="array" aca="1" ref="I716" ca="1">[1]!s_west_instnum_np($B$1,YEAR($A716)+1,$A716,180)</f>
        <v>15</v>
      </c>
      <c r="J716" cm="1">
        <f t="array" aca="1" ref="J716" ca="1">[1]!s_west_stdnetprofit($B$1,YEAR($A716)+1,$A716,180,1000000)</f>
        <v>97.315253999999996</v>
      </c>
      <c r="K716" cm="1">
        <f t="array" aca="1" ref="K716" ca="1">[1]!s_west_mediannetprofit($B$1,YEAR($A715)+1,$A715,180,1000000)</f>
        <v>35.5</v>
      </c>
      <c r="L716" cm="1">
        <f t="array" aca="1" ref="L716" ca="1">[1]!s_dq_close($B$1,$A716,3)</f>
        <v>28.75</v>
      </c>
    </row>
    <row r="717" spans="1:12">
      <c r="A717" s="23">
        <f t="shared" ref="A717:A780" ca="1" si="11">A716-1</f>
        <v>45458</v>
      </c>
      <c r="B717" cm="1">
        <f t="array" aca="1" ref="B717" ca="1">[1]!s_west_netprofit($B$1,YEAR($A717),$A717,180,1000000)</f>
        <v>-110.939235</v>
      </c>
      <c r="C717" cm="1">
        <f t="array" aca="1" ref="C717" ca="1">[1]!s_west_eps($B$1,YEAR($A717),$A717,180)</f>
        <v>-0.12709999999999999</v>
      </c>
      <c r="D717" cm="1">
        <f t="array" aca="1" ref="D717" ca="1">[1]!s_west_instnum_np($B$1,YEAR($A717),$A717,180)</f>
        <v>15</v>
      </c>
      <c r="E717" cm="1">
        <f t="array" aca="1" ref="E717" ca="1">[1]!s_west_stdnetprofit($B$1,YEAR($A717),$A717,180,1000000)</f>
        <v>96.230818999999997</v>
      </c>
      <c r="F717" cm="1">
        <f t="array" aca="1" ref="F717" ca="1">[1]!s_west_mediannetprofit($B$1,YEAR($A717),$A717,180,1000000)</f>
        <v>-101</v>
      </c>
      <c r="G717" cm="1">
        <f t="array" aca="1" ref="G717" ca="1">[1]!s_west_netprofit($B$1,YEAR($A717)+1,$A717,180,1000000)</f>
        <v>10.775501</v>
      </c>
      <c r="H717" cm="1">
        <f t="array" aca="1" ref="H717" ca="1">[1]!s_west_eps($B$1,YEAR($A717)+1,$A717,180)</f>
        <v>1.24E-2</v>
      </c>
      <c r="I717" cm="1">
        <f t="array" aca="1" ref="I717" ca="1">[1]!s_west_instnum_np($B$1,YEAR($A717)+1,$A717,180)</f>
        <v>15</v>
      </c>
      <c r="J717" cm="1">
        <f t="array" aca="1" ref="J717" ca="1">[1]!s_west_stdnetprofit($B$1,YEAR($A717)+1,$A717,180,1000000)</f>
        <v>97.315253999999996</v>
      </c>
      <c r="K717" cm="1">
        <f t="array" aca="1" ref="K717" ca="1">[1]!s_west_mediannetprofit($B$1,YEAR($A716)+1,$A716,180,1000000)</f>
        <v>35.5</v>
      </c>
      <c r="L717" cm="1">
        <f t="array" aca="1" ref="L717" ca="1">[1]!s_dq_close($B$1,$A717,3)</f>
        <v>28.75</v>
      </c>
    </row>
    <row r="718" spans="1:12">
      <c r="A718" s="23">
        <f t="shared" ca="1" si="11"/>
        <v>45457</v>
      </c>
      <c r="B718" cm="1">
        <f t="array" aca="1" ref="B718" ca="1">[1]!s_west_netprofit($B$1,YEAR($A718),$A718,180,1000000)</f>
        <v>-110.939235</v>
      </c>
      <c r="C718" cm="1">
        <f t="array" aca="1" ref="C718" ca="1">[1]!s_west_eps($B$1,YEAR($A718),$A718,180)</f>
        <v>-0.12709999999999999</v>
      </c>
      <c r="D718" cm="1">
        <f t="array" aca="1" ref="D718" ca="1">[1]!s_west_instnum_np($B$1,YEAR($A718),$A718,180)</f>
        <v>15</v>
      </c>
      <c r="E718" cm="1">
        <f t="array" aca="1" ref="E718" ca="1">[1]!s_west_stdnetprofit($B$1,YEAR($A718),$A718,180,1000000)</f>
        <v>96.230818999999997</v>
      </c>
      <c r="F718" cm="1">
        <f t="array" aca="1" ref="F718" ca="1">[1]!s_west_mediannetprofit($B$1,YEAR($A718),$A718,180,1000000)</f>
        <v>-101</v>
      </c>
      <c r="G718" cm="1">
        <f t="array" aca="1" ref="G718" ca="1">[1]!s_west_netprofit($B$1,YEAR($A718)+1,$A718,180,1000000)</f>
        <v>10.775501</v>
      </c>
      <c r="H718" cm="1">
        <f t="array" aca="1" ref="H718" ca="1">[1]!s_west_eps($B$1,YEAR($A718)+1,$A718,180)</f>
        <v>1.24E-2</v>
      </c>
      <c r="I718" cm="1">
        <f t="array" aca="1" ref="I718" ca="1">[1]!s_west_instnum_np($B$1,YEAR($A718)+1,$A718,180)</f>
        <v>15</v>
      </c>
      <c r="J718" cm="1">
        <f t="array" aca="1" ref="J718" ca="1">[1]!s_west_stdnetprofit($B$1,YEAR($A718)+1,$A718,180,1000000)</f>
        <v>97.315253999999996</v>
      </c>
      <c r="K718" cm="1">
        <f t="array" aca="1" ref="K718" ca="1">[1]!s_west_mediannetprofit($B$1,YEAR($A717)+1,$A717,180,1000000)</f>
        <v>35.5</v>
      </c>
      <c r="L718" cm="1">
        <f t="array" aca="1" ref="L718" ca="1">[1]!s_dq_close($B$1,$A718,3)</f>
        <v>28.75</v>
      </c>
    </row>
    <row r="719" spans="1:12">
      <c r="A719" s="23">
        <f t="shared" ca="1" si="11"/>
        <v>45456</v>
      </c>
      <c r="B719" cm="1">
        <f t="array" aca="1" ref="B719" ca="1">[1]!s_west_netprofit($B$1,YEAR($A719),$A719,180,1000000)</f>
        <v>-110.939235</v>
      </c>
      <c r="C719" cm="1">
        <f t="array" aca="1" ref="C719" ca="1">[1]!s_west_eps($B$1,YEAR($A719),$A719,180)</f>
        <v>-0.12709999999999999</v>
      </c>
      <c r="D719" cm="1">
        <f t="array" aca="1" ref="D719" ca="1">[1]!s_west_instnum_np($B$1,YEAR($A719),$A719,180)</f>
        <v>15</v>
      </c>
      <c r="E719" cm="1">
        <f t="array" aca="1" ref="E719" ca="1">[1]!s_west_stdnetprofit($B$1,YEAR($A719),$A719,180,1000000)</f>
        <v>96.230818999999997</v>
      </c>
      <c r="F719" cm="1">
        <f t="array" aca="1" ref="F719" ca="1">[1]!s_west_mediannetprofit($B$1,YEAR($A719),$A719,180,1000000)</f>
        <v>-101</v>
      </c>
      <c r="G719" cm="1">
        <f t="array" aca="1" ref="G719" ca="1">[1]!s_west_netprofit($B$1,YEAR($A719)+1,$A719,180,1000000)</f>
        <v>10.775501</v>
      </c>
      <c r="H719" cm="1">
        <f t="array" aca="1" ref="H719" ca="1">[1]!s_west_eps($B$1,YEAR($A719)+1,$A719,180)</f>
        <v>1.24E-2</v>
      </c>
      <c r="I719" cm="1">
        <f t="array" aca="1" ref="I719" ca="1">[1]!s_west_instnum_np($B$1,YEAR($A719)+1,$A719,180)</f>
        <v>15</v>
      </c>
      <c r="J719" cm="1">
        <f t="array" aca="1" ref="J719" ca="1">[1]!s_west_stdnetprofit($B$1,YEAR($A719)+1,$A719,180,1000000)</f>
        <v>97.315253999999996</v>
      </c>
      <c r="K719" cm="1">
        <f t="array" aca="1" ref="K719" ca="1">[1]!s_west_mediannetprofit($B$1,YEAR($A718)+1,$A718,180,1000000)</f>
        <v>35.5</v>
      </c>
      <c r="L719" cm="1">
        <f t="array" aca="1" ref="L719" ca="1">[1]!s_dq_close($B$1,$A719,3)</f>
        <v>29.65</v>
      </c>
    </row>
    <row r="720" spans="1:12">
      <c r="A720" s="23">
        <f t="shared" ca="1" si="11"/>
        <v>45455</v>
      </c>
      <c r="B720" cm="1">
        <f t="array" aca="1" ref="B720" ca="1">[1]!s_west_netprofit($B$1,YEAR($A720),$A720,180,1000000)</f>
        <v>-110.939235</v>
      </c>
      <c r="C720" cm="1">
        <f t="array" aca="1" ref="C720" ca="1">[1]!s_west_eps($B$1,YEAR($A720),$A720,180)</f>
        <v>-0.12709999999999999</v>
      </c>
      <c r="D720" cm="1">
        <f t="array" aca="1" ref="D720" ca="1">[1]!s_west_instnum_np($B$1,YEAR($A720),$A720,180)</f>
        <v>15</v>
      </c>
      <c r="E720" cm="1">
        <f t="array" aca="1" ref="E720" ca="1">[1]!s_west_stdnetprofit($B$1,YEAR($A720),$A720,180,1000000)</f>
        <v>96.230818999999997</v>
      </c>
      <c r="F720" cm="1">
        <f t="array" aca="1" ref="F720" ca="1">[1]!s_west_mediannetprofit($B$1,YEAR($A720),$A720,180,1000000)</f>
        <v>-101</v>
      </c>
      <c r="G720" cm="1">
        <f t="array" aca="1" ref="G720" ca="1">[1]!s_west_netprofit($B$1,YEAR($A720)+1,$A720,180,1000000)</f>
        <v>10.775501</v>
      </c>
      <c r="H720" cm="1">
        <f t="array" aca="1" ref="H720" ca="1">[1]!s_west_eps($B$1,YEAR($A720)+1,$A720,180)</f>
        <v>1.24E-2</v>
      </c>
      <c r="I720" cm="1">
        <f t="array" aca="1" ref="I720" ca="1">[1]!s_west_instnum_np($B$1,YEAR($A720)+1,$A720,180)</f>
        <v>15</v>
      </c>
      <c r="J720" cm="1">
        <f t="array" aca="1" ref="J720" ca="1">[1]!s_west_stdnetprofit($B$1,YEAR($A720)+1,$A720,180,1000000)</f>
        <v>97.315253999999996</v>
      </c>
      <c r="K720" cm="1">
        <f t="array" aca="1" ref="K720" ca="1">[1]!s_west_mediannetprofit($B$1,YEAR($A719)+1,$A719,180,1000000)</f>
        <v>35.5</v>
      </c>
      <c r="L720" cm="1">
        <f t="array" aca="1" ref="L720" ca="1">[1]!s_dq_close($B$1,$A720,3)</f>
        <v>28.4</v>
      </c>
    </row>
    <row r="721" spans="1:12">
      <c r="A721" s="23">
        <f t="shared" ca="1" si="11"/>
        <v>45454</v>
      </c>
      <c r="B721" cm="1">
        <f t="array" aca="1" ref="B721" ca="1">[1]!s_west_netprofit($B$1,YEAR($A721),$A721,180,1000000)</f>
        <v>-110.939235</v>
      </c>
      <c r="C721" cm="1">
        <f t="array" aca="1" ref="C721" ca="1">[1]!s_west_eps($B$1,YEAR($A721),$A721,180)</f>
        <v>-0.12709999999999999</v>
      </c>
      <c r="D721" cm="1">
        <f t="array" aca="1" ref="D721" ca="1">[1]!s_west_instnum_np($B$1,YEAR($A721),$A721,180)</f>
        <v>15</v>
      </c>
      <c r="E721" cm="1">
        <f t="array" aca="1" ref="E721" ca="1">[1]!s_west_stdnetprofit($B$1,YEAR($A721),$A721,180,1000000)</f>
        <v>96.230818999999997</v>
      </c>
      <c r="F721" cm="1">
        <f t="array" aca="1" ref="F721" ca="1">[1]!s_west_mediannetprofit($B$1,YEAR($A721),$A721,180,1000000)</f>
        <v>-101</v>
      </c>
      <c r="G721" cm="1">
        <f t="array" aca="1" ref="G721" ca="1">[1]!s_west_netprofit($B$1,YEAR($A721)+1,$A721,180,1000000)</f>
        <v>10.775501</v>
      </c>
      <c r="H721" cm="1">
        <f t="array" aca="1" ref="H721" ca="1">[1]!s_west_eps($B$1,YEAR($A721)+1,$A721,180)</f>
        <v>1.24E-2</v>
      </c>
      <c r="I721" cm="1">
        <f t="array" aca="1" ref="I721" ca="1">[1]!s_west_instnum_np($B$1,YEAR($A721)+1,$A721,180)</f>
        <v>15</v>
      </c>
      <c r="J721" cm="1">
        <f t="array" aca="1" ref="J721" ca="1">[1]!s_west_stdnetprofit($B$1,YEAR($A721)+1,$A721,180,1000000)</f>
        <v>97.315253999999996</v>
      </c>
      <c r="K721" cm="1">
        <f t="array" aca="1" ref="K721" ca="1">[1]!s_west_mediannetprofit($B$1,YEAR($A720)+1,$A720,180,1000000)</f>
        <v>35.5</v>
      </c>
      <c r="L721" cm="1">
        <f t="array" aca="1" ref="L721" ca="1">[1]!s_dq_close($B$1,$A721,3)</f>
        <v>28.5</v>
      </c>
    </row>
    <row r="722" spans="1:12">
      <c r="A722" s="23">
        <f t="shared" ca="1" si="11"/>
        <v>45453</v>
      </c>
      <c r="B722" cm="1">
        <f t="array" aca="1" ref="B722" ca="1">[1]!s_west_netprofit($B$1,YEAR($A722),$A722,180,1000000)</f>
        <v>-110.939235</v>
      </c>
      <c r="C722" cm="1">
        <f t="array" aca="1" ref="C722" ca="1">[1]!s_west_eps($B$1,YEAR($A722),$A722,180)</f>
        <v>-0.12709999999999999</v>
      </c>
      <c r="D722" cm="1">
        <f t="array" aca="1" ref="D722" ca="1">[1]!s_west_instnum_np($B$1,YEAR($A722),$A722,180)</f>
        <v>15</v>
      </c>
      <c r="E722" cm="1">
        <f t="array" aca="1" ref="E722" ca="1">[1]!s_west_stdnetprofit($B$1,YEAR($A722),$A722,180,1000000)</f>
        <v>96.230818999999997</v>
      </c>
      <c r="F722" cm="1">
        <f t="array" aca="1" ref="F722" ca="1">[1]!s_west_mediannetprofit($B$1,YEAR($A722),$A722,180,1000000)</f>
        <v>-101</v>
      </c>
      <c r="G722" cm="1">
        <f t="array" aca="1" ref="G722" ca="1">[1]!s_west_netprofit($B$1,YEAR($A722)+1,$A722,180,1000000)</f>
        <v>10.775501</v>
      </c>
      <c r="H722" cm="1">
        <f t="array" aca="1" ref="H722" ca="1">[1]!s_west_eps($B$1,YEAR($A722)+1,$A722,180)</f>
        <v>1.24E-2</v>
      </c>
      <c r="I722" cm="1">
        <f t="array" aca="1" ref="I722" ca="1">[1]!s_west_instnum_np($B$1,YEAR($A722)+1,$A722,180)</f>
        <v>15</v>
      </c>
      <c r="J722" cm="1">
        <f t="array" aca="1" ref="J722" ca="1">[1]!s_west_stdnetprofit($B$1,YEAR($A722)+1,$A722,180,1000000)</f>
        <v>97.315253999999996</v>
      </c>
      <c r="K722" cm="1">
        <f t="array" aca="1" ref="K722" ca="1">[1]!s_west_mediannetprofit($B$1,YEAR($A721)+1,$A721,180,1000000)</f>
        <v>35.5</v>
      </c>
      <c r="L722" cm="1">
        <f t="array" aca="1" ref="L722" ca="1">[1]!s_dq_close($B$1,$A722,3)</f>
        <v>28.8</v>
      </c>
    </row>
    <row r="723" spans="1:12">
      <c r="A723" s="23">
        <f t="shared" ca="1" si="11"/>
        <v>45452</v>
      </c>
      <c r="B723" cm="1">
        <f t="array" aca="1" ref="B723" ca="1">[1]!s_west_netprofit($B$1,YEAR($A723),$A723,180,1000000)</f>
        <v>-89.873867000000004</v>
      </c>
      <c r="C723" cm="1">
        <f t="array" aca="1" ref="C723" ca="1">[1]!s_west_eps($B$1,YEAR($A723),$A723,180)</f>
        <v>-0.10299999999999999</v>
      </c>
      <c r="D723" cm="1">
        <f t="array" aca="1" ref="D723" ca="1">[1]!s_west_instnum_np($B$1,YEAR($A723),$A723,180)</f>
        <v>15</v>
      </c>
      <c r="E723" cm="1">
        <f t="array" aca="1" ref="E723" ca="1">[1]!s_west_stdnetprofit($B$1,YEAR($A723),$A723,180,1000000)</f>
        <v>48.111195000000002</v>
      </c>
      <c r="F723" cm="1">
        <f t="array" aca="1" ref="F723" ca="1">[1]!s_west_mediannetprofit($B$1,YEAR($A723),$A723,180,1000000)</f>
        <v>-100</v>
      </c>
      <c r="G723" cm="1">
        <f t="array" aca="1" ref="G723" ca="1">[1]!s_west_netprofit($B$1,YEAR($A723)+1,$A723,180,1000000)</f>
        <v>32.985067000000001</v>
      </c>
      <c r="H723" cm="1">
        <f t="array" aca="1" ref="H723" ca="1">[1]!s_west_eps($B$1,YEAR($A723)+1,$A723,180)</f>
        <v>3.78E-2</v>
      </c>
      <c r="I723" cm="1">
        <f t="array" aca="1" ref="I723" ca="1">[1]!s_west_instnum_np($B$1,YEAR($A723)+1,$A723,180)</f>
        <v>15</v>
      </c>
      <c r="J723" cm="1">
        <f t="array" aca="1" ref="J723" ca="1">[1]!s_west_stdnetprofit($B$1,YEAR($A723)+1,$A723,180,1000000)</f>
        <v>41.118580000000001</v>
      </c>
      <c r="K723" cm="1">
        <f t="array" aca="1" ref="K723" ca="1">[1]!s_west_mediannetprofit($B$1,YEAR($A722)+1,$A722,180,1000000)</f>
        <v>35.5</v>
      </c>
      <c r="L723" cm="1">
        <f t="array" aca="1" ref="L723" ca="1">[1]!s_dq_close($B$1,$A723,3)</f>
        <v>28.8</v>
      </c>
    </row>
    <row r="724" spans="1:12">
      <c r="A724" s="23">
        <f t="shared" ca="1" si="11"/>
        <v>45451</v>
      </c>
      <c r="B724" cm="1">
        <f t="array" aca="1" ref="B724" ca="1">[1]!s_west_netprofit($B$1,YEAR($A724),$A724,180,1000000)</f>
        <v>-89.873867000000004</v>
      </c>
      <c r="C724" cm="1">
        <f t="array" aca="1" ref="C724" ca="1">[1]!s_west_eps($B$1,YEAR($A724),$A724,180)</f>
        <v>-0.10299999999999999</v>
      </c>
      <c r="D724" cm="1">
        <f t="array" aca="1" ref="D724" ca="1">[1]!s_west_instnum_np($B$1,YEAR($A724),$A724,180)</f>
        <v>15</v>
      </c>
      <c r="E724" cm="1">
        <f t="array" aca="1" ref="E724" ca="1">[1]!s_west_stdnetprofit($B$1,YEAR($A724),$A724,180,1000000)</f>
        <v>48.111195000000002</v>
      </c>
      <c r="F724" cm="1">
        <f t="array" aca="1" ref="F724" ca="1">[1]!s_west_mediannetprofit($B$1,YEAR($A724),$A724,180,1000000)</f>
        <v>-100</v>
      </c>
      <c r="G724" cm="1">
        <f t="array" aca="1" ref="G724" ca="1">[1]!s_west_netprofit($B$1,YEAR($A724)+1,$A724,180,1000000)</f>
        <v>32.985067000000001</v>
      </c>
      <c r="H724" cm="1">
        <f t="array" aca="1" ref="H724" ca="1">[1]!s_west_eps($B$1,YEAR($A724)+1,$A724,180)</f>
        <v>3.78E-2</v>
      </c>
      <c r="I724" cm="1">
        <f t="array" aca="1" ref="I724" ca="1">[1]!s_west_instnum_np($B$1,YEAR($A724)+1,$A724,180)</f>
        <v>15</v>
      </c>
      <c r="J724" cm="1">
        <f t="array" aca="1" ref="J724" ca="1">[1]!s_west_stdnetprofit($B$1,YEAR($A724)+1,$A724,180,1000000)</f>
        <v>41.118580000000001</v>
      </c>
      <c r="K724" cm="1">
        <f t="array" aca="1" ref="K724" ca="1">[1]!s_west_mediannetprofit($B$1,YEAR($A723)+1,$A723,180,1000000)</f>
        <v>41</v>
      </c>
      <c r="L724" cm="1">
        <f t="array" aca="1" ref="L724" ca="1">[1]!s_dq_close($B$1,$A724,3)</f>
        <v>28.8</v>
      </c>
    </row>
    <row r="725" spans="1:12">
      <c r="A725" s="23">
        <f t="shared" ca="1" si="11"/>
        <v>45450</v>
      </c>
      <c r="B725" cm="1">
        <f t="array" aca="1" ref="B725" ca="1">[1]!s_west_netprofit($B$1,YEAR($A725),$A725,180,1000000)</f>
        <v>-89.873867000000004</v>
      </c>
      <c r="C725" cm="1">
        <f t="array" aca="1" ref="C725" ca="1">[1]!s_west_eps($B$1,YEAR($A725),$A725,180)</f>
        <v>-0.10299999999999999</v>
      </c>
      <c r="D725" cm="1">
        <f t="array" aca="1" ref="D725" ca="1">[1]!s_west_instnum_np($B$1,YEAR($A725),$A725,180)</f>
        <v>15</v>
      </c>
      <c r="E725" cm="1">
        <f t="array" aca="1" ref="E725" ca="1">[1]!s_west_stdnetprofit($B$1,YEAR($A725),$A725,180,1000000)</f>
        <v>48.111195000000002</v>
      </c>
      <c r="F725" cm="1">
        <f t="array" aca="1" ref="F725" ca="1">[1]!s_west_mediannetprofit($B$1,YEAR($A725),$A725,180,1000000)</f>
        <v>-100</v>
      </c>
      <c r="G725" cm="1">
        <f t="array" aca="1" ref="G725" ca="1">[1]!s_west_netprofit($B$1,YEAR($A725)+1,$A725,180,1000000)</f>
        <v>32.985067000000001</v>
      </c>
      <c r="H725" cm="1">
        <f t="array" aca="1" ref="H725" ca="1">[1]!s_west_eps($B$1,YEAR($A725)+1,$A725,180)</f>
        <v>3.78E-2</v>
      </c>
      <c r="I725" cm="1">
        <f t="array" aca="1" ref="I725" ca="1">[1]!s_west_instnum_np($B$1,YEAR($A725)+1,$A725,180)</f>
        <v>15</v>
      </c>
      <c r="J725" cm="1">
        <f t="array" aca="1" ref="J725" ca="1">[1]!s_west_stdnetprofit($B$1,YEAR($A725)+1,$A725,180,1000000)</f>
        <v>41.118580000000001</v>
      </c>
      <c r="K725" cm="1">
        <f t="array" aca="1" ref="K725" ca="1">[1]!s_west_mediannetprofit($B$1,YEAR($A724)+1,$A724,180,1000000)</f>
        <v>41</v>
      </c>
      <c r="L725" cm="1">
        <f t="array" aca="1" ref="L725" ca="1">[1]!s_dq_close($B$1,$A725,3)</f>
        <v>28.8</v>
      </c>
    </row>
    <row r="726" spans="1:12">
      <c r="A726" s="23">
        <f t="shared" ca="1" si="11"/>
        <v>45449</v>
      </c>
      <c r="B726" cm="1">
        <f t="array" aca="1" ref="B726" ca="1">[1]!s_west_netprofit($B$1,YEAR($A726),$A726,180,1000000)</f>
        <v>-89.873867000000004</v>
      </c>
      <c r="C726" cm="1">
        <f t="array" aca="1" ref="C726" ca="1">[1]!s_west_eps($B$1,YEAR($A726),$A726,180)</f>
        <v>-0.10299999999999999</v>
      </c>
      <c r="D726" cm="1">
        <f t="array" aca="1" ref="D726" ca="1">[1]!s_west_instnum_np($B$1,YEAR($A726),$A726,180)</f>
        <v>15</v>
      </c>
      <c r="E726" cm="1">
        <f t="array" aca="1" ref="E726" ca="1">[1]!s_west_stdnetprofit($B$1,YEAR($A726),$A726,180,1000000)</f>
        <v>48.111195000000002</v>
      </c>
      <c r="F726" cm="1">
        <f t="array" aca="1" ref="F726" ca="1">[1]!s_west_mediannetprofit($B$1,YEAR($A726),$A726,180,1000000)</f>
        <v>-100</v>
      </c>
      <c r="G726" cm="1">
        <f t="array" aca="1" ref="G726" ca="1">[1]!s_west_netprofit($B$1,YEAR($A726)+1,$A726,180,1000000)</f>
        <v>32.985067000000001</v>
      </c>
      <c r="H726" cm="1">
        <f t="array" aca="1" ref="H726" ca="1">[1]!s_west_eps($B$1,YEAR($A726)+1,$A726,180)</f>
        <v>3.78E-2</v>
      </c>
      <c r="I726" cm="1">
        <f t="array" aca="1" ref="I726" ca="1">[1]!s_west_instnum_np($B$1,YEAR($A726)+1,$A726,180)</f>
        <v>15</v>
      </c>
      <c r="J726" cm="1">
        <f t="array" aca="1" ref="J726" ca="1">[1]!s_west_stdnetprofit($B$1,YEAR($A726)+1,$A726,180,1000000)</f>
        <v>41.118580000000001</v>
      </c>
      <c r="K726" cm="1">
        <f t="array" aca="1" ref="K726" ca="1">[1]!s_west_mediannetprofit($B$1,YEAR($A725)+1,$A725,180,1000000)</f>
        <v>41</v>
      </c>
      <c r="L726" cm="1">
        <f t="array" aca="1" ref="L726" ca="1">[1]!s_dq_close($B$1,$A726,3)</f>
        <v>29.35</v>
      </c>
    </row>
    <row r="727" spans="1:12">
      <c r="A727" s="23">
        <f t="shared" ca="1" si="11"/>
        <v>45448</v>
      </c>
      <c r="B727" cm="1">
        <f t="array" aca="1" ref="B727" ca="1">[1]!s_west_netprofit($B$1,YEAR($A727),$A727,180,1000000)</f>
        <v>-89.873867000000004</v>
      </c>
      <c r="C727" cm="1">
        <f t="array" aca="1" ref="C727" ca="1">[1]!s_west_eps($B$1,YEAR($A727),$A727,180)</f>
        <v>-0.10299999999999999</v>
      </c>
      <c r="D727" cm="1">
        <f t="array" aca="1" ref="D727" ca="1">[1]!s_west_instnum_np($B$1,YEAR($A727),$A727,180)</f>
        <v>15</v>
      </c>
      <c r="E727" cm="1">
        <f t="array" aca="1" ref="E727" ca="1">[1]!s_west_stdnetprofit($B$1,YEAR($A727),$A727,180,1000000)</f>
        <v>48.111195000000002</v>
      </c>
      <c r="F727" cm="1">
        <f t="array" aca="1" ref="F727" ca="1">[1]!s_west_mediannetprofit($B$1,YEAR($A727),$A727,180,1000000)</f>
        <v>-100</v>
      </c>
      <c r="G727" cm="1">
        <f t="array" aca="1" ref="G727" ca="1">[1]!s_west_netprofit($B$1,YEAR($A727)+1,$A727,180,1000000)</f>
        <v>32.985067000000001</v>
      </c>
      <c r="H727" cm="1">
        <f t="array" aca="1" ref="H727" ca="1">[1]!s_west_eps($B$1,YEAR($A727)+1,$A727,180)</f>
        <v>3.78E-2</v>
      </c>
      <c r="I727" cm="1">
        <f t="array" aca="1" ref="I727" ca="1">[1]!s_west_instnum_np($B$1,YEAR($A727)+1,$A727,180)</f>
        <v>15</v>
      </c>
      <c r="J727" cm="1">
        <f t="array" aca="1" ref="J727" ca="1">[1]!s_west_stdnetprofit($B$1,YEAR($A727)+1,$A727,180,1000000)</f>
        <v>41.118580000000001</v>
      </c>
      <c r="K727" cm="1">
        <f t="array" aca="1" ref="K727" ca="1">[1]!s_west_mediannetprofit($B$1,YEAR($A726)+1,$A726,180,1000000)</f>
        <v>41</v>
      </c>
      <c r="L727" cm="1">
        <f t="array" aca="1" ref="L727" ca="1">[1]!s_dq_close($B$1,$A727,3)</f>
        <v>29.4</v>
      </c>
    </row>
    <row r="728" spans="1:12">
      <c r="A728" s="23">
        <f t="shared" ca="1" si="11"/>
        <v>45447</v>
      </c>
      <c r="B728" cm="1">
        <f t="array" aca="1" ref="B728" ca="1">[1]!s_west_netprofit($B$1,YEAR($A728),$A728,180,1000000)</f>
        <v>-89.873867000000004</v>
      </c>
      <c r="C728" cm="1">
        <f t="array" aca="1" ref="C728" ca="1">[1]!s_west_eps($B$1,YEAR($A728),$A728,180)</f>
        <v>-0.10299999999999999</v>
      </c>
      <c r="D728" cm="1">
        <f t="array" aca="1" ref="D728" ca="1">[1]!s_west_instnum_np($B$1,YEAR($A728),$A728,180)</f>
        <v>15</v>
      </c>
      <c r="E728" cm="1">
        <f t="array" aca="1" ref="E728" ca="1">[1]!s_west_stdnetprofit($B$1,YEAR($A728),$A728,180,1000000)</f>
        <v>48.111195000000002</v>
      </c>
      <c r="F728" cm="1">
        <f t="array" aca="1" ref="F728" ca="1">[1]!s_west_mediannetprofit($B$1,YEAR($A728),$A728,180,1000000)</f>
        <v>-100</v>
      </c>
      <c r="G728" cm="1">
        <f t="array" aca="1" ref="G728" ca="1">[1]!s_west_netprofit($B$1,YEAR($A728)+1,$A728,180,1000000)</f>
        <v>32.985067000000001</v>
      </c>
      <c r="H728" cm="1">
        <f t="array" aca="1" ref="H728" ca="1">[1]!s_west_eps($B$1,YEAR($A728)+1,$A728,180)</f>
        <v>3.78E-2</v>
      </c>
      <c r="I728" cm="1">
        <f t="array" aca="1" ref="I728" ca="1">[1]!s_west_instnum_np($B$1,YEAR($A728)+1,$A728,180)</f>
        <v>15</v>
      </c>
      <c r="J728" cm="1">
        <f t="array" aca="1" ref="J728" ca="1">[1]!s_west_stdnetprofit($B$1,YEAR($A728)+1,$A728,180,1000000)</f>
        <v>41.118580000000001</v>
      </c>
      <c r="K728" cm="1">
        <f t="array" aca="1" ref="K728" ca="1">[1]!s_west_mediannetprofit($B$1,YEAR($A727)+1,$A727,180,1000000)</f>
        <v>41</v>
      </c>
      <c r="L728" cm="1">
        <f t="array" aca="1" ref="L728" ca="1">[1]!s_dq_close($B$1,$A728,3)</f>
        <v>29.65</v>
      </c>
    </row>
    <row r="729" spans="1:12">
      <c r="A729" s="23">
        <f t="shared" ca="1" si="11"/>
        <v>45446</v>
      </c>
      <c r="B729" cm="1">
        <f t="array" aca="1" ref="B729" ca="1">[1]!s_west_netprofit($B$1,YEAR($A729),$A729,180,1000000)</f>
        <v>-89.873867000000004</v>
      </c>
      <c r="C729" cm="1">
        <f t="array" aca="1" ref="C729" ca="1">[1]!s_west_eps($B$1,YEAR($A729),$A729,180)</f>
        <v>-0.10299999999999999</v>
      </c>
      <c r="D729" cm="1">
        <f t="array" aca="1" ref="D729" ca="1">[1]!s_west_instnum_np($B$1,YEAR($A729),$A729,180)</f>
        <v>15</v>
      </c>
      <c r="E729" cm="1">
        <f t="array" aca="1" ref="E729" ca="1">[1]!s_west_stdnetprofit($B$1,YEAR($A729),$A729,180,1000000)</f>
        <v>48.111195000000002</v>
      </c>
      <c r="F729" cm="1">
        <f t="array" aca="1" ref="F729" ca="1">[1]!s_west_mediannetprofit($B$1,YEAR($A729),$A729,180,1000000)</f>
        <v>-100</v>
      </c>
      <c r="G729" cm="1">
        <f t="array" aca="1" ref="G729" ca="1">[1]!s_west_netprofit($B$1,YEAR($A729)+1,$A729,180,1000000)</f>
        <v>32.985067000000001</v>
      </c>
      <c r="H729" cm="1">
        <f t="array" aca="1" ref="H729" ca="1">[1]!s_west_eps($B$1,YEAR($A729)+1,$A729,180)</f>
        <v>3.78E-2</v>
      </c>
      <c r="I729" cm="1">
        <f t="array" aca="1" ref="I729" ca="1">[1]!s_west_instnum_np($B$1,YEAR($A729)+1,$A729,180)</f>
        <v>15</v>
      </c>
      <c r="J729" cm="1">
        <f t="array" aca="1" ref="J729" ca="1">[1]!s_west_stdnetprofit($B$1,YEAR($A729)+1,$A729,180,1000000)</f>
        <v>41.118580000000001</v>
      </c>
      <c r="K729" cm="1">
        <f t="array" aca="1" ref="K729" ca="1">[1]!s_west_mediannetprofit($B$1,YEAR($A728)+1,$A728,180,1000000)</f>
        <v>41</v>
      </c>
      <c r="L729" cm="1">
        <f t="array" aca="1" ref="L729" ca="1">[1]!s_dq_close($B$1,$A729,3)</f>
        <v>28.55</v>
      </c>
    </row>
    <row r="730" spans="1:12">
      <c r="A730" s="23">
        <f t="shared" ca="1" si="11"/>
        <v>45445</v>
      </c>
      <c r="B730" cm="1">
        <f t="array" aca="1" ref="B730" ca="1">[1]!s_west_netprofit($B$1,YEAR($A730),$A730,180,1000000)</f>
        <v>-89.873867000000004</v>
      </c>
      <c r="C730" cm="1">
        <f t="array" aca="1" ref="C730" ca="1">[1]!s_west_eps($B$1,YEAR($A730),$A730,180)</f>
        <v>-0.10299999999999999</v>
      </c>
      <c r="D730" cm="1">
        <f t="array" aca="1" ref="D730" ca="1">[1]!s_west_instnum_np($B$1,YEAR($A730),$A730,180)</f>
        <v>15</v>
      </c>
      <c r="E730" cm="1">
        <f t="array" aca="1" ref="E730" ca="1">[1]!s_west_stdnetprofit($B$1,YEAR($A730),$A730,180,1000000)</f>
        <v>48.111195000000002</v>
      </c>
      <c r="F730" cm="1">
        <f t="array" aca="1" ref="F730" ca="1">[1]!s_west_mediannetprofit($B$1,YEAR($A730),$A730,180,1000000)</f>
        <v>-100</v>
      </c>
      <c r="G730" cm="1">
        <f t="array" aca="1" ref="G730" ca="1">[1]!s_west_netprofit($B$1,YEAR($A730)+1,$A730,180,1000000)</f>
        <v>32.985067000000001</v>
      </c>
      <c r="H730" cm="1">
        <f t="array" aca="1" ref="H730" ca="1">[1]!s_west_eps($B$1,YEAR($A730)+1,$A730,180)</f>
        <v>3.78E-2</v>
      </c>
      <c r="I730" cm="1">
        <f t="array" aca="1" ref="I730" ca="1">[1]!s_west_instnum_np($B$1,YEAR($A730)+1,$A730,180)</f>
        <v>15</v>
      </c>
      <c r="J730" cm="1">
        <f t="array" aca="1" ref="J730" ca="1">[1]!s_west_stdnetprofit($B$1,YEAR($A730)+1,$A730,180,1000000)</f>
        <v>41.118580000000001</v>
      </c>
      <c r="K730" cm="1">
        <f t="array" aca="1" ref="K730" ca="1">[1]!s_west_mediannetprofit($B$1,YEAR($A729)+1,$A729,180,1000000)</f>
        <v>41</v>
      </c>
      <c r="L730" cm="1">
        <f t="array" aca="1" ref="L730" ca="1">[1]!s_dq_close($B$1,$A730,3)</f>
        <v>29.45</v>
      </c>
    </row>
    <row r="731" spans="1:12">
      <c r="A731" s="23">
        <f t="shared" ca="1" si="11"/>
        <v>45444</v>
      </c>
      <c r="B731" cm="1">
        <f t="array" aca="1" ref="B731" ca="1">[1]!s_west_netprofit($B$1,YEAR($A731),$A731,180,1000000)</f>
        <v>-89.873867000000004</v>
      </c>
      <c r="C731" cm="1">
        <f t="array" aca="1" ref="C731" ca="1">[1]!s_west_eps($B$1,YEAR($A731),$A731,180)</f>
        <v>-0.10299999999999999</v>
      </c>
      <c r="D731" cm="1">
        <f t="array" aca="1" ref="D731" ca="1">[1]!s_west_instnum_np($B$1,YEAR($A731),$A731,180)</f>
        <v>15</v>
      </c>
      <c r="E731" cm="1">
        <f t="array" aca="1" ref="E731" ca="1">[1]!s_west_stdnetprofit($B$1,YEAR($A731),$A731,180,1000000)</f>
        <v>48.111195000000002</v>
      </c>
      <c r="F731" cm="1">
        <f t="array" aca="1" ref="F731" ca="1">[1]!s_west_mediannetprofit($B$1,YEAR($A731),$A731,180,1000000)</f>
        <v>-100</v>
      </c>
      <c r="G731" cm="1">
        <f t="array" aca="1" ref="G731" ca="1">[1]!s_west_netprofit($B$1,YEAR($A731)+1,$A731,180,1000000)</f>
        <v>32.985067000000001</v>
      </c>
      <c r="H731" cm="1">
        <f t="array" aca="1" ref="H731" ca="1">[1]!s_west_eps($B$1,YEAR($A731)+1,$A731,180)</f>
        <v>3.78E-2</v>
      </c>
      <c r="I731" cm="1">
        <f t="array" aca="1" ref="I731" ca="1">[1]!s_west_instnum_np($B$1,YEAR($A731)+1,$A731,180)</f>
        <v>15</v>
      </c>
      <c r="J731" cm="1">
        <f t="array" aca="1" ref="J731" ca="1">[1]!s_west_stdnetprofit($B$1,YEAR($A731)+1,$A731,180,1000000)</f>
        <v>41.118580000000001</v>
      </c>
      <c r="K731" cm="1">
        <f t="array" aca="1" ref="K731" ca="1">[1]!s_west_mediannetprofit($B$1,YEAR($A730)+1,$A730,180,1000000)</f>
        <v>41</v>
      </c>
      <c r="L731" cm="1">
        <f t="array" aca="1" ref="L731" ca="1">[1]!s_dq_close($B$1,$A731,3)</f>
        <v>29.45</v>
      </c>
    </row>
    <row r="732" spans="1:12">
      <c r="A732" s="23">
        <f t="shared" ca="1" si="11"/>
        <v>45443</v>
      </c>
      <c r="B732" cm="1">
        <f t="array" aca="1" ref="B732" ca="1">[1]!s_west_netprofit($B$1,YEAR($A732),$A732,180,1000000)</f>
        <v>-89.873867000000004</v>
      </c>
      <c r="C732" cm="1">
        <f t="array" aca="1" ref="C732" ca="1">[1]!s_west_eps($B$1,YEAR($A732),$A732,180)</f>
        <v>-0.10299999999999999</v>
      </c>
      <c r="D732" cm="1">
        <f t="array" aca="1" ref="D732" ca="1">[1]!s_west_instnum_np($B$1,YEAR($A732),$A732,180)</f>
        <v>15</v>
      </c>
      <c r="E732" cm="1">
        <f t="array" aca="1" ref="E732" ca="1">[1]!s_west_stdnetprofit($B$1,YEAR($A732),$A732,180,1000000)</f>
        <v>48.111195000000002</v>
      </c>
      <c r="F732" cm="1">
        <f t="array" aca="1" ref="F732" ca="1">[1]!s_west_mediannetprofit($B$1,YEAR($A732),$A732,180,1000000)</f>
        <v>-100</v>
      </c>
      <c r="G732" cm="1">
        <f t="array" aca="1" ref="G732" ca="1">[1]!s_west_netprofit($B$1,YEAR($A732)+1,$A732,180,1000000)</f>
        <v>32.985067000000001</v>
      </c>
      <c r="H732" cm="1">
        <f t="array" aca="1" ref="H732" ca="1">[1]!s_west_eps($B$1,YEAR($A732)+1,$A732,180)</f>
        <v>3.78E-2</v>
      </c>
      <c r="I732" cm="1">
        <f t="array" aca="1" ref="I732" ca="1">[1]!s_west_instnum_np($B$1,YEAR($A732)+1,$A732,180)</f>
        <v>15</v>
      </c>
      <c r="J732" cm="1">
        <f t="array" aca="1" ref="J732" ca="1">[1]!s_west_stdnetprofit($B$1,YEAR($A732)+1,$A732,180,1000000)</f>
        <v>41.118580000000001</v>
      </c>
      <c r="K732" cm="1">
        <f t="array" aca="1" ref="K732" ca="1">[1]!s_west_mediannetprofit($B$1,YEAR($A731)+1,$A731,180,1000000)</f>
        <v>41</v>
      </c>
      <c r="L732" cm="1">
        <f t="array" aca="1" ref="L732" ca="1">[1]!s_dq_close($B$1,$A732,3)</f>
        <v>29.45</v>
      </c>
    </row>
    <row r="733" spans="1:12">
      <c r="A733" s="23">
        <f t="shared" ca="1" si="11"/>
        <v>45442</v>
      </c>
      <c r="B733" cm="1">
        <f t="array" aca="1" ref="B733" ca="1">[1]!s_west_netprofit($B$1,YEAR($A733),$A733,180,1000000)</f>
        <v>-89.873867000000004</v>
      </c>
      <c r="C733" cm="1">
        <f t="array" aca="1" ref="C733" ca="1">[1]!s_west_eps($B$1,YEAR($A733),$A733,180)</f>
        <v>-0.10299999999999999</v>
      </c>
      <c r="D733" cm="1">
        <f t="array" aca="1" ref="D733" ca="1">[1]!s_west_instnum_np($B$1,YEAR($A733),$A733,180)</f>
        <v>15</v>
      </c>
      <c r="E733" cm="1">
        <f t="array" aca="1" ref="E733" ca="1">[1]!s_west_stdnetprofit($B$1,YEAR($A733),$A733,180,1000000)</f>
        <v>48.111195000000002</v>
      </c>
      <c r="F733" cm="1">
        <f t="array" aca="1" ref="F733" ca="1">[1]!s_west_mediannetprofit($B$1,YEAR($A733),$A733,180,1000000)</f>
        <v>-100</v>
      </c>
      <c r="G733" cm="1">
        <f t="array" aca="1" ref="G733" ca="1">[1]!s_west_netprofit($B$1,YEAR($A733)+1,$A733,180,1000000)</f>
        <v>32.985067000000001</v>
      </c>
      <c r="H733" cm="1">
        <f t="array" aca="1" ref="H733" ca="1">[1]!s_west_eps($B$1,YEAR($A733)+1,$A733,180)</f>
        <v>3.78E-2</v>
      </c>
      <c r="I733" cm="1">
        <f t="array" aca="1" ref="I733" ca="1">[1]!s_west_instnum_np($B$1,YEAR($A733)+1,$A733,180)</f>
        <v>15</v>
      </c>
      <c r="J733" cm="1">
        <f t="array" aca="1" ref="J733" ca="1">[1]!s_west_stdnetprofit($B$1,YEAR($A733)+1,$A733,180,1000000)</f>
        <v>41.118580000000001</v>
      </c>
      <c r="K733" cm="1">
        <f t="array" aca="1" ref="K733" ca="1">[1]!s_west_mediannetprofit($B$1,YEAR($A732)+1,$A732,180,1000000)</f>
        <v>41</v>
      </c>
      <c r="L733" cm="1">
        <f t="array" aca="1" ref="L733" ca="1">[1]!s_dq_close($B$1,$A733,3)</f>
        <v>29.7</v>
      </c>
    </row>
    <row r="734" spans="1:12">
      <c r="A734" s="23">
        <f t="shared" ca="1" si="11"/>
        <v>45441</v>
      </c>
      <c r="B734" cm="1">
        <f t="array" aca="1" ref="B734" ca="1">[1]!s_west_netprofit($B$1,YEAR($A734),$A734,180,1000000)</f>
        <v>-89.873867000000004</v>
      </c>
      <c r="C734" cm="1">
        <f t="array" aca="1" ref="C734" ca="1">[1]!s_west_eps($B$1,YEAR($A734),$A734,180)</f>
        <v>-0.10299999999999999</v>
      </c>
      <c r="D734" cm="1">
        <f t="array" aca="1" ref="D734" ca="1">[1]!s_west_instnum_np($B$1,YEAR($A734),$A734,180)</f>
        <v>15</v>
      </c>
      <c r="E734" cm="1">
        <f t="array" aca="1" ref="E734" ca="1">[1]!s_west_stdnetprofit($B$1,YEAR($A734),$A734,180,1000000)</f>
        <v>48.111195000000002</v>
      </c>
      <c r="F734" cm="1">
        <f t="array" aca="1" ref="F734" ca="1">[1]!s_west_mediannetprofit($B$1,YEAR($A734),$A734,180,1000000)</f>
        <v>-100</v>
      </c>
      <c r="G734" cm="1">
        <f t="array" aca="1" ref="G734" ca="1">[1]!s_west_netprofit($B$1,YEAR($A734)+1,$A734,180,1000000)</f>
        <v>32.985067000000001</v>
      </c>
      <c r="H734" cm="1">
        <f t="array" aca="1" ref="H734" ca="1">[1]!s_west_eps($B$1,YEAR($A734)+1,$A734,180)</f>
        <v>3.78E-2</v>
      </c>
      <c r="I734" cm="1">
        <f t="array" aca="1" ref="I734" ca="1">[1]!s_west_instnum_np($B$1,YEAR($A734)+1,$A734,180)</f>
        <v>15</v>
      </c>
      <c r="J734" cm="1">
        <f t="array" aca="1" ref="J734" ca="1">[1]!s_west_stdnetprofit($B$1,YEAR($A734)+1,$A734,180,1000000)</f>
        <v>41.118580000000001</v>
      </c>
      <c r="K734" cm="1">
        <f t="array" aca="1" ref="K734" ca="1">[1]!s_west_mediannetprofit($B$1,YEAR($A733)+1,$A733,180,1000000)</f>
        <v>41</v>
      </c>
      <c r="L734" cm="1">
        <f t="array" aca="1" ref="L734" ca="1">[1]!s_dq_close($B$1,$A734,3)</f>
        <v>29.75</v>
      </c>
    </row>
    <row r="735" spans="1:12">
      <c r="A735" s="23">
        <f t="shared" ca="1" si="11"/>
        <v>45440</v>
      </c>
      <c r="B735" cm="1">
        <f t="array" aca="1" ref="B735" ca="1">[1]!s_west_netprofit($B$1,YEAR($A735),$A735,180,1000000)</f>
        <v>-89.873867000000004</v>
      </c>
      <c r="C735" cm="1">
        <f t="array" aca="1" ref="C735" ca="1">[1]!s_west_eps($B$1,YEAR($A735),$A735,180)</f>
        <v>-0.10299999999999999</v>
      </c>
      <c r="D735" cm="1">
        <f t="array" aca="1" ref="D735" ca="1">[1]!s_west_instnum_np($B$1,YEAR($A735),$A735,180)</f>
        <v>15</v>
      </c>
      <c r="E735" cm="1">
        <f t="array" aca="1" ref="E735" ca="1">[1]!s_west_stdnetprofit($B$1,YEAR($A735),$A735,180,1000000)</f>
        <v>48.111195000000002</v>
      </c>
      <c r="F735" cm="1">
        <f t="array" aca="1" ref="F735" ca="1">[1]!s_west_mediannetprofit($B$1,YEAR($A735),$A735,180,1000000)</f>
        <v>-100</v>
      </c>
      <c r="G735" cm="1">
        <f t="array" aca="1" ref="G735" ca="1">[1]!s_west_netprofit($B$1,YEAR($A735)+1,$A735,180,1000000)</f>
        <v>32.985067000000001</v>
      </c>
      <c r="H735" cm="1">
        <f t="array" aca="1" ref="H735" ca="1">[1]!s_west_eps($B$1,YEAR($A735)+1,$A735,180)</f>
        <v>3.78E-2</v>
      </c>
      <c r="I735" cm="1">
        <f t="array" aca="1" ref="I735" ca="1">[1]!s_west_instnum_np($B$1,YEAR($A735)+1,$A735,180)</f>
        <v>15</v>
      </c>
      <c r="J735" cm="1">
        <f t="array" aca="1" ref="J735" ca="1">[1]!s_west_stdnetprofit($B$1,YEAR($A735)+1,$A735,180,1000000)</f>
        <v>41.118580000000001</v>
      </c>
      <c r="K735" cm="1">
        <f t="array" aca="1" ref="K735" ca="1">[1]!s_west_mediannetprofit($B$1,YEAR($A734)+1,$A734,180,1000000)</f>
        <v>41</v>
      </c>
      <c r="L735" cm="1">
        <f t="array" aca="1" ref="L735" ca="1">[1]!s_dq_close($B$1,$A735,3)</f>
        <v>30.5</v>
      </c>
    </row>
    <row r="736" spans="1:12">
      <c r="A736" s="23">
        <f t="shared" ca="1" si="11"/>
        <v>45439</v>
      </c>
      <c r="B736" cm="1">
        <f t="array" aca="1" ref="B736" ca="1">[1]!s_west_netprofit($B$1,YEAR($A736),$A736,180,1000000)</f>
        <v>-89.873867000000004</v>
      </c>
      <c r="C736" cm="1">
        <f t="array" aca="1" ref="C736" ca="1">[1]!s_west_eps($B$1,YEAR($A736),$A736,180)</f>
        <v>-0.10299999999999999</v>
      </c>
      <c r="D736" cm="1">
        <f t="array" aca="1" ref="D736" ca="1">[1]!s_west_instnum_np($B$1,YEAR($A736),$A736,180)</f>
        <v>15</v>
      </c>
      <c r="E736" cm="1">
        <f t="array" aca="1" ref="E736" ca="1">[1]!s_west_stdnetprofit($B$1,YEAR($A736),$A736,180,1000000)</f>
        <v>48.111195000000002</v>
      </c>
      <c r="F736" cm="1">
        <f t="array" aca="1" ref="F736" ca="1">[1]!s_west_mediannetprofit($B$1,YEAR($A736),$A736,180,1000000)</f>
        <v>-100</v>
      </c>
      <c r="G736" cm="1">
        <f t="array" aca="1" ref="G736" ca="1">[1]!s_west_netprofit($B$1,YEAR($A736)+1,$A736,180,1000000)</f>
        <v>32.985067000000001</v>
      </c>
      <c r="H736" cm="1">
        <f t="array" aca="1" ref="H736" ca="1">[1]!s_west_eps($B$1,YEAR($A736)+1,$A736,180)</f>
        <v>3.78E-2</v>
      </c>
      <c r="I736" cm="1">
        <f t="array" aca="1" ref="I736" ca="1">[1]!s_west_instnum_np($B$1,YEAR($A736)+1,$A736,180)</f>
        <v>15</v>
      </c>
      <c r="J736" cm="1">
        <f t="array" aca="1" ref="J736" ca="1">[1]!s_west_stdnetprofit($B$1,YEAR($A736)+1,$A736,180,1000000)</f>
        <v>41.118580000000001</v>
      </c>
      <c r="K736" cm="1">
        <f t="array" aca="1" ref="K736" ca="1">[1]!s_west_mediannetprofit($B$1,YEAR($A735)+1,$A735,180,1000000)</f>
        <v>41</v>
      </c>
      <c r="L736" cm="1">
        <f t="array" aca="1" ref="L736" ca="1">[1]!s_dq_close($B$1,$A736,3)</f>
        <v>30.75</v>
      </c>
    </row>
    <row r="737" spans="1:12">
      <c r="A737" s="23">
        <f t="shared" ca="1" si="11"/>
        <v>45438</v>
      </c>
      <c r="B737" cm="1">
        <f t="array" aca="1" ref="B737" ca="1">[1]!s_west_netprofit($B$1,YEAR($A737),$A737,180,1000000)</f>
        <v>-89.873867000000004</v>
      </c>
      <c r="C737" cm="1">
        <f t="array" aca="1" ref="C737" ca="1">[1]!s_west_eps($B$1,YEAR($A737),$A737,180)</f>
        <v>-0.10299999999999999</v>
      </c>
      <c r="D737" cm="1">
        <f t="array" aca="1" ref="D737" ca="1">[1]!s_west_instnum_np($B$1,YEAR($A737),$A737,180)</f>
        <v>15</v>
      </c>
      <c r="E737" cm="1">
        <f t="array" aca="1" ref="E737" ca="1">[1]!s_west_stdnetprofit($B$1,YEAR($A737),$A737,180,1000000)</f>
        <v>48.111195000000002</v>
      </c>
      <c r="F737" cm="1">
        <f t="array" aca="1" ref="F737" ca="1">[1]!s_west_mediannetprofit($B$1,YEAR($A737),$A737,180,1000000)</f>
        <v>-100</v>
      </c>
      <c r="G737" cm="1">
        <f t="array" aca="1" ref="G737" ca="1">[1]!s_west_netprofit($B$1,YEAR($A737)+1,$A737,180,1000000)</f>
        <v>32.985067000000001</v>
      </c>
      <c r="H737" cm="1">
        <f t="array" aca="1" ref="H737" ca="1">[1]!s_west_eps($B$1,YEAR($A737)+1,$A737,180)</f>
        <v>3.78E-2</v>
      </c>
      <c r="I737" cm="1">
        <f t="array" aca="1" ref="I737" ca="1">[1]!s_west_instnum_np($B$1,YEAR($A737)+1,$A737,180)</f>
        <v>15</v>
      </c>
      <c r="J737" cm="1">
        <f t="array" aca="1" ref="J737" ca="1">[1]!s_west_stdnetprofit($B$1,YEAR($A737)+1,$A737,180,1000000)</f>
        <v>41.118580000000001</v>
      </c>
      <c r="K737" cm="1">
        <f t="array" aca="1" ref="K737" ca="1">[1]!s_west_mediannetprofit($B$1,YEAR($A736)+1,$A736,180,1000000)</f>
        <v>41</v>
      </c>
      <c r="L737" cm="1">
        <f t="array" aca="1" ref="L737" ca="1">[1]!s_dq_close($B$1,$A737,3)</f>
        <v>29.7</v>
      </c>
    </row>
    <row r="738" spans="1:12">
      <c r="A738" s="23">
        <f t="shared" ca="1" si="11"/>
        <v>45437</v>
      </c>
      <c r="B738" cm="1">
        <f t="array" aca="1" ref="B738" ca="1">[1]!s_west_netprofit($B$1,YEAR($A738),$A738,180,1000000)</f>
        <v>-89.873867000000004</v>
      </c>
      <c r="C738" cm="1">
        <f t="array" aca="1" ref="C738" ca="1">[1]!s_west_eps($B$1,YEAR($A738),$A738,180)</f>
        <v>-0.10299999999999999</v>
      </c>
      <c r="D738" cm="1">
        <f t="array" aca="1" ref="D738" ca="1">[1]!s_west_instnum_np($B$1,YEAR($A738),$A738,180)</f>
        <v>15</v>
      </c>
      <c r="E738" cm="1">
        <f t="array" aca="1" ref="E738" ca="1">[1]!s_west_stdnetprofit($B$1,YEAR($A738),$A738,180,1000000)</f>
        <v>48.111195000000002</v>
      </c>
      <c r="F738" cm="1">
        <f t="array" aca="1" ref="F738" ca="1">[1]!s_west_mediannetprofit($B$1,YEAR($A738),$A738,180,1000000)</f>
        <v>-100</v>
      </c>
      <c r="G738" cm="1">
        <f t="array" aca="1" ref="G738" ca="1">[1]!s_west_netprofit($B$1,YEAR($A738)+1,$A738,180,1000000)</f>
        <v>32.985067000000001</v>
      </c>
      <c r="H738" cm="1">
        <f t="array" aca="1" ref="H738" ca="1">[1]!s_west_eps($B$1,YEAR($A738)+1,$A738,180)</f>
        <v>3.78E-2</v>
      </c>
      <c r="I738" cm="1">
        <f t="array" aca="1" ref="I738" ca="1">[1]!s_west_instnum_np($B$1,YEAR($A738)+1,$A738,180)</f>
        <v>15</v>
      </c>
      <c r="J738" cm="1">
        <f t="array" aca="1" ref="J738" ca="1">[1]!s_west_stdnetprofit($B$1,YEAR($A738)+1,$A738,180,1000000)</f>
        <v>41.118580000000001</v>
      </c>
      <c r="K738" cm="1">
        <f t="array" aca="1" ref="K738" ca="1">[1]!s_west_mediannetprofit($B$1,YEAR($A737)+1,$A737,180,1000000)</f>
        <v>41</v>
      </c>
      <c r="L738" cm="1">
        <f t="array" aca="1" ref="L738" ca="1">[1]!s_dq_close($B$1,$A738,3)</f>
        <v>29.7</v>
      </c>
    </row>
    <row r="739" spans="1:12">
      <c r="A739" s="23">
        <f t="shared" ca="1" si="11"/>
        <v>45436</v>
      </c>
      <c r="B739" cm="1">
        <f t="array" aca="1" ref="B739" ca="1">[1]!s_west_netprofit($B$1,YEAR($A739),$A739,180,1000000)</f>
        <v>-89.873867000000004</v>
      </c>
      <c r="C739" cm="1">
        <f t="array" aca="1" ref="C739" ca="1">[1]!s_west_eps($B$1,YEAR($A739),$A739,180)</f>
        <v>-0.10299999999999999</v>
      </c>
      <c r="D739" cm="1">
        <f t="array" aca="1" ref="D739" ca="1">[1]!s_west_instnum_np($B$1,YEAR($A739),$A739,180)</f>
        <v>15</v>
      </c>
      <c r="E739" cm="1">
        <f t="array" aca="1" ref="E739" ca="1">[1]!s_west_stdnetprofit($B$1,YEAR($A739),$A739,180,1000000)</f>
        <v>48.111195000000002</v>
      </c>
      <c r="F739" cm="1">
        <f t="array" aca="1" ref="F739" ca="1">[1]!s_west_mediannetprofit($B$1,YEAR($A739),$A739,180,1000000)</f>
        <v>-100</v>
      </c>
      <c r="G739" cm="1">
        <f t="array" aca="1" ref="G739" ca="1">[1]!s_west_netprofit($B$1,YEAR($A739)+1,$A739,180,1000000)</f>
        <v>32.985067000000001</v>
      </c>
      <c r="H739" cm="1">
        <f t="array" aca="1" ref="H739" ca="1">[1]!s_west_eps($B$1,YEAR($A739)+1,$A739,180)</f>
        <v>3.78E-2</v>
      </c>
      <c r="I739" cm="1">
        <f t="array" aca="1" ref="I739" ca="1">[1]!s_west_instnum_np($B$1,YEAR($A739)+1,$A739,180)</f>
        <v>15</v>
      </c>
      <c r="J739" cm="1">
        <f t="array" aca="1" ref="J739" ca="1">[1]!s_west_stdnetprofit($B$1,YEAR($A739)+1,$A739,180,1000000)</f>
        <v>41.118580000000001</v>
      </c>
      <c r="K739" cm="1">
        <f t="array" aca="1" ref="K739" ca="1">[1]!s_west_mediannetprofit($B$1,YEAR($A738)+1,$A738,180,1000000)</f>
        <v>41</v>
      </c>
      <c r="L739" cm="1">
        <f t="array" aca="1" ref="L739" ca="1">[1]!s_dq_close($B$1,$A739,3)</f>
        <v>29.7</v>
      </c>
    </row>
    <row r="740" spans="1:12">
      <c r="A740" s="23">
        <f t="shared" ca="1" si="11"/>
        <v>45435</v>
      </c>
      <c r="B740" cm="1">
        <f t="array" aca="1" ref="B740" ca="1">[1]!s_west_netprofit($B$1,YEAR($A740),$A740,180,1000000)</f>
        <v>-90.150570999999999</v>
      </c>
      <c r="C740" cm="1">
        <f t="array" aca="1" ref="C740" ca="1">[1]!s_west_eps($B$1,YEAR($A740),$A740,180)</f>
        <v>-0.1032</v>
      </c>
      <c r="D740" cm="1">
        <f t="array" aca="1" ref="D740" ca="1">[1]!s_west_instnum_np($B$1,YEAR($A740),$A740,180)</f>
        <v>14</v>
      </c>
      <c r="E740" cm="1">
        <f t="array" aca="1" ref="E740" ca="1">[1]!s_west_stdnetprofit($B$1,YEAR($A740),$A740,180,1000000)</f>
        <v>49.914959000000003</v>
      </c>
      <c r="F740" cm="1">
        <f t="array" aca="1" ref="F740" ca="1">[1]!s_west_mediannetprofit($B$1,YEAR($A740),$A740,180,1000000)</f>
        <v>-101</v>
      </c>
      <c r="G740" cm="1">
        <f t="array" aca="1" ref="G740" ca="1">[1]!s_west_netprofit($B$1,YEAR($A740)+1,$A740,180,1000000)</f>
        <v>32.412571</v>
      </c>
      <c r="H740" cm="1">
        <f t="array" aca="1" ref="H740" ca="1">[1]!s_west_eps($B$1,YEAR($A740)+1,$A740,180)</f>
        <v>3.6999999999999998E-2</v>
      </c>
      <c r="I740" cm="1">
        <f t="array" aca="1" ref="I740" ca="1">[1]!s_west_instnum_np($B$1,YEAR($A740)+1,$A740,180)</f>
        <v>14</v>
      </c>
      <c r="J740" cm="1">
        <f t="array" aca="1" ref="J740" ca="1">[1]!s_west_stdnetprofit($B$1,YEAR($A740)+1,$A740,180,1000000)</f>
        <v>42.608683999999997</v>
      </c>
      <c r="K740" cm="1">
        <f t="array" aca="1" ref="K740" ca="1">[1]!s_west_mediannetprofit($B$1,YEAR($A739)+1,$A739,180,1000000)</f>
        <v>41</v>
      </c>
      <c r="L740" cm="1">
        <f t="array" aca="1" ref="L740" ca="1">[1]!s_dq_close($B$1,$A740,3)</f>
        <v>30.35</v>
      </c>
    </row>
    <row r="741" spans="1:12">
      <c r="A741" s="23">
        <f t="shared" ca="1" si="11"/>
        <v>45434</v>
      </c>
      <c r="B741" cm="1">
        <f t="array" aca="1" ref="B741" ca="1">[1]!s_west_netprofit($B$1,YEAR($A741),$A741,180,1000000)</f>
        <v>-90.150570999999999</v>
      </c>
      <c r="C741" cm="1">
        <f t="array" aca="1" ref="C741" ca="1">[1]!s_west_eps($B$1,YEAR($A741),$A741,180)</f>
        <v>-0.1032</v>
      </c>
      <c r="D741" cm="1">
        <f t="array" aca="1" ref="D741" ca="1">[1]!s_west_instnum_np($B$1,YEAR($A741),$A741,180)</f>
        <v>14</v>
      </c>
      <c r="E741" cm="1">
        <f t="array" aca="1" ref="E741" ca="1">[1]!s_west_stdnetprofit($B$1,YEAR($A741),$A741,180,1000000)</f>
        <v>49.914959000000003</v>
      </c>
      <c r="F741" cm="1">
        <f t="array" aca="1" ref="F741" ca="1">[1]!s_west_mediannetprofit($B$1,YEAR($A741),$A741,180,1000000)</f>
        <v>-101</v>
      </c>
      <c r="G741" cm="1">
        <f t="array" aca="1" ref="G741" ca="1">[1]!s_west_netprofit($B$1,YEAR($A741)+1,$A741,180,1000000)</f>
        <v>32.412571</v>
      </c>
      <c r="H741" cm="1">
        <f t="array" aca="1" ref="H741" ca="1">[1]!s_west_eps($B$1,YEAR($A741)+1,$A741,180)</f>
        <v>3.6999999999999998E-2</v>
      </c>
      <c r="I741" cm="1">
        <f t="array" aca="1" ref="I741" ca="1">[1]!s_west_instnum_np($B$1,YEAR($A741)+1,$A741,180)</f>
        <v>14</v>
      </c>
      <c r="J741" cm="1">
        <f t="array" aca="1" ref="J741" ca="1">[1]!s_west_stdnetprofit($B$1,YEAR($A741)+1,$A741,180,1000000)</f>
        <v>42.608683999999997</v>
      </c>
      <c r="K741" cm="1">
        <f t="array" aca="1" ref="K741" ca="1">[1]!s_west_mediannetprofit($B$1,YEAR($A740)+1,$A740,180,1000000)</f>
        <v>37</v>
      </c>
      <c r="L741" cm="1">
        <f t="array" aca="1" ref="L741" ca="1">[1]!s_dq_close($B$1,$A741,3)</f>
        <v>31.35</v>
      </c>
    </row>
    <row r="742" spans="1:12">
      <c r="A742" s="23">
        <f t="shared" ca="1" si="11"/>
        <v>45433</v>
      </c>
      <c r="B742" cm="1">
        <f t="array" aca="1" ref="B742" ca="1">[1]!s_west_netprofit($B$1,YEAR($A742),$A742,180,1000000)</f>
        <v>-90.150570999999999</v>
      </c>
      <c r="C742" cm="1">
        <f t="array" aca="1" ref="C742" ca="1">[1]!s_west_eps($B$1,YEAR($A742),$A742,180)</f>
        <v>-0.1032</v>
      </c>
      <c r="D742" cm="1">
        <f t="array" aca="1" ref="D742" ca="1">[1]!s_west_instnum_np($B$1,YEAR($A742),$A742,180)</f>
        <v>14</v>
      </c>
      <c r="E742" cm="1">
        <f t="array" aca="1" ref="E742" ca="1">[1]!s_west_stdnetprofit($B$1,YEAR($A742),$A742,180,1000000)</f>
        <v>49.914959000000003</v>
      </c>
      <c r="F742" cm="1">
        <f t="array" aca="1" ref="F742" ca="1">[1]!s_west_mediannetprofit($B$1,YEAR($A742),$A742,180,1000000)</f>
        <v>-101</v>
      </c>
      <c r="G742" cm="1">
        <f t="array" aca="1" ref="G742" ca="1">[1]!s_west_netprofit($B$1,YEAR($A742)+1,$A742,180,1000000)</f>
        <v>32.412571</v>
      </c>
      <c r="H742" cm="1">
        <f t="array" aca="1" ref="H742" ca="1">[1]!s_west_eps($B$1,YEAR($A742)+1,$A742,180)</f>
        <v>3.6999999999999998E-2</v>
      </c>
      <c r="I742" cm="1">
        <f t="array" aca="1" ref="I742" ca="1">[1]!s_west_instnum_np($B$1,YEAR($A742)+1,$A742,180)</f>
        <v>14</v>
      </c>
      <c r="J742" cm="1">
        <f t="array" aca="1" ref="J742" ca="1">[1]!s_west_stdnetprofit($B$1,YEAR($A742)+1,$A742,180,1000000)</f>
        <v>42.608683999999997</v>
      </c>
      <c r="K742" cm="1">
        <f t="array" aca="1" ref="K742" ca="1">[1]!s_west_mediannetprofit($B$1,YEAR($A741)+1,$A741,180,1000000)</f>
        <v>37</v>
      </c>
      <c r="L742" cm="1">
        <f t="array" aca="1" ref="L742" ca="1">[1]!s_dq_close($B$1,$A742,3)</f>
        <v>31.4</v>
      </c>
    </row>
    <row r="743" spans="1:12">
      <c r="A743" s="23">
        <f t="shared" ca="1" si="11"/>
        <v>45432</v>
      </c>
      <c r="B743" cm="1">
        <f t="array" aca="1" ref="B743" ca="1">[1]!s_west_netprofit($B$1,YEAR($A743),$A743,180,1000000)</f>
        <v>-89.239076999999995</v>
      </c>
      <c r="C743" cm="1">
        <f t="array" aca="1" ref="C743" ca="1">[1]!s_west_eps($B$1,YEAR($A743),$A743,180)</f>
        <v>-0.1021</v>
      </c>
      <c r="D743" cm="1">
        <f t="array" aca="1" ref="D743" ca="1">[1]!s_west_instnum_np($B$1,YEAR($A743),$A743,180)</f>
        <v>13</v>
      </c>
      <c r="E743" cm="1">
        <f t="array" aca="1" ref="E743" ca="1">[1]!s_west_stdnetprofit($B$1,YEAR($A743),$A743,180,1000000)</f>
        <v>51.831722999999997</v>
      </c>
      <c r="F743" cm="1">
        <f t="array" aca="1" ref="F743" ca="1">[1]!s_west_mediannetprofit($B$1,YEAR($A743),$A743,180,1000000)</f>
        <v>-100</v>
      </c>
      <c r="G743" cm="1">
        <f t="array" aca="1" ref="G743" ca="1">[1]!s_west_netprofit($B$1,YEAR($A743)+1,$A743,180,1000000)</f>
        <v>35.752000000000002</v>
      </c>
      <c r="H743" cm="1">
        <f t="array" aca="1" ref="H743" ca="1">[1]!s_west_eps($B$1,YEAR($A743)+1,$A743,180)</f>
        <v>4.0800000000000003E-2</v>
      </c>
      <c r="I743" cm="1">
        <f t="array" aca="1" ref="I743" ca="1">[1]!s_west_instnum_np($B$1,YEAR($A743)+1,$A743,180)</f>
        <v>13</v>
      </c>
      <c r="J743" cm="1">
        <f t="array" aca="1" ref="J743" ca="1">[1]!s_west_stdnetprofit($B$1,YEAR($A743)+1,$A743,180,1000000)</f>
        <v>42.398775999999998</v>
      </c>
      <c r="K743" cm="1">
        <f t="array" aca="1" ref="K743" ca="1">[1]!s_west_mediannetprofit($B$1,YEAR($A742)+1,$A742,180,1000000)</f>
        <v>37</v>
      </c>
      <c r="L743" cm="1">
        <f t="array" aca="1" ref="L743" ca="1">[1]!s_dq_close($B$1,$A743,3)</f>
        <v>32.049999999999997</v>
      </c>
    </row>
    <row r="744" spans="1:12">
      <c r="A744" s="23">
        <f t="shared" ca="1" si="11"/>
        <v>45431</v>
      </c>
      <c r="B744" cm="1">
        <f t="array" aca="1" ref="B744" ca="1">[1]!s_west_netprofit($B$1,YEAR($A744),$A744,180,1000000)</f>
        <v>-89.239076999999995</v>
      </c>
      <c r="C744" cm="1">
        <f t="array" aca="1" ref="C744" ca="1">[1]!s_west_eps($B$1,YEAR($A744),$A744,180)</f>
        <v>-0.1021</v>
      </c>
      <c r="D744" cm="1">
        <f t="array" aca="1" ref="D744" ca="1">[1]!s_west_instnum_np($B$1,YEAR($A744),$A744,180)</f>
        <v>13</v>
      </c>
      <c r="E744" cm="1">
        <f t="array" aca="1" ref="E744" ca="1">[1]!s_west_stdnetprofit($B$1,YEAR($A744),$A744,180,1000000)</f>
        <v>51.831722999999997</v>
      </c>
      <c r="F744" cm="1">
        <f t="array" aca="1" ref="F744" ca="1">[1]!s_west_mediannetprofit($B$1,YEAR($A744),$A744,180,1000000)</f>
        <v>-100</v>
      </c>
      <c r="G744" cm="1">
        <f t="array" aca="1" ref="G744" ca="1">[1]!s_west_netprofit($B$1,YEAR($A744)+1,$A744,180,1000000)</f>
        <v>35.752000000000002</v>
      </c>
      <c r="H744" cm="1">
        <f t="array" aca="1" ref="H744" ca="1">[1]!s_west_eps($B$1,YEAR($A744)+1,$A744,180)</f>
        <v>4.0800000000000003E-2</v>
      </c>
      <c r="I744" cm="1">
        <f t="array" aca="1" ref="I744" ca="1">[1]!s_west_instnum_np($B$1,YEAR($A744)+1,$A744,180)</f>
        <v>13</v>
      </c>
      <c r="J744" cm="1">
        <f t="array" aca="1" ref="J744" ca="1">[1]!s_west_stdnetprofit($B$1,YEAR($A744)+1,$A744,180,1000000)</f>
        <v>42.398775999999998</v>
      </c>
      <c r="K744" cm="1">
        <f t="array" aca="1" ref="K744" ca="1">[1]!s_west_mediannetprofit($B$1,YEAR($A743)+1,$A743,180,1000000)</f>
        <v>44</v>
      </c>
      <c r="L744" cm="1">
        <f t="array" aca="1" ref="L744" ca="1">[1]!s_dq_close($B$1,$A744,3)</f>
        <v>31.7</v>
      </c>
    </row>
    <row r="745" spans="1:12">
      <c r="A745" s="23">
        <f t="shared" ca="1" si="11"/>
        <v>45430</v>
      </c>
      <c r="B745" cm="1">
        <f t="array" aca="1" ref="B745" ca="1">[1]!s_west_netprofit($B$1,YEAR($A745),$A745,180,1000000)</f>
        <v>-89.239076999999995</v>
      </c>
      <c r="C745" cm="1">
        <f t="array" aca="1" ref="C745" ca="1">[1]!s_west_eps($B$1,YEAR($A745),$A745,180)</f>
        <v>-0.1021</v>
      </c>
      <c r="D745" cm="1">
        <f t="array" aca="1" ref="D745" ca="1">[1]!s_west_instnum_np($B$1,YEAR($A745),$A745,180)</f>
        <v>13</v>
      </c>
      <c r="E745" cm="1">
        <f t="array" aca="1" ref="E745" ca="1">[1]!s_west_stdnetprofit($B$1,YEAR($A745),$A745,180,1000000)</f>
        <v>51.831722999999997</v>
      </c>
      <c r="F745" cm="1">
        <f t="array" aca="1" ref="F745" ca="1">[1]!s_west_mediannetprofit($B$1,YEAR($A745),$A745,180,1000000)</f>
        <v>-100</v>
      </c>
      <c r="G745" cm="1">
        <f t="array" aca="1" ref="G745" ca="1">[1]!s_west_netprofit($B$1,YEAR($A745)+1,$A745,180,1000000)</f>
        <v>35.752000000000002</v>
      </c>
      <c r="H745" cm="1">
        <f t="array" aca="1" ref="H745" ca="1">[1]!s_west_eps($B$1,YEAR($A745)+1,$A745,180)</f>
        <v>4.0800000000000003E-2</v>
      </c>
      <c r="I745" cm="1">
        <f t="array" aca="1" ref="I745" ca="1">[1]!s_west_instnum_np($B$1,YEAR($A745)+1,$A745,180)</f>
        <v>13</v>
      </c>
      <c r="J745" cm="1">
        <f t="array" aca="1" ref="J745" ca="1">[1]!s_west_stdnetprofit($B$1,YEAR($A745)+1,$A745,180,1000000)</f>
        <v>42.398775999999998</v>
      </c>
      <c r="K745" cm="1">
        <f t="array" aca="1" ref="K745" ca="1">[1]!s_west_mediannetprofit($B$1,YEAR($A744)+1,$A744,180,1000000)</f>
        <v>44</v>
      </c>
      <c r="L745" cm="1">
        <f t="array" aca="1" ref="L745" ca="1">[1]!s_dq_close($B$1,$A745,3)</f>
        <v>31.7</v>
      </c>
    </row>
    <row r="746" spans="1:12">
      <c r="A746" s="23">
        <f t="shared" ca="1" si="11"/>
        <v>45429</v>
      </c>
      <c r="B746" cm="1">
        <f t="array" aca="1" ref="B746" ca="1">[1]!s_west_netprofit($B$1,YEAR($A746),$A746,180,1000000)</f>
        <v>-89.239076999999995</v>
      </c>
      <c r="C746" cm="1">
        <f t="array" aca="1" ref="C746" ca="1">[1]!s_west_eps($B$1,YEAR($A746),$A746,180)</f>
        <v>-0.1021</v>
      </c>
      <c r="D746" cm="1">
        <f t="array" aca="1" ref="D746" ca="1">[1]!s_west_instnum_np($B$1,YEAR($A746),$A746,180)</f>
        <v>13</v>
      </c>
      <c r="E746" cm="1">
        <f t="array" aca="1" ref="E746" ca="1">[1]!s_west_stdnetprofit($B$1,YEAR($A746),$A746,180,1000000)</f>
        <v>51.831722999999997</v>
      </c>
      <c r="F746" cm="1">
        <f t="array" aca="1" ref="F746" ca="1">[1]!s_west_mediannetprofit($B$1,YEAR($A746),$A746,180,1000000)</f>
        <v>-100</v>
      </c>
      <c r="G746" cm="1">
        <f t="array" aca="1" ref="G746" ca="1">[1]!s_west_netprofit($B$1,YEAR($A746)+1,$A746,180,1000000)</f>
        <v>35.752000000000002</v>
      </c>
      <c r="H746" cm="1">
        <f t="array" aca="1" ref="H746" ca="1">[1]!s_west_eps($B$1,YEAR($A746)+1,$A746,180)</f>
        <v>4.0800000000000003E-2</v>
      </c>
      <c r="I746" cm="1">
        <f t="array" aca="1" ref="I746" ca="1">[1]!s_west_instnum_np($B$1,YEAR($A746)+1,$A746,180)</f>
        <v>13</v>
      </c>
      <c r="J746" cm="1">
        <f t="array" aca="1" ref="J746" ca="1">[1]!s_west_stdnetprofit($B$1,YEAR($A746)+1,$A746,180,1000000)</f>
        <v>42.398775999999998</v>
      </c>
      <c r="K746" cm="1">
        <f t="array" aca="1" ref="K746" ca="1">[1]!s_west_mediannetprofit($B$1,YEAR($A745)+1,$A745,180,1000000)</f>
        <v>44</v>
      </c>
      <c r="L746" cm="1">
        <f t="array" aca="1" ref="L746" ca="1">[1]!s_dq_close($B$1,$A746,3)</f>
        <v>31.7</v>
      </c>
    </row>
    <row r="747" spans="1:12">
      <c r="A747" s="23">
        <f t="shared" ca="1" si="11"/>
        <v>45428</v>
      </c>
      <c r="B747" cm="1">
        <f t="array" aca="1" ref="B747" ca="1">[1]!s_west_netprofit($B$1,YEAR($A747),$A747,180,1000000)</f>
        <v>-89.239076999999995</v>
      </c>
      <c r="C747" cm="1">
        <f t="array" aca="1" ref="C747" ca="1">[1]!s_west_eps($B$1,YEAR($A747),$A747,180)</f>
        <v>-0.1021</v>
      </c>
      <c r="D747" cm="1">
        <f t="array" aca="1" ref="D747" ca="1">[1]!s_west_instnum_np($B$1,YEAR($A747),$A747,180)</f>
        <v>13</v>
      </c>
      <c r="E747" cm="1">
        <f t="array" aca="1" ref="E747" ca="1">[1]!s_west_stdnetprofit($B$1,YEAR($A747),$A747,180,1000000)</f>
        <v>51.831722999999997</v>
      </c>
      <c r="F747" cm="1">
        <f t="array" aca="1" ref="F747" ca="1">[1]!s_west_mediannetprofit($B$1,YEAR($A747),$A747,180,1000000)</f>
        <v>-100</v>
      </c>
      <c r="G747" cm="1">
        <f t="array" aca="1" ref="G747" ca="1">[1]!s_west_netprofit($B$1,YEAR($A747)+1,$A747,180,1000000)</f>
        <v>35.752000000000002</v>
      </c>
      <c r="H747" cm="1">
        <f t="array" aca="1" ref="H747" ca="1">[1]!s_west_eps($B$1,YEAR($A747)+1,$A747,180)</f>
        <v>4.0800000000000003E-2</v>
      </c>
      <c r="I747" cm="1">
        <f t="array" aca="1" ref="I747" ca="1">[1]!s_west_instnum_np($B$1,YEAR($A747)+1,$A747,180)</f>
        <v>13</v>
      </c>
      <c r="J747" cm="1">
        <f t="array" aca="1" ref="J747" ca="1">[1]!s_west_stdnetprofit($B$1,YEAR($A747)+1,$A747,180,1000000)</f>
        <v>42.398775999999998</v>
      </c>
      <c r="K747" cm="1">
        <f t="array" aca="1" ref="K747" ca="1">[1]!s_west_mediannetprofit($B$1,YEAR($A746)+1,$A746,180,1000000)</f>
        <v>44</v>
      </c>
      <c r="L747" cm="1">
        <f t="array" aca="1" ref="L747" ca="1">[1]!s_dq_close($B$1,$A747,3)</f>
        <v>33.4</v>
      </c>
    </row>
    <row r="748" spans="1:12">
      <c r="A748" s="23">
        <f t="shared" ca="1" si="11"/>
        <v>45427</v>
      </c>
      <c r="B748" cm="1">
        <f t="array" aca="1" ref="B748" ca="1">[1]!s_west_netprofit($B$1,YEAR($A748),$A748,180,1000000)</f>
        <v>-89.239076999999995</v>
      </c>
      <c r="C748" cm="1">
        <f t="array" aca="1" ref="C748" ca="1">[1]!s_west_eps($B$1,YEAR($A748),$A748,180)</f>
        <v>-0.1021</v>
      </c>
      <c r="D748" cm="1">
        <f t="array" aca="1" ref="D748" ca="1">[1]!s_west_instnum_np($B$1,YEAR($A748),$A748,180)</f>
        <v>13</v>
      </c>
      <c r="E748" cm="1">
        <f t="array" aca="1" ref="E748" ca="1">[1]!s_west_stdnetprofit($B$1,YEAR($A748),$A748,180,1000000)</f>
        <v>51.831722999999997</v>
      </c>
      <c r="F748" cm="1">
        <f t="array" aca="1" ref="F748" ca="1">[1]!s_west_mediannetprofit($B$1,YEAR($A748),$A748,180,1000000)</f>
        <v>-100</v>
      </c>
      <c r="G748" cm="1">
        <f t="array" aca="1" ref="G748" ca="1">[1]!s_west_netprofit($B$1,YEAR($A748)+1,$A748,180,1000000)</f>
        <v>35.752000000000002</v>
      </c>
      <c r="H748" cm="1">
        <f t="array" aca="1" ref="H748" ca="1">[1]!s_west_eps($B$1,YEAR($A748)+1,$A748,180)</f>
        <v>4.07E-2</v>
      </c>
      <c r="I748" cm="1">
        <f t="array" aca="1" ref="I748" ca="1">[1]!s_west_instnum_np($B$1,YEAR($A748)+1,$A748,180)</f>
        <v>13</v>
      </c>
      <c r="J748" cm="1">
        <f t="array" aca="1" ref="J748" ca="1">[1]!s_west_stdnetprofit($B$1,YEAR($A748)+1,$A748,180,1000000)</f>
        <v>42.398775999999998</v>
      </c>
      <c r="K748" cm="1">
        <f t="array" aca="1" ref="K748" ca="1">[1]!s_west_mediannetprofit($B$1,YEAR($A747)+1,$A747,180,1000000)</f>
        <v>44</v>
      </c>
      <c r="L748" cm="1">
        <f t="array" aca="1" ref="L748" ca="1">[1]!s_dq_close($B$1,$A748,3)</f>
        <v>34.450000000000003</v>
      </c>
    </row>
    <row r="749" spans="1:12">
      <c r="A749" s="23">
        <f t="shared" ca="1" si="11"/>
        <v>45426</v>
      </c>
      <c r="B749" cm="1">
        <f t="array" aca="1" ref="B749" ca="1">[1]!s_west_netprofit($B$1,YEAR($A749),$A749,180,1000000)</f>
        <v>-89.239076999999995</v>
      </c>
      <c r="C749" cm="1">
        <f t="array" aca="1" ref="C749" ca="1">[1]!s_west_eps($B$1,YEAR($A749),$A749,180)</f>
        <v>-0.1021</v>
      </c>
      <c r="D749" cm="1">
        <f t="array" aca="1" ref="D749" ca="1">[1]!s_west_instnum_np($B$1,YEAR($A749),$A749,180)</f>
        <v>13</v>
      </c>
      <c r="E749" cm="1">
        <f t="array" aca="1" ref="E749" ca="1">[1]!s_west_stdnetprofit($B$1,YEAR($A749),$A749,180,1000000)</f>
        <v>51.831722999999997</v>
      </c>
      <c r="F749" cm="1">
        <f t="array" aca="1" ref="F749" ca="1">[1]!s_west_mediannetprofit($B$1,YEAR($A749),$A749,180,1000000)</f>
        <v>-100</v>
      </c>
      <c r="G749" cm="1">
        <f t="array" aca="1" ref="G749" ca="1">[1]!s_west_netprofit($B$1,YEAR($A749)+1,$A749,180,1000000)</f>
        <v>35.752000000000002</v>
      </c>
      <c r="H749" cm="1">
        <f t="array" aca="1" ref="H749" ca="1">[1]!s_west_eps($B$1,YEAR($A749)+1,$A749,180)</f>
        <v>4.07E-2</v>
      </c>
      <c r="I749" cm="1">
        <f t="array" aca="1" ref="I749" ca="1">[1]!s_west_instnum_np($B$1,YEAR($A749)+1,$A749,180)</f>
        <v>13</v>
      </c>
      <c r="J749" cm="1">
        <f t="array" aca="1" ref="J749" ca="1">[1]!s_west_stdnetprofit($B$1,YEAR($A749)+1,$A749,180,1000000)</f>
        <v>42.398775999999998</v>
      </c>
      <c r="K749" cm="1">
        <f t="array" aca="1" ref="K749" ca="1">[1]!s_west_mediannetprofit($B$1,YEAR($A748)+1,$A748,180,1000000)</f>
        <v>44</v>
      </c>
      <c r="L749" cm="1">
        <f t="array" aca="1" ref="L749" ca="1">[1]!s_dq_close($B$1,$A749,3)</f>
        <v>34.450000000000003</v>
      </c>
    </row>
    <row r="750" spans="1:12">
      <c r="A750" s="23">
        <f t="shared" ca="1" si="11"/>
        <v>45425</v>
      </c>
      <c r="B750" cm="1">
        <f t="array" aca="1" ref="B750" ca="1">[1]!s_west_netprofit($B$1,YEAR($A750),$A750,180,1000000)</f>
        <v>-89.239076999999995</v>
      </c>
      <c r="C750" cm="1">
        <f t="array" aca="1" ref="C750" ca="1">[1]!s_west_eps($B$1,YEAR($A750),$A750,180)</f>
        <v>-0.1021</v>
      </c>
      <c r="D750" cm="1">
        <f t="array" aca="1" ref="D750" ca="1">[1]!s_west_instnum_np($B$1,YEAR($A750),$A750,180)</f>
        <v>13</v>
      </c>
      <c r="E750" cm="1">
        <f t="array" aca="1" ref="E750" ca="1">[1]!s_west_stdnetprofit($B$1,YEAR($A750),$A750,180,1000000)</f>
        <v>51.831722999999997</v>
      </c>
      <c r="F750" cm="1">
        <f t="array" aca="1" ref="F750" ca="1">[1]!s_west_mediannetprofit($B$1,YEAR($A750),$A750,180,1000000)</f>
        <v>-100</v>
      </c>
      <c r="G750" cm="1">
        <f t="array" aca="1" ref="G750" ca="1">[1]!s_west_netprofit($B$1,YEAR($A750)+1,$A750,180,1000000)</f>
        <v>35.752000000000002</v>
      </c>
      <c r="H750" cm="1">
        <f t="array" aca="1" ref="H750" ca="1">[1]!s_west_eps($B$1,YEAR($A750)+1,$A750,180)</f>
        <v>4.07E-2</v>
      </c>
      <c r="I750" cm="1">
        <f t="array" aca="1" ref="I750" ca="1">[1]!s_west_instnum_np($B$1,YEAR($A750)+1,$A750,180)</f>
        <v>13</v>
      </c>
      <c r="J750" cm="1">
        <f t="array" aca="1" ref="J750" ca="1">[1]!s_west_stdnetprofit($B$1,YEAR($A750)+1,$A750,180,1000000)</f>
        <v>42.398775999999998</v>
      </c>
      <c r="K750" cm="1">
        <f t="array" aca="1" ref="K750" ca="1">[1]!s_west_mediannetprofit($B$1,YEAR($A749)+1,$A749,180,1000000)</f>
        <v>44</v>
      </c>
      <c r="L750" cm="1">
        <f t="array" aca="1" ref="L750" ca="1">[1]!s_dq_close($B$1,$A750,3)</f>
        <v>34.700000000000003</v>
      </c>
    </row>
    <row r="751" spans="1:12">
      <c r="A751" s="23">
        <f t="shared" ca="1" si="11"/>
        <v>45424</v>
      </c>
      <c r="B751" cm="1">
        <f t="array" aca="1" ref="B751" ca="1">[1]!s_west_netprofit($B$1,YEAR($A751),$A751,180,1000000)</f>
        <v>-89.239076999999995</v>
      </c>
      <c r="C751" cm="1">
        <f t="array" aca="1" ref="C751" ca="1">[1]!s_west_eps($B$1,YEAR($A751),$A751,180)</f>
        <v>-0.1021</v>
      </c>
      <c r="D751" cm="1">
        <f t="array" aca="1" ref="D751" ca="1">[1]!s_west_instnum_np($B$1,YEAR($A751),$A751,180)</f>
        <v>13</v>
      </c>
      <c r="E751" cm="1">
        <f t="array" aca="1" ref="E751" ca="1">[1]!s_west_stdnetprofit($B$1,YEAR($A751),$A751,180,1000000)</f>
        <v>51.831722999999997</v>
      </c>
      <c r="F751" cm="1">
        <f t="array" aca="1" ref="F751" ca="1">[1]!s_west_mediannetprofit($B$1,YEAR($A751),$A751,180,1000000)</f>
        <v>-100</v>
      </c>
      <c r="G751" cm="1">
        <f t="array" aca="1" ref="G751" ca="1">[1]!s_west_netprofit($B$1,YEAR($A751)+1,$A751,180,1000000)</f>
        <v>35.752000000000002</v>
      </c>
      <c r="H751" cm="1">
        <f t="array" aca="1" ref="H751" ca="1">[1]!s_west_eps($B$1,YEAR($A751)+1,$A751,180)</f>
        <v>4.07E-2</v>
      </c>
      <c r="I751" cm="1">
        <f t="array" aca="1" ref="I751" ca="1">[1]!s_west_instnum_np($B$1,YEAR($A751)+1,$A751,180)</f>
        <v>13</v>
      </c>
      <c r="J751" cm="1">
        <f t="array" aca="1" ref="J751" ca="1">[1]!s_west_stdnetprofit($B$1,YEAR($A751)+1,$A751,180,1000000)</f>
        <v>42.398775999999998</v>
      </c>
      <c r="K751" cm="1">
        <f t="array" aca="1" ref="K751" ca="1">[1]!s_west_mediannetprofit($B$1,YEAR($A750)+1,$A750,180,1000000)</f>
        <v>44</v>
      </c>
      <c r="L751" cm="1">
        <f t="array" aca="1" ref="L751" ca="1">[1]!s_dq_close($B$1,$A751,3)</f>
        <v>34.65</v>
      </c>
    </row>
    <row r="752" spans="1:12">
      <c r="A752" s="23">
        <f t="shared" ca="1" si="11"/>
        <v>45423</v>
      </c>
      <c r="B752" cm="1">
        <f t="array" aca="1" ref="B752" ca="1">[1]!s_west_netprofit($B$1,YEAR($A752),$A752,180,1000000)</f>
        <v>-89.239076999999995</v>
      </c>
      <c r="C752" cm="1">
        <f t="array" aca="1" ref="C752" ca="1">[1]!s_west_eps($B$1,YEAR($A752),$A752,180)</f>
        <v>-0.1021</v>
      </c>
      <c r="D752" cm="1">
        <f t="array" aca="1" ref="D752" ca="1">[1]!s_west_instnum_np($B$1,YEAR($A752),$A752,180)</f>
        <v>13</v>
      </c>
      <c r="E752" cm="1">
        <f t="array" aca="1" ref="E752" ca="1">[1]!s_west_stdnetprofit($B$1,YEAR($A752),$A752,180,1000000)</f>
        <v>51.831722999999997</v>
      </c>
      <c r="F752" cm="1">
        <f t="array" aca="1" ref="F752" ca="1">[1]!s_west_mediannetprofit($B$1,YEAR($A752),$A752,180,1000000)</f>
        <v>-100</v>
      </c>
      <c r="G752" cm="1">
        <f t="array" aca="1" ref="G752" ca="1">[1]!s_west_netprofit($B$1,YEAR($A752)+1,$A752,180,1000000)</f>
        <v>35.752000000000002</v>
      </c>
      <c r="H752" cm="1">
        <f t="array" aca="1" ref="H752" ca="1">[1]!s_west_eps($B$1,YEAR($A752)+1,$A752,180)</f>
        <v>4.07E-2</v>
      </c>
      <c r="I752" cm="1">
        <f t="array" aca="1" ref="I752" ca="1">[1]!s_west_instnum_np($B$1,YEAR($A752)+1,$A752,180)</f>
        <v>13</v>
      </c>
      <c r="J752" cm="1">
        <f t="array" aca="1" ref="J752" ca="1">[1]!s_west_stdnetprofit($B$1,YEAR($A752)+1,$A752,180,1000000)</f>
        <v>42.398775999999998</v>
      </c>
      <c r="K752" cm="1">
        <f t="array" aca="1" ref="K752" ca="1">[1]!s_west_mediannetprofit($B$1,YEAR($A751)+1,$A751,180,1000000)</f>
        <v>44</v>
      </c>
      <c r="L752" cm="1">
        <f t="array" aca="1" ref="L752" ca="1">[1]!s_dq_close($B$1,$A752,3)</f>
        <v>34.65</v>
      </c>
    </row>
    <row r="753" spans="1:12">
      <c r="A753" s="23">
        <f t="shared" ca="1" si="11"/>
        <v>45422</v>
      </c>
      <c r="B753" cm="1">
        <f t="array" aca="1" ref="B753" ca="1">[1]!s_west_netprofit($B$1,YEAR($A753),$A753,180,1000000)</f>
        <v>-88.094880000000003</v>
      </c>
      <c r="C753" cm="1">
        <f t="array" aca="1" ref="C753" ca="1">[1]!s_west_eps($B$1,YEAR($A753),$A753,180)</f>
        <v>-0.1011</v>
      </c>
      <c r="D753" cm="1">
        <f t="array" aca="1" ref="D753" ca="1">[1]!s_west_instnum_np($B$1,YEAR($A753),$A753,180)</f>
        <v>15</v>
      </c>
      <c r="E753" cm="1">
        <f t="array" aca="1" ref="E753" ca="1">[1]!s_west_stdnetprofit($B$1,YEAR($A753),$A753,180,1000000)</f>
        <v>49.834206999999999</v>
      </c>
      <c r="F753" cm="1">
        <f t="array" aca="1" ref="F753" ca="1">[1]!s_west_mediannetprofit($B$1,YEAR($A753),$A753,180,1000000)</f>
        <v>-100</v>
      </c>
      <c r="G753" cm="1">
        <f t="array" aca="1" ref="G753" ca="1">[1]!s_west_netprofit($B$1,YEAR($A753)+1,$A753,180,1000000)</f>
        <v>30.808107</v>
      </c>
      <c r="H753" cm="1">
        <f t="array" aca="1" ref="H753" ca="1">[1]!s_west_eps($B$1,YEAR($A753)+1,$A753,180)</f>
        <v>3.5400000000000001E-2</v>
      </c>
      <c r="I753" cm="1">
        <f t="array" aca="1" ref="I753" ca="1">[1]!s_west_instnum_np($B$1,YEAR($A753)+1,$A753,180)</f>
        <v>15</v>
      </c>
      <c r="J753" cm="1">
        <f t="array" aca="1" ref="J753" ca="1">[1]!s_west_stdnetprofit($B$1,YEAR($A753)+1,$A753,180,1000000)</f>
        <v>41.885886999999997</v>
      </c>
      <c r="K753" cm="1">
        <f t="array" aca="1" ref="K753" ca="1">[1]!s_west_mediannetprofit($B$1,YEAR($A752)+1,$A752,180,1000000)</f>
        <v>44</v>
      </c>
      <c r="L753" cm="1">
        <f t="array" aca="1" ref="L753" ca="1">[1]!s_dq_close($B$1,$A753,3)</f>
        <v>34.65</v>
      </c>
    </row>
    <row r="754" spans="1:12">
      <c r="A754" s="23">
        <f t="shared" ca="1" si="11"/>
        <v>45421</v>
      </c>
      <c r="B754" cm="1">
        <f t="array" aca="1" ref="B754" ca="1">[1]!s_west_netprofit($B$1,YEAR($A754),$A754,180,1000000)</f>
        <v>-89.640879999999996</v>
      </c>
      <c r="C754" cm="1">
        <f t="array" aca="1" ref="C754" ca="1">[1]!s_west_eps($B$1,YEAR($A754),$A754,180)</f>
        <v>-0.10290000000000001</v>
      </c>
      <c r="D754" cm="1">
        <f t="array" aca="1" ref="D754" ca="1">[1]!s_west_instnum_np($B$1,YEAR($A754),$A754,180)</f>
        <v>15</v>
      </c>
      <c r="E754" cm="1">
        <f t="array" aca="1" ref="E754" ca="1">[1]!s_west_stdnetprofit($B$1,YEAR($A754),$A754,180,1000000)</f>
        <v>53.583041000000001</v>
      </c>
      <c r="F754" cm="1">
        <f t="array" aca="1" ref="F754" ca="1">[1]!s_west_mediannetprofit($B$1,YEAR($A754),$A754,180,1000000)</f>
        <v>-100</v>
      </c>
      <c r="G754" cm="1">
        <f t="array" aca="1" ref="G754" ca="1">[1]!s_west_netprofit($B$1,YEAR($A754)+1,$A754,180,1000000)</f>
        <v>27.652773</v>
      </c>
      <c r="H754" cm="1">
        <f t="array" aca="1" ref="H754" ca="1">[1]!s_west_eps($B$1,YEAR($A754)+1,$A754,180)</f>
        <v>3.1699999999999999E-2</v>
      </c>
      <c r="I754" cm="1">
        <f t="array" aca="1" ref="I754" ca="1">[1]!s_west_instnum_np($B$1,YEAR($A754)+1,$A754,180)</f>
        <v>15</v>
      </c>
      <c r="J754" cm="1">
        <f t="array" aca="1" ref="J754" ca="1">[1]!s_west_stdnetprofit($B$1,YEAR($A754)+1,$A754,180,1000000)</f>
        <v>50.142932000000002</v>
      </c>
      <c r="K754" cm="1">
        <f t="array" aca="1" ref="K754" ca="1">[1]!s_west_mediannetprofit($B$1,YEAR($A753)+1,$A753,180,1000000)</f>
        <v>34</v>
      </c>
      <c r="L754" cm="1">
        <f t="array" aca="1" ref="L754" ca="1">[1]!s_dq_close($B$1,$A754,3)</f>
        <v>33.200000000000003</v>
      </c>
    </row>
    <row r="755" spans="1:12">
      <c r="A755" s="23">
        <f t="shared" ca="1" si="11"/>
        <v>45420</v>
      </c>
      <c r="B755" cm="1">
        <f t="array" aca="1" ref="B755" ca="1">[1]!s_west_netprofit($B$1,YEAR($A755),$A755,180,1000000)</f>
        <v>-89.640879999999996</v>
      </c>
      <c r="C755" cm="1">
        <f t="array" aca="1" ref="C755" ca="1">[1]!s_west_eps($B$1,YEAR($A755),$A755,180)</f>
        <v>-0.10290000000000001</v>
      </c>
      <c r="D755" cm="1">
        <f t="array" aca="1" ref="D755" ca="1">[1]!s_west_instnum_np($B$1,YEAR($A755),$A755,180)</f>
        <v>15</v>
      </c>
      <c r="E755" cm="1">
        <f t="array" aca="1" ref="E755" ca="1">[1]!s_west_stdnetprofit($B$1,YEAR($A755),$A755,180,1000000)</f>
        <v>53.583041000000001</v>
      </c>
      <c r="F755" cm="1">
        <f t="array" aca="1" ref="F755" ca="1">[1]!s_west_mediannetprofit($B$1,YEAR($A755),$A755,180,1000000)</f>
        <v>-100</v>
      </c>
      <c r="G755" cm="1">
        <f t="array" aca="1" ref="G755" ca="1">[1]!s_west_netprofit($B$1,YEAR($A755)+1,$A755,180,1000000)</f>
        <v>27.652773</v>
      </c>
      <c r="H755" cm="1">
        <f t="array" aca="1" ref="H755" ca="1">[1]!s_west_eps($B$1,YEAR($A755)+1,$A755,180)</f>
        <v>3.1699999999999999E-2</v>
      </c>
      <c r="I755" cm="1">
        <f t="array" aca="1" ref="I755" ca="1">[1]!s_west_instnum_np($B$1,YEAR($A755)+1,$A755,180)</f>
        <v>15</v>
      </c>
      <c r="J755" cm="1">
        <f t="array" aca="1" ref="J755" ca="1">[1]!s_west_stdnetprofit($B$1,YEAR($A755)+1,$A755,180,1000000)</f>
        <v>50.142932000000002</v>
      </c>
      <c r="K755" cm="1">
        <f t="array" aca="1" ref="K755" ca="1">[1]!s_west_mediannetprofit($B$1,YEAR($A754)+1,$A754,180,1000000)</f>
        <v>34</v>
      </c>
      <c r="L755" cm="1">
        <f t="array" aca="1" ref="L755" ca="1">[1]!s_dq_close($B$1,$A755,3)</f>
        <v>30.95</v>
      </c>
    </row>
    <row r="756" spans="1:12">
      <c r="A756" s="23">
        <f t="shared" ca="1" si="11"/>
        <v>45419</v>
      </c>
      <c r="B756" cm="1">
        <f t="array" aca="1" ref="B756" ca="1">[1]!s_west_netprofit($B$1,YEAR($A756),$A756,180,1000000)</f>
        <v>-89.640879999999996</v>
      </c>
      <c r="C756" cm="1">
        <f t="array" aca="1" ref="C756" ca="1">[1]!s_west_eps($B$1,YEAR($A756),$A756,180)</f>
        <v>-0.10290000000000001</v>
      </c>
      <c r="D756" cm="1">
        <f t="array" aca="1" ref="D756" ca="1">[1]!s_west_instnum_np($B$1,YEAR($A756),$A756,180)</f>
        <v>15</v>
      </c>
      <c r="E756" cm="1">
        <f t="array" aca="1" ref="E756" ca="1">[1]!s_west_stdnetprofit($B$1,YEAR($A756),$A756,180,1000000)</f>
        <v>53.583041000000001</v>
      </c>
      <c r="F756" cm="1">
        <f t="array" aca="1" ref="F756" ca="1">[1]!s_west_mediannetprofit($B$1,YEAR($A756),$A756,180,1000000)</f>
        <v>-100</v>
      </c>
      <c r="G756" cm="1">
        <f t="array" aca="1" ref="G756" ca="1">[1]!s_west_netprofit($B$1,YEAR($A756)+1,$A756,180,1000000)</f>
        <v>27.652773</v>
      </c>
      <c r="H756" cm="1">
        <f t="array" aca="1" ref="H756" ca="1">[1]!s_west_eps($B$1,YEAR($A756)+1,$A756,180)</f>
        <v>3.1699999999999999E-2</v>
      </c>
      <c r="I756" cm="1">
        <f t="array" aca="1" ref="I756" ca="1">[1]!s_west_instnum_np($B$1,YEAR($A756)+1,$A756,180)</f>
        <v>15</v>
      </c>
      <c r="J756" cm="1">
        <f t="array" aca="1" ref="J756" ca="1">[1]!s_west_stdnetprofit($B$1,YEAR($A756)+1,$A756,180,1000000)</f>
        <v>50.142932000000002</v>
      </c>
      <c r="K756" cm="1">
        <f t="array" aca="1" ref="K756" ca="1">[1]!s_west_mediannetprofit($B$1,YEAR($A755)+1,$A755,180,1000000)</f>
        <v>34</v>
      </c>
      <c r="L756" cm="1">
        <f t="array" aca="1" ref="L756" ca="1">[1]!s_dq_close($B$1,$A756,3)</f>
        <v>30.95</v>
      </c>
    </row>
    <row r="757" spans="1:12">
      <c r="A757" s="23">
        <f t="shared" ca="1" si="11"/>
        <v>45418</v>
      </c>
      <c r="B757" cm="1">
        <f t="array" aca="1" ref="B757" ca="1">[1]!s_west_netprofit($B$1,YEAR($A757),$A757,180,1000000)</f>
        <v>-89.646339999999995</v>
      </c>
      <c r="C757" cm="1">
        <f t="array" aca="1" ref="C757" ca="1">[1]!s_west_eps($B$1,YEAR($A757),$A757,180)</f>
        <v>-0.10290000000000001</v>
      </c>
      <c r="D757" cm="1">
        <f t="array" aca="1" ref="D757" ca="1">[1]!s_west_instnum_np($B$1,YEAR($A757),$A757,180)</f>
        <v>15</v>
      </c>
      <c r="E757" cm="1">
        <f t="array" aca="1" ref="E757" ca="1">[1]!s_west_stdnetprofit($B$1,YEAR($A757),$A757,180,1000000)</f>
        <v>53.585849000000003</v>
      </c>
      <c r="F757" cm="1">
        <f t="array" aca="1" ref="F757" ca="1">[1]!s_west_mediannetprofit($B$1,YEAR($A757),$A757,180,1000000)</f>
        <v>-100</v>
      </c>
      <c r="G757" cm="1">
        <f t="array" aca="1" ref="G757" ca="1">[1]!s_west_netprofit($B$1,YEAR($A757)+1,$A757,180,1000000)</f>
        <v>27.651653</v>
      </c>
      <c r="H757" cm="1">
        <f t="array" aca="1" ref="H757" ca="1">[1]!s_west_eps($B$1,YEAR($A757)+1,$A757,180)</f>
        <v>3.1699999999999999E-2</v>
      </c>
      <c r="I757" cm="1">
        <f t="array" aca="1" ref="I757" ca="1">[1]!s_west_instnum_np($B$1,YEAR($A757)+1,$A757,180)</f>
        <v>15</v>
      </c>
      <c r="J757" cm="1">
        <f t="array" aca="1" ref="J757" ca="1">[1]!s_west_stdnetprofit($B$1,YEAR($A757)+1,$A757,180,1000000)</f>
        <v>50.144159999999999</v>
      </c>
      <c r="K757" cm="1">
        <f t="array" aca="1" ref="K757" ca="1">[1]!s_west_mediannetprofit($B$1,YEAR($A756)+1,$A756,180,1000000)</f>
        <v>34</v>
      </c>
      <c r="L757" cm="1">
        <f t="array" aca="1" ref="L757" ca="1">[1]!s_dq_close($B$1,$A757,3)</f>
        <v>31.9</v>
      </c>
    </row>
    <row r="758" spans="1:12">
      <c r="A758" s="23">
        <f t="shared" ca="1" si="11"/>
        <v>45417</v>
      </c>
      <c r="B758" cm="1">
        <f t="array" aca="1" ref="B758" ca="1">[1]!s_west_netprofit($B$1,YEAR($A758),$A758,180,1000000)</f>
        <v>-89.635419999999996</v>
      </c>
      <c r="C758" cm="1">
        <f t="array" aca="1" ref="C758" ca="1">[1]!s_west_eps($B$1,YEAR($A758),$A758,180)</f>
        <v>-0.10290000000000001</v>
      </c>
      <c r="D758" cm="1">
        <f t="array" aca="1" ref="D758" ca="1">[1]!s_west_instnum_np($B$1,YEAR($A758),$A758,180)</f>
        <v>15</v>
      </c>
      <c r="E758" cm="1">
        <f t="array" aca="1" ref="E758" ca="1">[1]!s_west_stdnetprofit($B$1,YEAR($A758),$A758,180,1000000)</f>
        <v>53.580243000000003</v>
      </c>
      <c r="F758" cm="1">
        <f t="array" aca="1" ref="F758" ca="1">[1]!s_west_mediannetprofit($B$1,YEAR($A758),$A758,180,1000000)</f>
        <v>-100</v>
      </c>
      <c r="G758" cm="1">
        <f t="array" aca="1" ref="G758" ca="1">[1]!s_west_netprofit($B$1,YEAR($A758)+1,$A758,180,1000000)</f>
        <v>27.653893</v>
      </c>
      <c r="H758" cm="1">
        <f t="array" aca="1" ref="H758" ca="1">[1]!s_west_eps($B$1,YEAR($A758)+1,$A758,180)</f>
        <v>3.1699999999999999E-2</v>
      </c>
      <c r="I758" cm="1">
        <f t="array" aca="1" ref="I758" ca="1">[1]!s_west_instnum_np($B$1,YEAR($A758)+1,$A758,180)</f>
        <v>15</v>
      </c>
      <c r="J758" cm="1">
        <f t="array" aca="1" ref="J758" ca="1">[1]!s_west_stdnetprofit($B$1,YEAR($A758)+1,$A758,180,1000000)</f>
        <v>50.141705000000002</v>
      </c>
      <c r="K758" cm="1">
        <f t="array" aca="1" ref="K758" ca="1">[1]!s_west_mediannetprofit($B$1,YEAR($A757)+1,$A757,180,1000000)</f>
        <v>34</v>
      </c>
      <c r="L758" cm="1">
        <f t="array" aca="1" ref="L758" ca="1">[1]!s_dq_close($B$1,$A758,3)</f>
        <v>30.7</v>
      </c>
    </row>
    <row r="759" spans="1:12">
      <c r="A759" s="23">
        <f t="shared" ca="1" si="11"/>
        <v>45416</v>
      </c>
      <c r="B759" cm="1">
        <f t="array" aca="1" ref="B759" ca="1">[1]!s_west_netprofit($B$1,YEAR($A759),$A759,180,1000000)</f>
        <v>-89.635419999999996</v>
      </c>
      <c r="C759" cm="1">
        <f t="array" aca="1" ref="C759" ca="1">[1]!s_west_eps($B$1,YEAR($A759),$A759,180)</f>
        <v>-0.10290000000000001</v>
      </c>
      <c r="D759" cm="1">
        <f t="array" aca="1" ref="D759" ca="1">[1]!s_west_instnum_np($B$1,YEAR($A759),$A759,180)</f>
        <v>15</v>
      </c>
      <c r="E759" cm="1">
        <f t="array" aca="1" ref="E759" ca="1">[1]!s_west_stdnetprofit($B$1,YEAR($A759),$A759,180,1000000)</f>
        <v>53.580243000000003</v>
      </c>
      <c r="F759" cm="1">
        <f t="array" aca="1" ref="F759" ca="1">[1]!s_west_mediannetprofit($B$1,YEAR($A759),$A759,180,1000000)</f>
        <v>-100</v>
      </c>
      <c r="G759" cm="1">
        <f t="array" aca="1" ref="G759" ca="1">[1]!s_west_netprofit($B$1,YEAR($A759)+1,$A759,180,1000000)</f>
        <v>27.653893</v>
      </c>
      <c r="H759" cm="1">
        <f t="array" aca="1" ref="H759" ca="1">[1]!s_west_eps($B$1,YEAR($A759)+1,$A759,180)</f>
        <v>3.1699999999999999E-2</v>
      </c>
      <c r="I759" cm="1">
        <f t="array" aca="1" ref="I759" ca="1">[1]!s_west_instnum_np($B$1,YEAR($A759)+1,$A759,180)</f>
        <v>15</v>
      </c>
      <c r="J759" cm="1">
        <f t="array" aca="1" ref="J759" ca="1">[1]!s_west_stdnetprofit($B$1,YEAR($A759)+1,$A759,180,1000000)</f>
        <v>50.141705000000002</v>
      </c>
      <c r="K759" cm="1">
        <f t="array" aca="1" ref="K759" ca="1">[1]!s_west_mediannetprofit($B$1,YEAR($A758)+1,$A758,180,1000000)</f>
        <v>34</v>
      </c>
      <c r="L759" cm="1">
        <f t="array" aca="1" ref="L759" ca="1">[1]!s_dq_close($B$1,$A759,3)</f>
        <v>30.7</v>
      </c>
    </row>
    <row r="760" spans="1:12">
      <c r="A760" s="23">
        <f t="shared" ca="1" si="11"/>
        <v>45415</v>
      </c>
      <c r="B760" cm="1">
        <f t="array" aca="1" ref="B760" ca="1">[1]!s_west_netprofit($B$1,YEAR($A760),$A760,180,1000000)</f>
        <v>-89.635419999999996</v>
      </c>
      <c r="C760" cm="1">
        <f t="array" aca="1" ref="C760" ca="1">[1]!s_west_eps($B$1,YEAR($A760),$A760,180)</f>
        <v>-0.10290000000000001</v>
      </c>
      <c r="D760" cm="1">
        <f t="array" aca="1" ref="D760" ca="1">[1]!s_west_instnum_np($B$1,YEAR($A760),$A760,180)</f>
        <v>15</v>
      </c>
      <c r="E760" cm="1">
        <f t="array" aca="1" ref="E760" ca="1">[1]!s_west_stdnetprofit($B$1,YEAR($A760),$A760,180,1000000)</f>
        <v>53.580243000000003</v>
      </c>
      <c r="F760" cm="1">
        <f t="array" aca="1" ref="F760" ca="1">[1]!s_west_mediannetprofit($B$1,YEAR($A760),$A760,180,1000000)</f>
        <v>-100</v>
      </c>
      <c r="G760" cm="1">
        <f t="array" aca="1" ref="G760" ca="1">[1]!s_west_netprofit($B$1,YEAR($A760)+1,$A760,180,1000000)</f>
        <v>27.653893</v>
      </c>
      <c r="H760" cm="1">
        <f t="array" aca="1" ref="H760" ca="1">[1]!s_west_eps($B$1,YEAR($A760)+1,$A760,180)</f>
        <v>3.1699999999999999E-2</v>
      </c>
      <c r="I760" cm="1">
        <f t="array" aca="1" ref="I760" ca="1">[1]!s_west_instnum_np($B$1,YEAR($A760)+1,$A760,180)</f>
        <v>15</v>
      </c>
      <c r="J760" cm="1">
        <f t="array" aca="1" ref="J760" ca="1">[1]!s_west_stdnetprofit($B$1,YEAR($A760)+1,$A760,180,1000000)</f>
        <v>50.141705000000002</v>
      </c>
      <c r="K760" cm="1">
        <f t="array" aca="1" ref="K760" ca="1">[1]!s_west_mediannetprofit($B$1,YEAR($A759)+1,$A759,180,1000000)</f>
        <v>34</v>
      </c>
      <c r="L760" cm="1">
        <f t="array" aca="1" ref="L760" ca="1">[1]!s_dq_close($B$1,$A760,3)</f>
        <v>30.7</v>
      </c>
    </row>
    <row r="761" spans="1:12">
      <c r="A761" s="23">
        <f t="shared" ca="1" si="11"/>
        <v>45414</v>
      </c>
      <c r="B761" cm="1">
        <f t="array" aca="1" ref="B761" ca="1">[1]!s_west_netprofit($B$1,YEAR($A761),$A761,180,1000000)</f>
        <v>-89.635419999999996</v>
      </c>
      <c r="C761" cm="1">
        <f t="array" aca="1" ref="C761" ca="1">[1]!s_west_eps($B$1,YEAR($A761),$A761,180)</f>
        <v>-0.10290000000000001</v>
      </c>
      <c r="D761" cm="1">
        <f t="array" aca="1" ref="D761" ca="1">[1]!s_west_instnum_np($B$1,YEAR($A761),$A761,180)</f>
        <v>15</v>
      </c>
      <c r="E761" cm="1">
        <f t="array" aca="1" ref="E761" ca="1">[1]!s_west_stdnetprofit($B$1,YEAR($A761),$A761,180,1000000)</f>
        <v>53.580243000000003</v>
      </c>
      <c r="F761" cm="1">
        <f t="array" aca="1" ref="F761" ca="1">[1]!s_west_mediannetprofit($B$1,YEAR($A761),$A761,180,1000000)</f>
        <v>-100</v>
      </c>
      <c r="G761" cm="1">
        <f t="array" aca="1" ref="G761" ca="1">[1]!s_west_netprofit($B$1,YEAR($A761)+1,$A761,180,1000000)</f>
        <v>27.653893</v>
      </c>
      <c r="H761" cm="1">
        <f t="array" aca="1" ref="H761" ca="1">[1]!s_west_eps($B$1,YEAR($A761)+1,$A761,180)</f>
        <v>3.1699999999999999E-2</v>
      </c>
      <c r="I761" cm="1">
        <f t="array" aca="1" ref="I761" ca="1">[1]!s_west_instnum_np($B$1,YEAR($A761)+1,$A761,180)</f>
        <v>15</v>
      </c>
      <c r="J761" cm="1">
        <f t="array" aca="1" ref="J761" ca="1">[1]!s_west_stdnetprofit($B$1,YEAR($A761)+1,$A761,180,1000000)</f>
        <v>50.141705000000002</v>
      </c>
      <c r="K761" cm="1">
        <f t="array" aca="1" ref="K761" ca="1">[1]!s_west_mediannetprofit($B$1,YEAR($A760)+1,$A760,180,1000000)</f>
        <v>34</v>
      </c>
      <c r="L761" cm="1">
        <f t="array" aca="1" ref="L761" ca="1">[1]!s_dq_close($B$1,$A761,3)</f>
        <v>30.85</v>
      </c>
    </row>
    <row r="762" spans="1:12">
      <c r="A762" s="23">
        <f t="shared" ca="1" si="11"/>
        <v>45413</v>
      </c>
      <c r="B762" cm="1">
        <f t="array" aca="1" ref="B762" ca="1">[1]!s_west_netprofit($B$1,YEAR($A762),$A762,180,1000000)</f>
        <v>-89.635419999999996</v>
      </c>
      <c r="C762" cm="1">
        <f t="array" aca="1" ref="C762" ca="1">[1]!s_west_eps($B$1,YEAR($A762),$A762,180)</f>
        <v>-0.10290000000000001</v>
      </c>
      <c r="D762" cm="1">
        <f t="array" aca="1" ref="D762" ca="1">[1]!s_west_instnum_np($B$1,YEAR($A762),$A762,180)</f>
        <v>15</v>
      </c>
      <c r="E762" cm="1">
        <f t="array" aca="1" ref="E762" ca="1">[1]!s_west_stdnetprofit($B$1,YEAR($A762),$A762,180,1000000)</f>
        <v>53.580243000000003</v>
      </c>
      <c r="F762" cm="1">
        <f t="array" aca="1" ref="F762" ca="1">[1]!s_west_mediannetprofit($B$1,YEAR($A762),$A762,180,1000000)</f>
        <v>-100</v>
      </c>
      <c r="G762" cm="1">
        <f t="array" aca="1" ref="G762" ca="1">[1]!s_west_netprofit($B$1,YEAR($A762)+1,$A762,180,1000000)</f>
        <v>27.653893</v>
      </c>
      <c r="H762" cm="1">
        <f t="array" aca="1" ref="H762" ca="1">[1]!s_west_eps($B$1,YEAR($A762)+1,$A762,180)</f>
        <v>3.1699999999999999E-2</v>
      </c>
      <c r="I762" cm="1">
        <f t="array" aca="1" ref="I762" ca="1">[1]!s_west_instnum_np($B$1,YEAR($A762)+1,$A762,180)</f>
        <v>15</v>
      </c>
      <c r="J762" cm="1">
        <f t="array" aca="1" ref="J762" ca="1">[1]!s_west_stdnetprofit($B$1,YEAR($A762)+1,$A762,180,1000000)</f>
        <v>50.141705000000002</v>
      </c>
      <c r="K762" cm="1">
        <f t="array" aca="1" ref="K762" ca="1">[1]!s_west_mediannetprofit($B$1,YEAR($A761)+1,$A761,180,1000000)</f>
        <v>34</v>
      </c>
      <c r="L762" cm="1">
        <f t="array" aca="1" ref="L762" ca="1">[1]!s_dq_close($B$1,$A762,3)</f>
        <v>30.25</v>
      </c>
    </row>
    <row r="763" spans="1:12">
      <c r="A763" s="23">
        <f t="shared" ca="1" si="11"/>
        <v>45412</v>
      </c>
      <c r="B763" cm="1">
        <f t="array" aca="1" ref="B763" ca="1">[1]!s_west_netprofit($B$1,YEAR($A763),$A763,180,1000000)</f>
        <v>-89.635419999999996</v>
      </c>
      <c r="C763" cm="1">
        <f t="array" aca="1" ref="C763" ca="1">[1]!s_west_eps($B$1,YEAR($A763),$A763,180)</f>
        <v>-0.10290000000000001</v>
      </c>
      <c r="D763" cm="1">
        <f t="array" aca="1" ref="D763" ca="1">[1]!s_west_instnum_np($B$1,YEAR($A763),$A763,180)</f>
        <v>15</v>
      </c>
      <c r="E763" cm="1">
        <f t="array" aca="1" ref="E763" ca="1">[1]!s_west_stdnetprofit($B$1,YEAR($A763),$A763,180,1000000)</f>
        <v>53.580243000000003</v>
      </c>
      <c r="F763" cm="1">
        <f t="array" aca="1" ref="F763" ca="1">[1]!s_west_mediannetprofit($B$1,YEAR($A763),$A763,180,1000000)</f>
        <v>-100</v>
      </c>
      <c r="G763" cm="1">
        <f t="array" aca="1" ref="G763" ca="1">[1]!s_west_netprofit($B$1,YEAR($A763)+1,$A763,180,1000000)</f>
        <v>27.653893</v>
      </c>
      <c r="H763" cm="1">
        <f t="array" aca="1" ref="H763" ca="1">[1]!s_west_eps($B$1,YEAR($A763)+1,$A763,180)</f>
        <v>3.1699999999999999E-2</v>
      </c>
      <c r="I763" cm="1">
        <f t="array" aca="1" ref="I763" ca="1">[1]!s_west_instnum_np($B$1,YEAR($A763)+1,$A763,180)</f>
        <v>15</v>
      </c>
      <c r="J763" cm="1">
        <f t="array" aca="1" ref="J763" ca="1">[1]!s_west_stdnetprofit($B$1,YEAR($A763)+1,$A763,180,1000000)</f>
        <v>50.141705000000002</v>
      </c>
      <c r="K763" cm="1">
        <f t="array" aca="1" ref="K763" ca="1">[1]!s_west_mediannetprofit($B$1,YEAR($A762)+1,$A762,180,1000000)</f>
        <v>34</v>
      </c>
      <c r="L763" cm="1">
        <f t="array" aca="1" ref="L763" ca="1">[1]!s_dq_close($B$1,$A763,3)</f>
        <v>30.25</v>
      </c>
    </row>
    <row r="764" spans="1:12">
      <c r="A764" s="23">
        <f t="shared" ca="1" si="11"/>
        <v>45411</v>
      </c>
      <c r="B764" cm="1">
        <f t="array" aca="1" ref="B764" ca="1">[1]!s_west_netprofit($B$1,YEAR($A764),$A764,180,1000000)</f>
        <v>-89.635419999999996</v>
      </c>
      <c r="C764" cm="1">
        <f t="array" aca="1" ref="C764" ca="1">[1]!s_west_eps($B$1,YEAR($A764),$A764,180)</f>
        <v>-0.10290000000000001</v>
      </c>
      <c r="D764" cm="1">
        <f t="array" aca="1" ref="D764" ca="1">[1]!s_west_instnum_np($B$1,YEAR($A764),$A764,180)</f>
        <v>15</v>
      </c>
      <c r="E764" cm="1">
        <f t="array" aca="1" ref="E764" ca="1">[1]!s_west_stdnetprofit($B$1,YEAR($A764),$A764,180,1000000)</f>
        <v>53.580243000000003</v>
      </c>
      <c r="F764" cm="1">
        <f t="array" aca="1" ref="F764" ca="1">[1]!s_west_mediannetprofit($B$1,YEAR($A764),$A764,180,1000000)</f>
        <v>-100</v>
      </c>
      <c r="G764" cm="1">
        <f t="array" aca="1" ref="G764" ca="1">[1]!s_west_netprofit($B$1,YEAR($A764)+1,$A764,180,1000000)</f>
        <v>27.653893</v>
      </c>
      <c r="H764" cm="1">
        <f t="array" aca="1" ref="H764" ca="1">[1]!s_west_eps($B$1,YEAR($A764)+1,$A764,180)</f>
        <v>3.1699999999999999E-2</v>
      </c>
      <c r="I764" cm="1">
        <f t="array" aca="1" ref="I764" ca="1">[1]!s_west_instnum_np($B$1,YEAR($A764)+1,$A764,180)</f>
        <v>15</v>
      </c>
      <c r="J764" cm="1">
        <f t="array" aca="1" ref="J764" ca="1">[1]!s_west_stdnetprofit($B$1,YEAR($A764)+1,$A764,180,1000000)</f>
        <v>50.141705000000002</v>
      </c>
      <c r="K764" cm="1">
        <f t="array" aca="1" ref="K764" ca="1">[1]!s_west_mediannetprofit($B$1,YEAR($A763)+1,$A763,180,1000000)</f>
        <v>34</v>
      </c>
      <c r="L764" cm="1">
        <f t="array" aca="1" ref="L764" ca="1">[1]!s_dq_close($B$1,$A764,3)</f>
        <v>31</v>
      </c>
    </row>
    <row r="765" spans="1:12">
      <c r="A765" s="23">
        <f t="shared" ca="1" si="11"/>
        <v>45410</v>
      </c>
      <c r="B765" cm="1">
        <f t="array" aca="1" ref="B765" ca="1">[1]!s_west_netprofit($B$1,YEAR($A765),$A765,180,1000000)</f>
        <v>-92.368752999999998</v>
      </c>
      <c r="C765" cm="1">
        <f t="array" aca="1" ref="C765" ca="1">[1]!s_west_eps($B$1,YEAR($A765),$A765,180)</f>
        <v>-0.106</v>
      </c>
      <c r="D765" cm="1">
        <f t="array" aca="1" ref="D765" ca="1">[1]!s_west_instnum_np($B$1,YEAR($A765),$A765,180)</f>
        <v>15</v>
      </c>
      <c r="E765" cm="1">
        <f t="array" aca="1" ref="E765" ca="1">[1]!s_west_stdnetprofit($B$1,YEAR($A765),$A765,180,1000000)</f>
        <v>51.318767000000001</v>
      </c>
      <c r="F765" cm="1">
        <f t="array" aca="1" ref="F765" ca="1">[1]!s_west_mediannetprofit($B$1,YEAR($A765),$A765,180,1000000)</f>
        <v>-100</v>
      </c>
      <c r="G765" cm="1">
        <f t="array" aca="1" ref="G765" ca="1">[1]!s_west_netprofit($B$1,YEAR($A765)+1,$A765,180,1000000)</f>
        <v>23.787227000000001</v>
      </c>
      <c r="H765" cm="1">
        <f t="array" aca="1" ref="H765" ca="1">[1]!s_west_eps($B$1,YEAR($A765)+1,$A765,180)</f>
        <v>2.7300000000000001E-2</v>
      </c>
      <c r="I765" cm="1">
        <f t="array" aca="1" ref="I765" ca="1">[1]!s_west_instnum_np($B$1,YEAR($A765)+1,$A765,180)</f>
        <v>15</v>
      </c>
      <c r="J765" cm="1">
        <f t="array" aca="1" ref="J765" ca="1">[1]!s_west_stdnetprofit($B$1,YEAR($A765)+1,$A765,180,1000000)</f>
        <v>48.693100000000001</v>
      </c>
      <c r="K765" cm="1">
        <f t="array" aca="1" ref="K765" ca="1">[1]!s_west_mediannetprofit($B$1,YEAR($A764)+1,$A764,180,1000000)</f>
        <v>34</v>
      </c>
      <c r="L765" cm="1">
        <f t="array" aca="1" ref="L765" ca="1">[1]!s_dq_close($B$1,$A765,3)</f>
        <v>30.35</v>
      </c>
    </row>
    <row r="766" spans="1:12">
      <c r="A766" s="23">
        <f t="shared" ca="1" si="11"/>
        <v>45409</v>
      </c>
      <c r="B766" cm="1">
        <f t="array" aca="1" ref="B766" ca="1">[1]!s_west_netprofit($B$1,YEAR($A766),$A766,180,1000000)</f>
        <v>-92.368752999999998</v>
      </c>
      <c r="C766" cm="1">
        <f t="array" aca="1" ref="C766" ca="1">[1]!s_west_eps($B$1,YEAR($A766),$A766,180)</f>
        <v>-0.106</v>
      </c>
      <c r="D766" cm="1">
        <f t="array" aca="1" ref="D766" ca="1">[1]!s_west_instnum_np($B$1,YEAR($A766),$A766,180)</f>
        <v>15</v>
      </c>
      <c r="E766" cm="1">
        <f t="array" aca="1" ref="E766" ca="1">[1]!s_west_stdnetprofit($B$1,YEAR($A766),$A766,180,1000000)</f>
        <v>51.318767000000001</v>
      </c>
      <c r="F766" cm="1">
        <f t="array" aca="1" ref="F766" ca="1">[1]!s_west_mediannetprofit($B$1,YEAR($A766),$A766,180,1000000)</f>
        <v>-100</v>
      </c>
      <c r="G766" cm="1">
        <f t="array" aca="1" ref="G766" ca="1">[1]!s_west_netprofit($B$1,YEAR($A766)+1,$A766,180,1000000)</f>
        <v>23.787227000000001</v>
      </c>
      <c r="H766" cm="1">
        <f t="array" aca="1" ref="H766" ca="1">[1]!s_west_eps($B$1,YEAR($A766)+1,$A766,180)</f>
        <v>2.7300000000000001E-2</v>
      </c>
      <c r="I766" cm="1">
        <f t="array" aca="1" ref="I766" ca="1">[1]!s_west_instnum_np($B$1,YEAR($A766)+1,$A766,180)</f>
        <v>15</v>
      </c>
      <c r="J766" cm="1">
        <f t="array" aca="1" ref="J766" ca="1">[1]!s_west_stdnetprofit($B$1,YEAR($A766)+1,$A766,180,1000000)</f>
        <v>48.693100000000001</v>
      </c>
      <c r="K766" cm="1">
        <f t="array" aca="1" ref="K766" ca="1">[1]!s_west_mediannetprofit($B$1,YEAR($A765)+1,$A765,180,1000000)</f>
        <v>30</v>
      </c>
      <c r="L766" cm="1">
        <f t="array" aca="1" ref="L766" ca="1">[1]!s_dq_close($B$1,$A766,3)</f>
        <v>30.35</v>
      </c>
    </row>
    <row r="767" spans="1:12">
      <c r="A767" s="23">
        <f t="shared" ca="1" si="11"/>
        <v>45408</v>
      </c>
      <c r="B767" cm="1">
        <f t="array" aca="1" ref="B767" ca="1">[1]!s_west_netprofit($B$1,YEAR($A767),$A767,180,1000000)</f>
        <v>-95.680807000000001</v>
      </c>
      <c r="C767" cm="1">
        <f t="array" aca="1" ref="C767" ca="1">[1]!s_west_eps($B$1,YEAR($A767),$A767,180)</f>
        <v>-0.10979999999999999</v>
      </c>
      <c r="D767" cm="1">
        <f t="array" aca="1" ref="D767" ca="1">[1]!s_west_instnum_np($B$1,YEAR($A767),$A767,180)</f>
        <v>14</v>
      </c>
      <c r="E767" cm="1">
        <f t="array" aca="1" ref="E767" ca="1">[1]!s_west_stdnetprofit($B$1,YEAR($A767),$A767,180,1000000)</f>
        <v>51.565480999999998</v>
      </c>
      <c r="F767" cm="1">
        <f t="array" aca="1" ref="F767" ca="1">[1]!s_west_mediannetprofit($B$1,YEAR($A767),$A767,180,1000000)</f>
        <v>-103.5</v>
      </c>
      <c r="G767" cm="1">
        <f t="array" aca="1" ref="G767" ca="1">[1]!s_west_netprofit($B$1,YEAR($A767)+1,$A767,180,1000000)</f>
        <v>22.343457000000001</v>
      </c>
      <c r="H767" cm="1">
        <f t="array" aca="1" ref="H767" ca="1">[1]!s_west_eps($B$1,YEAR($A767)+1,$A767,180)</f>
        <v>2.5600000000000001E-2</v>
      </c>
      <c r="I767" cm="1">
        <f t="array" aca="1" ref="I767" ca="1">[1]!s_west_instnum_np($B$1,YEAR($A767)+1,$A767,180)</f>
        <v>14</v>
      </c>
      <c r="J767" cm="1">
        <f t="array" aca="1" ref="J767" ca="1">[1]!s_west_stdnetprofit($B$1,YEAR($A767)+1,$A767,180,1000000)</f>
        <v>50.196930000000002</v>
      </c>
      <c r="K767" cm="1">
        <f t="array" aca="1" ref="K767" ca="1">[1]!s_west_mediannetprofit($B$1,YEAR($A766)+1,$A766,180,1000000)</f>
        <v>30</v>
      </c>
      <c r="L767" cm="1">
        <f t="array" aca="1" ref="L767" ca="1">[1]!s_dq_close($B$1,$A767,3)</f>
        <v>30.35</v>
      </c>
    </row>
    <row r="768" spans="1:12">
      <c r="A768" s="23">
        <f t="shared" ca="1" si="11"/>
        <v>45407</v>
      </c>
      <c r="B768" cm="1">
        <f t="array" aca="1" ref="B768" ca="1">[1]!s_west_netprofit($B$1,YEAR($A768),$A768,180,1000000)</f>
        <v>-95.680807000000001</v>
      </c>
      <c r="C768" cm="1">
        <f t="array" aca="1" ref="C768" ca="1">[1]!s_west_eps($B$1,YEAR($A768),$A768,180)</f>
        <v>-0.10979999999999999</v>
      </c>
      <c r="D768" cm="1">
        <f t="array" aca="1" ref="D768" ca="1">[1]!s_west_instnum_np($B$1,YEAR($A768),$A768,180)</f>
        <v>14</v>
      </c>
      <c r="E768" cm="1">
        <f t="array" aca="1" ref="E768" ca="1">[1]!s_west_stdnetprofit($B$1,YEAR($A768),$A768,180,1000000)</f>
        <v>51.565480999999998</v>
      </c>
      <c r="F768" cm="1">
        <f t="array" aca="1" ref="F768" ca="1">[1]!s_west_mediannetprofit($B$1,YEAR($A768),$A768,180,1000000)</f>
        <v>-103.5</v>
      </c>
      <c r="G768" cm="1">
        <f t="array" aca="1" ref="G768" ca="1">[1]!s_west_netprofit($B$1,YEAR($A768)+1,$A768,180,1000000)</f>
        <v>22.343457000000001</v>
      </c>
      <c r="H768" cm="1">
        <f t="array" aca="1" ref="H768" ca="1">[1]!s_west_eps($B$1,YEAR($A768)+1,$A768,180)</f>
        <v>2.5600000000000001E-2</v>
      </c>
      <c r="I768" cm="1">
        <f t="array" aca="1" ref="I768" ca="1">[1]!s_west_instnum_np($B$1,YEAR($A768)+1,$A768,180)</f>
        <v>14</v>
      </c>
      <c r="J768" cm="1">
        <f t="array" aca="1" ref="J768" ca="1">[1]!s_west_stdnetprofit($B$1,YEAR($A768)+1,$A768,180,1000000)</f>
        <v>50.196930000000002</v>
      </c>
      <c r="K768" cm="1">
        <f t="array" aca="1" ref="K768" ca="1">[1]!s_west_mediannetprofit($B$1,YEAR($A767)+1,$A767,180,1000000)</f>
        <v>25</v>
      </c>
      <c r="L768" cm="1">
        <f t="array" aca="1" ref="L768" ca="1">[1]!s_dq_close($B$1,$A768,3)</f>
        <v>30.35</v>
      </c>
    </row>
    <row r="769" spans="1:12">
      <c r="A769" s="23">
        <f t="shared" ca="1" si="11"/>
        <v>45406</v>
      </c>
      <c r="B769" cm="1">
        <f t="array" aca="1" ref="B769" ca="1">[1]!s_west_netprofit($B$1,YEAR($A769),$A769,180,1000000)</f>
        <v>-95.686656999999997</v>
      </c>
      <c r="C769" cm="1">
        <f t="array" aca="1" ref="C769" ca="1">[1]!s_west_eps($B$1,YEAR($A769),$A769,180)</f>
        <v>-0.10979999999999999</v>
      </c>
      <c r="D769" cm="1">
        <f t="array" aca="1" ref="D769" ca="1">[1]!s_west_instnum_np($B$1,YEAR($A769),$A769,180)</f>
        <v>14</v>
      </c>
      <c r="E769" cm="1">
        <f t="array" aca="1" ref="E769" ca="1">[1]!s_west_stdnetprofit($B$1,YEAR($A769),$A769,180,1000000)</f>
        <v>51.567875000000001</v>
      </c>
      <c r="F769" cm="1">
        <f t="array" aca="1" ref="F769" ca="1">[1]!s_west_mediannetprofit($B$1,YEAR($A769),$A769,180,1000000)</f>
        <v>-103.5</v>
      </c>
      <c r="G769" cm="1">
        <f t="array" aca="1" ref="G769" ca="1">[1]!s_west_netprofit($B$1,YEAR($A769)+1,$A769,180,1000000)</f>
        <v>22.342257</v>
      </c>
      <c r="H769" cm="1">
        <f t="array" aca="1" ref="H769" ca="1">[1]!s_west_eps($B$1,YEAR($A769)+1,$A769,180)</f>
        <v>2.5600000000000001E-2</v>
      </c>
      <c r="I769" cm="1">
        <f t="array" aca="1" ref="I769" ca="1">[1]!s_west_instnum_np($B$1,YEAR($A769)+1,$A769,180)</f>
        <v>14</v>
      </c>
      <c r="J769" cm="1">
        <f t="array" aca="1" ref="J769" ca="1">[1]!s_west_stdnetprofit($B$1,YEAR($A769)+1,$A769,180,1000000)</f>
        <v>50.198113999999997</v>
      </c>
      <c r="K769" cm="1">
        <f t="array" aca="1" ref="K769" ca="1">[1]!s_west_mediannetprofit($B$1,YEAR($A768)+1,$A768,180,1000000)</f>
        <v>25</v>
      </c>
      <c r="L769" cm="1">
        <f t="array" aca="1" ref="L769" ca="1">[1]!s_dq_close($B$1,$A769,3)</f>
        <v>29.3</v>
      </c>
    </row>
    <row r="770" spans="1:12">
      <c r="A770" s="23">
        <f t="shared" ca="1" si="11"/>
        <v>45405</v>
      </c>
      <c r="B770" cm="1">
        <f t="array" aca="1" ref="B770" ca="1">[1]!s_west_netprofit($B$1,YEAR($A770),$A770,180,1000000)</f>
        <v>-95.680807000000001</v>
      </c>
      <c r="C770" cm="1">
        <f t="array" aca="1" ref="C770" ca="1">[1]!s_west_eps($B$1,YEAR($A770),$A770,180)</f>
        <v>-0.10979999999999999</v>
      </c>
      <c r="D770" cm="1">
        <f t="array" aca="1" ref="D770" ca="1">[1]!s_west_instnum_np($B$1,YEAR($A770),$A770,180)</f>
        <v>14</v>
      </c>
      <c r="E770" cm="1">
        <f t="array" aca="1" ref="E770" ca="1">[1]!s_west_stdnetprofit($B$1,YEAR($A770),$A770,180,1000000)</f>
        <v>51.565480999999998</v>
      </c>
      <c r="F770" cm="1">
        <f t="array" aca="1" ref="F770" ca="1">[1]!s_west_mediannetprofit($B$1,YEAR($A770),$A770,180,1000000)</f>
        <v>-103.5</v>
      </c>
      <c r="G770" cm="1">
        <f t="array" aca="1" ref="G770" ca="1">[1]!s_west_netprofit($B$1,YEAR($A770)+1,$A770,180,1000000)</f>
        <v>22.343457000000001</v>
      </c>
      <c r="H770" cm="1">
        <f t="array" aca="1" ref="H770" ca="1">[1]!s_west_eps($B$1,YEAR($A770)+1,$A770,180)</f>
        <v>2.5600000000000001E-2</v>
      </c>
      <c r="I770" cm="1">
        <f t="array" aca="1" ref="I770" ca="1">[1]!s_west_instnum_np($B$1,YEAR($A770)+1,$A770,180)</f>
        <v>14</v>
      </c>
      <c r="J770" cm="1">
        <f t="array" aca="1" ref="J770" ca="1">[1]!s_west_stdnetprofit($B$1,YEAR($A770)+1,$A770,180,1000000)</f>
        <v>50.196930000000002</v>
      </c>
      <c r="K770" cm="1">
        <f t="array" aca="1" ref="K770" ca="1">[1]!s_west_mediannetprofit($B$1,YEAR($A769)+1,$A769,180,1000000)</f>
        <v>25</v>
      </c>
      <c r="L770" cm="1">
        <f t="array" aca="1" ref="L770" ca="1">[1]!s_dq_close($B$1,$A770,3)</f>
        <v>28.35</v>
      </c>
    </row>
    <row r="771" spans="1:12">
      <c r="A771" s="23">
        <f t="shared" ca="1" si="11"/>
        <v>45404</v>
      </c>
      <c r="B771" cm="1">
        <f t="array" aca="1" ref="B771" ca="1">[1]!s_west_netprofit($B$1,YEAR($A771),$A771,180,1000000)</f>
        <v>-95.686656999999997</v>
      </c>
      <c r="C771" cm="1">
        <f t="array" aca="1" ref="C771" ca="1">[1]!s_west_eps($B$1,YEAR($A771),$A771,180)</f>
        <v>-0.10979999999999999</v>
      </c>
      <c r="D771" cm="1">
        <f t="array" aca="1" ref="D771" ca="1">[1]!s_west_instnum_np($B$1,YEAR($A771),$A771,180)</f>
        <v>14</v>
      </c>
      <c r="E771" cm="1">
        <f t="array" aca="1" ref="E771" ca="1">[1]!s_west_stdnetprofit($B$1,YEAR($A771),$A771,180,1000000)</f>
        <v>51.567875000000001</v>
      </c>
      <c r="F771" cm="1">
        <f t="array" aca="1" ref="F771" ca="1">[1]!s_west_mediannetprofit($B$1,YEAR($A771),$A771,180,1000000)</f>
        <v>-103.5</v>
      </c>
      <c r="G771" cm="1">
        <f t="array" aca="1" ref="G771" ca="1">[1]!s_west_netprofit($B$1,YEAR($A771)+1,$A771,180,1000000)</f>
        <v>22.342257</v>
      </c>
      <c r="H771" cm="1">
        <f t="array" aca="1" ref="H771" ca="1">[1]!s_west_eps($B$1,YEAR($A771)+1,$A771,180)</f>
        <v>2.5600000000000001E-2</v>
      </c>
      <c r="I771" cm="1">
        <f t="array" aca="1" ref="I771" ca="1">[1]!s_west_instnum_np($B$1,YEAR($A771)+1,$A771,180)</f>
        <v>14</v>
      </c>
      <c r="J771" cm="1">
        <f t="array" aca="1" ref="J771" ca="1">[1]!s_west_stdnetprofit($B$1,YEAR($A771)+1,$A771,180,1000000)</f>
        <v>50.198113999999997</v>
      </c>
      <c r="K771" cm="1">
        <f t="array" aca="1" ref="K771" ca="1">[1]!s_west_mediannetprofit($B$1,YEAR($A770)+1,$A770,180,1000000)</f>
        <v>25</v>
      </c>
      <c r="L771" cm="1">
        <f t="array" aca="1" ref="L771" ca="1">[1]!s_dq_close($B$1,$A771,3)</f>
        <v>26.9</v>
      </c>
    </row>
    <row r="772" spans="1:12">
      <c r="A772" s="23">
        <f t="shared" ca="1" si="11"/>
        <v>45403</v>
      </c>
      <c r="B772" cm="1">
        <f t="array" aca="1" ref="B772" ca="1">[1]!s_west_netprofit($B$1,YEAR($A772),$A772,180,1000000)</f>
        <v>-95.686656999999997</v>
      </c>
      <c r="C772" cm="1">
        <f t="array" aca="1" ref="C772" ca="1">[1]!s_west_eps($B$1,YEAR($A772),$A772,180)</f>
        <v>-0.10979999999999999</v>
      </c>
      <c r="D772" cm="1">
        <f t="array" aca="1" ref="D772" ca="1">[1]!s_west_instnum_np($B$1,YEAR($A772),$A772,180)</f>
        <v>14</v>
      </c>
      <c r="E772" cm="1">
        <f t="array" aca="1" ref="E772" ca="1">[1]!s_west_stdnetprofit($B$1,YEAR($A772),$A772,180,1000000)</f>
        <v>51.567875000000001</v>
      </c>
      <c r="F772" cm="1">
        <f t="array" aca="1" ref="F772" ca="1">[1]!s_west_mediannetprofit($B$1,YEAR($A772),$A772,180,1000000)</f>
        <v>-103.5</v>
      </c>
      <c r="G772" cm="1">
        <f t="array" aca="1" ref="G772" ca="1">[1]!s_west_netprofit($B$1,YEAR($A772)+1,$A772,180,1000000)</f>
        <v>22.342257</v>
      </c>
      <c r="H772" cm="1">
        <f t="array" aca="1" ref="H772" ca="1">[1]!s_west_eps($B$1,YEAR($A772)+1,$A772,180)</f>
        <v>2.5600000000000001E-2</v>
      </c>
      <c r="I772" cm="1">
        <f t="array" aca="1" ref="I772" ca="1">[1]!s_west_instnum_np($B$1,YEAR($A772)+1,$A772,180)</f>
        <v>14</v>
      </c>
      <c r="J772" cm="1">
        <f t="array" aca="1" ref="J772" ca="1">[1]!s_west_stdnetprofit($B$1,YEAR($A772)+1,$A772,180,1000000)</f>
        <v>50.198113999999997</v>
      </c>
      <c r="K772" cm="1">
        <f t="array" aca="1" ref="K772" ca="1">[1]!s_west_mediannetprofit($B$1,YEAR($A771)+1,$A771,180,1000000)</f>
        <v>25</v>
      </c>
      <c r="L772" cm="1">
        <f t="array" aca="1" ref="L772" ca="1">[1]!s_dq_close($B$1,$A772,3)</f>
        <v>26</v>
      </c>
    </row>
    <row r="773" spans="1:12">
      <c r="A773" s="23">
        <f t="shared" ca="1" si="11"/>
        <v>45402</v>
      </c>
      <c r="B773" cm="1">
        <f t="array" aca="1" ref="B773" ca="1">[1]!s_west_netprofit($B$1,YEAR($A773),$A773,180,1000000)</f>
        <v>-95.686656999999997</v>
      </c>
      <c r="C773" cm="1">
        <f t="array" aca="1" ref="C773" ca="1">[1]!s_west_eps($B$1,YEAR($A773),$A773,180)</f>
        <v>-0.10979999999999999</v>
      </c>
      <c r="D773" cm="1">
        <f t="array" aca="1" ref="D773" ca="1">[1]!s_west_instnum_np($B$1,YEAR($A773),$A773,180)</f>
        <v>14</v>
      </c>
      <c r="E773" cm="1">
        <f t="array" aca="1" ref="E773" ca="1">[1]!s_west_stdnetprofit($B$1,YEAR($A773),$A773,180,1000000)</f>
        <v>51.567875000000001</v>
      </c>
      <c r="F773" cm="1">
        <f t="array" aca="1" ref="F773" ca="1">[1]!s_west_mediannetprofit($B$1,YEAR($A773),$A773,180,1000000)</f>
        <v>-103.5</v>
      </c>
      <c r="G773" cm="1">
        <f t="array" aca="1" ref="G773" ca="1">[1]!s_west_netprofit($B$1,YEAR($A773)+1,$A773,180,1000000)</f>
        <v>22.342257</v>
      </c>
      <c r="H773" cm="1">
        <f t="array" aca="1" ref="H773" ca="1">[1]!s_west_eps($B$1,YEAR($A773)+1,$A773,180)</f>
        <v>2.5600000000000001E-2</v>
      </c>
      <c r="I773" cm="1">
        <f t="array" aca="1" ref="I773" ca="1">[1]!s_west_instnum_np($B$1,YEAR($A773)+1,$A773,180)</f>
        <v>14</v>
      </c>
      <c r="J773" cm="1">
        <f t="array" aca="1" ref="J773" ca="1">[1]!s_west_stdnetprofit($B$1,YEAR($A773)+1,$A773,180,1000000)</f>
        <v>50.198113999999997</v>
      </c>
      <c r="K773" cm="1">
        <f t="array" aca="1" ref="K773" ca="1">[1]!s_west_mediannetprofit($B$1,YEAR($A772)+1,$A772,180,1000000)</f>
        <v>25</v>
      </c>
      <c r="L773" cm="1">
        <f t="array" aca="1" ref="L773" ca="1">[1]!s_dq_close($B$1,$A773,3)</f>
        <v>26</v>
      </c>
    </row>
    <row r="774" spans="1:12">
      <c r="A774" s="23">
        <f t="shared" ca="1" si="11"/>
        <v>45401</v>
      </c>
      <c r="B774" cm="1">
        <f t="array" aca="1" ref="B774" ca="1">[1]!s_west_netprofit($B$1,YEAR($A774),$A774,180,1000000)</f>
        <v>-95.686656999999997</v>
      </c>
      <c r="C774" cm="1">
        <f t="array" aca="1" ref="C774" ca="1">[1]!s_west_eps($B$1,YEAR($A774),$A774,180)</f>
        <v>-0.10979999999999999</v>
      </c>
      <c r="D774" cm="1">
        <f t="array" aca="1" ref="D774" ca="1">[1]!s_west_instnum_np($B$1,YEAR($A774),$A774,180)</f>
        <v>14</v>
      </c>
      <c r="E774" cm="1">
        <f t="array" aca="1" ref="E774" ca="1">[1]!s_west_stdnetprofit($B$1,YEAR($A774),$A774,180,1000000)</f>
        <v>51.567875000000001</v>
      </c>
      <c r="F774" cm="1">
        <f t="array" aca="1" ref="F774" ca="1">[1]!s_west_mediannetprofit($B$1,YEAR($A774),$A774,180,1000000)</f>
        <v>-103.5</v>
      </c>
      <c r="G774" cm="1">
        <f t="array" aca="1" ref="G774" ca="1">[1]!s_west_netprofit($B$1,YEAR($A774)+1,$A774,180,1000000)</f>
        <v>22.342257</v>
      </c>
      <c r="H774" cm="1">
        <f t="array" aca="1" ref="H774" ca="1">[1]!s_west_eps($B$1,YEAR($A774)+1,$A774,180)</f>
        <v>2.5600000000000001E-2</v>
      </c>
      <c r="I774" cm="1">
        <f t="array" aca="1" ref="I774" ca="1">[1]!s_west_instnum_np($B$1,YEAR($A774)+1,$A774,180)</f>
        <v>14</v>
      </c>
      <c r="J774" cm="1">
        <f t="array" aca="1" ref="J774" ca="1">[1]!s_west_stdnetprofit($B$1,YEAR($A774)+1,$A774,180,1000000)</f>
        <v>50.198113999999997</v>
      </c>
      <c r="K774" cm="1">
        <f t="array" aca="1" ref="K774" ca="1">[1]!s_west_mediannetprofit($B$1,YEAR($A773)+1,$A773,180,1000000)</f>
        <v>25</v>
      </c>
      <c r="L774" cm="1">
        <f t="array" aca="1" ref="L774" ca="1">[1]!s_dq_close($B$1,$A774,3)</f>
        <v>26</v>
      </c>
    </row>
    <row r="775" spans="1:12">
      <c r="A775" s="23">
        <f t="shared" ca="1" si="11"/>
        <v>45400</v>
      </c>
      <c r="B775" cm="1">
        <f t="array" aca="1" ref="B775" ca="1">[1]!s_west_netprofit($B$1,YEAR($A775),$A775,180,1000000)</f>
        <v>-95.686656999999997</v>
      </c>
      <c r="C775" cm="1">
        <f t="array" aca="1" ref="C775" ca="1">[1]!s_west_eps($B$1,YEAR($A775),$A775,180)</f>
        <v>-0.10979999999999999</v>
      </c>
      <c r="D775" cm="1">
        <f t="array" aca="1" ref="D775" ca="1">[1]!s_west_instnum_np($B$1,YEAR($A775),$A775,180)</f>
        <v>14</v>
      </c>
      <c r="E775" cm="1">
        <f t="array" aca="1" ref="E775" ca="1">[1]!s_west_stdnetprofit($B$1,YEAR($A775),$A775,180,1000000)</f>
        <v>51.567875000000001</v>
      </c>
      <c r="F775" cm="1">
        <f t="array" aca="1" ref="F775" ca="1">[1]!s_west_mediannetprofit($B$1,YEAR($A775),$A775,180,1000000)</f>
        <v>-103.5</v>
      </c>
      <c r="G775" cm="1">
        <f t="array" aca="1" ref="G775" ca="1">[1]!s_west_netprofit($B$1,YEAR($A775)+1,$A775,180,1000000)</f>
        <v>22.342257</v>
      </c>
      <c r="H775" cm="1">
        <f t="array" aca="1" ref="H775" ca="1">[1]!s_west_eps($B$1,YEAR($A775)+1,$A775,180)</f>
        <v>2.5600000000000001E-2</v>
      </c>
      <c r="I775" cm="1">
        <f t="array" aca="1" ref="I775" ca="1">[1]!s_west_instnum_np($B$1,YEAR($A775)+1,$A775,180)</f>
        <v>14</v>
      </c>
      <c r="J775" cm="1">
        <f t="array" aca="1" ref="J775" ca="1">[1]!s_west_stdnetprofit($B$1,YEAR($A775)+1,$A775,180,1000000)</f>
        <v>50.198113999999997</v>
      </c>
      <c r="K775" cm="1">
        <f t="array" aca="1" ref="K775" ca="1">[1]!s_west_mediannetprofit($B$1,YEAR($A774)+1,$A774,180,1000000)</f>
        <v>25</v>
      </c>
      <c r="L775" cm="1">
        <f t="array" aca="1" ref="L775" ca="1">[1]!s_dq_close($B$1,$A775,3)</f>
        <v>26.1</v>
      </c>
    </row>
    <row r="776" spans="1:12">
      <c r="A776" s="23">
        <f t="shared" ca="1" si="11"/>
        <v>45399</v>
      </c>
      <c r="B776" cm="1">
        <f t="array" aca="1" ref="B776" ca="1">[1]!s_west_netprofit($B$1,YEAR($A776),$A776,180,1000000)</f>
        <v>-95.686656999999997</v>
      </c>
      <c r="C776" cm="1">
        <f t="array" aca="1" ref="C776" ca="1">[1]!s_west_eps($B$1,YEAR($A776),$A776,180)</f>
        <v>-0.10979999999999999</v>
      </c>
      <c r="D776" cm="1">
        <f t="array" aca="1" ref="D776" ca="1">[1]!s_west_instnum_np($B$1,YEAR($A776),$A776,180)</f>
        <v>14</v>
      </c>
      <c r="E776" cm="1">
        <f t="array" aca="1" ref="E776" ca="1">[1]!s_west_stdnetprofit($B$1,YEAR($A776),$A776,180,1000000)</f>
        <v>51.567875000000001</v>
      </c>
      <c r="F776" cm="1">
        <f t="array" aca="1" ref="F776" ca="1">[1]!s_west_mediannetprofit($B$1,YEAR($A776),$A776,180,1000000)</f>
        <v>-103.5</v>
      </c>
      <c r="G776" cm="1">
        <f t="array" aca="1" ref="G776" ca="1">[1]!s_west_netprofit($B$1,YEAR($A776)+1,$A776,180,1000000)</f>
        <v>22.342257</v>
      </c>
      <c r="H776" cm="1">
        <f t="array" aca="1" ref="H776" ca="1">[1]!s_west_eps($B$1,YEAR($A776)+1,$A776,180)</f>
        <v>2.5600000000000001E-2</v>
      </c>
      <c r="I776" cm="1">
        <f t="array" aca="1" ref="I776" ca="1">[1]!s_west_instnum_np($B$1,YEAR($A776)+1,$A776,180)</f>
        <v>14</v>
      </c>
      <c r="J776" cm="1">
        <f t="array" aca="1" ref="J776" ca="1">[1]!s_west_stdnetprofit($B$1,YEAR($A776)+1,$A776,180,1000000)</f>
        <v>50.198113999999997</v>
      </c>
      <c r="K776" cm="1">
        <f t="array" aca="1" ref="K776" ca="1">[1]!s_west_mediannetprofit($B$1,YEAR($A775)+1,$A775,180,1000000)</f>
        <v>25</v>
      </c>
      <c r="L776" cm="1">
        <f t="array" aca="1" ref="L776" ca="1">[1]!s_dq_close($B$1,$A776,3)</f>
        <v>26.55</v>
      </c>
    </row>
    <row r="777" spans="1:12">
      <c r="A777" s="23">
        <f t="shared" ca="1" si="11"/>
        <v>45398</v>
      </c>
      <c r="B777" cm="1">
        <f t="array" aca="1" ref="B777" ca="1">[1]!s_west_netprofit($B$1,YEAR($A777),$A777,180,1000000)</f>
        <v>-95.686656999999997</v>
      </c>
      <c r="C777" cm="1">
        <f t="array" aca="1" ref="C777" ca="1">[1]!s_west_eps($B$1,YEAR($A777),$A777,180)</f>
        <v>-0.10979999999999999</v>
      </c>
      <c r="D777" cm="1">
        <f t="array" aca="1" ref="D777" ca="1">[1]!s_west_instnum_np($B$1,YEAR($A777),$A777,180)</f>
        <v>14</v>
      </c>
      <c r="E777" cm="1">
        <f t="array" aca="1" ref="E777" ca="1">[1]!s_west_stdnetprofit($B$1,YEAR($A777),$A777,180,1000000)</f>
        <v>51.567875000000001</v>
      </c>
      <c r="F777" cm="1">
        <f t="array" aca="1" ref="F777" ca="1">[1]!s_west_mediannetprofit($B$1,YEAR($A777),$A777,180,1000000)</f>
        <v>-103.5</v>
      </c>
      <c r="G777" cm="1">
        <f t="array" aca="1" ref="G777" ca="1">[1]!s_west_netprofit($B$1,YEAR($A777)+1,$A777,180,1000000)</f>
        <v>22.342257</v>
      </c>
      <c r="H777" cm="1">
        <f t="array" aca="1" ref="H777" ca="1">[1]!s_west_eps($B$1,YEAR($A777)+1,$A777,180)</f>
        <v>2.5600000000000001E-2</v>
      </c>
      <c r="I777" cm="1">
        <f t="array" aca="1" ref="I777" ca="1">[1]!s_west_instnum_np($B$1,YEAR($A777)+1,$A777,180)</f>
        <v>14</v>
      </c>
      <c r="J777" cm="1">
        <f t="array" aca="1" ref="J777" ca="1">[1]!s_west_stdnetprofit($B$1,YEAR($A777)+1,$A777,180,1000000)</f>
        <v>50.198113999999997</v>
      </c>
      <c r="K777" cm="1">
        <f t="array" aca="1" ref="K777" ca="1">[1]!s_west_mediannetprofit($B$1,YEAR($A776)+1,$A776,180,1000000)</f>
        <v>25</v>
      </c>
      <c r="L777" cm="1">
        <f t="array" aca="1" ref="L777" ca="1">[1]!s_dq_close($B$1,$A777,3)</f>
        <v>26.65</v>
      </c>
    </row>
    <row r="778" spans="1:12">
      <c r="A778" s="23">
        <f t="shared" ca="1" si="11"/>
        <v>45397</v>
      </c>
      <c r="B778" cm="1">
        <f t="array" aca="1" ref="B778" ca="1">[1]!s_west_netprofit($B$1,YEAR($A778),$A778,180,1000000)</f>
        <v>-95.692507000000006</v>
      </c>
      <c r="C778" cm="1">
        <f t="array" aca="1" ref="C778" ca="1">[1]!s_west_eps($B$1,YEAR($A778),$A778,180)</f>
        <v>-0.10979999999999999</v>
      </c>
      <c r="D778" cm="1">
        <f t="array" aca="1" ref="D778" ca="1">[1]!s_west_instnum_np($B$1,YEAR($A778),$A778,180)</f>
        <v>14</v>
      </c>
      <c r="E778" cm="1">
        <f t="array" aca="1" ref="E778" ca="1">[1]!s_west_stdnetprofit($B$1,YEAR($A778),$A778,180,1000000)</f>
        <v>51.570276999999997</v>
      </c>
      <c r="F778" cm="1">
        <f t="array" aca="1" ref="F778" ca="1">[1]!s_west_mediannetprofit($B$1,YEAR($A778),$A778,180,1000000)</f>
        <v>-103.5</v>
      </c>
      <c r="G778" cm="1">
        <f t="array" aca="1" ref="G778" ca="1">[1]!s_west_netprofit($B$1,YEAR($A778)+1,$A778,180,1000000)</f>
        <v>22.341056999999999</v>
      </c>
      <c r="H778" cm="1">
        <f t="array" aca="1" ref="H778" ca="1">[1]!s_west_eps($B$1,YEAR($A778)+1,$A778,180)</f>
        <v>2.5600000000000001E-2</v>
      </c>
      <c r="I778" cm="1">
        <f t="array" aca="1" ref="I778" ca="1">[1]!s_west_instnum_np($B$1,YEAR($A778)+1,$A778,180)</f>
        <v>14</v>
      </c>
      <c r="J778" cm="1">
        <f t="array" aca="1" ref="J778" ca="1">[1]!s_west_stdnetprofit($B$1,YEAR($A778)+1,$A778,180,1000000)</f>
        <v>50.199299000000003</v>
      </c>
      <c r="K778" cm="1">
        <f t="array" aca="1" ref="K778" ca="1">[1]!s_west_mediannetprofit($B$1,YEAR($A777)+1,$A777,180,1000000)</f>
        <v>25</v>
      </c>
      <c r="L778" cm="1">
        <f t="array" aca="1" ref="L778" ca="1">[1]!s_dq_close($B$1,$A778,3)</f>
        <v>28.2</v>
      </c>
    </row>
    <row r="779" spans="1:12">
      <c r="A779" s="23">
        <f t="shared" ca="1" si="11"/>
        <v>45396</v>
      </c>
      <c r="B779" cm="1">
        <f t="array" aca="1" ref="B779" ca="1">[1]!s_west_netprofit($B$1,YEAR($A779),$A779,180,1000000)</f>
        <v>-95.692507000000006</v>
      </c>
      <c r="C779" cm="1">
        <f t="array" aca="1" ref="C779" ca="1">[1]!s_west_eps($B$1,YEAR($A779),$A779,180)</f>
        <v>-0.10979999999999999</v>
      </c>
      <c r="D779" cm="1">
        <f t="array" aca="1" ref="D779" ca="1">[1]!s_west_instnum_np($B$1,YEAR($A779),$A779,180)</f>
        <v>14</v>
      </c>
      <c r="E779" cm="1">
        <f t="array" aca="1" ref="E779" ca="1">[1]!s_west_stdnetprofit($B$1,YEAR($A779),$A779,180,1000000)</f>
        <v>51.570276999999997</v>
      </c>
      <c r="F779" cm="1">
        <f t="array" aca="1" ref="F779" ca="1">[1]!s_west_mediannetprofit($B$1,YEAR($A779),$A779,180,1000000)</f>
        <v>-103.5</v>
      </c>
      <c r="G779" cm="1">
        <f t="array" aca="1" ref="G779" ca="1">[1]!s_west_netprofit($B$1,YEAR($A779)+1,$A779,180,1000000)</f>
        <v>22.341056999999999</v>
      </c>
      <c r="H779" cm="1">
        <f t="array" aca="1" ref="H779" ca="1">[1]!s_west_eps($B$1,YEAR($A779)+1,$A779,180)</f>
        <v>2.5600000000000001E-2</v>
      </c>
      <c r="I779" cm="1">
        <f t="array" aca="1" ref="I779" ca="1">[1]!s_west_instnum_np($B$1,YEAR($A779)+1,$A779,180)</f>
        <v>14</v>
      </c>
      <c r="J779" cm="1">
        <f t="array" aca="1" ref="J779" ca="1">[1]!s_west_stdnetprofit($B$1,YEAR($A779)+1,$A779,180,1000000)</f>
        <v>50.199299000000003</v>
      </c>
      <c r="K779" cm="1">
        <f t="array" aca="1" ref="K779" ca="1">[1]!s_west_mediannetprofit($B$1,YEAR($A778)+1,$A778,180,1000000)</f>
        <v>25</v>
      </c>
      <c r="L779" cm="1">
        <f t="array" aca="1" ref="L779" ca="1">[1]!s_dq_close($B$1,$A779,3)</f>
        <v>28.95</v>
      </c>
    </row>
    <row r="780" spans="1:12">
      <c r="A780" s="23">
        <f t="shared" ca="1" si="11"/>
        <v>45395</v>
      </c>
      <c r="B780" cm="1">
        <f t="array" aca="1" ref="B780" ca="1">[1]!s_west_netprofit($B$1,YEAR($A780),$A780,180,1000000)</f>
        <v>-95.692507000000006</v>
      </c>
      <c r="C780" cm="1">
        <f t="array" aca="1" ref="C780" ca="1">[1]!s_west_eps($B$1,YEAR($A780),$A780,180)</f>
        <v>-0.10979999999999999</v>
      </c>
      <c r="D780" cm="1">
        <f t="array" aca="1" ref="D780" ca="1">[1]!s_west_instnum_np($B$1,YEAR($A780),$A780,180)</f>
        <v>14</v>
      </c>
      <c r="E780" cm="1">
        <f t="array" aca="1" ref="E780" ca="1">[1]!s_west_stdnetprofit($B$1,YEAR($A780),$A780,180,1000000)</f>
        <v>51.570276999999997</v>
      </c>
      <c r="F780" cm="1">
        <f t="array" aca="1" ref="F780" ca="1">[1]!s_west_mediannetprofit($B$1,YEAR($A780),$A780,180,1000000)</f>
        <v>-103.5</v>
      </c>
      <c r="G780" cm="1">
        <f t="array" aca="1" ref="G780" ca="1">[1]!s_west_netprofit($B$1,YEAR($A780)+1,$A780,180,1000000)</f>
        <v>22.341056999999999</v>
      </c>
      <c r="H780" cm="1">
        <f t="array" aca="1" ref="H780" ca="1">[1]!s_west_eps($B$1,YEAR($A780)+1,$A780,180)</f>
        <v>2.5600000000000001E-2</v>
      </c>
      <c r="I780" cm="1">
        <f t="array" aca="1" ref="I780" ca="1">[1]!s_west_instnum_np($B$1,YEAR($A780)+1,$A780,180)</f>
        <v>14</v>
      </c>
      <c r="J780" cm="1">
        <f t="array" aca="1" ref="J780" ca="1">[1]!s_west_stdnetprofit($B$1,YEAR($A780)+1,$A780,180,1000000)</f>
        <v>50.199299000000003</v>
      </c>
      <c r="K780" cm="1">
        <f t="array" aca="1" ref="K780" ca="1">[1]!s_west_mediannetprofit($B$1,YEAR($A779)+1,$A779,180,1000000)</f>
        <v>25</v>
      </c>
      <c r="L780" cm="1">
        <f t="array" aca="1" ref="L780" ca="1">[1]!s_dq_close($B$1,$A780,3)</f>
        <v>28.95</v>
      </c>
    </row>
    <row r="781" spans="1:12">
      <c r="A781" s="23">
        <f t="shared" ref="A781:A844" ca="1" si="12">A780-1</f>
        <v>45394</v>
      </c>
      <c r="B781" cm="1">
        <f t="array" aca="1" ref="B781" ca="1">[1]!s_west_netprofit($B$1,YEAR($A781),$A781,180,1000000)</f>
        <v>-95.692507000000006</v>
      </c>
      <c r="C781" cm="1">
        <f t="array" aca="1" ref="C781" ca="1">[1]!s_west_eps($B$1,YEAR($A781),$A781,180)</f>
        <v>-0.10979999999999999</v>
      </c>
      <c r="D781" cm="1">
        <f t="array" aca="1" ref="D781" ca="1">[1]!s_west_instnum_np($B$1,YEAR($A781),$A781,180)</f>
        <v>14</v>
      </c>
      <c r="E781" cm="1">
        <f t="array" aca="1" ref="E781" ca="1">[1]!s_west_stdnetprofit($B$1,YEAR($A781),$A781,180,1000000)</f>
        <v>51.570276999999997</v>
      </c>
      <c r="F781" cm="1">
        <f t="array" aca="1" ref="F781" ca="1">[1]!s_west_mediannetprofit($B$1,YEAR($A781),$A781,180,1000000)</f>
        <v>-103.5</v>
      </c>
      <c r="G781" cm="1">
        <f t="array" aca="1" ref="G781" ca="1">[1]!s_west_netprofit($B$1,YEAR($A781)+1,$A781,180,1000000)</f>
        <v>22.341056999999999</v>
      </c>
      <c r="H781" cm="1">
        <f t="array" aca="1" ref="H781" ca="1">[1]!s_west_eps($B$1,YEAR($A781)+1,$A781,180)</f>
        <v>2.5600000000000001E-2</v>
      </c>
      <c r="I781" cm="1">
        <f t="array" aca="1" ref="I781" ca="1">[1]!s_west_instnum_np($B$1,YEAR($A781)+1,$A781,180)</f>
        <v>14</v>
      </c>
      <c r="J781" cm="1">
        <f t="array" aca="1" ref="J781" ca="1">[1]!s_west_stdnetprofit($B$1,YEAR($A781)+1,$A781,180,1000000)</f>
        <v>50.199299000000003</v>
      </c>
      <c r="K781" cm="1">
        <f t="array" aca="1" ref="K781" ca="1">[1]!s_west_mediannetprofit($B$1,YEAR($A780)+1,$A780,180,1000000)</f>
        <v>25</v>
      </c>
      <c r="L781" cm="1">
        <f t="array" aca="1" ref="L781" ca="1">[1]!s_dq_close($B$1,$A781,3)</f>
        <v>28.95</v>
      </c>
    </row>
    <row r="782" spans="1:12">
      <c r="A782" s="23">
        <f t="shared" ca="1" si="12"/>
        <v>45393</v>
      </c>
      <c r="B782" cm="1">
        <f t="array" aca="1" ref="B782" ca="1">[1]!s_west_netprofit($B$1,YEAR($A782),$A782,180,1000000)</f>
        <v>-95.692507000000006</v>
      </c>
      <c r="C782" cm="1">
        <f t="array" aca="1" ref="C782" ca="1">[1]!s_west_eps($B$1,YEAR($A782),$A782,180)</f>
        <v>-0.10979999999999999</v>
      </c>
      <c r="D782" cm="1">
        <f t="array" aca="1" ref="D782" ca="1">[1]!s_west_instnum_np($B$1,YEAR($A782),$A782,180)</f>
        <v>14</v>
      </c>
      <c r="E782" cm="1">
        <f t="array" aca="1" ref="E782" ca="1">[1]!s_west_stdnetprofit($B$1,YEAR($A782),$A782,180,1000000)</f>
        <v>51.570276999999997</v>
      </c>
      <c r="F782" cm="1">
        <f t="array" aca="1" ref="F782" ca="1">[1]!s_west_mediannetprofit($B$1,YEAR($A782),$A782,180,1000000)</f>
        <v>-103.5</v>
      </c>
      <c r="G782" cm="1">
        <f t="array" aca="1" ref="G782" ca="1">[1]!s_west_netprofit($B$1,YEAR($A782)+1,$A782,180,1000000)</f>
        <v>22.341056999999999</v>
      </c>
      <c r="H782" cm="1">
        <f t="array" aca="1" ref="H782" ca="1">[1]!s_west_eps($B$1,YEAR($A782)+1,$A782,180)</f>
        <v>2.5600000000000001E-2</v>
      </c>
      <c r="I782" cm="1">
        <f t="array" aca="1" ref="I782" ca="1">[1]!s_west_instnum_np($B$1,YEAR($A782)+1,$A782,180)</f>
        <v>14</v>
      </c>
      <c r="J782" cm="1">
        <f t="array" aca="1" ref="J782" ca="1">[1]!s_west_stdnetprofit($B$1,YEAR($A782)+1,$A782,180,1000000)</f>
        <v>50.199299000000003</v>
      </c>
      <c r="K782" cm="1">
        <f t="array" aca="1" ref="K782" ca="1">[1]!s_west_mediannetprofit($B$1,YEAR($A781)+1,$A781,180,1000000)</f>
        <v>25</v>
      </c>
      <c r="L782" cm="1">
        <f t="array" aca="1" ref="L782" ca="1">[1]!s_dq_close($B$1,$A782,3)</f>
        <v>28.8</v>
      </c>
    </row>
    <row r="783" spans="1:12">
      <c r="A783" s="23">
        <f t="shared" ca="1" si="12"/>
        <v>45392</v>
      </c>
      <c r="B783" cm="1">
        <f t="array" aca="1" ref="B783" ca="1">[1]!s_west_netprofit($B$1,YEAR($A783),$A783,180,1000000)</f>
        <v>-95.692507000000006</v>
      </c>
      <c r="C783" cm="1">
        <f t="array" aca="1" ref="C783" ca="1">[1]!s_west_eps($B$1,YEAR($A783),$A783,180)</f>
        <v>-0.10979999999999999</v>
      </c>
      <c r="D783" cm="1">
        <f t="array" aca="1" ref="D783" ca="1">[1]!s_west_instnum_np($B$1,YEAR($A783),$A783,180)</f>
        <v>14</v>
      </c>
      <c r="E783" cm="1">
        <f t="array" aca="1" ref="E783" ca="1">[1]!s_west_stdnetprofit($B$1,YEAR($A783),$A783,180,1000000)</f>
        <v>51.570276999999997</v>
      </c>
      <c r="F783" cm="1">
        <f t="array" aca="1" ref="F783" ca="1">[1]!s_west_mediannetprofit($B$1,YEAR($A783),$A783,180,1000000)</f>
        <v>-103.5</v>
      </c>
      <c r="G783" cm="1">
        <f t="array" aca="1" ref="G783" ca="1">[1]!s_west_netprofit($B$1,YEAR($A783)+1,$A783,180,1000000)</f>
        <v>22.341056999999999</v>
      </c>
      <c r="H783" cm="1">
        <f t="array" aca="1" ref="H783" ca="1">[1]!s_west_eps($B$1,YEAR($A783)+1,$A783,180)</f>
        <v>2.5600000000000001E-2</v>
      </c>
      <c r="I783" cm="1">
        <f t="array" aca="1" ref="I783" ca="1">[1]!s_west_instnum_np($B$1,YEAR($A783)+1,$A783,180)</f>
        <v>14</v>
      </c>
      <c r="J783" cm="1">
        <f t="array" aca="1" ref="J783" ca="1">[1]!s_west_stdnetprofit($B$1,YEAR($A783)+1,$A783,180,1000000)</f>
        <v>50.199299000000003</v>
      </c>
      <c r="K783" cm="1">
        <f t="array" aca="1" ref="K783" ca="1">[1]!s_west_mediannetprofit($B$1,YEAR($A782)+1,$A782,180,1000000)</f>
        <v>25</v>
      </c>
      <c r="L783" cm="1">
        <f t="array" aca="1" ref="L783" ca="1">[1]!s_dq_close($B$1,$A783,3)</f>
        <v>28.5</v>
      </c>
    </row>
    <row r="784" spans="1:12">
      <c r="A784" s="23">
        <f t="shared" ca="1" si="12"/>
        <v>45391</v>
      </c>
      <c r="B784" cm="1">
        <f t="array" aca="1" ref="B784" ca="1">[1]!s_west_netprofit($B$1,YEAR($A784),$A784,180,1000000)</f>
        <v>-95.692507000000006</v>
      </c>
      <c r="C784" cm="1">
        <f t="array" aca="1" ref="C784" ca="1">[1]!s_west_eps($B$1,YEAR($A784),$A784,180)</f>
        <v>-0.10979999999999999</v>
      </c>
      <c r="D784" cm="1">
        <f t="array" aca="1" ref="D784" ca="1">[1]!s_west_instnum_np($B$1,YEAR($A784),$A784,180)</f>
        <v>14</v>
      </c>
      <c r="E784" cm="1">
        <f t="array" aca="1" ref="E784" ca="1">[1]!s_west_stdnetprofit($B$1,YEAR($A784),$A784,180,1000000)</f>
        <v>51.570276999999997</v>
      </c>
      <c r="F784" cm="1">
        <f t="array" aca="1" ref="F784" ca="1">[1]!s_west_mediannetprofit($B$1,YEAR($A784),$A784,180,1000000)</f>
        <v>-103.5</v>
      </c>
      <c r="G784" cm="1">
        <f t="array" aca="1" ref="G784" ca="1">[1]!s_west_netprofit($B$1,YEAR($A784)+1,$A784,180,1000000)</f>
        <v>22.341056999999999</v>
      </c>
      <c r="H784" cm="1">
        <f t="array" aca="1" ref="H784" ca="1">[1]!s_west_eps($B$1,YEAR($A784)+1,$A784,180)</f>
        <v>2.5600000000000001E-2</v>
      </c>
      <c r="I784" cm="1">
        <f t="array" aca="1" ref="I784" ca="1">[1]!s_west_instnum_np($B$1,YEAR($A784)+1,$A784,180)</f>
        <v>14</v>
      </c>
      <c r="J784" cm="1">
        <f t="array" aca="1" ref="J784" ca="1">[1]!s_west_stdnetprofit($B$1,YEAR($A784)+1,$A784,180,1000000)</f>
        <v>50.199299000000003</v>
      </c>
      <c r="K784" cm="1">
        <f t="array" aca="1" ref="K784" ca="1">[1]!s_west_mediannetprofit($B$1,YEAR($A783)+1,$A783,180,1000000)</f>
        <v>25</v>
      </c>
      <c r="L784" cm="1">
        <f t="array" aca="1" ref="L784" ca="1">[1]!s_dq_close($B$1,$A784,3)</f>
        <v>28.95</v>
      </c>
    </row>
    <row r="785" spans="1:12">
      <c r="A785" s="23">
        <f t="shared" ca="1" si="12"/>
        <v>45390</v>
      </c>
      <c r="B785" cm="1">
        <f t="array" aca="1" ref="B785" ca="1">[1]!s_west_netprofit($B$1,YEAR($A785),$A785,180,1000000)</f>
        <v>-95.698357000000001</v>
      </c>
      <c r="C785" cm="1">
        <f t="array" aca="1" ref="C785" ca="1">[1]!s_west_eps($B$1,YEAR($A785),$A785,180)</f>
        <v>-0.10979999999999999</v>
      </c>
      <c r="D785" cm="1">
        <f t="array" aca="1" ref="D785" ca="1">[1]!s_west_instnum_np($B$1,YEAR($A785),$A785,180)</f>
        <v>14</v>
      </c>
      <c r="E785" cm="1">
        <f t="array" aca="1" ref="E785" ca="1">[1]!s_west_stdnetprofit($B$1,YEAR($A785),$A785,180,1000000)</f>
        <v>51.572688999999997</v>
      </c>
      <c r="F785" cm="1">
        <f t="array" aca="1" ref="F785" ca="1">[1]!s_west_mediannetprofit($B$1,YEAR($A785),$A785,180,1000000)</f>
        <v>-103.5</v>
      </c>
      <c r="G785" cm="1">
        <f t="array" aca="1" ref="G785" ca="1">[1]!s_west_netprofit($B$1,YEAR($A785)+1,$A785,180,1000000)</f>
        <v>22.339856999999999</v>
      </c>
      <c r="H785" cm="1">
        <f t="array" aca="1" ref="H785" ca="1">[1]!s_west_eps($B$1,YEAR($A785)+1,$A785,180)</f>
        <v>2.5600000000000001E-2</v>
      </c>
      <c r="I785" cm="1">
        <f t="array" aca="1" ref="I785" ca="1">[1]!s_west_instnum_np($B$1,YEAR($A785)+1,$A785,180)</f>
        <v>14</v>
      </c>
      <c r="J785" cm="1">
        <f t="array" aca="1" ref="J785" ca="1">[1]!s_west_stdnetprofit($B$1,YEAR($A785)+1,$A785,180,1000000)</f>
        <v>50.200482999999998</v>
      </c>
      <c r="K785" cm="1">
        <f t="array" aca="1" ref="K785" ca="1">[1]!s_west_mediannetprofit($B$1,YEAR($A784)+1,$A784,180,1000000)</f>
        <v>25</v>
      </c>
      <c r="L785" cm="1">
        <f t="array" aca="1" ref="L785" ca="1">[1]!s_dq_close($B$1,$A785,3)</f>
        <v>26.85</v>
      </c>
    </row>
    <row r="786" spans="1:12">
      <c r="A786" s="23">
        <f t="shared" ca="1" si="12"/>
        <v>45389</v>
      </c>
      <c r="B786" cm="1">
        <f t="array" aca="1" ref="B786" ca="1">[1]!s_west_netprofit($B$1,YEAR($A786),$A786,180,1000000)</f>
        <v>-95.692507000000006</v>
      </c>
      <c r="C786" cm="1">
        <f t="array" aca="1" ref="C786" ca="1">[1]!s_west_eps($B$1,YEAR($A786),$A786,180)</f>
        <v>-0.10979999999999999</v>
      </c>
      <c r="D786" cm="1">
        <f t="array" aca="1" ref="D786" ca="1">[1]!s_west_instnum_np($B$1,YEAR($A786),$A786,180)</f>
        <v>14</v>
      </c>
      <c r="E786" cm="1">
        <f t="array" aca="1" ref="E786" ca="1">[1]!s_west_stdnetprofit($B$1,YEAR($A786),$A786,180,1000000)</f>
        <v>51.570276999999997</v>
      </c>
      <c r="F786" cm="1">
        <f t="array" aca="1" ref="F786" ca="1">[1]!s_west_mediannetprofit($B$1,YEAR($A786),$A786,180,1000000)</f>
        <v>-103.5</v>
      </c>
      <c r="G786" cm="1">
        <f t="array" aca="1" ref="G786" ca="1">[1]!s_west_netprofit($B$1,YEAR($A786)+1,$A786,180,1000000)</f>
        <v>22.341056999999999</v>
      </c>
      <c r="H786" cm="1">
        <f t="array" aca="1" ref="H786" ca="1">[1]!s_west_eps($B$1,YEAR($A786)+1,$A786,180)</f>
        <v>2.5600000000000001E-2</v>
      </c>
      <c r="I786" cm="1">
        <f t="array" aca="1" ref="I786" ca="1">[1]!s_west_instnum_np($B$1,YEAR($A786)+1,$A786,180)</f>
        <v>14</v>
      </c>
      <c r="J786" cm="1">
        <f t="array" aca="1" ref="J786" ca="1">[1]!s_west_stdnetprofit($B$1,YEAR($A786)+1,$A786,180,1000000)</f>
        <v>50.199299000000003</v>
      </c>
      <c r="K786" cm="1">
        <f t="array" aca="1" ref="K786" ca="1">[1]!s_west_mediannetprofit($B$1,YEAR($A785)+1,$A785,180,1000000)</f>
        <v>25</v>
      </c>
      <c r="L786" cm="1">
        <f t="array" aca="1" ref="L786" ca="1">[1]!s_dq_close($B$1,$A786,3)</f>
        <v>26.15</v>
      </c>
    </row>
    <row r="787" spans="1:12">
      <c r="A787" s="23">
        <f t="shared" ca="1" si="12"/>
        <v>45388</v>
      </c>
      <c r="B787" cm="1">
        <f t="array" aca="1" ref="B787" ca="1">[1]!s_west_netprofit($B$1,YEAR($A787),$A787,180,1000000)</f>
        <v>-91.397507000000004</v>
      </c>
      <c r="C787" cm="1">
        <f t="array" aca="1" ref="C787" ca="1">[1]!s_west_eps($B$1,YEAR($A787),$A787,180)</f>
        <v>-0.10489999999999999</v>
      </c>
      <c r="D787" cm="1">
        <f t="array" aca="1" ref="D787" ca="1">[1]!s_west_instnum_np($B$1,YEAR($A787),$A787,180)</f>
        <v>14</v>
      </c>
      <c r="E787" cm="1">
        <f t="array" aca="1" ref="E787" ca="1">[1]!s_west_stdnetprofit($B$1,YEAR($A787),$A787,180,1000000)</f>
        <v>53.039126000000003</v>
      </c>
      <c r="F787" cm="1">
        <f t="array" aca="1" ref="F787" ca="1">[1]!s_west_mediannetprofit($B$1,YEAR($A787),$A787,180,1000000)</f>
        <v>-85.5</v>
      </c>
      <c r="G787" cm="1">
        <f t="array" aca="1" ref="G787" ca="1">[1]!s_west_netprofit($B$1,YEAR($A787)+1,$A787,180,1000000)</f>
        <v>23.441057000000001</v>
      </c>
      <c r="H787" cm="1">
        <f t="array" aca="1" ref="H787" ca="1">[1]!s_west_eps($B$1,YEAR($A787)+1,$A787,180)</f>
        <v>2.69E-2</v>
      </c>
      <c r="I787" cm="1">
        <f t="array" aca="1" ref="I787" ca="1">[1]!s_west_instnum_np($B$1,YEAR($A787)+1,$A787,180)</f>
        <v>14</v>
      </c>
      <c r="J787" cm="1">
        <f t="array" aca="1" ref="J787" ca="1">[1]!s_west_stdnetprofit($B$1,YEAR($A787)+1,$A787,180,1000000)</f>
        <v>50.312652999999997</v>
      </c>
      <c r="K787" cm="1">
        <f t="array" aca="1" ref="K787" ca="1">[1]!s_west_mediannetprofit($B$1,YEAR($A786)+1,$A786,180,1000000)</f>
        <v>25</v>
      </c>
      <c r="L787" cm="1">
        <f t="array" aca="1" ref="L787" ca="1">[1]!s_dq_close($B$1,$A787,3)</f>
        <v>26.15</v>
      </c>
    </row>
    <row r="788" spans="1:12">
      <c r="A788" s="23">
        <f t="shared" ca="1" si="12"/>
        <v>45387</v>
      </c>
      <c r="B788" cm="1">
        <f t="array" aca="1" ref="B788" ca="1">[1]!s_west_netprofit($B$1,YEAR($A788),$A788,180,1000000)</f>
        <v>-91.397507000000004</v>
      </c>
      <c r="C788" cm="1">
        <f t="array" aca="1" ref="C788" ca="1">[1]!s_west_eps($B$1,YEAR($A788),$A788,180)</f>
        <v>-0.10489999999999999</v>
      </c>
      <c r="D788" cm="1">
        <f t="array" aca="1" ref="D788" ca="1">[1]!s_west_instnum_np($B$1,YEAR($A788),$A788,180)</f>
        <v>14</v>
      </c>
      <c r="E788" cm="1">
        <f t="array" aca="1" ref="E788" ca="1">[1]!s_west_stdnetprofit($B$1,YEAR($A788),$A788,180,1000000)</f>
        <v>53.039126000000003</v>
      </c>
      <c r="F788" cm="1">
        <f t="array" aca="1" ref="F788" ca="1">[1]!s_west_mediannetprofit($B$1,YEAR($A788),$A788,180,1000000)</f>
        <v>-85.5</v>
      </c>
      <c r="G788" cm="1">
        <f t="array" aca="1" ref="G788" ca="1">[1]!s_west_netprofit($B$1,YEAR($A788)+1,$A788,180,1000000)</f>
        <v>23.441057000000001</v>
      </c>
      <c r="H788" cm="1">
        <f t="array" aca="1" ref="H788" ca="1">[1]!s_west_eps($B$1,YEAR($A788)+1,$A788,180)</f>
        <v>2.69E-2</v>
      </c>
      <c r="I788" cm="1">
        <f t="array" aca="1" ref="I788" ca="1">[1]!s_west_instnum_np($B$1,YEAR($A788)+1,$A788,180)</f>
        <v>14</v>
      </c>
      <c r="J788" cm="1">
        <f t="array" aca="1" ref="J788" ca="1">[1]!s_west_stdnetprofit($B$1,YEAR($A788)+1,$A788,180,1000000)</f>
        <v>50.312652999999997</v>
      </c>
      <c r="K788" cm="1">
        <f t="array" aca="1" ref="K788" ca="1">[1]!s_west_mediannetprofit($B$1,YEAR($A787)+1,$A787,180,1000000)</f>
        <v>32</v>
      </c>
      <c r="L788" cm="1">
        <f t="array" aca="1" ref="L788" ca="1">[1]!s_dq_close($B$1,$A788,3)</f>
        <v>26.15</v>
      </c>
    </row>
    <row r="789" spans="1:12">
      <c r="A789" s="23">
        <f t="shared" ca="1" si="12"/>
        <v>45386</v>
      </c>
      <c r="B789" cm="1">
        <f t="array" aca="1" ref="B789" ca="1">[1]!s_west_netprofit($B$1,YEAR($A789),$A789,180,1000000)</f>
        <v>-91.397507000000004</v>
      </c>
      <c r="C789" cm="1">
        <f t="array" aca="1" ref="C789" ca="1">[1]!s_west_eps($B$1,YEAR($A789),$A789,180)</f>
        <v>-0.10489999999999999</v>
      </c>
      <c r="D789" cm="1">
        <f t="array" aca="1" ref="D789" ca="1">[1]!s_west_instnum_np($B$1,YEAR($A789),$A789,180)</f>
        <v>14</v>
      </c>
      <c r="E789" cm="1">
        <f t="array" aca="1" ref="E789" ca="1">[1]!s_west_stdnetprofit($B$1,YEAR($A789),$A789,180,1000000)</f>
        <v>53.039126000000003</v>
      </c>
      <c r="F789" cm="1">
        <f t="array" aca="1" ref="F789" ca="1">[1]!s_west_mediannetprofit($B$1,YEAR($A789),$A789,180,1000000)</f>
        <v>-85.5</v>
      </c>
      <c r="G789" cm="1">
        <f t="array" aca="1" ref="G789" ca="1">[1]!s_west_netprofit($B$1,YEAR($A789)+1,$A789,180,1000000)</f>
        <v>23.441057000000001</v>
      </c>
      <c r="H789" cm="1">
        <f t="array" aca="1" ref="H789" ca="1">[1]!s_west_eps($B$1,YEAR($A789)+1,$A789,180)</f>
        <v>2.69E-2</v>
      </c>
      <c r="I789" cm="1">
        <f t="array" aca="1" ref="I789" ca="1">[1]!s_west_instnum_np($B$1,YEAR($A789)+1,$A789,180)</f>
        <v>14</v>
      </c>
      <c r="J789" cm="1">
        <f t="array" aca="1" ref="J789" ca="1">[1]!s_west_stdnetprofit($B$1,YEAR($A789)+1,$A789,180,1000000)</f>
        <v>50.312652999999997</v>
      </c>
      <c r="K789" cm="1">
        <f t="array" aca="1" ref="K789" ca="1">[1]!s_west_mediannetprofit($B$1,YEAR($A788)+1,$A788,180,1000000)</f>
        <v>32</v>
      </c>
      <c r="L789" cm="1">
        <f t="array" aca="1" ref="L789" ca="1">[1]!s_dq_close($B$1,$A789,3)</f>
        <v>27.3</v>
      </c>
    </row>
    <row r="790" spans="1:12">
      <c r="A790" s="23">
        <f t="shared" ca="1" si="12"/>
        <v>45385</v>
      </c>
      <c r="B790" cm="1">
        <f t="array" aca="1" ref="B790" ca="1">[1]!s_west_netprofit($B$1,YEAR($A790),$A790,180,1000000)</f>
        <v>-91.397507000000004</v>
      </c>
      <c r="C790" cm="1">
        <f t="array" aca="1" ref="C790" ca="1">[1]!s_west_eps($B$1,YEAR($A790),$A790,180)</f>
        <v>-0.10489999999999999</v>
      </c>
      <c r="D790" cm="1">
        <f t="array" aca="1" ref="D790" ca="1">[1]!s_west_instnum_np($B$1,YEAR($A790),$A790,180)</f>
        <v>14</v>
      </c>
      <c r="E790" cm="1">
        <f t="array" aca="1" ref="E790" ca="1">[1]!s_west_stdnetprofit($B$1,YEAR($A790),$A790,180,1000000)</f>
        <v>53.039126000000003</v>
      </c>
      <c r="F790" cm="1">
        <f t="array" aca="1" ref="F790" ca="1">[1]!s_west_mediannetprofit($B$1,YEAR($A790),$A790,180,1000000)</f>
        <v>-85.5</v>
      </c>
      <c r="G790" cm="1">
        <f t="array" aca="1" ref="G790" ca="1">[1]!s_west_netprofit($B$1,YEAR($A790)+1,$A790,180,1000000)</f>
        <v>23.441057000000001</v>
      </c>
      <c r="H790" cm="1">
        <f t="array" aca="1" ref="H790" ca="1">[1]!s_west_eps($B$1,YEAR($A790)+1,$A790,180)</f>
        <v>2.69E-2</v>
      </c>
      <c r="I790" cm="1">
        <f t="array" aca="1" ref="I790" ca="1">[1]!s_west_instnum_np($B$1,YEAR($A790)+1,$A790,180)</f>
        <v>14</v>
      </c>
      <c r="J790" cm="1">
        <f t="array" aca="1" ref="J790" ca="1">[1]!s_west_stdnetprofit($B$1,YEAR($A790)+1,$A790,180,1000000)</f>
        <v>50.312652999999997</v>
      </c>
      <c r="K790" cm="1">
        <f t="array" aca="1" ref="K790" ca="1">[1]!s_west_mediannetprofit($B$1,YEAR($A789)+1,$A789,180,1000000)</f>
        <v>32</v>
      </c>
      <c r="L790" cm="1">
        <f t="array" aca="1" ref="L790" ca="1">[1]!s_dq_close($B$1,$A790,3)</f>
        <v>27.3</v>
      </c>
    </row>
    <row r="791" spans="1:12">
      <c r="A791" s="23">
        <f t="shared" ca="1" si="12"/>
        <v>45384</v>
      </c>
      <c r="B791" cm="1">
        <f t="array" aca="1" ref="B791" ca="1">[1]!s_west_netprofit($B$1,YEAR($A791),$A791,180,1000000)</f>
        <v>-91.397507000000004</v>
      </c>
      <c r="C791" cm="1">
        <f t="array" aca="1" ref="C791" ca="1">[1]!s_west_eps($B$1,YEAR($A791),$A791,180)</f>
        <v>-0.10489999999999999</v>
      </c>
      <c r="D791" cm="1">
        <f t="array" aca="1" ref="D791" ca="1">[1]!s_west_instnum_np($B$1,YEAR($A791),$A791,180)</f>
        <v>14</v>
      </c>
      <c r="E791" cm="1">
        <f t="array" aca="1" ref="E791" ca="1">[1]!s_west_stdnetprofit($B$1,YEAR($A791),$A791,180,1000000)</f>
        <v>53.039126000000003</v>
      </c>
      <c r="F791" cm="1">
        <f t="array" aca="1" ref="F791" ca="1">[1]!s_west_mediannetprofit($B$1,YEAR($A791),$A791,180,1000000)</f>
        <v>-85.5</v>
      </c>
      <c r="G791" cm="1">
        <f t="array" aca="1" ref="G791" ca="1">[1]!s_west_netprofit($B$1,YEAR($A791)+1,$A791,180,1000000)</f>
        <v>23.441057000000001</v>
      </c>
      <c r="H791" cm="1">
        <f t="array" aca="1" ref="H791" ca="1">[1]!s_west_eps($B$1,YEAR($A791)+1,$A791,180)</f>
        <v>2.69E-2</v>
      </c>
      <c r="I791" cm="1">
        <f t="array" aca="1" ref="I791" ca="1">[1]!s_west_instnum_np($B$1,YEAR($A791)+1,$A791,180)</f>
        <v>14</v>
      </c>
      <c r="J791" cm="1">
        <f t="array" aca="1" ref="J791" ca="1">[1]!s_west_stdnetprofit($B$1,YEAR($A791)+1,$A791,180,1000000)</f>
        <v>50.312652999999997</v>
      </c>
      <c r="K791" cm="1">
        <f t="array" aca="1" ref="K791" ca="1">[1]!s_west_mediannetprofit($B$1,YEAR($A790)+1,$A790,180,1000000)</f>
        <v>32</v>
      </c>
      <c r="L791" cm="1">
        <f t="array" aca="1" ref="L791" ca="1">[1]!s_dq_close($B$1,$A791,3)</f>
        <v>26.8</v>
      </c>
    </row>
    <row r="792" spans="1:12">
      <c r="A792" s="23">
        <f t="shared" ca="1" si="12"/>
        <v>45383</v>
      </c>
      <c r="B792" cm="1">
        <f t="array" aca="1" ref="B792" ca="1">[1]!s_west_netprofit($B$1,YEAR($A792),$A792,180,1000000)</f>
        <v>-91.403357</v>
      </c>
      <c r="C792" cm="1">
        <f t="array" aca="1" ref="C792" ca="1">[1]!s_west_eps($B$1,YEAR($A792),$A792,180)</f>
        <v>-0.10489999999999999</v>
      </c>
      <c r="D792" cm="1">
        <f t="array" aca="1" ref="D792" ca="1">[1]!s_west_instnum_np($B$1,YEAR($A792),$A792,180)</f>
        <v>14</v>
      </c>
      <c r="E792" cm="1">
        <f t="array" aca="1" ref="E792" ca="1">[1]!s_west_stdnetprofit($B$1,YEAR($A792),$A792,180,1000000)</f>
        <v>53.041981</v>
      </c>
      <c r="F792" cm="1">
        <f t="array" aca="1" ref="F792" ca="1">[1]!s_west_mediannetprofit($B$1,YEAR($A792),$A792,180,1000000)</f>
        <v>-85.5</v>
      </c>
      <c r="G792" cm="1">
        <f t="array" aca="1" ref="G792" ca="1">[1]!s_west_netprofit($B$1,YEAR($A792)+1,$A792,180,1000000)</f>
        <v>23.439857</v>
      </c>
      <c r="H792" cm="1">
        <f t="array" aca="1" ref="H792" ca="1">[1]!s_west_eps($B$1,YEAR($A792)+1,$A792,180)</f>
        <v>2.69E-2</v>
      </c>
      <c r="I792" cm="1">
        <f t="array" aca="1" ref="I792" ca="1">[1]!s_west_instnum_np($B$1,YEAR($A792)+1,$A792,180)</f>
        <v>14</v>
      </c>
      <c r="J792" cm="1">
        <f t="array" aca="1" ref="J792" ca="1">[1]!s_west_stdnetprofit($B$1,YEAR($A792)+1,$A792,180,1000000)</f>
        <v>50.313864000000002</v>
      </c>
      <c r="K792" cm="1">
        <f t="array" aca="1" ref="K792" ca="1">[1]!s_west_mediannetprofit($B$1,YEAR($A791)+1,$A791,180,1000000)</f>
        <v>32</v>
      </c>
      <c r="L792" cm="1">
        <f t="array" aca="1" ref="L792" ca="1">[1]!s_dq_close($B$1,$A792,3)</f>
        <v>26.75</v>
      </c>
    </row>
    <row r="793" spans="1:12">
      <c r="A793" s="23">
        <f t="shared" ca="1" si="12"/>
        <v>45382</v>
      </c>
      <c r="B793" cm="1">
        <f t="array" aca="1" ref="B793" ca="1">[1]!s_west_netprofit($B$1,YEAR($A793),$A793,180,1000000)</f>
        <v>-91.397507000000004</v>
      </c>
      <c r="C793" cm="1">
        <f t="array" aca="1" ref="C793" ca="1">[1]!s_west_eps($B$1,YEAR($A793),$A793,180)</f>
        <v>-0.10489999999999999</v>
      </c>
      <c r="D793" cm="1">
        <f t="array" aca="1" ref="D793" ca="1">[1]!s_west_instnum_np($B$1,YEAR($A793),$A793,180)</f>
        <v>14</v>
      </c>
      <c r="E793" cm="1">
        <f t="array" aca="1" ref="E793" ca="1">[1]!s_west_stdnetprofit($B$1,YEAR($A793),$A793,180,1000000)</f>
        <v>53.039126000000003</v>
      </c>
      <c r="F793" cm="1">
        <f t="array" aca="1" ref="F793" ca="1">[1]!s_west_mediannetprofit($B$1,YEAR($A793),$A793,180,1000000)</f>
        <v>-85.5</v>
      </c>
      <c r="G793" cm="1">
        <f t="array" aca="1" ref="G793" ca="1">[1]!s_west_netprofit($B$1,YEAR($A793)+1,$A793,180,1000000)</f>
        <v>23.441057000000001</v>
      </c>
      <c r="H793" cm="1">
        <f t="array" aca="1" ref="H793" ca="1">[1]!s_west_eps($B$1,YEAR($A793)+1,$A793,180)</f>
        <v>2.69E-2</v>
      </c>
      <c r="I793" cm="1">
        <f t="array" aca="1" ref="I793" ca="1">[1]!s_west_instnum_np($B$1,YEAR($A793)+1,$A793,180)</f>
        <v>14</v>
      </c>
      <c r="J793" cm="1">
        <f t="array" aca="1" ref="J793" ca="1">[1]!s_west_stdnetprofit($B$1,YEAR($A793)+1,$A793,180,1000000)</f>
        <v>50.312652999999997</v>
      </c>
      <c r="K793" cm="1">
        <f t="array" aca="1" ref="K793" ca="1">[1]!s_west_mediannetprofit($B$1,YEAR($A792)+1,$A792,180,1000000)</f>
        <v>32</v>
      </c>
      <c r="L793" cm="1">
        <f t="array" aca="1" ref="L793" ca="1">[1]!s_dq_close($B$1,$A793,3)</f>
        <v>26.75</v>
      </c>
    </row>
    <row r="794" spans="1:12">
      <c r="A794" s="23">
        <f t="shared" ca="1" si="12"/>
        <v>45381</v>
      </c>
      <c r="B794" cm="1">
        <f t="array" aca="1" ref="B794" ca="1">[1]!s_west_netprofit($B$1,YEAR($A794),$A794,180,1000000)</f>
        <v>-91.397507000000004</v>
      </c>
      <c r="C794" cm="1">
        <f t="array" aca="1" ref="C794" ca="1">[1]!s_west_eps($B$1,YEAR($A794),$A794,180)</f>
        <v>-0.10489999999999999</v>
      </c>
      <c r="D794" cm="1">
        <f t="array" aca="1" ref="D794" ca="1">[1]!s_west_instnum_np($B$1,YEAR($A794),$A794,180)</f>
        <v>14</v>
      </c>
      <c r="E794" cm="1">
        <f t="array" aca="1" ref="E794" ca="1">[1]!s_west_stdnetprofit($B$1,YEAR($A794),$A794,180,1000000)</f>
        <v>53.039126000000003</v>
      </c>
      <c r="F794" cm="1">
        <f t="array" aca="1" ref="F794" ca="1">[1]!s_west_mediannetprofit($B$1,YEAR($A794),$A794,180,1000000)</f>
        <v>-85.5</v>
      </c>
      <c r="G794" cm="1">
        <f t="array" aca="1" ref="G794" ca="1">[1]!s_west_netprofit($B$1,YEAR($A794)+1,$A794,180,1000000)</f>
        <v>23.441057000000001</v>
      </c>
      <c r="H794" cm="1">
        <f t="array" aca="1" ref="H794" ca="1">[1]!s_west_eps($B$1,YEAR($A794)+1,$A794,180)</f>
        <v>2.69E-2</v>
      </c>
      <c r="I794" cm="1">
        <f t="array" aca="1" ref="I794" ca="1">[1]!s_west_instnum_np($B$1,YEAR($A794)+1,$A794,180)</f>
        <v>14</v>
      </c>
      <c r="J794" cm="1">
        <f t="array" aca="1" ref="J794" ca="1">[1]!s_west_stdnetprofit($B$1,YEAR($A794)+1,$A794,180,1000000)</f>
        <v>50.312652999999997</v>
      </c>
      <c r="K794" cm="1">
        <f t="array" aca="1" ref="K794" ca="1">[1]!s_west_mediannetprofit($B$1,YEAR($A793)+1,$A793,180,1000000)</f>
        <v>32</v>
      </c>
      <c r="L794" cm="1">
        <f t="array" aca="1" ref="L794" ca="1">[1]!s_dq_close($B$1,$A794,3)</f>
        <v>26.75</v>
      </c>
    </row>
    <row r="795" spans="1:12">
      <c r="A795" s="23">
        <f t="shared" ca="1" si="12"/>
        <v>45380</v>
      </c>
      <c r="B795" cm="1">
        <f t="array" aca="1" ref="B795" ca="1">[1]!s_west_netprofit($B$1,YEAR($A795),$A795,180,1000000)</f>
        <v>-91.397507000000004</v>
      </c>
      <c r="C795" cm="1">
        <f t="array" aca="1" ref="C795" ca="1">[1]!s_west_eps($B$1,YEAR($A795),$A795,180)</f>
        <v>-0.10489999999999999</v>
      </c>
      <c r="D795" cm="1">
        <f t="array" aca="1" ref="D795" ca="1">[1]!s_west_instnum_np($B$1,YEAR($A795),$A795,180)</f>
        <v>14</v>
      </c>
      <c r="E795" cm="1">
        <f t="array" aca="1" ref="E795" ca="1">[1]!s_west_stdnetprofit($B$1,YEAR($A795),$A795,180,1000000)</f>
        <v>53.039126000000003</v>
      </c>
      <c r="F795" cm="1">
        <f t="array" aca="1" ref="F795" ca="1">[1]!s_west_mediannetprofit($B$1,YEAR($A795),$A795,180,1000000)</f>
        <v>-85.5</v>
      </c>
      <c r="G795" cm="1">
        <f t="array" aca="1" ref="G795" ca="1">[1]!s_west_netprofit($B$1,YEAR($A795)+1,$A795,180,1000000)</f>
        <v>23.441057000000001</v>
      </c>
      <c r="H795" cm="1">
        <f t="array" aca="1" ref="H795" ca="1">[1]!s_west_eps($B$1,YEAR($A795)+1,$A795,180)</f>
        <v>2.69E-2</v>
      </c>
      <c r="I795" cm="1">
        <f t="array" aca="1" ref="I795" ca="1">[1]!s_west_instnum_np($B$1,YEAR($A795)+1,$A795,180)</f>
        <v>14</v>
      </c>
      <c r="J795" cm="1">
        <f t="array" aca="1" ref="J795" ca="1">[1]!s_west_stdnetprofit($B$1,YEAR($A795)+1,$A795,180,1000000)</f>
        <v>50.312652999999997</v>
      </c>
      <c r="K795" cm="1">
        <f t="array" aca="1" ref="K795" ca="1">[1]!s_west_mediannetprofit($B$1,YEAR($A794)+1,$A794,180,1000000)</f>
        <v>32</v>
      </c>
      <c r="L795" cm="1">
        <f t="array" aca="1" ref="L795" ca="1">[1]!s_dq_close($B$1,$A795,3)</f>
        <v>26.75</v>
      </c>
    </row>
    <row r="796" spans="1:12">
      <c r="A796" s="23">
        <f t="shared" ca="1" si="12"/>
        <v>45379</v>
      </c>
      <c r="B796" cm="1">
        <f t="array" aca="1" ref="B796" ca="1">[1]!s_west_netprofit($B$1,YEAR($A796),$A796,180,1000000)</f>
        <v>-91.397507000000004</v>
      </c>
      <c r="C796" cm="1">
        <f t="array" aca="1" ref="C796" ca="1">[1]!s_west_eps($B$1,YEAR($A796),$A796,180)</f>
        <v>-0.10489999999999999</v>
      </c>
      <c r="D796" cm="1">
        <f t="array" aca="1" ref="D796" ca="1">[1]!s_west_instnum_np($B$1,YEAR($A796),$A796,180)</f>
        <v>14</v>
      </c>
      <c r="E796" cm="1">
        <f t="array" aca="1" ref="E796" ca="1">[1]!s_west_stdnetprofit($B$1,YEAR($A796),$A796,180,1000000)</f>
        <v>53.039126000000003</v>
      </c>
      <c r="F796" cm="1">
        <f t="array" aca="1" ref="F796" ca="1">[1]!s_west_mediannetprofit($B$1,YEAR($A796),$A796,180,1000000)</f>
        <v>-85.5</v>
      </c>
      <c r="G796" cm="1">
        <f t="array" aca="1" ref="G796" ca="1">[1]!s_west_netprofit($B$1,YEAR($A796)+1,$A796,180,1000000)</f>
        <v>23.441057000000001</v>
      </c>
      <c r="H796" cm="1">
        <f t="array" aca="1" ref="H796" ca="1">[1]!s_west_eps($B$1,YEAR($A796)+1,$A796,180)</f>
        <v>2.69E-2</v>
      </c>
      <c r="I796" cm="1">
        <f t="array" aca="1" ref="I796" ca="1">[1]!s_west_instnum_np($B$1,YEAR($A796)+1,$A796,180)</f>
        <v>14</v>
      </c>
      <c r="J796" cm="1">
        <f t="array" aca="1" ref="J796" ca="1">[1]!s_west_stdnetprofit($B$1,YEAR($A796)+1,$A796,180,1000000)</f>
        <v>50.312652999999997</v>
      </c>
      <c r="K796" cm="1">
        <f t="array" aca="1" ref="K796" ca="1">[1]!s_west_mediannetprofit($B$1,YEAR($A795)+1,$A795,180,1000000)</f>
        <v>32</v>
      </c>
      <c r="L796" cm="1">
        <f t="array" aca="1" ref="L796" ca="1">[1]!s_dq_close($B$1,$A796,3)</f>
        <v>26.75</v>
      </c>
    </row>
    <row r="797" spans="1:12">
      <c r="A797" s="23">
        <f t="shared" ca="1" si="12"/>
        <v>45378</v>
      </c>
      <c r="B797" cm="1">
        <f t="array" aca="1" ref="B797" ca="1">[1]!s_west_netprofit($B$1,YEAR($A797),$A797,180,1000000)</f>
        <v>-91.403357</v>
      </c>
      <c r="C797" cm="1">
        <f t="array" aca="1" ref="C797" ca="1">[1]!s_west_eps($B$1,YEAR($A797),$A797,180)</f>
        <v>-0.10489999999999999</v>
      </c>
      <c r="D797" cm="1">
        <f t="array" aca="1" ref="D797" ca="1">[1]!s_west_instnum_np($B$1,YEAR($A797),$A797,180)</f>
        <v>14</v>
      </c>
      <c r="E797" cm="1">
        <f t="array" aca="1" ref="E797" ca="1">[1]!s_west_stdnetprofit($B$1,YEAR($A797),$A797,180,1000000)</f>
        <v>53.041981</v>
      </c>
      <c r="F797" cm="1">
        <f t="array" aca="1" ref="F797" ca="1">[1]!s_west_mediannetprofit($B$1,YEAR($A797),$A797,180,1000000)</f>
        <v>-85.5</v>
      </c>
      <c r="G797" cm="1">
        <f t="array" aca="1" ref="G797" ca="1">[1]!s_west_netprofit($B$1,YEAR($A797)+1,$A797,180,1000000)</f>
        <v>23.439857</v>
      </c>
      <c r="H797" cm="1">
        <f t="array" aca="1" ref="H797" ca="1">[1]!s_west_eps($B$1,YEAR($A797)+1,$A797,180)</f>
        <v>2.69E-2</v>
      </c>
      <c r="I797" cm="1">
        <f t="array" aca="1" ref="I797" ca="1">[1]!s_west_instnum_np($B$1,YEAR($A797)+1,$A797,180)</f>
        <v>14</v>
      </c>
      <c r="J797" cm="1">
        <f t="array" aca="1" ref="J797" ca="1">[1]!s_west_stdnetprofit($B$1,YEAR($A797)+1,$A797,180,1000000)</f>
        <v>50.313864000000002</v>
      </c>
      <c r="K797" cm="1">
        <f t="array" aca="1" ref="K797" ca="1">[1]!s_west_mediannetprofit($B$1,YEAR($A796)+1,$A796,180,1000000)</f>
        <v>32</v>
      </c>
      <c r="L797" cm="1">
        <f t="array" aca="1" ref="L797" ca="1">[1]!s_dq_close($B$1,$A797,3)</f>
        <v>26.7</v>
      </c>
    </row>
    <row r="798" spans="1:12">
      <c r="A798" s="23">
        <f t="shared" ca="1" si="12"/>
        <v>45377</v>
      </c>
      <c r="B798" cm="1">
        <f t="array" aca="1" ref="B798" ca="1">[1]!s_west_netprofit($B$1,YEAR($A798),$A798,180,1000000)</f>
        <v>-91.403357</v>
      </c>
      <c r="C798" cm="1">
        <f t="array" aca="1" ref="C798" ca="1">[1]!s_west_eps($B$1,YEAR($A798),$A798,180)</f>
        <v>-0.10489999999999999</v>
      </c>
      <c r="D798" cm="1">
        <f t="array" aca="1" ref="D798" ca="1">[1]!s_west_instnum_np($B$1,YEAR($A798),$A798,180)</f>
        <v>14</v>
      </c>
      <c r="E798" cm="1">
        <f t="array" aca="1" ref="E798" ca="1">[1]!s_west_stdnetprofit($B$1,YEAR($A798),$A798,180,1000000)</f>
        <v>53.041981</v>
      </c>
      <c r="F798" cm="1">
        <f t="array" aca="1" ref="F798" ca="1">[1]!s_west_mediannetprofit($B$1,YEAR($A798),$A798,180,1000000)</f>
        <v>-85.5</v>
      </c>
      <c r="G798" cm="1">
        <f t="array" aca="1" ref="G798" ca="1">[1]!s_west_netprofit($B$1,YEAR($A798)+1,$A798,180,1000000)</f>
        <v>23.439857</v>
      </c>
      <c r="H798" cm="1">
        <f t="array" aca="1" ref="H798" ca="1">[1]!s_west_eps($B$1,YEAR($A798)+1,$A798,180)</f>
        <v>2.69E-2</v>
      </c>
      <c r="I798" cm="1">
        <f t="array" aca="1" ref="I798" ca="1">[1]!s_west_instnum_np($B$1,YEAR($A798)+1,$A798,180)</f>
        <v>14</v>
      </c>
      <c r="J798" cm="1">
        <f t="array" aca="1" ref="J798" ca="1">[1]!s_west_stdnetprofit($B$1,YEAR($A798)+1,$A798,180,1000000)</f>
        <v>50.313864000000002</v>
      </c>
      <c r="K798" cm="1">
        <f t="array" aca="1" ref="K798" ca="1">[1]!s_west_mediannetprofit($B$1,YEAR($A797)+1,$A797,180,1000000)</f>
        <v>32</v>
      </c>
      <c r="L798" cm="1">
        <f t="array" aca="1" ref="L798" ca="1">[1]!s_dq_close($B$1,$A798,3)</f>
        <v>26.55</v>
      </c>
    </row>
    <row r="799" spans="1:12">
      <c r="A799" s="23">
        <f t="shared" ca="1" si="12"/>
        <v>45376</v>
      </c>
      <c r="B799" cm="1">
        <f t="array" aca="1" ref="B799" ca="1">[1]!s_west_netprofit($B$1,YEAR($A799),$A799,180,1000000)</f>
        <v>-89.505008000000004</v>
      </c>
      <c r="C799" cm="1">
        <f t="array" aca="1" ref="C799" ca="1">[1]!s_west_eps($B$1,YEAR($A799),$A799,180)</f>
        <v>-0.1027</v>
      </c>
      <c r="D799" cm="1">
        <f t="array" aca="1" ref="D799" ca="1">[1]!s_west_instnum_np($B$1,YEAR($A799),$A799,180)</f>
        <v>13</v>
      </c>
      <c r="E799" cm="1">
        <f t="array" aca="1" ref="E799" ca="1">[1]!s_west_stdnetprofit($B$1,YEAR($A799),$A799,180,1000000)</f>
        <v>54.710672000000002</v>
      </c>
      <c r="F799" cm="1">
        <f t="array" aca="1" ref="F799" ca="1">[1]!s_west_mediannetprofit($B$1,YEAR($A799),$A799,180,1000000)</f>
        <v>-71</v>
      </c>
      <c r="G799" cm="1">
        <f t="array" aca="1" ref="G799" ca="1">[1]!s_west_netprofit($B$1,YEAR($A799)+1,$A799,180,1000000)</f>
        <v>25.167292</v>
      </c>
      <c r="H799" cm="1">
        <f t="array" aca="1" ref="H799" ca="1">[1]!s_west_eps($B$1,YEAR($A799)+1,$A799,180)</f>
        <v>2.8899999999999999E-2</v>
      </c>
      <c r="I799" cm="1">
        <f t="array" aca="1" ref="I799" ca="1">[1]!s_west_instnum_np($B$1,YEAR($A799)+1,$A799,180)</f>
        <v>13</v>
      </c>
      <c r="J799" cm="1">
        <f t="array" aca="1" ref="J799" ca="1">[1]!s_west_stdnetprofit($B$1,YEAR($A799)+1,$A799,180,1000000)</f>
        <v>51.933756000000002</v>
      </c>
      <c r="K799" cm="1">
        <f t="array" aca="1" ref="K799" ca="1">[1]!s_west_mediannetprofit($B$1,YEAR($A798)+1,$A798,180,1000000)</f>
        <v>32</v>
      </c>
      <c r="L799" cm="1">
        <f t="array" aca="1" ref="L799" ca="1">[1]!s_dq_close($B$1,$A799,3)</f>
        <v>26.8</v>
      </c>
    </row>
    <row r="800" spans="1:12">
      <c r="A800" s="23">
        <f t="shared" ca="1" si="12"/>
        <v>45375</v>
      </c>
      <c r="B800" cm="1">
        <f t="array" aca="1" ref="B800" ca="1">[1]!s_west_netprofit($B$1,YEAR($A800),$A800,180,1000000)</f>
        <v>-89.498707999999993</v>
      </c>
      <c r="C800" cm="1">
        <f t="array" aca="1" ref="C800" ca="1">[1]!s_west_eps($B$1,YEAR($A800),$A800,180)</f>
        <v>-0.1027</v>
      </c>
      <c r="D800" cm="1">
        <f t="array" aca="1" ref="D800" ca="1">[1]!s_west_instnum_np($B$1,YEAR($A800),$A800,180)</f>
        <v>13</v>
      </c>
      <c r="E800" cm="1">
        <f t="array" aca="1" ref="E800" ca="1">[1]!s_west_stdnetprofit($B$1,YEAR($A800),$A800,180,1000000)</f>
        <v>54.707447000000002</v>
      </c>
      <c r="F800" cm="1">
        <f t="array" aca="1" ref="F800" ca="1">[1]!s_west_mediannetprofit($B$1,YEAR($A800),$A800,180,1000000)</f>
        <v>-71</v>
      </c>
      <c r="G800" cm="1">
        <f t="array" aca="1" ref="G800" ca="1">[1]!s_west_netprofit($B$1,YEAR($A800)+1,$A800,180,1000000)</f>
        <v>25.168585</v>
      </c>
      <c r="H800" cm="1">
        <f t="array" aca="1" ref="H800" ca="1">[1]!s_west_eps($B$1,YEAR($A800)+1,$A800,180)</f>
        <v>2.8899999999999999E-2</v>
      </c>
      <c r="I800" cm="1">
        <f t="array" aca="1" ref="I800" ca="1">[1]!s_west_instnum_np($B$1,YEAR($A800)+1,$A800,180)</f>
        <v>13</v>
      </c>
      <c r="J800" cm="1">
        <f t="array" aca="1" ref="J800" ca="1">[1]!s_west_stdnetprofit($B$1,YEAR($A800)+1,$A800,180,1000000)</f>
        <v>51.93244</v>
      </c>
      <c r="K800" cm="1">
        <f t="array" aca="1" ref="K800" ca="1">[1]!s_west_mediannetprofit($B$1,YEAR($A799)+1,$A799,180,1000000)</f>
        <v>34</v>
      </c>
      <c r="L800" cm="1">
        <f t="array" aca="1" ref="L800" ca="1">[1]!s_dq_close($B$1,$A800,3)</f>
        <v>26.15</v>
      </c>
    </row>
    <row r="801" spans="1:12">
      <c r="A801" s="23">
        <f t="shared" ca="1" si="12"/>
        <v>45374</v>
      </c>
      <c r="B801" cm="1">
        <f t="array" aca="1" ref="B801" ca="1">[1]!s_west_netprofit($B$1,YEAR($A801),$A801,180,1000000)</f>
        <v>-89.498707999999993</v>
      </c>
      <c r="C801" cm="1">
        <f t="array" aca="1" ref="C801" ca="1">[1]!s_west_eps($B$1,YEAR($A801),$A801,180)</f>
        <v>-0.1027</v>
      </c>
      <c r="D801" cm="1">
        <f t="array" aca="1" ref="D801" ca="1">[1]!s_west_instnum_np($B$1,YEAR($A801),$A801,180)</f>
        <v>13</v>
      </c>
      <c r="E801" cm="1">
        <f t="array" aca="1" ref="E801" ca="1">[1]!s_west_stdnetprofit($B$1,YEAR($A801),$A801,180,1000000)</f>
        <v>54.707447000000002</v>
      </c>
      <c r="F801" cm="1">
        <f t="array" aca="1" ref="F801" ca="1">[1]!s_west_mediannetprofit($B$1,YEAR($A801),$A801,180,1000000)</f>
        <v>-71</v>
      </c>
      <c r="G801" cm="1">
        <f t="array" aca="1" ref="G801" ca="1">[1]!s_west_netprofit($B$1,YEAR($A801)+1,$A801,180,1000000)</f>
        <v>25.168585</v>
      </c>
      <c r="H801" cm="1">
        <f t="array" aca="1" ref="H801" ca="1">[1]!s_west_eps($B$1,YEAR($A801)+1,$A801,180)</f>
        <v>2.8899999999999999E-2</v>
      </c>
      <c r="I801" cm="1">
        <f t="array" aca="1" ref="I801" ca="1">[1]!s_west_instnum_np($B$1,YEAR($A801)+1,$A801,180)</f>
        <v>13</v>
      </c>
      <c r="J801" cm="1">
        <f t="array" aca="1" ref="J801" ca="1">[1]!s_west_stdnetprofit($B$1,YEAR($A801)+1,$A801,180,1000000)</f>
        <v>51.93244</v>
      </c>
      <c r="K801" cm="1">
        <f t="array" aca="1" ref="K801" ca="1">[1]!s_west_mediannetprofit($B$1,YEAR($A800)+1,$A800,180,1000000)</f>
        <v>34</v>
      </c>
      <c r="L801" cm="1">
        <f t="array" aca="1" ref="L801" ca="1">[1]!s_dq_close($B$1,$A801,3)</f>
        <v>26.15</v>
      </c>
    </row>
    <row r="802" spans="1:12">
      <c r="A802" s="23">
        <f t="shared" ca="1" si="12"/>
        <v>45373</v>
      </c>
      <c r="B802" cm="1">
        <f t="array" aca="1" ref="B802" ca="1">[1]!s_west_netprofit($B$1,YEAR($A802),$A802,180,1000000)</f>
        <v>-89.498707999999993</v>
      </c>
      <c r="C802" cm="1">
        <f t="array" aca="1" ref="C802" ca="1">[1]!s_west_eps($B$1,YEAR($A802),$A802,180)</f>
        <v>-0.1027</v>
      </c>
      <c r="D802" cm="1">
        <f t="array" aca="1" ref="D802" ca="1">[1]!s_west_instnum_np($B$1,YEAR($A802),$A802,180)</f>
        <v>13</v>
      </c>
      <c r="E802" cm="1">
        <f t="array" aca="1" ref="E802" ca="1">[1]!s_west_stdnetprofit($B$1,YEAR($A802),$A802,180,1000000)</f>
        <v>54.707447000000002</v>
      </c>
      <c r="F802" cm="1">
        <f t="array" aca="1" ref="F802" ca="1">[1]!s_west_mediannetprofit($B$1,YEAR($A802),$A802,180,1000000)</f>
        <v>-71</v>
      </c>
      <c r="G802" cm="1">
        <f t="array" aca="1" ref="G802" ca="1">[1]!s_west_netprofit($B$1,YEAR($A802)+1,$A802,180,1000000)</f>
        <v>25.168585</v>
      </c>
      <c r="H802" cm="1">
        <f t="array" aca="1" ref="H802" ca="1">[1]!s_west_eps($B$1,YEAR($A802)+1,$A802,180)</f>
        <v>2.8899999999999999E-2</v>
      </c>
      <c r="I802" cm="1">
        <f t="array" aca="1" ref="I802" ca="1">[1]!s_west_instnum_np($B$1,YEAR($A802)+1,$A802,180)</f>
        <v>13</v>
      </c>
      <c r="J802" cm="1">
        <f t="array" aca="1" ref="J802" ca="1">[1]!s_west_stdnetprofit($B$1,YEAR($A802)+1,$A802,180,1000000)</f>
        <v>51.93244</v>
      </c>
      <c r="K802" cm="1">
        <f t="array" aca="1" ref="K802" ca="1">[1]!s_west_mediannetprofit($B$1,YEAR($A801)+1,$A801,180,1000000)</f>
        <v>34</v>
      </c>
      <c r="L802" cm="1">
        <f t="array" aca="1" ref="L802" ca="1">[1]!s_dq_close($B$1,$A802,3)</f>
        <v>26.15</v>
      </c>
    </row>
    <row r="803" spans="1:12">
      <c r="A803" s="23">
        <f t="shared" ca="1" si="12"/>
        <v>45372</v>
      </c>
      <c r="B803" cm="1">
        <f t="array" aca="1" ref="B803" ca="1">[1]!s_west_netprofit($B$1,YEAR($A803),$A803,180,1000000)</f>
        <v>-89.511308</v>
      </c>
      <c r="C803" cm="1">
        <f t="array" aca="1" ref="C803" ca="1">[1]!s_west_eps($B$1,YEAR($A803),$A803,180)</f>
        <v>-0.1027</v>
      </c>
      <c r="D803" cm="1">
        <f t="array" aca="1" ref="D803" ca="1">[1]!s_west_instnum_np($B$1,YEAR($A803),$A803,180)</f>
        <v>13</v>
      </c>
      <c r="E803" cm="1">
        <f t="array" aca="1" ref="E803" ca="1">[1]!s_west_stdnetprofit($B$1,YEAR($A803),$A803,180,1000000)</f>
        <v>54.713906999999999</v>
      </c>
      <c r="F803" cm="1">
        <f t="array" aca="1" ref="F803" ca="1">[1]!s_west_mediannetprofit($B$1,YEAR($A803),$A803,180,1000000)</f>
        <v>-71</v>
      </c>
      <c r="G803" cm="1">
        <f t="array" aca="1" ref="G803" ca="1">[1]!s_west_netprofit($B$1,YEAR($A803)+1,$A803,180,1000000)</f>
        <v>25.166</v>
      </c>
      <c r="H803" cm="1">
        <f t="array" aca="1" ref="H803" ca="1">[1]!s_west_eps($B$1,YEAR($A803)+1,$A803,180)</f>
        <v>2.8899999999999999E-2</v>
      </c>
      <c r="I803" cm="1">
        <f t="array" aca="1" ref="I803" ca="1">[1]!s_west_instnum_np($B$1,YEAR($A803)+1,$A803,180)</f>
        <v>13</v>
      </c>
      <c r="J803" cm="1">
        <f t="array" aca="1" ref="J803" ca="1">[1]!s_west_stdnetprofit($B$1,YEAR($A803)+1,$A803,180,1000000)</f>
        <v>51.935073000000003</v>
      </c>
      <c r="K803" cm="1">
        <f t="array" aca="1" ref="K803" ca="1">[1]!s_west_mediannetprofit($B$1,YEAR($A802)+1,$A802,180,1000000)</f>
        <v>34</v>
      </c>
      <c r="L803" cm="1">
        <f t="array" aca="1" ref="L803" ca="1">[1]!s_dq_close($B$1,$A803,3)</f>
        <v>27.4</v>
      </c>
    </row>
    <row r="804" spans="1:12">
      <c r="A804" s="23">
        <f t="shared" ca="1" si="12"/>
        <v>45371</v>
      </c>
      <c r="B804" cm="1">
        <f t="array" aca="1" ref="B804" ca="1">[1]!s_west_netprofit($B$1,YEAR($A804),$A804,180,1000000)</f>
        <v>-89.505008000000004</v>
      </c>
      <c r="C804" cm="1">
        <f t="array" aca="1" ref="C804" ca="1">[1]!s_west_eps($B$1,YEAR($A804),$A804,180)</f>
        <v>-0.1027</v>
      </c>
      <c r="D804" cm="1">
        <f t="array" aca="1" ref="D804" ca="1">[1]!s_west_instnum_np($B$1,YEAR($A804),$A804,180)</f>
        <v>13</v>
      </c>
      <c r="E804" cm="1">
        <f t="array" aca="1" ref="E804" ca="1">[1]!s_west_stdnetprofit($B$1,YEAR($A804),$A804,180,1000000)</f>
        <v>54.710672000000002</v>
      </c>
      <c r="F804" cm="1">
        <f t="array" aca="1" ref="F804" ca="1">[1]!s_west_mediannetprofit($B$1,YEAR($A804),$A804,180,1000000)</f>
        <v>-71</v>
      </c>
      <c r="G804" cm="1">
        <f t="array" aca="1" ref="G804" ca="1">[1]!s_west_netprofit($B$1,YEAR($A804)+1,$A804,180,1000000)</f>
        <v>25.167292</v>
      </c>
      <c r="H804" cm="1">
        <f t="array" aca="1" ref="H804" ca="1">[1]!s_west_eps($B$1,YEAR($A804)+1,$A804,180)</f>
        <v>2.8899999999999999E-2</v>
      </c>
      <c r="I804" cm="1">
        <f t="array" aca="1" ref="I804" ca="1">[1]!s_west_instnum_np($B$1,YEAR($A804)+1,$A804,180)</f>
        <v>13</v>
      </c>
      <c r="J804" cm="1">
        <f t="array" aca="1" ref="J804" ca="1">[1]!s_west_stdnetprofit($B$1,YEAR($A804)+1,$A804,180,1000000)</f>
        <v>51.933756000000002</v>
      </c>
      <c r="K804" cm="1">
        <f t="array" aca="1" ref="K804" ca="1">[1]!s_west_mediannetprofit($B$1,YEAR($A803)+1,$A803,180,1000000)</f>
        <v>34</v>
      </c>
      <c r="L804" cm="1">
        <f t="array" aca="1" ref="L804" ca="1">[1]!s_dq_close($B$1,$A804,3)</f>
        <v>27.55</v>
      </c>
    </row>
    <row r="805" spans="1:12">
      <c r="A805" s="23">
        <f t="shared" ca="1" si="12"/>
        <v>45370</v>
      </c>
      <c r="B805" cm="1">
        <f t="array" aca="1" ref="B805" ca="1">[1]!s_west_netprofit($B$1,YEAR($A805),$A805,180,1000000)</f>
        <v>-89.505008000000004</v>
      </c>
      <c r="C805" cm="1">
        <f t="array" aca="1" ref="C805" ca="1">[1]!s_west_eps($B$1,YEAR($A805),$A805,180)</f>
        <v>-0.1027</v>
      </c>
      <c r="D805" cm="1">
        <f t="array" aca="1" ref="D805" ca="1">[1]!s_west_instnum_np($B$1,YEAR($A805),$A805,180)</f>
        <v>13</v>
      </c>
      <c r="E805" cm="1">
        <f t="array" aca="1" ref="E805" ca="1">[1]!s_west_stdnetprofit($B$1,YEAR($A805),$A805,180,1000000)</f>
        <v>54.710672000000002</v>
      </c>
      <c r="F805" cm="1">
        <f t="array" aca="1" ref="F805" ca="1">[1]!s_west_mediannetprofit($B$1,YEAR($A805),$A805,180,1000000)</f>
        <v>-71</v>
      </c>
      <c r="G805" cm="1">
        <f t="array" aca="1" ref="G805" ca="1">[1]!s_west_netprofit($B$1,YEAR($A805)+1,$A805,180,1000000)</f>
        <v>25.167292</v>
      </c>
      <c r="H805" cm="1">
        <f t="array" aca="1" ref="H805" ca="1">[1]!s_west_eps($B$1,YEAR($A805)+1,$A805,180)</f>
        <v>2.8899999999999999E-2</v>
      </c>
      <c r="I805" cm="1">
        <f t="array" aca="1" ref="I805" ca="1">[1]!s_west_instnum_np($B$1,YEAR($A805)+1,$A805,180)</f>
        <v>13</v>
      </c>
      <c r="J805" cm="1">
        <f t="array" aca="1" ref="J805" ca="1">[1]!s_west_stdnetprofit($B$1,YEAR($A805)+1,$A805,180,1000000)</f>
        <v>51.933756000000002</v>
      </c>
      <c r="K805" cm="1">
        <f t="array" aca="1" ref="K805" ca="1">[1]!s_west_mediannetprofit($B$1,YEAR($A804)+1,$A804,180,1000000)</f>
        <v>34</v>
      </c>
      <c r="L805" cm="1">
        <f t="array" aca="1" ref="L805" ca="1">[1]!s_dq_close($B$1,$A805,3)</f>
        <v>27.45</v>
      </c>
    </row>
    <row r="806" spans="1:12">
      <c r="A806" s="23">
        <f t="shared" ca="1" si="12"/>
        <v>45369</v>
      </c>
      <c r="B806" cm="1">
        <f t="array" aca="1" ref="B806" ca="1">[1]!s_west_netprofit($B$1,YEAR($A806),$A806,180,1000000)</f>
        <v>-89.511308</v>
      </c>
      <c r="C806" cm="1">
        <f t="array" aca="1" ref="C806" ca="1">[1]!s_west_eps($B$1,YEAR($A806),$A806,180)</f>
        <v>-0.1027</v>
      </c>
      <c r="D806" cm="1">
        <f t="array" aca="1" ref="D806" ca="1">[1]!s_west_instnum_np($B$1,YEAR($A806),$A806,180)</f>
        <v>13</v>
      </c>
      <c r="E806" cm="1">
        <f t="array" aca="1" ref="E806" ca="1">[1]!s_west_stdnetprofit($B$1,YEAR($A806),$A806,180,1000000)</f>
        <v>54.713906999999999</v>
      </c>
      <c r="F806" cm="1">
        <f t="array" aca="1" ref="F806" ca="1">[1]!s_west_mediannetprofit($B$1,YEAR($A806),$A806,180,1000000)</f>
        <v>-71</v>
      </c>
      <c r="G806" cm="1">
        <f t="array" aca="1" ref="G806" ca="1">[1]!s_west_netprofit($B$1,YEAR($A806)+1,$A806,180,1000000)</f>
        <v>25.166</v>
      </c>
      <c r="H806" cm="1">
        <f t="array" aca="1" ref="H806" ca="1">[1]!s_west_eps($B$1,YEAR($A806)+1,$A806,180)</f>
        <v>2.8899999999999999E-2</v>
      </c>
      <c r="I806" cm="1">
        <f t="array" aca="1" ref="I806" ca="1">[1]!s_west_instnum_np($B$1,YEAR($A806)+1,$A806,180)</f>
        <v>13</v>
      </c>
      <c r="J806" cm="1">
        <f t="array" aca="1" ref="J806" ca="1">[1]!s_west_stdnetprofit($B$1,YEAR($A806)+1,$A806,180,1000000)</f>
        <v>51.935073000000003</v>
      </c>
      <c r="K806" cm="1">
        <f t="array" aca="1" ref="K806" ca="1">[1]!s_west_mediannetprofit($B$1,YEAR($A805)+1,$A805,180,1000000)</f>
        <v>34</v>
      </c>
      <c r="L806" cm="1">
        <f t="array" aca="1" ref="L806" ca="1">[1]!s_dq_close($B$1,$A806,3)</f>
        <v>27.95</v>
      </c>
    </row>
    <row r="807" spans="1:12">
      <c r="A807" s="23">
        <f t="shared" ca="1" si="12"/>
        <v>45368</v>
      </c>
      <c r="B807" cm="1">
        <f t="array" aca="1" ref="B807" ca="1">[1]!s_west_netprofit($B$1,YEAR($A807),$A807,180,1000000)</f>
        <v>-89.505008000000004</v>
      </c>
      <c r="C807" cm="1">
        <f t="array" aca="1" ref="C807" ca="1">[1]!s_west_eps($B$1,YEAR($A807),$A807,180)</f>
        <v>-0.1027</v>
      </c>
      <c r="D807" cm="1">
        <f t="array" aca="1" ref="D807" ca="1">[1]!s_west_instnum_np($B$1,YEAR($A807),$A807,180)</f>
        <v>13</v>
      </c>
      <c r="E807" cm="1">
        <f t="array" aca="1" ref="E807" ca="1">[1]!s_west_stdnetprofit($B$1,YEAR($A807),$A807,180,1000000)</f>
        <v>54.710672000000002</v>
      </c>
      <c r="F807" cm="1">
        <f t="array" aca="1" ref="F807" ca="1">[1]!s_west_mediannetprofit($B$1,YEAR($A807),$A807,180,1000000)</f>
        <v>-71</v>
      </c>
      <c r="G807" cm="1">
        <f t="array" aca="1" ref="G807" ca="1">[1]!s_west_netprofit($B$1,YEAR($A807)+1,$A807,180,1000000)</f>
        <v>25.167292</v>
      </c>
      <c r="H807" cm="1">
        <f t="array" aca="1" ref="H807" ca="1">[1]!s_west_eps($B$1,YEAR($A807)+1,$A807,180)</f>
        <v>2.8899999999999999E-2</v>
      </c>
      <c r="I807" cm="1">
        <f t="array" aca="1" ref="I807" ca="1">[1]!s_west_instnum_np($B$1,YEAR($A807)+1,$A807,180)</f>
        <v>13</v>
      </c>
      <c r="J807" cm="1">
        <f t="array" aca="1" ref="J807" ca="1">[1]!s_west_stdnetprofit($B$1,YEAR($A807)+1,$A807,180,1000000)</f>
        <v>51.933756000000002</v>
      </c>
      <c r="K807" cm="1">
        <f t="array" aca="1" ref="K807" ca="1">[1]!s_west_mediannetprofit($B$1,YEAR($A806)+1,$A806,180,1000000)</f>
        <v>34</v>
      </c>
      <c r="L807" cm="1">
        <f t="array" aca="1" ref="L807" ca="1">[1]!s_dq_close($B$1,$A807,3)</f>
        <v>28.1</v>
      </c>
    </row>
    <row r="808" spans="1:12">
      <c r="A808" s="23">
        <f t="shared" ca="1" si="12"/>
        <v>45367</v>
      </c>
      <c r="B808" cm="1">
        <f t="array" aca="1" ref="B808" ca="1">[1]!s_west_netprofit($B$1,YEAR($A808),$A808,180,1000000)</f>
        <v>-89.505008000000004</v>
      </c>
      <c r="C808" cm="1">
        <f t="array" aca="1" ref="C808" ca="1">[1]!s_west_eps($B$1,YEAR($A808),$A808,180)</f>
        <v>-0.1027</v>
      </c>
      <c r="D808" cm="1">
        <f t="array" aca="1" ref="D808" ca="1">[1]!s_west_instnum_np($B$1,YEAR($A808),$A808,180)</f>
        <v>13</v>
      </c>
      <c r="E808" cm="1">
        <f t="array" aca="1" ref="E808" ca="1">[1]!s_west_stdnetprofit($B$1,YEAR($A808),$A808,180,1000000)</f>
        <v>54.710672000000002</v>
      </c>
      <c r="F808" cm="1">
        <f t="array" aca="1" ref="F808" ca="1">[1]!s_west_mediannetprofit($B$1,YEAR($A808),$A808,180,1000000)</f>
        <v>-71</v>
      </c>
      <c r="G808" cm="1">
        <f t="array" aca="1" ref="G808" ca="1">[1]!s_west_netprofit($B$1,YEAR($A808)+1,$A808,180,1000000)</f>
        <v>25.167292</v>
      </c>
      <c r="H808" cm="1">
        <f t="array" aca="1" ref="H808" ca="1">[1]!s_west_eps($B$1,YEAR($A808)+1,$A808,180)</f>
        <v>2.8899999999999999E-2</v>
      </c>
      <c r="I808" cm="1">
        <f t="array" aca="1" ref="I808" ca="1">[1]!s_west_instnum_np($B$1,YEAR($A808)+1,$A808,180)</f>
        <v>13</v>
      </c>
      <c r="J808" cm="1">
        <f t="array" aca="1" ref="J808" ca="1">[1]!s_west_stdnetprofit($B$1,YEAR($A808)+1,$A808,180,1000000)</f>
        <v>51.933756000000002</v>
      </c>
      <c r="K808" cm="1">
        <f t="array" aca="1" ref="K808" ca="1">[1]!s_west_mediannetprofit($B$1,YEAR($A807)+1,$A807,180,1000000)</f>
        <v>34</v>
      </c>
      <c r="L808" cm="1">
        <f t="array" aca="1" ref="L808" ca="1">[1]!s_dq_close($B$1,$A808,3)</f>
        <v>28.1</v>
      </c>
    </row>
    <row r="809" spans="1:12">
      <c r="A809" s="23">
        <f t="shared" ca="1" si="12"/>
        <v>45366</v>
      </c>
      <c r="B809" cm="1">
        <f t="array" aca="1" ref="B809" ca="1">[1]!s_west_netprofit($B$1,YEAR($A809),$A809,180,1000000)</f>
        <v>-89.505008000000004</v>
      </c>
      <c r="C809" cm="1">
        <f t="array" aca="1" ref="C809" ca="1">[1]!s_west_eps($B$1,YEAR($A809),$A809,180)</f>
        <v>-0.1027</v>
      </c>
      <c r="D809" cm="1">
        <f t="array" aca="1" ref="D809" ca="1">[1]!s_west_instnum_np($B$1,YEAR($A809),$A809,180)</f>
        <v>13</v>
      </c>
      <c r="E809" cm="1">
        <f t="array" aca="1" ref="E809" ca="1">[1]!s_west_stdnetprofit($B$1,YEAR($A809),$A809,180,1000000)</f>
        <v>54.710672000000002</v>
      </c>
      <c r="F809" cm="1">
        <f t="array" aca="1" ref="F809" ca="1">[1]!s_west_mediannetprofit($B$1,YEAR($A809),$A809,180,1000000)</f>
        <v>-71</v>
      </c>
      <c r="G809" cm="1">
        <f t="array" aca="1" ref="G809" ca="1">[1]!s_west_netprofit($B$1,YEAR($A809)+1,$A809,180,1000000)</f>
        <v>25.167292</v>
      </c>
      <c r="H809" cm="1">
        <f t="array" aca="1" ref="H809" ca="1">[1]!s_west_eps($B$1,YEAR($A809)+1,$A809,180)</f>
        <v>2.8899999999999999E-2</v>
      </c>
      <c r="I809" cm="1">
        <f t="array" aca="1" ref="I809" ca="1">[1]!s_west_instnum_np($B$1,YEAR($A809)+1,$A809,180)</f>
        <v>13</v>
      </c>
      <c r="J809" cm="1">
        <f t="array" aca="1" ref="J809" ca="1">[1]!s_west_stdnetprofit($B$1,YEAR($A809)+1,$A809,180,1000000)</f>
        <v>51.933756000000002</v>
      </c>
      <c r="K809" cm="1">
        <f t="array" aca="1" ref="K809" ca="1">[1]!s_west_mediannetprofit($B$1,YEAR($A808)+1,$A808,180,1000000)</f>
        <v>34</v>
      </c>
      <c r="L809" cm="1">
        <f t="array" aca="1" ref="L809" ca="1">[1]!s_dq_close($B$1,$A809,3)</f>
        <v>28.1</v>
      </c>
    </row>
    <row r="810" spans="1:12">
      <c r="A810" s="23">
        <f t="shared" ca="1" si="12"/>
        <v>45365</v>
      </c>
      <c r="B810" cm="1">
        <f t="array" aca="1" ref="B810" ca="1">[1]!s_west_netprofit($B$1,YEAR($A810),$A810,180,1000000)</f>
        <v>-89.505008000000004</v>
      </c>
      <c r="C810" cm="1">
        <f t="array" aca="1" ref="C810" ca="1">[1]!s_west_eps($B$1,YEAR($A810),$A810,180)</f>
        <v>-0.1027</v>
      </c>
      <c r="D810" cm="1">
        <f t="array" aca="1" ref="D810" ca="1">[1]!s_west_instnum_np($B$1,YEAR($A810),$A810,180)</f>
        <v>13</v>
      </c>
      <c r="E810" cm="1">
        <f t="array" aca="1" ref="E810" ca="1">[1]!s_west_stdnetprofit($B$1,YEAR($A810),$A810,180,1000000)</f>
        <v>54.710672000000002</v>
      </c>
      <c r="F810" cm="1">
        <f t="array" aca="1" ref="F810" ca="1">[1]!s_west_mediannetprofit($B$1,YEAR($A810),$A810,180,1000000)</f>
        <v>-71</v>
      </c>
      <c r="G810" cm="1">
        <f t="array" aca="1" ref="G810" ca="1">[1]!s_west_netprofit($B$1,YEAR($A810)+1,$A810,180,1000000)</f>
        <v>25.167292</v>
      </c>
      <c r="H810" cm="1">
        <f t="array" aca="1" ref="H810" ca="1">[1]!s_west_eps($B$1,YEAR($A810)+1,$A810,180)</f>
        <v>2.8899999999999999E-2</v>
      </c>
      <c r="I810" cm="1">
        <f t="array" aca="1" ref="I810" ca="1">[1]!s_west_instnum_np($B$1,YEAR($A810)+1,$A810,180)</f>
        <v>13</v>
      </c>
      <c r="J810" cm="1">
        <f t="array" aca="1" ref="J810" ca="1">[1]!s_west_stdnetprofit($B$1,YEAR($A810)+1,$A810,180,1000000)</f>
        <v>51.933756000000002</v>
      </c>
      <c r="K810" cm="1">
        <f t="array" aca="1" ref="K810" ca="1">[1]!s_west_mediannetprofit($B$1,YEAR($A809)+1,$A809,180,1000000)</f>
        <v>34</v>
      </c>
      <c r="L810" cm="1">
        <f t="array" aca="1" ref="L810" ca="1">[1]!s_dq_close($B$1,$A810,3)</f>
        <v>27.35</v>
      </c>
    </row>
    <row r="811" spans="1:12">
      <c r="A811" s="23">
        <f t="shared" ca="1" si="12"/>
        <v>45364</v>
      </c>
      <c r="B811" cm="1">
        <f t="array" aca="1" ref="B811" ca="1">[1]!s_west_netprofit($B$1,YEAR($A811),$A811,180,1000000)</f>
        <v>-89.511308</v>
      </c>
      <c r="C811" cm="1">
        <f t="array" aca="1" ref="C811" ca="1">[1]!s_west_eps($B$1,YEAR($A811),$A811,180)</f>
        <v>-0.1027</v>
      </c>
      <c r="D811" cm="1">
        <f t="array" aca="1" ref="D811" ca="1">[1]!s_west_instnum_np($B$1,YEAR($A811),$A811,180)</f>
        <v>13</v>
      </c>
      <c r="E811" cm="1">
        <f t="array" aca="1" ref="E811" ca="1">[1]!s_west_stdnetprofit($B$1,YEAR($A811),$A811,180,1000000)</f>
        <v>54.713906999999999</v>
      </c>
      <c r="F811" cm="1">
        <f t="array" aca="1" ref="F811" ca="1">[1]!s_west_mediannetprofit($B$1,YEAR($A811),$A811,180,1000000)</f>
        <v>-71</v>
      </c>
      <c r="G811" cm="1">
        <f t="array" aca="1" ref="G811" ca="1">[1]!s_west_netprofit($B$1,YEAR($A811)+1,$A811,180,1000000)</f>
        <v>25.166</v>
      </c>
      <c r="H811" cm="1">
        <f t="array" aca="1" ref="H811" ca="1">[1]!s_west_eps($B$1,YEAR($A811)+1,$A811,180)</f>
        <v>2.8899999999999999E-2</v>
      </c>
      <c r="I811" cm="1">
        <f t="array" aca="1" ref="I811" ca="1">[1]!s_west_instnum_np($B$1,YEAR($A811)+1,$A811,180)</f>
        <v>13</v>
      </c>
      <c r="J811" cm="1">
        <f t="array" aca="1" ref="J811" ca="1">[1]!s_west_stdnetprofit($B$1,YEAR($A811)+1,$A811,180,1000000)</f>
        <v>51.935073000000003</v>
      </c>
      <c r="K811" cm="1">
        <f t="array" aca="1" ref="K811" ca="1">[1]!s_west_mediannetprofit($B$1,YEAR($A810)+1,$A810,180,1000000)</f>
        <v>34</v>
      </c>
      <c r="L811" cm="1">
        <f t="array" aca="1" ref="L811" ca="1">[1]!s_dq_close($B$1,$A811,3)</f>
        <v>28.35</v>
      </c>
    </row>
    <row r="812" spans="1:12">
      <c r="A812" s="23">
        <f t="shared" ca="1" si="12"/>
        <v>45363</v>
      </c>
      <c r="B812" cm="1">
        <f t="array" aca="1" ref="B812" ca="1">[1]!s_west_netprofit($B$1,YEAR($A812),$A812,180,1000000)</f>
        <v>-89.505008000000004</v>
      </c>
      <c r="C812" cm="1">
        <f t="array" aca="1" ref="C812" ca="1">[1]!s_west_eps($B$1,YEAR($A812),$A812,180)</f>
        <v>-0.1027</v>
      </c>
      <c r="D812" cm="1">
        <f t="array" aca="1" ref="D812" ca="1">[1]!s_west_instnum_np($B$1,YEAR($A812),$A812,180)</f>
        <v>13</v>
      </c>
      <c r="E812" cm="1">
        <f t="array" aca="1" ref="E812" ca="1">[1]!s_west_stdnetprofit($B$1,YEAR($A812),$A812,180,1000000)</f>
        <v>54.710672000000002</v>
      </c>
      <c r="F812" cm="1">
        <f t="array" aca="1" ref="F812" ca="1">[1]!s_west_mediannetprofit($B$1,YEAR($A812),$A812,180,1000000)</f>
        <v>-71</v>
      </c>
      <c r="G812" cm="1">
        <f t="array" aca="1" ref="G812" ca="1">[1]!s_west_netprofit($B$1,YEAR($A812)+1,$A812,180,1000000)</f>
        <v>25.167292</v>
      </c>
      <c r="H812" cm="1">
        <f t="array" aca="1" ref="H812" ca="1">[1]!s_west_eps($B$1,YEAR($A812)+1,$A812,180)</f>
        <v>2.8899999999999999E-2</v>
      </c>
      <c r="I812" cm="1">
        <f t="array" aca="1" ref="I812" ca="1">[1]!s_west_instnum_np($B$1,YEAR($A812)+1,$A812,180)</f>
        <v>13</v>
      </c>
      <c r="J812" cm="1">
        <f t="array" aca="1" ref="J812" ca="1">[1]!s_west_stdnetprofit($B$1,YEAR($A812)+1,$A812,180,1000000)</f>
        <v>51.933756000000002</v>
      </c>
      <c r="K812" cm="1">
        <f t="array" aca="1" ref="K812" ca="1">[1]!s_west_mediannetprofit($B$1,YEAR($A811)+1,$A811,180,1000000)</f>
        <v>34</v>
      </c>
      <c r="L812" cm="1">
        <f t="array" aca="1" ref="L812" ca="1">[1]!s_dq_close($B$1,$A812,3)</f>
        <v>25.4</v>
      </c>
    </row>
    <row r="813" spans="1:12">
      <c r="A813" s="23">
        <f t="shared" ca="1" si="12"/>
        <v>45362</v>
      </c>
      <c r="B813" cm="1">
        <f t="array" aca="1" ref="B813" ca="1">[1]!s_west_netprofit($B$1,YEAR($A813),$A813,180,1000000)</f>
        <v>-89.505008000000004</v>
      </c>
      <c r="C813" cm="1">
        <f t="array" aca="1" ref="C813" ca="1">[1]!s_west_eps($B$1,YEAR($A813),$A813,180)</f>
        <v>-0.1027</v>
      </c>
      <c r="D813" cm="1">
        <f t="array" aca="1" ref="D813" ca="1">[1]!s_west_instnum_np($B$1,YEAR($A813),$A813,180)</f>
        <v>13</v>
      </c>
      <c r="E813" cm="1">
        <f t="array" aca="1" ref="E813" ca="1">[1]!s_west_stdnetprofit($B$1,YEAR($A813),$A813,180,1000000)</f>
        <v>54.710672000000002</v>
      </c>
      <c r="F813" cm="1">
        <f t="array" aca="1" ref="F813" ca="1">[1]!s_west_mediannetprofit($B$1,YEAR($A813),$A813,180,1000000)</f>
        <v>-71</v>
      </c>
      <c r="G813" cm="1">
        <f t="array" aca="1" ref="G813" ca="1">[1]!s_west_netprofit($B$1,YEAR($A813)+1,$A813,180,1000000)</f>
        <v>25.167292</v>
      </c>
      <c r="H813" cm="1">
        <f t="array" aca="1" ref="H813" ca="1">[1]!s_west_eps($B$1,YEAR($A813)+1,$A813,180)</f>
        <v>2.8899999999999999E-2</v>
      </c>
      <c r="I813" cm="1">
        <f t="array" aca="1" ref="I813" ca="1">[1]!s_west_instnum_np($B$1,YEAR($A813)+1,$A813,180)</f>
        <v>13</v>
      </c>
      <c r="J813" cm="1">
        <f t="array" aca="1" ref="J813" ca="1">[1]!s_west_stdnetprofit($B$1,YEAR($A813)+1,$A813,180,1000000)</f>
        <v>51.933756000000002</v>
      </c>
      <c r="K813" cm="1">
        <f t="array" aca="1" ref="K813" ca="1">[1]!s_west_mediannetprofit($B$1,YEAR($A812)+1,$A812,180,1000000)</f>
        <v>34</v>
      </c>
      <c r="L813" cm="1">
        <f t="array" aca="1" ref="L813" ca="1">[1]!s_dq_close($B$1,$A813,3)</f>
        <v>23.7</v>
      </c>
    </row>
    <row r="814" spans="1:12">
      <c r="A814" s="23">
        <f t="shared" ca="1" si="12"/>
        <v>45361</v>
      </c>
      <c r="B814" cm="1">
        <f t="array" aca="1" ref="B814" ca="1">[1]!s_west_netprofit($B$1,YEAR($A814),$A814,180,1000000)</f>
        <v>-89.505008000000004</v>
      </c>
      <c r="C814" cm="1">
        <f t="array" aca="1" ref="C814" ca="1">[1]!s_west_eps($B$1,YEAR($A814),$A814,180)</f>
        <v>-0.1027</v>
      </c>
      <c r="D814" cm="1">
        <f t="array" aca="1" ref="D814" ca="1">[1]!s_west_instnum_np($B$1,YEAR($A814),$A814,180)</f>
        <v>13</v>
      </c>
      <c r="E814" cm="1">
        <f t="array" aca="1" ref="E814" ca="1">[1]!s_west_stdnetprofit($B$1,YEAR($A814),$A814,180,1000000)</f>
        <v>54.710672000000002</v>
      </c>
      <c r="F814" cm="1">
        <f t="array" aca="1" ref="F814" ca="1">[1]!s_west_mediannetprofit($B$1,YEAR($A814),$A814,180,1000000)</f>
        <v>-71</v>
      </c>
      <c r="G814" cm="1">
        <f t="array" aca="1" ref="G814" ca="1">[1]!s_west_netprofit($B$1,YEAR($A814)+1,$A814,180,1000000)</f>
        <v>25.167292</v>
      </c>
      <c r="H814" cm="1">
        <f t="array" aca="1" ref="H814" ca="1">[1]!s_west_eps($B$1,YEAR($A814)+1,$A814,180)</f>
        <v>2.8899999999999999E-2</v>
      </c>
      <c r="I814" cm="1">
        <f t="array" aca="1" ref="I814" ca="1">[1]!s_west_instnum_np($B$1,YEAR($A814)+1,$A814,180)</f>
        <v>13</v>
      </c>
      <c r="J814" cm="1">
        <f t="array" aca="1" ref="J814" ca="1">[1]!s_west_stdnetprofit($B$1,YEAR($A814)+1,$A814,180,1000000)</f>
        <v>51.933756000000002</v>
      </c>
      <c r="K814" cm="1">
        <f t="array" aca="1" ref="K814" ca="1">[1]!s_west_mediannetprofit($B$1,YEAR($A813)+1,$A813,180,1000000)</f>
        <v>34</v>
      </c>
      <c r="L814" cm="1">
        <f t="array" aca="1" ref="L814" ca="1">[1]!s_dq_close($B$1,$A814,3)</f>
        <v>23.65</v>
      </c>
    </row>
    <row r="815" spans="1:12">
      <c r="A815" s="23">
        <f t="shared" ca="1" si="12"/>
        <v>45360</v>
      </c>
      <c r="B815" cm="1">
        <f t="array" aca="1" ref="B815" ca="1">[1]!s_west_netprofit($B$1,YEAR($A815),$A815,180,1000000)</f>
        <v>-89.505008000000004</v>
      </c>
      <c r="C815" cm="1">
        <f t="array" aca="1" ref="C815" ca="1">[1]!s_west_eps($B$1,YEAR($A815),$A815,180)</f>
        <v>-0.1027</v>
      </c>
      <c r="D815" cm="1">
        <f t="array" aca="1" ref="D815" ca="1">[1]!s_west_instnum_np($B$1,YEAR($A815),$A815,180)</f>
        <v>13</v>
      </c>
      <c r="E815" cm="1">
        <f t="array" aca="1" ref="E815" ca="1">[1]!s_west_stdnetprofit($B$1,YEAR($A815),$A815,180,1000000)</f>
        <v>54.710672000000002</v>
      </c>
      <c r="F815" cm="1">
        <f t="array" aca="1" ref="F815" ca="1">[1]!s_west_mediannetprofit($B$1,YEAR($A815),$A815,180,1000000)</f>
        <v>-71</v>
      </c>
      <c r="G815" cm="1">
        <f t="array" aca="1" ref="G815" ca="1">[1]!s_west_netprofit($B$1,YEAR($A815)+1,$A815,180,1000000)</f>
        <v>25.167292</v>
      </c>
      <c r="H815" cm="1">
        <f t="array" aca="1" ref="H815" ca="1">[1]!s_west_eps($B$1,YEAR($A815)+1,$A815,180)</f>
        <v>2.8899999999999999E-2</v>
      </c>
      <c r="I815" cm="1">
        <f t="array" aca="1" ref="I815" ca="1">[1]!s_west_instnum_np($B$1,YEAR($A815)+1,$A815,180)</f>
        <v>13</v>
      </c>
      <c r="J815" cm="1">
        <f t="array" aca="1" ref="J815" ca="1">[1]!s_west_stdnetprofit($B$1,YEAR($A815)+1,$A815,180,1000000)</f>
        <v>51.933756000000002</v>
      </c>
      <c r="K815" cm="1">
        <f t="array" aca="1" ref="K815" ca="1">[1]!s_west_mediannetprofit($B$1,YEAR($A814)+1,$A814,180,1000000)</f>
        <v>34</v>
      </c>
      <c r="L815" cm="1">
        <f t="array" aca="1" ref="L815" ca="1">[1]!s_dq_close($B$1,$A815,3)</f>
        <v>23.65</v>
      </c>
    </row>
    <row r="816" spans="1:12">
      <c r="A816" s="23">
        <f t="shared" ca="1" si="12"/>
        <v>45359</v>
      </c>
      <c r="B816" cm="1">
        <f t="array" aca="1" ref="B816" ca="1">[1]!s_west_netprofit($B$1,YEAR($A816),$A816,180,1000000)</f>
        <v>-89.505008000000004</v>
      </c>
      <c r="C816" cm="1">
        <f t="array" aca="1" ref="C816" ca="1">[1]!s_west_eps($B$1,YEAR($A816),$A816,180)</f>
        <v>-0.1027</v>
      </c>
      <c r="D816" cm="1">
        <f t="array" aca="1" ref="D816" ca="1">[1]!s_west_instnum_np($B$1,YEAR($A816),$A816,180)</f>
        <v>13</v>
      </c>
      <c r="E816" cm="1">
        <f t="array" aca="1" ref="E816" ca="1">[1]!s_west_stdnetprofit($B$1,YEAR($A816),$A816,180,1000000)</f>
        <v>54.710672000000002</v>
      </c>
      <c r="F816" cm="1">
        <f t="array" aca="1" ref="F816" ca="1">[1]!s_west_mediannetprofit($B$1,YEAR($A816),$A816,180,1000000)</f>
        <v>-71</v>
      </c>
      <c r="G816" cm="1">
        <f t="array" aca="1" ref="G816" ca="1">[1]!s_west_netprofit($B$1,YEAR($A816)+1,$A816,180,1000000)</f>
        <v>25.167292</v>
      </c>
      <c r="H816" cm="1">
        <f t="array" aca="1" ref="H816" ca="1">[1]!s_west_eps($B$1,YEAR($A816)+1,$A816,180)</f>
        <v>2.8899999999999999E-2</v>
      </c>
      <c r="I816" cm="1">
        <f t="array" aca="1" ref="I816" ca="1">[1]!s_west_instnum_np($B$1,YEAR($A816)+1,$A816,180)</f>
        <v>13</v>
      </c>
      <c r="J816" cm="1">
        <f t="array" aca="1" ref="J816" ca="1">[1]!s_west_stdnetprofit($B$1,YEAR($A816)+1,$A816,180,1000000)</f>
        <v>51.933756000000002</v>
      </c>
      <c r="K816" cm="1">
        <f t="array" aca="1" ref="K816" ca="1">[1]!s_west_mediannetprofit($B$1,YEAR($A815)+1,$A815,180,1000000)</f>
        <v>34</v>
      </c>
      <c r="L816" cm="1">
        <f t="array" aca="1" ref="L816" ca="1">[1]!s_dq_close($B$1,$A816,3)</f>
        <v>23.65</v>
      </c>
    </row>
    <row r="817" spans="1:12">
      <c r="A817" s="23">
        <f t="shared" ca="1" si="12"/>
        <v>45358</v>
      </c>
      <c r="B817" cm="1">
        <f t="array" aca="1" ref="B817" ca="1">[1]!s_west_netprofit($B$1,YEAR($A817),$A817,180,1000000)</f>
        <v>-89.498707999999993</v>
      </c>
      <c r="C817" cm="1">
        <f t="array" aca="1" ref="C817" ca="1">[1]!s_west_eps($B$1,YEAR($A817),$A817,180)</f>
        <v>-0.1027</v>
      </c>
      <c r="D817" cm="1">
        <f t="array" aca="1" ref="D817" ca="1">[1]!s_west_instnum_np($B$1,YEAR($A817),$A817,180)</f>
        <v>13</v>
      </c>
      <c r="E817" cm="1">
        <f t="array" aca="1" ref="E817" ca="1">[1]!s_west_stdnetprofit($B$1,YEAR($A817),$A817,180,1000000)</f>
        <v>54.707447000000002</v>
      </c>
      <c r="F817" cm="1">
        <f t="array" aca="1" ref="F817" ca="1">[1]!s_west_mediannetprofit($B$1,YEAR($A817),$A817,180,1000000)</f>
        <v>-71</v>
      </c>
      <c r="G817" cm="1">
        <f t="array" aca="1" ref="G817" ca="1">[1]!s_west_netprofit($B$1,YEAR($A817)+1,$A817,180,1000000)</f>
        <v>25.168585</v>
      </c>
      <c r="H817" cm="1">
        <f t="array" aca="1" ref="H817" ca="1">[1]!s_west_eps($B$1,YEAR($A817)+1,$A817,180)</f>
        <v>2.8899999999999999E-2</v>
      </c>
      <c r="I817" cm="1">
        <f t="array" aca="1" ref="I817" ca="1">[1]!s_west_instnum_np($B$1,YEAR($A817)+1,$A817,180)</f>
        <v>13</v>
      </c>
      <c r="J817" cm="1">
        <f t="array" aca="1" ref="J817" ca="1">[1]!s_west_stdnetprofit($B$1,YEAR($A817)+1,$A817,180,1000000)</f>
        <v>51.93244</v>
      </c>
      <c r="K817" cm="1">
        <f t="array" aca="1" ref="K817" ca="1">[1]!s_west_mediannetprofit($B$1,YEAR($A816)+1,$A816,180,1000000)</f>
        <v>34</v>
      </c>
      <c r="L817" cm="1">
        <f t="array" aca="1" ref="L817" ca="1">[1]!s_dq_close($B$1,$A817,3)</f>
        <v>23.2</v>
      </c>
    </row>
    <row r="818" spans="1:12">
      <c r="A818" s="23">
        <f t="shared" ca="1" si="12"/>
        <v>45357</v>
      </c>
      <c r="B818" cm="1">
        <f t="array" aca="1" ref="B818" ca="1">[1]!s_west_netprofit($B$1,YEAR($A818),$A818,180,1000000)</f>
        <v>-89.498707999999993</v>
      </c>
      <c r="C818" cm="1">
        <f t="array" aca="1" ref="C818" ca="1">[1]!s_west_eps($B$1,YEAR($A818),$A818,180)</f>
        <v>-0.1027</v>
      </c>
      <c r="D818" cm="1">
        <f t="array" aca="1" ref="D818" ca="1">[1]!s_west_instnum_np($B$1,YEAR($A818),$A818,180)</f>
        <v>13</v>
      </c>
      <c r="E818" cm="1">
        <f t="array" aca="1" ref="E818" ca="1">[1]!s_west_stdnetprofit($B$1,YEAR($A818),$A818,180,1000000)</f>
        <v>54.707447000000002</v>
      </c>
      <c r="F818" cm="1">
        <f t="array" aca="1" ref="F818" ca="1">[1]!s_west_mediannetprofit($B$1,YEAR($A818),$A818,180,1000000)</f>
        <v>-71</v>
      </c>
      <c r="G818" cm="1">
        <f t="array" aca="1" ref="G818" ca="1">[1]!s_west_netprofit($B$1,YEAR($A818)+1,$A818,180,1000000)</f>
        <v>25.168585</v>
      </c>
      <c r="H818" cm="1">
        <f t="array" aca="1" ref="H818" ca="1">[1]!s_west_eps($B$1,YEAR($A818)+1,$A818,180)</f>
        <v>2.8899999999999999E-2</v>
      </c>
      <c r="I818" cm="1">
        <f t="array" aca="1" ref="I818" ca="1">[1]!s_west_instnum_np($B$1,YEAR($A818)+1,$A818,180)</f>
        <v>13</v>
      </c>
      <c r="J818" cm="1">
        <f t="array" aca="1" ref="J818" ca="1">[1]!s_west_stdnetprofit($B$1,YEAR($A818)+1,$A818,180,1000000)</f>
        <v>51.93244</v>
      </c>
      <c r="K818" cm="1">
        <f t="array" aca="1" ref="K818" ca="1">[1]!s_west_mediannetprofit($B$1,YEAR($A817)+1,$A817,180,1000000)</f>
        <v>34</v>
      </c>
      <c r="L818" cm="1">
        <f t="array" aca="1" ref="L818" ca="1">[1]!s_dq_close($B$1,$A818,3)</f>
        <v>23.6</v>
      </c>
    </row>
    <row r="819" spans="1:12">
      <c r="A819" s="23">
        <f t="shared" ca="1" si="12"/>
        <v>45356</v>
      </c>
      <c r="B819" cm="1">
        <f t="array" aca="1" ref="B819" ca="1">[1]!s_west_netprofit($B$1,YEAR($A819),$A819,180,1000000)</f>
        <v>-89.498707999999993</v>
      </c>
      <c r="C819" cm="1">
        <f t="array" aca="1" ref="C819" ca="1">[1]!s_west_eps($B$1,YEAR($A819),$A819,180)</f>
        <v>-0.1027</v>
      </c>
      <c r="D819" cm="1">
        <f t="array" aca="1" ref="D819" ca="1">[1]!s_west_instnum_np($B$1,YEAR($A819),$A819,180)</f>
        <v>13</v>
      </c>
      <c r="E819" cm="1">
        <f t="array" aca="1" ref="E819" ca="1">[1]!s_west_stdnetprofit($B$1,YEAR($A819),$A819,180,1000000)</f>
        <v>54.707447000000002</v>
      </c>
      <c r="F819" cm="1">
        <f t="array" aca="1" ref="F819" ca="1">[1]!s_west_mediannetprofit($B$1,YEAR($A819),$A819,180,1000000)</f>
        <v>-71</v>
      </c>
      <c r="G819" cm="1">
        <f t="array" aca="1" ref="G819" ca="1">[1]!s_west_netprofit($B$1,YEAR($A819)+1,$A819,180,1000000)</f>
        <v>25.168585</v>
      </c>
      <c r="H819" cm="1">
        <f t="array" aca="1" ref="H819" ca="1">[1]!s_west_eps($B$1,YEAR($A819)+1,$A819,180)</f>
        <v>2.8899999999999999E-2</v>
      </c>
      <c r="I819" cm="1">
        <f t="array" aca="1" ref="I819" ca="1">[1]!s_west_instnum_np($B$1,YEAR($A819)+1,$A819,180)</f>
        <v>13</v>
      </c>
      <c r="J819" cm="1">
        <f t="array" aca="1" ref="J819" ca="1">[1]!s_west_stdnetprofit($B$1,YEAR($A819)+1,$A819,180,1000000)</f>
        <v>51.93244</v>
      </c>
      <c r="K819" cm="1">
        <f t="array" aca="1" ref="K819" ca="1">[1]!s_west_mediannetprofit($B$1,YEAR($A818)+1,$A818,180,1000000)</f>
        <v>34</v>
      </c>
      <c r="L819" cm="1">
        <f t="array" aca="1" ref="L819" ca="1">[1]!s_dq_close($B$1,$A819,3)</f>
        <v>22.35</v>
      </c>
    </row>
    <row r="820" spans="1:12">
      <c r="A820" s="23">
        <f t="shared" ca="1" si="12"/>
        <v>45355</v>
      </c>
      <c r="B820" cm="1">
        <f t="array" aca="1" ref="B820" ca="1">[1]!s_west_netprofit($B$1,YEAR($A820),$A820,180,1000000)</f>
        <v>-89.498707999999993</v>
      </c>
      <c r="C820" cm="1">
        <f t="array" aca="1" ref="C820" ca="1">[1]!s_west_eps($B$1,YEAR($A820),$A820,180)</f>
        <v>-0.1027</v>
      </c>
      <c r="D820" cm="1">
        <f t="array" aca="1" ref="D820" ca="1">[1]!s_west_instnum_np($B$1,YEAR($A820),$A820,180)</f>
        <v>13</v>
      </c>
      <c r="E820" cm="1">
        <f t="array" aca="1" ref="E820" ca="1">[1]!s_west_stdnetprofit($B$1,YEAR($A820),$A820,180,1000000)</f>
        <v>54.707447000000002</v>
      </c>
      <c r="F820" cm="1">
        <f t="array" aca="1" ref="F820" ca="1">[1]!s_west_mediannetprofit($B$1,YEAR($A820),$A820,180,1000000)</f>
        <v>-71</v>
      </c>
      <c r="G820" cm="1">
        <f t="array" aca="1" ref="G820" ca="1">[1]!s_west_netprofit($B$1,YEAR($A820)+1,$A820,180,1000000)</f>
        <v>25.168585</v>
      </c>
      <c r="H820" cm="1">
        <f t="array" aca="1" ref="H820" ca="1">[1]!s_west_eps($B$1,YEAR($A820)+1,$A820,180)</f>
        <v>2.8899999999999999E-2</v>
      </c>
      <c r="I820" cm="1">
        <f t="array" aca="1" ref="I820" ca="1">[1]!s_west_instnum_np($B$1,YEAR($A820)+1,$A820,180)</f>
        <v>13</v>
      </c>
      <c r="J820" cm="1">
        <f t="array" aca="1" ref="J820" ca="1">[1]!s_west_stdnetprofit($B$1,YEAR($A820)+1,$A820,180,1000000)</f>
        <v>51.93244</v>
      </c>
      <c r="K820" cm="1">
        <f t="array" aca="1" ref="K820" ca="1">[1]!s_west_mediannetprofit($B$1,YEAR($A819)+1,$A819,180,1000000)</f>
        <v>34</v>
      </c>
      <c r="L820" cm="1">
        <f t="array" aca="1" ref="L820" ca="1">[1]!s_dq_close($B$1,$A820,3)</f>
        <v>24.35</v>
      </c>
    </row>
    <row r="821" spans="1:12">
      <c r="A821" s="23">
        <f t="shared" ca="1" si="12"/>
        <v>45354</v>
      </c>
      <c r="B821" cm="1">
        <f t="array" aca="1" ref="B821" ca="1">[1]!s_west_netprofit($B$1,YEAR($A821),$A821,180,1000000)</f>
        <v>-72.780868999999996</v>
      </c>
      <c r="C821" cm="1">
        <f t="array" aca="1" ref="C821" ca="1">[1]!s_west_eps($B$1,YEAR($A821),$A821,180)</f>
        <v>-8.3500000000000005E-2</v>
      </c>
      <c r="D821" cm="1">
        <f t="array" aca="1" ref="D821" ca="1">[1]!s_west_instnum_np($B$1,YEAR($A821),$A821,180)</f>
        <v>13</v>
      </c>
      <c r="E821" cm="1">
        <f t="array" aca="1" ref="E821" ca="1">[1]!s_west_stdnetprofit($B$1,YEAR($A821),$A821,180,1000000)</f>
        <v>49.933751000000001</v>
      </c>
      <c r="F821" cm="1">
        <f t="array" aca="1" ref="F821" ca="1">[1]!s_west_mediannetprofit($B$1,YEAR($A821),$A821,180,1000000)</f>
        <v>-71</v>
      </c>
      <c r="G821" cm="1">
        <f t="array" aca="1" ref="G821" ca="1">[1]!s_west_netprofit($B$1,YEAR($A821)+1,$A821,180,1000000)</f>
        <v>47.257568999999997</v>
      </c>
      <c r="H821" cm="1">
        <f t="array" aca="1" ref="H821" ca="1">[1]!s_west_eps($B$1,YEAR($A821)+1,$A821,180)</f>
        <v>5.4199999999999998E-2</v>
      </c>
      <c r="I821" cm="1">
        <f t="array" aca="1" ref="I821" ca="1">[1]!s_west_instnum_np($B$1,YEAR($A821)+1,$A821,180)</f>
        <v>13</v>
      </c>
      <c r="J821" cm="1">
        <f t="array" aca="1" ref="J821" ca="1">[1]!s_west_stdnetprofit($B$1,YEAR($A821)+1,$A821,180,1000000)</f>
        <v>59.338545000000003</v>
      </c>
      <c r="K821" cm="1">
        <f t="array" aca="1" ref="K821" ca="1">[1]!s_west_mediannetprofit($B$1,YEAR($A820)+1,$A820,180,1000000)</f>
        <v>34</v>
      </c>
      <c r="L821" cm="1">
        <f t="array" aca="1" ref="L821" ca="1">[1]!s_dq_close($B$1,$A821,3)</f>
        <v>24.1</v>
      </c>
    </row>
    <row r="822" spans="1:12">
      <c r="A822" s="23">
        <f t="shared" ca="1" si="12"/>
        <v>45353</v>
      </c>
      <c r="B822" cm="1">
        <f t="array" aca="1" ref="B822" ca="1">[1]!s_west_netprofit($B$1,YEAR($A822),$A822,180,1000000)</f>
        <v>-72.780868999999996</v>
      </c>
      <c r="C822" cm="1">
        <f t="array" aca="1" ref="C822" ca="1">[1]!s_west_eps($B$1,YEAR($A822),$A822,180)</f>
        <v>-8.3500000000000005E-2</v>
      </c>
      <c r="D822" cm="1">
        <f t="array" aca="1" ref="D822" ca="1">[1]!s_west_instnum_np($B$1,YEAR($A822),$A822,180)</f>
        <v>13</v>
      </c>
      <c r="E822" cm="1">
        <f t="array" aca="1" ref="E822" ca="1">[1]!s_west_stdnetprofit($B$1,YEAR($A822),$A822,180,1000000)</f>
        <v>49.933751000000001</v>
      </c>
      <c r="F822" cm="1">
        <f t="array" aca="1" ref="F822" ca="1">[1]!s_west_mediannetprofit($B$1,YEAR($A822),$A822,180,1000000)</f>
        <v>-71</v>
      </c>
      <c r="G822" cm="1">
        <f t="array" aca="1" ref="G822" ca="1">[1]!s_west_netprofit($B$1,YEAR($A822)+1,$A822,180,1000000)</f>
        <v>47.257568999999997</v>
      </c>
      <c r="H822" cm="1">
        <f t="array" aca="1" ref="H822" ca="1">[1]!s_west_eps($B$1,YEAR($A822)+1,$A822,180)</f>
        <v>5.4199999999999998E-2</v>
      </c>
      <c r="I822" cm="1">
        <f t="array" aca="1" ref="I822" ca="1">[1]!s_west_instnum_np($B$1,YEAR($A822)+1,$A822,180)</f>
        <v>13</v>
      </c>
      <c r="J822" cm="1">
        <f t="array" aca="1" ref="J822" ca="1">[1]!s_west_stdnetprofit($B$1,YEAR($A822)+1,$A822,180,1000000)</f>
        <v>59.338545000000003</v>
      </c>
      <c r="K822" cm="1">
        <f t="array" aca="1" ref="K822" ca="1">[1]!s_west_mediannetprofit($B$1,YEAR($A821)+1,$A821,180,1000000)</f>
        <v>34</v>
      </c>
      <c r="L822" cm="1">
        <f t="array" aca="1" ref="L822" ca="1">[1]!s_dq_close($B$1,$A822,3)</f>
        <v>24.1</v>
      </c>
    </row>
    <row r="823" spans="1:12">
      <c r="A823" s="23">
        <f t="shared" ca="1" si="12"/>
        <v>45352</v>
      </c>
      <c r="B823" cm="1">
        <f t="array" aca="1" ref="B823" ca="1">[1]!s_west_netprofit($B$1,YEAR($A823),$A823,180,1000000)</f>
        <v>-72.780868999999996</v>
      </c>
      <c r="C823" cm="1">
        <f t="array" aca="1" ref="C823" ca="1">[1]!s_west_eps($B$1,YEAR($A823),$A823,180)</f>
        <v>-8.3500000000000005E-2</v>
      </c>
      <c r="D823" cm="1">
        <f t="array" aca="1" ref="D823" ca="1">[1]!s_west_instnum_np($B$1,YEAR($A823),$A823,180)</f>
        <v>13</v>
      </c>
      <c r="E823" cm="1">
        <f t="array" aca="1" ref="E823" ca="1">[1]!s_west_stdnetprofit($B$1,YEAR($A823),$A823,180,1000000)</f>
        <v>49.933751000000001</v>
      </c>
      <c r="F823" cm="1">
        <f t="array" aca="1" ref="F823" ca="1">[1]!s_west_mediannetprofit($B$1,YEAR($A823),$A823,180,1000000)</f>
        <v>-71</v>
      </c>
      <c r="G823" cm="1">
        <f t="array" aca="1" ref="G823" ca="1">[1]!s_west_netprofit($B$1,YEAR($A823)+1,$A823,180,1000000)</f>
        <v>47.257568999999997</v>
      </c>
      <c r="H823" cm="1">
        <f t="array" aca="1" ref="H823" ca="1">[1]!s_west_eps($B$1,YEAR($A823)+1,$A823,180)</f>
        <v>5.4199999999999998E-2</v>
      </c>
      <c r="I823" cm="1">
        <f t="array" aca="1" ref="I823" ca="1">[1]!s_west_instnum_np($B$1,YEAR($A823)+1,$A823,180)</f>
        <v>13</v>
      </c>
      <c r="J823" cm="1">
        <f t="array" aca="1" ref="J823" ca="1">[1]!s_west_stdnetprofit($B$1,YEAR($A823)+1,$A823,180,1000000)</f>
        <v>59.338545000000003</v>
      </c>
      <c r="K823" cm="1">
        <f t="array" aca="1" ref="K823" ca="1">[1]!s_west_mediannetprofit($B$1,YEAR($A822)+1,$A822,180,1000000)</f>
        <v>34</v>
      </c>
      <c r="L823" cm="1">
        <f t="array" aca="1" ref="L823" ca="1">[1]!s_dq_close($B$1,$A823,3)</f>
        <v>24.1</v>
      </c>
    </row>
    <row r="824" spans="1:12">
      <c r="A824" s="23">
        <f t="shared" ca="1" si="12"/>
        <v>45351</v>
      </c>
      <c r="B824" cm="1">
        <f t="array" aca="1" ref="B824" ca="1">[1]!s_west_netprofit($B$1,YEAR($A824),$A824,180,1000000)</f>
        <v>-58.150246000000003</v>
      </c>
      <c r="C824" cm="1">
        <f t="array" aca="1" ref="C824" ca="1">[1]!s_west_eps($B$1,YEAR($A824),$A824,180)</f>
        <v>-6.6699999999999995E-2</v>
      </c>
      <c r="D824" cm="1">
        <f t="array" aca="1" ref="D824" ca="1">[1]!s_west_instnum_np($B$1,YEAR($A824),$A824,180)</f>
        <v>13</v>
      </c>
      <c r="E824" cm="1">
        <f t="array" aca="1" ref="E824" ca="1">[1]!s_west_stdnetprofit($B$1,YEAR($A824),$A824,180,1000000)</f>
        <v>44.525323999999998</v>
      </c>
      <c r="F824" cm="1">
        <f t="array" aca="1" ref="F824" ca="1">[1]!s_west_mediannetprofit($B$1,YEAR($A824),$A824,180,1000000)</f>
        <v>-46.87</v>
      </c>
      <c r="G824" cm="1">
        <f t="array" aca="1" ref="G824" ca="1">[1]!s_west_netprofit($B$1,YEAR($A824)+1,$A824,180,1000000)</f>
        <v>52.934738000000003</v>
      </c>
      <c r="H824" cm="1">
        <f t="array" aca="1" ref="H824" ca="1">[1]!s_west_eps($B$1,YEAR($A824)+1,$A824,180)</f>
        <v>6.08E-2</v>
      </c>
      <c r="I824" cm="1">
        <f t="array" aca="1" ref="I824" ca="1">[1]!s_west_instnum_np($B$1,YEAR($A824)+1,$A824,180)</f>
        <v>13</v>
      </c>
      <c r="J824" cm="1">
        <f t="array" aca="1" ref="J824" ca="1">[1]!s_west_stdnetprofit($B$1,YEAR($A824)+1,$A824,180,1000000)</f>
        <v>61.672255</v>
      </c>
      <c r="K824" cm="1">
        <f t="array" aca="1" ref="K824" ca="1">[1]!s_west_mediannetprofit($B$1,YEAR($A823)+1,$A823,180,1000000)</f>
        <v>34</v>
      </c>
      <c r="L824" cm="1">
        <f t="array" aca="1" ref="L824" ca="1">[1]!s_dq_close($B$1,$A824,3)</f>
        <v>24.2</v>
      </c>
    </row>
    <row r="825" spans="1:12">
      <c r="A825" s="23">
        <f t="shared" ca="1" si="12"/>
        <v>45350</v>
      </c>
      <c r="B825" cm="1">
        <f t="array" aca="1" ref="B825" ca="1">[1]!s_west_netprofit($B$1,YEAR($A825),$A825,180,1000000)</f>
        <v>-50.302408</v>
      </c>
      <c r="C825" cm="1">
        <f t="array" aca="1" ref="C825" ca="1">[1]!s_west_eps($B$1,YEAR($A825),$A825,180)</f>
        <v>-5.7700000000000001E-2</v>
      </c>
      <c r="D825" cm="1">
        <f t="array" aca="1" ref="D825" ca="1">[1]!s_west_instnum_np($B$1,YEAR($A825),$A825,180)</f>
        <v>13</v>
      </c>
      <c r="E825" cm="1">
        <f t="array" aca="1" ref="E825" ca="1">[1]!s_west_stdnetprofit($B$1,YEAR($A825),$A825,180,1000000)</f>
        <v>44.266038000000002</v>
      </c>
      <c r="F825" cm="1">
        <f t="array" aca="1" ref="F825" ca="1">[1]!s_west_mediannetprofit($B$1,YEAR($A825),$A825,180,1000000)</f>
        <v>-41</v>
      </c>
      <c r="G825" cm="1">
        <f t="array" aca="1" ref="G825" ca="1">[1]!s_west_netprofit($B$1,YEAR($A825)+1,$A825,180,1000000)</f>
        <v>55.026200000000003</v>
      </c>
      <c r="H825" cm="1">
        <f t="array" aca="1" ref="H825" ca="1">[1]!s_west_eps($B$1,YEAR($A825)+1,$A825,180)</f>
        <v>6.3200000000000006E-2</v>
      </c>
      <c r="I825" cm="1">
        <f t="array" aca="1" ref="I825" ca="1">[1]!s_west_instnum_np($B$1,YEAR($A825)+1,$A825,180)</f>
        <v>12</v>
      </c>
      <c r="J825" cm="1">
        <f t="array" aca="1" ref="J825" ca="1">[1]!s_west_stdnetprofit($B$1,YEAR($A825)+1,$A825,180,1000000)</f>
        <v>64.679085000000001</v>
      </c>
      <c r="K825" cm="1">
        <f t="array" aca="1" ref="K825" ca="1">[1]!s_west_mediannetprofit($B$1,YEAR($A824)+1,$A824,180,1000000)</f>
        <v>35</v>
      </c>
      <c r="L825" cm="1">
        <f t="array" aca="1" ref="L825" ca="1">[1]!s_dq_close($B$1,$A825,3)</f>
        <v>23.7</v>
      </c>
    </row>
    <row r="826" spans="1:12">
      <c r="A826" s="23">
        <f t="shared" ca="1" si="12"/>
        <v>45349</v>
      </c>
      <c r="B826" cm="1">
        <f t="array" aca="1" ref="B826" ca="1">[1]!s_west_netprofit($B$1,YEAR($A826),$A826,180,1000000)</f>
        <v>-50.302408</v>
      </c>
      <c r="C826" cm="1">
        <f t="array" aca="1" ref="C826" ca="1">[1]!s_west_eps($B$1,YEAR($A826),$A826,180)</f>
        <v>-5.7700000000000001E-2</v>
      </c>
      <c r="D826" cm="1">
        <f t="array" aca="1" ref="D826" ca="1">[1]!s_west_instnum_np($B$1,YEAR($A826),$A826,180)</f>
        <v>13</v>
      </c>
      <c r="E826" cm="1">
        <f t="array" aca="1" ref="E826" ca="1">[1]!s_west_stdnetprofit($B$1,YEAR($A826),$A826,180,1000000)</f>
        <v>44.266038000000002</v>
      </c>
      <c r="F826" cm="1">
        <f t="array" aca="1" ref="F826" ca="1">[1]!s_west_mediannetprofit($B$1,YEAR($A826),$A826,180,1000000)</f>
        <v>-41</v>
      </c>
      <c r="G826" cm="1">
        <f t="array" aca="1" ref="G826" ca="1">[1]!s_west_netprofit($B$1,YEAR($A826)+1,$A826,180,1000000)</f>
        <v>55.026200000000003</v>
      </c>
      <c r="H826" cm="1">
        <f t="array" aca="1" ref="H826" ca="1">[1]!s_west_eps($B$1,YEAR($A826)+1,$A826,180)</f>
        <v>6.3200000000000006E-2</v>
      </c>
      <c r="I826" cm="1">
        <f t="array" aca="1" ref="I826" ca="1">[1]!s_west_instnum_np($B$1,YEAR($A826)+1,$A826,180)</f>
        <v>12</v>
      </c>
      <c r="J826" cm="1">
        <f t="array" aca="1" ref="J826" ca="1">[1]!s_west_stdnetprofit($B$1,YEAR($A826)+1,$A826,180,1000000)</f>
        <v>64.679085000000001</v>
      </c>
      <c r="K826" cm="1">
        <f t="array" aca="1" ref="K826" ca="1">[1]!s_west_mediannetprofit($B$1,YEAR($A825)+1,$A825,180,1000000)</f>
        <v>35.200000000000003</v>
      </c>
      <c r="L826" cm="1">
        <f t="array" aca="1" ref="L826" ca="1">[1]!s_dq_close($B$1,$A826,3)</f>
        <v>24.75</v>
      </c>
    </row>
    <row r="827" spans="1:12">
      <c r="A827" s="23">
        <f t="shared" ca="1" si="12"/>
        <v>45348</v>
      </c>
      <c r="B827" cm="1">
        <f t="array" aca="1" ref="B827" ca="1">[1]!s_west_netprofit($B$1,YEAR($A827),$A827,180,1000000)</f>
        <v>-50.302408</v>
      </c>
      <c r="C827" cm="1">
        <f t="array" aca="1" ref="C827" ca="1">[1]!s_west_eps($B$1,YEAR($A827),$A827,180)</f>
        <v>-5.7700000000000001E-2</v>
      </c>
      <c r="D827" cm="1">
        <f t="array" aca="1" ref="D827" ca="1">[1]!s_west_instnum_np($B$1,YEAR($A827),$A827,180)</f>
        <v>13</v>
      </c>
      <c r="E827" cm="1">
        <f t="array" aca="1" ref="E827" ca="1">[1]!s_west_stdnetprofit($B$1,YEAR($A827),$A827,180,1000000)</f>
        <v>44.266038000000002</v>
      </c>
      <c r="F827" cm="1">
        <f t="array" aca="1" ref="F827" ca="1">[1]!s_west_mediannetprofit($B$1,YEAR($A827),$A827,180,1000000)</f>
        <v>-41</v>
      </c>
      <c r="G827" cm="1">
        <f t="array" aca="1" ref="G827" ca="1">[1]!s_west_netprofit($B$1,YEAR($A827)+1,$A827,180,1000000)</f>
        <v>55.026200000000003</v>
      </c>
      <c r="H827" cm="1">
        <f t="array" aca="1" ref="H827" ca="1">[1]!s_west_eps($B$1,YEAR($A827)+1,$A827,180)</f>
        <v>6.3200000000000006E-2</v>
      </c>
      <c r="I827" cm="1">
        <f t="array" aca="1" ref="I827" ca="1">[1]!s_west_instnum_np($B$1,YEAR($A827)+1,$A827,180)</f>
        <v>12</v>
      </c>
      <c r="J827" cm="1">
        <f t="array" aca="1" ref="J827" ca="1">[1]!s_west_stdnetprofit($B$1,YEAR($A827)+1,$A827,180,1000000)</f>
        <v>64.679085000000001</v>
      </c>
      <c r="K827" cm="1">
        <f t="array" aca="1" ref="K827" ca="1">[1]!s_west_mediannetprofit($B$1,YEAR($A826)+1,$A826,180,1000000)</f>
        <v>35.200000000000003</v>
      </c>
      <c r="L827" cm="1">
        <f t="array" aca="1" ref="L827" ca="1">[1]!s_dq_close($B$1,$A827,3)</f>
        <v>24.1</v>
      </c>
    </row>
    <row r="828" spans="1:12">
      <c r="A828" s="23">
        <f t="shared" ca="1" si="12"/>
        <v>45347</v>
      </c>
      <c r="B828" cm="1">
        <f t="array" aca="1" ref="B828" ca="1">[1]!s_west_netprofit($B$1,YEAR($A828),$A828,180,1000000)</f>
        <v>-50.302408</v>
      </c>
      <c r="C828" cm="1">
        <f t="array" aca="1" ref="C828" ca="1">[1]!s_west_eps($B$1,YEAR($A828),$A828,180)</f>
        <v>-5.7700000000000001E-2</v>
      </c>
      <c r="D828" cm="1">
        <f t="array" aca="1" ref="D828" ca="1">[1]!s_west_instnum_np($B$1,YEAR($A828),$A828,180)</f>
        <v>13</v>
      </c>
      <c r="E828" cm="1">
        <f t="array" aca="1" ref="E828" ca="1">[1]!s_west_stdnetprofit($B$1,YEAR($A828),$A828,180,1000000)</f>
        <v>44.266038000000002</v>
      </c>
      <c r="F828" cm="1">
        <f t="array" aca="1" ref="F828" ca="1">[1]!s_west_mediannetprofit($B$1,YEAR($A828),$A828,180,1000000)</f>
        <v>-41</v>
      </c>
      <c r="G828" cm="1">
        <f t="array" aca="1" ref="G828" ca="1">[1]!s_west_netprofit($B$1,YEAR($A828)+1,$A828,180,1000000)</f>
        <v>55.026200000000003</v>
      </c>
      <c r="H828" cm="1">
        <f t="array" aca="1" ref="H828" ca="1">[1]!s_west_eps($B$1,YEAR($A828)+1,$A828,180)</f>
        <v>6.3200000000000006E-2</v>
      </c>
      <c r="I828" cm="1">
        <f t="array" aca="1" ref="I828" ca="1">[1]!s_west_instnum_np($B$1,YEAR($A828)+1,$A828,180)</f>
        <v>12</v>
      </c>
      <c r="J828" cm="1">
        <f t="array" aca="1" ref="J828" ca="1">[1]!s_west_stdnetprofit($B$1,YEAR($A828)+1,$A828,180,1000000)</f>
        <v>64.679085000000001</v>
      </c>
      <c r="K828" cm="1">
        <f t="array" aca="1" ref="K828" ca="1">[1]!s_west_mediannetprofit($B$1,YEAR($A827)+1,$A827,180,1000000)</f>
        <v>35.200000000000003</v>
      </c>
      <c r="L828" cm="1">
        <f t="array" aca="1" ref="L828" ca="1">[1]!s_dq_close($B$1,$A828,3)</f>
        <v>24.75</v>
      </c>
    </row>
    <row r="829" spans="1:12">
      <c r="A829" s="23">
        <f t="shared" ca="1" si="12"/>
        <v>45346</v>
      </c>
      <c r="B829" cm="1">
        <f t="array" aca="1" ref="B829" ca="1">[1]!s_west_netprofit($B$1,YEAR($A829),$A829,180,1000000)</f>
        <v>-50.302408</v>
      </c>
      <c r="C829" cm="1">
        <f t="array" aca="1" ref="C829" ca="1">[1]!s_west_eps($B$1,YEAR($A829),$A829,180)</f>
        <v>-5.7700000000000001E-2</v>
      </c>
      <c r="D829" cm="1">
        <f t="array" aca="1" ref="D829" ca="1">[1]!s_west_instnum_np($B$1,YEAR($A829),$A829,180)</f>
        <v>13</v>
      </c>
      <c r="E829" cm="1">
        <f t="array" aca="1" ref="E829" ca="1">[1]!s_west_stdnetprofit($B$1,YEAR($A829),$A829,180,1000000)</f>
        <v>44.266038000000002</v>
      </c>
      <c r="F829" cm="1">
        <f t="array" aca="1" ref="F829" ca="1">[1]!s_west_mediannetprofit($B$1,YEAR($A829),$A829,180,1000000)</f>
        <v>-41</v>
      </c>
      <c r="G829" cm="1">
        <f t="array" aca="1" ref="G829" ca="1">[1]!s_west_netprofit($B$1,YEAR($A829)+1,$A829,180,1000000)</f>
        <v>55.026200000000003</v>
      </c>
      <c r="H829" cm="1">
        <f t="array" aca="1" ref="H829" ca="1">[1]!s_west_eps($B$1,YEAR($A829)+1,$A829,180)</f>
        <v>6.3200000000000006E-2</v>
      </c>
      <c r="I829" cm="1">
        <f t="array" aca="1" ref="I829" ca="1">[1]!s_west_instnum_np($B$1,YEAR($A829)+1,$A829,180)</f>
        <v>12</v>
      </c>
      <c r="J829" cm="1">
        <f t="array" aca="1" ref="J829" ca="1">[1]!s_west_stdnetprofit($B$1,YEAR($A829)+1,$A829,180,1000000)</f>
        <v>64.679085000000001</v>
      </c>
      <c r="K829" cm="1">
        <f t="array" aca="1" ref="K829" ca="1">[1]!s_west_mediannetprofit($B$1,YEAR($A828)+1,$A828,180,1000000)</f>
        <v>35.200000000000003</v>
      </c>
      <c r="L829" cm="1">
        <f t="array" aca="1" ref="L829" ca="1">[1]!s_dq_close($B$1,$A829,3)</f>
        <v>24.75</v>
      </c>
    </row>
    <row r="830" spans="1:12">
      <c r="A830" s="23">
        <f t="shared" ca="1" si="12"/>
        <v>45345</v>
      </c>
      <c r="B830" cm="1">
        <f t="array" aca="1" ref="B830" ca="1">[1]!s_west_netprofit($B$1,YEAR($A830),$A830,180,1000000)</f>
        <v>-50.302408</v>
      </c>
      <c r="C830" cm="1">
        <f t="array" aca="1" ref="C830" ca="1">[1]!s_west_eps($B$1,YEAR($A830),$A830,180)</f>
        <v>-5.7700000000000001E-2</v>
      </c>
      <c r="D830" cm="1">
        <f t="array" aca="1" ref="D830" ca="1">[1]!s_west_instnum_np($B$1,YEAR($A830),$A830,180)</f>
        <v>13</v>
      </c>
      <c r="E830" cm="1">
        <f t="array" aca="1" ref="E830" ca="1">[1]!s_west_stdnetprofit($B$1,YEAR($A830),$A830,180,1000000)</f>
        <v>44.266038000000002</v>
      </c>
      <c r="F830" cm="1">
        <f t="array" aca="1" ref="F830" ca="1">[1]!s_west_mediannetprofit($B$1,YEAR($A830),$A830,180,1000000)</f>
        <v>-41</v>
      </c>
      <c r="G830" cm="1">
        <f t="array" aca="1" ref="G830" ca="1">[1]!s_west_netprofit($B$1,YEAR($A830)+1,$A830,180,1000000)</f>
        <v>55.026200000000003</v>
      </c>
      <c r="H830" cm="1">
        <f t="array" aca="1" ref="H830" ca="1">[1]!s_west_eps($B$1,YEAR($A830)+1,$A830,180)</f>
        <v>6.3200000000000006E-2</v>
      </c>
      <c r="I830" cm="1">
        <f t="array" aca="1" ref="I830" ca="1">[1]!s_west_instnum_np($B$1,YEAR($A830)+1,$A830,180)</f>
        <v>12</v>
      </c>
      <c r="J830" cm="1">
        <f t="array" aca="1" ref="J830" ca="1">[1]!s_west_stdnetprofit($B$1,YEAR($A830)+1,$A830,180,1000000)</f>
        <v>64.679085000000001</v>
      </c>
      <c r="K830" cm="1">
        <f t="array" aca="1" ref="K830" ca="1">[1]!s_west_mediannetprofit($B$1,YEAR($A829)+1,$A829,180,1000000)</f>
        <v>35.200000000000003</v>
      </c>
      <c r="L830" cm="1">
        <f t="array" aca="1" ref="L830" ca="1">[1]!s_dq_close($B$1,$A830,3)</f>
        <v>24.75</v>
      </c>
    </row>
    <row r="831" spans="1:12">
      <c r="A831" s="23">
        <f t="shared" ca="1" si="12"/>
        <v>45344</v>
      </c>
      <c r="B831" cm="1">
        <f t="array" aca="1" ref="B831" ca="1">[1]!s_west_netprofit($B$1,YEAR($A831),$A831,180,1000000)</f>
        <v>-43.612932999999998</v>
      </c>
      <c r="C831" cm="1">
        <f t="array" aca="1" ref="C831" ca="1">[1]!s_west_eps($B$1,YEAR($A831),$A831,180)</f>
        <v>-5.0099999999999999E-2</v>
      </c>
      <c r="D831" cm="1">
        <f t="array" aca="1" ref="D831" ca="1">[1]!s_west_instnum_np($B$1,YEAR($A831),$A831,180)</f>
        <v>12</v>
      </c>
      <c r="E831" cm="1">
        <f t="array" aca="1" ref="E831" ca="1">[1]!s_west_stdnetprofit($B$1,YEAR($A831),$A831,180,1000000)</f>
        <v>38.765515999999998</v>
      </c>
      <c r="F831" cm="1">
        <f t="array" aca="1" ref="F831" ca="1">[1]!s_west_mediannetprofit($B$1,YEAR($A831),$A831,180,1000000)</f>
        <v>-36</v>
      </c>
      <c r="G831" cm="1">
        <f t="array" aca="1" ref="G831" ca="1">[1]!s_west_netprofit($B$1,YEAR($A831)+1,$A831,180,1000000)</f>
        <v>61.725963999999998</v>
      </c>
      <c r="H831" cm="1">
        <f t="array" aca="1" ref="H831" ca="1">[1]!s_west_eps($B$1,YEAR($A831)+1,$A831,180)</f>
        <v>7.0800000000000002E-2</v>
      </c>
      <c r="I831" cm="1">
        <f t="array" aca="1" ref="I831" ca="1">[1]!s_west_instnum_np($B$1,YEAR($A831)+1,$A831,180)</f>
        <v>11</v>
      </c>
      <c r="J831" cm="1">
        <f t="array" aca="1" ref="J831" ca="1">[1]!s_west_stdnetprofit($B$1,YEAR($A831)+1,$A831,180,1000000)</f>
        <v>63.318503999999997</v>
      </c>
      <c r="K831" cm="1">
        <f t="array" aca="1" ref="K831" ca="1">[1]!s_west_mediannetprofit($B$1,YEAR($A830)+1,$A830,180,1000000)</f>
        <v>35.200000000000003</v>
      </c>
      <c r="L831" cm="1">
        <f t="array" aca="1" ref="L831" ca="1">[1]!s_dq_close($B$1,$A831,3)</f>
        <v>24</v>
      </c>
    </row>
    <row r="832" spans="1:12">
      <c r="A832" s="23">
        <f t="shared" ca="1" si="12"/>
        <v>45343</v>
      </c>
      <c r="B832" cm="1">
        <f t="array" aca="1" ref="B832" ca="1">[1]!s_west_netprofit($B$1,YEAR($A832),$A832,180,1000000)</f>
        <v>-43.612932999999998</v>
      </c>
      <c r="C832" cm="1">
        <f t="array" aca="1" ref="C832" ca="1">[1]!s_west_eps($B$1,YEAR($A832),$A832,180)</f>
        <v>-5.0099999999999999E-2</v>
      </c>
      <c r="D832" cm="1">
        <f t="array" aca="1" ref="D832" ca="1">[1]!s_west_instnum_np($B$1,YEAR($A832),$A832,180)</f>
        <v>12</v>
      </c>
      <c r="E832" cm="1">
        <f t="array" aca="1" ref="E832" ca="1">[1]!s_west_stdnetprofit($B$1,YEAR($A832),$A832,180,1000000)</f>
        <v>38.765515999999998</v>
      </c>
      <c r="F832" cm="1">
        <f t="array" aca="1" ref="F832" ca="1">[1]!s_west_mediannetprofit($B$1,YEAR($A832),$A832,180,1000000)</f>
        <v>-36</v>
      </c>
      <c r="G832" cm="1">
        <f t="array" aca="1" ref="G832" ca="1">[1]!s_west_netprofit($B$1,YEAR($A832)+1,$A832,180,1000000)</f>
        <v>61.725963999999998</v>
      </c>
      <c r="H832" cm="1">
        <f t="array" aca="1" ref="H832" ca="1">[1]!s_west_eps($B$1,YEAR($A832)+1,$A832,180)</f>
        <v>7.0800000000000002E-2</v>
      </c>
      <c r="I832" cm="1">
        <f t="array" aca="1" ref="I832" ca="1">[1]!s_west_instnum_np($B$1,YEAR($A832)+1,$A832,180)</f>
        <v>11</v>
      </c>
      <c r="J832" cm="1">
        <f t="array" aca="1" ref="J832" ca="1">[1]!s_west_stdnetprofit($B$1,YEAR($A832)+1,$A832,180,1000000)</f>
        <v>63.318503999999997</v>
      </c>
      <c r="K832" cm="1">
        <f t="array" aca="1" ref="K832" ca="1">[1]!s_west_mediannetprofit($B$1,YEAR($A831)+1,$A831,180,1000000)</f>
        <v>35.4</v>
      </c>
      <c r="L832" cm="1">
        <f t="array" aca="1" ref="L832" ca="1">[1]!s_dq_close($B$1,$A832,3)</f>
        <v>23.1</v>
      </c>
    </row>
    <row r="833" spans="1:12">
      <c r="A833" s="23">
        <f t="shared" ca="1" si="12"/>
        <v>45342</v>
      </c>
      <c r="B833" cm="1">
        <f t="array" aca="1" ref="B833" ca="1">[1]!s_west_netprofit($B$1,YEAR($A833),$A833,180,1000000)</f>
        <v>-43.606107999999999</v>
      </c>
      <c r="C833" cm="1">
        <f t="array" aca="1" ref="C833" ca="1">[1]!s_west_eps($B$1,YEAR($A833),$A833,180)</f>
        <v>-0.05</v>
      </c>
      <c r="D833" cm="1">
        <f t="array" aca="1" ref="D833" ca="1">[1]!s_west_instnum_np($B$1,YEAR($A833),$A833,180)</f>
        <v>12</v>
      </c>
      <c r="E833" cm="1">
        <f t="array" aca="1" ref="E833" ca="1">[1]!s_west_stdnetprofit($B$1,YEAR($A833),$A833,180,1000000)</f>
        <v>38.751748999999997</v>
      </c>
      <c r="F833" cm="1">
        <f t="array" aca="1" ref="F833" ca="1">[1]!s_west_mediannetprofit($B$1,YEAR($A833),$A833,180,1000000)</f>
        <v>-36</v>
      </c>
      <c r="G833" cm="1">
        <f t="array" aca="1" ref="G833" ca="1">[1]!s_west_netprofit($B$1,YEAR($A833)+1,$A833,180,1000000)</f>
        <v>61.727491000000001</v>
      </c>
      <c r="H833" cm="1">
        <f t="array" aca="1" ref="H833" ca="1">[1]!s_west_eps($B$1,YEAR($A833)+1,$A833,180)</f>
        <v>7.0800000000000002E-2</v>
      </c>
      <c r="I833" cm="1">
        <f t="array" aca="1" ref="I833" ca="1">[1]!s_west_instnum_np($B$1,YEAR($A833)+1,$A833,180)</f>
        <v>11</v>
      </c>
      <c r="J833" cm="1">
        <f t="array" aca="1" ref="J833" ca="1">[1]!s_west_stdnetprofit($B$1,YEAR($A833)+1,$A833,180,1000000)</f>
        <v>63.316239000000003</v>
      </c>
      <c r="K833" cm="1">
        <f t="array" aca="1" ref="K833" ca="1">[1]!s_west_mediannetprofit($B$1,YEAR($A832)+1,$A832,180,1000000)</f>
        <v>35.4</v>
      </c>
      <c r="L833" cm="1">
        <f t="array" aca="1" ref="L833" ca="1">[1]!s_dq_close($B$1,$A833,3)</f>
        <v>23.05</v>
      </c>
    </row>
    <row r="834" spans="1:12">
      <c r="A834" s="23">
        <f t="shared" ca="1" si="12"/>
        <v>45341</v>
      </c>
      <c r="B834" cm="1">
        <f t="array" aca="1" ref="B834" ca="1">[1]!s_west_netprofit($B$1,YEAR($A834),$A834,180,1000000)</f>
        <v>-43.612932999999998</v>
      </c>
      <c r="C834" cm="1">
        <f t="array" aca="1" ref="C834" ca="1">[1]!s_west_eps($B$1,YEAR($A834),$A834,180)</f>
        <v>-5.0099999999999999E-2</v>
      </c>
      <c r="D834" cm="1">
        <f t="array" aca="1" ref="D834" ca="1">[1]!s_west_instnum_np($B$1,YEAR($A834),$A834,180)</f>
        <v>12</v>
      </c>
      <c r="E834" cm="1">
        <f t="array" aca="1" ref="E834" ca="1">[1]!s_west_stdnetprofit($B$1,YEAR($A834),$A834,180,1000000)</f>
        <v>38.765515999999998</v>
      </c>
      <c r="F834" cm="1">
        <f t="array" aca="1" ref="F834" ca="1">[1]!s_west_mediannetprofit($B$1,YEAR($A834),$A834,180,1000000)</f>
        <v>-36</v>
      </c>
      <c r="G834" cm="1">
        <f t="array" aca="1" ref="G834" ca="1">[1]!s_west_netprofit($B$1,YEAR($A834)+1,$A834,180,1000000)</f>
        <v>61.725963999999998</v>
      </c>
      <c r="H834" cm="1">
        <f t="array" aca="1" ref="H834" ca="1">[1]!s_west_eps($B$1,YEAR($A834)+1,$A834,180)</f>
        <v>7.0800000000000002E-2</v>
      </c>
      <c r="I834" cm="1">
        <f t="array" aca="1" ref="I834" ca="1">[1]!s_west_instnum_np($B$1,YEAR($A834)+1,$A834,180)</f>
        <v>11</v>
      </c>
      <c r="J834" cm="1">
        <f t="array" aca="1" ref="J834" ca="1">[1]!s_west_stdnetprofit($B$1,YEAR($A834)+1,$A834,180,1000000)</f>
        <v>63.318503999999997</v>
      </c>
      <c r="K834" cm="1">
        <f t="array" aca="1" ref="K834" ca="1">[1]!s_west_mediannetprofit($B$1,YEAR($A833)+1,$A833,180,1000000)</f>
        <v>35.4</v>
      </c>
      <c r="L834" cm="1">
        <f t="array" aca="1" ref="L834" ca="1">[1]!s_dq_close($B$1,$A834,3)</f>
        <v>22.45</v>
      </c>
    </row>
    <row r="835" spans="1:12">
      <c r="A835" s="23">
        <f t="shared" ca="1" si="12"/>
        <v>45340</v>
      </c>
      <c r="B835" cm="1">
        <f t="array" aca="1" ref="B835" ca="1">[1]!s_west_netprofit($B$1,YEAR($A835),$A835,180,1000000)</f>
        <v>-43.612932999999998</v>
      </c>
      <c r="C835" cm="1">
        <f t="array" aca="1" ref="C835" ca="1">[1]!s_west_eps($B$1,YEAR($A835),$A835,180)</f>
        <v>-5.0099999999999999E-2</v>
      </c>
      <c r="D835" cm="1">
        <f t="array" aca="1" ref="D835" ca="1">[1]!s_west_instnum_np($B$1,YEAR($A835),$A835,180)</f>
        <v>12</v>
      </c>
      <c r="E835" cm="1">
        <f t="array" aca="1" ref="E835" ca="1">[1]!s_west_stdnetprofit($B$1,YEAR($A835),$A835,180,1000000)</f>
        <v>38.765515999999998</v>
      </c>
      <c r="F835" cm="1">
        <f t="array" aca="1" ref="F835" ca="1">[1]!s_west_mediannetprofit($B$1,YEAR($A835),$A835,180,1000000)</f>
        <v>-36</v>
      </c>
      <c r="G835" cm="1">
        <f t="array" aca="1" ref="G835" ca="1">[1]!s_west_netprofit($B$1,YEAR($A835)+1,$A835,180,1000000)</f>
        <v>61.725963999999998</v>
      </c>
      <c r="H835" cm="1">
        <f t="array" aca="1" ref="H835" ca="1">[1]!s_west_eps($B$1,YEAR($A835)+1,$A835,180)</f>
        <v>7.0800000000000002E-2</v>
      </c>
      <c r="I835" cm="1">
        <f t="array" aca="1" ref="I835" ca="1">[1]!s_west_instnum_np($B$1,YEAR($A835)+1,$A835,180)</f>
        <v>11</v>
      </c>
      <c r="J835" cm="1">
        <f t="array" aca="1" ref="J835" ca="1">[1]!s_west_stdnetprofit($B$1,YEAR($A835)+1,$A835,180,1000000)</f>
        <v>63.318503999999997</v>
      </c>
      <c r="K835" cm="1">
        <f t="array" aca="1" ref="K835" ca="1">[1]!s_west_mediannetprofit($B$1,YEAR($A834)+1,$A834,180,1000000)</f>
        <v>35.4</v>
      </c>
      <c r="L835" cm="1">
        <f t="array" aca="1" ref="L835" ca="1">[1]!s_dq_close($B$1,$A835,3)</f>
        <v>22.65</v>
      </c>
    </row>
    <row r="836" spans="1:12">
      <c r="A836" s="23">
        <f t="shared" ca="1" si="12"/>
        <v>45339</v>
      </c>
      <c r="B836" cm="1">
        <f t="array" aca="1" ref="B836" ca="1">[1]!s_west_netprofit($B$1,YEAR($A836),$A836,180,1000000)</f>
        <v>-43.612932999999998</v>
      </c>
      <c r="C836" cm="1">
        <f t="array" aca="1" ref="C836" ca="1">[1]!s_west_eps($B$1,YEAR($A836),$A836,180)</f>
        <v>-5.0099999999999999E-2</v>
      </c>
      <c r="D836" cm="1">
        <f t="array" aca="1" ref="D836" ca="1">[1]!s_west_instnum_np($B$1,YEAR($A836),$A836,180)</f>
        <v>12</v>
      </c>
      <c r="E836" cm="1">
        <f t="array" aca="1" ref="E836" ca="1">[1]!s_west_stdnetprofit($B$1,YEAR($A836),$A836,180,1000000)</f>
        <v>38.765515999999998</v>
      </c>
      <c r="F836" cm="1">
        <f t="array" aca="1" ref="F836" ca="1">[1]!s_west_mediannetprofit($B$1,YEAR($A836),$A836,180,1000000)</f>
        <v>-36</v>
      </c>
      <c r="G836" cm="1">
        <f t="array" aca="1" ref="G836" ca="1">[1]!s_west_netprofit($B$1,YEAR($A836)+1,$A836,180,1000000)</f>
        <v>61.725963999999998</v>
      </c>
      <c r="H836" cm="1">
        <f t="array" aca="1" ref="H836" ca="1">[1]!s_west_eps($B$1,YEAR($A836)+1,$A836,180)</f>
        <v>7.0800000000000002E-2</v>
      </c>
      <c r="I836" cm="1">
        <f t="array" aca="1" ref="I836" ca="1">[1]!s_west_instnum_np($B$1,YEAR($A836)+1,$A836,180)</f>
        <v>11</v>
      </c>
      <c r="J836" cm="1">
        <f t="array" aca="1" ref="J836" ca="1">[1]!s_west_stdnetprofit($B$1,YEAR($A836)+1,$A836,180,1000000)</f>
        <v>63.318503999999997</v>
      </c>
      <c r="K836" cm="1">
        <f t="array" aca="1" ref="K836" ca="1">[1]!s_west_mediannetprofit($B$1,YEAR($A835)+1,$A835,180,1000000)</f>
        <v>35.4</v>
      </c>
      <c r="L836" cm="1">
        <f t="array" aca="1" ref="L836" ca="1">[1]!s_dq_close($B$1,$A836,3)</f>
        <v>22.65</v>
      </c>
    </row>
    <row r="837" spans="1:12">
      <c r="A837" s="23">
        <f t="shared" ca="1" si="12"/>
        <v>45338</v>
      </c>
      <c r="B837" cm="1">
        <f t="array" aca="1" ref="B837" ca="1">[1]!s_west_netprofit($B$1,YEAR($A837),$A837,180,1000000)</f>
        <v>-43.612932999999998</v>
      </c>
      <c r="C837" cm="1">
        <f t="array" aca="1" ref="C837" ca="1">[1]!s_west_eps($B$1,YEAR($A837),$A837,180)</f>
        <v>-5.0099999999999999E-2</v>
      </c>
      <c r="D837" cm="1">
        <f t="array" aca="1" ref="D837" ca="1">[1]!s_west_instnum_np($B$1,YEAR($A837),$A837,180)</f>
        <v>12</v>
      </c>
      <c r="E837" cm="1">
        <f t="array" aca="1" ref="E837" ca="1">[1]!s_west_stdnetprofit($B$1,YEAR($A837),$A837,180,1000000)</f>
        <v>38.765515999999998</v>
      </c>
      <c r="F837" cm="1">
        <f t="array" aca="1" ref="F837" ca="1">[1]!s_west_mediannetprofit($B$1,YEAR($A837),$A837,180,1000000)</f>
        <v>-36</v>
      </c>
      <c r="G837" cm="1">
        <f t="array" aca="1" ref="G837" ca="1">[1]!s_west_netprofit($B$1,YEAR($A837)+1,$A837,180,1000000)</f>
        <v>61.725963999999998</v>
      </c>
      <c r="H837" cm="1">
        <f t="array" aca="1" ref="H837" ca="1">[1]!s_west_eps($B$1,YEAR($A837)+1,$A837,180)</f>
        <v>7.0800000000000002E-2</v>
      </c>
      <c r="I837" cm="1">
        <f t="array" aca="1" ref="I837" ca="1">[1]!s_west_instnum_np($B$1,YEAR($A837)+1,$A837,180)</f>
        <v>11</v>
      </c>
      <c r="J837" cm="1">
        <f t="array" aca="1" ref="J837" ca="1">[1]!s_west_stdnetprofit($B$1,YEAR($A837)+1,$A837,180,1000000)</f>
        <v>63.318503999999997</v>
      </c>
      <c r="K837" cm="1">
        <f t="array" aca="1" ref="K837" ca="1">[1]!s_west_mediannetprofit($B$1,YEAR($A836)+1,$A836,180,1000000)</f>
        <v>35.4</v>
      </c>
      <c r="L837" cm="1">
        <f t="array" aca="1" ref="L837" ca="1">[1]!s_dq_close($B$1,$A837,3)</f>
        <v>22.65</v>
      </c>
    </row>
    <row r="838" spans="1:12">
      <c r="A838" s="23">
        <f t="shared" ca="1" si="12"/>
        <v>45337</v>
      </c>
      <c r="B838" cm="1">
        <f t="array" aca="1" ref="B838" ca="1">[1]!s_west_netprofit($B$1,YEAR($A838),$A838,180,1000000)</f>
        <v>-43.612932999999998</v>
      </c>
      <c r="C838" cm="1">
        <f t="array" aca="1" ref="C838" ca="1">[1]!s_west_eps($B$1,YEAR($A838),$A838,180)</f>
        <v>-5.0099999999999999E-2</v>
      </c>
      <c r="D838" cm="1">
        <f t="array" aca="1" ref="D838" ca="1">[1]!s_west_instnum_np($B$1,YEAR($A838),$A838,180)</f>
        <v>12</v>
      </c>
      <c r="E838" cm="1">
        <f t="array" aca="1" ref="E838" ca="1">[1]!s_west_stdnetprofit($B$1,YEAR($A838),$A838,180,1000000)</f>
        <v>38.765515999999998</v>
      </c>
      <c r="F838" cm="1">
        <f t="array" aca="1" ref="F838" ca="1">[1]!s_west_mediannetprofit($B$1,YEAR($A838),$A838,180,1000000)</f>
        <v>-36</v>
      </c>
      <c r="G838" cm="1">
        <f t="array" aca="1" ref="G838" ca="1">[1]!s_west_netprofit($B$1,YEAR($A838)+1,$A838,180,1000000)</f>
        <v>61.725963999999998</v>
      </c>
      <c r="H838" cm="1">
        <f t="array" aca="1" ref="H838" ca="1">[1]!s_west_eps($B$1,YEAR($A838)+1,$A838,180)</f>
        <v>7.0800000000000002E-2</v>
      </c>
      <c r="I838" cm="1">
        <f t="array" aca="1" ref="I838" ca="1">[1]!s_west_instnum_np($B$1,YEAR($A838)+1,$A838,180)</f>
        <v>11</v>
      </c>
      <c r="J838" cm="1">
        <f t="array" aca="1" ref="J838" ca="1">[1]!s_west_stdnetprofit($B$1,YEAR($A838)+1,$A838,180,1000000)</f>
        <v>63.318503999999997</v>
      </c>
      <c r="K838" cm="1">
        <f t="array" aca="1" ref="K838" ca="1">[1]!s_west_mediannetprofit($B$1,YEAR($A837)+1,$A837,180,1000000)</f>
        <v>35.4</v>
      </c>
      <c r="L838" cm="1">
        <f t="array" aca="1" ref="L838" ca="1">[1]!s_dq_close($B$1,$A838,3)</f>
        <v>21.2</v>
      </c>
    </row>
    <row r="839" spans="1:12">
      <c r="A839" s="23">
        <f t="shared" ca="1" si="12"/>
        <v>45336</v>
      </c>
      <c r="B839" cm="1">
        <f t="array" aca="1" ref="B839" ca="1">[1]!s_west_netprofit($B$1,YEAR($A839),$A839,180,1000000)</f>
        <v>-43.612932999999998</v>
      </c>
      <c r="C839" cm="1">
        <f t="array" aca="1" ref="C839" ca="1">[1]!s_west_eps($B$1,YEAR($A839),$A839,180)</f>
        <v>-5.0099999999999999E-2</v>
      </c>
      <c r="D839" cm="1">
        <f t="array" aca="1" ref="D839" ca="1">[1]!s_west_instnum_np($B$1,YEAR($A839),$A839,180)</f>
        <v>12</v>
      </c>
      <c r="E839" cm="1">
        <f t="array" aca="1" ref="E839" ca="1">[1]!s_west_stdnetprofit($B$1,YEAR($A839),$A839,180,1000000)</f>
        <v>38.765515999999998</v>
      </c>
      <c r="F839" cm="1">
        <f t="array" aca="1" ref="F839" ca="1">[1]!s_west_mediannetprofit($B$1,YEAR($A839),$A839,180,1000000)</f>
        <v>-36</v>
      </c>
      <c r="G839" cm="1">
        <f t="array" aca="1" ref="G839" ca="1">[1]!s_west_netprofit($B$1,YEAR($A839)+1,$A839,180,1000000)</f>
        <v>61.725963999999998</v>
      </c>
      <c r="H839" cm="1">
        <f t="array" aca="1" ref="H839" ca="1">[1]!s_west_eps($B$1,YEAR($A839)+1,$A839,180)</f>
        <v>7.0800000000000002E-2</v>
      </c>
      <c r="I839" cm="1">
        <f t="array" aca="1" ref="I839" ca="1">[1]!s_west_instnum_np($B$1,YEAR($A839)+1,$A839,180)</f>
        <v>11</v>
      </c>
      <c r="J839" cm="1">
        <f t="array" aca="1" ref="J839" ca="1">[1]!s_west_stdnetprofit($B$1,YEAR($A839)+1,$A839,180,1000000)</f>
        <v>63.318503999999997</v>
      </c>
      <c r="K839" cm="1">
        <f t="array" aca="1" ref="K839" ca="1">[1]!s_west_mediannetprofit($B$1,YEAR($A838)+1,$A838,180,1000000)</f>
        <v>35.4</v>
      </c>
      <c r="L839" cm="1">
        <f t="array" aca="1" ref="L839" ca="1">[1]!s_dq_close($B$1,$A839,3)</f>
        <v>20.7</v>
      </c>
    </row>
    <row r="840" spans="1:12">
      <c r="A840" s="23">
        <f t="shared" ca="1" si="12"/>
        <v>45335</v>
      </c>
      <c r="B840" cm="1">
        <f t="array" aca="1" ref="B840" ca="1">[1]!s_west_netprofit($B$1,YEAR($A840),$A840,180,1000000)</f>
        <v>-43.612932999999998</v>
      </c>
      <c r="C840" cm="1">
        <f t="array" aca="1" ref="C840" ca="1">[1]!s_west_eps($B$1,YEAR($A840),$A840,180)</f>
        <v>-5.0099999999999999E-2</v>
      </c>
      <c r="D840" cm="1">
        <f t="array" aca="1" ref="D840" ca="1">[1]!s_west_instnum_np($B$1,YEAR($A840),$A840,180)</f>
        <v>12</v>
      </c>
      <c r="E840" cm="1">
        <f t="array" aca="1" ref="E840" ca="1">[1]!s_west_stdnetprofit($B$1,YEAR($A840),$A840,180,1000000)</f>
        <v>38.765515999999998</v>
      </c>
      <c r="F840" cm="1">
        <f t="array" aca="1" ref="F840" ca="1">[1]!s_west_mediannetprofit($B$1,YEAR($A840),$A840,180,1000000)</f>
        <v>-36</v>
      </c>
      <c r="G840" cm="1">
        <f t="array" aca="1" ref="G840" ca="1">[1]!s_west_netprofit($B$1,YEAR($A840)+1,$A840,180,1000000)</f>
        <v>61.725963999999998</v>
      </c>
      <c r="H840" cm="1">
        <f t="array" aca="1" ref="H840" ca="1">[1]!s_west_eps($B$1,YEAR($A840)+1,$A840,180)</f>
        <v>7.0800000000000002E-2</v>
      </c>
      <c r="I840" cm="1">
        <f t="array" aca="1" ref="I840" ca="1">[1]!s_west_instnum_np($B$1,YEAR($A840)+1,$A840,180)</f>
        <v>11</v>
      </c>
      <c r="J840" cm="1">
        <f t="array" aca="1" ref="J840" ca="1">[1]!s_west_stdnetprofit($B$1,YEAR($A840)+1,$A840,180,1000000)</f>
        <v>63.318503999999997</v>
      </c>
      <c r="K840" cm="1">
        <f t="array" aca="1" ref="K840" ca="1">[1]!s_west_mediannetprofit($B$1,YEAR($A839)+1,$A839,180,1000000)</f>
        <v>35.4</v>
      </c>
      <c r="L840" cm="1">
        <f t="array" aca="1" ref="L840" ca="1">[1]!s_dq_close($B$1,$A840,3)</f>
        <v>21.95</v>
      </c>
    </row>
    <row r="841" spans="1:12">
      <c r="A841" s="23">
        <f t="shared" ca="1" si="12"/>
        <v>45334</v>
      </c>
      <c r="B841" cm="1">
        <f t="array" aca="1" ref="B841" ca="1">[1]!s_west_netprofit($B$1,YEAR($A841),$A841,180,1000000)</f>
        <v>-43.612932999999998</v>
      </c>
      <c r="C841" cm="1">
        <f t="array" aca="1" ref="C841" ca="1">[1]!s_west_eps($B$1,YEAR($A841),$A841,180)</f>
        <v>-5.0099999999999999E-2</v>
      </c>
      <c r="D841" cm="1">
        <f t="array" aca="1" ref="D841" ca="1">[1]!s_west_instnum_np($B$1,YEAR($A841),$A841,180)</f>
        <v>12</v>
      </c>
      <c r="E841" cm="1">
        <f t="array" aca="1" ref="E841" ca="1">[1]!s_west_stdnetprofit($B$1,YEAR($A841),$A841,180,1000000)</f>
        <v>38.765515999999998</v>
      </c>
      <c r="F841" cm="1">
        <f t="array" aca="1" ref="F841" ca="1">[1]!s_west_mediannetprofit($B$1,YEAR($A841),$A841,180,1000000)</f>
        <v>-36</v>
      </c>
      <c r="G841" cm="1">
        <f t="array" aca="1" ref="G841" ca="1">[1]!s_west_netprofit($B$1,YEAR($A841)+1,$A841,180,1000000)</f>
        <v>61.725963999999998</v>
      </c>
      <c r="H841" cm="1">
        <f t="array" aca="1" ref="H841" ca="1">[1]!s_west_eps($B$1,YEAR($A841)+1,$A841,180)</f>
        <v>7.0800000000000002E-2</v>
      </c>
      <c r="I841" cm="1">
        <f t="array" aca="1" ref="I841" ca="1">[1]!s_west_instnum_np($B$1,YEAR($A841)+1,$A841,180)</f>
        <v>11</v>
      </c>
      <c r="J841" cm="1">
        <f t="array" aca="1" ref="J841" ca="1">[1]!s_west_stdnetprofit($B$1,YEAR($A841)+1,$A841,180,1000000)</f>
        <v>63.318503999999997</v>
      </c>
      <c r="K841" cm="1">
        <f t="array" aca="1" ref="K841" ca="1">[1]!s_west_mediannetprofit($B$1,YEAR($A840)+1,$A840,180,1000000)</f>
        <v>35.4</v>
      </c>
      <c r="L841" cm="1">
        <f t="array" aca="1" ref="L841" ca="1">[1]!s_dq_close($B$1,$A841,3)</f>
        <v>21.95</v>
      </c>
    </row>
    <row r="842" spans="1:12">
      <c r="A842" s="23">
        <f t="shared" ca="1" si="12"/>
        <v>45333</v>
      </c>
      <c r="B842" cm="1">
        <f t="array" aca="1" ref="B842" ca="1">[1]!s_west_netprofit($B$1,YEAR($A842),$A842,180,1000000)</f>
        <v>-43.612932999999998</v>
      </c>
      <c r="C842" cm="1">
        <f t="array" aca="1" ref="C842" ca="1">[1]!s_west_eps($B$1,YEAR($A842),$A842,180)</f>
        <v>-5.0099999999999999E-2</v>
      </c>
      <c r="D842" cm="1">
        <f t="array" aca="1" ref="D842" ca="1">[1]!s_west_instnum_np($B$1,YEAR($A842),$A842,180)</f>
        <v>12</v>
      </c>
      <c r="E842" cm="1">
        <f t="array" aca="1" ref="E842" ca="1">[1]!s_west_stdnetprofit($B$1,YEAR($A842),$A842,180,1000000)</f>
        <v>38.765515999999998</v>
      </c>
      <c r="F842" cm="1">
        <f t="array" aca="1" ref="F842" ca="1">[1]!s_west_mediannetprofit($B$1,YEAR($A842),$A842,180,1000000)</f>
        <v>-36</v>
      </c>
      <c r="G842" cm="1">
        <f t="array" aca="1" ref="G842" ca="1">[1]!s_west_netprofit($B$1,YEAR($A842)+1,$A842,180,1000000)</f>
        <v>61.725963999999998</v>
      </c>
      <c r="H842" cm="1">
        <f t="array" aca="1" ref="H842" ca="1">[1]!s_west_eps($B$1,YEAR($A842)+1,$A842,180)</f>
        <v>7.0800000000000002E-2</v>
      </c>
      <c r="I842" cm="1">
        <f t="array" aca="1" ref="I842" ca="1">[1]!s_west_instnum_np($B$1,YEAR($A842)+1,$A842,180)</f>
        <v>11</v>
      </c>
      <c r="J842" cm="1">
        <f t="array" aca="1" ref="J842" ca="1">[1]!s_west_stdnetprofit($B$1,YEAR($A842)+1,$A842,180,1000000)</f>
        <v>63.318503999999997</v>
      </c>
      <c r="K842" cm="1">
        <f t="array" aca="1" ref="K842" ca="1">[1]!s_west_mediannetprofit($B$1,YEAR($A841)+1,$A841,180,1000000)</f>
        <v>35.4</v>
      </c>
      <c r="L842" cm="1">
        <f t="array" aca="1" ref="L842" ca="1">[1]!s_dq_close($B$1,$A842,3)</f>
        <v>21.95</v>
      </c>
    </row>
    <row r="843" spans="1:12">
      <c r="A843" s="23">
        <f t="shared" ca="1" si="12"/>
        <v>45332</v>
      </c>
      <c r="B843" cm="1">
        <f t="array" aca="1" ref="B843" ca="1">[1]!s_west_netprofit($B$1,YEAR($A843),$A843,180,1000000)</f>
        <v>-43.612932999999998</v>
      </c>
      <c r="C843" cm="1">
        <f t="array" aca="1" ref="C843" ca="1">[1]!s_west_eps($B$1,YEAR($A843),$A843,180)</f>
        <v>-5.0099999999999999E-2</v>
      </c>
      <c r="D843" cm="1">
        <f t="array" aca="1" ref="D843" ca="1">[1]!s_west_instnum_np($B$1,YEAR($A843),$A843,180)</f>
        <v>12</v>
      </c>
      <c r="E843" cm="1">
        <f t="array" aca="1" ref="E843" ca="1">[1]!s_west_stdnetprofit($B$1,YEAR($A843),$A843,180,1000000)</f>
        <v>38.765515999999998</v>
      </c>
      <c r="F843" cm="1">
        <f t="array" aca="1" ref="F843" ca="1">[1]!s_west_mediannetprofit($B$1,YEAR($A843),$A843,180,1000000)</f>
        <v>-36</v>
      </c>
      <c r="G843" cm="1">
        <f t="array" aca="1" ref="G843" ca="1">[1]!s_west_netprofit($B$1,YEAR($A843)+1,$A843,180,1000000)</f>
        <v>61.725963999999998</v>
      </c>
      <c r="H843" cm="1">
        <f t="array" aca="1" ref="H843" ca="1">[1]!s_west_eps($B$1,YEAR($A843)+1,$A843,180)</f>
        <v>7.0800000000000002E-2</v>
      </c>
      <c r="I843" cm="1">
        <f t="array" aca="1" ref="I843" ca="1">[1]!s_west_instnum_np($B$1,YEAR($A843)+1,$A843,180)</f>
        <v>11</v>
      </c>
      <c r="J843" cm="1">
        <f t="array" aca="1" ref="J843" ca="1">[1]!s_west_stdnetprofit($B$1,YEAR($A843)+1,$A843,180,1000000)</f>
        <v>63.318503999999997</v>
      </c>
      <c r="K843" cm="1">
        <f t="array" aca="1" ref="K843" ca="1">[1]!s_west_mediannetprofit($B$1,YEAR($A842)+1,$A842,180,1000000)</f>
        <v>35.4</v>
      </c>
      <c r="L843" cm="1">
        <f t="array" aca="1" ref="L843" ca="1">[1]!s_dq_close($B$1,$A843,3)</f>
        <v>21.95</v>
      </c>
    </row>
    <row r="844" spans="1:12">
      <c r="A844" s="23">
        <f t="shared" ca="1" si="12"/>
        <v>45331</v>
      </c>
      <c r="B844" cm="1">
        <f t="array" aca="1" ref="B844" ca="1">[1]!s_west_netprofit($B$1,YEAR($A844),$A844,180,1000000)</f>
        <v>-42.565784999999998</v>
      </c>
      <c r="C844" cm="1">
        <f t="array" aca="1" ref="C844" ca="1">[1]!s_west_eps($B$1,YEAR($A844),$A844,180)</f>
        <v>-4.8899999999999999E-2</v>
      </c>
      <c r="D844" cm="1">
        <f t="array" aca="1" ref="D844" ca="1">[1]!s_west_instnum_np($B$1,YEAR($A844),$A844,180)</f>
        <v>13</v>
      </c>
      <c r="E844" cm="1">
        <f t="array" aca="1" ref="E844" ca="1">[1]!s_west_stdnetprofit($B$1,YEAR($A844),$A844,180,1000000)</f>
        <v>37.306696000000002</v>
      </c>
      <c r="F844" cm="1">
        <f t="array" aca="1" ref="F844" ca="1">[1]!s_west_mediannetprofit($B$1,YEAR($A844),$A844,180,1000000)</f>
        <v>-31</v>
      </c>
      <c r="G844" cm="1">
        <f t="array" aca="1" ref="G844" ca="1">[1]!s_west_netprofit($B$1,YEAR($A844)+1,$A844,180,1000000)</f>
        <v>62.582132999999999</v>
      </c>
      <c r="H844" cm="1">
        <f t="array" aca="1" ref="H844" ca="1">[1]!s_west_eps($B$1,YEAR($A844)+1,$A844,180)</f>
        <v>7.1800000000000003E-2</v>
      </c>
      <c r="I844" cm="1">
        <f t="array" aca="1" ref="I844" ca="1">[1]!s_west_instnum_np($B$1,YEAR($A844)+1,$A844,180)</f>
        <v>12</v>
      </c>
      <c r="J844" cm="1">
        <f t="array" aca="1" ref="J844" ca="1">[1]!s_west_stdnetprofit($B$1,YEAR($A844)+1,$A844,180,1000000)</f>
        <v>60.444631999999999</v>
      </c>
      <c r="K844" cm="1">
        <f t="array" aca="1" ref="K844" ca="1">[1]!s_west_mediannetprofit($B$1,YEAR($A843)+1,$A843,180,1000000)</f>
        <v>35.4</v>
      </c>
      <c r="L844" cm="1">
        <f t="array" aca="1" ref="L844" ca="1">[1]!s_dq_close($B$1,$A844,3)</f>
        <v>21.95</v>
      </c>
    </row>
    <row r="845" spans="1:12">
      <c r="A845" s="23">
        <f t="shared" ref="A845:A908" ca="1" si="13">A844-1</f>
        <v>45330</v>
      </c>
      <c r="B845" cm="1">
        <f t="array" aca="1" ref="B845" ca="1">[1]!s_west_netprofit($B$1,YEAR($A845),$A845,180,1000000)</f>
        <v>-42.559485000000002</v>
      </c>
      <c r="C845" cm="1">
        <f t="array" aca="1" ref="C845" ca="1">[1]!s_west_eps($B$1,YEAR($A845),$A845,180)</f>
        <v>-4.8800000000000003E-2</v>
      </c>
      <c r="D845" cm="1">
        <f t="array" aca="1" ref="D845" ca="1">[1]!s_west_instnum_np($B$1,YEAR($A845),$A845,180)</f>
        <v>13</v>
      </c>
      <c r="E845" cm="1">
        <f t="array" aca="1" ref="E845" ca="1">[1]!s_west_stdnetprofit($B$1,YEAR($A845),$A845,180,1000000)</f>
        <v>37.293391</v>
      </c>
      <c r="F845" cm="1">
        <f t="array" aca="1" ref="F845" ca="1">[1]!s_west_mediannetprofit($B$1,YEAR($A845),$A845,180,1000000)</f>
        <v>-31</v>
      </c>
      <c r="G845" cm="1">
        <f t="array" aca="1" ref="G845" ca="1">[1]!s_west_netprofit($B$1,YEAR($A845)+1,$A845,180,1000000)</f>
        <v>62.583533000000003</v>
      </c>
      <c r="H845" cm="1">
        <f t="array" aca="1" ref="H845" ca="1">[1]!s_west_eps($B$1,YEAR($A845)+1,$A845,180)</f>
        <v>7.1800000000000003E-2</v>
      </c>
      <c r="I845" cm="1">
        <f t="array" aca="1" ref="I845" ca="1">[1]!s_west_instnum_np($B$1,YEAR($A845)+1,$A845,180)</f>
        <v>12</v>
      </c>
      <c r="J845" cm="1">
        <f t="array" aca="1" ref="J845" ca="1">[1]!s_west_stdnetprofit($B$1,YEAR($A845)+1,$A845,180,1000000)</f>
        <v>60.442453999999998</v>
      </c>
      <c r="K845" cm="1">
        <f t="array" aca="1" ref="K845" ca="1">[1]!s_west_mediannetprofit($B$1,YEAR($A844)+1,$A844,180,1000000)</f>
        <v>41.2</v>
      </c>
      <c r="L845" cm="1">
        <f t="array" aca="1" ref="L845" ca="1">[1]!s_dq_close($B$1,$A845,3)</f>
        <v>21.8</v>
      </c>
    </row>
    <row r="846" spans="1:12">
      <c r="A846" s="23">
        <f t="shared" ca="1" si="13"/>
        <v>45329</v>
      </c>
      <c r="B846" cm="1">
        <f t="array" aca="1" ref="B846" ca="1">[1]!s_west_netprofit($B$1,YEAR($A846),$A846,180,1000000)</f>
        <v>-42.559485000000002</v>
      </c>
      <c r="C846" cm="1">
        <f t="array" aca="1" ref="C846" ca="1">[1]!s_west_eps($B$1,YEAR($A846),$A846,180)</f>
        <v>-4.8800000000000003E-2</v>
      </c>
      <c r="D846" cm="1">
        <f t="array" aca="1" ref="D846" ca="1">[1]!s_west_instnum_np($B$1,YEAR($A846),$A846,180)</f>
        <v>13</v>
      </c>
      <c r="E846" cm="1">
        <f t="array" aca="1" ref="E846" ca="1">[1]!s_west_stdnetprofit($B$1,YEAR($A846),$A846,180,1000000)</f>
        <v>37.293391</v>
      </c>
      <c r="F846" cm="1">
        <f t="array" aca="1" ref="F846" ca="1">[1]!s_west_mediannetprofit($B$1,YEAR($A846),$A846,180,1000000)</f>
        <v>-31</v>
      </c>
      <c r="G846" cm="1">
        <f t="array" aca="1" ref="G846" ca="1">[1]!s_west_netprofit($B$1,YEAR($A846)+1,$A846,180,1000000)</f>
        <v>62.583533000000003</v>
      </c>
      <c r="H846" cm="1">
        <f t="array" aca="1" ref="H846" ca="1">[1]!s_west_eps($B$1,YEAR($A846)+1,$A846,180)</f>
        <v>7.1800000000000003E-2</v>
      </c>
      <c r="I846" cm="1">
        <f t="array" aca="1" ref="I846" ca="1">[1]!s_west_instnum_np($B$1,YEAR($A846)+1,$A846,180)</f>
        <v>12</v>
      </c>
      <c r="J846" cm="1">
        <f t="array" aca="1" ref="J846" ca="1">[1]!s_west_stdnetprofit($B$1,YEAR($A846)+1,$A846,180,1000000)</f>
        <v>60.442453999999998</v>
      </c>
      <c r="K846" cm="1">
        <f t="array" aca="1" ref="K846" ca="1">[1]!s_west_mediannetprofit($B$1,YEAR($A845)+1,$A845,180,1000000)</f>
        <v>41.2</v>
      </c>
      <c r="L846" cm="1">
        <f t="array" aca="1" ref="L846" ca="1">[1]!s_dq_close($B$1,$A846,3)</f>
        <v>21.85</v>
      </c>
    </row>
    <row r="847" spans="1:12">
      <c r="A847" s="23">
        <f t="shared" ca="1" si="13"/>
        <v>45328</v>
      </c>
      <c r="B847" cm="1">
        <f t="array" aca="1" ref="B847" ca="1">[1]!s_west_netprofit($B$1,YEAR($A847),$A847,180,1000000)</f>
        <v>-42.559485000000002</v>
      </c>
      <c r="C847" cm="1">
        <f t="array" aca="1" ref="C847" ca="1">[1]!s_west_eps($B$1,YEAR($A847),$A847,180)</f>
        <v>-4.8800000000000003E-2</v>
      </c>
      <c r="D847" cm="1">
        <f t="array" aca="1" ref="D847" ca="1">[1]!s_west_instnum_np($B$1,YEAR($A847),$A847,180)</f>
        <v>13</v>
      </c>
      <c r="E847" cm="1">
        <f t="array" aca="1" ref="E847" ca="1">[1]!s_west_stdnetprofit($B$1,YEAR($A847),$A847,180,1000000)</f>
        <v>37.293391</v>
      </c>
      <c r="F847" cm="1">
        <f t="array" aca="1" ref="F847" ca="1">[1]!s_west_mediannetprofit($B$1,YEAR($A847),$A847,180,1000000)</f>
        <v>-31</v>
      </c>
      <c r="G847" cm="1">
        <f t="array" aca="1" ref="G847" ca="1">[1]!s_west_netprofit($B$1,YEAR($A847)+1,$A847,180,1000000)</f>
        <v>62.583533000000003</v>
      </c>
      <c r="H847" cm="1">
        <f t="array" aca="1" ref="H847" ca="1">[1]!s_west_eps($B$1,YEAR($A847)+1,$A847,180)</f>
        <v>7.1800000000000003E-2</v>
      </c>
      <c r="I847" cm="1">
        <f t="array" aca="1" ref="I847" ca="1">[1]!s_west_instnum_np($B$1,YEAR($A847)+1,$A847,180)</f>
        <v>12</v>
      </c>
      <c r="J847" cm="1">
        <f t="array" aca="1" ref="J847" ca="1">[1]!s_west_stdnetprofit($B$1,YEAR($A847)+1,$A847,180,1000000)</f>
        <v>60.442453999999998</v>
      </c>
      <c r="K847" cm="1">
        <f t="array" aca="1" ref="K847" ca="1">[1]!s_west_mediannetprofit($B$1,YEAR($A846)+1,$A846,180,1000000)</f>
        <v>41.2</v>
      </c>
      <c r="L847" cm="1">
        <f t="array" aca="1" ref="L847" ca="1">[1]!s_dq_close($B$1,$A847,3)</f>
        <v>21.25</v>
      </c>
    </row>
    <row r="848" spans="1:12">
      <c r="A848" s="23">
        <f t="shared" ca="1" si="13"/>
        <v>45327</v>
      </c>
      <c r="B848" cm="1">
        <f t="array" aca="1" ref="B848" ca="1">[1]!s_west_netprofit($B$1,YEAR($A848),$A848,180,1000000)</f>
        <v>-42.559485000000002</v>
      </c>
      <c r="C848" cm="1">
        <f t="array" aca="1" ref="C848" ca="1">[1]!s_west_eps($B$1,YEAR($A848),$A848,180)</f>
        <v>-4.8800000000000003E-2</v>
      </c>
      <c r="D848" cm="1">
        <f t="array" aca="1" ref="D848" ca="1">[1]!s_west_instnum_np($B$1,YEAR($A848),$A848,180)</f>
        <v>13</v>
      </c>
      <c r="E848" cm="1">
        <f t="array" aca="1" ref="E848" ca="1">[1]!s_west_stdnetprofit($B$1,YEAR($A848),$A848,180,1000000)</f>
        <v>37.293391</v>
      </c>
      <c r="F848" cm="1">
        <f t="array" aca="1" ref="F848" ca="1">[1]!s_west_mediannetprofit($B$1,YEAR($A848),$A848,180,1000000)</f>
        <v>-31</v>
      </c>
      <c r="G848" cm="1">
        <f t="array" aca="1" ref="G848" ca="1">[1]!s_west_netprofit($B$1,YEAR($A848)+1,$A848,180,1000000)</f>
        <v>62.583533000000003</v>
      </c>
      <c r="H848" cm="1">
        <f t="array" aca="1" ref="H848" ca="1">[1]!s_west_eps($B$1,YEAR($A848)+1,$A848,180)</f>
        <v>7.1800000000000003E-2</v>
      </c>
      <c r="I848" cm="1">
        <f t="array" aca="1" ref="I848" ca="1">[1]!s_west_instnum_np($B$1,YEAR($A848)+1,$A848,180)</f>
        <v>12</v>
      </c>
      <c r="J848" cm="1">
        <f t="array" aca="1" ref="J848" ca="1">[1]!s_west_stdnetprofit($B$1,YEAR($A848)+1,$A848,180,1000000)</f>
        <v>60.442453999999998</v>
      </c>
      <c r="K848" cm="1">
        <f t="array" aca="1" ref="K848" ca="1">[1]!s_west_mediannetprofit($B$1,YEAR($A847)+1,$A847,180,1000000)</f>
        <v>41.2</v>
      </c>
      <c r="L848" cm="1">
        <f t="array" aca="1" ref="L848" ca="1">[1]!s_dq_close($B$1,$A848,3)</f>
        <v>19.16</v>
      </c>
    </row>
    <row r="849" spans="1:12">
      <c r="A849" s="23">
        <f t="shared" ca="1" si="13"/>
        <v>45326</v>
      </c>
      <c r="B849" cm="1">
        <f t="array" aca="1" ref="B849" ca="1">[1]!s_west_netprofit($B$1,YEAR($A849),$A849,180,1000000)</f>
        <v>-42.565784999999998</v>
      </c>
      <c r="C849" cm="1">
        <f t="array" aca="1" ref="C849" ca="1">[1]!s_west_eps($B$1,YEAR($A849),$A849,180)</f>
        <v>-4.8899999999999999E-2</v>
      </c>
      <c r="D849" cm="1">
        <f t="array" aca="1" ref="D849" ca="1">[1]!s_west_instnum_np($B$1,YEAR($A849),$A849,180)</f>
        <v>13</v>
      </c>
      <c r="E849" cm="1">
        <f t="array" aca="1" ref="E849" ca="1">[1]!s_west_stdnetprofit($B$1,YEAR($A849),$A849,180,1000000)</f>
        <v>37.306696000000002</v>
      </c>
      <c r="F849" cm="1">
        <f t="array" aca="1" ref="F849" ca="1">[1]!s_west_mediannetprofit($B$1,YEAR($A849),$A849,180,1000000)</f>
        <v>-31</v>
      </c>
      <c r="G849" cm="1">
        <f t="array" aca="1" ref="G849" ca="1">[1]!s_west_netprofit($B$1,YEAR($A849)+1,$A849,180,1000000)</f>
        <v>62.582132999999999</v>
      </c>
      <c r="H849" cm="1">
        <f t="array" aca="1" ref="H849" ca="1">[1]!s_west_eps($B$1,YEAR($A849)+1,$A849,180)</f>
        <v>7.1800000000000003E-2</v>
      </c>
      <c r="I849" cm="1">
        <f t="array" aca="1" ref="I849" ca="1">[1]!s_west_instnum_np($B$1,YEAR($A849)+1,$A849,180)</f>
        <v>12</v>
      </c>
      <c r="J849" cm="1">
        <f t="array" aca="1" ref="J849" ca="1">[1]!s_west_stdnetprofit($B$1,YEAR($A849)+1,$A849,180,1000000)</f>
        <v>60.444631999999999</v>
      </c>
      <c r="K849" cm="1">
        <f t="array" aca="1" ref="K849" ca="1">[1]!s_west_mediannetprofit($B$1,YEAR($A848)+1,$A848,180,1000000)</f>
        <v>41.2</v>
      </c>
      <c r="L849" cm="1">
        <f t="array" aca="1" ref="L849" ca="1">[1]!s_dq_close($B$1,$A849,3)</f>
        <v>19.62</v>
      </c>
    </row>
    <row r="850" spans="1:12">
      <c r="A850" s="23">
        <f t="shared" ca="1" si="13"/>
        <v>45325</v>
      </c>
      <c r="B850" cm="1">
        <f t="array" aca="1" ref="B850" ca="1">[1]!s_west_netprofit($B$1,YEAR($A850),$A850,180,1000000)</f>
        <v>-42.565784999999998</v>
      </c>
      <c r="C850" cm="1">
        <f t="array" aca="1" ref="C850" ca="1">[1]!s_west_eps($B$1,YEAR($A850),$A850,180)</f>
        <v>-4.8899999999999999E-2</v>
      </c>
      <c r="D850" cm="1">
        <f t="array" aca="1" ref="D850" ca="1">[1]!s_west_instnum_np($B$1,YEAR($A850),$A850,180)</f>
        <v>13</v>
      </c>
      <c r="E850" cm="1">
        <f t="array" aca="1" ref="E850" ca="1">[1]!s_west_stdnetprofit($B$1,YEAR($A850),$A850,180,1000000)</f>
        <v>37.306696000000002</v>
      </c>
      <c r="F850" cm="1">
        <f t="array" aca="1" ref="F850" ca="1">[1]!s_west_mediannetprofit($B$1,YEAR($A850),$A850,180,1000000)</f>
        <v>-31</v>
      </c>
      <c r="G850" cm="1">
        <f t="array" aca="1" ref="G850" ca="1">[1]!s_west_netprofit($B$1,YEAR($A850)+1,$A850,180,1000000)</f>
        <v>62.582132999999999</v>
      </c>
      <c r="H850" cm="1">
        <f t="array" aca="1" ref="H850" ca="1">[1]!s_west_eps($B$1,YEAR($A850)+1,$A850,180)</f>
        <v>7.1800000000000003E-2</v>
      </c>
      <c r="I850" cm="1">
        <f t="array" aca="1" ref="I850" ca="1">[1]!s_west_instnum_np($B$1,YEAR($A850)+1,$A850,180)</f>
        <v>12</v>
      </c>
      <c r="J850" cm="1">
        <f t="array" aca="1" ref="J850" ca="1">[1]!s_west_stdnetprofit($B$1,YEAR($A850)+1,$A850,180,1000000)</f>
        <v>60.444631999999999</v>
      </c>
      <c r="K850" cm="1">
        <f t="array" aca="1" ref="K850" ca="1">[1]!s_west_mediannetprofit($B$1,YEAR($A849)+1,$A849,180,1000000)</f>
        <v>41.2</v>
      </c>
      <c r="L850" cm="1">
        <f t="array" aca="1" ref="L850" ca="1">[1]!s_dq_close($B$1,$A850,3)</f>
        <v>19.62</v>
      </c>
    </row>
    <row r="851" spans="1:12">
      <c r="A851" s="23">
        <f t="shared" ca="1" si="13"/>
        <v>45324</v>
      </c>
      <c r="B851" cm="1">
        <f t="array" aca="1" ref="B851" ca="1">[1]!s_west_netprofit($B$1,YEAR($A851),$A851,180,1000000)</f>
        <v>-42.565784999999998</v>
      </c>
      <c r="C851" cm="1">
        <f t="array" aca="1" ref="C851" ca="1">[1]!s_west_eps($B$1,YEAR($A851),$A851,180)</f>
        <v>-4.8899999999999999E-2</v>
      </c>
      <c r="D851" cm="1">
        <f t="array" aca="1" ref="D851" ca="1">[1]!s_west_instnum_np($B$1,YEAR($A851),$A851,180)</f>
        <v>13</v>
      </c>
      <c r="E851" cm="1">
        <f t="array" aca="1" ref="E851" ca="1">[1]!s_west_stdnetprofit($B$1,YEAR($A851),$A851,180,1000000)</f>
        <v>37.306696000000002</v>
      </c>
      <c r="F851" cm="1">
        <f t="array" aca="1" ref="F851" ca="1">[1]!s_west_mediannetprofit($B$1,YEAR($A851),$A851,180,1000000)</f>
        <v>-31</v>
      </c>
      <c r="G851" cm="1">
        <f t="array" aca="1" ref="G851" ca="1">[1]!s_west_netprofit($B$1,YEAR($A851)+1,$A851,180,1000000)</f>
        <v>62.582132999999999</v>
      </c>
      <c r="H851" cm="1">
        <f t="array" aca="1" ref="H851" ca="1">[1]!s_west_eps($B$1,YEAR($A851)+1,$A851,180)</f>
        <v>7.1800000000000003E-2</v>
      </c>
      <c r="I851" cm="1">
        <f t="array" aca="1" ref="I851" ca="1">[1]!s_west_instnum_np($B$1,YEAR($A851)+1,$A851,180)</f>
        <v>12</v>
      </c>
      <c r="J851" cm="1">
        <f t="array" aca="1" ref="J851" ca="1">[1]!s_west_stdnetprofit($B$1,YEAR($A851)+1,$A851,180,1000000)</f>
        <v>60.444631999999999</v>
      </c>
      <c r="K851" cm="1">
        <f t="array" aca="1" ref="K851" ca="1">[1]!s_west_mediannetprofit($B$1,YEAR($A850)+1,$A850,180,1000000)</f>
        <v>41.2</v>
      </c>
      <c r="L851" cm="1">
        <f t="array" aca="1" ref="L851" ca="1">[1]!s_dq_close($B$1,$A851,3)</f>
        <v>19.62</v>
      </c>
    </row>
    <row r="852" spans="1:12">
      <c r="A852" s="23">
        <f t="shared" ca="1" si="13"/>
        <v>45323</v>
      </c>
      <c r="B852" cm="1">
        <f t="array" aca="1" ref="B852" ca="1">[1]!s_west_netprofit($B$1,YEAR($A852),$A852,180,1000000)</f>
        <v>-42.559485000000002</v>
      </c>
      <c r="C852" cm="1">
        <f t="array" aca="1" ref="C852" ca="1">[1]!s_west_eps($B$1,YEAR($A852),$A852,180)</f>
        <v>-4.8800000000000003E-2</v>
      </c>
      <c r="D852" cm="1">
        <f t="array" aca="1" ref="D852" ca="1">[1]!s_west_instnum_np($B$1,YEAR($A852),$A852,180)</f>
        <v>13</v>
      </c>
      <c r="E852" cm="1">
        <f t="array" aca="1" ref="E852" ca="1">[1]!s_west_stdnetprofit($B$1,YEAR($A852),$A852,180,1000000)</f>
        <v>37.293391</v>
      </c>
      <c r="F852" cm="1">
        <f t="array" aca="1" ref="F852" ca="1">[1]!s_west_mediannetprofit($B$1,YEAR($A852),$A852,180,1000000)</f>
        <v>-31</v>
      </c>
      <c r="G852" cm="1">
        <f t="array" aca="1" ref="G852" ca="1">[1]!s_west_netprofit($B$1,YEAR($A852)+1,$A852,180,1000000)</f>
        <v>62.583533000000003</v>
      </c>
      <c r="H852" cm="1">
        <f t="array" aca="1" ref="H852" ca="1">[1]!s_west_eps($B$1,YEAR($A852)+1,$A852,180)</f>
        <v>7.1800000000000003E-2</v>
      </c>
      <c r="I852" cm="1">
        <f t="array" aca="1" ref="I852" ca="1">[1]!s_west_instnum_np($B$1,YEAR($A852)+1,$A852,180)</f>
        <v>12</v>
      </c>
      <c r="J852" cm="1">
        <f t="array" aca="1" ref="J852" ca="1">[1]!s_west_stdnetprofit($B$1,YEAR($A852)+1,$A852,180,1000000)</f>
        <v>60.442453999999998</v>
      </c>
      <c r="K852" cm="1">
        <f t="array" aca="1" ref="K852" ca="1">[1]!s_west_mediannetprofit($B$1,YEAR($A851)+1,$A851,180,1000000)</f>
        <v>41.2</v>
      </c>
      <c r="L852" cm="1">
        <f t="array" aca="1" ref="L852" ca="1">[1]!s_dq_close($B$1,$A852,3)</f>
        <v>20</v>
      </c>
    </row>
    <row r="853" spans="1:12">
      <c r="A853" s="23">
        <f t="shared" ca="1" si="13"/>
        <v>45322</v>
      </c>
      <c r="B853" cm="1">
        <f t="array" aca="1" ref="B853" ca="1">[1]!s_west_netprofit($B$1,YEAR($A853),$A853,180,1000000)</f>
        <v>-42.565784999999998</v>
      </c>
      <c r="C853" cm="1">
        <f t="array" aca="1" ref="C853" ca="1">[1]!s_west_eps($B$1,YEAR($A853),$A853,180)</f>
        <v>-4.8899999999999999E-2</v>
      </c>
      <c r="D853" cm="1">
        <f t="array" aca="1" ref="D853" ca="1">[1]!s_west_instnum_np($B$1,YEAR($A853),$A853,180)</f>
        <v>13</v>
      </c>
      <c r="E853" cm="1">
        <f t="array" aca="1" ref="E853" ca="1">[1]!s_west_stdnetprofit($B$1,YEAR($A853),$A853,180,1000000)</f>
        <v>37.306696000000002</v>
      </c>
      <c r="F853" cm="1">
        <f t="array" aca="1" ref="F853" ca="1">[1]!s_west_mediannetprofit($B$1,YEAR($A853),$A853,180,1000000)</f>
        <v>-31</v>
      </c>
      <c r="G853" cm="1">
        <f t="array" aca="1" ref="G853" ca="1">[1]!s_west_netprofit($B$1,YEAR($A853)+1,$A853,180,1000000)</f>
        <v>62.582132999999999</v>
      </c>
      <c r="H853" cm="1">
        <f t="array" aca="1" ref="H853" ca="1">[1]!s_west_eps($B$1,YEAR($A853)+1,$A853,180)</f>
        <v>7.1800000000000003E-2</v>
      </c>
      <c r="I853" cm="1">
        <f t="array" aca="1" ref="I853" ca="1">[1]!s_west_instnum_np($B$1,YEAR($A853)+1,$A853,180)</f>
        <v>12</v>
      </c>
      <c r="J853" cm="1">
        <f t="array" aca="1" ref="J853" ca="1">[1]!s_west_stdnetprofit($B$1,YEAR($A853)+1,$A853,180,1000000)</f>
        <v>60.444631999999999</v>
      </c>
      <c r="K853" cm="1">
        <f t="array" aca="1" ref="K853" ca="1">[1]!s_west_mediannetprofit($B$1,YEAR($A852)+1,$A852,180,1000000)</f>
        <v>41.2</v>
      </c>
      <c r="L853" cm="1">
        <f t="array" aca="1" ref="L853" ca="1">[1]!s_dq_close($B$1,$A853,3)</f>
        <v>19.739999999999998</v>
      </c>
    </row>
    <row r="854" spans="1:12">
      <c r="A854" s="23">
        <f t="shared" ca="1" si="13"/>
        <v>45321</v>
      </c>
      <c r="B854" cm="1">
        <f t="array" aca="1" ref="B854" ca="1">[1]!s_west_netprofit($B$1,YEAR($A854),$A854,180,1000000)</f>
        <v>-40.448093</v>
      </c>
      <c r="C854" cm="1">
        <f t="array" aca="1" ref="C854" ca="1">[1]!s_west_eps($B$1,YEAR($A854),$A854,180)</f>
        <v>-4.6399999999999997E-2</v>
      </c>
      <c r="D854" cm="1">
        <f t="array" aca="1" ref="D854" ca="1">[1]!s_west_instnum_np($B$1,YEAR($A854),$A854,180)</f>
        <v>14</v>
      </c>
      <c r="E854" cm="1">
        <f t="array" aca="1" ref="E854" ca="1">[1]!s_west_stdnetprofit($B$1,YEAR($A854),$A854,180,1000000)</f>
        <v>36.690928999999997</v>
      </c>
      <c r="F854" cm="1">
        <f t="array" aca="1" ref="F854" ca="1">[1]!s_west_mediannetprofit($B$1,YEAR($A854),$A854,180,1000000)</f>
        <v>-30.5</v>
      </c>
      <c r="G854" cm="1">
        <f t="array" aca="1" ref="G854" ca="1">[1]!s_west_netprofit($B$1,YEAR($A854)+1,$A854,180,1000000)</f>
        <v>60.154031000000003</v>
      </c>
      <c r="H854" cm="1">
        <f t="array" aca="1" ref="H854" ca="1">[1]!s_west_eps($B$1,YEAR($A854)+1,$A854,180)</f>
        <v>6.9000000000000006E-2</v>
      </c>
      <c r="I854" cm="1">
        <f t="array" aca="1" ref="I854" ca="1">[1]!s_west_instnum_np($B$1,YEAR($A854)+1,$A854,180)</f>
        <v>13</v>
      </c>
      <c r="J854" cm="1">
        <f t="array" aca="1" ref="J854" ca="1">[1]!s_west_stdnetprofit($B$1,YEAR($A854)+1,$A854,180,1000000)</f>
        <v>58.528469000000001</v>
      </c>
      <c r="K854" cm="1">
        <f t="array" aca="1" ref="K854" ca="1">[1]!s_west_mediannetprofit($B$1,YEAR($A853)+1,$A853,180,1000000)</f>
        <v>41.2</v>
      </c>
      <c r="L854" cm="1">
        <f t="array" aca="1" ref="L854" ca="1">[1]!s_dq_close($B$1,$A854,3)</f>
        <v>20.05</v>
      </c>
    </row>
    <row r="855" spans="1:12">
      <c r="A855" s="23">
        <f t="shared" ca="1" si="13"/>
        <v>45320</v>
      </c>
      <c r="B855" cm="1">
        <f t="array" aca="1" ref="B855" ca="1">[1]!s_west_netprofit($B$1,YEAR($A855),$A855,180,1000000)</f>
        <v>-40.448093</v>
      </c>
      <c r="C855" cm="1">
        <f t="array" aca="1" ref="C855" ca="1">[1]!s_west_eps($B$1,YEAR($A855),$A855,180)</f>
        <v>-4.6399999999999997E-2</v>
      </c>
      <c r="D855" cm="1">
        <f t="array" aca="1" ref="D855" ca="1">[1]!s_west_instnum_np($B$1,YEAR($A855),$A855,180)</f>
        <v>14</v>
      </c>
      <c r="E855" cm="1">
        <f t="array" aca="1" ref="E855" ca="1">[1]!s_west_stdnetprofit($B$1,YEAR($A855),$A855,180,1000000)</f>
        <v>36.690928999999997</v>
      </c>
      <c r="F855" cm="1">
        <f t="array" aca="1" ref="F855" ca="1">[1]!s_west_mediannetprofit($B$1,YEAR($A855),$A855,180,1000000)</f>
        <v>-30.5</v>
      </c>
      <c r="G855" cm="1">
        <f t="array" aca="1" ref="G855" ca="1">[1]!s_west_netprofit($B$1,YEAR($A855)+1,$A855,180,1000000)</f>
        <v>60.154031000000003</v>
      </c>
      <c r="H855" cm="1">
        <f t="array" aca="1" ref="H855" ca="1">[1]!s_west_eps($B$1,YEAR($A855)+1,$A855,180)</f>
        <v>6.9000000000000006E-2</v>
      </c>
      <c r="I855" cm="1">
        <f t="array" aca="1" ref="I855" ca="1">[1]!s_west_instnum_np($B$1,YEAR($A855)+1,$A855,180)</f>
        <v>13</v>
      </c>
      <c r="J855" cm="1">
        <f t="array" aca="1" ref="J855" ca="1">[1]!s_west_stdnetprofit($B$1,YEAR($A855)+1,$A855,180,1000000)</f>
        <v>58.528469000000001</v>
      </c>
      <c r="K855" cm="1">
        <f t="array" aca="1" ref="K855" ca="1">[1]!s_west_mediannetprofit($B$1,YEAR($A854)+1,$A854,180,1000000)</f>
        <v>35.4</v>
      </c>
      <c r="L855" cm="1">
        <f t="array" aca="1" ref="L855" ca="1">[1]!s_dq_close($B$1,$A855,3)</f>
        <v>20.2</v>
      </c>
    </row>
    <row r="856" spans="1:12">
      <c r="A856" s="23">
        <f t="shared" ca="1" si="13"/>
        <v>45319</v>
      </c>
      <c r="B856" cm="1">
        <f t="array" aca="1" ref="B856" ca="1">[1]!s_west_netprofit($B$1,YEAR($A856),$A856,180,1000000)</f>
        <v>-49.698331000000003</v>
      </c>
      <c r="C856" cm="1">
        <f t="array" aca="1" ref="C856" ca="1">[1]!s_west_eps($B$1,YEAR($A856),$A856,180)</f>
        <v>-5.7000000000000002E-2</v>
      </c>
      <c r="D856" cm="1">
        <f t="array" aca="1" ref="D856" ca="1">[1]!s_west_instnum_np($B$1,YEAR($A856),$A856,180)</f>
        <v>16</v>
      </c>
      <c r="E856" cm="1">
        <f t="array" aca="1" ref="E856" ca="1">[1]!s_west_stdnetprofit($B$1,YEAR($A856),$A856,180,1000000)</f>
        <v>47.388756999999998</v>
      </c>
      <c r="F856" cm="1">
        <f t="array" aca="1" ref="F856" ca="1">[1]!s_west_mediannetprofit($B$1,YEAR($A856),$A856,180,1000000)</f>
        <v>-36</v>
      </c>
      <c r="G856" cm="1">
        <f t="array" aca="1" ref="G856" ca="1">[1]!s_west_netprofit($B$1,YEAR($A856)+1,$A856,180,1000000)</f>
        <v>48.200159999999997</v>
      </c>
      <c r="H856" cm="1">
        <f t="array" aca="1" ref="H856" ca="1">[1]!s_west_eps($B$1,YEAR($A856)+1,$A856,180)</f>
        <v>5.5300000000000002E-2</v>
      </c>
      <c r="I856" cm="1">
        <f t="array" aca="1" ref="I856" ca="1">[1]!s_west_instnum_np($B$1,YEAR($A856)+1,$A856,180)</f>
        <v>15</v>
      </c>
      <c r="J856" cm="1">
        <f t="array" aca="1" ref="J856" ca="1">[1]!s_west_stdnetprofit($B$1,YEAR($A856)+1,$A856,180,1000000)</f>
        <v>64.820491000000004</v>
      </c>
      <c r="K856" cm="1">
        <f t="array" aca="1" ref="K856" ca="1">[1]!s_west_mediannetprofit($B$1,YEAR($A855)+1,$A855,180,1000000)</f>
        <v>35.4</v>
      </c>
      <c r="L856" cm="1">
        <f t="array" aca="1" ref="L856" ca="1">[1]!s_dq_close($B$1,$A856,3)</f>
        <v>20.6</v>
      </c>
    </row>
    <row r="857" spans="1:12">
      <c r="A857" s="23">
        <f t="shared" ca="1" si="13"/>
        <v>45318</v>
      </c>
      <c r="B857" cm="1">
        <f t="array" aca="1" ref="B857" ca="1">[1]!s_west_netprofit($B$1,YEAR($A857),$A857,180,1000000)</f>
        <v>-49.698331000000003</v>
      </c>
      <c r="C857" cm="1">
        <f t="array" aca="1" ref="C857" ca="1">[1]!s_west_eps($B$1,YEAR($A857),$A857,180)</f>
        <v>-5.7000000000000002E-2</v>
      </c>
      <c r="D857" cm="1">
        <f t="array" aca="1" ref="D857" ca="1">[1]!s_west_instnum_np($B$1,YEAR($A857),$A857,180)</f>
        <v>16</v>
      </c>
      <c r="E857" cm="1">
        <f t="array" aca="1" ref="E857" ca="1">[1]!s_west_stdnetprofit($B$1,YEAR($A857),$A857,180,1000000)</f>
        <v>47.388756999999998</v>
      </c>
      <c r="F857" cm="1">
        <f t="array" aca="1" ref="F857" ca="1">[1]!s_west_mediannetprofit($B$1,YEAR($A857),$A857,180,1000000)</f>
        <v>-36</v>
      </c>
      <c r="G857" cm="1">
        <f t="array" aca="1" ref="G857" ca="1">[1]!s_west_netprofit($B$1,YEAR($A857)+1,$A857,180,1000000)</f>
        <v>48.200159999999997</v>
      </c>
      <c r="H857" cm="1">
        <f t="array" aca="1" ref="H857" ca="1">[1]!s_west_eps($B$1,YEAR($A857)+1,$A857,180)</f>
        <v>5.5300000000000002E-2</v>
      </c>
      <c r="I857" cm="1">
        <f t="array" aca="1" ref="I857" ca="1">[1]!s_west_instnum_np($B$1,YEAR($A857)+1,$A857,180)</f>
        <v>15</v>
      </c>
      <c r="J857" cm="1">
        <f t="array" aca="1" ref="J857" ca="1">[1]!s_west_stdnetprofit($B$1,YEAR($A857)+1,$A857,180,1000000)</f>
        <v>64.820491000000004</v>
      </c>
      <c r="K857" cm="1">
        <f t="array" aca="1" ref="K857" ca="1">[1]!s_west_mediannetprofit($B$1,YEAR($A856)+1,$A856,180,1000000)</f>
        <v>35</v>
      </c>
      <c r="L857" cm="1">
        <f t="array" aca="1" ref="L857" ca="1">[1]!s_dq_close($B$1,$A857,3)</f>
        <v>20.6</v>
      </c>
    </row>
    <row r="858" spans="1:12">
      <c r="A858" s="23">
        <f t="shared" ca="1" si="13"/>
        <v>45317</v>
      </c>
      <c r="B858" cm="1">
        <f t="array" aca="1" ref="B858" ca="1">[1]!s_west_netprofit($B$1,YEAR($A858),$A858,180,1000000)</f>
        <v>-69.193196</v>
      </c>
      <c r="C858" cm="1">
        <f t="array" aca="1" ref="C858" ca="1">[1]!s_west_eps($B$1,YEAR($A858),$A858,180)</f>
        <v>-7.9399999999999998E-2</v>
      </c>
      <c r="D858" cm="1">
        <f t="array" aca="1" ref="D858" ca="1">[1]!s_west_instnum_np($B$1,YEAR($A858),$A858,180)</f>
        <v>16</v>
      </c>
      <c r="E858" cm="1">
        <f t="array" aca="1" ref="E858" ca="1">[1]!s_west_stdnetprofit($B$1,YEAR($A858),$A858,180,1000000)</f>
        <v>92.553684000000004</v>
      </c>
      <c r="F858" cm="1">
        <f t="array" aca="1" ref="F858" ca="1">[1]!s_west_mediannetprofit($B$1,YEAR($A858),$A858,180,1000000)</f>
        <v>-41</v>
      </c>
      <c r="G858" cm="1">
        <f t="array" aca="1" ref="G858" ca="1">[1]!s_west_netprofit($B$1,YEAR($A858)+1,$A858,180,1000000)</f>
        <v>10.541192000000001</v>
      </c>
      <c r="H858" cm="1">
        <f t="array" aca="1" ref="H858" ca="1">[1]!s_west_eps($B$1,YEAR($A858)+1,$A858,180)</f>
        <v>1.21E-2</v>
      </c>
      <c r="I858" cm="1">
        <f t="array" aca="1" ref="I858" ca="1">[1]!s_west_instnum_np($B$1,YEAR($A858)+1,$A858,180)</f>
        <v>15</v>
      </c>
      <c r="J858" cm="1">
        <f t="array" aca="1" ref="J858" ca="1">[1]!s_west_stdnetprofit($B$1,YEAR($A858)+1,$A858,180,1000000)</f>
        <v>163.13414399999999</v>
      </c>
      <c r="K858" cm="1">
        <f t="array" aca="1" ref="K858" ca="1">[1]!s_west_mediannetprofit($B$1,YEAR($A857)+1,$A857,180,1000000)</f>
        <v>35</v>
      </c>
      <c r="L858" cm="1">
        <f t="array" aca="1" ref="L858" ca="1">[1]!s_dq_close($B$1,$A858,3)</f>
        <v>20.6</v>
      </c>
    </row>
    <row r="859" spans="1:12">
      <c r="A859" s="23">
        <f t="shared" ca="1" si="13"/>
        <v>45316</v>
      </c>
      <c r="B859" cm="1">
        <f t="array" aca="1" ref="B859" ca="1">[1]!s_west_netprofit($B$1,YEAR($A859),$A859,180,1000000)</f>
        <v>-69.198014000000001</v>
      </c>
      <c r="C859" cm="1">
        <f t="array" aca="1" ref="C859" ca="1">[1]!s_west_eps($B$1,YEAR($A859),$A859,180)</f>
        <v>-7.9399999999999998E-2</v>
      </c>
      <c r="D859" cm="1">
        <f t="array" aca="1" ref="D859" ca="1">[1]!s_west_instnum_np($B$1,YEAR($A859),$A859,180)</f>
        <v>16</v>
      </c>
      <c r="E859" cm="1">
        <f t="array" aca="1" ref="E859" ca="1">[1]!s_west_stdnetprofit($B$1,YEAR($A859),$A859,180,1000000)</f>
        <v>92.556231999999994</v>
      </c>
      <c r="F859" cm="1">
        <f t="array" aca="1" ref="F859" ca="1">[1]!s_west_mediannetprofit($B$1,YEAR($A859),$A859,180,1000000)</f>
        <v>-41</v>
      </c>
      <c r="G859" cm="1">
        <f t="array" aca="1" ref="G859" ca="1">[1]!s_west_netprofit($B$1,YEAR($A859)+1,$A859,180,1000000)</f>
        <v>10.540141999999999</v>
      </c>
      <c r="H859" cm="1">
        <f t="array" aca="1" ref="H859" ca="1">[1]!s_west_eps($B$1,YEAR($A859)+1,$A859,180)</f>
        <v>1.21E-2</v>
      </c>
      <c r="I859" cm="1">
        <f t="array" aca="1" ref="I859" ca="1">[1]!s_west_instnum_np($B$1,YEAR($A859)+1,$A859,180)</f>
        <v>15</v>
      </c>
      <c r="J859" cm="1">
        <f t="array" aca="1" ref="J859" ca="1">[1]!s_west_stdnetprofit($B$1,YEAR($A859)+1,$A859,180,1000000)</f>
        <v>163.134379</v>
      </c>
      <c r="K859" cm="1">
        <f t="array" aca="1" ref="K859" ca="1">[1]!s_west_mediannetprofit($B$1,YEAR($A858)+1,$A858,180,1000000)</f>
        <v>34.5</v>
      </c>
      <c r="L859" cm="1">
        <f t="array" aca="1" ref="L859" ca="1">[1]!s_dq_close($B$1,$A859,3)</f>
        <v>21.5</v>
      </c>
    </row>
    <row r="860" spans="1:12">
      <c r="A860" s="23">
        <f t="shared" ca="1" si="13"/>
        <v>45315</v>
      </c>
      <c r="B860" cm="1">
        <f t="array" aca="1" ref="B860" ca="1">[1]!s_west_netprofit($B$1,YEAR($A860),$A860,180,1000000)</f>
        <v>-69.193196</v>
      </c>
      <c r="C860" cm="1">
        <f t="array" aca="1" ref="C860" ca="1">[1]!s_west_eps($B$1,YEAR($A860),$A860,180)</f>
        <v>-7.9399999999999998E-2</v>
      </c>
      <c r="D860" cm="1">
        <f t="array" aca="1" ref="D860" ca="1">[1]!s_west_instnum_np($B$1,YEAR($A860),$A860,180)</f>
        <v>16</v>
      </c>
      <c r="E860" cm="1">
        <f t="array" aca="1" ref="E860" ca="1">[1]!s_west_stdnetprofit($B$1,YEAR($A860),$A860,180,1000000)</f>
        <v>92.553684000000004</v>
      </c>
      <c r="F860" cm="1">
        <f t="array" aca="1" ref="F860" ca="1">[1]!s_west_mediannetprofit($B$1,YEAR($A860),$A860,180,1000000)</f>
        <v>-41</v>
      </c>
      <c r="G860" cm="1">
        <f t="array" aca="1" ref="G860" ca="1">[1]!s_west_netprofit($B$1,YEAR($A860)+1,$A860,180,1000000)</f>
        <v>10.541192000000001</v>
      </c>
      <c r="H860" cm="1">
        <f t="array" aca="1" ref="H860" ca="1">[1]!s_west_eps($B$1,YEAR($A860)+1,$A860,180)</f>
        <v>1.21E-2</v>
      </c>
      <c r="I860" cm="1">
        <f t="array" aca="1" ref="I860" ca="1">[1]!s_west_instnum_np($B$1,YEAR($A860)+1,$A860,180)</f>
        <v>15</v>
      </c>
      <c r="J860" cm="1">
        <f t="array" aca="1" ref="J860" ca="1">[1]!s_west_stdnetprofit($B$1,YEAR($A860)+1,$A860,180,1000000)</f>
        <v>163.13414399999999</v>
      </c>
      <c r="K860" cm="1">
        <f t="array" aca="1" ref="K860" ca="1">[1]!s_west_mediannetprofit($B$1,YEAR($A859)+1,$A859,180,1000000)</f>
        <v>34.5</v>
      </c>
      <c r="L860" cm="1">
        <f t="array" aca="1" ref="L860" ca="1">[1]!s_dq_close($B$1,$A860,3)</f>
        <v>21.4</v>
      </c>
    </row>
    <row r="861" spans="1:12">
      <c r="A861" s="23">
        <f t="shared" ca="1" si="13"/>
        <v>45314</v>
      </c>
      <c r="B861" cm="1">
        <f t="array" aca="1" ref="B861" ca="1">[1]!s_west_netprofit($B$1,YEAR($A861),$A861,180,1000000)</f>
        <v>-69.188378999999998</v>
      </c>
      <c r="C861" cm="1">
        <f t="array" aca="1" ref="C861" ca="1">[1]!s_west_eps($B$1,YEAR($A861),$A861,180)</f>
        <v>-7.9399999999999998E-2</v>
      </c>
      <c r="D861" cm="1">
        <f t="array" aca="1" ref="D861" ca="1">[1]!s_west_instnum_np($B$1,YEAR($A861),$A861,180)</f>
        <v>16</v>
      </c>
      <c r="E861" cm="1">
        <f t="array" aca="1" ref="E861" ca="1">[1]!s_west_stdnetprofit($B$1,YEAR($A861),$A861,180,1000000)</f>
        <v>92.551140000000004</v>
      </c>
      <c r="F861" cm="1">
        <f t="array" aca="1" ref="F861" ca="1">[1]!s_west_mediannetprofit($B$1,YEAR($A861),$A861,180,1000000)</f>
        <v>-41</v>
      </c>
      <c r="G861" cm="1">
        <f t="array" aca="1" ref="G861" ca="1">[1]!s_west_netprofit($B$1,YEAR($A861)+1,$A861,180,1000000)</f>
        <v>10.542242</v>
      </c>
      <c r="H861" cm="1">
        <f t="array" aca="1" ref="H861" ca="1">[1]!s_west_eps($B$1,YEAR($A861)+1,$A861,180)</f>
        <v>1.21E-2</v>
      </c>
      <c r="I861" cm="1">
        <f t="array" aca="1" ref="I861" ca="1">[1]!s_west_instnum_np($B$1,YEAR($A861)+1,$A861,180)</f>
        <v>15</v>
      </c>
      <c r="J861" cm="1">
        <f t="array" aca="1" ref="J861" ca="1">[1]!s_west_stdnetprofit($B$1,YEAR($A861)+1,$A861,180,1000000)</f>
        <v>163.13390899999999</v>
      </c>
      <c r="K861" cm="1">
        <f t="array" aca="1" ref="K861" ca="1">[1]!s_west_mediannetprofit($B$1,YEAR($A860)+1,$A860,180,1000000)</f>
        <v>34.5</v>
      </c>
      <c r="L861" cm="1">
        <f t="array" aca="1" ref="L861" ca="1">[1]!s_dq_close($B$1,$A861,3)</f>
        <v>21.25</v>
      </c>
    </row>
    <row r="862" spans="1:12">
      <c r="A862" s="23">
        <f t="shared" ca="1" si="13"/>
        <v>45313</v>
      </c>
      <c r="B862" cm="1">
        <f t="array" aca="1" ref="B862" ca="1">[1]!s_west_netprofit($B$1,YEAR($A862),$A862,180,1000000)</f>
        <v>-69.188378999999998</v>
      </c>
      <c r="C862" cm="1">
        <f t="array" aca="1" ref="C862" ca="1">[1]!s_west_eps($B$1,YEAR($A862),$A862,180)</f>
        <v>-7.9399999999999998E-2</v>
      </c>
      <c r="D862" cm="1">
        <f t="array" aca="1" ref="D862" ca="1">[1]!s_west_instnum_np($B$1,YEAR($A862),$A862,180)</f>
        <v>16</v>
      </c>
      <c r="E862" cm="1">
        <f t="array" aca="1" ref="E862" ca="1">[1]!s_west_stdnetprofit($B$1,YEAR($A862),$A862,180,1000000)</f>
        <v>92.551140000000004</v>
      </c>
      <c r="F862" cm="1">
        <f t="array" aca="1" ref="F862" ca="1">[1]!s_west_mediannetprofit($B$1,YEAR($A862),$A862,180,1000000)</f>
        <v>-41</v>
      </c>
      <c r="G862" cm="1">
        <f t="array" aca="1" ref="G862" ca="1">[1]!s_west_netprofit($B$1,YEAR($A862)+1,$A862,180,1000000)</f>
        <v>10.542242</v>
      </c>
      <c r="H862" cm="1">
        <f t="array" aca="1" ref="H862" ca="1">[1]!s_west_eps($B$1,YEAR($A862)+1,$A862,180)</f>
        <v>1.21E-2</v>
      </c>
      <c r="I862" cm="1">
        <f t="array" aca="1" ref="I862" ca="1">[1]!s_west_instnum_np($B$1,YEAR($A862)+1,$A862,180)</f>
        <v>15</v>
      </c>
      <c r="J862" cm="1">
        <f t="array" aca="1" ref="J862" ca="1">[1]!s_west_stdnetprofit($B$1,YEAR($A862)+1,$A862,180,1000000)</f>
        <v>163.13390899999999</v>
      </c>
      <c r="K862" cm="1">
        <f t="array" aca="1" ref="K862" ca="1">[1]!s_west_mediannetprofit($B$1,YEAR($A861)+1,$A861,180,1000000)</f>
        <v>34.5</v>
      </c>
      <c r="L862" cm="1">
        <f t="array" aca="1" ref="L862" ca="1">[1]!s_dq_close($B$1,$A862,3)</f>
        <v>20.8</v>
      </c>
    </row>
    <row r="863" spans="1:12">
      <c r="A863" s="23">
        <f t="shared" ca="1" si="13"/>
        <v>45312</v>
      </c>
      <c r="B863" cm="1">
        <f t="array" aca="1" ref="B863" ca="1">[1]!s_west_netprofit($B$1,YEAR($A863),$A863,180,1000000)</f>
        <v>-69.183560999999997</v>
      </c>
      <c r="C863" cm="1">
        <f t="array" aca="1" ref="C863" ca="1">[1]!s_west_eps($B$1,YEAR($A863),$A863,180)</f>
        <v>-7.9399999999999998E-2</v>
      </c>
      <c r="D863" cm="1">
        <f t="array" aca="1" ref="D863" ca="1">[1]!s_west_instnum_np($B$1,YEAR($A863),$A863,180)</f>
        <v>16</v>
      </c>
      <c r="E863" cm="1">
        <f t="array" aca="1" ref="E863" ca="1">[1]!s_west_stdnetprofit($B$1,YEAR($A863),$A863,180,1000000)</f>
        <v>92.548599999999993</v>
      </c>
      <c r="F863" cm="1">
        <f t="array" aca="1" ref="F863" ca="1">[1]!s_west_mediannetprofit($B$1,YEAR($A863),$A863,180,1000000)</f>
        <v>-41</v>
      </c>
      <c r="G863" cm="1">
        <f t="array" aca="1" ref="G863" ca="1">[1]!s_west_netprofit($B$1,YEAR($A863)+1,$A863,180,1000000)</f>
        <v>10.543291999999999</v>
      </c>
      <c r="H863" cm="1">
        <f t="array" aca="1" ref="H863" ca="1">[1]!s_west_eps($B$1,YEAR($A863)+1,$A863,180)</f>
        <v>1.21E-2</v>
      </c>
      <c r="I863" cm="1">
        <f t="array" aca="1" ref="I863" ca="1">[1]!s_west_instnum_np($B$1,YEAR($A863)+1,$A863,180)</f>
        <v>15</v>
      </c>
      <c r="J863" cm="1">
        <f t="array" aca="1" ref="J863" ca="1">[1]!s_west_stdnetprofit($B$1,YEAR($A863)+1,$A863,180,1000000)</f>
        <v>163.13367500000001</v>
      </c>
      <c r="K863" cm="1">
        <f t="array" aca="1" ref="K863" ca="1">[1]!s_west_mediannetprofit($B$1,YEAR($A862)+1,$A862,180,1000000)</f>
        <v>34.5</v>
      </c>
      <c r="L863" cm="1">
        <f t="array" aca="1" ref="L863" ca="1">[1]!s_dq_close($B$1,$A863,3)</f>
        <v>22.55</v>
      </c>
    </row>
    <row r="864" spans="1:12">
      <c r="A864" s="23">
        <f t="shared" ca="1" si="13"/>
        <v>45311</v>
      </c>
      <c r="B864" cm="1">
        <f t="array" aca="1" ref="B864" ca="1">[1]!s_west_netprofit($B$1,YEAR($A864),$A864,180,1000000)</f>
        <v>-69.183560999999997</v>
      </c>
      <c r="C864" cm="1">
        <f t="array" aca="1" ref="C864" ca="1">[1]!s_west_eps($B$1,YEAR($A864),$A864,180)</f>
        <v>-7.9399999999999998E-2</v>
      </c>
      <c r="D864" cm="1">
        <f t="array" aca="1" ref="D864" ca="1">[1]!s_west_instnum_np($B$1,YEAR($A864),$A864,180)</f>
        <v>16</v>
      </c>
      <c r="E864" cm="1">
        <f t="array" aca="1" ref="E864" ca="1">[1]!s_west_stdnetprofit($B$1,YEAR($A864),$A864,180,1000000)</f>
        <v>92.548599999999993</v>
      </c>
      <c r="F864" cm="1">
        <f t="array" aca="1" ref="F864" ca="1">[1]!s_west_mediannetprofit($B$1,YEAR($A864),$A864,180,1000000)</f>
        <v>-41</v>
      </c>
      <c r="G864" cm="1">
        <f t="array" aca="1" ref="G864" ca="1">[1]!s_west_netprofit($B$1,YEAR($A864)+1,$A864,180,1000000)</f>
        <v>10.543291999999999</v>
      </c>
      <c r="H864" cm="1">
        <f t="array" aca="1" ref="H864" ca="1">[1]!s_west_eps($B$1,YEAR($A864)+1,$A864,180)</f>
        <v>1.21E-2</v>
      </c>
      <c r="I864" cm="1">
        <f t="array" aca="1" ref="I864" ca="1">[1]!s_west_instnum_np($B$1,YEAR($A864)+1,$A864,180)</f>
        <v>15</v>
      </c>
      <c r="J864" cm="1">
        <f t="array" aca="1" ref="J864" ca="1">[1]!s_west_stdnetprofit($B$1,YEAR($A864)+1,$A864,180,1000000)</f>
        <v>163.13367500000001</v>
      </c>
      <c r="K864" cm="1">
        <f t="array" aca="1" ref="K864" ca="1">[1]!s_west_mediannetprofit($B$1,YEAR($A863)+1,$A863,180,1000000)</f>
        <v>34.5</v>
      </c>
      <c r="L864" cm="1">
        <f t="array" aca="1" ref="L864" ca="1">[1]!s_dq_close($B$1,$A864,3)</f>
        <v>22.55</v>
      </c>
    </row>
    <row r="865" spans="1:12">
      <c r="A865" s="23">
        <f t="shared" ca="1" si="13"/>
        <v>45310</v>
      </c>
      <c r="B865" cm="1">
        <f t="array" aca="1" ref="B865" ca="1">[1]!s_west_netprofit($B$1,YEAR($A865),$A865,180,1000000)</f>
        <v>-69.183560999999997</v>
      </c>
      <c r="C865" cm="1">
        <f t="array" aca="1" ref="C865" ca="1">[1]!s_west_eps($B$1,YEAR($A865),$A865,180)</f>
        <v>-7.9399999999999998E-2</v>
      </c>
      <c r="D865" cm="1">
        <f t="array" aca="1" ref="D865" ca="1">[1]!s_west_instnum_np($B$1,YEAR($A865),$A865,180)</f>
        <v>16</v>
      </c>
      <c r="E865" cm="1">
        <f t="array" aca="1" ref="E865" ca="1">[1]!s_west_stdnetprofit($B$1,YEAR($A865),$A865,180,1000000)</f>
        <v>92.548599999999993</v>
      </c>
      <c r="F865" cm="1">
        <f t="array" aca="1" ref="F865" ca="1">[1]!s_west_mediannetprofit($B$1,YEAR($A865),$A865,180,1000000)</f>
        <v>-41</v>
      </c>
      <c r="G865" cm="1">
        <f t="array" aca="1" ref="G865" ca="1">[1]!s_west_netprofit($B$1,YEAR($A865)+1,$A865,180,1000000)</f>
        <v>10.543291999999999</v>
      </c>
      <c r="H865" cm="1">
        <f t="array" aca="1" ref="H865" ca="1">[1]!s_west_eps($B$1,YEAR($A865)+1,$A865,180)</f>
        <v>1.21E-2</v>
      </c>
      <c r="I865" cm="1">
        <f t="array" aca="1" ref="I865" ca="1">[1]!s_west_instnum_np($B$1,YEAR($A865)+1,$A865,180)</f>
        <v>15</v>
      </c>
      <c r="J865" cm="1">
        <f t="array" aca="1" ref="J865" ca="1">[1]!s_west_stdnetprofit($B$1,YEAR($A865)+1,$A865,180,1000000)</f>
        <v>163.13367500000001</v>
      </c>
      <c r="K865" cm="1">
        <f t="array" aca="1" ref="K865" ca="1">[1]!s_west_mediannetprofit($B$1,YEAR($A864)+1,$A864,180,1000000)</f>
        <v>34.5</v>
      </c>
      <c r="L865" cm="1">
        <f t="array" aca="1" ref="L865" ca="1">[1]!s_dq_close($B$1,$A865,3)</f>
        <v>22.55</v>
      </c>
    </row>
    <row r="866" spans="1:12">
      <c r="A866" s="23">
        <f t="shared" ca="1" si="13"/>
        <v>45309</v>
      </c>
      <c r="B866" cm="1">
        <f t="array" aca="1" ref="B866" ca="1">[1]!s_west_netprofit($B$1,YEAR($A866),$A866,180,1000000)</f>
        <v>-69.183560999999997</v>
      </c>
      <c r="C866" cm="1">
        <f t="array" aca="1" ref="C866" ca="1">[1]!s_west_eps($B$1,YEAR($A866),$A866,180)</f>
        <v>-7.9399999999999998E-2</v>
      </c>
      <c r="D866" cm="1">
        <f t="array" aca="1" ref="D866" ca="1">[1]!s_west_instnum_np($B$1,YEAR($A866),$A866,180)</f>
        <v>16</v>
      </c>
      <c r="E866" cm="1">
        <f t="array" aca="1" ref="E866" ca="1">[1]!s_west_stdnetprofit($B$1,YEAR($A866),$A866,180,1000000)</f>
        <v>92.548599999999993</v>
      </c>
      <c r="F866" cm="1">
        <f t="array" aca="1" ref="F866" ca="1">[1]!s_west_mediannetprofit($B$1,YEAR($A866),$A866,180,1000000)</f>
        <v>-41</v>
      </c>
      <c r="G866" cm="1">
        <f t="array" aca="1" ref="G866" ca="1">[1]!s_west_netprofit($B$1,YEAR($A866)+1,$A866,180,1000000)</f>
        <v>10.543291999999999</v>
      </c>
      <c r="H866" cm="1">
        <f t="array" aca="1" ref="H866" ca="1">[1]!s_west_eps($B$1,YEAR($A866)+1,$A866,180)</f>
        <v>1.21E-2</v>
      </c>
      <c r="I866" cm="1">
        <f t="array" aca="1" ref="I866" ca="1">[1]!s_west_instnum_np($B$1,YEAR($A866)+1,$A866,180)</f>
        <v>15</v>
      </c>
      <c r="J866" cm="1">
        <f t="array" aca="1" ref="J866" ca="1">[1]!s_west_stdnetprofit($B$1,YEAR($A866)+1,$A866,180,1000000)</f>
        <v>163.13367500000001</v>
      </c>
      <c r="K866" cm="1">
        <f t="array" aca="1" ref="K866" ca="1">[1]!s_west_mediannetprofit($B$1,YEAR($A865)+1,$A865,180,1000000)</f>
        <v>34.5</v>
      </c>
      <c r="L866" cm="1">
        <f t="array" aca="1" ref="L866" ca="1">[1]!s_dq_close($B$1,$A866,3)</f>
        <v>23.85</v>
      </c>
    </row>
    <row r="867" spans="1:12">
      <c r="A867" s="23">
        <f t="shared" ca="1" si="13"/>
        <v>45308</v>
      </c>
      <c r="B867" cm="1">
        <f t="array" aca="1" ref="B867" ca="1">[1]!s_west_netprofit($B$1,YEAR($A867),$A867,180,1000000)</f>
        <v>-69.183560999999997</v>
      </c>
      <c r="C867" cm="1">
        <f t="array" aca="1" ref="C867" ca="1">[1]!s_west_eps($B$1,YEAR($A867),$A867,180)</f>
        <v>-7.9399999999999998E-2</v>
      </c>
      <c r="D867" cm="1">
        <f t="array" aca="1" ref="D867" ca="1">[1]!s_west_instnum_np($B$1,YEAR($A867),$A867,180)</f>
        <v>16</v>
      </c>
      <c r="E867" cm="1">
        <f t="array" aca="1" ref="E867" ca="1">[1]!s_west_stdnetprofit($B$1,YEAR($A867),$A867,180,1000000)</f>
        <v>92.548599999999993</v>
      </c>
      <c r="F867" cm="1">
        <f t="array" aca="1" ref="F867" ca="1">[1]!s_west_mediannetprofit($B$1,YEAR($A867),$A867,180,1000000)</f>
        <v>-41</v>
      </c>
      <c r="G867" cm="1">
        <f t="array" aca="1" ref="G867" ca="1">[1]!s_west_netprofit($B$1,YEAR($A867)+1,$A867,180,1000000)</f>
        <v>10.543291999999999</v>
      </c>
      <c r="H867" cm="1">
        <f t="array" aca="1" ref="H867" ca="1">[1]!s_west_eps($B$1,YEAR($A867)+1,$A867,180)</f>
        <v>1.21E-2</v>
      </c>
      <c r="I867" cm="1">
        <f t="array" aca="1" ref="I867" ca="1">[1]!s_west_instnum_np($B$1,YEAR($A867)+1,$A867,180)</f>
        <v>15</v>
      </c>
      <c r="J867" cm="1">
        <f t="array" aca="1" ref="J867" ca="1">[1]!s_west_stdnetprofit($B$1,YEAR($A867)+1,$A867,180,1000000)</f>
        <v>163.13367500000001</v>
      </c>
      <c r="K867" cm="1">
        <f t="array" aca="1" ref="K867" ca="1">[1]!s_west_mediannetprofit($B$1,YEAR($A866)+1,$A866,180,1000000)</f>
        <v>34.5</v>
      </c>
      <c r="L867" cm="1">
        <f t="array" aca="1" ref="L867" ca="1">[1]!s_dq_close($B$1,$A867,3)</f>
        <v>23.95</v>
      </c>
    </row>
    <row r="868" spans="1:12">
      <c r="A868" s="23">
        <f t="shared" ca="1" si="13"/>
        <v>45307</v>
      </c>
      <c r="B868" cm="1">
        <f t="array" aca="1" ref="B868" ca="1">[1]!s_west_netprofit($B$1,YEAR($A868),$A868,180,1000000)</f>
        <v>-69.188378999999998</v>
      </c>
      <c r="C868" cm="1">
        <f t="array" aca="1" ref="C868" ca="1">[1]!s_west_eps($B$1,YEAR($A868),$A868,180)</f>
        <v>-7.9399999999999998E-2</v>
      </c>
      <c r="D868" cm="1">
        <f t="array" aca="1" ref="D868" ca="1">[1]!s_west_instnum_np($B$1,YEAR($A868),$A868,180)</f>
        <v>16</v>
      </c>
      <c r="E868" cm="1">
        <f t="array" aca="1" ref="E868" ca="1">[1]!s_west_stdnetprofit($B$1,YEAR($A868),$A868,180,1000000)</f>
        <v>92.551140000000004</v>
      </c>
      <c r="F868" cm="1">
        <f t="array" aca="1" ref="F868" ca="1">[1]!s_west_mediannetprofit($B$1,YEAR($A868),$A868,180,1000000)</f>
        <v>-41</v>
      </c>
      <c r="G868" cm="1">
        <f t="array" aca="1" ref="G868" ca="1">[1]!s_west_netprofit($B$1,YEAR($A868)+1,$A868,180,1000000)</f>
        <v>10.542242</v>
      </c>
      <c r="H868" cm="1">
        <f t="array" aca="1" ref="H868" ca="1">[1]!s_west_eps($B$1,YEAR($A868)+1,$A868,180)</f>
        <v>1.21E-2</v>
      </c>
      <c r="I868" cm="1">
        <f t="array" aca="1" ref="I868" ca="1">[1]!s_west_instnum_np($B$1,YEAR($A868)+1,$A868,180)</f>
        <v>15</v>
      </c>
      <c r="J868" cm="1">
        <f t="array" aca="1" ref="J868" ca="1">[1]!s_west_stdnetprofit($B$1,YEAR($A868)+1,$A868,180,1000000)</f>
        <v>163.13390899999999</v>
      </c>
      <c r="K868" cm="1">
        <f t="array" aca="1" ref="K868" ca="1">[1]!s_west_mediannetprofit($B$1,YEAR($A867)+1,$A867,180,1000000)</f>
        <v>34.5</v>
      </c>
      <c r="L868" cm="1">
        <f t="array" aca="1" ref="L868" ca="1">[1]!s_dq_close($B$1,$A868,3)</f>
        <v>25.6</v>
      </c>
    </row>
    <row r="869" spans="1:12">
      <c r="A869" s="23">
        <f t="shared" ca="1" si="13"/>
        <v>45306</v>
      </c>
      <c r="B869" cm="1">
        <f t="array" aca="1" ref="B869" ca="1">[1]!s_west_netprofit($B$1,YEAR($A869),$A869,180,1000000)</f>
        <v>-67.899079</v>
      </c>
      <c r="C869" cm="1">
        <f t="array" aca="1" ref="C869" ca="1">[1]!s_west_eps($B$1,YEAR($A869),$A869,180)</f>
        <v>-7.7899999999999997E-2</v>
      </c>
      <c r="D869" cm="1">
        <f t="array" aca="1" ref="D869" ca="1">[1]!s_west_instnum_np($B$1,YEAR($A869),$A869,180)</f>
        <v>16</v>
      </c>
      <c r="E869" cm="1">
        <f t="array" aca="1" ref="E869" ca="1">[1]!s_west_stdnetprofit($B$1,YEAR($A869),$A869,180,1000000)</f>
        <v>93.272109</v>
      </c>
      <c r="F869" cm="1">
        <f t="array" aca="1" ref="F869" ca="1">[1]!s_west_mediannetprofit($B$1,YEAR($A869),$A869,180,1000000)</f>
        <v>-41</v>
      </c>
      <c r="G869" cm="1">
        <f t="array" aca="1" ref="G869" ca="1">[1]!s_west_netprofit($B$1,YEAR($A869)+1,$A869,180,1000000)</f>
        <v>10.728692000000001</v>
      </c>
      <c r="H869" cm="1">
        <f t="array" aca="1" ref="H869" ca="1">[1]!s_west_eps($B$1,YEAR($A869)+1,$A869,180)</f>
        <v>1.23E-2</v>
      </c>
      <c r="I869" cm="1">
        <f t="array" aca="1" ref="I869" ca="1">[1]!s_west_instnum_np($B$1,YEAR($A869)+1,$A869,180)</f>
        <v>15</v>
      </c>
      <c r="J869" cm="1">
        <f t="array" aca="1" ref="J869" ca="1">[1]!s_west_stdnetprofit($B$1,YEAR($A869)+1,$A869,180,1000000)</f>
        <v>163.14746400000001</v>
      </c>
      <c r="K869" cm="1">
        <f t="array" aca="1" ref="K869" ca="1">[1]!s_west_mediannetprofit($B$1,YEAR($A868)+1,$A868,180,1000000)</f>
        <v>34.5</v>
      </c>
      <c r="L869" cm="1">
        <f t="array" aca="1" ref="L869" ca="1">[1]!s_dq_close($B$1,$A869,3)</f>
        <v>25.55</v>
      </c>
    </row>
    <row r="870" spans="1:12">
      <c r="A870" s="23">
        <f t="shared" ca="1" si="13"/>
        <v>45305</v>
      </c>
      <c r="B870" cm="1">
        <f t="array" aca="1" ref="B870" ca="1">[1]!s_west_netprofit($B$1,YEAR($A870),$A870,180,1000000)</f>
        <v>-67.899079</v>
      </c>
      <c r="C870" cm="1">
        <f t="array" aca="1" ref="C870" ca="1">[1]!s_west_eps($B$1,YEAR($A870),$A870,180)</f>
        <v>-7.7899999999999997E-2</v>
      </c>
      <c r="D870" cm="1">
        <f t="array" aca="1" ref="D870" ca="1">[1]!s_west_instnum_np($B$1,YEAR($A870),$A870,180)</f>
        <v>16</v>
      </c>
      <c r="E870" cm="1">
        <f t="array" aca="1" ref="E870" ca="1">[1]!s_west_stdnetprofit($B$1,YEAR($A870),$A870,180,1000000)</f>
        <v>93.272109</v>
      </c>
      <c r="F870" cm="1">
        <f t="array" aca="1" ref="F870" ca="1">[1]!s_west_mediannetprofit($B$1,YEAR($A870),$A870,180,1000000)</f>
        <v>-41</v>
      </c>
      <c r="G870" cm="1">
        <f t="array" aca="1" ref="G870" ca="1">[1]!s_west_netprofit($B$1,YEAR($A870)+1,$A870,180,1000000)</f>
        <v>10.728692000000001</v>
      </c>
      <c r="H870" cm="1">
        <f t="array" aca="1" ref="H870" ca="1">[1]!s_west_eps($B$1,YEAR($A870)+1,$A870,180)</f>
        <v>1.23E-2</v>
      </c>
      <c r="I870" cm="1">
        <f t="array" aca="1" ref="I870" ca="1">[1]!s_west_instnum_np($B$1,YEAR($A870)+1,$A870,180)</f>
        <v>15</v>
      </c>
      <c r="J870" cm="1">
        <f t="array" aca="1" ref="J870" ca="1">[1]!s_west_stdnetprofit($B$1,YEAR($A870)+1,$A870,180,1000000)</f>
        <v>163.14746400000001</v>
      </c>
      <c r="K870" cm="1">
        <f t="array" aca="1" ref="K870" ca="1">[1]!s_west_mediannetprofit($B$1,YEAR($A869)+1,$A869,180,1000000)</f>
        <v>34.5</v>
      </c>
      <c r="L870" cm="1">
        <f t="array" aca="1" ref="L870" ca="1">[1]!s_dq_close($B$1,$A870,3)</f>
        <v>25.65</v>
      </c>
    </row>
    <row r="871" spans="1:12">
      <c r="A871" s="23">
        <f t="shared" ca="1" si="13"/>
        <v>45304</v>
      </c>
      <c r="B871" cm="1">
        <f t="array" aca="1" ref="B871" ca="1">[1]!s_west_netprofit($B$1,YEAR($A871),$A871,180,1000000)</f>
        <v>-67.900255000000001</v>
      </c>
      <c r="C871" cm="1">
        <f t="array" aca="1" ref="C871" ca="1">[1]!s_west_eps($B$1,YEAR($A871),$A871,180)</f>
        <v>-7.7899999999999997E-2</v>
      </c>
      <c r="D871" cm="1">
        <f t="array" aca="1" ref="D871" ca="1">[1]!s_west_instnum_np($B$1,YEAR($A871),$A871,180)</f>
        <v>16</v>
      </c>
      <c r="E871" cm="1">
        <f t="array" aca="1" ref="E871" ca="1">[1]!s_west_stdnetprofit($B$1,YEAR($A871),$A871,180,1000000)</f>
        <v>93.271528000000004</v>
      </c>
      <c r="F871" cm="1">
        <f t="array" aca="1" ref="F871" ca="1">[1]!s_west_mediannetprofit($B$1,YEAR($A871),$A871,180,1000000)</f>
        <v>-41</v>
      </c>
      <c r="G871" cm="1">
        <f t="array" aca="1" ref="G871" ca="1">[1]!s_west_netprofit($B$1,YEAR($A871)+1,$A871,180,1000000)</f>
        <v>10.726191999999999</v>
      </c>
      <c r="H871" cm="1">
        <f t="array" aca="1" ref="H871" ca="1">[1]!s_west_eps($B$1,YEAR($A871)+1,$A871,180)</f>
        <v>1.23E-2</v>
      </c>
      <c r="I871" cm="1">
        <f t="array" aca="1" ref="I871" ca="1">[1]!s_west_instnum_np($B$1,YEAR($A871)+1,$A871,180)</f>
        <v>15</v>
      </c>
      <c r="J871" cm="1">
        <f t="array" aca="1" ref="J871" ca="1">[1]!s_west_stdnetprofit($B$1,YEAR($A871)+1,$A871,180,1000000)</f>
        <v>163.14573300000001</v>
      </c>
      <c r="K871" cm="1">
        <f t="array" aca="1" ref="K871" ca="1">[1]!s_west_mediannetprofit($B$1,YEAR($A870)+1,$A870,180,1000000)</f>
        <v>34.5</v>
      </c>
      <c r="L871" cm="1">
        <f t="array" aca="1" ref="L871" ca="1">[1]!s_dq_close($B$1,$A871,3)</f>
        <v>25.65</v>
      </c>
    </row>
    <row r="872" spans="1:12">
      <c r="A872" s="23">
        <f t="shared" ca="1" si="13"/>
        <v>45303</v>
      </c>
      <c r="B872" cm="1">
        <f t="array" aca="1" ref="B872" ca="1">[1]!s_west_netprofit($B$1,YEAR($A872),$A872,180,1000000)</f>
        <v>-67.900255000000001</v>
      </c>
      <c r="C872" cm="1">
        <f t="array" aca="1" ref="C872" ca="1">[1]!s_west_eps($B$1,YEAR($A872),$A872,180)</f>
        <v>-7.7899999999999997E-2</v>
      </c>
      <c r="D872" cm="1">
        <f t="array" aca="1" ref="D872" ca="1">[1]!s_west_instnum_np($B$1,YEAR($A872),$A872,180)</f>
        <v>16</v>
      </c>
      <c r="E872" cm="1">
        <f t="array" aca="1" ref="E872" ca="1">[1]!s_west_stdnetprofit($B$1,YEAR($A872),$A872,180,1000000)</f>
        <v>93.271528000000004</v>
      </c>
      <c r="F872" cm="1">
        <f t="array" aca="1" ref="F872" ca="1">[1]!s_west_mediannetprofit($B$1,YEAR($A872),$A872,180,1000000)</f>
        <v>-41</v>
      </c>
      <c r="G872" cm="1">
        <f t="array" aca="1" ref="G872" ca="1">[1]!s_west_netprofit($B$1,YEAR($A872)+1,$A872,180,1000000)</f>
        <v>10.726191999999999</v>
      </c>
      <c r="H872" cm="1">
        <f t="array" aca="1" ref="H872" ca="1">[1]!s_west_eps($B$1,YEAR($A872)+1,$A872,180)</f>
        <v>1.23E-2</v>
      </c>
      <c r="I872" cm="1">
        <f t="array" aca="1" ref="I872" ca="1">[1]!s_west_instnum_np($B$1,YEAR($A872)+1,$A872,180)</f>
        <v>15</v>
      </c>
      <c r="J872" cm="1">
        <f t="array" aca="1" ref="J872" ca="1">[1]!s_west_stdnetprofit($B$1,YEAR($A872)+1,$A872,180,1000000)</f>
        <v>163.14573300000001</v>
      </c>
      <c r="K872" cm="1">
        <f t="array" aca="1" ref="K872" ca="1">[1]!s_west_mediannetprofit($B$1,YEAR($A871)+1,$A871,180,1000000)</f>
        <v>34.5</v>
      </c>
      <c r="L872" cm="1">
        <f t="array" aca="1" ref="L872" ca="1">[1]!s_dq_close($B$1,$A872,3)</f>
        <v>25.65</v>
      </c>
    </row>
    <row r="873" spans="1:12">
      <c r="A873" s="23">
        <f t="shared" ca="1" si="13"/>
        <v>45302</v>
      </c>
      <c r="B873" cm="1">
        <f t="array" aca="1" ref="B873" ca="1">[1]!s_west_netprofit($B$1,YEAR($A873),$A873,180,1000000)</f>
        <v>-67.900255000000001</v>
      </c>
      <c r="C873" cm="1">
        <f t="array" aca="1" ref="C873" ca="1">[1]!s_west_eps($B$1,YEAR($A873),$A873,180)</f>
        <v>-7.7899999999999997E-2</v>
      </c>
      <c r="D873" cm="1">
        <f t="array" aca="1" ref="D873" ca="1">[1]!s_west_instnum_np($B$1,YEAR($A873),$A873,180)</f>
        <v>16</v>
      </c>
      <c r="E873" cm="1">
        <f t="array" aca="1" ref="E873" ca="1">[1]!s_west_stdnetprofit($B$1,YEAR($A873),$A873,180,1000000)</f>
        <v>93.271528000000004</v>
      </c>
      <c r="F873" cm="1">
        <f t="array" aca="1" ref="F873" ca="1">[1]!s_west_mediannetprofit($B$1,YEAR($A873),$A873,180,1000000)</f>
        <v>-41</v>
      </c>
      <c r="G873" cm="1">
        <f t="array" aca="1" ref="G873" ca="1">[1]!s_west_netprofit($B$1,YEAR($A873)+1,$A873,180,1000000)</f>
        <v>10.726191999999999</v>
      </c>
      <c r="H873" cm="1">
        <f t="array" aca="1" ref="H873" ca="1">[1]!s_west_eps($B$1,YEAR($A873)+1,$A873,180)</f>
        <v>1.23E-2</v>
      </c>
      <c r="I873" cm="1">
        <f t="array" aca="1" ref="I873" ca="1">[1]!s_west_instnum_np($B$1,YEAR($A873)+1,$A873,180)</f>
        <v>15</v>
      </c>
      <c r="J873" cm="1">
        <f t="array" aca="1" ref="J873" ca="1">[1]!s_west_stdnetprofit($B$1,YEAR($A873)+1,$A873,180,1000000)</f>
        <v>163.14573300000001</v>
      </c>
      <c r="K873" cm="1">
        <f t="array" aca="1" ref="K873" ca="1">[1]!s_west_mediannetprofit($B$1,YEAR($A872)+1,$A872,180,1000000)</f>
        <v>34.5</v>
      </c>
      <c r="L873" cm="1">
        <f t="array" aca="1" ref="L873" ca="1">[1]!s_dq_close($B$1,$A873,3)</f>
        <v>26.45</v>
      </c>
    </row>
    <row r="874" spans="1:12">
      <c r="A874" s="23">
        <f t="shared" ca="1" si="13"/>
        <v>45301</v>
      </c>
      <c r="B874" cm="1">
        <f t="array" aca="1" ref="B874" ca="1">[1]!s_west_netprofit($B$1,YEAR($A874),$A874,180,1000000)</f>
        <v>-67.900255000000001</v>
      </c>
      <c r="C874" cm="1">
        <f t="array" aca="1" ref="C874" ca="1">[1]!s_west_eps($B$1,YEAR($A874),$A874,180)</f>
        <v>-7.7899999999999997E-2</v>
      </c>
      <c r="D874" cm="1">
        <f t="array" aca="1" ref="D874" ca="1">[1]!s_west_instnum_np($B$1,YEAR($A874),$A874,180)</f>
        <v>16</v>
      </c>
      <c r="E874" cm="1">
        <f t="array" aca="1" ref="E874" ca="1">[1]!s_west_stdnetprofit($B$1,YEAR($A874),$A874,180,1000000)</f>
        <v>93.271528000000004</v>
      </c>
      <c r="F874" cm="1">
        <f t="array" aca="1" ref="F874" ca="1">[1]!s_west_mediannetprofit($B$1,YEAR($A874),$A874,180,1000000)</f>
        <v>-41</v>
      </c>
      <c r="G874" cm="1">
        <f t="array" aca="1" ref="G874" ca="1">[1]!s_west_netprofit($B$1,YEAR($A874)+1,$A874,180,1000000)</f>
        <v>10.726191999999999</v>
      </c>
      <c r="H874" cm="1">
        <f t="array" aca="1" ref="H874" ca="1">[1]!s_west_eps($B$1,YEAR($A874)+1,$A874,180)</f>
        <v>1.23E-2</v>
      </c>
      <c r="I874" cm="1">
        <f t="array" aca="1" ref="I874" ca="1">[1]!s_west_instnum_np($B$1,YEAR($A874)+1,$A874,180)</f>
        <v>15</v>
      </c>
      <c r="J874" cm="1">
        <f t="array" aca="1" ref="J874" ca="1">[1]!s_west_stdnetprofit($B$1,YEAR($A874)+1,$A874,180,1000000)</f>
        <v>163.14573300000001</v>
      </c>
      <c r="K874" cm="1">
        <f t="array" aca="1" ref="K874" ca="1">[1]!s_west_mediannetprofit($B$1,YEAR($A873)+1,$A873,180,1000000)</f>
        <v>34.5</v>
      </c>
      <c r="L874" cm="1">
        <f t="array" aca="1" ref="L874" ca="1">[1]!s_dq_close($B$1,$A874,3)</f>
        <v>25.25</v>
      </c>
    </row>
    <row r="875" spans="1:12">
      <c r="A875" s="23">
        <f t="shared" ca="1" si="13"/>
        <v>45300</v>
      </c>
      <c r="B875" cm="1">
        <f t="array" aca="1" ref="B875" ca="1">[1]!s_west_netprofit($B$1,YEAR($A875),$A875,180,1000000)</f>
        <v>-67.905073000000002</v>
      </c>
      <c r="C875" cm="1">
        <f t="array" aca="1" ref="C875" ca="1">[1]!s_west_eps($B$1,YEAR($A875),$A875,180)</f>
        <v>-7.7899999999999997E-2</v>
      </c>
      <c r="D875" cm="1">
        <f t="array" aca="1" ref="D875" ca="1">[1]!s_west_instnum_np($B$1,YEAR($A875),$A875,180)</f>
        <v>16</v>
      </c>
      <c r="E875" cm="1">
        <f t="array" aca="1" ref="E875" ca="1">[1]!s_west_stdnetprofit($B$1,YEAR($A875),$A875,180,1000000)</f>
        <v>93.274128000000005</v>
      </c>
      <c r="F875" cm="1">
        <f t="array" aca="1" ref="F875" ca="1">[1]!s_west_mediannetprofit($B$1,YEAR($A875),$A875,180,1000000)</f>
        <v>-41</v>
      </c>
      <c r="G875" cm="1">
        <f t="array" aca="1" ref="G875" ca="1">[1]!s_west_netprofit($B$1,YEAR($A875)+1,$A875,180,1000000)</f>
        <v>10.725142</v>
      </c>
      <c r="H875" cm="1">
        <f t="array" aca="1" ref="H875" ca="1">[1]!s_west_eps($B$1,YEAR($A875)+1,$A875,180)</f>
        <v>1.23E-2</v>
      </c>
      <c r="I875" cm="1">
        <f t="array" aca="1" ref="I875" ca="1">[1]!s_west_instnum_np($B$1,YEAR($A875)+1,$A875,180)</f>
        <v>15</v>
      </c>
      <c r="J875" cm="1">
        <f t="array" aca="1" ref="J875" ca="1">[1]!s_west_stdnetprofit($B$1,YEAR($A875)+1,$A875,180,1000000)</f>
        <v>163.14596900000001</v>
      </c>
      <c r="K875" cm="1">
        <f t="array" aca="1" ref="K875" ca="1">[1]!s_west_mediannetprofit($B$1,YEAR($A874)+1,$A874,180,1000000)</f>
        <v>34.5</v>
      </c>
      <c r="L875" cm="1">
        <f t="array" aca="1" ref="L875" ca="1">[1]!s_dq_close($B$1,$A875,3)</f>
        <v>25.35</v>
      </c>
    </row>
    <row r="876" spans="1:12">
      <c r="A876" s="23">
        <f t="shared" ca="1" si="13"/>
        <v>45299</v>
      </c>
      <c r="B876" cm="1">
        <f t="array" aca="1" ref="B876" ca="1">[1]!s_west_netprofit($B$1,YEAR($A876),$A876,180,1000000)</f>
        <v>-67.905073000000002</v>
      </c>
      <c r="C876" cm="1">
        <f t="array" aca="1" ref="C876" ca="1">[1]!s_west_eps($B$1,YEAR($A876),$A876,180)</f>
        <v>-7.7899999999999997E-2</v>
      </c>
      <c r="D876" cm="1">
        <f t="array" aca="1" ref="D876" ca="1">[1]!s_west_instnum_np($B$1,YEAR($A876),$A876,180)</f>
        <v>16</v>
      </c>
      <c r="E876" cm="1">
        <f t="array" aca="1" ref="E876" ca="1">[1]!s_west_stdnetprofit($B$1,YEAR($A876),$A876,180,1000000)</f>
        <v>93.274128000000005</v>
      </c>
      <c r="F876" cm="1">
        <f t="array" aca="1" ref="F876" ca="1">[1]!s_west_mediannetprofit($B$1,YEAR($A876),$A876,180,1000000)</f>
        <v>-41</v>
      </c>
      <c r="G876" cm="1">
        <f t="array" aca="1" ref="G876" ca="1">[1]!s_west_netprofit($B$1,YEAR($A876)+1,$A876,180,1000000)</f>
        <v>10.725142</v>
      </c>
      <c r="H876" cm="1">
        <f t="array" aca="1" ref="H876" ca="1">[1]!s_west_eps($B$1,YEAR($A876)+1,$A876,180)</f>
        <v>1.23E-2</v>
      </c>
      <c r="I876" cm="1">
        <f t="array" aca="1" ref="I876" ca="1">[1]!s_west_instnum_np($B$1,YEAR($A876)+1,$A876,180)</f>
        <v>15</v>
      </c>
      <c r="J876" cm="1">
        <f t="array" aca="1" ref="J876" ca="1">[1]!s_west_stdnetprofit($B$1,YEAR($A876)+1,$A876,180,1000000)</f>
        <v>163.14596900000001</v>
      </c>
      <c r="K876" cm="1">
        <f t="array" aca="1" ref="K876" ca="1">[1]!s_west_mediannetprofit($B$1,YEAR($A875)+1,$A875,180,1000000)</f>
        <v>34.5</v>
      </c>
      <c r="L876" cm="1">
        <f t="array" aca="1" ref="L876" ca="1">[1]!s_dq_close($B$1,$A876,3)</f>
        <v>25</v>
      </c>
    </row>
    <row r="877" spans="1:12">
      <c r="A877" s="23">
        <f t="shared" ca="1" si="13"/>
        <v>45298</v>
      </c>
      <c r="B877" cm="1">
        <f t="array" aca="1" ref="B877" ca="1">[1]!s_west_netprofit($B$1,YEAR($A877),$A877,180,1000000)</f>
        <v>-67.905073000000002</v>
      </c>
      <c r="C877" cm="1">
        <f t="array" aca="1" ref="C877" ca="1">[1]!s_west_eps($B$1,YEAR($A877),$A877,180)</f>
        <v>-7.7899999999999997E-2</v>
      </c>
      <c r="D877" cm="1">
        <f t="array" aca="1" ref="D877" ca="1">[1]!s_west_instnum_np($B$1,YEAR($A877),$A877,180)</f>
        <v>16</v>
      </c>
      <c r="E877" cm="1">
        <f t="array" aca="1" ref="E877" ca="1">[1]!s_west_stdnetprofit($B$1,YEAR($A877),$A877,180,1000000)</f>
        <v>93.274128000000005</v>
      </c>
      <c r="F877" cm="1">
        <f t="array" aca="1" ref="F877" ca="1">[1]!s_west_mediannetprofit($B$1,YEAR($A877),$A877,180,1000000)</f>
        <v>-41</v>
      </c>
      <c r="G877" cm="1">
        <f t="array" aca="1" ref="G877" ca="1">[1]!s_west_netprofit($B$1,YEAR($A877)+1,$A877,180,1000000)</f>
        <v>10.725142</v>
      </c>
      <c r="H877" cm="1">
        <f t="array" aca="1" ref="H877" ca="1">[1]!s_west_eps($B$1,YEAR($A877)+1,$A877,180)</f>
        <v>1.23E-2</v>
      </c>
      <c r="I877" cm="1">
        <f t="array" aca="1" ref="I877" ca="1">[1]!s_west_instnum_np($B$1,YEAR($A877)+1,$A877,180)</f>
        <v>15</v>
      </c>
      <c r="J877" cm="1">
        <f t="array" aca="1" ref="J877" ca="1">[1]!s_west_stdnetprofit($B$1,YEAR($A877)+1,$A877,180,1000000)</f>
        <v>163.14596900000001</v>
      </c>
      <c r="K877" cm="1">
        <f t="array" aca="1" ref="K877" ca="1">[1]!s_west_mediannetprofit($B$1,YEAR($A876)+1,$A876,180,1000000)</f>
        <v>34.5</v>
      </c>
      <c r="L877" cm="1">
        <f t="array" aca="1" ref="L877" ca="1">[1]!s_dq_close($B$1,$A877,3)</f>
        <v>26.55</v>
      </c>
    </row>
    <row r="878" spans="1:12">
      <c r="A878" s="23">
        <f t="shared" ca="1" si="13"/>
        <v>45297</v>
      </c>
      <c r="B878" cm="1">
        <f t="array" aca="1" ref="B878" ca="1">[1]!s_west_netprofit($B$1,YEAR($A878),$A878,180,1000000)</f>
        <v>-67.905073000000002</v>
      </c>
      <c r="C878" cm="1">
        <f t="array" aca="1" ref="C878" ca="1">[1]!s_west_eps($B$1,YEAR($A878),$A878,180)</f>
        <v>-7.7899999999999997E-2</v>
      </c>
      <c r="D878" cm="1">
        <f t="array" aca="1" ref="D878" ca="1">[1]!s_west_instnum_np($B$1,YEAR($A878),$A878,180)</f>
        <v>16</v>
      </c>
      <c r="E878" cm="1">
        <f t="array" aca="1" ref="E878" ca="1">[1]!s_west_stdnetprofit($B$1,YEAR($A878),$A878,180,1000000)</f>
        <v>93.274128000000005</v>
      </c>
      <c r="F878" cm="1">
        <f t="array" aca="1" ref="F878" ca="1">[1]!s_west_mediannetprofit($B$1,YEAR($A878),$A878,180,1000000)</f>
        <v>-41</v>
      </c>
      <c r="G878" cm="1">
        <f t="array" aca="1" ref="G878" ca="1">[1]!s_west_netprofit($B$1,YEAR($A878)+1,$A878,180,1000000)</f>
        <v>10.725142</v>
      </c>
      <c r="H878" cm="1">
        <f t="array" aca="1" ref="H878" ca="1">[1]!s_west_eps($B$1,YEAR($A878)+1,$A878,180)</f>
        <v>1.23E-2</v>
      </c>
      <c r="I878" cm="1">
        <f t="array" aca="1" ref="I878" ca="1">[1]!s_west_instnum_np($B$1,YEAR($A878)+1,$A878,180)</f>
        <v>15</v>
      </c>
      <c r="J878" cm="1">
        <f t="array" aca="1" ref="J878" ca="1">[1]!s_west_stdnetprofit($B$1,YEAR($A878)+1,$A878,180,1000000)</f>
        <v>163.14596900000001</v>
      </c>
      <c r="K878" cm="1">
        <f t="array" aca="1" ref="K878" ca="1">[1]!s_west_mediannetprofit($B$1,YEAR($A877)+1,$A877,180,1000000)</f>
        <v>34.5</v>
      </c>
      <c r="L878" cm="1">
        <f t="array" aca="1" ref="L878" ca="1">[1]!s_dq_close($B$1,$A878,3)</f>
        <v>26.55</v>
      </c>
    </row>
    <row r="879" spans="1:12">
      <c r="A879" s="23">
        <f t="shared" ca="1" si="13"/>
        <v>45296</v>
      </c>
      <c r="B879" cm="1">
        <f t="array" aca="1" ref="B879" ca="1">[1]!s_west_netprofit($B$1,YEAR($A879),$A879,180,1000000)</f>
        <v>-67.905073000000002</v>
      </c>
      <c r="C879" cm="1">
        <f t="array" aca="1" ref="C879" ca="1">[1]!s_west_eps($B$1,YEAR($A879),$A879,180)</f>
        <v>-7.7899999999999997E-2</v>
      </c>
      <c r="D879" cm="1">
        <f t="array" aca="1" ref="D879" ca="1">[1]!s_west_instnum_np($B$1,YEAR($A879),$A879,180)</f>
        <v>16</v>
      </c>
      <c r="E879" cm="1">
        <f t="array" aca="1" ref="E879" ca="1">[1]!s_west_stdnetprofit($B$1,YEAR($A879),$A879,180,1000000)</f>
        <v>93.274128000000005</v>
      </c>
      <c r="F879" cm="1">
        <f t="array" aca="1" ref="F879" ca="1">[1]!s_west_mediannetprofit($B$1,YEAR($A879),$A879,180,1000000)</f>
        <v>-41</v>
      </c>
      <c r="G879" cm="1">
        <f t="array" aca="1" ref="G879" ca="1">[1]!s_west_netprofit($B$1,YEAR($A879)+1,$A879,180,1000000)</f>
        <v>10.725142</v>
      </c>
      <c r="H879" cm="1">
        <f t="array" aca="1" ref="H879" ca="1">[1]!s_west_eps($B$1,YEAR($A879)+1,$A879,180)</f>
        <v>1.23E-2</v>
      </c>
      <c r="I879" cm="1">
        <f t="array" aca="1" ref="I879" ca="1">[1]!s_west_instnum_np($B$1,YEAR($A879)+1,$A879,180)</f>
        <v>15</v>
      </c>
      <c r="J879" cm="1">
        <f t="array" aca="1" ref="J879" ca="1">[1]!s_west_stdnetprofit($B$1,YEAR($A879)+1,$A879,180,1000000)</f>
        <v>163.14596900000001</v>
      </c>
      <c r="K879" cm="1">
        <f t="array" aca="1" ref="K879" ca="1">[1]!s_west_mediannetprofit($B$1,YEAR($A878)+1,$A878,180,1000000)</f>
        <v>34.5</v>
      </c>
      <c r="L879" cm="1">
        <f t="array" aca="1" ref="L879" ca="1">[1]!s_dq_close($B$1,$A879,3)</f>
        <v>26.55</v>
      </c>
    </row>
    <row r="880" spans="1:12">
      <c r="A880" s="23">
        <f t="shared" ca="1" si="13"/>
        <v>45295</v>
      </c>
      <c r="B880" cm="1">
        <f t="array" aca="1" ref="B880" ca="1">[1]!s_west_netprofit($B$1,YEAR($A880),$A880,180,1000000)</f>
        <v>-67.909890000000004</v>
      </c>
      <c r="C880" cm="1">
        <f t="array" aca="1" ref="C880" ca="1">[1]!s_west_eps($B$1,YEAR($A880),$A880,180)</f>
        <v>-7.7899999999999997E-2</v>
      </c>
      <c r="D880" cm="1">
        <f t="array" aca="1" ref="D880" ca="1">[1]!s_west_instnum_np($B$1,YEAR($A880),$A880,180)</f>
        <v>16</v>
      </c>
      <c r="E880" cm="1">
        <f t="array" aca="1" ref="E880" ca="1">[1]!s_west_stdnetprofit($B$1,YEAR($A880),$A880,180,1000000)</f>
        <v>93.276731999999996</v>
      </c>
      <c r="F880" cm="1">
        <f t="array" aca="1" ref="F880" ca="1">[1]!s_west_mediannetprofit($B$1,YEAR($A880),$A880,180,1000000)</f>
        <v>-41</v>
      </c>
      <c r="G880" cm="1">
        <f t="array" aca="1" ref="G880" ca="1">[1]!s_west_netprofit($B$1,YEAR($A880)+1,$A880,180,1000000)</f>
        <v>10.724092000000001</v>
      </c>
      <c r="H880" cm="1">
        <f t="array" aca="1" ref="H880" ca="1">[1]!s_west_eps($B$1,YEAR($A880)+1,$A880,180)</f>
        <v>1.23E-2</v>
      </c>
      <c r="I880" cm="1">
        <f t="array" aca="1" ref="I880" ca="1">[1]!s_west_instnum_np($B$1,YEAR($A880)+1,$A880,180)</f>
        <v>15</v>
      </c>
      <c r="J880" cm="1">
        <f t="array" aca="1" ref="J880" ca="1">[1]!s_west_stdnetprofit($B$1,YEAR($A880)+1,$A880,180,1000000)</f>
        <v>163.14620500000001</v>
      </c>
      <c r="K880" cm="1">
        <f t="array" aca="1" ref="K880" ca="1">[1]!s_west_mediannetprofit($B$1,YEAR($A879)+1,$A879,180,1000000)</f>
        <v>34.5</v>
      </c>
      <c r="L880" cm="1">
        <f t="array" aca="1" ref="L880" ca="1">[1]!s_dq_close($B$1,$A880,3)</f>
        <v>27.45</v>
      </c>
    </row>
    <row r="881" spans="1:12">
      <c r="A881" s="23">
        <f t="shared" ca="1" si="13"/>
        <v>45294</v>
      </c>
      <c r="B881" cm="1">
        <f t="array" aca="1" ref="B881" ca="1">[1]!s_west_netprofit($B$1,YEAR($A881),$A881,180,1000000)</f>
        <v>-67.905073000000002</v>
      </c>
      <c r="C881" cm="1">
        <f t="array" aca="1" ref="C881" ca="1">[1]!s_west_eps($B$1,YEAR($A881),$A881,180)</f>
        <v>-7.7899999999999997E-2</v>
      </c>
      <c r="D881" cm="1">
        <f t="array" aca="1" ref="D881" ca="1">[1]!s_west_instnum_np($B$1,YEAR($A881),$A881,180)</f>
        <v>16</v>
      </c>
      <c r="E881" cm="1">
        <f t="array" aca="1" ref="E881" ca="1">[1]!s_west_stdnetprofit($B$1,YEAR($A881),$A881,180,1000000)</f>
        <v>93.274128000000005</v>
      </c>
      <c r="F881" cm="1">
        <f t="array" aca="1" ref="F881" ca="1">[1]!s_west_mediannetprofit($B$1,YEAR($A881),$A881,180,1000000)</f>
        <v>-41</v>
      </c>
      <c r="G881" cm="1">
        <f t="array" aca="1" ref="G881" ca="1">[1]!s_west_netprofit($B$1,YEAR($A881)+1,$A881,180,1000000)</f>
        <v>10.725142</v>
      </c>
      <c r="H881" cm="1">
        <f t="array" aca="1" ref="H881" ca="1">[1]!s_west_eps($B$1,YEAR($A881)+1,$A881,180)</f>
        <v>1.23E-2</v>
      </c>
      <c r="I881" cm="1">
        <f t="array" aca="1" ref="I881" ca="1">[1]!s_west_instnum_np($B$1,YEAR($A881)+1,$A881,180)</f>
        <v>15</v>
      </c>
      <c r="J881" cm="1">
        <f t="array" aca="1" ref="J881" ca="1">[1]!s_west_stdnetprofit($B$1,YEAR($A881)+1,$A881,180,1000000)</f>
        <v>163.14596900000001</v>
      </c>
      <c r="K881" cm="1">
        <f t="array" aca="1" ref="K881" ca="1">[1]!s_west_mediannetprofit($B$1,YEAR($A880)+1,$A880,180,1000000)</f>
        <v>34.5</v>
      </c>
      <c r="L881" cm="1">
        <f t="array" aca="1" ref="L881" ca="1">[1]!s_dq_close($B$1,$A881,3)</f>
        <v>27.4</v>
      </c>
    </row>
    <row r="882" spans="1:12">
      <c r="A882" s="23">
        <f t="shared" ca="1" si="13"/>
        <v>45293</v>
      </c>
      <c r="B882" cm="1">
        <f t="array" aca="1" ref="B882" ca="1">[1]!s_west_netprofit($B$1,YEAR($A882),$A882,180,1000000)</f>
        <v>-67.929160999999993</v>
      </c>
      <c r="C882" cm="1">
        <f t="array" aca="1" ref="C882" ca="1">[1]!s_west_eps($B$1,YEAR($A882),$A882,180)</f>
        <v>-7.8E-2</v>
      </c>
      <c r="D882" cm="1">
        <f t="array" aca="1" ref="D882" ca="1">[1]!s_west_instnum_np($B$1,YEAR($A882),$A882,180)</f>
        <v>16</v>
      </c>
      <c r="E882" cm="1">
        <f t="array" aca="1" ref="E882" ca="1">[1]!s_west_stdnetprofit($B$1,YEAR($A882),$A882,180,1000000)</f>
        <v>93.287188999999998</v>
      </c>
      <c r="F882" cm="1">
        <f t="array" aca="1" ref="F882" ca="1">[1]!s_west_mediannetprofit($B$1,YEAR($A882),$A882,180,1000000)</f>
        <v>-41</v>
      </c>
      <c r="G882" cm="1">
        <f t="array" aca="1" ref="G882" ca="1">[1]!s_west_netprofit($B$1,YEAR($A882)+1,$A882,180,1000000)</f>
        <v>10.719892</v>
      </c>
      <c r="H882" cm="1">
        <f t="array" aca="1" ref="H882" ca="1">[1]!s_west_eps($B$1,YEAR($A882)+1,$A882,180)</f>
        <v>1.23E-2</v>
      </c>
      <c r="I882" cm="1">
        <f t="array" aca="1" ref="I882" ca="1">[1]!s_west_instnum_np($B$1,YEAR($A882)+1,$A882,180)</f>
        <v>15</v>
      </c>
      <c r="J882" cm="1">
        <f t="array" aca="1" ref="J882" ca="1">[1]!s_west_stdnetprofit($B$1,YEAR($A882)+1,$A882,180,1000000)</f>
        <v>163.14715100000001</v>
      </c>
      <c r="K882" cm="1">
        <f t="array" aca="1" ref="K882" ca="1">[1]!s_west_mediannetprofit($B$1,YEAR($A881)+1,$A881,180,1000000)</f>
        <v>34.5</v>
      </c>
      <c r="L882" cm="1">
        <f t="array" aca="1" ref="L882" ca="1">[1]!s_dq_close($B$1,$A882,3)</f>
        <v>28.05</v>
      </c>
    </row>
    <row r="883" spans="1:12">
      <c r="A883" s="23">
        <f t="shared" ca="1" si="13"/>
        <v>45292</v>
      </c>
      <c r="B883" cm="1">
        <f t="array" aca="1" ref="B883" ca="1">[1]!s_west_netprofit($B$1,YEAR($A883),$A883,180,1000000)</f>
        <v>-67.924342999999993</v>
      </c>
      <c r="C883" cm="1">
        <f t="array" aca="1" ref="C883" ca="1">[1]!s_west_eps($B$1,YEAR($A883),$A883,180)</f>
        <v>-7.8E-2</v>
      </c>
      <c r="D883" cm="1">
        <f t="array" aca="1" ref="D883" ca="1">[1]!s_west_instnum_np($B$1,YEAR($A883),$A883,180)</f>
        <v>16</v>
      </c>
      <c r="E883" cm="1">
        <f t="array" aca="1" ref="E883" ca="1">[1]!s_west_stdnetprofit($B$1,YEAR($A883),$A883,180,1000000)</f>
        <v>93.284567999999993</v>
      </c>
      <c r="F883" cm="1">
        <f t="array" aca="1" ref="F883" ca="1">[1]!s_west_mediannetprofit($B$1,YEAR($A883),$A883,180,1000000)</f>
        <v>-41</v>
      </c>
      <c r="G883" cm="1">
        <f t="array" aca="1" ref="G883" ca="1">[1]!s_west_netprofit($B$1,YEAR($A883)+1,$A883,180,1000000)</f>
        <v>10.720942000000001</v>
      </c>
      <c r="H883" cm="1">
        <f t="array" aca="1" ref="H883" ca="1">[1]!s_west_eps($B$1,YEAR($A883)+1,$A883,180)</f>
        <v>1.23E-2</v>
      </c>
      <c r="I883" cm="1">
        <f t="array" aca="1" ref="I883" ca="1">[1]!s_west_instnum_np($B$1,YEAR($A883)+1,$A883,180)</f>
        <v>15</v>
      </c>
      <c r="J883" cm="1">
        <f t="array" aca="1" ref="J883" ca="1">[1]!s_west_stdnetprofit($B$1,YEAR($A883)+1,$A883,180,1000000)</f>
        <v>163.14691400000001</v>
      </c>
      <c r="K883" cm="1">
        <f t="array" aca="1" ref="K883" ca="1">[1]!s_west_mediannetprofit($B$1,YEAR($A882)+1,$A882,180,1000000)</f>
        <v>34.5</v>
      </c>
      <c r="L883" cm="1">
        <f t="array" aca="1" ref="L883" ca="1">[1]!s_dq_close($B$1,$A883,3)</f>
        <v>28.7</v>
      </c>
    </row>
    <row r="884" spans="1:12">
      <c r="A884" s="23">
        <f t="shared" ca="1" si="13"/>
        <v>45291</v>
      </c>
      <c r="B884" cm="1">
        <f t="array" aca="1" ref="B884" ca="1">[1]!s_west_netprofit($B$1,YEAR($A884),$A884,180,1000000)</f>
        <v>6.6217509999999997</v>
      </c>
      <c r="C884" cm="1">
        <f t="array" aca="1" ref="C884" ca="1">[1]!s_west_eps($B$1,YEAR($A884),$A884,180)</f>
        <v>7.6E-3</v>
      </c>
      <c r="D884" cm="1">
        <f t="array" aca="1" ref="D884" ca="1">[1]!s_west_instnum_np($B$1,YEAR($A884),$A884,180)</f>
        <v>16</v>
      </c>
      <c r="E884" cm="1">
        <f t="array" aca="1" ref="E884" ca="1">[1]!s_west_stdnetprofit($B$1,YEAR($A884),$A884,180,1000000)</f>
        <v>117.838427</v>
      </c>
      <c r="F884" cm="1">
        <f t="array" aca="1" ref="F884" ca="1">[1]!s_west_mediannetprofit($B$1,YEAR($A884),$A884,180,1000000)</f>
        <v>-28</v>
      </c>
      <c r="G884" cm="1">
        <f t="array" aca="1" ref="G884" ca="1">[1]!s_west_netprofit($B$1,YEAR($A884)+1,$A884,180,1000000)</f>
        <v>-67.924342999999993</v>
      </c>
      <c r="H884" cm="1">
        <f t="array" aca="1" ref="H884" ca="1">[1]!s_west_eps($B$1,YEAR($A884)+1,$A884,180)</f>
        <v>-7.8E-2</v>
      </c>
      <c r="I884" cm="1">
        <f t="array" aca="1" ref="I884" ca="1">[1]!s_west_instnum_np($B$1,YEAR($A884)+1,$A884,180)</f>
        <v>16</v>
      </c>
      <c r="J884" cm="1">
        <f t="array" aca="1" ref="J884" ca="1">[1]!s_west_stdnetprofit($B$1,YEAR($A884)+1,$A884,180,1000000)</f>
        <v>93.284567999999993</v>
      </c>
      <c r="K884" cm="1">
        <f t="array" aca="1" ref="K884" ca="1">[1]!s_west_mediannetprofit($B$1,YEAR($A883)+1,$A883,180,1000000)</f>
        <v>34.5</v>
      </c>
      <c r="L884" cm="1">
        <f t="array" aca="1" ref="L884" ca="1">[1]!s_dq_close($B$1,$A884,3)</f>
        <v>28.7</v>
      </c>
    </row>
    <row r="885" spans="1:12">
      <c r="A885" s="23">
        <f t="shared" ca="1" si="13"/>
        <v>45290</v>
      </c>
      <c r="B885" cm="1">
        <f t="array" aca="1" ref="B885" ca="1">[1]!s_west_netprofit($B$1,YEAR($A885),$A885,180,1000000)</f>
        <v>6.6217509999999997</v>
      </c>
      <c r="C885" cm="1">
        <f t="array" aca="1" ref="C885" ca="1">[1]!s_west_eps($B$1,YEAR($A885),$A885,180)</f>
        <v>7.6E-3</v>
      </c>
      <c r="D885" cm="1">
        <f t="array" aca="1" ref="D885" ca="1">[1]!s_west_instnum_np($B$1,YEAR($A885),$A885,180)</f>
        <v>16</v>
      </c>
      <c r="E885" cm="1">
        <f t="array" aca="1" ref="E885" ca="1">[1]!s_west_stdnetprofit($B$1,YEAR($A885),$A885,180,1000000)</f>
        <v>117.838427</v>
      </c>
      <c r="F885" cm="1">
        <f t="array" aca="1" ref="F885" ca="1">[1]!s_west_mediannetprofit($B$1,YEAR($A885),$A885,180,1000000)</f>
        <v>-28</v>
      </c>
      <c r="G885" cm="1">
        <f t="array" aca="1" ref="G885" ca="1">[1]!s_west_netprofit($B$1,YEAR($A885)+1,$A885,180,1000000)</f>
        <v>-67.924342999999993</v>
      </c>
      <c r="H885" cm="1">
        <f t="array" aca="1" ref="H885" ca="1">[1]!s_west_eps($B$1,YEAR($A885)+1,$A885,180)</f>
        <v>-7.8E-2</v>
      </c>
      <c r="I885" cm="1">
        <f t="array" aca="1" ref="I885" ca="1">[1]!s_west_instnum_np($B$1,YEAR($A885)+1,$A885,180)</f>
        <v>16</v>
      </c>
      <c r="J885" cm="1">
        <f t="array" aca="1" ref="J885" ca="1">[1]!s_west_stdnetprofit($B$1,YEAR($A885)+1,$A885,180,1000000)</f>
        <v>93.284567999999993</v>
      </c>
      <c r="K885" cm="1">
        <f t="array" aca="1" ref="K885" ca="1">[1]!s_west_mediannetprofit($B$1,YEAR($A884)+1,$A884,180,1000000)</f>
        <v>-41</v>
      </c>
      <c r="L885" cm="1">
        <f t="array" aca="1" ref="L885" ca="1">[1]!s_dq_close($B$1,$A885,3)</f>
        <v>28.7</v>
      </c>
    </row>
    <row r="886" spans="1:12">
      <c r="A886" s="23">
        <f t="shared" ca="1" si="13"/>
        <v>45289</v>
      </c>
      <c r="B886" cm="1">
        <f t="array" aca="1" ref="B886" ca="1">[1]!s_west_netprofit($B$1,YEAR($A886),$A886,180,1000000)</f>
        <v>6.6217509999999997</v>
      </c>
      <c r="C886" cm="1">
        <f t="array" aca="1" ref="C886" ca="1">[1]!s_west_eps($B$1,YEAR($A886),$A886,180)</f>
        <v>7.6E-3</v>
      </c>
      <c r="D886" cm="1">
        <f t="array" aca="1" ref="D886" ca="1">[1]!s_west_instnum_np($B$1,YEAR($A886),$A886,180)</f>
        <v>16</v>
      </c>
      <c r="E886" cm="1">
        <f t="array" aca="1" ref="E886" ca="1">[1]!s_west_stdnetprofit($B$1,YEAR($A886),$A886,180,1000000)</f>
        <v>117.838427</v>
      </c>
      <c r="F886" cm="1">
        <f t="array" aca="1" ref="F886" ca="1">[1]!s_west_mediannetprofit($B$1,YEAR($A886),$A886,180,1000000)</f>
        <v>-28</v>
      </c>
      <c r="G886" cm="1">
        <f t="array" aca="1" ref="G886" ca="1">[1]!s_west_netprofit($B$1,YEAR($A886)+1,$A886,180,1000000)</f>
        <v>-67.924342999999993</v>
      </c>
      <c r="H886" cm="1">
        <f t="array" aca="1" ref="H886" ca="1">[1]!s_west_eps($B$1,YEAR($A886)+1,$A886,180)</f>
        <v>-7.8E-2</v>
      </c>
      <c r="I886" cm="1">
        <f t="array" aca="1" ref="I886" ca="1">[1]!s_west_instnum_np($B$1,YEAR($A886)+1,$A886,180)</f>
        <v>16</v>
      </c>
      <c r="J886" cm="1">
        <f t="array" aca="1" ref="J886" ca="1">[1]!s_west_stdnetprofit($B$1,YEAR($A886)+1,$A886,180,1000000)</f>
        <v>93.284567999999993</v>
      </c>
      <c r="K886" cm="1">
        <f t="array" aca="1" ref="K886" ca="1">[1]!s_west_mediannetprofit($B$1,YEAR($A885)+1,$A885,180,1000000)</f>
        <v>-41</v>
      </c>
      <c r="L886" cm="1">
        <f t="array" aca="1" ref="L886" ca="1">[1]!s_dq_close($B$1,$A886,3)</f>
        <v>28.7</v>
      </c>
    </row>
    <row r="887" spans="1:12">
      <c r="A887" s="23">
        <f t="shared" ca="1" si="13"/>
        <v>45288</v>
      </c>
      <c r="B887" cm="1">
        <f t="array" aca="1" ref="B887" ca="1">[1]!s_west_netprofit($B$1,YEAR($A887),$A887,180,1000000)</f>
        <v>6.6334160000000004</v>
      </c>
      <c r="C887" cm="1">
        <f t="array" aca="1" ref="C887" ca="1">[1]!s_west_eps($B$1,YEAR($A887),$A887,180)</f>
        <v>7.6E-3</v>
      </c>
      <c r="D887" cm="1">
        <f t="array" aca="1" ref="D887" ca="1">[1]!s_west_instnum_np($B$1,YEAR($A887),$A887,180)</f>
        <v>16</v>
      </c>
      <c r="E887" cm="1">
        <f t="array" aca="1" ref="E887" ca="1">[1]!s_west_stdnetprofit($B$1,YEAR($A887),$A887,180,1000000)</f>
        <v>117.827924</v>
      </c>
      <c r="F887" cm="1">
        <f t="array" aca="1" ref="F887" ca="1">[1]!s_west_mediannetprofit($B$1,YEAR($A887),$A887,180,1000000)</f>
        <v>-28</v>
      </c>
      <c r="G887" cm="1">
        <f t="array" aca="1" ref="G887" ca="1">[1]!s_west_netprofit($B$1,YEAR($A887)+1,$A887,180,1000000)</f>
        <v>-67.909890000000004</v>
      </c>
      <c r="H887" cm="1">
        <f t="array" aca="1" ref="H887" ca="1">[1]!s_west_eps($B$1,YEAR($A887)+1,$A887,180)</f>
        <v>-7.8E-2</v>
      </c>
      <c r="I887" cm="1">
        <f t="array" aca="1" ref="I887" ca="1">[1]!s_west_instnum_np($B$1,YEAR($A887)+1,$A887,180)</f>
        <v>16</v>
      </c>
      <c r="J887" cm="1">
        <f t="array" aca="1" ref="J887" ca="1">[1]!s_west_stdnetprofit($B$1,YEAR($A887)+1,$A887,180,1000000)</f>
        <v>93.276731999999996</v>
      </c>
      <c r="K887" cm="1">
        <f t="array" aca="1" ref="K887" ca="1">[1]!s_west_mediannetprofit($B$1,YEAR($A886)+1,$A886,180,1000000)</f>
        <v>-41</v>
      </c>
      <c r="L887" cm="1">
        <f t="array" aca="1" ref="L887" ca="1">[1]!s_dq_close($B$1,$A887,3)</f>
        <v>28.1</v>
      </c>
    </row>
    <row r="888" spans="1:12">
      <c r="A888" s="23">
        <f t="shared" ca="1" si="13"/>
        <v>45287</v>
      </c>
      <c r="B888" cm="1">
        <f t="array" aca="1" ref="B888" ca="1">[1]!s_west_netprofit($B$1,YEAR($A888),$A888,180,1000000)</f>
        <v>6.6373040000000003</v>
      </c>
      <c r="C888" cm="1">
        <f t="array" aca="1" ref="C888" ca="1">[1]!s_west_eps($B$1,YEAR($A888),$A888,180)</f>
        <v>7.6E-3</v>
      </c>
      <c r="D888" cm="1">
        <f t="array" aca="1" ref="D888" ca="1">[1]!s_west_instnum_np($B$1,YEAR($A888),$A888,180)</f>
        <v>16</v>
      </c>
      <c r="E888" cm="1">
        <f t="array" aca="1" ref="E888" ca="1">[1]!s_west_stdnetprofit($B$1,YEAR($A888),$A888,180,1000000)</f>
        <v>117.824427</v>
      </c>
      <c r="F888" cm="1">
        <f t="array" aca="1" ref="F888" ca="1">[1]!s_west_mediannetprofit($B$1,YEAR($A888),$A888,180,1000000)</f>
        <v>-28</v>
      </c>
      <c r="G888" cm="1">
        <f t="array" aca="1" ref="G888" ca="1">[1]!s_west_netprofit($B$1,YEAR($A888)+1,$A888,180,1000000)</f>
        <v>-67.905073000000002</v>
      </c>
      <c r="H888" cm="1">
        <f t="array" aca="1" ref="H888" ca="1">[1]!s_west_eps($B$1,YEAR($A888)+1,$A888,180)</f>
        <v>-7.7899999999999997E-2</v>
      </c>
      <c r="I888" cm="1">
        <f t="array" aca="1" ref="I888" ca="1">[1]!s_west_instnum_np($B$1,YEAR($A888)+1,$A888,180)</f>
        <v>16</v>
      </c>
      <c r="J888" cm="1">
        <f t="array" aca="1" ref="J888" ca="1">[1]!s_west_stdnetprofit($B$1,YEAR($A888)+1,$A888,180,1000000)</f>
        <v>93.274128000000005</v>
      </c>
      <c r="K888" cm="1">
        <f t="array" aca="1" ref="K888" ca="1">[1]!s_west_mediannetprofit($B$1,YEAR($A887)+1,$A887,180,1000000)</f>
        <v>-41</v>
      </c>
      <c r="L888" cm="1">
        <f t="array" aca="1" ref="L888" ca="1">[1]!s_dq_close($B$1,$A888,3)</f>
        <v>27.25</v>
      </c>
    </row>
    <row r="889" spans="1:12">
      <c r="A889" s="23">
        <f t="shared" ca="1" si="13"/>
        <v>45286</v>
      </c>
      <c r="B889" cm="1">
        <f t="array" aca="1" ref="B889" ca="1">[1]!s_west_netprofit($B$1,YEAR($A889),$A889,180,1000000)</f>
        <v>6.6334160000000004</v>
      </c>
      <c r="C889" cm="1">
        <f t="array" aca="1" ref="C889" ca="1">[1]!s_west_eps($B$1,YEAR($A889),$A889,180)</f>
        <v>7.6E-3</v>
      </c>
      <c r="D889" cm="1">
        <f t="array" aca="1" ref="D889" ca="1">[1]!s_west_instnum_np($B$1,YEAR($A889),$A889,180)</f>
        <v>16</v>
      </c>
      <c r="E889" cm="1">
        <f t="array" aca="1" ref="E889" ca="1">[1]!s_west_stdnetprofit($B$1,YEAR($A889),$A889,180,1000000)</f>
        <v>117.827924</v>
      </c>
      <c r="F889" cm="1">
        <f t="array" aca="1" ref="F889" ca="1">[1]!s_west_mediannetprofit($B$1,YEAR($A889),$A889,180,1000000)</f>
        <v>-28</v>
      </c>
      <c r="G889" cm="1">
        <f t="array" aca="1" ref="G889" ca="1">[1]!s_west_netprofit($B$1,YEAR($A889)+1,$A889,180,1000000)</f>
        <v>-67.909890000000004</v>
      </c>
      <c r="H889" cm="1">
        <f t="array" aca="1" ref="H889" ca="1">[1]!s_west_eps($B$1,YEAR($A889)+1,$A889,180)</f>
        <v>-7.8E-2</v>
      </c>
      <c r="I889" cm="1">
        <f t="array" aca="1" ref="I889" ca="1">[1]!s_west_instnum_np($B$1,YEAR($A889)+1,$A889,180)</f>
        <v>16</v>
      </c>
      <c r="J889" cm="1">
        <f t="array" aca="1" ref="J889" ca="1">[1]!s_west_stdnetprofit($B$1,YEAR($A889)+1,$A889,180,1000000)</f>
        <v>93.276731999999996</v>
      </c>
      <c r="K889" cm="1">
        <f t="array" aca="1" ref="K889" ca="1">[1]!s_west_mediannetprofit($B$1,YEAR($A888)+1,$A888,180,1000000)</f>
        <v>-41</v>
      </c>
      <c r="L889" cm="1">
        <f t="array" aca="1" ref="L889" ca="1">[1]!s_dq_close($B$1,$A889,3)</f>
        <v>26.35</v>
      </c>
    </row>
    <row r="890" spans="1:12">
      <c r="A890" s="23">
        <f t="shared" ca="1" si="13"/>
        <v>45285</v>
      </c>
      <c r="B890" cm="1">
        <f t="array" aca="1" ref="B890" ca="1">[1]!s_west_netprofit($B$1,YEAR($A890),$A890,180,1000000)</f>
        <v>6.6373040000000003</v>
      </c>
      <c r="C890" cm="1">
        <f t="array" aca="1" ref="C890" ca="1">[1]!s_west_eps($B$1,YEAR($A890),$A890,180)</f>
        <v>7.6E-3</v>
      </c>
      <c r="D890" cm="1">
        <f t="array" aca="1" ref="D890" ca="1">[1]!s_west_instnum_np($B$1,YEAR($A890),$A890,180)</f>
        <v>16</v>
      </c>
      <c r="E890" cm="1">
        <f t="array" aca="1" ref="E890" ca="1">[1]!s_west_stdnetprofit($B$1,YEAR($A890),$A890,180,1000000)</f>
        <v>117.824427</v>
      </c>
      <c r="F890" cm="1">
        <f t="array" aca="1" ref="F890" ca="1">[1]!s_west_mediannetprofit($B$1,YEAR($A890),$A890,180,1000000)</f>
        <v>-28</v>
      </c>
      <c r="G890" cm="1">
        <f t="array" aca="1" ref="G890" ca="1">[1]!s_west_netprofit($B$1,YEAR($A890)+1,$A890,180,1000000)</f>
        <v>-67.905073000000002</v>
      </c>
      <c r="H890" cm="1">
        <f t="array" aca="1" ref="H890" ca="1">[1]!s_west_eps($B$1,YEAR($A890)+1,$A890,180)</f>
        <v>-7.7899999999999997E-2</v>
      </c>
      <c r="I890" cm="1">
        <f t="array" aca="1" ref="I890" ca="1">[1]!s_west_instnum_np($B$1,YEAR($A890)+1,$A890,180)</f>
        <v>16</v>
      </c>
      <c r="J890" cm="1">
        <f t="array" aca="1" ref="J890" ca="1">[1]!s_west_stdnetprofit($B$1,YEAR($A890)+1,$A890,180,1000000)</f>
        <v>93.274128000000005</v>
      </c>
      <c r="K890" cm="1">
        <f t="array" aca="1" ref="K890" ca="1">[1]!s_west_mediannetprofit($B$1,YEAR($A889)+1,$A889,180,1000000)</f>
        <v>-41</v>
      </c>
      <c r="L890" cm="1">
        <f t="array" aca="1" ref="L890" ca="1">[1]!s_dq_close($B$1,$A890,3)</f>
        <v>26.35</v>
      </c>
    </row>
    <row r="891" spans="1:12">
      <c r="A891" s="23">
        <f t="shared" ca="1" si="13"/>
        <v>45284</v>
      </c>
      <c r="B891" cm="1">
        <f t="array" aca="1" ref="B891" ca="1">[1]!s_west_netprofit($B$1,YEAR($A891),$A891,180,1000000)</f>
        <v>6.6334160000000004</v>
      </c>
      <c r="C891" cm="1">
        <f t="array" aca="1" ref="C891" ca="1">[1]!s_west_eps($B$1,YEAR($A891),$A891,180)</f>
        <v>7.6E-3</v>
      </c>
      <c r="D891" cm="1">
        <f t="array" aca="1" ref="D891" ca="1">[1]!s_west_instnum_np($B$1,YEAR($A891),$A891,180)</f>
        <v>16</v>
      </c>
      <c r="E891" cm="1">
        <f t="array" aca="1" ref="E891" ca="1">[1]!s_west_stdnetprofit($B$1,YEAR($A891),$A891,180,1000000)</f>
        <v>117.827924</v>
      </c>
      <c r="F891" cm="1">
        <f t="array" aca="1" ref="F891" ca="1">[1]!s_west_mediannetprofit($B$1,YEAR($A891),$A891,180,1000000)</f>
        <v>-28</v>
      </c>
      <c r="G891" cm="1">
        <f t="array" aca="1" ref="G891" ca="1">[1]!s_west_netprofit($B$1,YEAR($A891)+1,$A891,180,1000000)</f>
        <v>-67.909890000000004</v>
      </c>
      <c r="H891" cm="1">
        <f t="array" aca="1" ref="H891" ca="1">[1]!s_west_eps($B$1,YEAR($A891)+1,$A891,180)</f>
        <v>-7.8E-2</v>
      </c>
      <c r="I891" cm="1">
        <f t="array" aca="1" ref="I891" ca="1">[1]!s_west_instnum_np($B$1,YEAR($A891)+1,$A891,180)</f>
        <v>16</v>
      </c>
      <c r="J891" cm="1">
        <f t="array" aca="1" ref="J891" ca="1">[1]!s_west_stdnetprofit($B$1,YEAR($A891)+1,$A891,180,1000000)</f>
        <v>93.276731999999996</v>
      </c>
      <c r="K891" cm="1">
        <f t="array" aca="1" ref="K891" ca="1">[1]!s_west_mediannetprofit($B$1,YEAR($A890)+1,$A890,180,1000000)</f>
        <v>-41</v>
      </c>
      <c r="L891" cm="1">
        <f t="array" aca="1" ref="L891" ca="1">[1]!s_dq_close($B$1,$A891,3)</f>
        <v>26.35</v>
      </c>
    </row>
    <row r="892" spans="1:12">
      <c r="A892" s="23">
        <f t="shared" ca="1" si="13"/>
        <v>45283</v>
      </c>
      <c r="B892" cm="1">
        <f t="array" aca="1" ref="B892" ca="1">[1]!s_west_netprofit($B$1,YEAR($A892),$A892,180,1000000)</f>
        <v>6.6334160000000004</v>
      </c>
      <c r="C892" cm="1">
        <f t="array" aca="1" ref="C892" ca="1">[1]!s_west_eps($B$1,YEAR($A892),$A892,180)</f>
        <v>7.6E-3</v>
      </c>
      <c r="D892" cm="1">
        <f t="array" aca="1" ref="D892" ca="1">[1]!s_west_instnum_np($B$1,YEAR($A892),$A892,180)</f>
        <v>16</v>
      </c>
      <c r="E892" cm="1">
        <f t="array" aca="1" ref="E892" ca="1">[1]!s_west_stdnetprofit($B$1,YEAR($A892),$A892,180,1000000)</f>
        <v>117.827924</v>
      </c>
      <c r="F892" cm="1">
        <f t="array" aca="1" ref="F892" ca="1">[1]!s_west_mediannetprofit($B$1,YEAR($A892),$A892,180,1000000)</f>
        <v>-28</v>
      </c>
      <c r="G892" cm="1">
        <f t="array" aca="1" ref="G892" ca="1">[1]!s_west_netprofit($B$1,YEAR($A892)+1,$A892,180,1000000)</f>
        <v>-67.909890000000004</v>
      </c>
      <c r="H892" cm="1">
        <f t="array" aca="1" ref="H892" ca="1">[1]!s_west_eps($B$1,YEAR($A892)+1,$A892,180)</f>
        <v>-7.8E-2</v>
      </c>
      <c r="I892" cm="1">
        <f t="array" aca="1" ref="I892" ca="1">[1]!s_west_instnum_np($B$1,YEAR($A892)+1,$A892,180)</f>
        <v>16</v>
      </c>
      <c r="J892" cm="1">
        <f t="array" aca="1" ref="J892" ca="1">[1]!s_west_stdnetprofit($B$1,YEAR($A892)+1,$A892,180,1000000)</f>
        <v>93.276731999999996</v>
      </c>
      <c r="K892" cm="1">
        <f t="array" aca="1" ref="K892" ca="1">[1]!s_west_mediannetprofit($B$1,YEAR($A891)+1,$A891,180,1000000)</f>
        <v>-41</v>
      </c>
      <c r="L892" cm="1">
        <f t="array" aca="1" ref="L892" ca="1">[1]!s_dq_close($B$1,$A892,3)</f>
        <v>26.35</v>
      </c>
    </row>
    <row r="893" spans="1:12">
      <c r="A893" s="23">
        <f t="shared" ca="1" si="13"/>
        <v>45282</v>
      </c>
      <c r="B893" cm="1">
        <f t="array" aca="1" ref="B893" ca="1">[1]!s_west_netprofit($B$1,YEAR($A893),$A893,180,1000000)</f>
        <v>6.6334160000000004</v>
      </c>
      <c r="C893" cm="1">
        <f t="array" aca="1" ref="C893" ca="1">[1]!s_west_eps($B$1,YEAR($A893),$A893,180)</f>
        <v>7.6E-3</v>
      </c>
      <c r="D893" cm="1">
        <f t="array" aca="1" ref="D893" ca="1">[1]!s_west_instnum_np($B$1,YEAR($A893),$A893,180)</f>
        <v>16</v>
      </c>
      <c r="E893" cm="1">
        <f t="array" aca="1" ref="E893" ca="1">[1]!s_west_stdnetprofit($B$1,YEAR($A893),$A893,180,1000000)</f>
        <v>117.827924</v>
      </c>
      <c r="F893" cm="1">
        <f t="array" aca="1" ref="F893" ca="1">[1]!s_west_mediannetprofit($B$1,YEAR($A893),$A893,180,1000000)</f>
        <v>-28</v>
      </c>
      <c r="G893" cm="1">
        <f t="array" aca="1" ref="G893" ca="1">[1]!s_west_netprofit($B$1,YEAR($A893)+1,$A893,180,1000000)</f>
        <v>-67.909890000000004</v>
      </c>
      <c r="H893" cm="1">
        <f t="array" aca="1" ref="H893" ca="1">[1]!s_west_eps($B$1,YEAR($A893)+1,$A893,180)</f>
        <v>-7.8E-2</v>
      </c>
      <c r="I893" cm="1">
        <f t="array" aca="1" ref="I893" ca="1">[1]!s_west_instnum_np($B$1,YEAR($A893)+1,$A893,180)</f>
        <v>16</v>
      </c>
      <c r="J893" cm="1">
        <f t="array" aca="1" ref="J893" ca="1">[1]!s_west_stdnetprofit($B$1,YEAR($A893)+1,$A893,180,1000000)</f>
        <v>93.276731999999996</v>
      </c>
      <c r="K893" cm="1">
        <f t="array" aca="1" ref="K893" ca="1">[1]!s_west_mediannetprofit($B$1,YEAR($A892)+1,$A892,180,1000000)</f>
        <v>-41</v>
      </c>
      <c r="L893" cm="1">
        <f t="array" aca="1" ref="L893" ca="1">[1]!s_dq_close($B$1,$A893,3)</f>
        <v>26.35</v>
      </c>
    </row>
    <row r="894" spans="1:12">
      <c r="A894" s="23">
        <f t="shared" ca="1" si="13"/>
        <v>45281</v>
      </c>
      <c r="B894" cm="1">
        <f t="array" aca="1" ref="B894" ca="1">[1]!s_west_netprofit($B$1,YEAR($A894),$A894,180,1000000)</f>
        <v>6.6373040000000003</v>
      </c>
      <c r="C894" cm="1">
        <f t="array" aca="1" ref="C894" ca="1">[1]!s_west_eps($B$1,YEAR($A894),$A894,180)</f>
        <v>7.6E-3</v>
      </c>
      <c r="D894" cm="1">
        <f t="array" aca="1" ref="D894" ca="1">[1]!s_west_instnum_np($B$1,YEAR($A894),$A894,180)</f>
        <v>16</v>
      </c>
      <c r="E894" cm="1">
        <f t="array" aca="1" ref="E894" ca="1">[1]!s_west_stdnetprofit($B$1,YEAR($A894),$A894,180,1000000)</f>
        <v>117.824427</v>
      </c>
      <c r="F894" cm="1">
        <f t="array" aca="1" ref="F894" ca="1">[1]!s_west_mediannetprofit($B$1,YEAR($A894),$A894,180,1000000)</f>
        <v>-28</v>
      </c>
      <c r="G894" cm="1">
        <f t="array" aca="1" ref="G894" ca="1">[1]!s_west_netprofit($B$1,YEAR($A894)+1,$A894,180,1000000)</f>
        <v>-67.905073000000002</v>
      </c>
      <c r="H894" cm="1">
        <f t="array" aca="1" ref="H894" ca="1">[1]!s_west_eps($B$1,YEAR($A894)+1,$A894,180)</f>
        <v>-7.7899999999999997E-2</v>
      </c>
      <c r="I894" cm="1">
        <f t="array" aca="1" ref="I894" ca="1">[1]!s_west_instnum_np($B$1,YEAR($A894)+1,$A894,180)</f>
        <v>16</v>
      </c>
      <c r="J894" cm="1">
        <f t="array" aca="1" ref="J894" ca="1">[1]!s_west_stdnetprofit($B$1,YEAR($A894)+1,$A894,180,1000000)</f>
        <v>93.274128000000005</v>
      </c>
      <c r="K894" cm="1">
        <f t="array" aca="1" ref="K894" ca="1">[1]!s_west_mediannetprofit($B$1,YEAR($A893)+1,$A893,180,1000000)</f>
        <v>-41</v>
      </c>
      <c r="L894" cm="1">
        <f t="array" aca="1" ref="L894" ca="1">[1]!s_dq_close($B$1,$A894,3)</f>
        <v>26.4</v>
      </c>
    </row>
    <row r="895" spans="1:12">
      <c r="A895" s="23">
        <f t="shared" ca="1" si="13"/>
        <v>45280</v>
      </c>
      <c r="B895" cm="1">
        <f t="array" aca="1" ref="B895" ca="1">[1]!s_west_netprofit($B$1,YEAR($A895),$A895,180,1000000)</f>
        <v>6.6334160000000004</v>
      </c>
      <c r="C895" cm="1">
        <f t="array" aca="1" ref="C895" ca="1">[1]!s_west_eps($B$1,YEAR($A895),$A895,180)</f>
        <v>7.6E-3</v>
      </c>
      <c r="D895" cm="1">
        <f t="array" aca="1" ref="D895" ca="1">[1]!s_west_instnum_np($B$1,YEAR($A895),$A895,180)</f>
        <v>16</v>
      </c>
      <c r="E895" cm="1">
        <f t="array" aca="1" ref="E895" ca="1">[1]!s_west_stdnetprofit($B$1,YEAR($A895),$A895,180,1000000)</f>
        <v>117.827924</v>
      </c>
      <c r="F895" cm="1">
        <f t="array" aca="1" ref="F895" ca="1">[1]!s_west_mediannetprofit($B$1,YEAR($A895),$A895,180,1000000)</f>
        <v>-28</v>
      </c>
      <c r="G895" cm="1">
        <f t="array" aca="1" ref="G895" ca="1">[1]!s_west_netprofit($B$1,YEAR($A895)+1,$A895,180,1000000)</f>
        <v>-67.909890000000004</v>
      </c>
      <c r="H895" cm="1">
        <f t="array" aca="1" ref="H895" ca="1">[1]!s_west_eps($B$1,YEAR($A895)+1,$A895,180)</f>
        <v>-7.8E-2</v>
      </c>
      <c r="I895" cm="1">
        <f t="array" aca="1" ref="I895" ca="1">[1]!s_west_instnum_np($B$1,YEAR($A895)+1,$A895,180)</f>
        <v>16</v>
      </c>
      <c r="J895" cm="1">
        <f t="array" aca="1" ref="J895" ca="1">[1]!s_west_stdnetprofit($B$1,YEAR($A895)+1,$A895,180,1000000)</f>
        <v>93.276731999999996</v>
      </c>
      <c r="K895" cm="1">
        <f t="array" aca="1" ref="K895" ca="1">[1]!s_west_mediannetprofit($B$1,YEAR($A894)+1,$A894,180,1000000)</f>
        <v>-41</v>
      </c>
      <c r="L895" cm="1">
        <f t="array" aca="1" ref="L895" ca="1">[1]!s_dq_close($B$1,$A895,3)</f>
        <v>27.15</v>
      </c>
    </row>
    <row r="896" spans="1:12">
      <c r="A896" s="23">
        <f t="shared" ca="1" si="13"/>
        <v>45279</v>
      </c>
      <c r="B896" cm="1">
        <f t="array" aca="1" ref="B896" ca="1">[1]!s_west_netprofit($B$1,YEAR($A896),$A896,180,1000000)</f>
        <v>6.6334160000000004</v>
      </c>
      <c r="C896" cm="1">
        <f t="array" aca="1" ref="C896" ca="1">[1]!s_west_eps($B$1,YEAR($A896),$A896,180)</f>
        <v>7.6E-3</v>
      </c>
      <c r="D896" cm="1">
        <f t="array" aca="1" ref="D896" ca="1">[1]!s_west_instnum_np($B$1,YEAR($A896),$A896,180)</f>
        <v>16</v>
      </c>
      <c r="E896" cm="1">
        <f t="array" aca="1" ref="E896" ca="1">[1]!s_west_stdnetprofit($B$1,YEAR($A896),$A896,180,1000000)</f>
        <v>117.827924</v>
      </c>
      <c r="F896" cm="1">
        <f t="array" aca="1" ref="F896" ca="1">[1]!s_west_mediannetprofit($B$1,YEAR($A896),$A896,180,1000000)</f>
        <v>-28</v>
      </c>
      <c r="G896" cm="1">
        <f t="array" aca="1" ref="G896" ca="1">[1]!s_west_netprofit($B$1,YEAR($A896)+1,$A896,180,1000000)</f>
        <v>-67.909890000000004</v>
      </c>
      <c r="H896" cm="1">
        <f t="array" aca="1" ref="H896" ca="1">[1]!s_west_eps($B$1,YEAR($A896)+1,$A896,180)</f>
        <v>-7.8E-2</v>
      </c>
      <c r="I896" cm="1">
        <f t="array" aca="1" ref="I896" ca="1">[1]!s_west_instnum_np($B$1,YEAR($A896)+1,$A896,180)</f>
        <v>16</v>
      </c>
      <c r="J896" cm="1">
        <f t="array" aca="1" ref="J896" ca="1">[1]!s_west_stdnetprofit($B$1,YEAR($A896)+1,$A896,180,1000000)</f>
        <v>93.276731999999996</v>
      </c>
      <c r="K896" cm="1">
        <f t="array" aca="1" ref="K896" ca="1">[1]!s_west_mediannetprofit($B$1,YEAR($A895)+1,$A895,180,1000000)</f>
        <v>-41</v>
      </c>
      <c r="L896" cm="1">
        <f t="array" aca="1" ref="L896" ca="1">[1]!s_dq_close($B$1,$A896,3)</f>
        <v>27.45</v>
      </c>
    </row>
    <row r="897" spans="1:12">
      <c r="A897" s="23">
        <f t="shared" ca="1" si="13"/>
        <v>45278</v>
      </c>
      <c r="B897" cm="1">
        <f t="array" aca="1" ref="B897" ca="1">[1]!s_west_netprofit($B$1,YEAR($A897),$A897,180,1000000)</f>
        <v>6.6295270000000004</v>
      </c>
      <c r="C897" cm="1">
        <f t="array" aca="1" ref="C897" ca="1">[1]!s_west_eps($B$1,YEAR($A897),$A897,180)</f>
        <v>7.6E-3</v>
      </c>
      <c r="D897" cm="1">
        <f t="array" aca="1" ref="D897" ca="1">[1]!s_west_instnum_np($B$1,YEAR($A897),$A897,180)</f>
        <v>16</v>
      </c>
      <c r="E897" cm="1">
        <f t="array" aca="1" ref="E897" ca="1">[1]!s_west_stdnetprofit($B$1,YEAR($A897),$A897,180,1000000)</f>
        <v>117.831423</v>
      </c>
      <c r="F897" cm="1">
        <f t="array" aca="1" ref="F897" ca="1">[1]!s_west_mediannetprofit($B$1,YEAR($A897),$A897,180,1000000)</f>
        <v>-28</v>
      </c>
      <c r="G897" cm="1">
        <f t="array" aca="1" ref="G897" ca="1">[1]!s_west_netprofit($B$1,YEAR($A897)+1,$A897,180,1000000)</f>
        <v>-67.914708000000005</v>
      </c>
      <c r="H897" cm="1">
        <f t="array" aca="1" ref="H897" ca="1">[1]!s_west_eps($B$1,YEAR($A897)+1,$A897,180)</f>
        <v>-7.8E-2</v>
      </c>
      <c r="I897" cm="1">
        <f t="array" aca="1" ref="I897" ca="1">[1]!s_west_instnum_np($B$1,YEAR($A897)+1,$A897,180)</f>
        <v>16</v>
      </c>
      <c r="J897" cm="1">
        <f t="array" aca="1" ref="J897" ca="1">[1]!s_west_stdnetprofit($B$1,YEAR($A897)+1,$A897,180,1000000)</f>
        <v>93.279340000000005</v>
      </c>
      <c r="K897" cm="1">
        <f t="array" aca="1" ref="K897" ca="1">[1]!s_west_mediannetprofit($B$1,YEAR($A896)+1,$A896,180,1000000)</f>
        <v>-41</v>
      </c>
      <c r="L897" cm="1">
        <f t="array" aca="1" ref="L897" ca="1">[1]!s_dq_close($B$1,$A897,3)</f>
        <v>28.65</v>
      </c>
    </row>
    <row r="898" spans="1:12">
      <c r="A898" s="23">
        <f t="shared" ca="1" si="13"/>
        <v>45277</v>
      </c>
      <c r="B898" cm="1">
        <f t="array" aca="1" ref="B898" ca="1">[1]!s_west_netprofit($B$1,YEAR($A898),$A898,180,1000000)</f>
        <v>6.6334160000000004</v>
      </c>
      <c r="C898" cm="1">
        <f t="array" aca="1" ref="C898" ca="1">[1]!s_west_eps($B$1,YEAR($A898),$A898,180)</f>
        <v>7.6E-3</v>
      </c>
      <c r="D898" cm="1">
        <f t="array" aca="1" ref="D898" ca="1">[1]!s_west_instnum_np($B$1,YEAR($A898),$A898,180)</f>
        <v>16</v>
      </c>
      <c r="E898" cm="1">
        <f t="array" aca="1" ref="E898" ca="1">[1]!s_west_stdnetprofit($B$1,YEAR($A898),$A898,180,1000000)</f>
        <v>117.827924</v>
      </c>
      <c r="F898" cm="1">
        <f t="array" aca="1" ref="F898" ca="1">[1]!s_west_mediannetprofit($B$1,YEAR($A898),$A898,180,1000000)</f>
        <v>-28</v>
      </c>
      <c r="G898" cm="1">
        <f t="array" aca="1" ref="G898" ca="1">[1]!s_west_netprofit($B$1,YEAR($A898)+1,$A898,180,1000000)</f>
        <v>-67.909890000000004</v>
      </c>
      <c r="H898" cm="1">
        <f t="array" aca="1" ref="H898" ca="1">[1]!s_west_eps($B$1,YEAR($A898)+1,$A898,180)</f>
        <v>-7.8E-2</v>
      </c>
      <c r="I898" cm="1">
        <f t="array" aca="1" ref="I898" ca="1">[1]!s_west_instnum_np($B$1,YEAR($A898)+1,$A898,180)</f>
        <v>16</v>
      </c>
      <c r="J898" cm="1">
        <f t="array" aca="1" ref="J898" ca="1">[1]!s_west_stdnetprofit($B$1,YEAR($A898)+1,$A898,180,1000000)</f>
        <v>93.276731999999996</v>
      </c>
      <c r="K898" cm="1">
        <f t="array" aca="1" ref="K898" ca="1">[1]!s_west_mediannetprofit($B$1,YEAR($A897)+1,$A897,180,1000000)</f>
        <v>-41</v>
      </c>
      <c r="L898" cm="1">
        <f t="array" aca="1" ref="L898" ca="1">[1]!s_dq_close($B$1,$A898,3)</f>
        <v>30.95</v>
      </c>
    </row>
    <row r="899" spans="1:12">
      <c r="A899" s="23">
        <f t="shared" ca="1" si="13"/>
        <v>45276</v>
      </c>
      <c r="B899" cm="1">
        <f t="array" aca="1" ref="B899" ca="1">[1]!s_west_netprofit($B$1,YEAR($A899),$A899,180,1000000)</f>
        <v>6.6334160000000004</v>
      </c>
      <c r="C899" cm="1">
        <f t="array" aca="1" ref="C899" ca="1">[1]!s_west_eps($B$1,YEAR($A899),$A899,180)</f>
        <v>7.6E-3</v>
      </c>
      <c r="D899" cm="1">
        <f t="array" aca="1" ref="D899" ca="1">[1]!s_west_instnum_np($B$1,YEAR($A899),$A899,180)</f>
        <v>16</v>
      </c>
      <c r="E899" cm="1">
        <f t="array" aca="1" ref="E899" ca="1">[1]!s_west_stdnetprofit($B$1,YEAR($A899),$A899,180,1000000)</f>
        <v>117.827924</v>
      </c>
      <c r="F899" cm="1">
        <f t="array" aca="1" ref="F899" ca="1">[1]!s_west_mediannetprofit($B$1,YEAR($A899),$A899,180,1000000)</f>
        <v>-28</v>
      </c>
      <c r="G899" cm="1">
        <f t="array" aca="1" ref="G899" ca="1">[1]!s_west_netprofit($B$1,YEAR($A899)+1,$A899,180,1000000)</f>
        <v>-67.909890000000004</v>
      </c>
      <c r="H899" cm="1">
        <f t="array" aca="1" ref="H899" ca="1">[1]!s_west_eps($B$1,YEAR($A899)+1,$A899,180)</f>
        <v>-7.8E-2</v>
      </c>
      <c r="I899" cm="1">
        <f t="array" aca="1" ref="I899" ca="1">[1]!s_west_instnum_np($B$1,YEAR($A899)+1,$A899,180)</f>
        <v>16</v>
      </c>
      <c r="J899" cm="1">
        <f t="array" aca="1" ref="J899" ca="1">[1]!s_west_stdnetprofit($B$1,YEAR($A899)+1,$A899,180,1000000)</f>
        <v>93.276731999999996</v>
      </c>
      <c r="K899" cm="1">
        <f t="array" aca="1" ref="K899" ca="1">[1]!s_west_mediannetprofit($B$1,YEAR($A898)+1,$A898,180,1000000)</f>
        <v>-41</v>
      </c>
      <c r="L899" cm="1">
        <f t="array" aca="1" ref="L899" ca="1">[1]!s_dq_close($B$1,$A899,3)</f>
        <v>30.95</v>
      </c>
    </row>
    <row r="900" spans="1:12">
      <c r="A900" s="23">
        <f t="shared" ca="1" si="13"/>
        <v>45275</v>
      </c>
      <c r="B900" cm="1">
        <f t="array" aca="1" ref="B900" ca="1">[1]!s_west_netprofit($B$1,YEAR($A900),$A900,180,1000000)</f>
        <v>6.6334160000000004</v>
      </c>
      <c r="C900" cm="1">
        <f t="array" aca="1" ref="C900" ca="1">[1]!s_west_eps($B$1,YEAR($A900),$A900,180)</f>
        <v>7.6E-3</v>
      </c>
      <c r="D900" cm="1">
        <f t="array" aca="1" ref="D900" ca="1">[1]!s_west_instnum_np($B$1,YEAR($A900),$A900,180)</f>
        <v>16</v>
      </c>
      <c r="E900" cm="1">
        <f t="array" aca="1" ref="E900" ca="1">[1]!s_west_stdnetprofit($B$1,YEAR($A900),$A900,180,1000000)</f>
        <v>117.827924</v>
      </c>
      <c r="F900" cm="1">
        <f t="array" aca="1" ref="F900" ca="1">[1]!s_west_mediannetprofit($B$1,YEAR($A900),$A900,180,1000000)</f>
        <v>-28</v>
      </c>
      <c r="G900" cm="1">
        <f t="array" aca="1" ref="G900" ca="1">[1]!s_west_netprofit($B$1,YEAR($A900)+1,$A900,180,1000000)</f>
        <v>-67.909890000000004</v>
      </c>
      <c r="H900" cm="1">
        <f t="array" aca="1" ref="H900" ca="1">[1]!s_west_eps($B$1,YEAR($A900)+1,$A900,180)</f>
        <v>-7.8E-2</v>
      </c>
      <c r="I900" cm="1">
        <f t="array" aca="1" ref="I900" ca="1">[1]!s_west_instnum_np($B$1,YEAR($A900)+1,$A900,180)</f>
        <v>16</v>
      </c>
      <c r="J900" cm="1">
        <f t="array" aca="1" ref="J900" ca="1">[1]!s_west_stdnetprofit($B$1,YEAR($A900)+1,$A900,180,1000000)</f>
        <v>93.276731999999996</v>
      </c>
      <c r="K900" cm="1">
        <f t="array" aca="1" ref="K900" ca="1">[1]!s_west_mediannetprofit($B$1,YEAR($A899)+1,$A899,180,1000000)</f>
        <v>-41</v>
      </c>
      <c r="L900" cm="1">
        <f t="array" aca="1" ref="L900" ca="1">[1]!s_dq_close($B$1,$A900,3)</f>
        <v>30.95</v>
      </c>
    </row>
    <row r="901" spans="1:12">
      <c r="A901" s="23">
        <f t="shared" ca="1" si="13"/>
        <v>45274</v>
      </c>
      <c r="B901" cm="1">
        <f t="array" aca="1" ref="B901" ca="1">[1]!s_west_netprofit($B$1,YEAR($A901),$A901,180,1000000)</f>
        <v>6.6411920000000002</v>
      </c>
      <c r="C901" cm="1">
        <f t="array" aca="1" ref="C901" ca="1">[1]!s_west_eps($B$1,YEAR($A901),$A901,180)</f>
        <v>7.6E-3</v>
      </c>
      <c r="D901" cm="1">
        <f t="array" aca="1" ref="D901" ca="1">[1]!s_west_instnum_np($B$1,YEAR($A901),$A901,180)</f>
        <v>16</v>
      </c>
      <c r="E901" cm="1">
        <f t="array" aca="1" ref="E901" ca="1">[1]!s_west_stdnetprofit($B$1,YEAR($A901),$A901,180,1000000)</f>
        <v>117.820932</v>
      </c>
      <c r="F901" cm="1">
        <f t="array" aca="1" ref="F901" ca="1">[1]!s_west_mediannetprofit($B$1,YEAR($A901),$A901,180,1000000)</f>
        <v>-28</v>
      </c>
      <c r="G901" cm="1">
        <f t="array" aca="1" ref="G901" ca="1">[1]!s_west_netprofit($B$1,YEAR($A901)+1,$A901,180,1000000)</f>
        <v>-67.900255000000001</v>
      </c>
      <c r="H901" cm="1">
        <f t="array" aca="1" ref="H901" ca="1">[1]!s_west_eps($B$1,YEAR($A901)+1,$A901,180)</f>
        <v>-7.7899999999999997E-2</v>
      </c>
      <c r="I901" cm="1">
        <f t="array" aca="1" ref="I901" ca="1">[1]!s_west_instnum_np($B$1,YEAR($A901)+1,$A901,180)</f>
        <v>16</v>
      </c>
      <c r="J901" cm="1">
        <f t="array" aca="1" ref="J901" ca="1">[1]!s_west_stdnetprofit($B$1,YEAR($A901)+1,$A901,180,1000000)</f>
        <v>93.271528000000004</v>
      </c>
      <c r="K901" cm="1">
        <f t="array" aca="1" ref="K901" ca="1">[1]!s_west_mediannetprofit($B$1,YEAR($A900)+1,$A900,180,1000000)</f>
        <v>-41</v>
      </c>
      <c r="L901" cm="1">
        <f t="array" aca="1" ref="L901" ca="1">[1]!s_dq_close($B$1,$A901,3)</f>
        <v>30.8</v>
      </c>
    </row>
    <row r="902" spans="1:12">
      <c r="A902" s="23">
        <f t="shared" ca="1" si="13"/>
        <v>45273</v>
      </c>
      <c r="B902" cm="1">
        <f t="array" aca="1" ref="B902" ca="1">[1]!s_west_netprofit($B$1,YEAR($A902),$A902,180,1000000)</f>
        <v>8.8103979999999993</v>
      </c>
      <c r="C902" cm="1">
        <f t="array" aca="1" ref="C902" ca="1">[1]!s_west_eps($B$1,YEAR($A902),$A902,180)</f>
        <v>1.01E-2</v>
      </c>
      <c r="D902" cm="1">
        <f t="array" aca="1" ref="D902" ca="1">[1]!s_west_instnum_np($B$1,YEAR($A902),$A902,180)</f>
        <v>15</v>
      </c>
      <c r="E902" cm="1">
        <f t="array" aca="1" ref="E902" ca="1">[1]!s_west_stdnetprofit($B$1,YEAR($A902),$A902,180,1000000)</f>
        <v>121.33147</v>
      </c>
      <c r="F902" cm="1">
        <f t="array" aca="1" ref="F902" ca="1">[1]!s_west_mediannetprofit($B$1,YEAR($A902),$A902,180,1000000)</f>
        <v>-27</v>
      </c>
      <c r="G902" cm="1">
        <f t="array" aca="1" ref="G902" ca="1">[1]!s_west_netprofit($B$1,YEAR($A902)+1,$A902,180,1000000)</f>
        <v>-67.138902000000002</v>
      </c>
      <c r="H902" cm="1">
        <f t="array" aca="1" ref="H902" ca="1">[1]!s_west_eps($B$1,YEAR($A902)+1,$A902,180)</f>
        <v>-7.7100000000000002E-2</v>
      </c>
      <c r="I902" cm="1">
        <f t="array" aca="1" ref="I902" ca="1">[1]!s_west_instnum_np($B$1,YEAR($A902)+1,$A902,180)</f>
        <v>15</v>
      </c>
      <c r="J902" cm="1">
        <f t="array" aca="1" ref="J902" ca="1">[1]!s_west_stdnetprofit($B$1,YEAR($A902)+1,$A902,180,1000000)</f>
        <v>96.273853000000003</v>
      </c>
      <c r="K902" cm="1">
        <f t="array" aca="1" ref="K902" ca="1">[1]!s_west_mediannetprofit($B$1,YEAR($A901)+1,$A901,180,1000000)</f>
        <v>-41</v>
      </c>
      <c r="L902" cm="1">
        <f t="array" aca="1" ref="L902" ca="1">[1]!s_dq_close($B$1,$A902,3)</f>
        <v>30.35</v>
      </c>
    </row>
    <row r="903" spans="1:12">
      <c r="A903" s="23">
        <f t="shared" ca="1" si="13"/>
        <v>45272</v>
      </c>
      <c r="B903" cm="1">
        <f t="array" aca="1" ref="B903" ca="1">[1]!s_west_netprofit($B$1,YEAR($A903),$A903,180,1000000)</f>
        <v>8.8145290000000003</v>
      </c>
      <c r="C903" cm="1">
        <f t="array" aca="1" ref="C903" ca="1">[1]!s_west_eps($B$1,YEAR($A903),$A903,180)</f>
        <v>1.01E-2</v>
      </c>
      <c r="D903" cm="1">
        <f t="array" aca="1" ref="D903" ca="1">[1]!s_west_instnum_np($B$1,YEAR($A903),$A903,180)</f>
        <v>15</v>
      </c>
      <c r="E903" cm="1">
        <f t="array" aca="1" ref="E903" ca="1">[1]!s_west_stdnetprofit($B$1,YEAR($A903),$A903,180,1000000)</f>
        <v>121.327775</v>
      </c>
      <c r="F903" cm="1">
        <f t="array" aca="1" ref="F903" ca="1">[1]!s_west_mediannetprofit($B$1,YEAR($A903),$A903,180,1000000)</f>
        <v>-27</v>
      </c>
      <c r="G903" cm="1">
        <f t="array" aca="1" ref="G903" ca="1">[1]!s_west_netprofit($B$1,YEAR($A903)+1,$A903,180,1000000)</f>
        <v>-67.133784000000006</v>
      </c>
      <c r="H903" cm="1">
        <f t="array" aca="1" ref="H903" ca="1">[1]!s_west_eps($B$1,YEAR($A903)+1,$A903,180)</f>
        <v>-7.7100000000000002E-2</v>
      </c>
      <c r="I903" cm="1">
        <f t="array" aca="1" ref="I903" ca="1">[1]!s_west_instnum_np($B$1,YEAR($A903)+1,$A903,180)</f>
        <v>15</v>
      </c>
      <c r="J903" cm="1">
        <f t="array" aca="1" ref="J903" ca="1">[1]!s_west_stdnetprofit($B$1,YEAR($A903)+1,$A903,180,1000000)</f>
        <v>96.271133000000006</v>
      </c>
      <c r="K903" cm="1">
        <f t="array" aca="1" ref="K903" ca="1">[1]!s_west_mediannetprofit($B$1,YEAR($A902)+1,$A902,180,1000000)</f>
        <v>-35.5</v>
      </c>
      <c r="L903" cm="1">
        <f t="array" aca="1" ref="L903" ca="1">[1]!s_dq_close($B$1,$A903,3)</f>
        <v>30.15</v>
      </c>
    </row>
    <row r="904" spans="1:12">
      <c r="A904" s="23">
        <f t="shared" ca="1" si="13"/>
        <v>45271</v>
      </c>
      <c r="B904" cm="1">
        <f t="array" aca="1" ref="B904" ca="1">[1]!s_west_netprofit($B$1,YEAR($A904),$A904,180,1000000)</f>
        <v>8.8145290000000003</v>
      </c>
      <c r="C904" cm="1">
        <f t="array" aca="1" ref="C904" ca="1">[1]!s_west_eps($B$1,YEAR($A904),$A904,180)</f>
        <v>1.01E-2</v>
      </c>
      <c r="D904" cm="1">
        <f t="array" aca="1" ref="D904" ca="1">[1]!s_west_instnum_np($B$1,YEAR($A904),$A904,180)</f>
        <v>15</v>
      </c>
      <c r="E904" cm="1">
        <f t="array" aca="1" ref="E904" ca="1">[1]!s_west_stdnetprofit($B$1,YEAR($A904),$A904,180,1000000)</f>
        <v>121.327775</v>
      </c>
      <c r="F904" cm="1">
        <f t="array" aca="1" ref="F904" ca="1">[1]!s_west_mediannetprofit($B$1,YEAR($A904),$A904,180,1000000)</f>
        <v>-27</v>
      </c>
      <c r="G904" cm="1">
        <f t="array" aca="1" ref="G904" ca="1">[1]!s_west_netprofit($B$1,YEAR($A904)+1,$A904,180,1000000)</f>
        <v>-67.133784000000006</v>
      </c>
      <c r="H904" cm="1">
        <f t="array" aca="1" ref="H904" ca="1">[1]!s_west_eps($B$1,YEAR($A904)+1,$A904,180)</f>
        <v>-7.7100000000000002E-2</v>
      </c>
      <c r="I904" cm="1">
        <f t="array" aca="1" ref="I904" ca="1">[1]!s_west_instnum_np($B$1,YEAR($A904)+1,$A904,180)</f>
        <v>15</v>
      </c>
      <c r="J904" cm="1">
        <f t="array" aca="1" ref="J904" ca="1">[1]!s_west_stdnetprofit($B$1,YEAR($A904)+1,$A904,180,1000000)</f>
        <v>96.271133000000006</v>
      </c>
      <c r="K904" cm="1">
        <f t="array" aca="1" ref="K904" ca="1">[1]!s_west_mediannetprofit($B$1,YEAR($A903)+1,$A903,180,1000000)</f>
        <v>-35.5</v>
      </c>
      <c r="L904" cm="1">
        <f t="array" aca="1" ref="L904" ca="1">[1]!s_dq_close($B$1,$A904,3)</f>
        <v>29.3</v>
      </c>
    </row>
    <row r="905" spans="1:12">
      <c r="A905" s="23">
        <f t="shared" ca="1" si="13"/>
        <v>45270</v>
      </c>
      <c r="B905" cm="1">
        <f t="array" aca="1" ref="B905" ca="1">[1]!s_west_netprofit($B$1,YEAR($A905),$A905,180,1000000)</f>
        <v>8.8103979999999993</v>
      </c>
      <c r="C905" cm="1">
        <f t="array" aca="1" ref="C905" ca="1">[1]!s_west_eps($B$1,YEAR($A905),$A905,180)</f>
        <v>1.01E-2</v>
      </c>
      <c r="D905" cm="1">
        <f t="array" aca="1" ref="D905" ca="1">[1]!s_west_instnum_np($B$1,YEAR($A905),$A905,180)</f>
        <v>15</v>
      </c>
      <c r="E905" cm="1">
        <f t="array" aca="1" ref="E905" ca="1">[1]!s_west_stdnetprofit($B$1,YEAR($A905),$A905,180,1000000)</f>
        <v>121.33147</v>
      </c>
      <c r="F905" cm="1">
        <f t="array" aca="1" ref="F905" ca="1">[1]!s_west_mediannetprofit($B$1,YEAR($A905),$A905,180,1000000)</f>
        <v>-27</v>
      </c>
      <c r="G905" cm="1">
        <f t="array" aca="1" ref="G905" ca="1">[1]!s_west_netprofit($B$1,YEAR($A905)+1,$A905,180,1000000)</f>
        <v>-67.138902000000002</v>
      </c>
      <c r="H905" cm="1">
        <f t="array" aca="1" ref="H905" ca="1">[1]!s_west_eps($B$1,YEAR($A905)+1,$A905,180)</f>
        <v>-7.7100000000000002E-2</v>
      </c>
      <c r="I905" cm="1">
        <f t="array" aca="1" ref="I905" ca="1">[1]!s_west_instnum_np($B$1,YEAR($A905)+1,$A905,180)</f>
        <v>15</v>
      </c>
      <c r="J905" cm="1">
        <f t="array" aca="1" ref="J905" ca="1">[1]!s_west_stdnetprofit($B$1,YEAR($A905)+1,$A905,180,1000000)</f>
        <v>96.273853000000003</v>
      </c>
      <c r="K905" cm="1">
        <f t="array" aca="1" ref="K905" ca="1">[1]!s_west_mediannetprofit($B$1,YEAR($A904)+1,$A904,180,1000000)</f>
        <v>-35.5</v>
      </c>
      <c r="L905" cm="1">
        <f t="array" aca="1" ref="L905" ca="1">[1]!s_dq_close($B$1,$A905,3)</f>
        <v>29.95</v>
      </c>
    </row>
    <row r="906" spans="1:12">
      <c r="A906" s="23">
        <f t="shared" ca="1" si="13"/>
        <v>45269</v>
      </c>
      <c r="B906" cm="1">
        <f t="array" aca="1" ref="B906" ca="1">[1]!s_west_netprofit($B$1,YEAR($A906),$A906,180,1000000)</f>
        <v>8.8103979999999993</v>
      </c>
      <c r="C906" cm="1">
        <f t="array" aca="1" ref="C906" ca="1">[1]!s_west_eps($B$1,YEAR($A906),$A906,180)</f>
        <v>1.01E-2</v>
      </c>
      <c r="D906" cm="1">
        <f t="array" aca="1" ref="D906" ca="1">[1]!s_west_instnum_np($B$1,YEAR($A906),$A906,180)</f>
        <v>15</v>
      </c>
      <c r="E906" cm="1">
        <f t="array" aca="1" ref="E906" ca="1">[1]!s_west_stdnetprofit($B$1,YEAR($A906),$A906,180,1000000)</f>
        <v>121.33147</v>
      </c>
      <c r="F906" cm="1">
        <f t="array" aca="1" ref="F906" ca="1">[1]!s_west_mediannetprofit($B$1,YEAR($A906),$A906,180,1000000)</f>
        <v>-27</v>
      </c>
      <c r="G906" cm="1">
        <f t="array" aca="1" ref="G906" ca="1">[1]!s_west_netprofit($B$1,YEAR($A906)+1,$A906,180,1000000)</f>
        <v>-67.138902000000002</v>
      </c>
      <c r="H906" cm="1">
        <f t="array" aca="1" ref="H906" ca="1">[1]!s_west_eps($B$1,YEAR($A906)+1,$A906,180)</f>
        <v>-7.7100000000000002E-2</v>
      </c>
      <c r="I906" cm="1">
        <f t="array" aca="1" ref="I906" ca="1">[1]!s_west_instnum_np($B$1,YEAR($A906)+1,$A906,180)</f>
        <v>15</v>
      </c>
      <c r="J906" cm="1">
        <f t="array" aca="1" ref="J906" ca="1">[1]!s_west_stdnetprofit($B$1,YEAR($A906)+1,$A906,180,1000000)</f>
        <v>96.273853000000003</v>
      </c>
      <c r="K906" cm="1">
        <f t="array" aca="1" ref="K906" ca="1">[1]!s_west_mediannetprofit($B$1,YEAR($A905)+1,$A905,180,1000000)</f>
        <v>-35.5</v>
      </c>
      <c r="L906" cm="1">
        <f t="array" aca="1" ref="L906" ca="1">[1]!s_dq_close($B$1,$A906,3)</f>
        <v>29.95</v>
      </c>
    </row>
    <row r="907" spans="1:12">
      <c r="A907" s="23">
        <f t="shared" ca="1" si="13"/>
        <v>45268</v>
      </c>
      <c r="B907" cm="1">
        <f t="array" aca="1" ref="B907" ca="1">[1]!s_west_netprofit($B$1,YEAR($A907),$A907,180,1000000)</f>
        <v>8.8103979999999993</v>
      </c>
      <c r="C907" cm="1">
        <f t="array" aca="1" ref="C907" ca="1">[1]!s_west_eps($B$1,YEAR($A907),$A907,180)</f>
        <v>1.01E-2</v>
      </c>
      <c r="D907" cm="1">
        <f t="array" aca="1" ref="D907" ca="1">[1]!s_west_instnum_np($B$1,YEAR($A907),$A907,180)</f>
        <v>15</v>
      </c>
      <c r="E907" cm="1">
        <f t="array" aca="1" ref="E907" ca="1">[1]!s_west_stdnetprofit($B$1,YEAR($A907),$A907,180,1000000)</f>
        <v>121.33147</v>
      </c>
      <c r="F907" cm="1">
        <f t="array" aca="1" ref="F907" ca="1">[1]!s_west_mediannetprofit($B$1,YEAR($A907),$A907,180,1000000)</f>
        <v>-27</v>
      </c>
      <c r="G907" cm="1">
        <f t="array" aca="1" ref="G907" ca="1">[1]!s_west_netprofit($B$1,YEAR($A907)+1,$A907,180,1000000)</f>
        <v>-67.138902000000002</v>
      </c>
      <c r="H907" cm="1">
        <f t="array" aca="1" ref="H907" ca="1">[1]!s_west_eps($B$1,YEAR($A907)+1,$A907,180)</f>
        <v>-7.7100000000000002E-2</v>
      </c>
      <c r="I907" cm="1">
        <f t="array" aca="1" ref="I907" ca="1">[1]!s_west_instnum_np($B$1,YEAR($A907)+1,$A907,180)</f>
        <v>15</v>
      </c>
      <c r="J907" cm="1">
        <f t="array" aca="1" ref="J907" ca="1">[1]!s_west_stdnetprofit($B$1,YEAR($A907)+1,$A907,180,1000000)</f>
        <v>96.273853000000003</v>
      </c>
      <c r="K907" cm="1">
        <f t="array" aca="1" ref="K907" ca="1">[1]!s_west_mediannetprofit($B$1,YEAR($A906)+1,$A906,180,1000000)</f>
        <v>-35.5</v>
      </c>
      <c r="L907" cm="1">
        <f t="array" aca="1" ref="L907" ca="1">[1]!s_dq_close($B$1,$A907,3)</f>
        <v>29.95</v>
      </c>
    </row>
    <row r="908" spans="1:12">
      <c r="A908" s="23">
        <f t="shared" ca="1" si="13"/>
        <v>45267</v>
      </c>
      <c r="B908" cm="1">
        <f t="array" aca="1" ref="B908" ca="1">[1]!s_west_netprofit($B$1,YEAR($A908),$A908,180,1000000)</f>
        <v>8.8145290000000003</v>
      </c>
      <c r="C908" cm="1">
        <f t="array" aca="1" ref="C908" ca="1">[1]!s_west_eps($B$1,YEAR($A908),$A908,180)</f>
        <v>1.01E-2</v>
      </c>
      <c r="D908" cm="1">
        <f t="array" aca="1" ref="D908" ca="1">[1]!s_west_instnum_np($B$1,YEAR($A908),$A908,180)</f>
        <v>15</v>
      </c>
      <c r="E908" cm="1">
        <f t="array" aca="1" ref="E908" ca="1">[1]!s_west_stdnetprofit($B$1,YEAR($A908),$A908,180,1000000)</f>
        <v>121.327775</v>
      </c>
      <c r="F908" cm="1">
        <f t="array" aca="1" ref="F908" ca="1">[1]!s_west_mediannetprofit($B$1,YEAR($A908),$A908,180,1000000)</f>
        <v>-27</v>
      </c>
      <c r="G908" cm="1">
        <f t="array" aca="1" ref="G908" ca="1">[1]!s_west_netprofit($B$1,YEAR($A908)+1,$A908,180,1000000)</f>
        <v>-67.133784000000006</v>
      </c>
      <c r="H908" cm="1">
        <f t="array" aca="1" ref="H908" ca="1">[1]!s_west_eps($B$1,YEAR($A908)+1,$A908,180)</f>
        <v>-7.7100000000000002E-2</v>
      </c>
      <c r="I908" cm="1">
        <f t="array" aca="1" ref="I908" ca="1">[1]!s_west_instnum_np($B$1,YEAR($A908)+1,$A908,180)</f>
        <v>15</v>
      </c>
      <c r="J908" cm="1">
        <f t="array" aca="1" ref="J908" ca="1">[1]!s_west_stdnetprofit($B$1,YEAR($A908)+1,$A908,180,1000000)</f>
        <v>96.271133000000006</v>
      </c>
      <c r="K908" cm="1">
        <f t="array" aca="1" ref="K908" ca="1">[1]!s_west_mediannetprofit($B$1,YEAR($A907)+1,$A907,180,1000000)</f>
        <v>-35.5</v>
      </c>
      <c r="L908" cm="1">
        <f t="array" aca="1" ref="L908" ca="1">[1]!s_dq_close($B$1,$A908,3)</f>
        <v>29.3</v>
      </c>
    </row>
    <row r="909" spans="1:12">
      <c r="A909" s="23">
        <f t="shared" ref="A909:A972" ca="1" si="14">A908-1</f>
        <v>45266</v>
      </c>
      <c r="B909" cm="1">
        <f t="array" aca="1" ref="B909" ca="1">[1]!s_west_netprofit($B$1,YEAR($A909),$A909,180,1000000)</f>
        <v>8.8103979999999993</v>
      </c>
      <c r="C909" cm="1">
        <f t="array" aca="1" ref="C909" ca="1">[1]!s_west_eps($B$1,YEAR($A909),$A909,180)</f>
        <v>1.01E-2</v>
      </c>
      <c r="D909" cm="1">
        <f t="array" aca="1" ref="D909" ca="1">[1]!s_west_instnum_np($B$1,YEAR($A909),$A909,180)</f>
        <v>15</v>
      </c>
      <c r="E909" cm="1">
        <f t="array" aca="1" ref="E909" ca="1">[1]!s_west_stdnetprofit($B$1,YEAR($A909),$A909,180,1000000)</f>
        <v>121.33147</v>
      </c>
      <c r="F909" cm="1">
        <f t="array" aca="1" ref="F909" ca="1">[1]!s_west_mediannetprofit($B$1,YEAR($A909),$A909,180,1000000)</f>
        <v>-27</v>
      </c>
      <c r="G909" cm="1">
        <f t="array" aca="1" ref="G909" ca="1">[1]!s_west_netprofit($B$1,YEAR($A909)+1,$A909,180,1000000)</f>
        <v>-67.138902000000002</v>
      </c>
      <c r="H909" cm="1">
        <f t="array" aca="1" ref="H909" ca="1">[1]!s_west_eps($B$1,YEAR($A909)+1,$A909,180)</f>
        <v>-7.7100000000000002E-2</v>
      </c>
      <c r="I909" cm="1">
        <f t="array" aca="1" ref="I909" ca="1">[1]!s_west_instnum_np($B$1,YEAR($A909)+1,$A909,180)</f>
        <v>15</v>
      </c>
      <c r="J909" cm="1">
        <f t="array" aca="1" ref="J909" ca="1">[1]!s_west_stdnetprofit($B$1,YEAR($A909)+1,$A909,180,1000000)</f>
        <v>96.273853000000003</v>
      </c>
      <c r="K909" cm="1">
        <f t="array" aca="1" ref="K909" ca="1">[1]!s_west_mediannetprofit($B$1,YEAR($A908)+1,$A908,180,1000000)</f>
        <v>-35.5</v>
      </c>
      <c r="L909" cm="1">
        <f t="array" aca="1" ref="L909" ca="1">[1]!s_dq_close($B$1,$A909,3)</f>
        <v>28.2</v>
      </c>
    </row>
    <row r="910" spans="1:12">
      <c r="A910" s="23">
        <f t="shared" ca="1" si="14"/>
        <v>45265</v>
      </c>
      <c r="B910" cm="1">
        <f t="array" aca="1" ref="B910" ca="1">[1]!s_west_netprofit($B$1,YEAR($A910),$A910,180,1000000)</f>
        <v>8.8103979999999993</v>
      </c>
      <c r="C910" cm="1">
        <f t="array" aca="1" ref="C910" ca="1">[1]!s_west_eps($B$1,YEAR($A910),$A910,180)</f>
        <v>1.01E-2</v>
      </c>
      <c r="D910" cm="1">
        <f t="array" aca="1" ref="D910" ca="1">[1]!s_west_instnum_np($B$1,YEAR($A910),$A910,180)</f>
        <v>15</v>
      </c>
      <c r="E910" cm="1">
        <f t="array" aca="1" ref="E910" ca="1">[1]!s_west_stdnetprofit($B$1,YEAR($A910),$A910,180,1000000)</f>
        <v>121.33147</v>
      </c>
      <c r="F910" cm="1">
        <f t="array" aca="1" ref="F910" ca="1">[1]!s_west_mediannetprofit($B$1,YEAR($A910),$A910,180,1000000)</f>
        <v>-27</v>
      </c>
      <c r="G910" cm="1">
        <f t="array" aca="1" ref="G910" ca="1">[1]!s_west_netprofit($B$1,YEAR($A910)+1,$A910,180,1000000)</f>
        <v>-67.138902000000002</v>
      </c>
      <c r="H910" cm="1">
        <f t="array" aca="1" ref="H910" ca="1">[1]!s_west_eps($B$1,YEAR($A910)+1,$A910,180)</f>
        <v>-7.7100000000000002E-2</v>
      </c>
      <c r="I910" cm="1">
        <f t="array" aca="1" ref="I910" ca="1">[1]!s_west_instnum_np($B$1,YEAR($A910)+1,$A910,180)</f>
        <v>15</v>
      </c>
      <c r="J910" cm="1">
        <f t="array" aca="1" ref="J910" ca="1">[1]!s_west_stdnetprofit($B$1,YEAR($A910)+1,$A910,180,1000000)</f>
        <v>96.273853000000003</v>
      </c>
      <c r="K910" cm="1">
        <f t="array" aca="1" ref="K910" ca="1">[1]!s_west_mediannetprofit($B$1,YEAR($A909)+1,$A909,180,1000000)</f>
        <v>-35.5</v>
      </c>
      <c r="L910" cm="1">
        <f t="array" aca="1" ref="L910" ca="1">[1]!s_dq_close($B$1,$A910,3)</f>
        <v>28.45</v>
      </c>
    </row>
    <row r="911" spans="1:12">
      <c r="A911" s="23">
        <f t="shared" ca="1" si="14"/>
        <v>45264</v>
      </c>
      <c r="B911" cm="1">
        <f t="array" aca="1" ref="B911" ca="1">[1]!s_west_netprofit($B$1,YEAR($A911),$A911,180,1000000)</f>
        <v>8.8021349999999998</v>
      </c>
      <c r="C911" cm="1">
        <f t="array" aca="1" ref="C911" ca="1">[1]!s_west_eps($B$1,YEAR($A911),$A911,180)</f>
        <v>1.01E-2</v>
      </c>
      <c r="D911" cm="1">
        <f t="array" aca="1" ref="D911" ca="1">[1]!s_west_instnum_np($B$1,YEAR($A911),$A911,180)</f>
        <v>15</v>
      </c>
      <c r="E911" cm="1">
        <f t="array" aca="1" ref="E911" ca="1">[1]!s_west_stdnetprofit($B$1,YEAR($A911),$A911,180,1000000)</f>
        <v>121.338865</v>
      </c>
      <c r="F911" cm="1">
        <f t="array" aca="1" ref="F911" ca="1">[1]!s_west_mediannetprofit($B$1,YEAR($A911),$A911,180,1000000)</f>
        <v>-27</v>
      </c>
      <c r="G911" cm="1">
        <f t="array" aca="1" ref="G911" ca="1">[1]!s_west_netprofit($B$1,YEAR($A911)+1,$A911,180,1000000)</f>
        <v>-67.149140000000003</v>
      </c>
      <c r="H911" cm="1">
        <f t="array" aca="1" ref="H911" ca="1">[1]!s_west_eps($B$1,YEAR($A911)+1,$A911,180)</f>
        <v>-7.7100000000000002E-2</v>
      </c>
      <c r="I911" cm="1">
        <f t="array" aca="1" ref="I911" ca="1">[1]!s_west_instnum_np($B$1,YEAR($A911)+1,$A911,180)</f>
        <v>15</v>
      </c>
      <c r="J911" cm="1">
        <f t="array" aca="1" ref="J911" ca="1">[1]!s_west_stdnetprofit($B$1,YEAR($A911)+1,$A911,180,1000000)</f>
        <v>96.279308</v>
      </c>
      <c r="K911" cm="1">
        <f t="array" aca="1" ref="K911" ca="1">[1]!s_west_mediannetprofit($B$1,YEAR($A910)+1,$A910,180,1000000)</f>
        <v>-35.5</v>
      </c>
      <c r="L911" cm="1">
        <f t="array" aca="1" ref="L911" ca="1">[1]!s_dq_close($B$1,$A911,3)</f>
        <v>28.6</v>
      </c>
    </row>
    <row r="912" spans="1:12">
      <c r="A912" s="23">
        <f t="shared" ca="1" si="14"/>
        <v>45263</v>
      </c>
      <c r="B912" cm="1">
        <f t="array" aca="1" ref="B912" ca="1">[1]!s_west_netprofit($B$1,YEAR($A912),$A912,180,1000000)</f>
        <v>8.8103979999999993</v>
      </c>
      <c r="C912" cm="1">
        <f t="array" aca="1" ref="C912" ca="1">[1]!s_west_eps($B$1,YEAR($A912),$A912,180)</f>
        <v>1.01E-2</v>
      </c>
      <c r="D912" cm="1">
        <f t="array" aca="1" ref="D912" ca="1">[1]!s_west_instnum_np($B$1,YEAR($A912),$A912,180)</f>
        <v>15</v>
      </c>
      <c r="E912" cm="1">
        <f t="array" aca="1" ref="E912" ca="1">[1]!s_west_stdnetprofit($B$1,YEAR($A912),$A912,180,1000000)</f>
        <v>121.33147</v>
      </c>
      <c r="F912" cm="1">
        <f t="array" aca="1" ref="F912" ca="1">[1]!s_west_mediannetprofit($B$1,YEAR($A912),$A912,180,1000000)</f>
        <v>-27</v>
      </c>
      <c r="G912" cm="1">
        <f t="array" aca="1" ref="G912" ca="1">[1]!s_west_netprofit($B$1,YEAR($A912)+1,$A912,180,1000000)</f>
        <v>-67.138902000000002</v>
      </c>
      <c r="H912" cm="1">
        <f t="array" aca="1" ref="H912" ca="1">[1]!s_west_eps($B$1,YEAR($A912)+1,$A912,180)</f>
        <v>-7.7100000000000002E-2</v>
      </c>
      <c r="I912" cm="1">
        <f t="array" aca="1" ref="I912" ca="1">[1]!s_west_instnum_np($B$1,YEAR($A912)+1,$A912,180)</f>
        <v>15</v>
      </c>
      <c r="J912" cm="1">
        <f t="array" aca="1" ref="J912" ca="1">[1]!s_west_stdnetprofit($B$1,YEAR($A912)+1,$A912,180,1000000)</f>
        <v>96.273853000000003</v>
      </c>
      <c r="K912" cm="1">
        <f t="array" aca="1" ref="K912" ca="1">[1]!s_west_mediannetprofit($B$1,YEAR($A911)+1,$A911,180,1000000)</f>
        <v>-35.5</v>
      </c>
      <c r="L912" cm="1">
        <f t="array" aca="1" ref="L912" ca="1">[1]!s_dq_close($B$1,$A912,3)</f>
        <v>29.35</v>
      </c>
    </row>
    <row r="913" spans="1:12">
      <c r="A913" s="23">
        <f t="shared" ca="1" si="14"/>
        <v>45262</v>
      </c>
      <c r="B913" cm="1">
        <f t="array" aca="1" ref="B913" ca="1">[1]!s_west_netprofit($B$1,YEAR($A913),$A913,180,1000000)</f>
        <v>8.8103979999999993</v>
      </c>
      <c r="C913" cm="1">
        <f t="array" aca="1" ref="C913" ca="1">[1]!s_west_eps($B$1,YEAR($A913),$A913,180)</f>
        <v>1.01E-2</v>
      </c>
      <c r="D913" cm="1">
        <f t="array" aca="1" ref="D913" ca="1">[1]!s_west_instnum_np($B$1,YEAR($A913),$A913,180)</f>
        <v>15</v>
      </c>
      <c r="E913" cm="1">
        <f t="array" aca="1" ref="E913" ca="1">[1]!s_west_stdnetprofit($B$1,YEAR($A913),$A913,180,1000000)</f>
        <v>121.33147</v>
      </c>
      <c r="F913" cm="1">
        <f t="array" aca="1" ref="F913" ca="1">[1]!s_west_mediannetprofit($B$1,YEAR($A913),$A913,180,1000000)</f>
        <v>-27</v>
      </c>
      <c r="G913" cm="1">
        <f t="array" aca="1" ref="G913" ca="1">[1]!s_west_netprofit($B$1,YEAR($A913)+1,$A913,180,1000000)</f>
        <v>-67.138902000000002</v>
      </c>
      <c r="H913" cm="1">
        <f t="array" aca="1" ref="H913" ca="1">[1]!s_west_eps($B$1,YEAR($A913)+1,$A913,180)</f>
        <v>-7.7100000000000002E-2</v>
      </c>
      <c r="I913" cm="1">
        <f t="array" aca="1" ref="I913" ca="1">[1]!s_west_instnum_np($B$1,YEAR($A913)+1,$A913,180)</f>
        <v>15</v>
      </c>
      <c r="J913" cm="1">
        <f t="array" aca="1" ref="J913" ca="1">[1]!s_west_stdnetprofit($B$1,YEAR($A913)+1,$A913,180,1000000)</f>
        <v>96.273853000000003</v>
      </c>
      <c r="K913" cm="1">
        <f t="array" aca="1" ref="K913" ca="1">[1]!s_west_mediannetprofit($B$1,YEAR($A912)+1,$A912,180,1000000)</f>
        <v>-35.5</v>
      </c>
      <c r="L913" cm="1">
        <f t="array" aca="1" ref="L913" ca="1">[1]!s_dq_close($B$1,$A913,3)</f>
        <v>29.35</v>
      </c>
    </row>
    <row r="914" spans="1:12">
      <c r="A914" s="23">
        <f t="shared" ca="1" si="14"/>
        <v>45261</v>
      </c>
      <c r="B914" cm="1">
        <f t="array" aca="1" ref="B914" ca="1">[1]!s_west_netprofit($B$1,YEAR($A914),$A914,180,1000000)</f>
        <v>8.8103979999999993</v>
      </c>
      <c r="C914" cm="1">
        <f t="array" aca="1" ref="C914" ca="1">[1]!s_west_eps($B$1,YEAR($A914),$A914,180)</f>
        <v>1.01E-2</v>
      </c>
      <c r="D914" cm="1">
        <f t="array" aca="1" ref="D914" ca="1">[1]!s_west_instnum_np($B$1,YEAR($A914),$A914,180)</f>
        <v>15</v>
      </c>
      <c r="E914" cm="1">
        <f t="array" aca="1" ref="E914" ca="1">[1]!s_west_stdnetprofit($B$1,YEAR($A914),$A914,180,1000000)</f>
        <v>121.33147</v>
      </c>
      <c r="F914" cm="1">
        <f t="array" aca="1" ref="F914" ca="1">[1]!s_west_mediannetprofit($B$1,YEAR($A914),$A914,180,1000000)</f>
        <v>-27</v>
      </c>
      <c r="G914" cm="1">
        <f t="array" aca="1" ref="G914" ca="1">[1]!s_west_netprofit($B$1,YEAR($A914)+1,$A914,180,1000000)</f>
        <v>-67.138902000000002</v>
      </c>
      <c r="H914" cm="1">
        <f t="array" aca="1" ref="H914" ca="1">[1]!s_west_eps($B$1,YEAR($A914)+1,$A914,180)</f>
        <v>-7.7100000000000002E-2</v>
      </c>
      <c r="I914" cm="1">
        <f t="array" aca="1" ref="I914" ca="1">[1]!s_west_instnum_np($B$1,YEAR($A914)+1,$A914,180)</f>
        <v>15</v>
      </c>
      <c r="J914" cm="1">
        <f t="array" aca="1" ref="J914" ca="1">[1]!s_west_stdnetprofit($B$1,YEAR($A914)+1,$A914,180,1000000)</f>
        <v>96.273853000000003</v>
      </c>
      <c r="K914" cm="1">
        <f t="array" aca="1" ref="K914" ca="1">[1]!s_west_mediannetprofit($B$1,YEAR($A913)+1,$A913,180,1000000)</f>
        <v>-35.5</v>
      </c>
      <c r="L914" cm="1">
        <f t="array" aca="1" ref="L914" ca="1">[1]!s_dq_close($B$1,$A914,3)</f>
        <v>29.35</v>
      </c>
    </row>
    <row r="915" spans="1:12">
      <c r="A915" s="23">
        <f t="shared" ca="1" si="14"/>
        <v>45260</v>
      </c>
      <c r="B915" cm="1">
        <f t="array" aca="1" ref="B915" ca="1">[1]!s_west_netprofit($B$1,YEAR($A915),$A915,180,1000000)</f>
        <v>8.8021349999999998</v>
      </c>
      <c r="C915" cm="1">
        <f t="array" aca="1" ref="C915" ca="1">[1]!s_west_eps($B$1,YEAR($A915),$A915,180)</f>
        <v>1.01E-2</v>
      </c>
      <c r="D915" cm="1">
        <f t="array" aca="1" ref="D915" ca="1">[1]!s_west_instnum_np($B$1,YEAR($A915),$A915,180)</f>
        <v>15</v>
      </c>
      <c r="E915" cm="1">
        <f t="array" aca="1" ref="E915" ca="1">[1]!s_west_stdnetprofit($B$1,YEAR($A915),$A915,180,1000000)</f>
        <v>121.338865</v>
      </c>
      <c r="F915" cm="1">
        <f t="array" aca="1" ref="F915" ca="1">[1]!s_west_mediannetprofit($B$1,YEAR($A915),$A915,180,1000000)</f>
        <v>-27</v>
      </c>
      <c r="G915" cm="1">
        <f t="array" aca="1" ref="G915" ca="1">[1]!s_west_netprofit($B$1,YEAR($A915)+1,$A915,180,1000000)</f>
        <v>-67.149140000000003</v>
      </c>
      <c r="H915" cm="1">
        <f t="array" aca="1" ref="H915" ca="1">[1]!s_west_eps($B$1,YEAR($A915)+1,$A915,180)</f>
        <v>-7.7100000000000002E-2</v>
      </c>
      <c r="I915" cm="1">
        <f t="array" aca="1" ref="I915" ca="1">[1]!s_west_instnum_np($B$1,YEAR($A915)+1,$A915,180)</f>
        <v>15</v>
      </c>
      <c r="J915" cm="1">
        <f t="array" aca="1" ref="J915" ca="1">[1]!s_west_stdnetprofit($B$1,YEAR($A915)+1,$A915,180,1000000)</f>
        <v>96.279308</v>
      </c>
      <c r="K915" cm="1">
        <f t="array" aca="1" ref="K915" ca="1">[1]!s_west_mediannetprofit($B$1,YEAR($A914)+1,$A914,180,1000000)</f>
        <v>-35.5</v>
      </c>
      <c r="L915" cm="1">
        <f t="array" aca="1" ref="L915" ca="1">[1]!s_dq_close($B$1,$A915,3)</f>
        <v>30.2</v>
      </c>
    </row>
    <row r="916" spans="1:12">
      <c r="A916" s="23">
        <f t="shared" ca="1" si="14"/>
        <v>45259</v>
      </c>
      <c r="B916" cm="1">
        <f t="array" aca="1" ref="B916" ca="1">[1]!s_west_netprofit($B$1,YEAR($A916),$A916,180,1000000)</f>
        <v>8.8021349999999998</v>
      </c>
      <c r="C916" cm="1">
        <f t="array" aca="1" ref="C916" ca="1">[1]!s_west_eps($B$1,YEAR($A916),$A916,180)</f>
        <v>1.01E-2</v>
      </c>
      <c r="D916" cm="1">
        <f t="array" aca="1" ref="D916" ca="1">[1]!s_west_instnum_np($B$1,YEAR($A916),$A916,180)</f>
        <v>15</v>
      </c>
      <c r="E916" cm="1">
        <f t="array" aca="1" ref="E916" ca="1">[1]!s_west_stdnetprofit($B$1,YEAR($A916),$A916,180,1000000)</f>
        <v>121.338865</v>
      </c>
      <c r="F916" cm="1">
        <f t="array" aca="1" ref="F916" ca="1">[1]!s_west_mediannetprofit($B$1,YEAR($A916),$A916,180,1000000)</f>
        <v>-27</v>
      </c>
      <c r="G916" cm="1">
        <f t="array" aca="1" ref="G916" ca="1">[1]!s_west_netprofit($B$1,YEAR($A916)+1,$A916,180,1000000)</f>
        <v>-67.149140000000003</v>
      </c>
      <c r="H916" cm="1">
        <f t="array" aca="1" ref="H916" ca="1">[1]!s_west_eps($B$1,YEAR($A916)+1,$A916,180)</f>
        <v>-7.7100000000000002E-2</v>
      </c>
      <c r="I916" cm="1">
        <f t="array" aca="1" ref="I916" ca="1">[1]!s_west_instnum_np($B$1,YEAR($A916)+1,$A916,180)</f>
        <v>15</v>
      </c>
      <c r="J916" cm="1">
        <f t="array" aca="1" ref="J916" ca="1">[1]!s_west_stdnetprofit($B$1,YEAR($A916)+1,$A916,180,1000000)</f>
        <v>96.279308</v>
      </c>
      <c r="K916" cm="1">
        <f t="array" aca="1" ref="K916" ca="1">[1]!s_west_mediannetprofit($B$1,YEAR($A915)+1,$A915,180,1000000)</f>
        <v>-35.5</v>
      </c>
      <c r="L916" cm="1">
        <f t="array" aca="1" ref="L916" ca="1">[1]!s_dq_close($B$1,$A916,3)</f>
        <v>29.9</v>
      </c>
    </row>
    <row r="917" spans="1:12">
      <c r="A917" s="23">
        <f t="shared" ca="1" si="14"/>
        <v>45258</v>
      </c>
      <c r="B917" cm="1">
        <f t="array" aca="1" ref="B917" ca="1">[1]!s_west_netprofit($B$1,YEAR($A917),$A917,180,1000000)</f>
        <v>8.8103979999999993</v>
      </c>
      <c r="C917" cm="1">
        <f t="array" aca="1" ref="C917" ca="1">[1]!s_west_eps($B$1,YEAR($A917),$A917,180)</f>
        <v>1.01E-2</v>
      </c>
      <c r="D917" cm="1">
        <f t="array" aca="1" ref="D917" ca="1">[1]!s_west_instnum_np($B$1,YEAR($A917),$A917,180)</f>
        <v>15</v>
      </c>
      <c r="E917" cm="1">
        <f t="array" aca="1" ref="E917" ca="1">[1]!s_west_stdnetprofit($B$1,YEAR($A917),$A917,180,1000000)</f>
        <v>121.33147</v>
      </c>
      <c r="F917" cm="1">
        <f t="array" aca="1" ref="F917" ca="1">[1]!s_west_mediannetprofit($B$1,YEAR($A917),$A917,180,1000000)</f>
        <v>-27</v>
      </c>
      <c r="G917" cm="1">
        <f t="array" aca="1" ref="G917" ca="1">[1]!s_west_netprofit($B$1,YEAR($A917)+1,$A917,180,1000000)</f>
        <v>-67.138902000000002</v>
      </c>
      <c r="H917" cm="1">
        <f t="array" aca="1" ref="H917" ca="1">[1]!s_west_eps($B$1,YEAR($A917)+1,$A917,180)</f>
        <v>-7.7100000000000002E-2</v>
      </c>
      <c r="I917" cm="1">
        <f t="array" aca="1" ref="I917" ca="1">[1]!s_west_instnum_np($B$1,YEAR($A917)+1,$A917,180)</f>
        <v>15</v>
      </c>
      <c r="J917" cm="1">
        <f t="array" aca="1" ref="J917" ca="1">[1]!s_west_stdnetprofit($B$1,YEAR($A917)+1,$A917,180,1000000)</f>
        <v>96.273853000000003</v>
      </c>
      <c r="K917" cm="1">
        <f t="array" aca="1" ref="K917" ca="1">[1]!s_west_mediannetprofit($B$1,YEAR($A916)+1,$A916,180,1000000)</f>
        <v>-35.5</v>
      </c>
      <c r="L917" cm="1">
        <f t="array" aca="1" ref="L917" ca="1">[1]!s_dq_close($B$1,$A917,3)</f>
        <v>30.7</v>
      </c>
    </row>
    <row r="918" spans="1:12">
      <c r="A918" s="23">
        <f t="shared" ca="1" si="14"/>
        <v>45257</v>
      </c>
      <c r="B918" cm="1">
        <f t="array" aca="1" ref="B918" ca="1">[1]!s_west_netprofit($B$1,YEAR($A918),$A918,180,1000000)</f>
        <v>8.8145290000000003</v>
      </c>
      <c r="C918" cm="1">
        <f t="array" aca="1" ref="C918" ca="1">[1]!s_west_eps($B$1,YEAR($A918),$A918,180)</f>
        <v>1.01E-2</v>
      </c>
      <c r="D918" cm="1">
        <f t="array" aca="1" ref="D918" ca="1">[1]!s_west_instnum_np($B$1,YEAR($A918),$A918,180)</f>
        <v>15</v>
      </c>
      <c r="E918" cm="1">
        <f t="array" aca="1" ref="E918" ca="1">[1]!s_west_stdnetprofit($B$1,YEAR($A918),$A918,180,1000000)</f>
        <v>121.327775</v>
      </c>
      <c r="F918" cm="1">
        <f t="array" aca="1" ref="F918" ca="1">[1]!s_west_mediannetprofit($B$1,YEAR($A918),$A918,180,1000000)</f>
        <v>-27</v>
      </c>
      <c r="G918" cm="1">
        <f t="array" aca="1" ref="G918" ca="1">[1]!s_west_netprofit($B$1,YEAR($A918)+1,$A918,180,1000000)</f>
        <v>-67.133784000000006</v>
      </c>
      <c r="H918" cm="1">
        <f t="array" aca="1" ref="H918" ca="1">[1]!s_west_eps($B$1,YEAR($A918)+1,$A918,180)</f>
        <v>-7.7100000000000002E-2</v>
      </c>
      <c r="I918" cm="1">
        <f t="array" aca="1" ref="I918" ca="1">[1]!s_west_instnum_np($B$1,YEAR($A918)+1,$A918,180)</f>
        <v>15</v>
      </c>
      <c r="J918" cm="1">
        <f t="array" aca="1" ref="J918" ca="1">[1]!s_west_stdnetprofit($B$1,YEAR($A918)+1,$A918,180,1000000)</f>
        <v>96.271133000000006</v>
      </c>
      <c r="K918" cm="1">
        <f t="array" aca="1" ref="K918" ca="1">[1]!s_west_mediannetprofit($B$1,YEAR($A917)+1,$A917,180,1000000)</f>
        <v>-35.5</v>
      </c>
      <c r="L918" cm="1">
        <f t="array" aca="1" ref="L918" ca="1">[1]!s_dq_close($B$1,$A918,3)</f>
        <v>30.35</v>
      </c>
    </row>
    <row r="919" spans="1:12">
      <c r="A919" s="23">
        <f t="shared" ca="1" si="14"/>
        <v>45256</v>
      </c>
      <c r="B919" cm="1">
        <f t="array" aca="1" ref="B919" ca="1">[1]!s_west_netprofit($B$1,YEAR($A919),$A919,180,1000000)</f>
        <v>8.8145290000000003</v>
      </c>
      <c r="C919" cm="1">
        <f t="array" aca="1" ref="C919" ca="1">[1]!s_west_eps($B$1,YEAR($A919),$A919,180)</f>
        <v>1.01E-2</v>
      </c>
      <c r="D919" cm="1">
        <f t="array" aca="1" ref="D919" ca="1">[1]!s_west_instnum_np($B$1,YEAR($A919),$A919,180)</f>
        <v>15</v>
      </c>
      <c r="E919" cm="1">
        <f t="array" aca="1" ref="E919" ca="1">[1]!s_west_stdnetprofit($B$1,YEAR($A919),$A919,180,1000000)</f>
        <v>121.327775</v>
      </c>
      <c r="F919" cm="1">
        <f t="array" aca="1" ref="F919" ca="1">[1]!s_west_mediannetprofit($B$1,YEAR($A919),$A919,180,1000000)</f>
        <v>-27</v>
      </c>
      <c r="G919" cm="1">
        <f t="array" aca="1" ref="G919" ca="1">[1]!s_west_netprofit($B$1,YEAR($A919)+1,$A919,180,1000000)</f>
        <v>-67.133784000000006</v>
      </c>
      <c r="H919" cm="1">
        <f t="array" aca="1" ref="H919" ca="1">[1]!s_west_eps($B$1,YEAR($A919)+1,$A919,180)</f>
        <v>-7.7100000000000002E-2</v>
      </c>
      <c r="I919" cm="1">
        <f t="array" aca="1" ref="I919" ca="1">[1]!s_west_instnum_np($B$1,YEAR($A919)+1,$A919,180)</f>
        <v>15</v>
      </c>
      <c r="J919" cm="1">
        <f t="array" aca="1" ref="J919" ca="1">[1]!s_west_stdnetprofit($B$1,YEAR($A919)+1,$A919,180,1000000)</f>
        <v>96.271133000000006</v>
      </c>
      <c r="K919" cm="1">
        <f t="array" aca="1" ref="K919" ca="1">[1]!s_west_mediannetprofit($B$1,YEAR($A918)+1,$A918,180,1000000)</f>
        <v>-35.5</v>
      </c>
      <c r="L919" cm="1">
        <f t="array" aca="1" ref="L919" ca="1">[1]!s_dq_close($B$1,$A919,3)</f>
        <v>30.4</v>
      </c>
    </row>
    <row r="920" spans="1:12">
      <c r="A920" s="23">
        <f t="shared" ca="1" si="14"/>
        <v>45255</v>
      </c>
      <c r="B920" cm="1">
        <f t="array" aca="1" ref="B920" ca="1">[1]!s_west_netprofit($B$1,YEAR($A920),$A920,180,1000000)</f>
        <v>8.8145290000000003</v>
      </c>
      <c r="C920" cm="1">
        <f t="array" aca="1" ref="C920" ca="1">[1]!s_west_eps($B$1,YEAR($A920),$A920,180)</f>
        <v>1.01E-2</v>
      </c>
      <c r="D920" cm="1">
        <f t="array" aca="1" ref="D920" ca="1">[1]!s_west_instnum_np($B$1,YEAR($A920),$A920,180)</f>
        <v>15</v>
      </c>
      <c r="E920" cm="1">
        <f t="array" aca="1" ref="E920" ca="1">[1]!s_west_stdnetprofit($B$1,YEAR($A920),$A920,180,1000000)</f>
        <v>121.327775</v>
      </c>
      <c r="F920" cm="1">
        <f t="array" aca="1" ref="F920" ca="1">[1]!s_west_mediannetprofit($B$1,YEAR($A920),$A920,180,1000000)</f>
        <v>-27</v>
      </c>
      <c r="G920" cm="1">
        <f t="array" aca="1" ref="G920" ca="1">[1]!s_west_netprofit($B$1,YEAR($A920)+1,$A920,180,1000000)</f>
        <v>-67.133784000000006</v>
      </c>
      <c r="H920" cm="1">
        <f t="array" aca="1" ref="H920" ca="1">[1]!s_west_eps($B$1,YEAR($A920)+1,$A920,180)</f>
        <v>-7.7100000000000002E-2</v>
      </c>
      <c r="I920" cm="1">
        <f t="array" aca="1" ref="I920" ca="1">[1]!s_west_instnum_np($B$1,YEAR($A920)+1,$A920,180)</f>
        <v>15</v>
      </c>
      <c r="J920" cm="1">
        <f t="array" aca="1" ref="J920" ca="1">[1]!s_west_stdnetprofit($B$1,YEAR($A920)+1,$A920,180,1000000)</f>
        <v>96.271133000000006</v>
      </c>
      <c r="K920" cm="1">
        <f t="array" aca="1" ref="K920" ca="1">[1]!s_west_mediannetprofit($B$1,YEAR($A919)+1,$A919,180,1000000)</f>
        <v>-35.5</v>
      </c>
      <c r="L920" cm="1">
        <f t="array" aca="1" ref="L920" ca="1">[1]!s_dq_close($B$1,$A920,3)</f>
        <v>30.4</v>
      </c>
    </row>
    <row r="921" spans="1:12">
      <c r="A921" s="23">
        <f t="shared" ca="1" si="14"/>
        <v>45254</v>
      </c>
      <c r="B921" cm="1">
        <f t="array" aca="1" ref="B921" ca="1">[1]!s_west_netprofit($B$1,YEAR($A921),$A921,180,1000000)</f>
        <v>8.8145290000000003</v>
      </c>
      <c r="C921" cm="1">
        <f t="array" aca="1" ref="C921" ca="1">[1]!s_west_eps($B$1,YEAR($A921),$A921,180)</f>
        <v>1.01E-2</v>
      </c>
      <c r="D921" cm="1">
        <f t="array" aca="1" ref="D921" ca="1">[1]!s_west_instnum_np($B$1,YEAR($A921),$A921,180)</f>
        <v>15</v>
      </c>
      <c r="E921" cm="1">
        <f t="array" aca="1" ref="E921" ca="1">[1]!s_west_stdnetprofit($B$1,YEAR($A921),$A921,180,1000000)</f>
        <v>121.327775</v>
      </c>
      <c r="F921" cm="1">
        <f t="array" aca="1" ref="F921" ca="1">[1]!s_west_mediannetprofit($B$1,YEAR($A921),$A921,180,1000000)</f>
        <v>-27</v>
      </c>
      <c r="G921" cm="1">
        <f t="array" aca="1" ref="G921" ca="1">[1]!s_west_netprofit($B$1,YEAR($A921)+1,$A921,180,1000000)</f>
        <v>-67.133784000000006</v>
      </c>
      <c r="H921" cm="1">
        <f t="array" aca="1" ref="H921" ca="1">[1]!s_west_eps($B$1,YEAR($A921)+1,$A921,180)</f>
        <v>-7.7100000000000002E-2</v>
      </c>
      <c r="I921" cm="1">
        <f t="array" aca="1" ref="I921" ca="1">[1]!s_west_instnum_np($B$1,YEAR($A921)+1,$A921,180)</f>
        <v>15</v>
      </c>
      <c r="J921" cm="1">
        <f t="array" aca="1" ref="J921" ca="1">[1]!s_west_stdnetprofit($B$1,YEAR($A921)+1,$A921,180,1000000)</f>
        <v>96.271133000000006</v>
      </c>
      <c r="K921" cm="1">
        <f t="array" aca="1" ref="K921" ca="1">[1]!s_west_mediannetprofit($B$1,YEAR($A920)+1,$A920,180,1000000)</f>
        <v>-35.5</v>
      </c>
      <c r="L921" cm="1">
        <f t="array" aca="1" ref="L921" ca="1">[1]!s_dq_close($B$1,$A921,3)</f>
        <v>30.4</v>
      </c>
    </row>
    <row r="922" spans="1:12">
      <c r="A922" s="23">
        <f t="shared" ca="1" si="14"/>
        <v>45253</v>
      </c>
      <c r="B922" cm="1">
        <f t="array" aca="1" ref="B922" ca="1">[1]!s_west_netprofit($B$1,YEAR($A922),$A922,180,1000000)</f>
        <v>8.8186599999999995</v>
      </c>
      <c r="C922" cm="1">
        <f t="array" aca="1" ref="C922" ca="1">[1]!s_west_eps($B$1,YEAR($A922),$A922,180)</f>
        <v>1.01E-2</v>
      </c>
      <c r="D922" cm="1">
        <f t="array" aca="1" ref="D922" ca="1">[1]!s_west_instnum_np($B$1,YEAR($A922),$A922,180)</f>
        <v>15</v>
      </c>
      <c r="E922" cm="1">
        <f t="array" aca="1" ref="E922" ca="1">[1]!s_west_stdnetprofit($B$1,YEAR($A922),$A922,180,1000000)</f>
        <v>121.324083</v>
      </c>
      <c r="F922" cm="1">
        <f t="array" aca="1" ref="F922" ca="1">[1]!s_west_mediannetprofit($B$1,YEAR($A922),$A922,180,1000000)</f>
        <v>-27</v>
      </c>
      <c r="G922" cm="1">
        <f t="array" aca="1" ref="G922" ca="1">[1]!s_west_netprofit($B$1,YEAR($A922)+1,$A922,180,1000000)</f>
        <v>-67.128664999999998</v>
      </c>
      <c r="H922" cm="1">
        <f t="array" aca="1" ref="H922" ca="1">[1]!s_west_eps($B$1,YEAR($A922)+1,$A922,180)</f>
        <v>-7.7100000000000002E-2</v>
      </c>
      <c r="I922" cm="1">
        <f t="array" aca="1" ref="I922" ca="1">[1]!s_west_instnum_np($B$1,YEAR($A922)+1,$A922,180)</f>
        <v>15</v>
      </c>
      <c r="J922" cm="1">
        <f t="array" aca="1" ref="J922" ca="1">[1]!s_west_stdnetprofit($B$1,YEAR($A922)+1,$A922,180,1000000)</f>
        <v>96.268416000000002</v>
      </c>
      <c r="K922" cm="1">
        <f t="array" aca="1" ref="K922" ca="1">[1]!s_west_mediannetprofit($B$1,YEAR($A921)+1,$A921,180,1000000)</f>
        <v>-35.5</v>
      </c>
      <c r="L922" cm="1">
        <f t="array" aca="1" ref="L922" ca="1">[1]!s_dq_close($B$1,$A922,3)</f>
        <v>30.15</v>
      </c>
    </row>
    <row r="923" spans="1:12">
      <c r="A923" s="23">
        <f t="shared" ca="1" si="14"/>
        <v>45252</v>
      </c>
      <c r="B923" cm="1">
        <f t="array" aca="1" ref="B923" ca="1">[1]!s_west_netprofit($B$1,YEAR($A923),$A923,180,1000000)</f>
        <v>8.8227919999999997</v>
      </c>
      <c r="C923" cm="1">
        <f t="array" aca="1" ref="C923" ca="1">[1]!s_west_eps($B$1,YEAR($A923),$A923,180)</f>
        <v>1.01E-2</v>
      </c>
      <c r="D923" cm="1">
        <f t="array" aca="1" ref="D923" ca="1">[1]!s_west_instnum_np($B$1,YEAR($A923),$A923,180)</f>
        <v>15</v>
      </c>
      <c r="E923" cm="1">
        <f t="array" aca="1" ref="E923" ca="1">[1]!s_west_stdnetprofit($B$1,YEAR($A923),$A923,180,1000000)</f>
        <v>121.320393</v>
      </c>
      <c r="F923" cm="1">
        <f t="array" aca="1" ref="F923" ca="1">[1]!s_west_mediannetprofit($B$1,YEAR($A923),$A923,180,1000000)</f>
        <v>-27</v>
      </c>
      <c r="G923" cm="1">
        <f t="array" aca="1" ref="G923" ca="1">[1]!s_west_netprofit($B$1,YEAR($A923)+1,$A923,180,1000000)</f>
        <v>-67.123546000000005</v>
      </c>
      <c r="H923" cm="1">
        <f t="array" aca="1" ref="H923" ca="1">[1]!s_west_eps($B$1,YEAR($A923)+1,$A923,180)</f>
        <v>-7.7100000000000002E-2</v>
      </c>
      <c r="I923" cm="1">
        <f t="array" aca="1" ref="I923" ca="1">[1]!s_west_instnum_np($B$1,YEAR($A923)+1,$A923,180)</f>
        <v>15</v>
      </c>
      <c r="J923" cm="1">
        <f t="array" aca="1" ref="J923" ca="1">[1]!s_west_stdnetprofit($B$1,YEAR($A923)+1,$A923,180,1000000)</f>
        <v>96.265703999999999</v>
      </c>
      <c r="K923" cm="1">
        <f t="array" aca="1" ref="K923" ca="1">[1]!s_west_mediannetprofit($B$1,YEAR($A922)+1,$A922,180,1000000)</f>
        <v>-35.5</v>
      </c>
      <c r="L923" cm="1">
        <f t="array" aca="1" ref="L923" ca="1">[1]!s_dq_close($B$1,$A923,3)</f>
        <v>28.75</v>
      </c>
    </row>
    <row r="924" spans="1:12">
      <c r="A924" s="23">
        <f t="shared" ca="1" si="14"/>
        <v>45251</v>
      </c>
      <c r="B924" cm="1">
        <f t="array" aca="1" ref="B924" ca="1">[1]!s_west_netprofit($B$1,YEAR($A924),$A924,180,1000000)</f>
        <v>8.8351849999999992</v>
      </c>
      <c r="C924" cm="1">
        <f t="array" aca="1" ref="C924" ca="1">[1]!s_west_eps($B$1,YEAR($A924),$A924,180)</f>
        <v>1.01E-2</v>
      </c>
      <c r="D924" cm="1">
        <f t="array" aca="1" ref="D924" ca="1">[1]!s_west_instnum_np($B$1,YEAR($A924),$A924,180)</f>
        <v>15</v>
      </c>
      <c r="E924" cm="1">
        <f t="array" aca="1" ref="E924" ca="1">[1]!s_west_stdnetprofit($B$1,YEAR($A924),$A924,180,1000000)</f>
        <v>121.309336</v>
      </c>
      <c r="F924" cm="1">
        <f t="array" aca="1" ref="F924" ca="1">[1]!s_west_mediannetprofit($B$1,YEAR($A924),$A924,180,1000000)</f>
        <v>-27</v>
      </c>
      <c r="G924" cm="1">
        <f t="array" aca="1" ref="G924" ca="1">[1]!s_west_netprofit($B$1,YEAR($A924)+1,$A924,180,1000000)</f>
        <v>-67.108189999999993</v>
      </c>
      <c r="H924" cm="1">
        <f t="array" aca="1" ref="H924" ca="1">[1]!s_west_eps($B$1,YEAR($A924)+1,$A924,180)</f>
        <v>-7.6999999999999999E-2</v>
      </c>
      <c r="I924" cm="1">
        <f t="array" aca="1" ref="I924" ca="1">[1]!s_west_instnum_np($B$1,YEAR($A924)+1,$A924,180)</f>
        <v>15</v>
      </c>
      <c r="J924" cm="1">
        <f t="array" aca="1" ref="J924" ca="1">[1]!s_west_stdnetprofit($B$1,YEAR($A924)+1,$A924,180,1000000)</f>
        <v>96.257593</v>
      </c>
      <c r="K924" cm="1">
        <f t="array" aca="1" ref="K924" ca="1">[1]!s_west_mediannetprofit($B$1,YEAR($A923)+1,$A923,180,1000000)</f>
        <v>-35.5</v>
      </c>
      <c r="L924" cm="1">
        <f t="array" aca="1" ref="L924" ca="1">[1]!s_dq_close($B$1,$A924,3)</f>
        <v>28.85</v>
      </c>
    </row>
    <row r="925" spans="1:12">
      <c r="A925" s="23">
        <f t="shared" ca="1" si="14"/>
        <v>45250</v>
      </c>
      <c r="B925" cm="1">
        <f t="array" aca="1" ref="B925" ca="1">[1]!s_west_netprofit($B$1,YEAR($A925),$A925,180,1000000)</f>
        <v>8.8517100000000006</v>
      </c>
      <c r="C925" cm="1">
        <f t="array" aca="1" ref="C925" ca="1">[1]!s_west_eps($B$1,YEAR($A925),$A925,180)</f>
        <v>1.0200000000000001E-2</v>
      </c>
      <c r="D925" cm="1">
        <f t="array" aca="1" ref="D925" ca="1">[1]!s_west_instnum_np($B$1,YEAR($A925),$A925,180)</f>
        <v>15</v>
      </c>
      <c r="E925" cm="1">
        <f t="array" aca="1" ref="E925" ca="1">[1]!s_west_stdnetprofit($B$1,YEAR($A925),$A925,180,1000000)</f>
        <v>121.294623</v>
      </c>
      <c r="F925" cm="1">
        <f t="array" aca="1" ref="F925" ca="1">[1]!s_west_mediannetprofit($B$1,YEAR($A925),$A925,180,1000000)</f>
        <v>-27</v>
      </c>
      <c r="G925" cm="1">
        <f t="array" aca="1" ref="G925" ca="1">[1]!s_west_netprofit($B$1,YEAR($A925)+1,$A925,180,1000000)</f>
        <v>-67.087715000000003</v>
      </c>
      <c r="H925" cm="1">
        <f t="array" aca="1" ref="H925" ca="1">[1]!s_west_eps($B$1,YEAR($A925)+1,$A925,180)</f>
        <v>-7.6999999999999999E-2</v>
      </c>
      <c r="I925" cm="1">
        <f t="array" aca="1" ref="I925" ca="1">[1]!s_west_instnum_np($B$1,YEAR($A925)+1,$A925,180)</f>
        <v>15</v>
      </c>
      <c r="J925" cm="1">
        <f t="array" aca="1" ref="J925" ca="1">[1]!s_west_stdnetprofit($B$1,YEAR($A925)+1,$A925,180,1000000)</f>
        <v>96.246837999999997</v>
      </c>
      <c r="K925" cm="1">
        <f t="array" aca="1" ref="K925" ca="1">[1]!s_west_mediannetprofit($B$1,YEAR($A924)+1,$A924,180,1000000)</f>
        <v>-35.5</v>
      </c>
      <c r="L925" cm="1">
        <f t="array" aca="1" ref="L925" ca="1">[1]!s_dq_close($B$1,$A925,3)</f>
        <v>29.1</v>
      </c>
    </row>
    <row r="926" spans="1:12">
      <c r="A926" s="23">
        <f t="shared" ca="1" si="14"/>
        <v>45249</v>
      </c>
      <c r="B926" cm="1">
        <f t="array" aca="1" ref="B926" ca="1">[1]!s_west_netprofit($B$1,YEAR($A926),$A926,180,1000000)</f>
        <v>8.8599730000000001</v>
      </c>
      <c r="C926" cm="1">
        <f t="array" aca="1" ref="C926" ca="1">[1]!s_west_eps($B$1,YEAR($A926),$A926,180)</f>
        <v>1.0200000000000001E-2</v>
      </c>
      <c r="D926" cm="1">
        <f t="array" aca="1" ref="D926" ca="1">[1]!s_west_instnum_np($B$1,YEAR($A926),$A926,180)</f>
        <v>15</v>
      </c>
      <c r="E926" cm="1">
        <f t="array" aca="1" ref="E926" ca="1">[1]!s_west_stdnetprofit($B$1,YEAR($A926),$A926,180,1000000)</f>
        <v>121.287279</v>
      </c>
      <c r="F926" cm="1">
        <f t="array" aca="1" ref="F926" ca="1">[1]!s_west_mediannetprofit($B$1,YEAR($A926),$A926,180,1000000)</f>
        <v>-27</v>
      </c>
      <c r="G926" cm="1">
        <f t="array" aca="1" ref="G926" ca="1">[1]!s_west_netprofit($B$1,YEAR($A926)+1,$A926,180,1000000)</f>
        <v>-67.077477000000002</v>
      </c>
      <c r="H926" cm="1">
        <f t="array" aca="1" ref="H926" ca="1">[1]!s_west_eps($B$1,YEAR($A926)+1,$A926,180)</f>
        <v>-7.6999999999999999E-2</v>
      </c>
      <c r="I926" cm="1">
        <f t="array" aca="1" ref="I926" ca="1">[1]!s_west_instnum_np($B$1,YEAR($A926)+1,$A926,180)</f>
        <v>15</v>
      </c>
      <c r="J926" cm="1">
        <f t="array" aca="1" ref="J926" ca="1">[1]!s_west_stdnetprofit($B$1,YEAR($A926)+1,$A926,180,1000000)</f>
        <v>96.241485999999995</v>
      </c>
      <c r="K926" cm="1">
        <f t="array" aca="1" ref="K926" ca="1">[1]!s_west_mediannetprofit($B$1,YEAR($A925)+1,$A925,180,1000000)</f>
        <v>-35.5</v>
      </c>
      <c r="L926" cm="1">
        <f t="array" aca="1" ref="L926" ca="1">[1]!s_dq_close($B$1,$A926,3)</f>
        <v>29.15</v>
      </c>
    </row>
    <row r="927" spans="1:12">
      <c r="A927" s="23">
        <f t="shared" ca="1" si="14"/>
        <v>45248</v>
      </c>
      <c r="B927" cm="1">
        <f t="array" aca="1" ref="B927" ca="1">[1]!s_west_netprofit($B$1,YEAR($A927),$A927,180,1000000)</f>
        <v>8.8599730000000001</v>
      </c>
      <c r="C927" cm="1">
        <f t="array" aca="1" ref="C927" ca="1">[1]!s_west_eps($B$1,YEAR($A927),$A927,180)</f>
        <v>1.0200000000000001E-2</v>
      </c>
      <c r="D927" cm="1">
        <f t="array" aca="1" ref="D927" ca="1">[1]!s_west_instnum_np($B$1,YEAR($A927),$A927,180)</f>
        <v>15</v>
      </c>
      <c r="E927" cm="1">
        <f t="array" aca="1" ref="E927" ca="1">[1]!s_west_stdnetprofit($B$1,YEAR($A927),$A927,180,1000000)</f>
        <v>121.287279</v>
      </c>
      <c r="F927" cm="1">
        <f t="array" aca="1" ref="F927" ca="1">[1]!s_west_mediannetprofit($B$1,YEAR($A927),$A927,180,1000000)</f>
        <v>-27</v>
      </c>
      <c r="G927" cm="1">
        <f t="array" aca="1" ref="G927" ca="1">[1]!s_west_netprofit($B$1,YEAR($A927)+1,$A927,180,1000000)</f>
        <v>-67.077477000000002</v>
      </c>
      <c r="H927" cm="1">
        <f t="array" aca="1" ref="H927" ca="1">[1]!s_west_eps($B$1,YEAR($A927)+1,$A927,180)</f>
        <v>-7.6999999999999999E-2</v>
      </c>
      <c r="I927" cm="1">
        <f t="array" aca="1" ref="I927" ca="1">[1]!s_west_instnum_np($B$1,YEAR($A927)+1,$A927,180)</f>
        <v>15</v>
      </c>
      <c r="J927" cm="1">
        <f t="array" aca="1" ref="J927" ca="1">[1]!s_west_stdnetprofit($B$1,YEAR($A927)+1,$A927,180,1000000)</f>
        <v>96.241485999999995</v>
      </c>
      <c r="K927" cm="1">
        <f t="array" aca="1" ref="K927" ca="1">[1]!s_west_mediannetprofit($B$1,YEAR($A926)+1,$A926,180,1000000)</f>
        <v>-35.5</v>
      </c>
      <c r="L927" cm="1">
        <f t="array" aca="1" ref="L927" ca="1">[1]!s_dq_close($B$1,$A927,3)</f>
        <v>29.15</v>
      </c>
    </row>
    <row r="928" spans="1:12">
      <c r="A928" s="23">
        <f t="shared" ca="1" si="14"/>
        <v>45247</v>
      </c>
      <c r="B928" cm="1">
        <f t="array" aca="1" ref="B928" ca="1">[1]!s_west_netprofit($B$1,YEAR($A928),$A928,180,1000000)</f>
        <v>8.8599730000000001</v>
      </c>
      <c r="C928" cm="1">
        <f t="array" aca="1" ref="C928" ca="1">[1]!s_west_eps($B$1,YEAR($A928),$A928,180)</f>
        <v>1.0200000000000001E-2</v>
      </c>
      <c r="D928" cm="1">
        <f t="array" aca="1" ref="D928" ca="1">[1]!s_west_instnum_np($B$1,YEAR($A928),$A928,180)</f>
        <v>15</v>
      </c>
      <c r="E928" cm="1">
        <f t="array" aca="1" ref="E928" ca="1">[1]!s_west_stdnetprofit($B$1,YEAR($A928),$A928,180,1000000)</f>
        <v>121.287279</v>
      </c>
      <c r="F928" cm="1">
        <f t="array" aca="1" ref="F928" ca="1">[1]!s_west_mediannetprofit($B$1,YEAR($A928),$A928,180,1000000)</f>
        <v>-27</v>
      </c>
      <c r="G928" cm="1">
        <f t="array" aca="1" ref="G928" ca="1">[1]!s_west_netprofit($B$1,YEAR($A928)+1,$A928,180,1000000)</f>
        <v>-67.077477000000002</v>
      </c>
      <c r="H928" cm="1">
        <f t="array" aca="1" ref="H928" ca="1">[1]!s_west_eps($B$1,YEAR($A928)+1,$A928,180)</f>
        <v>-7.6999999999999999E-2</v>
      </c>
      <c r="I928" cm="1">
        <f t="array" aca="1" ref="I928" ca="1">[1]!s_west_instnum_np($B$1,YEAR($A928)+1,$A928,180)</f>
        <v>15</v>
      </c>
      <c r="J928" cm="1">
        <f t="array" aca="1" ref="J928" ca="1">[1]!s_west_stdnetprofit($B$1,YEAR($A928)+1,$A928,180,1000000)</f>
        <v>96.241485999999995</v>
      </c>
      <c r="K928" cm="1">
        <f t="array" aca="1" ref="K928" ca="1">[1]!s_west_mediannetprofit($B$1,YEAR($A927)+1,$A927,180,1000000)</f>
        <v>-35.5</v>
      </c>
      <c r="L928" cm="1">
        <f t="array" aca="1" ref="L928" ca="1">[1]!s_dq_close($B$1,$A928,3)</f>
        <v>29.15</v>
      </c>
    </row>
    <row r="929" spans="1:12">
      <c r="A929" s="23">
        <f t="shared" ca="1" si="14"/>
        <v>45246</v>
      </c>
      <c r="B929" cm="1">
        <f t="array" aca="1" ref="B929" ca="1">[1]!s_west_netprofit($B$1,YEAR($A929),$A929,180,1000000)</f>
        <v>8.8599730000000001</v>
      </c>
      <c r="C929" cm="1">
        <f t="array" aca="1" ref="C929" ca="1">[1]!s_west_eps($B$1,YEAR($A929),$A929,180)</f>
        <v>1.0200000000000001E-2</v>
      </c>
      <c r="D929" cm="1">
        <f t="array" aca="1" ref="D929" ca="1">[1]!s_west_instnum_np($B$1,YEAR($A929),$A929,180)</f>
        <v>15</v>
      </c>
      <c r="E929" cm="1">
        <f t="array" aca="1" ref="E929" ca="1">[1]!s_west_stdnetprofit($B$1,YEAR($A929),$A929,180,1000000)</f>
        <v>121.287279</v>
      </c>
      <c r="F929" cm="1">
        <f t="array" aca="1" ref="F929" ca="1">[1]!s_west_mediannetprofit($B$1,YEAR($A929),$A929,180,1000000)</f>
        <v>-27</v>
      </c>
      <c r="G929" cm="1">
        <f t="array" aca="1" ref="G929" ca="1">[1]!s_west_netprofit($B$1,YEAR($A929)+1,$A929,180,1000000)</f>
        <v>-67.077477000000002</v>
      </c>
      <c r="H929" cm="1">
        <f t="array" aca="1" ref="H929" ca="1">[1]!s_west_eps($B$1,YEAR($A929)+1,$A929,180)</f>
        <v>-7.6999999999999999E-2</v>
      </c>
      <c r="I929" cm="1">
        <f t="array" aca="1" ref="I929" ca="1">[1]!s_west_instnum_np($B$1,YEAR($A929)+1,$A929,180)</f>
        <v>15</v>
      </c>
      <c r="J929" cm="1">
        <f t="array" aca="1" ref="J929" ca="1">[1]!s_west_stdnetprofit($B$1,YEAR($A929)+1,$A929,180,1000000)</f>
        <v>96.241485999999995</v>
      </c>
      <c r="K929" cm="1">
        <f t="array" aca="1" ref="K929" ca="1">[1]!s_west_mediannetprofit($B$1,YEAR($A928)+1,$A928,180,1000000)</f>
        <v>-35.5</v>
      </c>
      <c r="L929" cm="1">
        <f t="array" aca="1" ref="L929" ca="1">[1]!s_dq_close($B$1,$A929,3)</f>
        <v>28.3</v>
      </c>
    </row>
    <row r="930" spans="1:12">
      <c r="A930" s="23">
        <f t="shared" ca="1" si="14"/>
        <v>45245</v>
      </c>
      <c r="B930" cm="1">
        <f t="array" aca="1" ref="B930" ca="1">[1]!s_west_netprofit($B$1,YEAR($A930),$A930,180,1000000)</f>
        <v>8.8599730000000001</v>
      </c>
      <c r="C930" cm="1">
        <f t="array" aca="1" ref="C930" ca="1">[1]!s_west_eps($B$1,YEAR($A930),$A930,180)</f>
        <v>1.0200000000000001E-2</v>
      </c>
      <c r="D930" cm="1">
        <f t="array" aca="1" ref="D930" ca="1">[1]!s_west_instnum_np($B$1,YEAR($A930),$A930,180)</f>
        <v>15</v>
      </c>
      <c r="E930" cm="1">
        <f t="array" aca="1" ref="E930" ca="1">[1]!s_west_stdnetprofit($B$1,YEAR($A930),$A930,180,1000000)</f>
        <v>121.287279</v>
      </c>
      <c r="F930" cm="1">
        <f t="array" aca="1" ref="F930" ca="1">[1]!s_west_mediannetprofit($B$1,YEAR($A930),$A930,180,1000000)</f>
        <v>-27</v>
      </c>
      <c r="G930" cm="1">
        <f t="array" aca="1" ref="G930" ca="1">[1]!s_west_netprofit($B$1,YEAR($A930)+1,$A930,180,1000000)</f>
        <v>-67.077477000000002</v>
      </c>
      <c r="H930" cm="1">
        <f t="array" aca="1" ref="H930" ca="1">[1]!s_west_eps($B$1,YEAR($A930)+1,$A930,180)</f>
        <v>-7.6999999999999999E-2</v>
      </c>
      <c r="I930" cm="1">
        <f t="array" aca="1" ref="I930" ca="1">[1]!s_west_instnum_np($B$1,YEAR($A930)+1,$A930,180)</f>
        <v>15</v>
      </c>
      <c r="J930" cm="1">
        <f t="array" aca="1" ref="J930" ca="1">[1]!s_west_stdnetprofit($B$1,YEAR($A930)+1,$A930,180,1000000)</f>
        <v>96.241485999999995</v>
      </c>
      <c r="K930" cm="1">
        <f t="array" aca="1" ref="K930" ca="1">[1]!s_west_mediannetprofit($B$1,YEAR($A929)+1,$A929,180,1000000)</f>
        <v>-35.5</v>
      </c>
      <c r="L930" cm="1">
        <f t="array" aca="1" ref="L930" ca="1">[1]!s_dq_close($B$1,$A930,3)</f>
        <v>29.55</v>
      </c>
    </row>
    <row r="931" spans="1:12">
      <c r="A931" s="23">
        <f t="shared" ca="1" si="14"/>
        <v>45244</v>
      </c>
      <c r="B931" cm="1">
        <f t="array" aca="1" ref="B931" ca="1">[1]!s_west_netprofit($B$1,YEAR($A931),$A931,180,1000000)</f>
        <v>8.8641039999999993</v>
      </c>
      <c r="C931" cm="1">
        <f t="array" aca="1" ref="C931" ca="1">[1]!s_west_eps($B$1,YEAR($A931),$A931,180)</f>
        <v>1.0200000000000001E-2</v>
      </c>
      <c r="D931" cm="1">
        <f t="array" aca="1" ref="D931" ca="1">[1]!s_west_instnum_np($B$1,YEAR($A931),$A931,180)</f>
        <v>15</v>
      </c>
      <c r="E931" cm="1">
        <f t="array" aca="1" ref="E931" ca="1">[1]!s_west_stdnetprofit($B$1,YEAR($A931),$A931,180,1000000)</f>
        <v>121.28361099999999</v>
      </c>
      <c r="F931" cm="1">
        <f t="array" aca="1" ref="F931" ca="1">[1]!s_west_mediannetprofit($B$1,YEAR($A931),$A931,180,1000000)</f>
        <v>-27</v>
      </c>
      <c r="G931" cm="1">
        <f t="array" aca="1" ref="G931" ca="1">[1]!s_west_netprofit($B$1,YEAR($A931)+1,$A931,180,1000000)</f>
        <v>-67.072359000000006</v>
      </c>
      <c r="H931" cm="1">
        <f t="array" aca="1" ref="H931" ca="1">[1]!s_west_eps($B$1,YEAR($A931)+1,$A931,180)</f>
        <v>-7.6999999999999999E-2</v>
      </c>
      <c r="I931" cm="1">
        <f t="array" aca="1" ref="I931" ca="1">[1]!s_west_instnum_np($B$1,YEAR($A931)+1,$A931,180)</f>
        <v>15</v>
      </c>
      <c r="J931" cm="1">
        <f t="array" aca="1" ref="J931" ca="1">[1]!s_west_stdnetprofit($B$1,YEAR($A931)+1,$A931,180,1000000)</f>
        <v>96.238816999999997</v>
      </c>
      <c r="K931" cm="1">
        <f t="array" aca="1" ref="K931" ca="1">[1]!s_west_mediannetprofit($B$1,YEAR($A930)+1,$A930,180,1000000)</f>
        <v>-35.5</v>
      </c>
      <c r="L931" cm="1">
        <f t="array" aca="1" ref="L931" ca="1">[1]!s_dq_close($B$1,$A931,3)</f>
        <v>29.75</v>
      </c>
    </row>
    <row r="932" spans="1:12">
      <c r="A932" s="23">
        <f t="shared" ca="1" si="14"/>
        <v>45243</v>
      </c>
      <c r="B932" cm="1">
        <f t="array" aca="1" ref="B932" ca="1">[1]!s_west_netprofit($B$1,YEAR($A932),$A932,180,1000000)</f>
        <v>8.8641039999999993</v>
      </c>
      <c r="C932" cm="1">
        <f t="array" aca="1" ref="C932" ca="1">[1]!s_west_eps($B$1,YEAR($A932),$A932,180)</f>
        <v>1.0200000000000001E-2</v>
      </c>
      <c r="D932" cm="1">
        <f t="array" aca="1" ref="D932" ca="1">[1]!s_west_instnum_np($B$1,YEAR($A932),$A932,180)</f>
        <v>15</v>
      </c>
      <c r="E932" cm="1">
        <f t="array" aca="1" ref="E932" ca="1">[1]!s_west_stdnetprofit($B$1,YEAR($A932),$A932,180,1000000)</f>
        <v>121.28361099999999</v>
      </c>
      <c r="F932" cm="1">
        <f t="array" aca="1" ref="F932" ca="1">[1]!s_west_mediannetprofit($B$1,YEAR($A932),$A932,180,1000000)</f>
        <v>-27</v>
      </c>
      <c r="G932" cm="1">
        <f t="array" aca="1" ref="G932" ca="1">[1]!s_west_netprofit($B$1,YEAR($A932)+1,$A932,180,1000000)</f>
        <v>-67.072359000000006</v>
      </c>
      <c r="H932" cm="1">
        <f t="array" aca="1" ref="H932" ca="1">[1]!s_west_eps($B$1,YEAR($A932)+1,$A932,180)</f>
        <v>-7.6999999999999999E-2</v>
      </c>
      <c r="I932" cm="1">
        <f t="array" aca="1" ref="I932" ca="1">[1]!s_west_instnum_np($B$1,YEAR($A932)+1,$A932,180)</f>
        <v>15</v>
      </c>
      <c r="J932" cm="1">
        <f t="array" aca="1" ref="J932" ca="1">[1]!s_west_stdnetprofit($B$1,YEAR($A932)+1,$A932,180,1000000)</f>
        <v>96.238816999999997</v>
      </c>
      <c r="K932" cm="1">
        <f t="array" aca="1" ref="K932" ca="1">[1]!s_west_mediannetprofit($B$1,YEAR($A931)+1,$A931,180,1000000)</f>
        <v>-35.5</v>
      </c>
      <c r="L932" cm="1">
        <f t="array" aca="1" ref="L932" ca="1">[1]!s_dq_close($B$1,$A932,3)</f>
        <v>29.4</v>
      </c>
    </row>
    <row r="933" spans="1:12">
      <c r="A933" s="23">
        <f t="shared" ca="1" si="14"/>
        <v>45242</v>
      </c>
      <c r="B933" cm="1">
        <f t="array" aca="1" ref="B933" ca="1">[1]!s_west_netprofit($B$1,YEAR($A933),$A933,180,1000000)</f>
        <v>8.5506790000000006</v>
      </c>
      <c r="C933" cm="1">
        <f t="array" aca="1" ref="C933" ca="1">[1]!s_west_eps($B$1,YEAR($A933),$A933,180)</f>
        <v>9.7999999999999997E-3</v>
      </c>
      <c r="D933" cm="1">
        <f t="array" aca="1" ref="D933" ca="1">[1]!s_west_instnum_np($B$1,YEAR($A933),$A933,180)</f>
        <v>15</v>
      </c>
      <c r="E933" cm="1">
        <f t="array" aca="1" ref="E933" ca="1">[1]!s_west_stdnetprofit($B$1,YEAR($A933),$A933,180,1000000)</f>
        <v>121.568003</v>
      </c>
      <c r="F933" cm="1">
        <f t="array" aca="1" ref="F933" ca="1">[1]!s_west_mediannetprofit($B$1,YEAR($A933),$A933,180,1000000)</f>
        <v>-27</v>
      </c>
      <c r="G933" cm="1">
        <f t="array" aca="1" ref="G933" ca="1">[1]!s_west_netprofit($B$1,YEAR($A933)+1,$A933,180,1000000)</f>
        <v>-67.281308999999993</v>
      </c>
      <c r="H933" cm="1">
        <f t="array" aca="1" ref="H933" ca="1">[1]!s_west_eps($B$1,YEAR($A933)+1,$A933,180)</f>
        <v>-7.7200000000000005E-2</v>
      </c>
      <c r="I933" cm="1">
        <f t="array" aca="1" ref="I933" ca="1">[1]!s_west_instnum_np($B$1,YEAR($A933)+1,$A933,180)</f>
        <v>15</v>
      </c>
      <c r="J933" cm="1">
        <f t="array" aca="1" ref="J933" ca="1">[1]!s_west_stdnetprofit($B$1,YEAR($A933)+1,$A933,180,1000000)</f>
        <v>96.351260999999994</v>
      </c>
      <c r="K933" cm="1">
        <f t="array" aca="1" ref="K933" ca="1">[1]!s_west_mediannetprofit($B$1,YEAR($A932)+1,$A932,180,1000000)</f>
        <v>-35.5</v>
      </c>
      <c r="L933" cm="1">
        <f t="array" aca="1" ref="L933" ca="1">[1]!s_dq_close($B$1,$A933,3)</f>
        <v>29.5</v>
      </c>
    </row>
    <row r="934" spans="1:12">
      <c r="A934" s="23">
        <f t="shared" ca="1" si="14"/>
        <v>45241</v>
      </c>
      <c r="B934" cm="1">
        <f t="array" aca="1" ref="B934" ca="1">[1]!s_west_netprofit($B$1,YEAR($A934),$A934,180,1000000)</f>
        <v>8.0506790000000006</v>
      </c>
      <c r="C934" cm="1">
        <f t="array" aca="1" ref="C934" ca="1">[1]!s_west_eps($B$1,YEAR($A934),$A934,180)</f>
        <v>9.1999999999999998E-3</v>
      </c>
      <c r="D934" cm="1">
        <f t="array" aca="1" ref="D934" ca="1">[1]!s_west_instnum_np($B$1,YEAR($A934),$A934,180)</f>
        <v>15</v>
      </c>
      <c r="E934" cm="1">
        <f t="array" aca="1" ref="E934" ca="1">[1]!s_west_stdnetprofit($B$1,YEAR($A934),$A934,180,1000000)</f>
        <v>121.749059</v>
      </c>
      <c r="F934" cm="1">
        <f t="array" aca="1" ref="F934" ca="1">[1]!s_west_mediannetprofit($B$1,YEAR($A934),$A934,180,1000000)</f>
        <v>-31</v>
      </c>
      <c r="G934" cm="1">
        <f t="array" aca="1" ref="G934" ca="1">[1]!s_west_netprofit($B$1,YEAR($A934)+1,$A934,180,1000000)</f>
        <v>-68.218808999999993</v>
      </c>
      <c r="H934" cm="1">
        <f t="array" aca="1" ref="H934" ca="1">[1]!s_west_eps($B$1,YEAR($A934)+1,$A934,180)</f>
        <v>-7.8299999999999995E-2</v>
      </c>
      <c r="I934" cm="1">
        <f t="array" aca="1" ref="I934" ca="1">[1]!s_west_instnum_np($B$1,YEAR($A934)+1,$A934,180)</f>
        <v>15</v>
      </c>
      <c r="J934" cm="1">
        <f t="array" aca="1" ref="J934" ca="1">[1]!s_west_stdnetprofit($B$1,YEAR($A934)+1,$A934,180,1000000)</f>
        <v>95.817875999999998</v>
      </c>
      <c r="K934" cm="1">
        <f t="array" aca="1" ref="K934" ca="1">[1]!s_west_mediannetprofit($B$1,YEAR($A933)+1,$A933,180,1000000)</f>
        <v>-35.5</v>
      </c>
      <c r="L934" cm="1">
        <f t="array" aca="1" ref="L934" ca="1">[1]!s_dq_close($B$1,$A934,3)</f>
        <v>29.5</v>
      </c>
    </row>
    <row r="935" spans="1:12">
      <c r="A935" s="23">
        <f t="shared" ca="1" si="14"/>
        <v>45240</v>
      </c>
      <c r="B935" cm="1">
        <f t="array" aca="1" ref="B935" ca="1">[1]!s_west_netprofit($B$1,YEAR($A935),$A935,180,1000000)</f>
        <v>8.0506790000000006</v>
      </c>
      <c r="C935" cm="1">
        <f t="array" aca="1" ref="C935" ca="1">[1]!s_west_eps($B$1,YEAR($A935),$A935,180)</f>
        <v>9.1999999999999998E-3</v>
      </c>
      <c r="D935" cm="1">
        <f t="array" aca="1" ref="D935" ca="1">[1]!s_west_instnum_np($B$1,YEAR($A935),$A935,180)</f>
        <v>15</v>
      </c>
      <c r="E935" cm="1">
        <f t="array" aca="1" ref="E935" ca="1">[1]!s_west_stdnetprofit($B$1,YEAR($A935),$A935,180,1000000)</f>
        <v>121.749059</v>
      </c>
      <c r="F935" cm="1">
        <f t="array" aca="1" ref="F935" ca="1">[1]!s_west_mediannetprofit($B$1,YEAR($A935),$A935,180,1000000)</f>
        <v>-31</v>
      </c>
      <c r="G935" cm="1">
        <f t="array" aca="1" ref="G935" ca="1">[1]!s_west_netprofit($B$1,YEAR($A935)+1,$A935,180,1000000)</f>
        <v>-68.218808999999993</v>
      </c>
      <c r="H935" cm="1">
        <f t="array" aca="1" ref="H935" ca="1">[1]!s_west_eps($B$1,YEAR($A935)+1,$A935,180)</f>
        <v>-7.8299999999999995E-2</v>
      </c>
      <c r="I935" cm="1">
        <f t="array" aca="1" ref="I935" ca="1">[1]!s_west_instnum_np($B$1,YEAR($A935)+1,$A935,180)</f>
        <v>15</v>
      </c>
      <c r="J935" cm="1">
        <f t="array" aca="1" ref="J935" ca="1">[1]!s_west_stdnetprofit($B$1,YEAR($A935)+1,$A935,180,1000000)</f>
        <v>95.817875999999998</v>
      </c>
      <c r="K935" cm="1">
        <f t="array" aca="1" ref="K935" ca="1">[1]!s_west_mediannetprofit($B$1,YEAR($A934)+1,$A934,180,1000000)</f>
        <v>-35.5</v>
      </c>
      <c r="L935" cm="1">
        <f t="array" aca="1" ref="L935" ca="1">[1]!s_dq_close($B$1,$A935,3)</f>
        <v>29.5</v>
      </c>
    </row>
    <row r="936" spans="1:12">
      <c r="A936" s="23">
        <f t="shared" ca="1" si="14"/>
        <v>45239</v>
      </c>
      <c r="B936" cm="1">
        <f t="array" aca="1" ref="B936" ca="1">[1]!s_west_netprofit($B$1,YEAR($A936),$A936,180,1000000)</f>
        <v>8.0506790000000006</v>
      </c>
      <c r="C936" cm="1">
        <f t="array" aca="1" ref="C936" ca="1">[1]!s_west_eps($B$1,YEAR($A936),$A936,180)</f>
        <v>9.1999999999999998E-3</v>
      </c>
      <c r="D936" cm="1">
        <f t="array" aca="1" ref="D936" ca="1">[1]!s_west_instnum_np($B$1,YEAR($A936),$A936,180)</f>
        <v>15</v>
      </c>
      <c r="E936" cm="1">
        <f t="array" aca="1" ref="E936" ca="1">[1]!s_west_stdnetprofit($B$1,YEAR($A936),$A936,180,1000000)</f>
        <v>121.749059</v>
      </c>
      <c r="F936" cm="1">
        <f t="array" aca="1" ref="F936" ca="1">[1]!s_west_mediannetprofit($B$1,YEAR($A936),$A936,180,1000000)</f>
        <v>-31</v>
      </c>
      <c r="G936" cm="1">
        <f t="array" aca="1" ref="G936" ca="1">[1]!s_west_netprofit($B$1,YEAR($A936)+1,$A936,180,1000000)</f>
        <v>-68.218808999999993</v>
      </c>
      <c r="H936" cm="1">
        <f t="array" aca="1" ref="H936" ca="1">[1]!s_west_eps($B$1,YEAR($A936)+1,$A936,180)</f>
        <v>-7.8299999999999995E-2</v>
      </c>
      <c r="I936" cm="1">
        <f t="array" aca="1" ref="I936" ca="1">[1]!s_west_instnum_np($B$1,YEAR($A936)+1,$A936,180)</f>
        <v>15</v>
      </c>
      <c r="J936" cm="1">
        <f t="array" aca="1" ref="J936" ca="1">[1]!s_west_stdnetprofit($B$1,YEAR($A936)+1,$A936,180,1000000)</f>
        <v>95.817875999999998</v>
      </c>
      <c r="K936" cm="1">
        <f t="array" aca="1" ref="K936" ca="1">[1]!s_west_mediannetprofit($B$1,YEAR($A935)+1,$A935,180,1000000)</f>
        <v>-35.5</v>
      </c>
      <c r="L936" cm="1">
        <f t="array" aca="1" ref="L936" ca="1">[1]!s_dq_close($B$1,$A936,3)</f>
        <v>29.45</v>
      </c>
    </row>
    <row r="937" spans="1:12">
      <c r="A937" s="23">
        <f t="shared" ca="1" si="14"/>
        <v>45238</v>
      </c>
      <c r="B937" cm="1">
        <f t="array" aca="1" ref="B937" ca="1">[1]!s_west_netprofit($B$1,YEAR($A937),$A937,180,1000000)</f>
        <v>6.3006789999999997</v>
      </c>
      <c r="C937" cm="1">
        <f t="array" aca="1" ref="C937" ca="1">[1]!s_west_eps($B$1,YEAR($A937),$A937,180)</f>
        <v>7.1999999999999998E-3</v>
      </c>
      <c r="D937" cm="1">
        <f t="array" aca="1" ref="D937" ca="1">[1]!s_west_instnum_np($B$1,YEAR($A937),$A937,180)</f>
        <v>15</v>
      </c>
      <c r="E937" cm="1">
        <f t="array" aca="1" ref="E937" ca="1">[1]!s_west_stdnetprofit($B$1,YEAR($A937),$A937,180,1000000)</f>
        <v>120.874684</v>
      </c>
      <c r="F937" cm="1">
        <f t="array" aca="1" ref="F937" ca="1">[1]!s_west_mediannetprofit($B$1,YEAR($A937),$A937,180,1000000)</f>
        <v>-31</v>
      </c>
      <c r="G937" cm="1">
        <f t="array" aca="1" ref="G937" ca="1">[1]!s_west_netprofit($B$1,YEAR($A937)+1,$A937,180,1000000)</f>
        <v>-68.218808999999993</v>
      </c>
      <c r="H937" cm="1">
        <f t="array" aca="1" ref="H937" ca="1">[1]!s_west_eps($B$1,YEAR($A937)+1,$A937,180)</f>
        <v>-7.8299999999999995E-2</v>
      </c>
      <c r="I937" cm="1">
        <f t="array" aca="1" ref="I937" ca="1">[1]!s_west_instnum_np($B$1,YEAR($A937)+1,$A937,180)</f>
        <v>15</v>
      </c>
      <c r="J937" cm="1">
        <f t="array" aca="1" ref="J937" ca="1">[1]!s_west_stdnetprofit($B$1,YEAR($A937)+1,$A937,180,1000000)</f>
        <v>95.817875999999998</v>
      </c>
      <c r="K937" cm="1">
        <f t="array" aca="1" ref="K937" ca="1">[1]!s_west_mediannetprofit($B$1,YEAR($A936)+1,$A936,180,1000000)</f>
        <v>-35.5</v>
      </c>
      <c r="L937" cm="1">
        <f t="array" aca="1" ref="L937" ca="1">[1]!s_dq_close($B$1,$A937,3)</f>
        <v>31</v>
      </c>
    </row>
    <row r="938" spans="1:12">
      <c r="A938" s="23">
        <f t="shared" ca="1" si="14"/>
        <v>45237</v>
      </c>
      <c r="B938" cm="1">
        <f t="array" aca="1" ref="B938" ca="1">[1]!s_west_netprofit($B$1,YEAR($A938),$A938,180,1000000)</f>
        <v>6.3006789999999997</v>
      </c>
      <c r="C938" cm="1">
        <f t="array" aca="1" ref="C938" ca="1">[1]!s_west_eps($B$1,YEAR($A938),$A938,180)</f>
        <v>7.1999999999999998E-3</v>
      </c>
      <c r="D938" cm="1">
        <f t="array" aca="1" ref="D938" ca="1">[1]!s_west_instnum_np($B$1,YEAR($A938),$A938,180)</f>
        <v>15</v>
      </c>
      <c r="E938" cm="1">
        <f t="array" aca="1" ref="E938" ca="1">[1]!s_west_stdnetprofit($B$1,YEAR($A938),$A938,180,1000000)</f>
        <v>120.874684</v>
      </c>
      <c r="F938" cm="1">
        <f t="array" aca="1" ref="F938" ca="1">[1]!s_west_mediannetprofit($B$1,YEAR($A938),$A938,180,1000000)</f>
        <v>-31</v>
      </c>
      <c r="G938" cm="1">
        <f t="array" aca="1" ref="G938" ca="1">[1]!s_west_netprofit($B$1,YEAR($A938)+1,$A938,180,1000000)</f>
        <v>-68.218808999999993</v>
      </c>
      <c r="H938" cm="1">
        <f t="array" aca="1" ref="H938" ca="1">[1]!s_west_eps($B$1,YEAR($A938)+1,$A938,180)</f>
        <v>-7.8299999999999995E-2</v>
      </c>
      <c r="I938" cm="1">
        <f t="array" aca="1" ref="I938" ca="1">[1]!s_west_instnum_np($B$1,YEAR($A938)+1,$A938,180)</f>
        <v>15</v>
      </c>
      <c r="J938" cm="1">
        <f t="array" aca="1" ref="J938" ca="1">[1]!s_west_stdnetprofit($B$1,YEAR($A938)+1,$A938,180,1000000)</f>
        <v>95.817875999999998</v>
      </c>
      <c r="K938" cm="1">
        <f t="array" aca="1" ref="K938" ca="1">[1]!s_west_mediannetprofit($B$1,YEAR($A937)+1,$A937,180,1000000)</f>
        <v>-35.5</v>
      </c>
      <c r="L938" cm="1">
        <f t="array" aca="1" ref="L938" ca="1">[1]!s_dq_close($B$1,$A938,3)</f>
        <v>31.65</v>
      </c>
    </row>
    <row r="939" spans="1:12">
      <c r="A939" s="23">
        <f t="shared" ca="1" si="14"/>
        <v>45236</v>
      </c>
      <c r="B939" cm="1">
        <f t="array" aca="1" ref="B939" ca="1">[1]!s_west_netprofit($B$1,YEAR($A939),$A939,180,1000000)</f>
        <v>11.458724</v>
      </c>
      <c r="C939" cm="1">
        <f t="array" aca="1" ref="C939" ca="1">[1]!s_west_eps($B$1,YEAR($A939),$A939,180)</f>
        <v>1.32E-2</v>
      </c>
      <c r="D939" cm="1">
        <f t="array" aca="1" ref="D939" ca="1">[1]!s_west_instnum_np($B$1,YEAR($A939),$A939,180)</f>
        <v>14</v>
      </c>
      <c r="E939" cm="1">
        <f t="array" aca="1" ref="E939" ca="1">[1]!s_west_stdnetprofit($B$1,YEAR($A939),$A939,180,1000000)</f>
        <v>123.281048</v>
      </c>
      <c r="F939" cm="1">
        <f t="array" aca="1" ref="F939" ca="1">[1]!s_west_mediannetprofit($B$1,YEAR($A939),$A939,180,1000000)</f>
        <v>-25</v>
      </c>
      <c r="G939" cm="1">
        <f t="array" aca="1" ref="G939" ca="1">[1]!s_west_netprofit($B$1,YEAR($A939)+1,$A939,180,1000000)</f>
        <v>-69.642062999999993</v>
      </c>
      <c r="H939" cm="1">
        <f t="array" aca="1" ref="H939" ca="1">[1]!s_west_eps($B$1,YEAR($A939)+1,$A939,180)</f>
        <v>-0.08</v>
      </c>
      <c r="I939" cm="1">
        <f t="array" aca="1" ref="I939" ca="1">[1]!s_west_instnum_np($B$1,YEAR($A939)+1,$A939,180)</f>
        <v>14</v>
      </c>
      <c r="J939" cm="1">
        <f t="array" aca="1" ref="J939" ca="1">[1]!s_west_stdnetprofit($B$1,YEAR($A939)+1,$A939,180,1000000)</f>
        <v>99.005708999999996</v>
      </c>
      <c r="K939" cm="1">
        <f t="array" aca="1" ref="K939" ca="1">[1]!s_west_mediannetprofit($B$1,YEAR($A938)+1,$A938,180,1000000)</f>
        <v>-35.5</v>
      </c>
      <c r="L939" cm="1">
        <f t="array" aca="1" ref="L939" ca="1">[1]!s_dq_close($B$1,$A939,3)</f>
        <v>32</v>
      </c>
    </row>
    <row r="940" spans="1:12">
      <c r="A940" s="23">
        <f t="shared" ca="1" si="14"/>
        <v>45235</v>
      </c>
      <c r="B940" cm="1">
        <f t="array" aca="1" ref="B940" ca="1">[1]!s_west_netprofit($B$1,YEAR($A940),$A940,180,1000000)</f>
        <v>11.458724</v>
      </c>
      <c r="C940" cm="1">
        <f t="array" aca="1" ref="C940" ca="1">[1]!s_west_eps($B$1,YEAR($A940),$A940,180)</f>
        <v>1.32E-2</v>
      </c>
      <c r="D940" cm="1">
        <f t="array" aca="1" ref="D940" ca="1">[1]!s_west_instnum_np($B$1,YEAR($A940),$A940,180)</f>
        <v>14</v>
      </c>
      <c r="E940" cm="1">
        <f t="array" aca="1" ref="E940" ca="1">[1]!s_west_stdnetprofit($B$1,YEAR($A940),$A940,180,1000000)</f>
        <v>123.281048</v>
      </c>
      <c r="F940" cm="1">
        <f t="array" aca="1" ref="F940" ca="1">[1]!s_west_mediannetprofit($B$1,YEAR($A940),$A940,180,1000000)</f>
        <v>-25</v>
      </c>
      <c r="G940" cm="1">
        <f t="array" aca="1" ref="G940" ca="1">[1]!s_west_netprofit($B$1,YEAR($A940)+1,$A940,180,1000000)</f>
        <v>-69.642062999999993</v>
      </c>
      <c r="H940" cm="1">
        <f t="array" aca="1" ref="H940" ca="1">[1]!s_west_eps($B$1,YEAR($A940)+1,$A940,180)</f>
        <v>-0.08</v>
      </c>
      <c r="I940" cm="1">
        <f t="array" aca="1" ref="I940" ca="1">[1]!s_west_instnum_np($B$1,YEAR($A940)+1,$A940,180)</f>
        <v>14</v>
      </c>
      <c r="J940" cm="1">
        <f t="array" aca="1" ref="J940" ca="1">[1]!s_west_stdnetprofit($B$1,YEAR($A940)+1,$A940,180,1000000)</f>
        <v>99.005708999999996</v>
      </c>
      <c r="K940" cm="1">
        <f t="array" aca="1" ref="K940" ca="1">[1]!s_west_mediannetprofit($B$1,YEAR($A939)+1,$A939,180,1000000)</f>
        <v>-30</v>
      </c>
      <c r="L940" cm="1">
        <f t="array" aca="1" ref="L940" ca="1">[1]!s_dq_close($B$1,$A940,3)</f>
        <v>31.65</v>
      </c>
    </row>
    <row r="941" spans="1:12">
      <c r="A941" s="23">
        <f t="shared" ca="1" si="14"/>
        <v>45234</v>
      </c>
      <c r="B941" cm="1">
        <f t="array" aca="1" ref="B941" ca="1">[1]!s_west_netprofit($B$1,YEAR($A941),$A941,180,1000000)</f>
        <v>11.458724</v>
      </c>
      <c r="C941" cm="1">
        <f t="array" aca="1" ref="C941" ca="1">[1]!s_west_eps($B$1,YEAR($A941),$A941,180)</f>
        <v>1.32E-2</v>
      </c>
      <c r="D941" cm="1">
        <f t="array" aca="1" ref="D941" ca="1">[1]!s_west_instnum_np($B$1,YEAR($A941),$A941,180)</f>
        <v>14</v>
      </c>
      <c r="E941" cm="1">
        <f t="array" aca="1" ref="E941" ca="1">[1]!s_west_stdnetprofit($B$1,YEAR($A941),$A941,180,1000000)</f>
        <v>123.281048</v>
      </c>
      <c r="F941" cm="1">
        <f t="array" aca="1" ref="F941" ca="1">[1]!s_west_mediannetprofit($B$1,YEAR($A941),$A941,180,1000000)</f>
        <v>-25</v>
      </c>
      <c r="G941" cm="1">
        <f t="array" aca="1" ref="G941" ca="1">[1]!s_west_netprofit($B$1,YEAR($A941)+1,$A941,180,1000000)</f>
        <v>-69.642062999999993</v>
      </c>
      <c r="H941" cm="1">
        <f t="array" aca="1" ref="H941" ca="1">[1]!s_west_eps($B$1,YEAR($A941)+1,$A941,180)</f>
        <v>-0.08</v>
      </c>
      <c r="I941" cm="1">
        <f t="array" aca="1" ref="I941" ca="1">[1]!s_west_instnum_np($B$1,YEAR($A941)+1,$A941,180)</f>
        <v>14</v>
      </c>
      <c r="J941" cm="1">
        <f t="array" aca="1" ref="J941" ca="1">[1]!s_west_stdnetprofit($B$1,YEAR($A941)+1,$A941,180,1000000)</f>
        <v>99.005708999999996</v>
      </c>
      <c r="K941" cm="1">
        <f t="array" aca="1" ref="K941" ca="1">[1]!s_west_mediannetprofit($B$1,YEAR($A940)+1,$A940,180,1000000)</f>
        <v>-30</v>
      </c>
      <c r="L941" cm="1">
        <f t="array" aca="1" ref="L941" ca="1">[1]!s_dq_close($B$1,$A941,3)</f>
        <v>31.65</v>
      </c>
    </row>
    <row r="942" spans="1:12">
      <c r="A942" s="23">
        <f t="shared" ca="1" si="14"/>
        <v>45233</v>
      </c>
      <c r="B942" cm="1">
        <f t="array" aca="1" ref="B942" ca="1">[1]!s_west_netprofit($B$1,YEAR($A942),$A942,180,1000000)</f>
        <v>11.458724</v>
      </c>
      <c r="C942" cm="1">
        <f t="array" aca="1" ref="C942" ca="1">[1]!s_west_eps($B$1,YEAR($A942),$A942,180)</f>
        <v>1.32E-2</v>
      </c>
      <c r="D942" cm="1">
        <f t="array" aca="1" ref="D942" ca="1">[1]!s_west_instnum_np($B$1,YEAR($A942),$A942,180)</f>
        <v>14</v>
      </c>
      <c r="E942" cm="1">
        <f t="array" aca="1" ref="E942" ca="1">[1]!s_west_stdnetprofit($B$1,YEAR($A942),$A942,180,1000000)</f>
        <v>123.281048</v>
      </c>
      <c r="F942" cm="1">
        <f t="array" aca="1" ref="F942" ca="1">[1]!s_west_mediannetprofit($B$1,YEAR($A942),$A942,180,1000000)</f>
        <v>-25</v>
      </c>
      <c r="G942" cm="1">
        <f t="array" aca="1" ref="G942" ca="1">[1]!s_west_netprofit($B$1,YEAR($A942)+1,$A942,180,1000000)</f>
        <v>-69.642062999999993</v>
      </c>
      <c r="H942" cm="1">
        <f t="array" aca="1" ref="H942" ca="1">[1]!s_west_eps($B$1,YEAR($A942)+1,$A942,180)</f>
        <v>-0.08</v>
      </c>
      <c r="I942" cm="1">
        <f t="array" aca="1" ref="I942" ca="1">[1]!s_west_instnum_np($B$1,YEAR($A942)+1,$A942,180)</f>
        <v>14</v>
      </c>
      <c r="J942" cm="1">
        <f t="array" aca="1" ref="J942" ca="1">[1]!s_west_stdnetprofit($B$1,YEAR($A942)+1,$A942,180,1000000)</f>
        <v>99.005708999999996</v>
      </c>
      <c r="K942" cm="1">
        <f t="array" aca="1" ref="K942" ca="1">[1]!s_west_mediannetprofit($B$1,YEAR($A941)+1,$A941,180,1000000)</f>
        <v>-30</v>
      </c>
      <c r="L942" cm="1">
        <f t="array" aca="1" ref="L942" ca="1">[1]!s_dq_close($B$1,$A942,3)</f>
        <v>31.65</v>
      </c>
    </row>
    <row r="943" spans="1:12">
      <c r="A943" s="23">
        <f t="shared" ca="1" si="14"/>
        <v>45232</v>
      </c>
      <c r="B943" cm="1">
        <f t="array" aca="1" ref="B943" ca="1">[1]!s_west_netprofit($B$1,YEAR($A943),$A943,180,1000000)</f>
        <v>11.458724</v>
      </c>
      <c r="C943" cm="1">
        <f t="array" aca="1" ref="C943" ca="1">[1]!s_west_eps($B$1,YEAR($A943),$A943,180)</f>
        <v>1.32E-2</v>
      </c>
      <c r="D943" cm="1">
        <f t="array" aca="1" ref="D943" ca="1">[1]!s_west_instnum_np($B$1,YEAR($A943),$A943,180)</f>
        <v>14</v>
      </c>
      <c r="E943" cm="1">
        <f t="array" aca="1" ref="E943" ca="1">[1]!s_west_stdnetprofit($B$1,YEAR($A943),$A943,180,1000000)</f>
        <v>123.281048</v>
      </c>
      <c r="F943" cm="1">
        <f t="array" aca="1" ref="F943" ca="1">[1]!s_west_mediannetprofit($B$1,YEAR($A943),$A943,180,1000000)</f>
        <v>-25</v>
      </c>
      <c r="G943" cm="1">
        <f t="array" aca="1" ref="G943" ca="1">[1]!s_west_netprofit($B$1,YEAR($A943)+1,$A943,180,1000000)</f>
        <v>-69.642062999999993</v>
      </c>
      <c r="H943" cm="1">
        <f t="array" aca="1" ref="H943" ca="1">[1]!s_west_eps($B$1,YEAR($A943)+1,$A943,180)</f>
        <v>-0.08</v>
      </c>
      <c r="I943" cm="1">
        <f t="array" aca="1" ref="I943" ca="1">[1]!s_west_instnum_np($B$1,YEAR($A943)+1,$A943,180)</f>
        <v>14</v>
      </c>
      <c r="J943" cm="1">
        <f t="array" aca="1" ref="J943" ca="1">[1]!s_west_stdnetprofit($B$1,YEAR($A943)+1,$A943,180,1000000)</f>
        <v>99.005708999999996</v>
      </c>
      <c r="K943" cm="1">
        <f t="array" aca="1" ref="K943" ca="1">[1]!s_west_mediannetprofit($B$1,YEAR($A942)+1,$A942,180,1000000)</f>
        <v>-30</v>
      </c>
      <c r="L943" cm="1">
        <f t="array" aca="1" ref="L943" ca="1">[1]!s_dq_close($B$1,$A943,3)</f>
        <v>31.2</v>
      </c>
    </row>
    <row r="944" spans="1:12">
      <c r="A944" s="23">
        <f t="shared" ca="1" si="14"/>
        <v>45231</v>
      </c>
      <c r="B944" cm="1">
        <f t="array" aca="1" ref="B944" ca="1">[1]!s_west_netprofit($B$1,YEAR($A944),$A944,180,1000000)</f>
        <v>16.491489999999999</v>
      </c>
      <c r="C944" cm="1">
        <f t="array" aca="1" ref="C944" ca="1">[1]!s_west_eps($B$1,YEAR($A944),$A944,180)</f>
        <v>1.89E-2</v>
      </c>
      <c r="D944" cm="1">
        <f t="array" aca="1" ref="D944" ca="1">[1]!s_west_instnum_np($B$1,YEAR($A944),$A944,180)</f>
        <v>13</v>
      </c>
      <c r="E944" cm="1">
        <f t="array" aca="1" ref="E944" ca="1">[1]!s_west_stdnetprofit($B$1,YEAR($A944),$A944,180,1000000)</f>
        <v>126.325587</v>
      </c>
      <c r="F944" cm="1">
        <f t="array" aca="1" ref="F944" ca="1">[1]!s_west_mediannetprofit($B$1,YEAR($A944),$A944,180,1000000)</f>
        <v>-14.35</v>
      </c>
      <c r="G944" cm="1">
        <f t="array" aca="1" ref="G944" ca="1">[1]!s_west_netprofit($B$1,YEAR($A944)+1,$A944,180,1000000)</f>
        <v>-71.687923999999995</v>
      </c>
      <c r="H944" cm="1">
        <f t="array" aca="1" ref="H944" ca="1">[1]!s_west_eps($B$1,YEAR($A944)+1,$A944,180)</f>
        <v>-8.2299999999999998E-2</v>
      </c>
      <c r="I944" cm="1">
        <f t="array" aca="1" ref="I944" ca="1">[1]!s_west_instnum_np($B$1,YEAR($A944)+1,$A944,180)</f>
        <v>13</v>
      </c>
      <c r="J944" cm="1">
        <f t="array" aca="1" ref="J944" ca="1">[1]!s_west_stdnetprofit($B$1,YEAR($A944)+1,$A944,180,1000000)</f>
        <v>102.41351299999999</v>
      </c>
      <c r="K944" cm="1">
        <f t="array" aca="1" ref="K944" ca="1">[1]!s_west_mediannetprofit($B$1,YEAR($A943)+1,$A943,180,1000000)</f>
        <v>-30</v>
      </c>
      <c r="L944" cm="1">
        <f t="array" aca="1" ref="L944" ca="1">[1]!s_dq_close($B$1,$A944,3)</f>
        <v>31.35</v>
      </c>
    </row>
    <row r="945" spans="1:12">
      <c r="A945" s="23">
        <f t="shared" ca="1" si="14"/>
        <v>45230</v>
      </c>
      <c r="B945" cm="1">
        <f t="array" aca="1" ref="B945" ca="1">[1]!s_west_netprofit($B$1,YEAR($A945),$A945,180,1000000)</f>
        <v>16.491489999999999</v>
      </c>
      <c r="C945" cm="1">
        <f t="array" aca="1" ref="C945" ca="1">[1]!s_west_eps($B$1,YEAR($A945),$A945,180)</f>
        <v>1.89E-2</v>
      </c>
      <c r="D945" cm="1">
        <f t="array" aca="1" ref="D945" ca="1">[1]!s_west_instnum_np($B$1,YEAR($A945),$A945,180)</f>
        <v>13</v>
      </c>
      <c r="E945" cm="1">
        <f t="array" aca="1" ref="E945" ca="1">[1]!s_west_stdnetprofit($B$1,YEAR($A945),$A945,180,1000000)</f>
        <v>126.325587</v>
      </c>
      <c r="F945" cm="1">
        <f t="array" aca="1" ref="F945" ca="1">[1]!s_west_mediannetprofit($B$1,YEAR($A945),$A945,180,1000000)</f>
        <v>-14.35</v>
      </c>
      <c r="G945" cm="1">
        <f t="array" aca="1" ref="G945" ca="1">[1]!s_west_netprofit($B$1,YEAR($A945)+1,$A945,180,1000000)</f>
        <v>-71.687923999999995</v>
      </c>
      <c r="H945" cm="1">
        <f t="array" aca="1" ref="H945" ca="1">[1]!s_west_eps($B$1,YEAR($A945)+1,$A945,180)</f>
        <v>-8.2299999999999998E-2</v>
      </c>
      <c r="I945" cm="1">
        <f t="array" aca="1" ref="I945" ca="1">[1]!s_west_instnum_np($B$1,YEAR($A945)+1,$A945,180)</f>
        <v>13</v>
      </c>
      <c r="J945" cm="1">
        <f t="array" aca="1" ref="J945" ca="1">[1]!s_west_stdnetprofit($B$1,YEAR($A945)+1,$A945,180,1000000)</f>
        <v>102.41351299999999</v>
      </c>
      <c r="K945" cm="1">
        <f t="array" aca="1" ref="K945" ca="1">[1]!s_west_mediannetprofit($B$1,YEAR($A944)+1,$A944,180,1000000)</f>
        <v>-27.29</v>
      </c>
      <c r="L945" cm="1">
        <f t="array" aca="1" ref="L945" ca="1">[1]!s_dq_close($B$1,$A945,3)</f>
        <v>31.4</v>
      </c>
    </row>
    <row r="946" spans="1:12">
      <c r="A946" s="23">
        <f t="shared" ca="1" si="14"/>
        <v>45229</v>
      </c>
      <c r="B946" cm="1">
        <f t="array" aca="1" ref="B946" ca="1">[1]!s_west_netprofit($B$1,YEAR($A946),$A946,180,1000000)</f>
        <v>16.491489999999999</v>
      </c>
      <c r="C946" cm="1">
        <f t="array" aca="1" ref="C946" ca="1">[1]!s_west_eps($B$1,YEAR($A946),$A946,180)</f>
        <v>1.89E-2</v>
      </c>
      <c r="D946" cm="1">
        <f t="array" aca="1" ref="D946" ca="1">[1]!s_west_instnum_np($B$1,YEAR($A946),$A946,180)</f>
        <v>13</v>
      </c>
      <c r="E946" cm="1">
        <f t="array" aca="1" ref="E946" ca="1">[1]!s_west_stdnetprofit($B$1,YEAR($A946),$A946,180,1000000)</f>
        <v>126.325587</v>
      </c>
      <c r="F946" cm="1">
        <f t="array" aca="1" ref="F946" ca="1">[1]!s_west_mediannetprofit($B$1,YEAR($A946),$A946,180,1000000)</f>
        <v>-14.35</v>
      </c>
      <c r="G946" cm="1">
        <f t="array" aca="1" ref="G946" ca="1">[1]!s_west_netprofit($B$1,YEAR($A946)+1,$A946,180,1000000)</f>
        <v>-71.687923999999995</v>
      </c>
      <c r="H946" cm="1">
        <f t="array" aca="1" ref="H946" ca="1">[1]!s_west_eps($B$1,YEAR($A946)+1,$A946,180)</f>
        <v>-8.2299999999999998E-2</v>
      </c>
      <c r="I946" cm="1">
        <f t="array" aca="1" ref="I946" ca="1">[1]!s_west_instnum_np($B$1,YEAR($A946)+1,$A946,180)</f>
        <v>13</v>
      </c>
      <c r="J946" cm="1">
        <f t="array" aca="1" ref="J946" ca="1">[1]!s_west_stdnetprofit($B$1,YEAR($A946)+1,$A946,180,1000000)</f>
        <v>102.41351299999999</v>
      </c>
      <c r="K946" cm="1">
        <f t="array" aca="1" ref="K946" ca="1">[1]!s_west_mediannetprofit($B$1,YEAR($A945)+1,$A945,180,1000000)</f>
        <v>-27.29</v>
      </c>
      <c r="L946" cm="1">
        <f t="array" aca="1" ref="L946" ca="1">[1]!s_dq_close($B$1,$A946,3)</f>
        <v>32.450000000000003</v>
      </c>
    </row>
    <row r="947" spans="1:12">
      <c r="A947" s="23">
        <f t="shared" ca="1" si="14"/>
        <v>45228</v>
      </c>
      <c r="B947" cm="1">
        <f t="array" aca="1" ref="B947" ca="1">[1]!s_west_netprofit($B$1,YEAR($A947),$A947,180,1000000)</f>
        <v>16.491489999999999</v>
      </c>
      <c r="C947" cm="1">
        <f t="array" aca="1" ref="C947" ca="1">[1]!s_west_eps($B$1,YEAR($A947),$A947,180)</f>
        <v>1.89E-2</v>
      </c>
      <c r="D947" cm="1">
        <f t="array" aca="1" ref="D947" ca="1">[1]!s_west_instnum_np($B$1,YEAR($A947),$A947,180)</f>
        <v>13</v>
      </c>
      <c r="E947" cm="1">
        <f t="array" aca="1" ref="E947" ca="1">[1]!s_west_stdnetprofit($B$1,YEAR($A947),$A947,180,1000000)</f>
        <v>126.325587</v>
      </c>
      <c r="F947" cm="1">
        <f t="array" aca="1" ref="F947" ca="1">[1]!s_west_mediannetprofit($B$1,YEAR($A947),$A947,180,1000000)</f>
        <v>-14.35</v>
      </c>
      <c r="G947" cm="1">
        <f t="array" aca="1" ref="G947" ca="1">[1]!s_west_netprofit($B$1,YEAR($A947)+1,$A947,180,1000000)</f>
        <v>-71.687923999999995</v>
      </c>
      <c r="H947" cm="1">
        <f t="array" aca="1" ref="H947" ca="1">[1]!s_west_eps($B$1,YEAR($A947)+1,$A947,180)</f>
        <v>-8.2299999999999998E-2</v>
      </c>
      <c r="I947" cm="1">
        <f t="array" aca="1" ref="I947" ca="1">[1]!s_west_instnum_np($B$1,YEAR($A947)+1,$A947,180)</f>
        <v>13</v>
      </c>
      <c r="J947" cm="1">
        <f t="array" aca="1" ref="J947" ca="1">[1]!s_west_stdnetprofit($B$1,YEAR($A947)+1,$A947,180,1000000)</f>
        <v>102.41351299999999</v>
      </c>
      <c r="K947" cm="1">
        <f t="array" aca="1" ref="K947" ca="1">[1]!s_west_mediannetprofit($B$1,YEAR($A946)+1,$A946,180,1000000)</f>
        <v>-27.29</v>
      </c>
      <c r="L947" cm="1">
        <f t="array" aca="1" ref="L947" ca="1">[1]!s_dq_close($B$1,$A947,3)</f>
        <v>29.45</v>
      </c>
    </row>
    <row r="948" spans="1:12">
      <c r="A948" s="23">
        <f t="shared" ca="1" si="14"/>
        <v>45227</v>
      </c>
      <c r="B948" cm="1">
        <f t="array" aca="1" ref="B948" ca="1">[1]!s_west_netprofit($B$1,YEAR($A948),$A948,180,1000000)</f>
        <v>16.491489999999999</v>
      </c>
      <c r="C948" cm="1">
        <f t="array" aca="1" ref="C948" ca="1">[1]!s_west_eps($B$1,YEAR($A948),$A948,180)</f>
        <v>1.89E-2</v>
      </c>
      <c r="D948" cm="1">
        <f t="array" aca="1" ref="D948" ca="1">[1]!s_west_instnum_np($B$1,YEAR($A948),$A948,180)</f>
        <v>13</v>
      </c>
      <c r="E948" cm="1">
        <f t="array" aca="1" ref="E948" ca="1">[1]!s_west_stdnetprofit($B$1,YEAR($A948),$A948,180,1000000)</f>
        <v>126.325587</v>
      </c>
      <c r="F948" cm="1">
        <f t="array" aca="1" ref="F948" ca="1">[1]!s_west_mediannetprofit($B$1,YEAR($A948),$A948,180,1000000)</f>
        <v>-14.35</v>
      </c>
      <c r="G948" cm="1">
        <f t="array" aca="1" ref="G948" ca="1">[1]!s_west_netprofit($B$1,YEAR($A948)+1,$A948,180,1000000)</f>
        <v>-71.687923999999995</v>
      </c>
      <c r="H948" cm="1">
        <f t="array" aca="1" ref="H948" ca="1">[1]!s_west_eps($B$1,YEAR($A948)+1,$A948,180)</f>
        <v>-8.2299999999999998E-2</v>
      </c>
      <c r="I948" cm="1">
        <f t="array" aca="1" ref="I948" ca="1">[1]!s_west_instnum_np($B$1,YEAR($A948)+1,$A948,180)</f>
        <v>13</v>
      </c>
      <c r="J948" cm="1">
        <f t="array" aca="1" ref="J948" ca="1">[1]!s_west_stdnetprofit($B$1,YEAR($A948)+1,$A948,180,1000000)</f>
        <v>102.41351299999999</v>
      </c>
      <c r="K948" cm="1">
        <f t="array" aca="1" ref="K948" ca="1">[1]!s_west_mediannetprofit($B$1,YEAR($A947)+1,$A947,180,1000000)</f>
        <v>-27.29</v>
      </c>
      <c r="L948" cm="1">
        <f t="array" aca="1" ref="L948" ca="1">[1]!s_dq_close($B$1,$A948,3)</f>
        <v>29.45</v>
      </c>
    </row>
    <row r="949" spans="1:12">
      <c r="A949" s="23">
        <f t="shared" ca="1" si="14"/>
        <v>45226</v>
      </c>
      <c r="B949" cm="1">
        <f t="array" aca="1" ref="B949" ca="1">[1]!s_west_netprofit($B$1,YEAR($A949),$A949,180,1000000)</f>
        <v>16.491489999999999</v>
      </c>
      <c r="C949" cm="1">
        <f t="array" aca="1" ref="C949" ca="1">[1]!s_west_eps($B$1,YEAR($A949),$A949,180)</f>
        <v>1.89E-2</v>
      </c>
      <c r="D949" cm="1">
        <f t="array" aca="1" ref="D949" ca="1">[1]!s_west_instnum_np($B$1,YEAR($A949),$A949,180)</f>
        <v>13</v>
      </c>
      <c r="E949" cm="1">
        <f t="array" aca="1" ref="E949" ca="1">[1]!s_west_stdnetprofit($B$1,YEAR($A949),$A949,180,1000000)</f>
        <v>126.325587</v>
      </c>
      <c r="F949" cm="1">
        <f t="array" aca="1" ref="F949" ca="1">[1]!s_west_mediannetprofit($B$1,YEAR($A949),$A949,180,1000000)</f>
        <v>-14.35</v>
      </c>
      <c r="G949" cm="1">
        <f t="array" aca="1" ref="G949" ca="1">[1]!s_west_netprofit($B$1,YEAR($A949)+1,$A949,180,1000000)</f>
        <v>-71.687923999999995</v>
      </c>
      <c r="H949" cm="1">
        <f t="array" aca="1" ref="H949" ca="1">[1]!s_west_eps($B$1,YEAR($A949)+1,$A949,180)</f>
        <v>-8.2299999999999998E-2</v>
      </c>
      <c r="I949" cm="1">
        <f t="array" aca="1" ref="I949" ca="1">[1]!s_west_instnum_np($B$1,YEAR($A949)+1,$A949,180)</f>
        <v>13</v>
      </c>
      <c r="J949" cm="1">
        <f t="array" aca="1" ref="J949" ca="1">[1]!s_west_stdnetprofit($B$1,YEAR($A949)+1,$A949,180,1000000)</f>
        <v>102.41351299999999</v>
      </c>
      <c r="K949" cm="1">
        <f t="array" aca="1" ref="K949" ca="1">[1]!s_west_mediannetprofit($B$1,YEAR($A948)+1,$A948,180,1000000)</f>
        <v>-27.29</v>
      </c>
      <c r="L949" cm="1">
        <f t="array" aca="1" ref="L949" ca="1">[1]!s_dq_close($B$1,$A949,3)</f>
        <v>29.45</v>
      </c>
    </row>
    <row r="950" spans="1:12">
      <c r="A950" s="23">
        <f t="shared" ca="1" si="14"/>
        <v>45225</v>
      </c>
      <c r="B950" cm="1">
        <f t="array" aca="1" ref="B950" ca="1">[1]!s_west_netprofit($B$1,YEAR($A950),$A950,180,1000000)</f>
        <v>16.491489999999999</v>
      </c>
      <c r="C950" cm="1">
        <f t="array" aca="1" ref="C950" ca="1">[1]!s_west_eps($B$1,YEAR($A950),$A950,180)</f>
        <v>1.89E-2</v>
      </c>
      <c r="D950" cm="1">
        <f t="array" aca="1" ref="D950" ca="1">[1]!s_west_instnum_np($B$1,YEAR($A950),$A950,180)</f>
        <v>13</v>
      </c>
      <c r="E950" cm="1">
        <f t="array" aca="1" ref="E950" ca="1">[1]!s_west_stdnetprofit($B$1,YEAR($A950),$A950,180,1000000)</f>
        <v>126.325587</v>
      </c>
      <c r="F950" cm="1">
        <f t="array" aca="1" ref="F950" ca="1">[1]!s_west_mediannetprofit($B$1,YEAR($A950),$A950,180,1000000)</f>
        <v>-14.35</v>
      </c>
      <c r="G950" cm="1">
        <f t="array" aca="1" ref="G950" ca="1">[1]!s_west_netprofit($B$1,YEAR($A950)+1,$A950,180,1000000)</f>
        <v>-71.687923999999995</v>
      </c>
      <c r="H950" cm="1">
        <f t="array" aca="1" ref="H950" ca="1">[1]!s_west_eps($B$1,YEAR($A950)+1,$A950,180)</f>
        <v>-8.2299999999999998E-2</v>
      </c>
      <c r="I950" cm="1">
        <f t="array" aca="1" ref="I950" ca="1">[1]!s_west_instnum_np($B$1,YEAR($A950)+1,$A950,180)</f>
        <v>13</v>
      </c>
      <c r="J950" cm="1">
        <f t="array" aca="1" ref="J950" ca="1">[1]!s_west_stdnetprofit($B$1,YEAR($A950)+1,$A950,180,1000000)</f>
        <v>102.41351299999999</v>
      </c>
      <c r="K950" cm="1">
        <f t="array" aca="1" ref="K950" ca="1">[1]!s_west_mediannetprofit($B$1,YEAR($A949)+1,$A949,180,1000000)</f>
        <v>-27.29</v>
      </c>
      <c r="L950" cm="1">
        <f t="array" aca="1" ref="L950" ca="1">[1]!s_dq_close($B$1,$A950,3)</f>
        <v>27.3</v>
      </c>
    </row>
    <row r="951" spans="1:12">
      <c r="A951" s="23">
        <f t="shared" ca="1" si="14"/>
        <v>45224</v>
      </c>
      <c r="B951" cm="1">
        <f t="array" aca="1" ref="B951" ca="1">[1]!s_west_netprofit($B$1,YEAR($A951),$A951,180,1000000)</f>
        <v>16.491489999999999</v>
      </c>
      <c r="C951" cm="1">
        <f t="array" aca="1" ref="C951" ca="1">[1]!s_west_eps($B$1,YEAR($A951),$A951,180)</f>
        <v>1.89E-2</v>
      </c>
      <c r="D951" cm="1">
        <f t="array" aca="1" ref="D951" ca="1">[1]!s_west_instnum_np($B$1,YEAR($A951),$A951,180)</f>
        <v>13</v>
      </c>
      <c r="E951" cm="1">
        <f t="array" aca="1" ref="E951" ca="1">[1]!s_west_stdnetprofit($B$1,YEAR($A951),$A951,180,1000000)</f>
        <v>126.325587</v>
      </c>
      <c r="F951" cm="1">
        <f t="array" aca="1" ref="F951" ca="1">[1]!s_west_mediannetprofit($B$1,YEAR($A951),$A951,180,1000000)</f>
        <v>-14.35</v>
      </c>
      <c r="G951" cm="1">
        <f t="array" aca="1" ref="G951" ca="1">[1]!s_west_netprofit($B$1,YEAR($A951)+1,$A951,180,1000000)</f>
        <v>-71.687923999999995</v>
      </c>
      <c r="H951" cm="1">
        <f t="array" aca="1" ref="H951" ca="1">[1]!s_west_eps($B$1,YEAR($A951)+1,$A951,180)</f>
        <v>-8.2299999999999998E-2</v>
      </c>
      <c r="I951" cm="1">
        <f t="array" aca="1" ref="I951" ca="1">[1]!s_west_instnum_np($B$1,YEAR($A951)+1,$A951,180)</f>
        <v>13</v>
      </c>
      <c r="J951" cm="1">
        <f t="array" aca="1" ref="J951" ca="1">[1]!s_west_stdnetprofit($B$1,YEAR($A951)+1,$A951,180,1000000)</f>
        <v>102.41351299999999</v>
      </c>
      <c r="K951" cm="1">
        <f t="array" aca="1" ref="K951" ca="1">[1]!s_west_mediannetprofit($B$1,YEAR($A950)+1,$A950,180,1000000)</f>
        <v>-27.29</v>
      </c>
      <c r="L951" cm="1">
        <f t="array" aca="1" ref="L951" ca="1">[1]!s_dq_close($B$1,$A951,3)</f>
        <v>27.7</v>
      </c>
    </row>
    <row r="952" spans="1:12">
      <c r="A952" s="23">
        <f t="shared" ca="1" si="14"/>
        <v>45223</v>
      </c>
      <c r="B952" cm="1">
        <f t="array" aca="1" ref="B952" ca="1">[1]!s_west_netprofit($B$1,YEAR($A952),$A952,180,1000000)</f>
        <v>19.683143999999999</v>
      </c>
      <c r="C952" cm="1">
        <f t="array" aca="1" ref="C952" ca="1">[1]!s_west_eps($B$1,YEAR($A952),$A952,180)</f>
        <v>2.2599999999999999E-2</v>
      </c>
      <c r="D952" cm="1">
        <f t="array" aca="1" ref="D952" ca="1">[1]!s_west_instnum_np($B$1,YEAR($A952),$A952,180)</f>
        <v>12</v>
      </c>
      <c r="E952" cm="1">
        <f t="array" aca="1" ref="E952" ca="1">[1]!s_west_stdnetprofit($B$1,YEAR($A952),$A952,180,1000000)</f>
        <v>130.895006</v>
      </c>
      <c r="F952" cm="1">
        <f t="array" aca="1" ref="F952" ca="1">[1]!s_west_mediannetprofit($B$1,YEAR($A952),$A952,180,1000000)</f>
        <v>-3.7</v>
      </c>
      <c r="G952" cm="1">
        <f t="array" aca="1" ref="G952" ca="1">[1]!s_west_netprofit($B$1,YEAR($A952)+1,$A952,180,1000000)</f>
        <v>-76.586995000000002</v>
      </c>
      <c r="H952" cm="1">
        <f t="array" aca="1" ref="H952" ca="1">[1]!s_west_eps($B$1,YEAR($A952)+1,$A952,180)</f>
        <v>-8.7900000000000006E-2</v>
      </c>
      <c r="I952" cm="1">
        <f t="array" aca="1" ref="I952" ca="1">[1]!s_west_instnum_np($B$1,YEAR($A952)+1,$A952,180)</f>
        <v>12</v>
      </c>
      <c r="J952" cm="1">
        <f t="array" aca="1" ref="J952" ca="1">[1]!s_west_stdnetprofit($B$1,YEAR($A952)+1,$A952,180,1000000)</f>
        <v>104.87401</v>
      </c>
      <c r="K952" cm="1">
        <f t="array" aca="1" ref="K952" ca="1">[1]!s_west_mediannetprofit($B$1,YEAR($A951)+1,$A951,180,1000000)</f>
        <v>-27.29</v>
      </c>
      <c r="L952" cm="1">
        <f t="array" aca="1" ref="L952" ca="1">[1]!s_dq_close($B$1,$A952,3)</f>
        <v>27.5</v>
      </c>
    </row>
    <row r="953" spans="1:12">
      <c r="A953" s="23">
        <f t="shared" ca="1" si="14"/>
        <v>45222</v>
      </c>
      <c r="B953" cm="1">
        <f t="array" aca="1" ref="B953" ca="1">[1]!s_west_netprofit($B$1,YEAR($A953),$A953,180,1000000)</f>
        <v>19.683143999999999</v>
      </c>
      <c r="C953" cm="1">
        <f t="array" aca="1" ref="C953" ca="1">[1]!s_west_eps($B$1,YEAR($A953),$A953,180)</f>
        <v>2.2599999999999999E-2</v>
      </c>
      <c r="D953" cm="1">
        <f t="array" aca="1" ref="D953" ca="1">[1]!s_west_instnum_np($B$1,YEAR($A953),$A953,180)</f>
        <v>12</v>
      </c>
      <c r="E953" cm="1">
        <f t="array" aca="1" ref="E953" ca="1">[1]!s_west_stdnetprofit($B$1,YEAR($A953),$A953,180,1000000)</f>
        <v>130.895006</v>
      </c>
      <c r="F953" cm="1">
        <f t="array" aca="1" ref="F953" ca="1">[1]!s_west_mediannetprofit($B$1,YEAR($A953),$A953,180,1000000)</f>
        <v>-3.7</v>
      </c>
      <c r="G953" cm="1">
        <f t="array" aca="1" ref="G953" ca="1">[1]!s_west_netprofit($B$1,YEAR($A953)+1,$A953,180,1000000)</f>
        <v>-76.586995000000002</v>
      </c>
      <c r="H953" cm="1">
        <f t="array" aca="1" ref="H953" ca="1">[1]!s_west_eps($B$1,YEAR($A953)+1,$A953,180)</f>
        <v>-8.7900000000000006E-2</v>
      </c>
      <c r="I953" cm="1">
        <f t="array" aca="1" ref="I953" ca="1">[1]!s_west_instnum_np($B$1,YEAR($A953)+1,$A953,180)</f>
        <v>12</v>
      </c>
      <c r="J953" cm="1">
        <f t="array" aca="1" ref="J953" ca="1">[1]!s_west_stdnetprofit($B$1,YEAR($A953)+1,$A953,180,1000000)</f>
        <v>104.87401</v>
      </c>
      <c r="K953" cm="1">
        <f t="array" aca="1" ref="K953" ca="1">[1]!s_west_mediannetprofit($B$1,YEAR($A952)+1,$A952,180,1000000)</f>
        <v>-30</v>
      </c>
      <c r="L953" cm="1">
        <f t="array" aca="1" ref="L953" ca="1">[1]!s_dq_close($B$1,$A953,3)</f>
        <v>27.05</v>
      </c>
    </row>
    <row r="954" spans="1:12">
      <c r="A954" s="23">
        <f t="shared" ca="1" si="14"/>
        <v>45221</v>
      </c>
      <c r="B954" cm="1">
        <f t="array" aca="1" ref="B954" ca="1">[1]!s_west_netprofit($B$1,YEAR($A954),$A954,180,1000000)</f>
        <v>19.683143999999999</v>
      </c>
      <c r="C954" cm="1">
        <f t="array" aca="1" ref="C954" ca="1">[1]!s_west_eps($B$1,YEAR($A954),$A954,180)</f>
        <v>2.2599999999999999E-2</v>
      </c>
      <c r="D954" cm="1">
        <f t="array" aca="1" ref="D954" ca="1">[1]!s_west_instnum_np($B$1,YEAR($A954),$A954,180)</f>
        <v>12</v>
      </c>
      <c r="E954" cm="1">
        <f t="array" aca="1" ref="E954" ca="1">[1]!s_west_stdnetprofit($B$1,YEAR($A954),$A954,180,1000000)</f>
        <v>130.895006</v>
      </c>
      <c r="F954" cm="1">
        <f t="array" aca="1" ref="F954" ca="1">[1]!s_west_mediannetprofit($B$1,YEAR($A954),$A954,180,1000000)</f>
        <v>-3.7</v>
      </c>
      <c r="G954" cm="1">
        <f t="array" aca="1" ref="G954" ca="1">[1]!s_west_netprofit($B$1,YEAR($A954)+1,$A954,180,1000000)</f>
        <v>-76.586995000000002</v>
      </c>
      <c r="H954" cm="1">
        <f t="array" aca="1" ref="H954" ca="1">[1]!s_west_eps($B$1,YEAR($A954)+1,$A954,180)</f>
        <v>-8.7900000000000006E-2</v>
      </c>
      <c r="I954" cm="1">
        <f t="array" aca="1" ref="I954" ca="1">[1]!s_west_instnum_np($B$1,YEAR($A954)+1,$A954,180)</f>
        <v>12</v>
      </c>
      <c r="J954" cm="1">
        <f t="array" aca="1" ref="J954" ca="1">[1]!s_west_stdnetprofit($B$1,YEAR($A954)+1,$A954,180,1000000)</f>
        <v>104.87401</v>
      </c>
      <c r="K954" cm="1">
        <f t="array" aca="1" ref="K954" ca="1">[1]!s_west_mediannetprofit($B$1,YEAR($A953)+1,$A953,180,1000000)</f>
        <v>-30</v>
      </c>
      <c r="L954" cm="1">
        <f t="array" aca="1" ref="L954" ca="1">[1]!s_dq_close($B$1,$A954,3)</f>
        <v>27.05</v>
      </c>
    </row>
    <row r="955" spans="1:12">
      <c r="A955" s="23">
        <f t="shared" ca="1" si="14"/>
        <v>45220</v>
      </c>
      <c r="B955" cm="1">
        <f t="array" aca="1" ref="B955" ca="1">[1]!s_west_netprofit($B$1,YEAR($A955),$A955,180,1000000)</f>
        <v>19.683143999999999</v>
      </c>
      <c r="C955" cm="1">
        <f t="array" aca="1" ref="C955" ca="1">[1]!s_west_eps($B$1,YEAR($A955),$A955,180)</f>
        <v>2.2599999999999999E-2</v>
      </c>
      <c r="D955" cm="1">
        <f t="array" aca="1" ref="D955" ca="1">[1]!s_west_instnum_np($B$1,YEAR($A955),$A955,180)</f>
        <v>12</v>
      </c>
      <c r="E955" cm="1">
        <f t="array" aca="1" ref="E955" ca="1">[1]!s_west_stdnetprofit($B$1,YEAR($A955),$A955,180,1000000)</f>
        <v>130.895006</v>
      </c>
      <c r="F955" cm="1">
        <f t="array" aca="1" ref="F955" ca="1">[1]!s_west_mediannetprofit($B$1,YEAR($A955),$A955,180,1000000)</f>
        <v>-3.7</v>
      </c>
      <c r="G955" cm="1">
        <f t="array" aca="1" ref="G955" ca="1">[1]!s_west_netprofit($B$1,YEAR($A955)+1,$A955,180,1000000)</f>
        <v>-76.586995000000002</v>
      </c>
      <c r="H955" cm="1">
        <f t="array" aca="1" ref="H955" ca="1">[1]!s_west_eps($B$1,YEAR($A955)+1,$A955,180)</f>
        <v>-8.7900000000000006E-2</v>
      </c>
      <c r="I955" cm="1">
        <f t="array" aca="1" ref="I955" ca="1">[1]!s_west_instnum_np($B$1,YEAR($A955)+1,$A955,180)</f>
        <v>12</v>
      </c>
      <c r="J955" cm="1">
        <f t="array" aca="1" ref="J955" ca="1">[1]!s_west_stdnetprofit($B$1,YEAR($A955)+1,$A955,180,1000000)</f>
        <v>104.87401</v>
      </c>
      <c r="K955" cm="1">
        <f t="array" aca="1" ref="K955" ca="1">[1]!s_west_mediannetprofit($B$1,YEAR($A954)+1,$A954,180,1000000)</f>
        <v>-30</v>
      </c>
      <c r="L955" cm="1">
        <f t="array" aca="1" ref="L955" ca="1">[1]!s_dq_close($B$1,$A955,3)</f>
        <v>27.05</v>
      </c>
    </row>
    <row r="956" spans="1:12">
      <c r="A956" s="23">
        <f t="shared" ca="1" si="14"/>
        <v>45219</v>
      </c>
      <c r="B956" cm="1">
        <f t="array" aca="1" ref="B956" ca="1">[1]!s_west_netprofit($B$1,YEAR($A956),$A956,180,1000000)</f>
        <v>19.683143999999999</v>
      </c>
      <c r="C956" cm="1">
        <f t="array" aca="1" ref="C956" ca="1">[1]!s_west_eps($B$1,YEAR($A956),$A956,180)</f>
        <v>2.2599999999999999E-2</v>
      </c>
      <c r="D956" cm="1">
        <f t="array" aca="1" ref="D956" ca="1">[1]!s_west_instnum_np($B$1,YEAR($A956),$A956,180)</f>
        <v>12</v>
      </c>
      <c r="E956" cm="1">
        <f t="array" aca="1" ref="E956" ca="1">[1]!s_west_stdnetprofit($B$1,YEAR($A956),$A956,180,1000000)</f>
        <v>130.895006</v>
      </c>
      <c r="F956" cm="1">
        <f t="array" aca="1" ref="F956" ca="1">[1]!s_west_mediannetprofit($B$1,YEAR($A956),$A956,180,1000000)</f>
        <v>-3.7</v>
      </c>
      <c r="G956" cm="1">
        <f t="array" aca="1" ref="G956" ca="1">[1]!s_west_netprofit($B$1,YEAR($A956)+1,$A956,180,1000000)</f>
        <v>-76.586995000000002</v>
      </c>
      <c r="H956" cm="1">
        <f t="array" aca="1" ref="H956" ca="1">[1]!s_west_eps($B$1,YEAR($A956)+1,$A956,180)</f>
        <v>-8.7900000000000006E-2</v>
      </c>
      <c r="I956" cm="1">
        <f t="array" aca="1" ref="I956" ca="1">[1]!s_west_instnum_np($B$1,YEAR($A956)+1,$A956,180)</f>
        <v>12</v>
      </c>
      <c r="J956" cm="1">
        <f t="array" aca="1" ref="J956" ca="1">[1]!s_west_stdnetprofit($B$1,YEAR($A956)+1,$A956,180,1000000)</f>
        <v>104.87401</v>
      </c>
      <c r="K956" cm="1">
        <f t="array" aca="1" ref="K956" ca="1">[1]!s_west_mediannetprofit($B$1,YEAR($A955)+1,$A955,180,1000000)</f>
        <v>-30</v>
      </c>
      <c r="L956" cm="1">
        <f t="array" aca="1" ref="L956" ca="1">[1]!s_dq_close($B$1,$A956,3)</f>
        <v>27.05</v>
      </c>
    </row>
    <row r="957" spans="1:12">
      <c r="A957" s="23">
        <f t="shared" ca="1" si="14"/>
        <v>45218</v>
      </c>
      <c r="B957" cm="1">
        <f t="array" aca="1" ref="B957" ca="1">[1]!s_west_netprofit($B$1,YEAR($A957),$A957,180,1000000)</f>
        <v>19.683143999999999</v>
      </c>
      <c r="C957" cm="1">
        <f t="array" aca="1" ref="C957" ca="1">[1]!s_west_eps($B$1,YEAR($A957),$A957,180)</f>
        <v>2.2599999999999999E-2</v>
      </c>
      <c r="D957" cm="1">
        <f t="array" aca="1" ref="D957" ca="1">[1]!s_west_instnum_np($B$1,YEAR($A957),$A957,180)</f>
        <v>12</v>
      </c>
      <c r="E957" cm="1">
        <f t="array" aca="1" ref="E957" ca="1">[1]!s_west_stdnetprofit($B$1,YEAR($A957),$A957,180,1000000)</f>
        <v>130.895006</v>
      </c>
      <c r="F957" cm="1">
        <f t="array" aca="1" ref="F957" ca="1">[1]!s_west_mediannetprofit($B$1,YEAR($A957),$A957,180,1000000)</f>
        <v>-3.7</v>
      </c>
      <c r="G957" cm="1">
        <f t="array" aca="1" ref="G957" ca="1">[1]!s_west_netprofit($B$1,YEAR($A957)+1,$A957,180,1000000)</f>
        <v>-76.586995000000002</v>
      </c>
      <c r="H957" cm="1">
        <f t="array" aca="1" ref="H957" ca="1">[1]!s_west_eps($B$1,YEAR($A957)+1,$A957,180)</f>
        <v>-8.7900000000000006E-2</v>
      </c>
      <c r="I957" cm="1">
        <f t="array" aca="1" ref="I957" ca="1">[1]!s_west_instnum_np($B$1,YEAR($A957)+1,$A957,180)</f>
        <v>12</v>
      </c>
      <c r="J957" cm="1">
        <f t="array" aca="1" ref="J957" ca="1">[1]!s_west_stdnetprofit($B$1,YEAR($A957)+1,$A957,180,1000000)</f>
        <v>104.87401</v>
      </c>
      <c r="K957" cm="1">
        <f t="array" aca="1" ref="K957" ca="1">[1]!s_west_mediannetprofit($B$1,YEAR($A956)+1,$A956,180,1000000)</f>
        <v>-30</v>
      </c>
      <c r="L957" cm="1">
        <f t="array" aca="1" ref="L957" ca="1">[1]!s_dq_close($B$1,$A957,3)</f>
        <v>26.8</v>
      </c>
    </row>
    <row r="958" spans="1:12">
      <c r="A958" s="23">
        <f t="shared" ca="1" si="14"/>
        <v>45217</v>
      </c>
      <c r="B958" cm="1">
        <f t="array" aca="1" ref="B958" ca="1">[1]!s_west_netprofit($B$1,YEAR($A958),$A958,180,1000000)</f>
        <v>19.683143999999999</v>
      </c>
      <c r="C958" cm="1">
        <f t="array" aca="1" ref="C958" ca="1">[1]!s_west_eps($B$1,YEAR($A958),$A958,180)</f>
        <v>2.2599999999999999E-2</v>
      </c>
      <c r="D958" cm="1">
        <f t="array" aca="1" ref="D958" ca="1">[1]!s_west_instnum_np($B$1,YEAR($A958),$A958,180)</f>
        <v>12</v>
      </c>
      <c r="E958" cm="1">
        <f t="array" aca="1" ref="E958" ca="1">[1]!s_west_stdnetprofit($B$1,YEAR($A958),$A958,180,1000000)</f>
        <v>130.895006</v>
      </c>
      <c r="F958" cm="1">
        <f t="array" aca="1" ref="F958" ca="1">[1]!s_west_mediannetprofit($B$1,YEAR($A958),$A958,180,1000000)</f>
        <v>-3.7</v>
      </c>
      <c r="G958" cm="1">
        <f t="array" aca="1" ref="G958" ca="1">[1]!s_west_netprofit($B$1,YEAR($A958)+1,$A958,180,1000000)</f>
        <v>-76.586995000000002</v>
      </c>
      <c r="H958" cm="1">
        <f t="array" aca="1" ref="H958" ca="1">[1]!s_west_eps($B$1,YEAR($A958)+1,$A958,180)</f>
        <v>-8.7900000000000006E-2</v>
      </c>
      <c r="I958" cm="1">
        <f t="array" aca="1" ref="I958" ca="1">[1]!s_west_instnum_np($B$1,YEAR($A958)+1,$A958,180)</f>
        <v>12</v>
      </c>
      <c r="J958" cm="1">
        <f t="array" aca="1" ref="J958" ca="1">[1]!s_west_stdnetprofit($B$1,YEAR($A958)+1,$A958,180,1000000)</f>
        <v>104.87401</v>
      </c>
      <c r="K958" cm="1">
        <f t="array" aca="1" ref="K958" ca="1">[1]!s_west_mediannetprofit($B$1,YEAR($A957)+1,$A957,180,1000000)</f>
        <v>-30</v>
      </c>
      <c r="L958" cm="1">
        <f t="array" aca="1" ref="L958" ca="1">[1]!s_dq_close($B$1,$A958,3)</f>
        <v>27.15</v>
      </c>
    </row>
    <row r="959" spans="1:12">
      <c r="A959" s="23">
        <f t="shared" ca="1" si="14"/>
        <v>45216</v>
      </c>
      <c r="B959" cm="1">
        <f t="array" aca="1" ref="B959" ca="1">[1]!s_west_netprofit($B$1,YEAR($A959),$A959,180,1000000)</f>
        <v>19.683143999999999</v>
      </c>
      <c r="C959" cm="1">
        <f t="array" aca="1" ref="C959" ca="1">[1]!s_west_eps($B$1,YEAR($A959),$A959,180)</f>
        <v>2.2599999999999999E-2</v>
      </c>
      <c r="D959" cm="1">
        <f t="array" aca="1" ref="D959" ca="1">[1]!s_west_instnum_np($B$1,YEAR($A959),$A959,180)</f>
        <v>12</v>
      </c>
      <c r="E959" cm="1">
        <f t="array" aca="1" ref="E959" ca="1">[1]!s_west_stdnetprofit($B$1,YEAR($A959),$A959,180,1000000)</f>
        <v>130.895006</v>
      </c>
      <c r="F959" cm="1">
        <f t="array" aca="1" ref="F959" ca="1">[1]!s_west_mediannetprofit($B$1,YEAR($A959),$A959,180,1000000)</f>
        <v>-3.7</v>
      </c>
      <c r="G959" cm="1">
        <f t="array" aca="1" ref="G959" ca="1">[1]!s_west_netprofit($B$1,YEAR($A959)+1,$A959,180,1000000)</f>
        <v>-76.586995000000002</v>
      </c>
      <c r="H959" cm="1">
        <f t="array" aca="1" ref="H959" ca="1">[1]!s_west_eps($B$1,YEAR($A959)+1,$A959,180)</f>
        <v>-8.7900000000000006E-2</v>
      </c>
      <c r="I959" cm="1">
        <f t="array" aca="1" ref="I959" ca="1">[1]!s_west_instnum_np($B$1,YEAR($A959)+1,$A959,180)</f>
        <v>12</v>
      </c>
      <c r="J959" cm="1">
        <f t="array" aca="1" ref="J959" ca="1">[1]!s_west_stdnetprofit($B$1,YEAR($A959)+1,$A959,180,1000000)</f>
        <v>104.87401</v>
      </c>
      <c r="K959" cm="1">
        <f t="array" aca="1" ref="K959" ca="1">[1]!s_west_mediannetprofit($B$1,YEAR($A958)+1,$A958,180,1000000)</f>
        <v>-30</v>
      </c>
      <c r="L959" cm="1">
        <f t="array" aca="1" ref="L959" ca="1">[1]!s_dq_close($B$1,$A959,3)</f>
        <v>29</v>
      </c>
    </row>
    <row r="960" spans="1:12">
      <c r="A960" s="23">
        <f t="shared" ca="1" si="14"/>
        <v>45215</v>
      </c>
      <c r="B960" cm="1">
        <f t="array" aca="1" ref="B960" ca="1">[1]!s_west_netprofit($B$1,YEAR($A960),$A960,180,1000000)</f>
        <v>19.683143999999999</v>
      </c>
      <c r="C960" cm="1">
        <f t="array" aca="1" ref="C960" ca="1">[1]!s_west_eps($B$1,YEAR($A960),$A960,180)</f>
        <v>2.2599999999999999E-2</v>
      </c>
      <c r="D960" cm="1">
        <f t="array" aca="1" ref="D960" ca="1">[1]!s_west_instnum_np($B$1,YEAR($A960),$A960,180)</f>
        <v>12</v>
      </c>
      <c r="E960" cm="1">
        <f t="array" aca="1" ref="E960" ca="1">[1]!s_west_stdnetprofit($B$1,YEAR($A960),$A960,180,1000000)</f>
        <v>130.895006</v>
      </c>
      <c r="F960" cm="1">
        <f t="array" aca="1" ref="F960" ca="1">[1]!s_west_mediannetprofit($B$1,YEAR($A960),$A960,180,1000000)</f>
        <v>-3.7</v>
      </c>
      <c r="G960" cm="1">
        <f t="array" aca="1" ref="G960" ca="1">[1]!s_west_netprofit($B$1,YEAR($A960)+1,$A960,180,1000000)</f>
        <v>-76.586995000000002</v>
      </c>
      <c r="H960" cm="1">
        <f t="array" aca="1" ref="H960" ca="1">[1]!s_west_eps($B$1,YEAR($A960)+1,$A960,180)</f>
        <v>-8.7900000000000006E-2</v>
      </c>
      <c r="I960" cm="1">
        <f t="array" aca="1" ref="I960" ca="1">[1]!s_west_instnum_np($B$1,YEAR($A960)+1,$A960,180)</f>
        <v>12</v>
      </c>
      <c r="J960" cm="1">
        <f t="array" aca="1" ref="J960" ca="1">[1]!s_west_stdnetprofit($B$1,YEAR($A960)+1,$A960,180,1000000)</f>
        <v>104.87401</v>
      </c>
      <c r="K960" cm="1">
        <f t="array" aca="1" ref="K960" ca="1">[1]!s_west_mediannetprofit($B$1,YEAR($A959)+1,$A959,180,1000000)</f>
        <v>-30</v>
      </c>
      <c r="L960" cm="1">
        <f t="array" aca="1" ref="L960" ca="1">[1]!s_dq_close($B$1,$A960,3)</f>
        <v>28.95</v>
      </c>
    </row>
    <row r="961" spans="1:12">
      <c r="A961" s="23">
        <f t="shared" ca="1" si="14"/>
        <v>45214</v>
      </c>
      <c r="B961" cm="1">
        <f t="array" aca="1" ref="B961" ca="1">[1]!s_west_netprofit($B$1,YEAR($A961),$A961,180,1000000)</f>
        <v>3.7772049999999999</v>
      </c>
      <c r="C961" cm="1">
        <f t="array" aca="1" ref="C961" ca="1">[1]!s_west_eps($B$1,YEAR($A961),$A961,180)</f>
        <v>4.3E-3</v>
      </c>
      <c r="D961" cm="1">
        <f t="array" aca="1" ref="D961" ca="1">[1]!s_west_instnum_np($B$1,YEAR($A961),$A961,180)</f>
        <v>13</v>
      </c>
      <c r="E961" cm="1">
        <f t="array" aca="1" ref="E961" ca="1">[1]!s_west_stdnetprofit($B$1,YEAR($A961),$A961,180,1000000)</f>
        <v>139.13132400000001</v>
      </c>
      <c r="F961" cm="1">
        <f t="array" aca="1" ref="F961" ca="1">[1]!s_west_mediannetprofit($B$1,YEAR($A961),$A961,180,1000000)</f>
        <v>-20.350000000000001</v>
      </c>
      <c r="G961" cm="1">
        <f t="array" aca="1" ref="G961" ca="1">[1]!s_west_netprofit($B$1,YEAR($A961)+1,$A961,180,1000000)</f>
        <v>-77.616495999999998</v>
      </c>
      <c r="H961" cm="1">
        <f t="array" aca="1" ref="H961" ca="1">[1]!s_west_eps($B$1,YEAR($A961)+1,$A961,180)</f>
        <v>-8.9099999999999999E-2</v>
      </c>
      <c r="I961" cm="1">
        <f t="array" aca="1" ref="I961" ca="1">[1]!s_west_instnum_np($B$1,YEAR($A961)+1,$A961,180)</f>
        <v>13</v>
      </c>
      <c r="J961" cm="1">
        <f t="array" aca="1" ref="J961" ca="1">[1]!s_west_stdnetprofit($B$1,YEAR($A961)+1,$A961,180,1000000)</f>
        <v>100.833294</v>
      </c>
      <c r="K961" cm="1">
        <f t="array" aca="1" ref="K961" ca="1">[1]!s_west_mediannetprofit($B$1,YEAR($A960)+1,$A960,180,1000000)</f>
        <v>-30</v>
      </c>
      <c r="L961" cm="1">
        <f t="array" aca="1" ref="L961" ca="1">[1]!s_dq_close($B$1,$A961,3)</f>
        <v>28.6</v>
      </c>
    </row>
    <row r="962" spans="1:12">
      <c r="A962" s="23">
        <f t="shared" ca="1" si="14"/>
        <v>45213</v>
      </c>
      <c r="B962" cm="1">
        <f t="array" aca="1" ref="B962" ca="1">[1]!s_west_netprofit($B$1,YEAR($A962),$A962,180,1000000)</f>
        <v>-2.6522410000000001</v>
      </c>
      <c r="C962" cm="1">
        <f t="array" aca="1" ref="C962" ca="1">[1]!s_west_eps($B$1,YEAR($A962),$A962,180)</f>
        <v>-3.0000000000000001E-3</v>
      </c>
      <c r="D962" cm="1">
        <f t="array" aca="1" ref="D962" ca="1">[1]!s_west_instnum_np($B$1,YEAR($A962),$A962,180)</f>
        <v>12</v>
      </c>
      <c r="E962" cm="1">
        <f t="array" aca="1" ref="E962" ca="1">[1]!s_west_stdnetprofit($B$1,YEAR($A962),$A962,180,1000000)</f>
        <v>142.63132999999999</v>
      </c>
      <c r="F962" cm="1">
        <f t="array" aca="1" ref="F962" ca="1">[1]!s_west_mediannetprofit($B$1,YEAR($A962),$A962,180,1000000)</f>
        <v>-37</v>
      </c>
      <c r="G962" cm="1">
        <f t="array" aca="1" ref="G962" ca="1">[1]!s_west_netprofit($B$1,YEAR($A962)+1,$A962,180,1000000)</f>
        <v>-83.036225999999999</v>
      </c>
      <c r="H962" cm="1">
        <f t="array" aca="1" ref="H962" ca="1">[1]!s_west_eps($B$1,YEAR($A962)+1,$A962,180)</f>
        <v>-9.5299999999999996E-2</v>
      </c>
      <c r="I962" cm="1">
        <f t="array" aca="1" ref="I962" ca="1">[1]!s_west_instnum_np($B$1,YEAR($A962)+1,$A962,180)</f>
        <v>12</v>
      </c>
      <c r="J962" cm="1">
        <f t="array" aca="1" ref="J962" ca="1">[1]!s_west_stdnetprofit($B$1,YEAR($A962)+1,$A962,180,1000000)</f>
        <v>102.806298</v>
      </c>
      <c r="K962" cm="1">
        <f t="array" aca="1" ref="K962" ca="1">[1]!s_west_mediannetprofit($B$1,YEAR($A961)+1,$A961,180,1000000)</f>
        <v>-41</v>
      </c>
      <c r="L962" cm="1">
        <f t="array" aca="1" ref="L962" ca="1">[1]!s_dq_close($B$1,$A962,3)</f>
        <v>28.6</v>
      </c>
    </row>
    <row r="963" spans="1:12">
      <c r="A963" s="23">
        <f t="shared" ca="1" si="14"/>
        <v>45212</v>
      </c>
      <c r="B963" cm="1">
        <f t="array" aca="1" ref="B963" ca="1">[1]!s_west_netprofit($B$1,YEAR($A963),$A963,180,1000000)</f>
        <v>-2.6522410000000001</v>
      </c>
      <c r="C963" cm="1">
        <f t="array" aca="1" ref="C963" ca="1">[1]!s_west_eps($B$1,YEAR($A963),$A963,180)</f>
        <v>-3.0000000000000001E-3</v>
      </c>
      <c r="D963" cm="1">
        <f t="array" aca="1" ref="D963" ca="1">[1]!s_west_instnum_np($B$1,YEAR($A963),$A963,180)</f>
        <v>12</v>
      </c>
      <c r="E963" cm="1">
        <f t="array" aca="1" ref="E963" ca="1">[1]!s_west_stdnetprofit($B$1,YEAR($A963),$A963,180,1000000)</f>
        <v>142.63132999999999</v>
      </c>
      <c r="F963" cm="1">
        <f t="array" aca="1" ref="F963" ca="1">[1]!s_west_mediannetprofit($B$1,YEAR($A963),$A963,180,1000000)</f>
        <v>-37</v>
      </c>
      <c r="G963" cm="1">
        <f t="array" aca="1" ref="G963" ca="1">[1]!s_west_netprofit($B$1,YEAR($A963)+1,$A963,180,1000000)</f>
        <v>-83.036225999999999</v>
      </c>
      <c r="H963" cm="1">
        <f t="array" aca="1" ref="H963" ca="1">[1]!s_west_eps($B$1,YEAR($A963)+1,$A963,180)</f>
        <v>-9.5299999999999996E-2</v>
      </c>
      <c r="I963" cm="1">
        <f t="array" aca="1" ref="I963" ca="1">[1]!s_west_instnum_np($B$1,YEAR($A963)+1,$A963,180)</f>
        <v>12</v>
      </c>
      <c r="J963" cm="1">
        <f t="array" aca="1" ref="J963" ca="1">[1]!s_west_stdnetprofit($B$1,YEAR($A963)+1,$A963,180,1000000)</f>
        <v>102.806298</v>
      </c>
      <c r="K963" cm="1">
        <f t="array" aca="1" ref="K963" ca="1">[1]!s_west_mediannetprofit($B$1,YEAR($A962)+1,$A962,180,1000000)</f>
        <v>-52</v>
      </c>
      <c r="L963" cm="1">
        <f t="array" aca="1" ref="L963" ca="1">[1]!s_dq_close($B$1,$A963,3)</f>
        <v>28.6</v>
      </c>
    </row>
    <row r="964" spans="1:12">
      <c r="A964" s="23">
        <f t="shared" ca="1" si="14"/>
        <v>45211</v>
      </c>
      <c r="B964" cm="1">
        <f t="array" aca="1" ref="B964" ca="1">[1]!s_west_netprofit($B$1,YEAR($A964),$A964,180,1000000)</f>
        <v>-2.6522410000000001</v>
      </c>
      <c r="C964" cm="1">
        <f t="array" aca="1" ref="C964" ca="1">[1]!s_west_eps($B$1,YEAR($A964),$A964,180)</f>
        <v>-3.0000000000000001E-3</v>
      </c>
      <c r="D964" cm="1">
        <f t="array" aca="1" ref="D964" ca="1">[1]!s_west_instnum_np($B$1,YEAR($A964),$A964,180)</f>
        <v>12</v>
      </c>
      <c r="E964" cm="1">
        <f t="array" aca="1" ref="E964" ca="1">[1]!s_west_stdnetprofit($B$1,YEAR($A964),$A964,180,1000000)</f>
        <v>142.63132999999999</v>
      </c>
      <c r="F964" cm="1">
        <f t="array" aca="1" ref="F964" ca="1">[1]!s_west_mediannetprofit($B$1,YEAR($A964),$A964,180,1000000)</f>
        <v>-37</v>
      </c>
      <c r="G964" cm="1">
        <f t="array" aca="1" ref="G964" ca="1">[1]!s_west_netprofit($B$1,YEAR($A964)+1,$A964,180,1000000)</f>
        <v>-83.036225999999999</v>
      </c>
      <c r="H964" cm="1">
        <f t="array" aca="1" ref="H964" ca="1">[1]!s_west_eps($B$1,YEAR($A964)+1,$A964,180)</f>
        <v>-9.5299999999999996E-2</v>
      </c>
      <c r="I964" cm="1">
        <f t="array" aca="1" ref="I964" ca="1">[1]!s_west_instnum_np($B$1,YEAR($A964)+1,$A964,180)</f>
        <v>12</v>
      </c>
      <c r="J964" cm="1">
        <f t="array" aca="1" ref="J964" ca="1">[1]!s_west_stdnetprofit($B$1,YEAR($A964)+1,$A964,180,1000000)</f>
        <v>102.806298</v>
      </c>
      <c r="K964" cm="1">
        <f t="array" aca="1" ref="K964" ca="1">[1]!s_west_mediannetprofit($B$1,YEAR($A963)+1,$A963,180,1000000)</f>
        <v>-52</v>
      </c>
      <c r="L964" cm="1">
        <f t="array" aca="1" ref="L964" ca="1">[1]!s_dq_close($B$1,$A964,3)</f>
        <v>28.25</v>
      </c>
    </row>
    <row r="965" spans="1:12">
      <c r="A965" s="23">
        <f t="shared" ca="1" si="14"/>
        <v>45210</v>
      </c>
      <c r="B965" cm="1">
        <f t="array" aca="1" ref="B965" ca="1">[1]!s_west_netprofit($B$1,YEAR($A965),$A965,180,1000000)</f>
        <v>-2.6522410000000001</v>
      </c>
      <c r="C965" cm="1">
        <f t="array" aca="1" ref="C965" ca="1">[1]!s_west_eps($B$1,YEAR($A965),$A965,180)</f>
        <v>-3.0000000000000001E-3</v>
      </c>
      <c r="D965" cm="1">
        <f t="array" aca="1" ref="D965" ca="1">[1]!s_west_instnum_np($B$1,YEAR($A965),$A965,180)</f>
        <v>12</v>
      </c>
      <c r="E965" cm="1">
        <f t="array" aca="1" ref="E965" ca="1">[1]!s_west_stdnetprofit($B$1,YEAR($A965),$A965,180,1000000)</f>
        <v>142.63132999999999</v>
      </c>
      <c r="F965" cm="1">
        <f t="array" aca="1" ref="F965" ca="1">[1]!s_west_mediannetprofit($B$1,YEAR($A965),$A965,180,1000000)</f>
        <v>-37</v>
      </c>
      <c r="G965" cm="1">
        <f t="array" aca="1" ref="G965" ca="1">[1]!s_west_netprofit($B$1,YEAR($A965)+1,$A965,180,1000000)</f>
        <v>-83.036225999999999</v>
      </c>
      <c r="H965" cm="1">
        <f t="array" aca="1" ref="H965" ca="1">[1]!s_west_eps($B$1,YEAR($A965)+1,$A965,180)</f>
        <v>-9.5299999999999996E-2</v>
      </c>
      <c r="I965" cm="1">
        <f t="array" aca="1" ref="I965" ca="1">[1]!s_west_instnum_np($B$1,YEAR($A965)+1,$A965,180)</f>
        <v>12</v>
      </c>
      <c r="J965" cm="1">
        <f t="array" aca="1" ref="J965" ca="1">[1]!s_west_stdnetprofit($B$1,YEAR($A965)+1,$A965,180,1000000)</f>
        <v>102.806298</v>
      </c>
      <c r="K965" cm="1">
        <f t="array" aca="1" ref="K965" ca="1">[1]!s_west_mediannetprofit($B$1,YEAR($A964)+1,$A964,180,1000000)</f>
        <v>-52</v>
      </c>
      <c r="L965" cm="1">
        <f t="array" aca="1" ref="L965" ca="1">[1]!s_dq_close($B$1,$A965,3)</f>
        <v>26.6</v>
      </c>
    </row>
    <row r="966" spans="1:12">
      <c r="A966" s="23">
        <f t="shared" ca="1" si="14"/>
        <v>45209</v>
      </c>
      <c r="B966" cm="1">
        <f t="array" aca="1" ref="B966" ca="1">[1]!s_west_netprofit($B$1,YEAR($A966),$A966,180,1000000)</f>
        <v>-2.6522410000000001</v>
      </c>
      <c r="C966" cm="1">
        <f t="array" aca="1" ref="C966" ca="1">[1]!s_west_eps($B$1,YEAR($A966),$A966,180)</f>
        <v>-3.0000000000000001E-3</v>
      </c>
      <c r="D966" cm="1">
        <f t="array" aca="1" ref="D966" ca="1">[1]!s_west_instnum_np($B$1,YEAR($A966),$A966,180)</f>
        <v>12</v>
      </c>
      <c r="E966" cm="1">
        <f t="array" aca="1" ref="E966" ca="1">[1]!s_west_stdnetprofit($B$1,YEAR($A966),$A966,180,1000000)</f>
        <v>142.63132999999999</v>
      </c>
      <c r="F966" cm="1">
        <f t="array" aca="1" ref="F966" ca="1">[1]!s_west_mediannetprofit($B$1,YEAR($A966),$A966,180,1000000)</f>
        <v>-37</v>
      </c>
      <c r="G966" cm="1">
        <f t="array" aca="1" ref="G966" ca="1">[1]!s_west_netprofit($B$1,YEAR($A966)+1,$A966,180,1000000)</f>
        <v>-83.036225999999999</v>
      </c>
      <c r="H966" cm="1">
        <f t="array" aca="1" ref="H966" ca="1">[1]!s_west_eps($B$1,YEAR($A966)+1,$A966,180)</f>
        <v>-9.5299999999999996E-2</v>
      </c>
      <c r="I966" cm="1">
        <f t="array" aca="1" ref="I966" ca="1">[1]!s_west_instnum_np($B$1,YEAR($A966)+1,$A966,180)</f>
        <v>12</v>
      </c>
      <c r="J966" cm="1">
        <f t="array" aca="1" ref="J966" ca="1">[1]!s_west_stdnetprofit($B$1,YEAR($A966)+1,$A966,180,1000000)</f>
        <v>102.806298</v>
      </c>
      <c r="K966" cm="1">
        <f t="array" aca="1" ref="K966" ca="1">[1]!s_west_mediannetprofit($B$1,YEAR($A965)+1,$A965,180,1000000)</f>
        <v>-52</v>
      </c>
      <c r="L966" cm="1">
        <f t="array" aca="1" ref="L966" ca="1">[1]!s_dq_close($B$1,$A966,3)</f>
        <v>25.45</v>
      </c>
    </row>
    <row r="967" spans="1:12">
      <c r="A967" s="23">
        <f t="shared" ca="1" si="14"/>
        <v>45208</v>
      </c>
      <c r="B967" cm="1">
        <f t="array" aca="1" ref="B967" ca="1">[1]!s_west_netprofit($B$1,YEAR($A967),$A967,180,1000000)</f>
        <v>-2.6522410000000001</v>
      </c>
      <c r="C967" cm="1">
        <f t="array" aca="1" ref="C967" ca="1">[1]!s_west_eps($B$1,YEAR($A967),$A967,180)</f>
        <v>-3.0000000000000001E-3</v>
      </c>
      <c r="D967" cm="1">
        <f t="array" aca="1" ref="D967" ca="1">[1]!s_west_instnum_np($B$1,YEAR($A967),$A967,180)</f>
        <v>12</v>
      </c>
      <c r="E967" cm="1">
        <f t="array" aca="1" ref="E967" ca="1">[1]!s_west_stdnetprofit($B$1,YEAR($A967),$A967,180,1000000)</f>
        <v>142.63132999999999</v>
      </c>
      <c r="F967" cm="1">
        <f t="array" aca="1" ref="F967" ca="1">[1]!s_west_mediannetprofit($B$1,YEAR($A967),$A967,180,1000000)</f>
        <v>-37</v>
      </c>
      <c r="G967" cm="1">
        <f t="array" aca="1" ref="G967" ca="1">[1]!s_west_netprofit($B$1,YEAR($A967)+1,$A967,180,1000000)</f>
        <v>-83.036225999999999</v>
      </c>
      <c r="H967" cm="1">
        <f t="array" aca="1" ref="H967" ca="1">[1]!s_west_eps($B$1,YEAR($A967)+1,$A967,180)</f>
        <v>-9.5299999999999996E-2</v>
      </c>
      <c r="I967" cm="1">
        <f t="array" aca="1" ref="I967" ca="1">[1]!s_west_instnum_np($B$1,YEAR($A967)+1,$A967,180)</f>
        <v>12</v>
      </c>
      <c r="J967" cm="1">
        <f t="array" aca="1" ref="J967" ca="1">[1]!s_west_stdnetprofit($B$1,YEAR($A967)+1,$A967,180,1000000)</f>
        <v>102.806298</v>
      </c>
      <c r="K967" cm="1">
        <f t="array" aca="1" ref="K967" ca="1">[1]!s_west_mediannetprofit($B$1,YEAR($A966)+1,$A966,180,1000000)</f>
        <v>-52</v>
      </c>
      <c r="L967" cm="1">
        <f t="array" aca="1" ref="L967" ca="1">[1]!s_dq_close($B$1,$A967,3)</f>
        <v>26.45</v>
      </c>
    </row>
    <row r="968" spans="1:12">
      <c r="A968" s="23">
        <f t="shared" ca="1" si="14"/>
        <v>45207</v>
      </c>
      <c r="B968" cm="1">
        <f t="array" aca="1" ref="B968" ca="1">[1]!s_west_netprofit($B$1,YEAR($A968),$A968,180,1000000)</f>
        <v>-2.6522410000000001</v>
      </c>
      <c r="C968" cm="1">
        <f t="array" aca="1" ref="C968" ca="1">[1]!s_west_eps($B$1,YEAR($A968),$A968,180)</f>
        <v>-3.0000000000000001E-3</v>
      </c>
      <c r="D968" cm="1">
        <f t="array" aca="1" ref="D968" ca="1">[1]!s_west_instnum_np($B$1,YEAR($A968),$A968,180)</f>
        <v>12</v>
      </c>
      <c r="E968" cm="1">
        <f t="array" aca="1" ref="E968" ca="1">[1]!s_west_stdnetprofit($B$1,YEAR($A968),$A968,180,1000000)</f>
        <v>142.63132999999999</v>
      </c>
      <c r="F968" cm="1">
        <f t="array" aca="1" ref="F968" ca="1">[1]!s_west_mediannetprofit($B$1,YEAR($A968),$A968,180,1000000)</f>
        <v>-37</v>
      </c>
      <c r="G968" cm="1">
        <f t="array" aca="1" ref="G968" ca="1">[1]!s_west_netprofit($B$1,YEAR($A968)+1,$A968,180,1000000)</f>
        <v>-83.036225999999999</v>
      </c>
      <c r="H968" cm="1">
        <f t="array" aca="1" ref="H968" ca="1">[1]!s_west_eps($B$1,YEAR($A968)+1,$A968,180)</f>
        <v>-9.5299999999999996E-2</v>
      </c>
      <c r="I968" cm="1">
        <f t="array" aca="1" ref="I968" ca="1">[1]!s_west_instnum_np($B$1,YEAR($A968)+1,$A968,180)</f>
        <v>12</v>
      </c>
      <c r="J968" cm="1">
        <f t="array" aca="1" ref="J968" ca="1">[1]!s_west_stdnetprofit($B$1,YEAR($A968)+1,$A968,180,1000000)</f>
        <v>102.806298</v>
      </c>
      <c r="K968" cm="1">
        <f t="array" aca="1" ref="K968" ca="1">[1]!s_west_mediannetprofit($B$1,YEAR($A967)+1,$A967,180,1000000)</f>
        <v>-52</v>
      </c>
      <c r="L968" cm="1">
        <f t="array" aca="1" ref="L968" ca="1">[1]!s_dq_close($B$1,$A968,3)</f>
        <v>25.7</v>
      </c>
    </row>
    <row r="969" spans="1:12">
      <c r="A969" s="23">
        <f t="shared" ca="1" si="14"/>
        <v>45206</v>
      </c>
      <c r="B969" cm="1">
        <f t="array" aca="1" ref="B969" ca="1">[1]!s_west_netprofit($B$1,YEAR($A969),$A969,180,1000000)</f>
        <v>-2.6522410000000001</v>
      </c>
      <c r="C969" cm="1">
        <f t="array" aca="1" ref="C969" ca="1">[1]!s_west_eps($B$1,YEAR($A969),$A969,180)</f>
        <v>-3.0000000000000001E-3</v>
      </c>
      <c r="D969" cm="1">
        <f t="array" aca="1" ref="D969" ca="1">[1]!s_west_instnum_np($B$1,YEAR($A969),$A969,180)</f>
        <v>12</v>
      </c>
      <c r="E969" cm="1">
        <f t="array" aca="1" ref="E969" ca="1">[1]!s_west_stdnetprofit($B$1,YEAR($A969),$A969,180,1000000)</f>
        <v>142.63132999999999</v>
      </c>
      <c r="F969" cm="1">
        <f t="array" aca="1" ref="F969" ca="1">[1]!s_west_mediannetprofit($B$1,YEAR($A969),$A969,180,1000000)</f>
        <v>-37</v>
      </c>
      <c r="G969" cm="1">
        <f t="array" aca="1" ref="G969" ca="1">[1]!s_west_netprofit($B$1,YEAR($A969)+1,$A969,180,1000000)</f>
        <v>-83.036225999999999</v>
      </c>
      <c r="H969" cm="1">
        <f t="array" aca="1" ref="H969" ca="1">[1]!s_west_eps($B$1,YEAR($A969)+1,$A969,180)</f>
        <v>-9.5299999999999996E-2</v>
      </c>
      <c r="I969" cm="1">
        <f t="array" aca="1" ref="I969" ca="1">[1]!s_west_instnum_np($B$1,YEAR($A969)+1,$A969,180)</f>
        <v>12</v>
      </c>
      <c r="J969" cm="1">
        <f t="array" aca="1" ref="J969" ca="1">[1]!s_west_stdnetprofit($B$1,YEAR($A969)+1,$A969,180,1000000)</f>
        <v>102.806298</v>
      </c>
      <c r="K969" cm="1">
        <f t="array" aca="1" ref="K969" ca="1">[1]!s_west_mediannetprofit($B$1,YEAR($A968)+1,$A968,180,1000000)</f>
        <v>-52</v>
      </c>
      <c r="L969" cm="1">
        <f t="array" aca="1" ref="L969" ca="1">[1]!s_dq_close($B$1,$A969,3)</f>
        <v>25.7</v>
      </c>
    </row>
    <row r="970" spans="1:12">
      <c r="A970" s="23">
        <f t="shared" ca="1" si="14"/>
        <v>45205</v>
      </c>
      <c r="B970" cm="1">
        <f t="array" aca="1" ref="B970" ca="1">[1]!s_west_netprofit($B$1,YEAR($A970),$A970,180,1000000)</f>
        <v>-2.6522410000000001</v>
      </c>
      <c r="C970" cm="1">
        <f t="array" aca="1" ref="C970" ca="1">[1]!s_west_eps($B$1,YEAR($A970),$A970,180)</f>
        <v>-3.0000000000000001E-3</v>
      </c>
      <c r="D970" cm="1">
        <f t="array" aca="1" ref="D970" ca="1">[1]!s_west_instnum_np($B$1,YEAR($A970),$A970,180)</f>
        <v>12</v>
      </c>
      <c r="E970" cm="1">
        <f t="array" aca="1" ref="E970" ca="1">[1]!s_west_stdnetprofit($B$1,YEAR($A970),$A970,180,1000000)</f>
        <v>142.63132999999999</v>
      </c>
      <c r="F970" cm="1">
        <f t="array" aca="1" ref="F970" ca="1">[1]!s_west_mediannetprofit($B$1,YEAR($A970),$A970,180,1000000)</f>
        <v>-37</v>
      </c>
      <c r="G970" cm="1">
        <f t="array" aca="1" ref="G970" ca="1">[1]!s_west_netprofit($B$1,YEAR($A970)+1,$A970,180,1000000)</f>
        <v>-83.036225999999999</v>
      </c>
      <c r="H970" cm="1">
        <f t="array" aca="1" ref="H970" ca="1">[1]!s_west_eps($B$1,YEAR($A970)+1,$A970,180)</f>
        <v>-9.5299999999999996E-2</v>
      </c>
      <c r="I970" cm="1">
        <f t="array" aca="1" ref="I970" ca="1">[1]!s_west_instnum_np($B$1,YEAR($A970)+1,$A970,180)</f>
        <v>12</v>
      </c>
      <c r="J970" cm="1">
        <f t="array" aca="1" ref="J970" ca="1">[1]!s_west_stdnetprofit($B$1,YEAR($A970)+1,$A970,180,1000000)</f>
        <v>102.806298</v>
      </c>
      <c r="K970" cm="1">
        <f t="array" aca="1" ref="K970" ca="1">[1]!s_west_mediannetprofit($B$1,YEAR($A969)+1,$A969,180,1000000)</f>
        <v>-52</v>
      </c>
      <c r="L970" cm="1">
        <f t="array" aca="1" ref="L970" ca="1">[1]!s_dq_close($B$1,$A970,3)</f>
        <v>25.7</v>
      </c>
    </row>
    <row r="971" spans="1:12">
      <c r="A971" s="23">
        <f t="shared" ca="1" si="14"/>
        <v>45204</v>
      </c>
      <c r="B971" cm="1">
        <f t="array" aca="1" ref="B971" ca="1">[1]!s_west_netprofit($B$1,YEAR($A971),$A971,180,1000000)</f>
        <v>-2.6522410000000001</v>
      </c>
      <c r="C971" cm="1">
        <f t="array" aca="1" ref="C971" ca="1">[1]!s_west_eps($B$1,YEAR($A971),$A971,180)</f>
        <v>-3.0000000000000001E-3</v>
      </c>
      <c r="D971" cm="1">
        <f t="array" aca="1" ref="D971" ca="1">[1]!s_west_instnum_np($B$1,YEAR($A971),$A971,180)</f>
        <v>12</v>
      </c>
      <c r="E971" cm="1">
        <f t="array" aca="1" ref="E971" ca="1">[1]!s_west_stdnetprofit($B$1,YEAR($A971),$A971,180,1000000)</f>
        <v>142.63132999999999</v>
      </c>
      <c r="F971" cm="1">
        <f t="array" aca="1" ref="F971" ca="1">[1]!s_west_mediannetprofit($B$1,YEAR($A971),$A971,180,1000000)</f>
        <v>-37</v>
      </c>
      <c r="G971" cm="1">
        <f t="array" aca="1" ref="G971" ca="1">[1]!s_west_netprofit($B$1,YEAR($A971)+1,$A971,180,1000000)</f>
        <v>-83.036225999999999</v>
      </c>
      <c r="H971" cm="1">
        <f t="array" aca="1" ref="H971" ca="1">[1]!s_west_eps($B$1,YEAR($A971)+1,$A971,180)</f>
        <v>-9.5299999999999996E-2</v>
      </c>
      <c r="I971" cm="1">
        <f t="array" aca="1" ref="I971" ca="1">[1]!s_west_instnum_np($B$1,YEAR($A971)+1,$A971,180)</f>
        <v>12</v>
      </c>
      <c r="J971" cm="1">
        <f t="array" aca="1" ref="J971" ca="1">[1]!s_west_stdnetprofit($B$1,YEAR($A971)+1,$A971,180,1000000)</f>
        <v>102.806298</v>
      </c>
      <c r="K971" cm="1">
        <f t="array" aca="1" ref="K971" ca="1">[1]!s_west_mediannetprofit($B$1,YEAR($A970)+1,$A970,180,1000000)</f>
        <v>-52</v>
      </c>
      <c r="L971" cm="1">
        <f t="array" aca="1" ref="L971" ca="1">[1]!s_dq_close($B$1,$A971,3)</f>
        <v>25.65</v>
      </c>
    </row>
    <row r="972" spans="1:12">
      <c r="A972" s="23">
        <f t="shared" ca="1" si="14"/>
        <v>45203</v>
      </c>
      <c r="B972" cm="1">
        <f t="array" aca="1" ref="B972" ca="1">[1]!s_west_netprofit($B$1,YEAR($A972),$A972,180,1000000)</f>
        <v>-2.6522410000000001</v>
      </c>
      <c r="C972" cm="1">
        <f t="array" aca="1" ref="C972" ca="1">[1]!s_west_eps($B$1,YEAR($A972),$A972,180)</f>
        <v>-3.0000000000000001E-3</v>
      </c>
      <c r="D972" cm="1">
        <f t="array" aca="1" ref="D972" ca="1">[1]!s_west_instnum_np($B$1,YEAR($A972),$A972,180)</f>
        <v>12</v>
      </c>
      <c r="E972" cm="1">
        <f t="array" aca="1" ref="E972" ca="1">[1]!s_west_stdnetprofit($B$1,YEAR($A972),$A972,180,1000000)</f>
        <v>142.63132999999999</v>
      </c>
      <c r="F972" cm="1">
        <f t="array" aca="1" ref="F972" ca="1">[1]!s_west_mediannetprofit($B$1,YEAR($A972),$A972,180,1000000)</f>
        <v>-37</v>
      </c>
      <c r="G972" cm="1">
        <f t="array" aca="1" ref="G972" ca="1">[1]!s_west_netprofit($B$1,YEAR($A972)+1,$A972,180,1000000)</f>
        <v>-83.036225999999999</v>
      </c>
      <c r="H972" cm="1">
        <f t="array" aca="1" ref="H972" ca="1">[1]!s_west_eps($B$1,YEAR($A972)+1,$A972,180)</f>
        <v>-9.5299999999999996E-2</v>
      </c>
      <c r="I972" cm="1">
        <f t="array" aca="1" ref="I972" ca="1">[1]!s_west_instnum_np($B$1,YEAR($A972)+1,$A972,180)</f>
        <v>12</v>
      </c>
      <c r="J972" cm="1">
        <f t="array" aca="1" ref="J972" ca="1">[1]!s_west_stdnetprofit($B$1,YEAR($A972)+1,$A972,180,1000000)</f>
        <v>102.806298</v>
      </c>
      <c r="K972" cm="1">
        <f t="array" aca="1" ref="K972" ca="1">[1]!s_west_mediannetprofit($B$1,YEAR($A971)+1,$A971,180,1000000)</f>
        <v>-52</v>
      </c>
      <c r="L972" cm="1">
        <f t="array" aca="1" ref="L972" ca="1">[1]!s_dq_close($B$1,$A972,3)</f>
        <v>25.7</v>
      </c>
    </row>
    <row r="973" spans="1:12">
      <c r="A973" s="23">
        <f t="shared" ref="A973:A1036" ca="1" si="15">A972-1</f>
        <v>45202</v>
      </c>
      <c r="B973" cm="1">
        <f t="array" aca="1" ref="B973" ca="1">[1]!s_west_netprofit($B$1,YEAR($A973),$A973,180,1000000)</f>
        <v>-2.6522410000000001</v>
      </c>
      <c r="C973" cm="1">
        <f t="array" aca="1" ref="C973" ca="1">[1]!s_west_eps($B$1,YEAR($A973),$A973,180)</f>
        <v>-3.0000000000000001E-3</v>
      </c>
      <c r="D973" cm="1">
        <f t="array" aca="1" ref="D973" ca="1">[1]!s_west_instnum_np($B$1,YEAR($A973),$A973,180)</f>
        <v>12</v>
      </c>
      <c r="E973" cm="1">
        <f t="array" aca="1" ref="E973" ca="1">[1]!s_west_stdnetprofit($B$1,YEAR($A973),$A973,180,1000000)</f>
        <v>142.63132999999999</v>
      </c>
      <c r="F973" cm="1">
        <f t="array" aca="1" ref="F973" ca="1">[1]!s_west_mediannetprofit($B$1,YEAR($A973),$A973,180,1000000)</f>
        <v>-37</v>
      </c>
      <c r="G973" cm="1">
        <f t="array" aca="1" ref="G973" ca="1">[1]!s_west_netprofit($B$1,YEAR($A973)+1,$A973,180,1000000)</f>
        <v>-83.036225999999999</v>
      </c>
      <c r="H973" cm="1">
        <f t="array" aca="1" ref="H973" ca="1">[1]!s_west_eps($B$1,YEAR($A973)+1,$A973,180)</f>
        <v>-9.5299999999999996E-2</v>
      </c>
      <c r="I973" cm="1">
        <f t="array" aca="1" ref="I973" ca="1">[1]!s_west_instnum_np($B$1,YEAR($A973)+1,$A973,180)</f>
        <v>12</v>
      </c>
      <c r="J973" cm="1">
        <f t="array" aca="1" ref="J973" ca="1">[1]!s_west_stdnetprofit($B$1,YEAR($A973)+1,$A973,180,1000000)</f>
        <v>102.806298</v>
      </c>
      <c r="K973" cm="1">
        <f t="array" aca="1" ref="K973" ca="1">[1]!s_west_mediannetprofit($B$1,YEAR($A972)+1,$A972,180,1000000)</f>
        <v>-52</v>
      </c>
      <c r="L973" cm="1">
        <f t="array" aca="1" ref="L973" ca="1">[1]!s_dq_close($B$1,$A973,3)</f>
        <v>26.25</v>
      </c>
    </row>
    <row r="974" spans="1:12">
      <c r="A974" s="23">
        <f t="shared" ca="1" si="15"/>
        <v>45201</v>
      </c>
      <c r="B974" cm="1">
        <f t="array" aca="1" ref="B974" ca="1">[1]!s_west_netprofit($B$1,YEAR($A974),$A974,180,1000000)</f>
        <v>-2.6522410000000001</v>
      </c>
      <c r="C974" cm="1">
        <f t="array" aca="1" ref="C974" ca="1">[1]!s_west_eps($B$1,YEAR($A974),$A974,180)</f>
        <v>-3.0000000000000001E-3</v>
      </c>
      <c r="D974" cm="1">
        <f t="array" aca="1" ref="D974" ca="1">[1]!s_west_instnum_np($B$1,YEAR($A974),$A974,180)</f>
        <v>12</v>
      </c>
      <c r="E974" cm="1">
        <f t="array" aca="1" ref="E974" ca="1">[1]!s_west_stdnetprofit($B$1,YEAR($A974),$A974,180,1000000)</f>
        <v>142.63132999999999</v>
      </c>
      <c r="F974" cm="1">
        <f t="array" aca="1" ref="F974" ca="1">[1]!s_west_mediannetprofit($B$1,YEAR($A974),$A974,180,1000000)</f>
        <v>-37</v>
      </c>
      <c r="G974" cm="1">
        <f t="array" aca="1" ref="G974" ca="1">[1]!s_west_netprofit($B$1,YEAR($A974)+1,$A974,180,1000000)</f>
        <v>-83.036225999999999</v>
      </c>
      <c r="H974" cm="1">
        <f t="array" aca="1" ref="H974" ca="1">[1]!s_west_eps($B$1,YEAR($A974)+1,$A974,180)</f>
        <v>-9.5299999999999996E-2</v>
      </c>
      <c r="I974" cm="1">
        <f t="array" aca="1" ref="I974" ca="1">[1]!s_west_instnum_np($B$1,YEAR($A974)+1,$A974,180)</f>
        <v>12</v>
      </c>
      <c r="J974" cm="1">
        <f t="array" aca="1" ref="J974" ca="1">[1]!s_west_stdnetprofit($B$1,YEAR($A974)+1,$A974,180,1000000)</f>
        <v>102.806298</v>
      </c>
      <c r="K974" cm="1">
        <f t="array" aca="1" ref="K974" ca="1">[1]!s_west_mediannetprofit($B$1,YEAR($A973)+1,$A973,180,1000000)</f>
        <v>-52</v>
      </c>
      <c r="L974" cm="1">
        <f t="array" aca="1" ref="L974" ca="1">[1]!s_dq_close($B$1,$A974,3)</f>
        <v>26.65</v>
      </c>
    </row>
    <row r="975" spans="1:12">
      <c r="A975" s="23">
        <f t="shared" ca="1" si="15"/>
        <v>45200</v>
      </c>
      <c r="B975" cm="1">
        <f t="array" aca="1" ref="B975" ca="1">[1]!s_west_netprofit($B$1,YEAR($A975),$A975,180,1000000)</f>
        <v>-2.6522410000000001</v>
      </c>
      <c r="C975" cm="1">
        <f t="array" aca="1" ref="C975" ca="1">[1]!s_west_eps($B$1,YEAR($A975),$A975,180)</f>
        <v>-3.0000000000000001E-3</v>
      </c>
      <c r="D975" cm="1">
        <f t="array" aca="1" ref="D975" ca="1">[1]!s_west_instnum_np($B$1,YEAR($A975),$A975,180)</f>
        <v>12</v>
      </c>
      <c r="E975" cm="1">
        <f t="array" aca="1" ref="E975" ca="1">[1]!s_west_stdnetprofit($B$1,YEAR($A975),$A975,180,1000000)</f>
        <v>142.63132999999999</v>
      </c>
      <c r="F975" cm="1">
        <f t="array" aca="1" ref="F975" ca="1">[1]!s_west_mediannetprofit($B$1,YEAR($A975),$A975,180,1000000)</f>
        <v>-37</v>
      </c>
      <c r="G975" cm="1">
        <f t="array" aca="1" ref="G975" ca="1">[1]!s_west_netprofit($B$1,YEAR($A975)+1,$A975,180,1000000)</f>
        <v>-83.036225999999999</v>
      </c>
      <c r="H975" cm="1">
        <f t="array" aca="1" ref="H975" ca="1">[1]!s_west_eps($B$1,YEAR($A975)+1,$A975,180)</f>
        <v>-9.5299999999999996E-2</v>
      </c>
      <c r="I975" cm="1">
        <f t="array" aca="1" ref="I975" ca="1">[1]!s_west_instnum_np($B$1,YEAR($A975)+1,$A975,180)</f>
        <v>12</v>
      </c>
      <c r="J975" cm="1">
        <f t="array" aca="1" ref="J975" ca="1">[1]!s_west_stdnetprofit($B$1,YEAR($A975)+1,$A975,180,1000000)</f>
        <v>102.806298</v>
      </c>
      <c r="K975" cm="1">
        <f t="array" aca="1" ref="K975" ca="1">[1]!s_west_mediannetprofit($B$1,YEAR($A974)+1,$A974,180,1000000)</f>
        <v>-52</v>
      </c>
      <c r="L975" cm="1">
        <f t="array" aca="1" ref="L975" ca="1">[1]!s_dq_close($B$1,$A975,3)</f>
        <v>26.65</v>
      </c>
    </row>
    <row r="976" spans="1:12">
      <c r="A976" s="23">
        <f t="shared" ca="1" si="15"/>
        <v>45199</v>
      </c>
      <c r="B976" cm="1">
        <f t="array" aca="1" ref="B976" ca="1">[1]!s_west_netprofit($B$1,YEAR($A976),$A976,180,1000000)</f>
        <v>-2.6522410000000001</v>
      </c>
      <c r="C976" cm="1">
        <f t="array" aca="1" ref="C976" ca="1">[1]!s_west_eps($B$1,YEAR($A976),$A976,180)</f>
        <v>-3.0000000000000001E-3</v>
      </c>
      <c r="D976" cm="1">
        <f t="array" aca="1" ref="D976" ca="1">[1]!s_west_instnum_np($B$1,YEAR($A976),$A976,180)</f>
        <v>12</v>
      </c>
      <c r="E976" cm="1">
        <f t="array" aca="1" ref="E976" ca="1">[1]!s_west_stdnetprofit($B$1,YEAR($A976),$A976,180,1000000)</f>
        <v>142.63132999999999</v>
      </c>
      <c r="F976" cm="1">
        <f t="array" aca="1" ref="F976" ca="1">[1]!s_west_mediannetprofit($B$1,YEAR($A976),$A976,180,1000000)</f>
        <v>-37</v>
      </c>
      <c r="G976" cm="1">
        <f t="array" aca="1" ref="G976" ca="1">[1]!s_west_netprofit($B$1,YEAR($A976)+1,$A976,180,1000000)</f>
        <v>-83.036225999999999</v>
      </c>
      <c r="H976" cm="1">
        <f t="array" aca="1" ref="H976" ca="1">[1]!s_west_eps($B$1,YEAR($A976)+1,$A976,180)</f>
        <v>-9.5299999999999996E-2</v>
      </c>
      <c r="I976" cm="1">
        <f t="array" aca="1" ref="I976" ca="1">[1]!s_west_instnum_np($B$1,YEAR($A976)+1,$A976,180)</f>
        <v>12</v>
      </c>
      <c r="J976" cm="1">
        <f t="array" aca="1" ref="J976" ca="1">[1]!s_west_stdnetprofit($B$1,YEAR($A976)+1,$A976,180,1000000)</f>
        <v>102.806298</v>
      </c>
      <c r="K976" cm="1">
        <f t="array" aca="1" ref="K976" ca="1">[1]!s_west_mediannetprofit($B$1,YEAR($A975)+1,$A975,180,1000000)</f>
        <v>-52</v>
      </c>
      <c r="L976" cm="1">
        <f t="array" aca="1" ref="L976" ca="1">[1]!s_dq_close($B$1,$A976,3)</f>
        <v>26.65</v>
      </c>
    </row>
    <row r="977" spans="1:12">
      <c r="A977" s="23">
        <f t="shared" ca="1" si="15"/>
        <v>45198</v>
      </c>
      <c r="B977" cm="1">
        <f t="array" aca="1" ref="B977" ca="1">[1]!s_west_netprofit($B$1,YEAR($A977),$A977,180,1000000)</f>
        <v>-2.6522410000000001</v>
      </c>
      <c r="C977" cm="1">
        <f t="array" aca="1" ref="C977" ca="1">[1]!s_west_eps($B$1,YEAR($A977),$A977,180)</f>
        <v>-3.0000000000000001E-3</v>
      </c>
      <c r="D977" cm="1">
        <f t="array" aca="1" ref="D977" ca="1">[1]!s_west_instnum_np($B$1,YEAR($A977),$A977,180)</f>
        <v>12</v>
      </c>
      <c r="E977" cm="1">
        <f t="array" aca="1" ref="E977" ca="1">[1]!s_west_stdnetprofit($B$1,YEAR($A977),$A977,180,1000000)</f>
        <v>142.63132999999999</v>
      </c>
      <c r="F977" cm="1">
        <f t="array" aca="1" ref="F977" ca="1">[1]!s_west_mediannetprofit($B$1,YEAR($A977),$A977,180,1000000)</f>
        <v>-37</v>
      </c>
      <c r="G977" cm="1">
        <f t="array" aca="1" ref="G977" ca="1">[1]!s_west_netprofit($B$1,YEAR($A977)+1,$A977,180,1000000)</f>
        <v>-83.036225999999999</v>
      </c>
      <c r="H977" cm="1">
        <f t="array" aca="1" ref="H977" ca="1">[1]!s_west_eps($B$1,YEAR($A977)+1,$A977,180)</f>
        <v>-9.5299999999999996E-2</v>
      </c>
      <c r="I977" cm="1">
        <f t="array" aca="1" ref="I977" ca="1">[1]!s_west_instnum_np($B$1,YEAR($A977)+1,$A977,180)</f>
        <v>12</v>
      </c>
      <c r="J977" cm="1">
        <f t="array" aca="1" ref="J977" ca="1">[1]!s_west_stdnetprofit($B$1,YEAR($A977)+1,$A977,180,1000000)</f>
        <v>102.806298</v>
      </c>
      <c r="K977" cm="1">
        <f t="array" aca="1" ref="K977" ca="1">[1]!s_west_mediannetprofit($B$1,YEAR($A976)+1,$A976,180,1000000)</f>
        <v>-52</v>
      </c>
      <c r="L977" cm="1">
        <f t="array" aca="1" ref="L977" ca="1">[1]!s_dq_close($B$1,$A977,3)</f>
        <v>26.65</v>
      </c>
    </row>
    <row r="978" spans="1:12">
      <c r="A978" s="23">
        <f t="shared" ca="1" si="15"/>
        <v>45197</v>
      </c>
      <c r="B978" cm="1">
        <f t="array" aca="1" ref="B978" ca="1">[1]!s_west_netprofit($B$1,YEAR($A978),$A978,180,1000000)</f>
        <v>-2.6522410000000001</v>
      </c>
      <c r="C978" cm="1">
        <f t="array" aca="1" ref="C978" ca="1">[1]!s_west_eps($B$1,YEAR($A978),$A978,180)</f>
        <v>-3.0000000000000001E-3</v>
      </c>
      <c r="D978" cm="1">
        <f t="array" aca="1" ref="D978" ca="1">[1]!s_west_instnum_np($B$1,YEAR($A978),$A978,180)</f>
        <v>12</v>
      </c>
      <c r="E978" cm="1">
        <f t="array" aca="1" ref="E978" ca="1">[1]!s_west_stdnetprofit($B$1,YEAR($A978),$A978,180,1000000)</f>
        <v>142.63132999999999</v>
      </c>
      <c r="F978" cm="1">
        <f t="array" aca="1" ref="F978" ca="1">[1]!s_west_mediannetprofit($B$1,YEAR($A978),$A978,180,1000000)</f>
        <v>-37</v>
      </c>
      <c r="G978" cm="1">
        <f t="array" aca="1" ref="G978" ca="1">[1]!s_west_netprofit($B$1,YEAR($A978)+1,$A978,180,1000000)</f>
        <v>-83.036225999999999</v>
      </c>
      <c r="H978" cm="1">
        <f t="array" aca="1" ref="H978" ca="1">[1]!s_west_eps($B$1,YEAR($A978)+1,$A978,180)</f>
        <v>-9.5299999999999996E-2</v>
      </c>
      <c r="I978" cm="1">
        <f t="array" aca="1" ref="I978" ca="1">[1]!s_west_instnum_np($B$1,YEAR($A978)+1,$A978,180)</f>
        <v>12</v>
      </c>
      <c r="J978" cm="1">
        <f t="array" aca="1" ref="J978" ca="1">[1]!s_west_stdnetprofit($B$1,YEAR($A978)+1,$A978,180,1000000)</f>
        <v>102.806298</v>
      </c>
      <c r="K978" cm="1">
        <f t="array" aca="1" ref="K978" ca="1">[1]!s_west_mediannetprofit($B$1,YEAR($A977)+1,$A977,180,1000000)</f>
        <v>-52</v>
      </c>
      <c r="L978" cm="1">
        <f t="array" aca="1" ref="L978" ca="1">[1]!s_dq_close($B$1,$A978,3)</f>
        <v>26.85</v>
      </c>
    </row>
    <row r="979" spans="1:12">
      <c r="A979" s="23">
        <f t="shared" ca="1" si="15"/>
        <v>45196</v>
      </c>
      <c r="B979" cm="1">
        <f t="array" aca="1" ref="B979" ca="1">[1]!s_west_netprofit($B$1,YEAR($A979),$A979,180,1000000)</f>
        <v>-2.6576029999999999</v>
      </c>
      <c r="C979" cm="1">
        <f t="array" aca="1" ref="C979" ca="1">[1]!s_west_eps($B$1,YEAR($A979),$A979,180)</f>
        <v>-3.0999999999999999E-3</v>
      </c>
      <c r="D979" cm="1">
        <f t="array" aca="1" ref="D979" ca="1">[1]!s_west_instnum_np($B$1,YEAR($A979),$A979,180)</f>
        <v>12</v>
      </c>
      <c r="E979" cm="1">
        <f t="array" aca="1" ref="E979" ca="1">[1]!s_west_stdnetprofit($B$1,YEAR($A979),$A979,180,1000000)</f>
        <v>142.635177</v>
      </c>
      <c r="F979" cm="1">
        <f t="array" aca="1" ref="F979" ca="1">[1]!s_west_mediannetprofit($B$1,YEAR($A979),$A979,180,1000000)</f>
        <v>-37</v>
      </c>
      <c r="G979" cm="1">
        <f t="array" aca="1" ref="G979" ca="1">[1]!s_west_netprofit($B$1,YEAR($A979)+1,$A979,180,1000000)</f>
        <v>-83.042710999999997</v>
      </c>
      <c r="H979" cm="1">
        <f t="array" aca="1" ref="H979" ca="1">[1]!s_west_eps($B$1,YEAR($A979)+1,$A979,180)</f>
        <v>-9.5299999999999996E-2</v>
      </c>
      <c r="I979" cm="1">
        <f t="array" aca="1" ref="I979" ca="1">[1]!s_west_instnum_np($B$1,YEAR($A979)+1,$A979,180)</f>
        <v>12</v>
      </c>
      <c r="J979" cm="1">
        <f t="array" aca="1" ref="J979" ca="1">[1]!s_west_stdnetprofit($B$1,YEAR($A979)+1,$A979,180,1000000)</f>
        <v>102.808651</v>
      </c>
      <c r="K979" cm="1">
        <f t="array" aca="1" ref="K979" ca="1">[1]!s_west_mediannetprofit($B$1,YEAR($A978)+1,$A978,180,1000000)</f>
        <v>-52</v>
      </c>
      <c r="L979" cm="1">
        <f t="array" aca="1" ref="L979" ca="1">[1]!s_dq_close($B$1,$A979,3)</f>
        <v>26.8</v>
      </c>
    </row>
    <row r="980" spans="1:12">
      <c r="A980" s="23">
        <f t="shared" ca="1" si="15"/>
        <v>45195</v>
      </c>
      <c r="B980" cm="1">
        <f t="array" aca="1" ref="B980" ca="1">[1]!s_west_netprofit($B$1,YEAR($A980),$A980,180,1000000)</f>
        <v>-2.6576029999999999</v>
      </c>
      <c r="C980" cm="1">
        <f t="array" aca="1" ref="C980" ca="1">[1]!s_west_eps($B$1,YEAR($A980),$A980,180)</f>
        <v>-3.0999999999999999E-3</v>
      </c>
      <c r="D980" cm="1">
        <f t="array" aca="1" ref="D980" ca="1">[1]!s_west_instnum_np($B$1,YEAR($A980),$A980,180)</f>
        <v>12</v>
      </c>
      <c r="E980" cm="1">
        <f t="array" aca="1" ref="E980" ca="1">[1]!s_west_stdnetprofit($B$1,YEAR($A980),$A980,180,1000000)</f>
        <v>142.635177</v>
      </c>
      <c r="F980" cm="1">
        <f t="array" aca="1" ref="F980" ca="1">[1]!s_west_mediannetprofit($B$1,YEAR($A980),$A980,180,1000000)</f>
        <v>-37</v>
      </c>
      <c r="G980" cm="1">
        <f t="array" aca="1" ref="G980" ca="1">[1]!s_west_netprofit($B$1,YEAR($A980)+1,$A980,180,1000000)</f>
        <v>-83.042710999999997</v>
      </c>
      <c r="H980" cm="1">
        <f t="array" aca="1" ref="H980" ca="1">[1]!s_west_eps($B$1,YEAR($A980)+1,$A980,180)</f>
        <v>-9.5299999999999996E-2</v>
      </c>
      <c r="I980" cm="1">
        <f t="array" aca="1" ref="I980" ca="1">[1]!s_west_instnum_np($B$1,YEAR($A980)+1,$A980,180)</f>
        <v>12</v>
      </c>
      <c r="J980" cm="1">
        <f t="array" aca="1" ref="J980" ca="1">[1]!s_west_stdnetprofit($B$1,YEAR($A980)+1,$A980,180,1000000)</f>
        <v>102.808651</v>
      </c>
      <c r="K980" cm="1">
        <f t="array" aca="1" ref="K980" ca="1">[1]!s_west_mediannetprofit($B$1,YEAR($A979)+1,$A979,180,1000000)</f>
        <v>-52</v>
      </c>
      <c r="L980" cm="1">
        <f t="array" aca="1" ref="L980" ca="1">[1]!s_dq_close($B$1,$A980,3)</f>
        <v>25.45</v>
      </c>
    </row>
    <row r="981" spans="1:12">
      <c r="A981" s="23">
        <f t="shared" ca="1" si="15"/>
        <v>45194</v>
      </c>
      <c r="B981" cm="1">
        <f t="array" aca="1" ref="B981" ca="1">[1]!s_west_netprofit($B$1,YEAR($A981),$A981,180,1000000)</f>
        <v>-2.6576029999999999</v>
      </c>
      <c r="C981" cm="1">
        <f t="array" aca="1" ref="C981" ca="1">[1]!s_west_eps($B$1,YEAR($A981),$A981,180)</f>
        <v>-3.0999999999999999E-3</v>
      </c>
      <c r="D981" cm="1">
        <f t="array" aca="1" ref="D981" ca="1">[1]!s_west_instnum_np($B$1,YEAR($A981),$A981,180)</f>
        <v>12</v>
      </c>
      <c r="E981" cm="1">
        <f t="array" aca="1" ref="E981" ca="1">[1]!s_west_stdnetprofit($B$1,YEAR($A981),$A981,180,1000000)</f>
        <v>142.635177</v>
      </c>
      <c r="F981" cm="1">
        <f t="array" aca="1" ref="F981" ca="1">[1]!s_west_mediannetprofit($B$1,YEAR($A981),$A981,180,1000000)</f>
        <v>-37</v>
      </c>
      <c r="G981" cm="1">
        <f t="array" aca="1" ref="G981" ca="1">[1]!s_west_netprofit($B$1,YEAR($A981)+1,$A981,180,1000000)</f>
        <v>-83.042710999999997</v>
      </c>
      <c r="H981" cm="1">
        <f t="array" aca="1" ref="H981" ca="1">[1]!s_west_eps($B$1,YEAR($A981)+1,$A981,180)</f>
        <v>-9.5299999999999996E-2</v>
      </c>
      <c r="I981" cm="1">
        <f t="array" aca="1" ref="I981" ca="1">[1]!s_west_instnum_np($B$1,YEAR($A981)+1,$A981,180)</f>
        <v>12</v>
      </c>
      <c r="J981" cm="1">
        <f t="array" aca="1" ref="J981" ca="1">[1]!s_west_stdnetprofit($B$1,YEAR($A981)+1,$A981,180,1000000)</f>
        <v>102.808651</v>
      </c>
      <c r="K981" cm="1">
        <f t="array" aca="1" ref="K981" ca="1">[1]!s_west_mediannetprofit($B$1,YEAR($A980)+1,$A980,180,1000000)</f>
        <v>-52</v>
      </c>
      <c r="L981" cm="1">
        <f t="array" aca="1" ref="L981" ca="1">[1]!s_dq_close($B$1,$A981,3)</f>
        <v>25.75</v>
      </c>
    </row>
    <row r="982" spans="1:12">
      <c r="A982" s="23">
        <f t="shared" ca="1" si="15"/>
        <v>45193</v>
      </c>
      <c r="B982" cm="1">
        <f t="array" aca="1" ref="B982" ca="1">[1]!s_west_netprofit($B$1,YEAR($A982),$A982,180,1000000)</f>
        <v>-2.6576029999999999</v>
      </c>
      <c r="C982" cm="1">
        <f t="array" aca="1" ref="C982" ca="1">[1]!s_west_eps($B$1,YEAR($A982),$A982,180)</f>
        <v>-3.0999999999999999E-3</v>
      </c>
      <c r="D982" cm="1">
        <f t="array" aca="1" ref="D982" ca="1">[1]!s_west_instnum_np($B$1,YEAR($A982),$A982,180)</f>
        <v>12</v>
      </c>
      <c r="E982" cm="1">
        <f t="array" aca="1" ref="E982" ca="1">[1]!s_west_stdnetprofit($B$1,YEAR($A982),$A982,180,1000000)</f>
        <v>142.635177</v>
      </c>
      <c r="F982" cm="1">
        <f t="array" aca="1" ref="F982" ca="1">[1]!s_west_mediannetprofit($B$1,YEAR($A982),$A982,180,1000000)</f>
        <v>-37</v>
      </c>
      <c r="G982" cm="1">
        <f t="array" aca="1" ref="G982" ca="1">[1]!s_west_netprofit($B$1,YEAR($A982)+1,$A982,180,1000000)</f>
        <v>-83.042710999999997</v>
      </c>
      <c r="H982" cm="1">
        <f t="array" aca="1" ref="H982" ca="1">[1]!s_west_eps($B$1,YEAR($A982)+1,$A982,180)</f>
        <v>-9.5299999999999996E-2</v>
      </c>
      <c r="I982" cm="1">
        <f t="array" aca="1" ref="I982" ca="1">[1]!s_west_instnum_np($B$1,YEAR($A982)+1,$A982,180)</f>
        <v>12</v>
      </c>
      <c r="J982" cm="1">
        <f t="array" aca="1" ref="J982" ca="1">[1]!s_west_stdnetprofit($B$1,YEAR($A982)+1,$A982,180,1000000)</f>
        <v>102.808651</v>
      </c>
      <c r="K982" cm="1">
        <f t="array" aca="1" ref="K982" ca="1">[1]!s_west_mediannetprofit($B$1,YEAR($A981)+1,$A981,180,1000000)</f>
        <v>-52</v>
      </c>
      <c r="L982" cm="1">
        <f t="array" aca="1" ref="L982" ca="1">[1]!s_dq_close($B$1,$A982,3)</f>
        <v>25.05</v>
      </c>
    </row>
    <row r="983" spans="1:12">
      <c r="A983" s="23">
        <f t="shared" ca="1" si="15"/>
        <v>45192</v>
      </c>
      <c r="B983" cm="1">
        <f t="array" aca="1" ref="B983" ca="1">[1]!s_west_netprofit($B$1,YEAR($A983),$A983,180,1000000)</f>
        <v>-2.6576029999999999</v>
      </c>
      <c r="C983" cm="1">
        <f t="array" aca="1" ref="C983" ca="1">[1]!s_west_eps($B$1,YEAR($A983),$A983,180)</f>
        <v>-3.0999999999999999E-3</v>
      </c>
      <c r="D983" cm="1">
        <f t="array" aca="1" ref="D983" ca="1">[1]!s_west_instnum_np($B$1,YEAR($A983),$A983,180)</f>
        <v>12</v>
      </c>
      <c r="E983" cm="1">
        <f t="array" aca="1" ref="E983" ca="1">[1]!s_west_stdnetprofit($B$1,YEAR($A983),$A983,180,1000000)</f>
        <v>142.635177</v>
      </c>
      <c r="F983" cm="1">
        <f t="array" aca="1" ref="F983" ca="1">[1]!s_west_mediannetprofit($B$1,YEAR($A983),$A983,180,1000000)</f>
        <v>-37</v>
      </c>
      <c r="G983" cm="1">
        <f t="array" aca="1" ref="G983" ca="1">[1]!s_west_netprofit($B$1,YEAR($A983)+1,$A983,180,1000000)</f>
        <v>-83.042710999999997</v>
      </c>
      <c r="H983" cm="1">
        <f t="array" aca="1" ref="H983" ca="1">[1]!s_west_eps($B$1,YEAR($A983)+1,$A983,180)</f>
        <v>-9.5299999999999996E-2</v>
      </c>
      <c r="I983" cm="1">
        <f t="array" aca="1" ref="I983" ca="1">[1]!s_west_instnum_np($B$1,YEAR($A983)+1,$A983,180)</f>
        <v>12</v>
      </c>
      <c r="J983" cm="1">
        <f t="array" aca="1" ref="J983" ca="1">[1]!s_west_stdnetprofit($B$1,YEAR($A983)+1,$A983,180,1000000)</f>
        <v>102.808651</v>
      </c>
      <c r="K983" cm="1">
        <f t="array" aca="1" ref="K983" ca="1">[1]!s_west_mediannetprofit($B$1,YEAR($A982)+1,$A982,180,1000000)</f>
        <v>-52</v>
      </c>
      <c r="L983" cm="1">
        <f t="array" aca="1" ref="L983" ca="1">[1]!s_dq_close($B$1,$A983,3)</f>
        <v>25.05</v>
      </c>
    </row>
    <row r="984" spans="1:12">
      <c r="A984" s="23">
        <f t="shared" ca="1" si="15"/>
        <v>45191</v>
      </c>
      <c r="B984" cm="1">
        <f t="array" aca="1" ref="B984" ca="1">[1]!s_west_netprofit($B$1,YEAR($A984),$A984,180,1000000)</f>
        <v>-2.6576029999999999</v>
      </c>
      <c r="C984" cm="1">
        <f t="array" aca="1" ref="C984" ca="1">[1]!s_west_eps($B$1,YEAR($A984),$A984,180)</f>
        <v>-3.0999999999999999E-3</v>
      </c>
      <c r="D984" cm="1">
        <f t="array" aca="1" ref="D984" ca="1">[1]!s_west_instnum_np($B$1,YEAR($A984),$A984,180)</f>
        <v>12</v>
      </c>
      <c r="E984" cm="1">
        <f t="array" aca="1" ref="E984" ca="1">[1]!s_west_stdnetprofit($B$1,YEAR($A984),$A984,180,1000000)</f>
        <v>142.635177</v>
      </c>
      <c r="F984" cm="1">
        <f t="array" aca="1" ref="F984" ca="1">[1]!s_west_mediannetprofit($B$1,YEAR($A984),$A984,180,1000000)</f>
        <v>-37</v>
      </c>
      <c r="G984" cm="1">
        <f t="array" aca="1" ref="G984" ca="1">[1]!s_west_netprofit($B$1,YEAR($A984)+1,$A984,180,1000000)</f>
        <v>-83.042710999999997</v>
      </c>
      <c r="H984" cm="1">
        <f t="array" aca="1" ref="H984" ca="1">[1]!s_west_eps($B$1,YEAR($A984)+1,$A984,180)</f>
        <v>-9.5299999999999996E-2</v>
      </c>
      <c r="I984" cm="1">
        <f t="array" aca="1" ref="I984" ca="1">[1]!s_west_instnum_np($B$1,YEAR($A984)+1,$A984,180)</f>
        <v>12</v>
      </c>
      <c r="J984" cm="1">
        <f t="array" aca="1" ref="J984" ca="1">[1]!s_west_stdnetprofit($B$1,YEAR($A984)+1,$A984,180,1000000)</f>
        <v>102.808651</v>
      </c>
      <c r="K984" cm="1">
        <f t="array" aca="1" ref="K984" ca="1">[1]!s_west_mediannetprofit($B$1,YEAR($A983)+1,$A983,180,1000000)</f>
        <v>-52</v>
      </c>
      <c r="L984" cm="1">
        <f t="array" aca="1" ref="L984" ca="1">[1]!s_dq_close($B$1,$A984,3)</f>
        <v>25.05</v>
      </c>
    </row>
    <row r="985" spans="1:12">
      <c r="A985" s="23">
        <f t="shared" ca="1" si="15"/>
        <v>45190</v>
      </c>
      <c r="B985" cm="1">
        <f t="array" aca="1" ref="B985" ca="1">[1]!s_west_netprofit($B$1,YEAR($A985),$A985,180,1000000)</f>
        <v>-2.6576029999999999</v>
      </c>
      <c r="C985" cm="1">
        <f t="array" aca="1" ref="C985" ca="1">[1]!s_west_eps($B$1,YEAR($A985),$A985,180)</f>
        <v>-3.0999999999999999E-3</v>
      </c>
      <c r="D985" cm="1">
        <f t="array" aca="1" ref="D985" ca="1">[1]!s_west_instnum_np($B$1,YEAR($A985),$A985,180)</f>
        <v>12</v>
      </c>
      <c r="E985" cm="1">
        <f t="array" aca="1" ref="E985" ca="1">[1]!s_west_stdnetprofit($B$1,YEAR($A985),$A985,180,1000000)</f>
        <v>142.635177</v>
      </c>
      <c r="F985" cm="1">
        <f t="array" aca="1" ref="F985" ca="1">[1]!s_west_mediannetprofit($B$1,YEAR($A985),$A985,180,1000000)</f>
        <v>-37</v>
      </c>
      <c r="G985" cm="1">
        <f t="array" aca="1" ref="G985" ca="1">[1]!s_west_netprofit($B$1,YEAR($A985)+1,$A985,180,1000000)</f>
        <v>-83.042710999999997</v>
      </c>
      <c r="H985" cm="1">
        <f t="array" aca="1" ref="H985" ca="1">[1]!s_west_eps($B$1,YEAR($A985)+1,$A985,180)</f>
        <v>-9.5299999999999996E-2</v>
      </c>
      <c r="I985" cm="1">
        <f t="array" aca="1" ref="I985" ca="1">[1]!s_west_instnum_np($B$1,YEAR($A985)+1,$A985,180)</f>
        <v>12</v>
      </c>
      <c r="J985" cm="1">
        <f t="array" aca="1" ref="J985" ca="1">[1]!s_west_stdnetprofit($B$1,YEAR($A985)+1,$A985,180,1000000)</f>
        <v>102.808651</v>
      </c>
      <c r="K985" cm="1">
        <f t="array" aca="1" ref="K985" ca="1">[1]!s_west_mediannetprofit($B$1,YEAR($A984)+1,$A984,180,1000000)</f>
        <v>-52</v>
      </c>
      <c r="L985" cm="1">
        <f t="array" aca="1" ref="L985" ca="1">[1]!s_dq_close($B$1,$A985,3)</f>
        <v>24.4</v>
      </c>
    </row>
    <row r="986" spans="1:12">
      <c r="A986" s="23">
        <f t="shared" ca="1" si="15"/>
        <v>45189</v>
      </c>
      <c r="B986" cm="1">
        <f t="array" aca="1" ref="B986" ca="1">[1]!s_west_netprofit($B$1,YEAR($A986),$A986,180,1000000)</f>
        <v>-2.6576029999999999</v>
      </c>
      <c r="C986" cm="1">
        <f t="array" aca="1" ref="C986" ca="1">[1]!s_west_eps($B$1,YEAR($A986),$A986,180)</f>
        <v>-3.0999999999999999E-3</v>
      </c>
      <c r="D986" cm="1">
        <f t="array" aca="1" ref="D986" ca="1">[1]!s_west_instnum_np($B$1,YEAR($A986),$A986,180)</f>
        <v>12</v>
      </c>
      <c r="E986" cm="1">
        <f t="array" aca="1" ref="E986" ca="1">[1]!s_west_stdnetprofit($B$1,YEAR($A986),$A986,180,1000000)</f>
        <v>142.635177</v>
      </c>
      <c r="F986" cm="1">
        <f t="array" aca="1" ref="F986" ca="1">[1]!s_west_mediannetprofit($B$1,YEAR($A986),$A986,180,1000000)</f>
        <v>-37</v>
      </c>
      <c r="G986" cm="1">
        <f t="array" aca="1" ref="G986" ca="1">[1]!s_west_netprofit($B$1,YEAR($A986)+1,$A986,180,1000000)</f>
        <v>-83.042710999999997</v>
      </c>
      <c r="H986" cm="1">
        <f t="array" aca="1" ref="H986" ca="1">[1]!s_west_eps($B$1,YEAR($A986)+1,$A986,180)</f>
        <v>-9.5299999999999996E-2</v>
      </c>
      <c r="I986" cm="1">
        <f t="array" aca="1" ref="I986" ca="1">[1]!s_west_instnum_np($B$1,YEAR($A986)+1,$A986,180)</f>
        <v>12</v>
      </c>
      <c r="J986" cm="1">
        <f t="array" aca="1" ref="J986" ca="1">[1]!s_west_stdnetprofit($B$1,YEAR($A986)+1,$A986,180,1000000)</f>
        <v>102.808651</v>
      </c>
      <c r="K986" cm="1">
        <f t="array" aca="1" ref="K986" ca="1">[1]!s_west_mediannetprofit($B$1,YEAR($A985)+1,$A985,180,1000000)</f>
        <v>-52</v>
      </c>
      <c r="L986" cm="1">
        <f t="array" aca="1" ref="L986" ca="1">[1]!s_dq_close($B$1,$A986,3)</f>
        <v>24.85</v>
      </c>
    </row>
    <row r="987" spans="1:12">
      <c r="A987" s="23">
        <f t="shared" ca="1" si="15"/>
        <v>45188</v>
      </c>
      <c r="B987" cm="1">
        <f t="array" aca="1" ref="B987" ca="1">[1]!s_west_netprofit($B$1,YEAR($A987),$A987,180,1000000)</f>
        <v>-2.6576029999999999</v>
      </c>
      <c r="C987" cm="1">
        <f t="array" aca="1" ref="C987" ca="1">[1]!s_west_eps($B$1,YEAR($A987),$A987,180)</f>
        <v>-3.0999999999999999E-3</v>
      </c>
      <c r="D987" cm="1">
        <f t="array" aca="1" ref="D987" ca="1">[1]!s_west_instnum_np($B$1,YEAR($A987),$A987,180)</f>
        <v>12</v>
      </c>
      <c r="E987" cm="1">
        <f t="array" aca="1" ref="E987" ca="1">[1]!s_west_stdnetprofit($B$1,YEAR($A987),$A987,180,1000000)</f>
        <v>142.635177</v>
      </c>
      <c r="F987" cm="1">
        <f t="array" aca="1" ref="F987" ca="1">[1]!s_west_mediannetprofit($B$1,YEAR($A987),$A987,180,1000000)</f>
        <v>-37</v>
      </c>
      <c r="G987" cm="1">
        <f t="array" aca="1" ref="G987" ca="1">[1]!s_west_netprofit($B$1,YEAR($A987)+1,$A987,180,1000000)</f>
        <v>-83.042710999999997</v>
      </c>
      <c r="H987" cm="1">
        <f t="array" aca="1" ref="H987" ca="1">[1]!s_west_eps($B$1,YEAR($A987)+1,$A987,180)</f>
        <v>-9.5299999999999996E-2</v>
      </c>
      <c r="I987" cm="1">
        <f t="array" aca="1" ref="I987" ca="1">[1]!s_west_instnum_np($B$1,YEAR($A987)+1,$A987,180)</f>
        <v>12</v>
      </c>
      <c r="J987" cm="1">
        <f t="array" aca="1" ref="J987" ca="1">[1]!s_west_stdnetprofit($B$1,YEAR($A987)+1,$A987,180,1000000)</f>
        <v>102.808651</v>
      </c>
      <c r="K987" cm="1">
        <f t="array" aca="1" ref="K987" ca="1">[1]!s_west_mediannetprofit($B$1,YEAR($A986)+1,$A986,180,1000000)</f>
        <v>-52</v>
      </c>
      <c r="L987" cm="1">
        <f t="array" aca="1" ref="L987" ca="1">[1]!s_dq_close($B$1,$A987,3)</f>
        <v>25.7</v>
      </c>
    </row>
    <row r="988" spans="1:12">
      <c r="A988" s="23">
        <f t="shared" ca="1" si="15"/>
        <v>45187</v>
      </c>
      <c r="B988" cm="1">
        <f t="array" aca="1" ref="B988" ca="1">[1]!s_west_netprofit($B$1,YEAR($A988),$A988,180,1000000)</f>
        <v>-2.6576029999999999</v>
      </c>
      <c r="C988" cm="1">
        <f t="array" aca="1" ref="C988" ca="1">[1]!s_west_eps($B$1,YEAR($A988),$A988,180)</f>
        <v>-3.0999999999999999E-3</v>
      </c>
      <c r="D988" cm="1">
        <f t="array" aca="1" ref="D988" ca="1">[1]!s_west_instnum_np($B$1,YEAR($A988),$A988,180)</f>
        <v>12</v>
      </c>
      <c r="E988" cm="1">
        <f t="array" aca="1" ref="E988" ca="1">[1]!s_west_stdnetprofit($B$1,YEAR($A988),$A988,180,1000000)</f>
        <v>142.635177</v>
      </c>
      <c r="F988" cm="1">
        <f t="array" aca="1" ref="F988" ca="1">[1]!s_west_mediannetprofit($B$1,YEAR($A988),$A988,180,1000000)</f>
        <v>-37</v>
      </c>
      <c r="G988" cm="1">
        <f t="array" aca="1" ref="G988" ca="1">[1]!s_west_netprofit($B$1,YEAR($A988)+1,$A988,180,1000000)</f>
        <v>-83.042710999999997</v>
      </c>
      <c r="H988" cm="1">
        <f t="array" aca="1" ref="H988" ca="1">[1]!s_west_eps($B$1,YEAR($A988)+1,$A988,180)</f>
        <v>-9.5299999999999996E-2</v>
      </c>
      <c r="I988" cm="1">
        <f t="array" aca="1" ref="I988" ca="1">[1]!s_west_instnum_np($B$1,YEAR($A988)+1,$A988,180)</f>
        <v>12</v>
      </c>
      <c r="J988" cm="1">
        <f t="array" aca="1" ref="J988" ca="1">[1]!s_west_stdnetprofit($B$1,YEAR($A988)+1,$A988,180,1000000)</f>
        <v>102.808651</v>
      </c>
      <c r="K988" cm="1">
        <f t="array" aca="1" ref="K988" ca="1">[1]!s_west_mediannetprofit($B$1,YEAR($A987)+1,$A987,180,1000000)</f>
        <v>-52</v>
      </c>
      <c r="L988" cm="1">
        <f t="array" aca="1" ref="L988" ca="1">[1]!s_dq_close($B$1,$A988,3)</f>
        <v>25.5</v>
      </c>
    </row>
    <row r="989" spans="1:12">
      <c r="A989" s="23">
        <f t="shared" ca="1" si="15"/>
        <v>45186</v>
      </c>
      <c r="B989" cm="1">
        <f t="array" aca="1" ref="B989" ca="1">[1]!s_west_netprofit($B$1,YEAR($A989),$A989,180,1000000)</f>
        <v>-2.6522410000000001</v>
      </c>
      <c r="C989" cm="1">
        <f t="array" aca="1" ref="C989" ca="1">[1]!s_west_eps($B$1,YEAR($A989),$A989,180)</f>
        <v>-3.0000000000000001E-3</v>
      </c>
      <c r="D989" cm="1">
        <f t="array" aca="1" ref="D989" ca="1">[1]!s_west_instnum_np($B$1,YEAR($A989),$A989,180)</f>
        <v>12</v>
      </c>
      <c r="E989" cm="1">
        <f t="array" aca="1" ref="E989" ca="1">[1]!s_west_stdnetprofit($B$1,YEAR($A989),$A989,180,1000000)</f>
        <v>142.63132999999999</v>
      </c>
      <c r="F989" cm="1">
        <f t="array" aca="1" ref="F989" ca="1">[1]!s_west_mediannetprofit($B$1,YEAR($A989),$A989,180,1000000)</f>
        <v>-37</v>
      </c>
      <c r="G989" cm="1">
        <f t="array" aca="1" ref="G989" ca="1">[1]!s_west_netprofit($B$1,YEAR($A989)+1,$A989,180,1000000)</f>
        <v>-83.036225999999999</v>
      </c>
      <c r="H989" cm="1">
        <f t="array" aca="1" ref="H989" ca="1">[1]!s_west_eps($B$1,YEAR($A989)+1,$A989,180)</f>
        <v>-9.5299999999999996E-2</v>
      </c>
      <c r="I989" cm="1">
        <f t="array" aca="1" ref="I989" ca="1">[1]!s_west_instnum_np($B$1,YEAR($A989)+1,$A989,180)</f>
        <v>12</v>
      </c>
      <c r="J989" cm="1">
        <f t="array" aca="1" ref="J989" ca="1">[1]!s_west_stdnetprofit($B$1,YEAR($A989)+1,$A989,180,1000000)</f>
        <v>102.806298</v>
      </c>
      <c r="K989" cm="1">
        <f t="array" aca="1" ref="K989" ca="1">[1]!s_west_mediannetprofit($B$1,YEAR($A988)+1,$A988,180,1000000)</f>
        <v>-52</v>
      </c>
      <c r="L989" cm="1">
        <f t="array" aca="1" ref="L989" ca="1">[1]!s_dq_close($B$1,$A989,3)</f>
        <v>23.55</v>
      </c>
    </row>
    <row r="990" spans="1:12">
      <c r="A990" s="23">
        <f t="shared" ca="1" si="15"/>
        <v>45185</v>
      </c>
      <c r="B990" cm="1">
        <f t="array" aca="1" ref="B990" ca="1">[1]!s_west_netprofit($B$1,YEAR($A990),$A990,180,1000000)</f>
        <v>-2.6522410000000001</v>
      </c>
      <c r="C990" cm="1">
        <f t="array" aca="1" ref="C990" ca="1">[1]!s_west_eps($B$1,YEAR($A990),$A990,180)</f>
        <v>-3.0000000000000001E-3</v>
      </c>
      <c r="D990" cm="1">
        <f t="array" aca="1" ref="D990" ca="1">[1]!s_west_instnum_np($B$1,YEAR($A990),$A990,180)</f>
        <v>12</v>
      </c>
      <c r="E990" cm="1">
        <f t="array" aca="1" ref="E990" ca="1">[1]!s_west_stdnetprofit($B$1,YEAR($A990),$A990,180,1000000)</f>
        <v>142.63132999999999</v>
      </c>
      <c r="F990" cm="1">
        <f t="array" aca="1" ref="F990" ca="1">[1]!s_west_mediannetprofit($B$1,YEAR($A990),$A990,180,1000000)</f>
        <v>-37</v>
      </c>
      <c r="G990" cm="1">
        <f t="array" aca="1" ref="G990" ca="1">[1]!s_west_netprofit($B$1,YEAR($A990)+1,$A990,180,1000000)</f>
        <v>-83.036225999999999</v>
      </c>
      <c r="H990" cm="1">
        <f t="array" aca="1" ref="H990" ca="1">[1]!s_west_eps($B$1,YEAR($A990)+1,$A990,180)</f>
        <v>-9.5299999999999996E-2</v>
      </c>
      <c r="I990" cm="1">
        <f t="array" aca="1" ref="I990" ca="1">[1]!s_west_instnum_np($B$1,YEAR($A990)+1,$A990,180)</f>
        <v>12</v>
      </c>
      <c r="J990" cm="1">
        <f t="array" aca="1" ref="J990" ca="1">[1]!s_west_stdnetprofit($B$1,YEAR($A990)+1,$A990,180,1000000)</f>
        <v>102.806298</v>
      </c>
      <c r="K990" cm="1">
        <f t="array" aca="1" ref="K990" ca="1">[1]!s_west_mediannetprofit($B$1,YEAR($A989)+1,$A989,180,1000000)</f>
        <v>-52</v>
      </c>
      <c r="L990" cm="1">
        <f t="array" aca="1" ref="L990" ca="1">[1]!s_dq_close($B$1,$A990,3)</f>
        <v>23.55</v>
      </c>
    </row>
    <row r="991" spans="1:12">
      <c r="A991" s="23">
        <f t="shared" ca="1" si="15"/>
        <v>45184</v>
      </c>
      <c r="B991" cm="1">
        <f t="array" aca="1" ref="B991" ca="1">[1]!s_west_netprofit($B$1,YEAR($A991),$A991,180,1000000)</f>
        <v>-2.6522410000000001</v>
      </c>
      <c r="C991" cm="1">
        <f t="array" aca="1" ref="C991" ca="1">[1]!s_west_eps($B$1,YEAR($A991),$A991,180)</f>
        <v>-3.0000000000000001E-3</v>
      </c>
      <c r="D991" cm="1">
        <f t="array" aca="1" ref="D991" ca="1">[1]!s_west_instnum_np($B$1,YEAR($A991),$A991,180)</f>
        <v>12</v>
      </c>
      <c r="E991" cm="1">
        <f t="array" aca="1" ref="E991" ca="1">[1]!s_west_stdnetprofit($B$1,YEAR($A991),$A991,180,1000000)</f>
        <v>142.63132999999999</v>
      </c>
      <c r="F991" cm="1">
        <f t="array" aca="1" ref="F991" ca="1">[1]!s_west_mediannetprofit($B$1,YEAR($A991),$A991,180,1000000)</f>
        <v>-37</v>
      </c>
      <c r="G991" cm="1">
        <f t="array" aca="1" ref="G991" ca="1">[1]!s_west_netprofit($B$1,YEAR($A991)+1,$A991,180,1000000)</f>
        <v>-83.036225999999999</v>
      </c>
      <c r="H991" cm="1">
        <f t="array" aca="1" ref="H991" ca="1">[1]!s_west_eps($B$1,YEAR($A991)+1,$A991,180)</f>
        <v>-9.5299999999999996E-2</v>
      </c>
      <c r="I991" cm="1">
        <f t="array" aca="1" ref="I991" ca="1">[1]!s_west_instnum_np($B$1,YEAR($A991)+1,$A991,180)</f>
        <v>12</v>
      </c>
      <c r="J991" cm="1">
        <f t="array" aca="1" ref="J991" ca="1">[1]!s_west_stdnetprofit($B$1,YEAR($A991)+1,$A991,180,1000000)</f>
        <v>102.806298</v>
      </c>
      <c r="K991" cm="1">
        <f t="array" aca="1" ref="K991" ca="1">[1]!s_west_mediannetprofit($B$1,YEAR($A990)+1,$A990,180,1000000)</f>
        <v>-52</v>
      </c>
      <c r="L991" cm="1">
        <f t="array" aca="1" ref="L991" ca="1">[1]!s_dq_close($B$1,$A991,3)</f>
        <v>23.55</v>
      </c>
    </row>
    <row r="992" spans="1:12">
      <c r="A992" s="23">
        <f t="shared" ca="1" si="15"/>
        <v>45183</v>
      </c>
      <c r="B992" cm="1">
        <f t="array" aca="1" ref="B992" ca="1">[1]!s_west_netprofit($B$1,YEAR($A992),$A992,180,1000000)</f>
        <v>-2.641518</v>
      </c>
      <c r="C992" cm="1">
        <f t="array" aca="1" ref="C992" ca="1">[1]!s_west_eps($B$1,YEAR($A992),$A992,180)</f>
        <v>-3.0000000000000001E-3</v>
      </c>
      <c r="D992" cm="1">
        <f t="array" aca="1" ref="D992" ca="1">[1]!s_west_instnum_np($B$1,YEAR($A992),$A992,180)</f>
        <v>12</v>
      </c>
      <c r="E992" cm="1">
        <f t="array" aca="1" ref="E992" ca="1">[1]!s_west_stdnetprofit($B$1,YEAR($A992),$A992,180,1000000)</f>
        <v>142.62364299999999</v>
      </c>
      <c r="F992" cm="1">
        <f t="array" aca="1" ref="F992" ca="1">[1]!s_west_mediannetprofit($B$1,YEAR($A992),$A992,180,1000000)</f>
        <v>-37</v>
      </c>
      <c r="G992" cm="1">
        <f t="array" aca="1" ref="G992" ca="1">[1]!s_west_netprofit($B$1,YEAR($A992)+1,$A992,180,1000000)</f>
        <v>-83.023257000000001</v>
      </c>
      <c r="H992" cm="1">
        <f t="array" aca="1" ref="H992" ca="1">[1]!s_west_eps($B$1,YEAR($A992)+1,$A992,180)</f>
        <v>-9.5299999999999996E-2</v>
      </c>
      <c r="I992" cm="1">
        <f t="array" aca="1" ref="I992" ca="1">[1]!s_west_instnum_np($B$1,YEAR($A992)+1,$A992,180)</f>
        <v>12</v>
      </c>
      <c r="J992" cm="1">
        <f t="array" aca="1" ref="J992" ca="1">[1]!s_west_stdnetprofit($B$1,YEAR($A992)+1,$A992,180,1000000)</f>
        <v>102.801608</v>
      </c>
      <c r="K992" cm="1">
        <f t="array" aca="1" ref="K992" ca="1">[1]!s_west_mediannetprofit($B$1,YEAR($A991)+1,$A991,180,1000000)</f>
        <v>-52</v>
      </c>
      <c r="L992" cm="1">
        <f t="array" aca="1" ref="L992" ca="1">[1]!s_dq_close($B$1,$A992,3)</f>
        <v>23.4</v>
      </c>
    </row>
    <row r="993" spans="1:12">
      <c r="A993" s="23">
        <f t="shared" ca="1" si="15"/>
        <v>45182</v>
      </c>
      <c r="B993" cm="1">
        <f t="array" aca="1" ref="B993" ca="1">[1]!s_west_netprofit($B$1,YEAR($A993),$A993,180,1000000)</f>
        <v>-2.641518</v>
      </c>
      <c r="C993" cm="1">
        <f t="array" aca="1" ref="C993" ca="1">[1]!s_west_eps($B$1,YEAR($A993),$A993,180)</f>
        <v>-3.0000000000000001E-3</v>
      </c>
      <c r="D993" cm="1">
        <f t="array" aca="1" ref="D993" ca="1">[1]!s_west_instnum_np($B$1,YEAR($A993),$A993,180)</f>
        <v>12</v>
      </c>
      <c r="E993" cm="1">
        <f t="array" aca="1" ref="E993" ca="1">[1]!s_west_stdnetprofit($B$1,YEAR($A993),$A993,180,1000000)</f>
        <v>142.62364299999999</v>
      </c>
      <c r="F993" cm="1">
        <f t="array" aca="1" ref="F993" ca="1">[1]!s_west_mediannetprofit($B$1,YEAR($A993),$A993,180,1000000)</f>
        <v>-37</v>
      </c>
      <c r="G993" cm="1">
        <f t="array" aca="1" ref="G993" ca="1">[1]!s_west_netprofit($B$1,YEAR($A993)+1,$A993,180,1000000)</f>
        <v>-83.023257000000001</v>
      </c>
      <c r="H993" cm="1">
        <f t="array" aca="1" ref="H993" ca="1">[1]!s_west_eps($B$1,YEAR($A993)+1,$A993,180)</f>
        <v>-9.5299999999999996E-2</v>
      </c>
      <c r="I993" cm="1">
        <f t="array" aca="1" ref="I993" ca="1">[1]!s_west_instnum_np($B$1,YEAR($A993)+1,$A993,180)</f>
        <v>12</v>
      </c>
      <c r="J993" cm="1">
        <f t="array" aca="1" ref="J993" ca="1">[1]!s_west_stdnetprofit($B$1,YEAR($A993)+1,$A993,180,1000000)</f>
        <v>102.801608</v>
      </c>
      <c r="K993" cm="1">
        <f t="array" aca="1" ref="K993" ca="1">[1]!s_west_mediannetprofit($B$1,YEAR($A992)+1,$A992,180,1000000)</f>
        <v>-52</v>
      </c>
      <c r="L993" cm="1">
        <f t="array" aca="1" ref="L993" ca="1">[1]!s_dq_close($B$1,$A993,3)</f>
        <v>23.35</v>
      </c>
    </row>
    <row r="994" spans="1:12">
      <c r="A994" s="23">
        <f t="shared" ca="1" si="15"/>
        <v>45181</v>
      </c>
      <c r="B994" cm="1">
        <f t="array" aca="1" ref="B994" ca="1">[1]!s_west_netprofit($B$1,YEAR($A994),$A994,180,1000000)</f>
        <v>-2.630795</v>
      </c>
      <c r="C994" cm="1">
        <f t="array" aca="1" ref="C994" ca="1">[1]!s_west_eps($B$1,YEAR($A994),$A994,180)</f>
        <v>-3.0000000000000001E-3</v>
      </c>
      <c r="D994" cm="1">
        <f t="array" aca="1" ref="D994" ca="1">[1]!s_west_instnum_np($B$1,YEAR($A994),$A994,180)</f>
        <v>12</v>
      </c>
      <c r="E994" cm="1">
        <f t="array" aca="1" ref="E994" ca="1">[1]!s_west_stdnetprofit($B$1,YEAR($A994),$A994,180,1000000)</f>
        <v>142.61596700000001</v>
      </c>
      <c r="F994" cm="1">
        <f t="array" aca="1" ref="F994" ca="1">[1]!s_west_mediannetprofit($B$1,YEAR($A994),$A994,180,1000000)</f>
        <v>-37</v>
      </c>
      <c r="G994" cm="1">
        <f t="array" aca="1" ref="G994" ca="1">[1]!s_west_netprofit($B$1,YEAR($A994)+1,$A994,180,1000000)</f>
        <v>-83.010288000000003</v>
      </c>
      <c r="H994" cm="1">
        <f t="array" aca="1" ref="H994" ca="1">[1]!s_west_eps($B$1,YEAR($A994)+1,$A994,180)</f>
        <v>-9.5299999999999996E-2</v>
      </c>
      <c r="I994" cm="1">
        <f t="array" aca="1" ref="I994" ca="1">[1]!s_west_instnum_np($B$1,YEAR($A994)+1,$A994,180)</f>
        <v>12</v>
      </c>
      <c r="J994" cm="1">
        <f t="array" aca="1" ref="J994" ca="1">[1]!s_west_stdnetprofit($B$1,YEAR($A994)+1,$A994,180,1000000)</f>
        <v>102.79694000000001</v>
      </c>
      <c r="K994" cm="1">
        <f t="array" aca="1" ref="K994" ca="1">[1]!s_west_mediannetprofit($B$1,YEAR($A993)+1,$A993,180,1000000)</f>
        <v>-52</v>
      </c>
      <c r="L994" cm="1">
        <f t="array" aca="1" ref="L994" ca="1">[1]!s_dq_close($B$1,$A994,3)</f>
        <v>23.8</v>
      </c>
    </row>
    <row r="995" spans="1:12">
      <c r="A995" s="23">
        <f t="shared" ca="1" si="15"/>
        <v>45180</v>
      </c>
      <c r="B995" cm="1">
        <f t="array" aca="1" ref="B995" ca="1">[1]!s_west_netprofit($B$1,YEAR($A995),$A995,180,1000000)</f>
        <v>-2.6147100000000001</v>
      </c>
      <c r="C995" cm="1">
        <f t="array" aca="1" ref="C995" ca="1">[1]!s_west_eps($B$1,YEAR($A995),$A995,180)</f>
        <v>-3.0000000000000001E-3</v>
      </c>
      <c r="D995" cm="1">
        <f t="array" aca="1" ref="D995" ca="1">[1]!s_west_instnum_np($B$1,YEAR($A995),$A995,180)</f>
        <v>12</v>
      </c>
      <c r="E995" cm="1">
        <f t="array" aca="1" ref="E995" ca="1">[1]!s_west_stdnetprofit($B$1,YEAR($A995),$A995,180,1000000)</f>
        <v>142.60447099999999</v>
      </c>
      <c r="F995" cm="1">
        <f t="array" aca="1" ref="F995" ca="1">[1]!s_west_mediannetprofit($B$1,YEAR($A995),$A995,180,1000000)</f>
        <v>-37</v>
      </c>
      <c r="G995" cm="1">
        <f t="array" aca="1" ref="G995" ca="1">[1]!s_west_netprofit($B$1,YEAR($A995)+1,$A995,180,1000000)</f>
        <v>-82.990834000000007</v>
      </c>
      <c r="H995" cm="1">
        <f t="array" aca="1" ref="H995" ca="1">[1]!s_west_eps($B$1,YEAR($A995)+1,$A995,180)</f>
        <v>-9.5299999999999996E-2</v>
      </c>
      <c r="I995" cm="1">
        <f t="array" aca="1" ref="I995" ca="1">[1]!s_west_instnum_np($B$1,YEAR($A995)+1,$A995,180)</f>
        <v>12</v>
      </c>
      <c r="J995" cm="1">
        <f t="array" aca="1" ref="J995" ca="1">[1]!s_west_stdnetprofit($B$1,YEAR($A995)+1,$A995,180,1000000)</f>
        <v>102.789976</v>
      </c>
      <c r="K995" cm="1">
        <f t="array" aca="1" ref="K995" ca="1">[1]!s_west_mediannetprofit($B$1,YEAR($A994)+1,$A994,180,1000000)</f>
        <v>-52</v>
      </c>
      <c r="L995" cm="1">
        <f t="array" aca="1" ref="L995" ca="1">[1]!s_dq_close($B$1,$A995,3)</f>
        <v>24.05</v>
      </c>
    </row>
    <row r="996" spans="1:12">
      <c r="A996" s="23">
        <f t="shared" ca="1" si="15"/>
        <v>45179</v>
      </c>
      <c r="B996" cm="1">
        <f t="array" aca="1" ref="B996" ca="1">[1]!s_west_netprofit($B$1,YEAR($A996),$A996,180,1000000)</f>
        <v>-2.6147100000000001</v>
      </c>
      <c r="C996" cm="1">
        <f t="array" aca="1" ref="C996" ca="1">[1]!s_west_eps($B$1,YEAR($A996),$A996,180)</f>
        <v>-3.0000000000000001E-3</v>
      </c>
      <c r="D996" cm="1">
        <f t="array" aca="1" ref="D996" ca="1">[1]!s_west_instnum_np($B$1,YEAR($A996),$A996,180)</f>
        <v>12</v>
      </c>
      <c r="E996" cm="1">
        <f t="array" aca="1" ref="E996" ca="1">[1]!s_west_stdnetprofit($B$1,YEAR($A996),$A996,180,1000000)</f>
        <v>142.60447099999999</v>
      </c>
      <c r="F996" cm="1">
        <f t="array" aca="1" ref="F996" ca="1">[1]!s_west_mediannetprofit($B$1,YEAR($A996),$A996,180,1000000)</f>
        <v>-37</v>
      </c>
      <c r="G996" cm="1">
        <f t="array" aca="1" ref="G996" ca="1">[1]!s_west_netprofit($B$1,YEAR($A996)+1,$A996,180,1000000)</f>
        <v>-82.990834000000007</v>
      </c>
      <c r="H996" cm="1">
        <f t="array" aca="1" ref="H996" ca="1">[1]!s_west_eps($B$1,YEAR($A996)+1,$A996,180)</f>
        <v>-9.5299999999999996E-2</v>
      </c>
      <c r="I996" cm="1">
        <f t="array" aca="1" ref="I996" ca="1">[1]!s_west_instnum_np($B$1,YEAR($A996)+1,$A996,180)</f>
        <v>12</v>
      </c>
      <c r="J996" cm="1">
        <f t="array" aca="1" ref="J996" ca="1">[1]!s_west_stdnetprofit($B$1,YEAR($A996)+1,$A996,180,1000000)</f>
        <v>102.789976</v>
      </c>
      <c r="K996" cm="1">
        <f t="array" aca="1" ref="K996" ca="1">[1]!s_west_mediannetprofit($B$1,YEAR($A995)+1,$A995,180,1000000)</f>
        <v>-52</v>
      </c>
      <c r="L996" cm="1">
        <f t="array" aca="1" ref="L996" ca="1">[1]!s_dq_close($B$1,$A996,3)</f>
        <v>22.75</v>
      </c>
    </row>
    <row r="997" spans="1:12">
      <c r="A997" s="23">
        <f t="shared" ca="1" si="15"/>
        <v>45178</v>
      </c>
      <c r="B997" cm="1">
        <f t="array" aca="1" ref="B997" ca="1">[1]!s_west_netprofit($B$1,YEAR($A997),$A997,180,1000000)</f>
        <v>-2.6147100000000001</v>
      </c>
      <c r="C997" cm="1">
        <f t="array" aca="1" ref="C997" ca="1">[1]!s_west_eps($B$1,YEAR($A997),$A997,180)</f>
        <v>-3.0000000000000001E-3</v>
      </c>
      <c r="D997" cm="1">
        <f t="array" aca="1" ref="D997" ca="1">[1]!s_west_instnum_np($B$1,YEAR($A997),$A997,180)</f>
        <v>12</v>
      </c>
      <c r="E997" cm="1">
        <f t="array" aca="1" ref="E997" ca="1">[1]!s_west_stdnetprofit($B$1,YEAR($A997),$A997,180,1000000)</f>
        <v>142.60447099999999</v>
      </c>
      <c r="F997" cm="1">
        <f t="array" aca="1" ref="F997" ca="1">[1]!s_west_mediannetprofit($B$1,YEAR($A997),$A997,180,1000000)</f>
        <v>-37</v>
      </c>
      <c r="G997" cm="1">
        <f t="array" aca="1" ref="G997" ca="1">[1]!s_west_netprofit($B$1,YEAR($A997)+1,$A997,180,1000000)</f>
        <v>-82.990834000000007</v>
      </c>
      <c r="H997" cm="1">
        <f t="array" aca="1" ref="H997" ca="1">[1]!s_west_eps($B$1,YEAR($A997)+1,$A997,180)</f>
        <v>-9.5299999999999996E-2</v>
      </c>
      <c r="I997" cm="1">
        <f t="array" aca="1" ref="I997" ca="1">[1]!s_west_instnum_np($B$1,YEAR($A997)+1,$A997,180)</f>
        <v>12</v>
      </c>
      <c r="J997" cm="1">
        <f t="array" aca="1" ref="J997" ca="1">[1]!s_west_stdnetprofit($B$1,YEAR($A997)+1,$A997,180,1000000)</f>
        <v>102.789976</v>
      </c>
      <c r="K997" cm="1">
        <f t="array" aca="1" ref="K997" ca="1">[1]!s_west_mediannetprofit($B$1,YEAR($A996)+1,$A996,180,1000000)</f>
        <v>-52</v>
      </c>
      <c r="L997" cm="1">
        <f t="array" aca="1" ref="L997" ca="1">[1]!s_dq_close($B$1,$A997,3)</f>
        <v>22.75</v>
      </c>
    </row>
    <row r="998" spans="1:12">
      <c r="A998" s="23">
        <f t="shared" ca="1" si="15"/>
        <v>45177</v>
      </c>
      <c r="B998" cm="1">
        <f t="array" aca="1" ref="B998" ca="1">[1]!s_west_netprofit($B$1,YEAR($A998),$A998,180,1000000)</f>
        <v>-2.6147100000000001</v>
      </c>
      <c r="C998" cm="1">
        <f t="array" aca="1" ref="C998" ca="1">[1]!s_west_eps($B$1,YEAR($A998),$A998,180)</f>
        <v>-3.0000000000000001E-3</v>
      </c>
      <c r="D998" cm="1">
        <f t="array" aca="1" ref="D998" ca="1">[1]!s_west_instnum_np($B$1,YEAR($A998),$A998,180)</f>
        <v>12</v>
      </c>
      <c r="E998" cm="1">
        <f t="array" aca="1" ref="E998" ca="1">[1]!s_west_stdnetprofit($B$1,YEAR($A998),$A998,180,1000000)</f>
        <v>142.60447099999999</v>
      </c>
      <c r="F998" cm="1">
        <f t="array" aca="1" ref="F998" ca="1">[1]!s_west_mediannetprofit($B$1,YEAR($A998),$A998,180,1000000)</f>
        <v>-37</v>
      </c>
      <c r="G998" cm="1">
        <f t="array" aca="1" ref="G998" ca="1">[1]!s_west_netprofit($B$1,YEAR($A998)+1,$A998,180,1000000)</f>
        <v>-82.990834000000007</v>
      </c>
      <c r="H998" cm="1">
        <f t="array" aca="1" ref="H998" ca="1">[1]!s_west_eps($B$1,YEAR($A998)+1,$A998,180)</f>
        <v>-9.5299999999999996E-2</v>
      </c>
      <c r="I998" cm="1">
        <f t="array" aca="1" ref="I998" ca="1">[1]!s_west_instnum_np($B$1,YEAR($A998)+1,$A998,180)</f>
        <v>12</v>
      </c>
      <c r="J998" cm="1">
        <f t="array" aca="1" ref="J998" ca="1">[1]!s_west_stdnetprofit($B$1,YEAR($A998)+1,$A998,180,1000000)</f>
        <v>102.789976</v>
      </c>
      <c r="K998" cm="1">
        <f t="array" aca="1" ref="K998" ca="1">[1]!s_west_mediannetprofit($B$1,YEAR($A997)+1,$A997,180,1000000)</f>
        <v>-52</v>
      </c>
      <c r="L998" cm="1">
        <f t="array" aca="1" ref="L998" ca="1">[1]!s_dq_close($B$1,$A998,3)</f>
        <v>22.75</v>
      </c>
    </row>
    <row r="999" spans="1:12">
      <c r="A999" s="23">
        <f t="shared" ca="1" si="15"/>
        <v>45176</v>
      </c>
      <c r="B999" cm="1">
        <f t="array" aca="1" ref="B999" ca="1">[1]!s_west_netprofit($B$1,YEAR($A999),$A999,180,1000000)</f>
        <v>-2.630795</v>
      </c>
      <c r="C999" cm="1">
        <f t="array" aca="1" ref="C999" ca="1">[1]!s_west_eps($B$1,YEAR($A999),$A999,180)</f>
        <v>-3.0000000000000001E-3</v>
      </c>
      <c r="D999" cm="1">
        <f t="array" aca="1" ref="D999" ca="1">[1]!s_west_instnum_np($B$1,YEAR($A999),$A999,180)</f>
        <v>12</v>
      </c>
      <c r="E999" cm="1">
        <f t="array" aca="1" ref="E999" ca="1">[1]!s_west_stdnetprofit($B$1,YEAR($A999),$A999,180,1000000)</f>
        <v>142.61596700000001</v>
      </c>
      <c r="F999" cm="1">
        <f t="array" aca="1" ref="F999" ca="1">[1]!s_west_mediannetprofit($B$1,YEAR($A999),$A999,180,1000000)</f>
        <v>-37</v>
      </c>
      <c r="G999" cm="1">
        <f t="array" aca="1" ref="G999" ca="1">[1]!s_west_netprofit($B$1,YEAR($A999)+1,$A999,180,1000000)</f>
        <v>-83.010288000000003</v>
      </c>
      <c r="H999" cm="1">
        <f t="array" aca="1" ref="H999" ca="1">[1]!s_west_eps($B$1,YEAR($A999)+1,$A999,180)</f>
        <v>-9.5299999999999996E-2</v>
      </c>
      <c r="I999" cm="1">
        <f t="array" aca="1" ref="I999" ca="1">[1]!s_west_instnum_np($B$1,YEAR($A999)+1,$A999,180)</f>
        <v>12</v>
      </c>
      <c r="J999" cm="1">
        <f t="array" aca="1" ref="J999" ca="1">[1]!s_west_stdnetprofit($B$1,YEAR($A999)+1,$A999,180,1000000)</f>
        <v>102.79694000000001</v>
      </c>
      <c r="K999" cm="1">
        <f t="array" aca="1" ref="K999" ca="1">[1]!s_west_mediannetprofit($B$1,YEAR($A998)+1,$A998,180,1000000)</f>
        <v>-52</v>
      </c>
      <c r="L999" cm="1">
        <f t="array" aca="1" ref="L999" ca="1">[1]!s_dq_close($B$1,$A999,3)</f>
        <v>22.75</v>
      </c>
    </row>
    <row r="1000" spans="1:12">
      <c r="A1000" s="23">
        <f t="shared" ca="1" si="15"/>
        <v>45175</v>
      </c>
      <c r="B1000" cm="1">
        <f t="array" aca="1" ref="B1000" ca="1">[1]!s_west_netprofit($B$1,YEAR($A1000),$A1000,180,1000000)</f>
        <v>-2.630795</v>
      </c>
      <c r="C1000" cm="1">
        <f t="array" aca="1" ref="C1000" ca="1">[1]!s_west_eps($B$1,YEAR($A1000),$A1000,180)</f>
        <v>-3.0000000000000001E-3</v>
      </c>
      <c r="D1000" cm="1">
        <f t="array" aca="1" ref="D1000" ca="1">[1]!s_west_instnum_np($B$1,YEAR($A1000),$A1000,180)</f>
        <v>12</v>
      </c>
      <c r="E1000" cm="1">
        <f t="array" aca="1" ref="E1000" ca="1">[1]!s_west_stdnetprofit($B$1,YEAR($A1000),$A1000,180,1000000)</f>
        <v>142.61596700000001</v>
      </c>
      <c r="F1000" cm="1">
        <f t="array" aca="1" ref="F1000" ca="1">[1]!s_west_mediannetprofit($B$1,YEAR($A1000),$A1000,180,1000000)</f>
        <v>-37</v>
      </c>
      <c r="G1000" cm="1">
        <f t="array" aca="1" ref="G1000" ca="1">[1]!s_west_netprofit($B$1,YEAR($A1000)+1,$A1000,180,1000000)</f>
        <v>-83.010288000000003</v>
      </c>
      <c r="H1000" cm="1">
        <f t="array" aca="1" ref="H1000" ca="1">[1]!s_west_eps($B$1,YEAR($A1000)+1,$A1000,180)</f>
        <v>-9.5299999999999996E-2</v>
      </c>
      <c r="I1000" cm="1">
        <f t="array" aca="1" ref="I1000" ca="1">[1]!s_west_instnum_np($B$1,YEAR($A1000)+1,$A1000,180)</f>
        <v>12</v>
      </c>
      <c r="J1000" cm="1">
        <f t="array" aca="1" ref="J1000" ca="1">[1]!s_west_stdnetprofit($B$1,YEAR($A1000)+1,$A1000,180,1000000)</f>
        <v>102.79694000000001</v>
      </c>
      <c r="K1000" cm="1">
        <f t="array" aca="1" ref="K1000" ca="1">[1]!s_west_mediannetprofit($B$1,YEAR($A999)+1,$A999,180,1000000)</f>
        <v>-52</v>
      </c>
      <c r="L1000" cm="1">
        <f t="array" aca="1" ref="L1000" ca="1">[1]!s_dq_close($B$1,$A1000,3)</f>
        <v>23.25</v>
      </c>
    </row>
    <row r="1001" spans="1:12">
      <c r="A1001" s="23">
        <f t="shared" ca="1" si="15"/>
        <v>45174</v>
      </c>
      <c r="B1001" cm="1">
        <f t="array" aca="1" ref="B1001" ca="1">[1]!s_west_netprofit($B$1,YEAR($A1001),$A1001,180,1000000)</f>
        <v>-2.6522410000000001</v>
      </c>
      <c r="C1001" cm="1">
        <f t="array" aca="1" ref="C1001" ca="1">[1]!s_west_eps($B$1,YEAR($A1001),$A1001,180)</f>
        <v>-3.0000000000000001E-3</v>
      </c>
      <c r="D1001" cm="1">
        <f t="array" aca="1" ref="D1001" ca="1">[1]!s_west_instnum_np($B$1,YEAR($A1001),$A1001,180)</f>
        <v>12</v>
      </c>
      <c r="E1001" cm="1">
        <f t="array" aca="1" ref="E1001" ca="1">[1]!s_west_stdnetprofit($B$1,YEAR($A1001),$A1001,180,1000000)</f>
        <v>142.63132999999999</v>
      </c>
      <c r="F1001" cm="1">
        <f t="array" aca="1" ref="F1001" ca="1">[1]!s_west_mediannetprofit($B$1,YEAR($A1001),$A1001,180,1000000)</f>
        <v>-37</v>
      </c>
      <c r="G1001" cm="1">
        <f t="array" aca="1" ref="G1001" ca="1">[1]!s_west_netprofit($B$1,YEAR($A1001)+1,$A1001,180,1000000)</f>
        <v>-83.036225999999999</v>
      </c>
      <c r="H1001" cm="1">
        <f t="array" aca="1" ref="H1001" ca="1">[1]!s_west_eps($B$1,YEAR($A1001)+1,$A1001,180)</f>
        <v>-9.5299999999999996E-2</v>
      </c>
      <c r="I1001" cm="1">
        <f t="array" aca="1" ref="I1001" ca="1">[1]!s_west_instnum_np($B$1,YEAR($A1001)+1,$A1001,180)</f>
        <v>12</v>
      </c>
      <c r="J1001" cm="1">
        <f t="array" aca="1" ref="J1001" ca="1">[1]!s_west_stdnetprofit($B$1,YEAR($A1001)+1,$A1001,180,1000000)</f>
        <v>102.806298</v>
      </c>
      <c r="K1001" cm="1">
        <f t="array" aca="1" ref="K1001" ca="1">[1]!s_west_mediannetprofit($B$1,YEAR($A1000)+1,$A1000,180,1000000)</f>
        <v>-52</v>
      </c>
      <c r="L1001" cm="1">
        <f t="array" aca="1" ref="L1001" ca="1">[1]!s_dq_close($B$1,$A1001,3)</f>
        <v>23.65</v>
      </c>
    </row>
    <row r="1002" spans="1:12">
      <c r="A1002" s="23">
        <f t="shared" ca="1" si="15"/>
        <v>45173</v>
      </c>
      <c r="B1002" cm="1">
        <f t="array" aca="1" ref="B1002" ca="1">[1]!s_west_netprofit($B$1,YEAR($A1002),$A1002,180,1000000)</f>
        <v>-2.6522410000000001</v>
      </c>
      <c r="C1002" cm="1">
        <f t="array" aca="1" ref="C1002" ca="1">[1]!s_west_eps($B$1,YEAR($A1002),$A1002,180)</f>
        <v>-3.0000000000000001E-3</v>
      </c>
      <c r="D1002" cm="1">
        <f t="array" aca="1" ref="D1002" ca="1">[1]!s_west_instnum_np($B$1,YEAR($A1002),$A1002,180)</f>
        <v>12</v>
      </c>
      <c r="E1002" cm="1">
        <f t="array" aca="1" ref="E1002" ca="1">[1]!s_west_stdnetprofit($B$1,YEAR($A1002),$A1002,180,1000000)</f>
        <v>142.63132999999999</v>
      </c>
      <c r="F1002" cm="1">
        <f t="array" aca="1" ref="F1002" ca="1">[1]!s_west_mediannetprofit($B$1,YEAR($A1002),$A1002,180,1000000)</f>
        <v>-37</v>
      </c>
      <c r="G1002" cm="1">
        <f t="array" aca="1" ref="G1002" ca="1">[1]!s_west_netprofit($B$1,YEAR($A1002)+1,$A1002,180,1000000)</f>
        <v>-83.036225999999999</v>
      </c>
      <c r="H1002" cm="1">
        <f t="array" aca="1" ref="H1002" ca="1">[1]!s_west_eps($B$1,YEAR($A1002)+1,$A1002,180)</f>
        <v>-9.5299999999999996E-2</v>
      </c>
      <c r="I1002" cm="1">
        <f t="array" aca="1" ref="I1002" ca="1">[1]!s_west_instnum_np($B$1,YEAR($A1002)+1,$A1002,180)</f>
        <v>12</v>
      </c>
      <c r="J1002" cm="1">
        <f t="array" aca="1" ref="J1002" ca="1">[1]!s_west_stdnetprofit($B$1,YEAR($A1002)+1,$A1002,180,1000000)</f>
        <v>102.806298</v>
      </c>
      <c r="K1002" cm="1">
        <f t="array" aca="1" ref="K1002" ca="1">[1]!s_west_mediannetprofit($B$1,YEAR($A1001)+1,$A1001,180,1000000)</f>
        <v>-52</v>
      </c>
      <c r="L1002" cm="1">
        <f t="array" aca="1" ref="L1002" ca="1">[1]!s_dq_close($B$1,$A1002,3)</f>
        <v>24</v>
      </c>
    </row>
    <row r="1003" spans="1:12">
      <c r="A1003" s="23">
        <f t="shared" ca="1" si="15"/>
        <v>45172</v>
      </c>
      <c r="B1003" cm="1">
        <f t="array" aca="1" ref="B1003" ca="1">[1]!s_west_netprofit($B$1,YEAR($A1003),$A1003,180,1000000)</f>
        <v>-2.6522410000000001</v>
      </c>
      <c r="C1003" cm="1">
        <f t="array" aca="1" ref="C1003" ca="1">[1]!s_west_eps($B$1,YEAR($A1003),$A1003,180)</f>
        <v>-3.0000000000000001E-3</v>
      </c>
      <c r="D1003" cm="1">
        <f t="array" aca="1" ref="D1003" ca="1">[1]!s_west_instnum_np($B$1,YEAR($A1003),$A1003,180)</f>
        <v>12</v>
      </c>
      <c r="E1003" cm="1">
        <f t="array" aca="1" ref="E1003" ca="1">[1]!s_west_stdnetprofit($B$1,YEAR($A1003),$A1003,180,1000000)</f>
        <v>142.63132999999999</v>
      </c>
      <c r="F1003" cm="1">
        <f t="array" aca="1" ref="F1003" ca="1">[1]!s_west_mediannetprofit($B$1,YEAR($A1003),$A1003,180,1000000)</f>
        <v>-37</v>
      </c>
      <c r="G1003" cm="1">
        <f t="array" aca="1" ref="G1003" ca="1">[1]!s_west_netprofit($B$1,YEAR($A1003)+1,$A1003,180,1000000)</f>
        <v>-83.036225999999999</v>
      </c>
      <c r="H1003" cm="1">
        <f t="array" aca="1" ref="H1003" ca="1">[1]!s_west_eps($B$1,YEAR($A1003)+1,$A1003,180)</f>
        <v>-9.5299999999999996E-2</v>
      </c>
      <c r="I1003" cm="1">
        <f t="array" aca="1" ref="I1003" ca="1">[1]!s_west_instnum_np($B$1,YEAR($A1003)+1,$A1003,180)</f>
        <v>12</v>
      </c>
      <c r="J1003" cm="1">
        <f t="array" aca="1" ref="J1003" ca="1">[1]!s_west_stdnetprofit($B$1,YEAR($A1003)+1,$A1003,180,1000000)</f>
        <v>102.806298</v>
      </c>
      <c r="K1003" cm="1">
        <f t="array" aca="1" ref="K1003" ca="1">[1]!s_west_mediannetprofit($B$1,YEAR($A1002)+1,$A1002,180,1000000)</f>
        <v>-52</v>
      </c>
      <c r="L1003" cm="1">
        <f t="array" aca="1" ref="L1003" ca="1">[1]!s_dq_close($B$1,$A1003,3)</f>
        <v>24.1</v>
      </c>
    </row>
    <row r="1004" spans="1:12">
      <c r="A1004" s="23">
        <f t="shared" ca="1" si="15"/>
        <v>45171</v>
      </c>
      <c r="B1004" cm="1">
        <f t="array" aca="1" ref="B1004" ca="1">[1]!s_west_netprofit($B$1,YEAR($A1004),$A1004,180,1000000)</f>
        <v>-2.6522410000000001</v>
      </c>
      <c r="C1004" cm="1">
        <f t="array" aca="1" ref="C1004" ca="1">[1]!s_west_eps($B$1,YEAR($A1004),$A1004,180)</f>
        <v>-3.0000000000000001E-3</v>
      </c>
      <c r="D1004" cm="1">
        <f t="array" aca="1" ref="D1004" ca="1">[1]!s_west_instnum_np($B$1,YEAR($A1004),$A1004,180)</f>
        <v>12</v>
      </c>
      <c r="E1004" cm="1">
        <f t="array" aca="1" ref="E1004" ca="1">[1]!s_west_stdnetprofit($B$1,YEAR($A1004),$A1004,180,1000000)</f>
        <v>142.63132999999999</v>
      </c>
      <c r="F1004" cm="1">
        <f t="array" aca="1" ref="F1004" ca="1">[1]!s_west_mediannetprofit($B$1,YEAR($A1004),$A1004,180,1000000)</f>
        <v>-37</v>
      </c>
      <c r="G1004" cm="1">
        <f t="array" aca="1" ref="G1004" ca="1">[1]!s_west_netprofit($B$1,YEAR($A1004)+1,$A1004,180,1000000)</f>
        <v>-83.036225999999999</v>
      </c>
      <c r="H1004" cm="1">
        <f t="array" aca="1" ref="H1004" ca="1">[1]!s_west_eps($B$1,YEAR($A1004)+1,$A1004,180)</f>
        <v>-9.5299999999999996E-2</v>
      </c>
      <c r="I1004" cm="1">
        <f t="array" aca="1" ref="I1004" ca="1">[1]!s_west_instnum_np($B$1,YEAR($A1004)+1,$A1004,180)</f>
        <v>12</v>
      </c>
      <c r="J1004" cm="1">
        <f t="array" aca="1" ref="J1004" ca="1">[1]!s_west_stdnetprofit($B$1,YEAR($A1004)+1,$A1004,180,1000000)</f>
        <v>102.806298</v>
      </c>
      <c r="K1004" cm="1">
        <f t="array" aca="1" ref="K1004" ca="1">[1]!s_west_mediannetprofit($B$1,YEAR($A1003)+1,$A1003,180,1000000)</f>
        <v>-52</v>
      </c>
      <c r="L1004" cm="1">
        <f t="array" aca="1" ref="L1004" ca="1">[1]!s_dq_close($B$1,$A1004,3)</f>
        <v>24.1</v>
      </c>
    </row>
    <row r="1005" spans="1:12">
      <c r="A1005" s="23">
        <f t="shared" ca="1" si="15"/>
        <v>45170</v>
      </c>
      <c r="B1005" cm="1">
        <f t="array" aca="1" ref="B1005" ca="1">[1]!s_west_netprofit($B$1,YEAR($A1005),$A1005,180,1000000)</f>
        <v>-2.6522410000000001</v>
      </c>
      <c r="C1005" cm="1">
        <f t="array" aca="1" ref="C1005" ca="1">[1]!s_west_eps($B$1,YEAR($A1005),$A1005,180)</f>
        <v>-3.0000000000000001E-3</v>
      </c>
      <c r="D1005" cm="1">
        <f t="array" aca="1" ref="D1005" ca="1">[1]!s_west_instnum_np($B$1,YEAR($A1005),$A1005,180)</f>
        <v>12</v>
      </c>
      <c r="E1005" cm="1">
        <f t="array" aca="1" ref="E1005" ca="1">[1]!s_west_stdnetprofit($B$1,YEAR($A1005),$A1005,180,1000000)</f>
        <v>142.63132999999999</v>
      </c>
      <c r="F1005" cm="1">
        <f t="array" aca="1" ref="F1005" ca="1">[1]!s_west_mediannetprofit($B$1,YEAR($A1005),$A1005,180,1000000)</f>
        <v>-37</v>
      </c>
      <c r="G1005" cm="1">
        <f t="array" aca="1" ref="G1005" ca="1">[1]!s_west_netprofit($B$1,YEAR($A1005)+1,$A1005,180,1000000)</f>
        <v>-83.036225999999999</v>
      </c>
      <c r="H1005" cm="1">
        <f t="array" aca="1" ref="H1005" ca="1">[1]!s_west_eps($B$1,YEAR($A1005)+1,$A1005,180)</f>
        <v>-9.5299999999999996E-2</v>
      </c>
      <c r="I1005" cm="1">
        <f t="array" aca="1" ref="I1005" ca="1">[1]!s_west_instnum_np($B$1,YEAR($A1005)+1,$A1005,180)</f>
        <v>12</v>
      </c>
      <c r="J1005" cm="1">
        <f t="array" aca="1" ref="J1005" ca="1">[1]!s_west_stdnetprofit($B$1,YEAR($A1005)+1,$A1005,180,1000000)</f>
        <v>102.806298</v>
      </c>
      <c r="K1005" cm="1">
        <f t="array" aca="1" ref="K1005" ca="1">[1]!s_west_mediannetprofit($B$1,YEAR($A1004)+1,$A1004,180,1000000)</f>
        <v>-52</v>
      </c>
      <c r="L1005" cm="1">
        <f t="array" aca="1" ref="L1005" ca="1">[1]!s_dq_close($B$1,$A1005,3)</f>
        <v>24.1</v>
      </c>
    </row>
    <row r="1006" spans="1:12">
      <c r="A1006" s="23">
        <f t="shared" ca="1" si="15"/>
        <v>45169</v>
      </c>
      <c r="B1006" cm="1">
        <f t="array" aca="1" ref="B1006" ca="1">[1]!s_west_netprofit($B$1,YEAR($A1006),$A1006,180,1000000)</f>
        <v>-2.6522410000000001</v>
      </c>
      <c r="C1006" cm="1">
        <f t="array" aca="1" ref="C1006" ca="1">[1]!s_west_eps($B$1,YEAR($A1006),$A1006,180)</f>
        <v>-3.0000000000000001E-3</v>
      </c>
      <c r="D1006" cm="1">
        <f t="array" aca="1" ref="D1006" ca="1">[1]!s_west_instnum_np($B$1,YEAR($A1006),$A1006,180)</f>
        <v>12</v>
      </c>
      <c r="E1006" cm="1">
        <f t="array" aca="1" ref="E1006" ca="1">[1]!s_west_stdnetprofit($B$1,YEAR($A1006),$A1006,180,1000000)</f>
        <v>142.63132999999999</v>
      </c>
      <c r="F1006" cm="1">
        <f t="array" aca="1" ref="F1006" ca="1">[1]!s_west_mediannetprofit($B$1,YEAR($A1006),$A1006,180,1000000)</f>
        <v>-37</v>
      </c>
      <c r="G1006" cm="1">
        <f t="array" aca="1" ref="G1006" ca="1">[1]!s_west_netprofit($B$1,YEAR($A1006)+1,$A1006,180,1000000)</f>
        <v>-83.036225999999999</v>
      </c>
      <c r="H1006" cm="1">
        <f t="array" aca="1" ref="H1006" ca="1">[1]!s_west_eps($B$1,YEAR($A1006)+1,$A1006,180)</f>
        <v>-9.5299999999999996E-2</v>
      </c>
      <c r="I1006" cm="1">
        <f t="array" aca="1" ref="I1006" ca="1">[1]!s_west_instnum_np($B$1,YEAR($A1006)+1,$A1006,180)</f>
        <v>12</v>
      </c>
      <c r="J1006" cm="1">
        <f t="array" aca="1" ref="J1006" ca="1">[1]!s_west_stdnetprofit($B$1,YEAR($A1006)+1,$A1006,180,1000000)</f>
        <v>102.806298</v>
      </c>
      <c r="K1006" cm="1">
        <f t="array" aca="1" ref="K1006" ca="1">[1]!s_west_mediannetprofit($B$1,YEAR($A1005)+1,$A1005,180,1000000)</f>
        <v>-52</v>
      </c>
      <c r="L1006" cm="1">
        <f t="array" aca="1" ref="L1006" ca="1">[1]!s_dq_close($B$1,$A1006,3)</f>
        <v>24.1</v>
      </c>
    </row>
    <row r="1007" spans="1:12">
      <c r="A1007" s="23">
        <f t="shared" ca="1" si="15"/>
        <v>45168</v>
      </c>
      <c r="B1007" cm="1">
        <f t="array" aca="1" ref="B1007" ca="1">[1]!s_west_netprofit($B$1,YEAR($A1007),$A1007,180,1000000)</f>
        <v>-2.6468799999999999</v>
      </c>
      <c r="C1007" cm="1">
        <f t="array" aca="1" ref="C1007" ca="1">[1]!s_west_eps($B$1,YEAR($A1007),$A1007,180)</f>
        <v>-3.0000000000000001E-3</v>
      </c>
      <c r="D1007" cm="1">
        <f t="array" aca="1" ref="D1007" ca="1">[1]!s_west_instnum_np($B$1,YEAR($A1007),$A1007,180)</f>
        <v>12</v>
      </c>
      <c r="E1007" cm="1">
        <f t="array" aca="1" ref="E1007" ca="1">[1]!s_west_stdnetprofit($B$1,YEAR($A1007),$A1007,180,1000000)</f>
        <v>142.62748500000001</v>
      </c>
      <c r="F1007" cm="1">
        <f t="array" aca="1" ref="F1007" ca="1">[1]!s_west_mediannetprofit($B$1,YEAR($A1007),$A1007,180,1000000)</f>
        <v>-37</v>
      </c>
      <c r="G1007" cm="1">
        <f t="array" aca="1" ref="G1007" ca="1">[1]!s_west_netprofit($B$1,YEAR($A1007)+1,$A1007,180,1000000)</f>
        <v>-83.029741000000001</v>
      </c>
      <c r="H1007" cm="1">
        <f t="array" aca="1" ref="H1007" ca="1">[1]!s_west_eps($B$1,YEAR($A1007)+1,$A1007,180)</f>
        <v>-9.5399999999999999E-2</v>
      </c>
      <c r="I1007" cm="1">
        <f t="array" aca="1" ref="I1007" ca="1">[1]!s_west_instnum_np($B$1,YEAR($A1007)+1,$A1007,180)</f>
        <v>12</v>
      </c>
      <c r="J1007" cm="1">
        <f t="array" aca="1" ref="J1007" ca="1">[1]!s_west_stdnetprofit($B$1,YEAR($A1007)+1,$A1007,180,1000000)</f>
        <v>102.803951</v>
      </c>
      <c r="K1007" cm="1">
        <f t="array" aca="1" ref="K1007" ca="1">[1]!s_west_mediannetprofit($B$1,YEAR($A1006)+1,$A1006,180,1000000)</f>
        <v>-52</v>
      </c>
      <c r="L1007" cm="1">
        <f t="array" aca="1" ref="L1007" ca="1">[1]!s_dq_close($B$1,$A1007,3)</f>
        <v>24.2</v>
      </c>
    </row>
    <row r="1008" spans="1:12">
      <c r="A1008" s="23">
        <f t="shared" ca="1" si="15"/>
        <v>45167</v>
      </c>
      <c r="B1008" cm="1">
        <f t="array" aca="1" ref="B1008" ca="1">[1]!s_west_netprofit($B$1,YEAR($A1008),$A1008,180,1000000)</f>
        <v>-2.6468799999999999</v>
      </c>
      <c r="C1008" cm="1">
        <f t="array" aca="1" ref="C1008" ca="1">[1]!s_west_eps($B$1,YEAR($A1008),$A1008,180)</f>
        <v>-3.0000000000000001E-3</v>
      </c>
      <c r="D1008" cm="1">
        <f t="array" aca="1" ref="D1008" ca="1">[1]!s_west_instnum_np($B$1,YEAR($A1008),$A1008,180)</f>
        <v>12</v>
      </c>
      <c r="E1008" cm="1">
        <f t="array" aca="1" ref="E1008" ca="1">[1]!s_west_stdnetprofit($B$1,YEAR($A1008),$A1008,180,1000000)</f>
        <v>142.62748500000001</v>
      </c>
      <c r="F1008" cm="1">
        <f t="array" aca="1" ref="F1008" ca="1">[1]!s_west_mediannetprofit($B$1,YEAR($A1008),$A1008,180,1000000)</f>
        <v>-37</v>
      </c>
      <c r="G1008" cm="1">
        <f t="array" aca="1" ref="G1008" ca="1">[1]!s_west_netprofit($B$1,YEAR($A1008)+1,$A1008,180,1000000)</f>
        <v>-83.029741000000001</v>
      </c>
      <c r="H1008" cm="1">
        <f t="array" aca="1" ref="H1008" ca="1">[1]!s_west_eps($B$1,YEAR($A1008)+1,$A1008,180)</f>
        <v>-9.5399999999999999E-2</v>
      </c>
      <c r="I1008" cm="1">
        <f t="array" aca="1" ref="I1008" ca="1">[1]!s_west_instnum_np($B$1,YEAR($A1008)+1,$A1008,180)</f>
        <v>12</v>
      </c>
      <c r="J1008" cm="1">
        <f t="array" aca="1" ref="J1008" ca="1">[1]!s_west_stdnetprofit($B$1,YEAR($A1008)+1,$A1008,180,1000000)</f>
        <v>102.803951</v>
      </c>
      <c r="K1008" cm="1">
        <f t="array" aca="1" ref="K1008" ca="1">[1]!s_west_mediannetprofit($B$1,YEAR($A1007)+1,$A1007,180,1000000)</f>
        <v>-52</v>
      </c>
      <c r="L1008" cm="1">
        <f t="array" aca="1" ref="L1008" ca="1">[1]!s_dq_close($B$1,$A1008,3)</f>
        <v>24.8</v>
      </c>
    </row>
    <row r="1009" spans="1:12">
      <c r="A1009" s="23">
        <f t="shared" ca="1" si="15"/>
        <v>45166</v>
      </c>
      <c r="B1009" cm="1">
        <f t="array" aca="1" ref="B1009" ca="1">[1]!s_west_netprofit($B$1,YEAR($A1009),$A1009,180,1000000)</f>
        <v>-2.6468799999999999</v>
      </c>
      <c r="C1009" cm="1">
        <f t="array" aca="1" ref="C1009" ca="1">[1]!s_west_eps($B$1,YEAR($A1009),$A1009,180)</f>
        <v>-3.0000000000000001E-3</v>
      </c>
      <c r="D1009" cm="1">
        <f t="array" aca="1" ref="D1009" ca="1">[1]!s_west_instnum_np($B$1,YEAR($A1009),$A1009,180)</f>
        <v>12</v>
      </c>
      <c r="E1009" cm="1">
        <f t="array" aca="1" ref="E1009" ca="1">[1]!s_west_stdnetprofit($B$1,YEAR($A1009),$A1009,180,1000000)</f>
        <v>142.62748500000001</v>
      </c>
      <c r="F1009" cm="1">
        <f t="array" aca="1" ref="F1009" ca="1">[1]!s_west_mediannetprofit($B$1,YEAR($A1009),$A1009,180,1000000)</f>
        <v>-37</v>
      </c>
      <c r="G1009" cm="1">
        <f t="array" aca="1" ref="G1009" ca="1">[1]!s_west_netprofit($B$1,YEAR($A1009)+1,$A1009,180,1000000)</f>
        <v>-83.029741000000001</v>
      </c>
      <c r="H1009" cm="1">
        <f t="array" aca="1" ref="H1009" ca="1">[1]!s_west_eps($B$1,YEAR($A1009)+1,$A1009,180)</f>
        <v>-9.5399999999999999E-2</v>
      </c>
      <c r="I1009" cm="1">
        <f t="array" aca="1" ref="I1009" ca="1">[1]!s_west_instnum_np($B$1,YEAR($A1009)+1,$A1009,180)</f>
        <v>12</v>
      </c>
      <c r="J1009" cm="1">
        <f t="array" aca="1" ref="J1009" ca="1">[1]!s_west_stdnetprofit($B$1,YEAR($A1009)+1,$A1009,180,1000000)</f>
        <v>102.803951</v>
      </c>
      <c r="K1009" cm="1">
        <f t="array" aca="1" ref="K1009" ca="1">[1]!s_west_mediannetprofit($B$1,YEAR($A1008)+1,$A1008,180,1000000)</f>
        <v>-52</v>
      </c>
      <c r="L1009" cm="1">
        <f t="array" aca="1" ref="L1009" ca="1">[1]!s_dq_close($B$1,$A1009,3)</f>
        <v>23.2</v>
      </c>
    </row>
    <row r="1010" spans="1:12">
      <c r="A1010" s="23">
        <f t="shared" ca="1" si="15"/>
        <v>45165</v>
      </c>
      <c r="B1010" cm="1">
        <f t="array" aca="1" ref="B1010" ca="1">[1]!s_west_netprofit($B$1,YEAR($A1010),$A1010,180,1000000)</f>
        <v>-2.641518</v>
      </c>
      <c r="C1010" cm="1">
        <f t="array" aca="1" ref="C1010" ca="1">[1]!s_west_eps($B$1,YEAR($A1010),$A1010,180)</f>
        <v>-3.0000000000000001E-3</v>
      </c>
      <c r="D1010" cm="1">
        <f t="array" aca="1" ref="D1010" ca="1">[1]!s_west_instnum_np($B$1,YEAR($A1010),$A1010,180)</f>
        <v>12</v>
      </c>
      <c r="E1010" cm="1">
        <f t="array" aca="1" ref="E1010" ca="1">[1]!s_west_stdnetprofit($B$1,YEAR($A1010),$A1010,180,1000000)</f>
        <v>142.62364299999999</v>
      </c>
      <c r="F1010" cm="1">
        <f t="array" aca="1" ref="F1010" ca="1">[1]!s_west_mediannetprofit($B$1,YEAR($A1010),$A1010,180,1000000)</f>
        <v>-37</v>
      </c>
      <c r="G1010" cm="1">
        <f t="array" aca="1" ref="G1010" ca="1">[1]!s_west_netprofit($B$1,YEAR($A1010)+1,$A1010,180,1000000)</f>
        <v>-83.023257000000001</v>
      </c>
      <c r="H1010" cm="1">
        <f t="array" aca="1" ref="H1010" ca="1">[1]!s_west_eps($B$1,YEAR($A1010)+1,$A1010,180)</f>
        <v>-9.5399999999999999E-2</v>
      </c>
      <c r="I1010" cm="1">
        <f t="array" aca="1" ref="I1010" ca="1">[1]!s_west_instnum_np($B$1,YEAR($A1010)+1,$A1010,180)</f>
        <v>12</v>
      </c>
      <c r="J1010" cm="1">
        <f t="array" aca="1" ref="J1010" ca="1">[1]!s_west_stdnetprofit($B$1,YEAR($A1010)+1,$A1010,180,1000000)</f>
        <v>102.801608</v>
      </c>
      <c r="K1010" cm="1">
        <f t="array" aca="1" ref="K1010" ca="1">[1]!s_west_mediannetprofit($B$1,YEAR($A1009)+1,$A1009,180,1000000)</f>
        <v>-52</v>
      </c>
      <c r="L1010" cm="1">
        <f t="array" aca="1" ref="L1010" ca="1">[1]!s_dq_close($B$1,$A1010,3)</f>
        <v>22.6</v>
      </c>
    </row>
    <row r="1011" spans="1:12">
      <c r="A1011" s="23">
        <f t="shared" ca="1" si="15"/>
        <v>45164</v>
      </c>
      <c r="B1011" cm="1">
        <f t="array" aca="1" ref="B1011" ca="1">[1]!s_west_netprofit($B$1,YEAR($A1011),$A1011,180,1000000)</f>
        <v>-2.641518</v>
      </c>
      <c r="C1011" cm="1">
        <f t="array" aca="1" ref="C1011" ca="1">[1]!s_west_eps($B$1,YEAR($A1011),$A1011,180)</f>
        <v>-3.0000000000000001E-3</v>
      </c>
      <c r="D1011" cm="1">
        <f t="array" aca="1" ref="D1011" ca="1">[1]!s_west_instnum_np($B$1,YEAR($A1011),$A1011,180)</f>
        <v>12</v>
      </c>
      <c r="E1011" cm="1">
        <f t="array" aca="1" ref="E1011" ca="1">[1]!s_west_stdnetprofit($B$1,YEAR($A1011),$A1011,180,1000000)</f>
        <v>142.62364299999999</v>
      </c>
      <c r="F1011" cm="1">
        <f t="array" aca="1" ref="F1011" ca="1">[1]!s_west_mediannetprofit($B$1,YEAR($A1011),$A1011,180,1000000)</f>
        <v>-37</v>
      </c>
      <c r="G1011" cm="1">
        <f t="array" aca="1" ref="G1011" ca="1">[1]!s_west_netprofit($B$1,YEAR($A1011)+1,$A1011,180,1000000)</f>
        <v>-83.023257000000001</v>
      </c>
      <c r="H1011" cm="1">
        <f t="array" aca="1" ref="H1011" ca="1">[1]!s_west_eps($B$1,YEAR($A1011)+1,$A1011,180)</f>
        <v>-9.5399999999999999E-2</v>
      </c>
      <c r="I1011" cm="1">
        <f t="array" aca="1" ref="I1011" ca="1">[1]!s_west_instnum_np($B$1,YEAR($A1011)+1,$A1011,180)</f>
        <v>12</v>
      </c>
      <c r="J1011" cm="1">
        <f t="array" aca="1" ref="J1011" ca="1">[1]!s_west_stdnetprofit($B$1,YEAR($A1011)+1,$A1011,180,1000000)</f>
        <v>102.801608</v>
      </c>
      <c r="K1011" cm="1">
        <f t="array" aca="1" ref="K1011" ca="1">[1]!s_west_mediannetprofit($B$1,YEAR($A1010)+1,$A1010,180,1000000)</f>
        <v>-52</v>
      </c>
      <c r="L1011" cm="1">
        <f t="array" aca="1" ref="L1011" ca="1">[1]!s_dq_close($B$1,$A1011,3)</f>
        <v>22.6</v>
      </c>
    </row>
    <row r="1012" spans="1:12">
      <c r="A1012" s="23">
        <f t="shared" ca="1" si="15"/>
        <v>45163</v>
      </c>
      <c r="B1012" cm="1">
        <f t="array" aca="1" ref="B1012" ca="1">[1]!s_west_netprofit($B$1,YEAR($A1012),$A1012,180,1000000)</f>
        <v>-2.641518</v>
      </c>
      <c r="C1012" cm="1">
        <f t="array" aca="1" ref="C1012" ca="1">[1]!s_west_eps($B$1,YEAR($A1012),$A1012,180)</f>
        <v>-3.0000000000000001E-3</v>
      </c>
      <c r="D1012" cm="1">
        <f t="array" aca="1" ref="D1012" ca="1">[1]!s_west_instnum_np($B$1,YEAR($A1012),$A1012,180)</f>
        <v>12</v>
      </c>
      <c r="E1012" cm="1">
        <f t="array" aca="1" ref="E1012" ca="1">[1]!s_west_stdnetprofit($B$1,YEAR($A1012),$A1012,180,1000000)</f>
        <v>142.62364299999999</v>
      </c>
      <c r="F1012" cm="1">
        <f t="array" aca="1" ref="F1012" ca="1">[1]!s_west_mediannetprofit($B$1,YEAR($A1012),$A1012,180,1000000)</f>
        <v>-37</v>
      </c>
      <c r="G1012" cm="1">
        <f t="array" aca="1" ref="G1012" ca="1">[1]!s_west_netprofit($B$1,YEAR($A1012)+1,$A1012,180,1000000)</f>
        <v>-83.023257000000001</v>
      </c>
      <c r="H1012" cm="1">
        <f t="array" aca="1" ref="H1012" ca="1">[1]!s_west_eps($B$1,YEAR($A1012)+1,$A1012,180)</f>
        <v>-9.5399999999999999E-2</v>
      </c>
      <c r="I1012" cm="1">
        <f t="array" aca="1" ref="I1012" ca="1">[1]!s_west_instnum_np($B$1,YEAR($A1012)+1,$A1012,180)</f>
        <v>12</v>
      </c>
      <c r="J1012" cm="1">
        <f t="array" aca="1" ref="J1012" ca="1">[1]!s_west_stdnetprofit($B$1,YEAR($A1012)+1,$A1012,180,1000000)</f>
        <v>102.801608</v>
      </c>
      <c r="K1012" cm="1">
        <f t="array" aca="1" ref="K1012" ca="1">[1]!s_west_mediannetprofit($B$1,YEAR($A1011)+1,$A1011,180,1000000)</f>
        <v>-52</v>
      </c>
      <c r="L1012" cm="1">
        <f t="array" aca="1" ref="L1012" ca="1">[1]!s_dq_close($B$1,$A1012,3)</f>
        <v>22.6</v>
      </c>
    </row>
    <row r="1013" spans="1:12">
      <c r="A1013" s="23">
        <f t="shared" ca="1" si="15"/>
        <v>45162</v>
      </c>
      <c r="B1013" cm="1">
        <f t="array" aca="1" ref="B1013" ca="1">[1]!s_west_netprofit($B$1,YEAR($A1013),$A1013,180,1000000)</f>
        <v>-2.641518</v>
      </c>
      <c r="C1013" cm="1">
        <f t="array" aca="1" ref="C1013" ca="1">[1]!s_west_eps($B$1,YEAR($A1013),$A1013,180)</f>
        <v>-3.0000000000000001E-3</v>
      </c>
      <c r="D1013" cm="1">
        <f t="array" aca="1" ref="D1013" ca="1">[1]!s_west_instnum_np($B$1,YEAR($A1013),$A1013,180)</f>
        <v>12</v>
      </c>
      <c r="E1013" cm="1">
        <f t="array" aca="1" ref="E1013" ca="1">[1]!s_west_stdnetprofit($B$1,YEAR($A1013),$A1013,180,1000000)</f>
        <v>142.62364299999999</v>
      </c>
      <c r="F1013" cm="1">
        <f t="array" aca="1" ref="F1013" ca="1">[1]!s_west_mediannetprofit($B$1,YEAR($A1013),$A1013,180,1000000)</f>
        <v>-37</v>
      </c>
      <c r="G1013" cm="1">
        <f t="array" aca="1" ref="G1013" ca="1">[1]!s_west_netprofit($B$1,YEAR($A1013)+1,$A1013,180,1000000)</f>
        <v>-83.023257000000001</v>
      </c>
      <c r="H1013" cm="1">
        <f t="array" aca="1" ref="H1013" ca="1">[1]!s_west_eps($B$1,YEAR($A1013)+1,$A1013,180)</f>
        <v>-9.5399999999999999E-2</v>
      </c>
      <c r="I1013" cm="1">
        <f t="array" aca="1" ref="I1013" ca="1">[1]!s_west_instnum_np($B$1,YEAR($A1013)+1,$A1013,180)</f>
        <v>12</v>
      </c>
      <c r="J1013" cm="1">
        <f t="array" aca="1" ref="J1013" ca="1">[1]!s_west_stdnetprofit($B$1,YEAR($A1013)+1,$A1013,180,1000000)</f>
        <v>102.801608</v>
      </c>
      <c r="K1013" cm="1">
        <f t="array" aca="1" ref="K1013" ca="1">[1]!s_west_mediannetprofit($B$1,YEAR($A1012)+1,$A1012,180,1000000)</f>
        <v>-52</v>
      </c>
      <c r="L1013" cm="1">
        <f t="array" aca="1" ref="L1013" ca="1">[1]!s_dq_close($B$1,$A1013,3)</f>
        <v>22.8</v>
      </c>
    </row>
    <row r="1014" spans="1:12">
      <c r="A1014" s="23">
        <f t="shared" ca="1" si="15"/>
        <v>45161</v>
      </c>
      <c r="B1014" cm="1">
        <f t="array" aca="1" ref="B1014" ca="1">[1]!s_west_netprofit($B$1,YEAR($A1014),$A1014,180,1000000)</f>
        <v>-2.630795</v>
      </c>
      <c r="C1014" cm="1">
        <f t="array" aca="1" ref="C1014" ca="1">[1]!s_west_eps($B$1,YEAR($A1014),$A1014,180)</f>
        <v>-3.0000000000000001E-3</v>
      </c>
      <c r="D1014" cm="1">
        <f t="array" aca="1" ref="D1014" ca="1">[1]!s_west_instnum_np($B$1,YEAR($A1014),$A1014,180)</f>
        <v>12</v>
      </c>
      <c r="E1014" cm="1">
        <f t="array" aca="1" ref="E1014" ca="1">[1]!s_west_stdnetprofit($B$1,YEAR($A1014),$A1014,180,1000000)</f>
        <v>142.61596700000001</v>
      </c>
      <c r="F1014" cm="1">
        <f t="array" aca="1" ref="F1014" ca="1">[1]!s_west_mediannetprofit($B$1,YEAR($A1014),$A1014,180,1000000)</f>
        <v>-37</v>
      </c>
      <c r="G1014" cm="1">
        <f t="array" aca="1" ref="G1014" ca="1">[1]!s_west_netprofit($B$1,YEAR($A1014)+1,$A1014,180,1000000)</f>
        <v>-83.010288000000003</v>
      </c>
      <c r="H1014" cm="1">
        <f t="array" aca="1" ref="H1014" ca="1">[1]!s_west_eps($B$1,YEAR($A1014)+1,$A1014,180)</f>
        <v>-9.5399999999999999E-2</v>
      </c>
      <c r="I1014" cm="1">
        <f t="array" aca="1" ref="I1014" ca="1">[1]!s_west_instnum_np($B$1,YEAR($A1014)+1,$A1014,180)</f>
        <v>12</v>
      </c>
      <c r="J1014" cm="1">
        <f t="array" aca="1" ref="J1014" ca="1">[1]!s_west_stdnetprofit($B$1,YEAR($A1014)+1,$A1014,180,1000000)</f>
        <v>102.79694000000001</v>
      </c>
      <c r="K1014" cm="1">
        <f t="array" aca="1" ref="K1014" ca="1">[1]!s_west_mediannetprofit($B$1,YEAR($A1013)+1,$A1013,180,1000000)</f>
        <v>-52</v>
      </c>
      <c r="L1014" cm="1">
        <f t="array" aca="1" ref="L1014" ca="1">[1]!s_dq_close($B$1,$A1014,3)</f>
        <v>21.35</v>
      </c>
    </row>
    <row r="1015" spans="1:12">
      <c r="A1015" s="23">
        <f t="shared" ca="1" si="15"/>
        <v>45160</v>
      </c>
      <c r="B1015" cm="1">
        <f t="array" aca="1" ref="B1015" ca="1">[1]!s_west_netprofit($B$1,YEAR($A1015),$A1015,180,1000000)</f>
        <v>-2.630795</v>
      </c>
      <c r="C1015" cm="1">
        <f t="array" aca="1" ref="C1015" ca="1">[1]!s_west_eps($B$1,YEAR($A1015),$A1015,180)</f>
        <v>-3.0000000000000001E-3</v>
      </c>
      <c r="D1015" cm="1">
        <f t="array" aca="1" ref="D1015" ca="1">[1]!s_west_instnum_np($B$1,YEAR($A1015),$A1015,180)</f>
        <v>12</v>
      </c>
      <c r="E1015" cm="1">
        <f t="array" aca="1" ref="E1015" ca="1">[1]!s_west_stdnetprofit($B$1,YEAR($A1015),$A1015,180,1000000)</f>
        <v>142.61596700000001</v>
      </c>
      <c r="F1015" cm="1">
        <f t="array" aca="1" ref="F1015" ca="1">[1]!s_west_mediannetprofit($B$1,YEAR($A1015),$A1015,180,1000000)</f>
        <v>-37</v>
      </c>
      <c r="G1015" cm="1">
        <f t="array" aca="1" ref="G1015" ca="1">[1]!s_west_netprofit($B$1,YEAR($A1015)+1,$A1015,180,1000000)</f>
        <v>-83.010288000000003</v>
      </c>
      <c r="H1015" cm="1">
        <f t="array" aca="1" ref="H1015" ca="1">[1]!s_west_eps($B$1,YEAR($A1015)+1,$A1015,180)</f>
        <v>-9.5399999999999999E-2</v>
      </c>
      <c r="I1015" cm="1">
        <f t="array" aca="1" ref="I1015" ca="1">[1]!s_west_instnum_np($B$1,YEAR($A1015)+1,$A1015,180)</f>
        <v>12</v>
      </c>
      <c r="J1015" cm="1">
        <f t="array" aca="1" ref="J1015" ca="1">[1]!s_west_stdnetprofit($B$1,YEAR($A1015)+1,$A1015,180,1000000)</f>
        <v>102.79694000000001</v>
      </c>
      <c r="K1015" cm="1">
        <f t="array" aca="1" ref="K1015" ca="1">[1]!s_west_mediannetprofit($B$1,YEAR($A1014)+1,$A1014,180,1000000)</f>
        <v>-52</v>
      </c>
      <c r="L1015" cm="1">
        <f t="array" aca="1" ref="L1015" ca="1">[1]!s_dq_close($B$1,$A1015,3)</f>
        <v>21.55</v>
      </c>
    </row>
    <row r="1016" spans="1:12">
      <c r="A1016" s="23">
        <f t="shared" ca="1" si="15"/>
        <v>45159</v>
      </c>
      <c r="B1016" cm="1">
        <f t="array" aca="1" ref="B1016" ca="1">[1]!s_west_netprofit($B$1,YEAR($A1016),$A1016,180,1000000)</f>
        <v>-2.630795</v>
      </c>
      <c r="C1016" cm="1">
        <f t="array" aca="1" ref="C1016" ca="1">[1]!s_west_eps($B$1,YEAR($A1016),$A1016,180)</f>
        <v>-3.0000000000000001E-3</v>
      </c>
      <c r="D1016" cm="1">
        <f t="array" aca="1" ref="D1016" ca="1">[1]!s_west_instnum_np($B$1,YEAR($A1016),$A1016,180)</f>
        <v>12</v>
      </c>
      <c r="E1016" cm="1">
        <f t="array" aca="1" ref="E1016" ca="1">[1]!s_west_stdnetprofit($B$1,YEAR($A1016),$A1016,180,1000000)</f>
        <v>142.61596700000001</v>
      </c>
      <c r="F1016" cm="1">
        <f t="array" aca="1" ref="F1016" ca="1">[1]!s_west_mediannetprofit($B$1,YEAR($A1016),$A1016,180,1000000)</f>
        <v>-37</v>
      </c>
      <c r="G1016" cm="1">
        <f t="array" aca="1" ref="G1016" ca="1">[1]!s_west_netprofit($B$1,YEAR($A1016)+1,$A1016,180,1000000)</f>
        <v>-83.010288000000003</v>
      </c>
      <c r="H1016" cm="1">
        <f t="array" aca="1" ref="H1016" ca="1">[1]!s_west_eps($B$1,YEAR($A1016)+1,$A1016,180)</f>
        <v>-9.5399999999999999E-2</v>
      </c>
      <c r="I1016" cm="1">
        <f t="array" aca="1" ref="I1016" ca="1">[1]!s_west_instnum_np($B$1,YEAR($A1016)+1,$A1016,180)</f>
        <v>12</v>
      </c>
      <c r="J1016" cm="1">
        <f t="array" aca="1" ref="J1016" ca="1">[1]!s_west_stdnetprofit($B$1,YEAR($A1016)+1,$A1016,180,1000000)</f>
        <v>102.79694000000001</v>
      </c>
      <c r="K1016" cm="1">
        <f t="array" aca="1" ref="K1016" ca="1">[1]!s_west_mediannetprofit($B$1,YEAR($A1015)+1,$A1015,180,1000000)</f>
        <v>-52</v>
      </c>
      <c r="L1016" cm="1">
        <f t="array" aca="1" ref="L1016" ca="1">[1]!s_dq_close($B$1,$A1016,3)</f>
        <v>21.2</v>
      </c>
    </row>
    <row r="1017" spans="1:12">
      <c r="A1017" s="23">
        <f t="shared" ca="1" si="15"/>
        <v>45158</v>
      </c>
      <c r="B1017" cm="1">
        <f t="array" aca="1" ref="B1017" ca="1">[1]!s_west_netprofit($B$1,YEAR($A1017),$A1017,180,1000000)</f>
        <v>-2.630795</v>
      </c>
      <c r="C1017" cm="1">
        <f t="array" aca="1" ref="C1017" ca="1">[1]!s_west_eps($B$1,YEAR($A1017),$A1017,180)</f>
        <v>-3.0000000000000001E-3</v>
      </c>
      <c r="D1017" cm="1">
        <f t="array" aca="1" ref="D1017" ca="1">[1]!s_west_instnum_np($B$1,YEAR($A1017),$A1017,180)</f>
        <v>12</v>
      </c>
      <c r="E1017" cm="1">
        <f t="array" aca="1" ref="E1017" ca="1">[1]!s_west_stdnetprofit($B$1,YEAR($A1017),$A1017,180,1000000)</f>
        <v>142.61596700000001</v>
      </c>
      <c r="F1017" cm="1">
        <f t="array" aca="1" ref="F1017" ca="1">[1]!s_west_mediannetprofit($B$1,YEAR($A1017),$A1017,180,1000000)</f>
        <v>-37</v>
      </c>
      <c r="G1017" cm="1">
        <f t="array" aca="1" ref="G1017" ca="1">[1]!s_west_netprofit($B$1,YEAR($A1017)+1,$A1017,180,1000000)</f>
        <v>-83.010288000000003</v>
      </c>
      <c r="H1017" cm="1">
        <f t="array" aca="1" ref="H1017" ca="1">[1]!s_west_eps($B$1,YEAR($A1017)+1,$A1017,180)</f>
        <v>-9.5399999999999999E-2</v>
      </c>
      <c r="I1017" cm="1">
        <f t="array" aca="1" ref="I1017" ca="1">[1]!s_west_instnum_np($B$1,YEAR($A1017)+1,$A1017,180)</f>
        <v>12</v>
      </c>
      <c r="J1017" cm="1">
        <f t="array" aca="1" ref="J1017" ca="1">[1]!s_west_stdnetprofit($B$1,YEAR($A1017)+1,$A1017,180,1000000)</f>
        <v>102.79694000000001</v>
      </c>
      <c r="K1017" cm="1">
        <f t="array" aca="1" ref="K1017" ca="1">[1]!s_west_mediannetprofit($B$1,YEAR($A1016)+1,$A1016,180,1000000)</f>
        <v>-52</v>
      </c>
      <c r="L1017" cm="1">
        <f t="array" aca="1" ref="L1017" ca="1">[1]!s_dq_close($B$1,$A1017,3)</f>
        <v>21.35</v>
      </c>
    </row>
    <row r="1018" spans="1:12">
      <c r="A1018" s="23">
        <f t="shared" ca="1" si="15"/>
        <v>45157</v>
      </c>
      <c r="B1018" cm="1">
        <f t="array" aca="1" ref="B1018" ca="1">[1]!s_west_netprofit($B$1,YEAR($A1018),$A1018,180,1000000)</f>
        <v>-2.630795</v>
      </c>
      <c r="C1018" cm="1">
        <f t="array" aca="1" ref="C1018" ca="1">[1]!s_west_eps($B$1,YEAR($A1018),$A1018,180)</f>
        <v>-3.0000000000000001E-3</v>
      </c>
      <c r="D1018" cm="1">
        <f t="array" aca="1" ref="D1018" ca="1">[1]!s_west_instnum_np($B$1,YEAR($A1018),$A1018,180)</f>
        <v>12</v>
      </c>
      <c r="E1018" cm="1">
        <f t="array" aca="1" ref="E1018" ca="1">[1]!s_west_stdnetprofit($B$1,YEAR($A1018),$A1018,180,1000000)</f>
        <v>142.61596700000001</v>
      </c>
      <c r="F1018" cm="1">
        <f t="array" aca="1" ref="F1018" ca="1">[1]!s_west_mediannetprofit($B$1,YEAR($A1018),$A1018,180,1000000)</f>
        <v>-37</v>
      </c>
      <c r="G1018" cm="1">
        <f t="array" aca="1" ref="G1018" ca="1">[1]!s_west_netprofit($B$1,YEAR($A1018)+1,$A1018,180,1000000)</f>
        <v>-83.010288000000003</v>
      </c>
      <c r="H1018" cm="1">
        <f t="array" aca="1" ref="H1018" ca="1">[1]!s_west_eps($B$1,YEAR($A1018)+1,$A1018,180)</f>
        <v>-9.5399999999999999E-2</v>
      </c>
      <c r="I1018" cm="1">
        <f t="array" aca="1" ref="I1018" ca="1">[1]!s_west_instnum_np($B$1,YEAR($A1018)+1,$A1018,180)</f>
        <v>12</v>
      </c>
      <c r="J1018" cm="1">
        <f t="array" aca="1" ref="J1018" ca="1">[1]!s_west_stdnetprofit($B$1,YEAR($A1018)+1,$A1018,180,1000000)</f>
        <v>102.79694000000001</v>
      </c>
      <c r="K1018" cm="1">
        <f t="array" aca="1" ref="K1018" ca="1">[1]!s_west_mediannetprofit($B$1,YEAR($A1017)+1,$A1017,180,1000000)</f>
        <v>-52</v>
      </c>
      <c r="L1018" cm="1">
        <f t="array" aca="1" ref="L1018" ca="1">[1]!s_dq_close($B$1,$A1018,3)</f>
        <v>21.35</v>
      </c>
    </row>
    <row r="1019" spans="1:12">
      <c r="A1019" s="23">
        <f t="shared" ca="1" si="15"/>
        <v>45156</v>
      </c>
      <c r="B1019" cm="1">
        <f t="array" aca="1" ref="B1019" ca="1">[1]!s_west_netprofit($B$1,YEAR($A1019),$A1019,180,1000000)</f>
        <v>-2.630795</v>
      </c>
      <c r="C1019" cm="1">
        <f t="array" aca="1" ref="C1019" ca="1">[1]!s_west_eps($B$1,YEAR($A1019),$A1019,180)</f>
        <v>-3.0000000000000001E-3</v>
      </c>
      <c r="D1019" cm="1">
        <f t="array" aca="1" ref="D1019" ca="1">[1]!s_west_instnum_np($B$1,YEAR($A1019),$A1019,180)</f>
        <v>12</v>
      </c>
      <c r="E1019" cm="1">
        <f t="array" aca="1" ref="E1019" ca="1">[1]!s_west_stdnetprofit($B$1,YEAR($A1019),$A1019,180,1000000)</f>
        <v>142.61596700000001</v>
      </c>
      <c r="F1019" cm="1">
        <f t="array" aca="1" ref="F1019" ca="1">[1]!s_west_mediannetprofit($B$1,YEAR($A1019),$A1019,180,1000000)</f>
        <v>-37</v>
      </c>
      <c r="G1019" cm="1">
        <f t="array" aca="1" ref="G1019" ca="1">[1]!s_west_netprofit($B$1,YEAR($A1019)+1,$A1019,180,1000000)</f>
        <v>-83.010288000000003</v>
      </c>
      <c r="H1019" cm="1">
        <f t="array" aca="1" ref="H1019" ca="1">[1]!s_west_eps($B$1,YEAR($A1019)+1,$A1019,180)</f>
        <v>-9.5399999999999999E-2</v>
      </c>
      <c r="I1019" cm="1">
        <f t="array" aca="1" ref="I1019" ca="1">[1]!s_west_instnum_np($B$1,YEAR($A1019)+1,$A1019,180)</f>
        <v>12</v>
      </c>
      <c r="J1019" cm="1">
        <f t="array" aca="1" ref="J1019" ca="1">[1]!s_west_stdnetprofit($B$1,YEAR($A1019)+1,$A1019,180,1000000)</f>
        <v>102.79694000000001</v>
      </c>
      <c r="K1019" cm="1">
        <f t="array" aca="1" ref="K1019" ca="1">[1]!s_west_mediannetprofit($B$1,YEAR($A1018)+1,$A1018,180,1000000)</f>
        <v>-52</v>
      </c>
      <c r="L1019" cm="1">
        <f t="array" aca="1" ref="L1019" ca="1">[1]!s_dq_close($B$1,$A1019,3)</f>
        <v>21.35</v>
      </c>
    </row>
    <row r="1020" spans="1:12">
      <c r="A1020" s="23">
        <f t="shared" ca="1" si="15"/>
        <v>45155</v>
      </c>
      <c r="B1020" cm="1">
        <f t="array" aca="1" ref="B1020" ca="1">[1]!s_west_netprofit($B$1,YEAR($A1020),$A1020,180,1000000)</f>
        <v>-2.620072</v>
      </c>
      <c r="C1020" cm="1">
        <f t="array" aca="1" ref="C1020" ca="1">[1]!s_west_eps($B$1,YEAR($A1020),$A1020,180)</f>
        <v>-3.0000000000000001E-3</v>
      </c>
      <c r="D1020" cm="1">
        <f t="array" aca="1" ref="D1020" ca="1">[1]!s_west_instnum_np($B$1,YEAR($A1020),$A1020,180)</f>
        <v>12</v>
      </c>
      <c r="E1020" cm="1">
        <f t="array" aca="1" ref="E1020" ca="1">[1]!s_west_stdnetprofit($B$1,YEAR($A1020),$A1020,180,1000000)</f>
        <v>142.60830000000001</v>
      </c>
      <c r="F1020" cm="1">
        <f t="array" aca="1" ref="F1020" ca="1">[1]!s_west_mediannetprofit($B$1,YEAR($A1020),$A1020,180,1000000)</f>
        <v>-37</v>
      </c>
      <c r="G1020" cm="1">
        <f t="array" aca="1" ref="G1020" ca="1">[1]!s_west_netprofit($B$1,YEAR($A1020)+1,$A1020,180,1000000)</f>
        <v>-82.997318000000007</v>
      </c>
      <c r="H1020" cm="1">
        <f t="array" aca="1" ref="H1020" ca="1">[1]!s_west_eps($B$1,YEAR($A1020)+1,$A1020,180)</f>
        <v>-9.5299999999999996E-2</v>
      </c>
      <c r="I1020" cm="1">
        <f t="array" aca="1" ref="I1020" ca="1">[1]!s_west_instnum_np($B$1,YEAR($A1020)+1,$A1020,180)</f>
        <v>12</v>
      </c>
      <c r="J1020" cm="1">
        <f t="array" aca="1" ref="J1020" ca="1">[1]!s_west_stdnetprofit($B$1,YEAR($A1020)+1,$A1020,180,1000000)</f>
        <v>102.792292</v>
      </c>
      <c r="K1020" cm="1">
        <f t="array" aca="1" ref="K1020" ca="1">[1]!s_west_mediannetprofit($B$1,YEAR($A1019)+1,$A1019,180,1000000)</f>
        <v>-52</v>
      </c>
      <c r="L1020" cm="1">
        <f t="array" aca="1" ref="L1020" ca="1">[1]!s_dq_close($B$1,$A1020,3)</f>
        <v>22.1</v>
      </c>
    </row>
    <row r="1021" spans="1:12">
      <c r="A1021" s="23">
        <f t="shared" ca="1" si="15"/>
        <v>45154</v>
      </c>
      <c r="B1021" cm="1">
        <f t="array" aca="1" ref="B1021" ca="1">[1]!s_west_netprofit($B$1,YEAR($A1021),$A1021,180,1000000)</f>
        <v>-2.630795</v>
      </c>
      <c r="C1021" cm="1">
        <f t="array" aca="1" ref="C1021" ca="1">[1]!s_west_eps($B$1,YEAR($A1021),$A1021,180)</f>
        <v>-3.0000000000000001E-3</v>
      </c>
      <c r="D1021" cm="1">
        <f t="array" aca="1" ref="D1021" ca="1">[1]!s_west_instnum_np($B$1,YEAR($A1021),$A1021,180)</f>
        <v>12</v>
      </c>
      <c r="E1021" cm="1">
        <f t="array" aca="1" ref="E1021" ca="1">[1]!s_west_stdnetprofit($B$1,YEAR($A1021),$A1021,180,1000000)</f>
        <v>142.61596700000001</v>
      </c>
      <c r="F1021" cm="1">
        <f t="array" aca="1" ref="F1021" ca="1">[1]!s_west_mediannetprofit($B$1,YEAR($A1021),$A1021,180,1000000)</f>
        <v>-37</v>
      </c>
      <c r="G1021" cm="1">
        <f t="array" aca="1" ref="G1021" ca="1">[1]!s_west_netprofit($B$1,YEAR($A1021)+1,$A1021,180,1000000)</f>
        <v>-83.010288000000003</v>
      </c>
      <c r="H1021" cm="1">
        <f t="array" aca="1" ref="H1021" ca="1">[1]!s_west_eps($B$1,YEAR($A1021)+1,$A1021,180)</f>
        <v>-9.5399999999999999E-2</v>
      </c>
      <c r="I1021" cm="1">
        <f t="array" aca="1" ref="I1021" ca="1">[1]!s_west_instnum_np($B$1,YEAR($A1021)+1,$A1021,180)</f>
        <v>12</v>
      </c>
      <c r="J1021" cm="1">
        <f t="array" aca="1" ref="J1021" ca="1">[1]!s_west_stdnetprofit($B$1,YEAR($A1021)+1,$A1021,180,1000000)</f>
        <v>102.79694000000001</v>
      </c>
      <c r="K1021" cm="1">
        <f t="array" aca="1" ref="K1021" ca="1">[1]!s_west_mediannetprofit($B$1,YEAR($A1020)+1,$A1020,180,1000000)</f>
        <v>-52</v>
      </c>
      <c r="L1021" cm="1">
        <f t="array" aca="1" ref="L1021" ca="1">[1]!s_dq_close($B$1,$A1021,3)</f>
        <v>22.05</v>
      </c>
    </row>
    <row r="1022" spans="1:12">
      <c r="A1022" s="23">
        <f t="shared" ca="1" si="15"/>
        <v>45153</v>
      </c>
      <c r="B1022" cm="1">
        <f t="array" aca="1" ref="B1022" ca="1">[1]!s_west_netprofit($B$1,YEAR($A1022),$A1022,180,1000000)</f>
        <v>-2.6522410000000001</v>
      </c>
      <c r="C1022" cm="1">
        <f t="array" aca="1" ref="C1022" ca="1">[1]!s_west_eps($B$1,YEAR($A1022),$A1022,180)</f>
        <v>-3.0000000000000001E-3</v>
      </c>
      <c r="D1022" cm="1">
        <f t="array" aca="1" ref="D1022" ca="1">[1]!s_west_instnum_np($B$1,YEAR($A1022),$A1022,180)</f>
        <v>12</v>
      </c>
      <c r="E1022" cm="1">
        <f t="array" aca="1" ref="E1022" ca="1">[1]!s_west_stdnetprofit($B$1,YEAR($A1022),$A1022,180,1000000)</f>
        <v>142.63132999999999</v>
      </c>
      <c r="F1022" cm="1">
        <f t="array" aca="1" ref="F1022" ca="1">[1]!s_west_mediannetprofit($B$1,YEAR($A1022),$A1022,180,1000000)</f>
        <v>-37</v>
      </c>
      <c r="G1022" cm="1">
        <f t="array" aca="1" ref="G1022" ca="1">[1]!s_west_netprofit($B$1,YEAR($A1022)+1,$A1022,180,1000000)</f>
        <v>-83.036225999999999</v>
      </c>
      <c r="H1022" cm="1">
        <f t="array" aca="1" ref="H1022" ca="1">[1]!s_west_eps($B$1,YEAR($A1022)+1,$A1022,180)</f>
        <v>-9.5399999999999999E-2</v>
      </c>
      <c r="I1022" cm="1">
        <f t="array" aca="1" ref="I1022" ca="1">[1]!s_west_instnum_np($B$1,YEAR($A1022)+1,$A1022,180)</f>
        <v>12</v>
      </c>
      <c r="J1022" cm="1">
        <f t="array" aca="1" ref="J1022" ca="1">[1]!s_west_stdnetprofit($B$1,YEAR($A1022)+1,$A1022,180,1000000)</f>
        <v>102.806298</v>
      </c>
      <c r="K1022" cm="1">
        <f t="array" aca="1" ref="K1022" ca="1">[1]!s_west_mediannetprofit($B$1,YEAR($A1021)+1,$A1021,180,1000000)</f>
        <v>-52</v>
      </c>
      <c r="L1022" cm="1">
        <f t="array" aca="1" ref="L1022" ca="1">[1]!s_dq_close($B$1,$A1022,3)</f>
        <v>22.5</v>
      </c>
    </row>
    <row r="1023" spans="1:12">
      <c r="A1023" s="23">
        <f t="shared" ca="1" si="15"/>
        <v>45152</v>
      </c>
      <c r="B1023" cm="1">
        <f t="array" aca="1" ref="B1023" ca="1">[1]!s_west_netprofit($B$1,YEAR($A1023),$A1023,180,1000000)</f>
        <v>-2.6629640000000001</v>
      </c>
      <c r="C1023" cm="1">
        <f t="array" aca="1" ref="C1023" ca="1">[1]!s_west_eps($B$1,YEAR($A1023),$A1023,180)</f>
        <v>-3.0999999999999999E-3</v>
      </c>
      <c r="D1023" cm="1">
        <f t="array" aca="1" ref="D1023" ca="1">[1]!s_west_instnum_np($B$1,YEAR($A1023),$A1023,180)</f>
        <v>12</v>
      </c>
      <c r="E1023" cm="1">
        <f t="array" aca="1" ref="E1023" ca="1">[1]!s_west_stdnetprofit($B$1,YEAR($A1023),$A1023,180,1000000)</f>
        <v>142.639027</v>
      </c>
      <c r="F1023" cm="1">
        <f t="array" aca="1" ref="F1023" ca="1">[1]!s_west_mediannetprofit($B$1,YEAR($A1023),$A1023,180,1000000)</f>
        <v>-37</v>
      </c>
      <c r="G1023" cm="1">
        <f t="array" aca="1" ref="G1023" ca="1">[1]!s_west_netprofit($B$1,YEAR($A1023)+1,$A1023,180,1000000)</f>
        <v>-83.049194999999997</v>
      </c>
      <c r="H1023" cm="1">
        <f t="array" aca="1" ref="H1023" ca="1">[1]!s_west_eps($B$1,YEAR($A1023)+1,$A1023,180)</f>
        <v>-9.5399999999999999E-2</v>
      </c>
      <c r="I1023" cm="1">
        <f t="array" aca="1" ref="I1023" ca="1">[1]!s_west_instnum_np($B$1,YEAR($A1023)+1,$A1023,180)</f>
        <v>12</v>
      </c>
      <c r="J1023" cm="1">
        <f t="array" aca="1" ref="J1023" ca="1">[1]!s_west_stdnetprofit($B$1,YEAR($A1023)+1,$A1023,180,1000000)</f>
        <v>102.811009</v>
      </c>
      <c r="K1023" cm="1">
        <f t="array" aca="1" ref="K1023" ca="1">[1]!s_west_mediannetprofit($B$1,YEAR($A1022)+1,$A1022,180,1000000)</f>
        <v>-52</v>
      </c>
      <c r="L1023" cm="1">
        <f t="array" aca="1" ref="L1023" ca="1">[1]!s_dq_close($B$1,$A1023,3)</f>
        <v>22.25</v>
      </c>
    </row>
    <row r="1024" spans="1:12">
      <c r="A1024" s="23">
        <f t="shared" ca="1" si="15"/>
        <v>45151</v>
      </c>
      <c r="B1024" cm="1">
        <f t="array" aca="1" ref="B1024" ca="1">[1]!s_west_netprofit($B$1,YEAR($A1024),$A1024,180,1000000)</f>
        <v>-9.8964949999999998</v>
      </c>
      <c r="C1024" cm="1">
        <f t="array" aca="1" ref="C1024" ca="1">[1]!s_west_eps($B$1,YEAR($A1024),$A1024,180)</f>
        <v>-1.14E-2</v>
      </c>
      <c r="D1024" cm="1">
        <f t="array" aca="1" ref="D1024" ca="1">[1]!s_west_instnum_np($B$1,YEAR($A1024),$A1024,180)</f>
        <v>11</v>
      </c>
      <c r="E1024" cm="1">
        <f t="array" aca="1" ref="E1024" ca="1">[1]!s_west_stdnetprofit($B$1,YEAR($A1024),$A1024,180,1000000)</f>
        <v>146.48572100000001</v>
      </c>
      <c r="F1024" cm="1">
        <f t="array" aca="1" ref="F1024" ca="1">[1]!s_west_mediannetprofit($B$1,YEAR($A1024),$A1024,180,1000000)</f>
        <v>-44.5</v>
      </c>
      <c r="G1024" cm="1">
        <f t="array" aca="1" ref="G1024" ca="1">[1]!s_west_netprofit($B$1,YEAR($A1024)+1,$A1024,180,1000000)</f>
        <v>-87.484012000000007</v>
      </c>
      <c r="H1024" cm="1">
        <f t="array" aca="1" ref="H1024" ca="1">[1]!s_west_eps($B$1,YEAR($A1024)+1,$A1024,180)</f>
        <v>-0.10050000000000001</v>
      </c>
      <c r="I1024" cm="1">
        <f t="array" aca="1" ref="I1024" ca="1">[1]!s_west_instnum_np($B$1,YEAR($A1024)+1,$A1024,180)</f>
        <v>11</v>
      </c>
      <c r="J1024" cm="1">
        <f t="array" aca="1" ref="J1024" ca="1">[1]!s_west_stdnetprofit($B$1,YEAR($A1024)+1,$A1024,180,1000000)</f>
        <v>106.08859699999999</v>
      </c>
      <c r="K1024" cm="1">
        <f t="array" aca="1" ref="K1024" ca="1">[1]!s_west_mediannetprofit($B$1,YEAR($A1023)+1,$A1023,180,1000000)</f>
        <v>-52</v>
      </c>
      <c r="L1024" cm="1">
        <f t="array" aca="1" ref="L1024" ca="1">[1]!s_dq_close($B$1,$A1024,3)</f>
        <v>21.85</v>
      </c>
    </row>
    <row r="1025" spans="1:12">
      <c r="A1025" s="23">
        <f t="shared" ca="1" si="15"/>
        <v>45150</v>
      </c>
      <c r="B1025" cm="1">
        <f t="array" aca="1" ref="B1025" ca="1">[1]!s_west_netprofit($B$1,YEAR($A1025),$A1025,180,1000000)</f>
        <v>-9.8964949999999998</v>
      </c>
      <c r="C1025" cm="1">
        <f t="array" aca="1" ref="C1025" ca="1">[1]!s_west_eps($B$1,YEAR($A1025),$A1025,180)</f>
        <v>-1.14E-2</v>
      </c>
      <c r="D1025" cm="1">
        <f t="array" aca="1" ref="D1025" ca="1">[1]!s_west_instnum_np($B$1,YEAR($A1025),$A1025,180)</f>
        <v>11</v>
      </c>
      <c r="E1025" cm="1">
        <f t="array" aca="1" ref="E1025" ca="1">[1]!s_west_stdnetprofit($B$1,YEAR($A1025),$A1025,180,1000000)</f>
        <v>146.48572100000001</v>
      </c>
      <c r="F1025" cm="1">
        <f t="array" aca="1" ref="F1025" ca="1">[1]!s_west_mediannetprofit($B$1,YEAR($A1025),$A1025,180,1000000)</f>
        <v>-44.5</v>
      </c>
      <c r="G1025" cm="1">
        <f t="array" aca="1" ref="G1025" ca="1">[1]!s_west_netprofit($B$1,YEAR($A1025)+1,$A1025,180,1000000)</f>
        <v>-87.484012000000007</v>
      </c>
      <c r="H1025" cm="1">
        <f t="array" aca="1" ref="H1025" ca="1">[1]!s_west_eps($B$1,YEAR($A1025)+1,$A1025,180)</f>
        <v>-0.10050000000000001</v>
      </c>
      <c r="I1025" cm="1">
        <f t="array" aca="1" ref="I1025" ca="1">[1]!s_west_instnum_np($B$1,YEAR($A1025)+1,$A1025,180)</f>
        <v>11</v>
      </c>
      <c r="J1025" cm="1">
        <f t="array" aca="1" ref="J1025" ca="1">[1]!s_west_stdnetprofit($B$1,YEAR($A1025)+1,$A1025,180,1000000)</f>
        <v>106.08859699999999</v>
      </c>
      <c r="K1025" cm="1">
        <f t="array" aca="1" ref="K1025" ca="1">[1]!s_west_mediannetprofit($B$1,YEAR($A1024)+1,$A1024,180,1000000)</f>
        <v>-54.5</v>
      </c>
      <c r="L1025" cm="1">
        <f t="array" aca="1" ref="L1025" ca="1">[1]!s_dq_close($B$1,$A1025,3)</f>
        <v>21.85</v>
      </c>
    </row>
    <row r="1026" spans="1:12">
      <c r="A1026" s="23">
        <f t="shared" ca="1" si="15"/>
        <v>45149</v>
      </c>
      <c r="B1026" cm="1">
        <f t="array" aca="1" ref="B1026" ca="1">[1]!s_west_netprofit($B$1,YEAR($A1026),$A1026,180,1000000)</f>
        <v>-9.8964949999999998</v>
      </c>
      <c r="C1026" cm="1">
        <f t="array" aca="1" ref="C1026" ca="1">[1]!s_west_eps($B$1,YEAR($A1026),$A1026,180)</f>
        <v>-1.14E-2</v>
      </c>
      <c r="D1026" cm="1">
        <f t="array" aca="1" ref="D1026" ca="1">[1]!s_west_instnum_np($B$1,YEAR($A1026),$A1026,180)</f>
        <v>11</v>
      </c>
      <c r="E1026" cm="1">
        <f t="array" aca="1" ref="E1026" ca="1">[1]!s_west_stdnetprofit($B$1,YEAR($A1026),$A1026,180,1000000)</f>
        <v>146.48572100000001</v>
      </c>
      <c r="F1026" cm="1">
        <f t="array" aca="1" ref="F1026" ca="1">[1]!s_west_mediannetprofit($B$1,YEAR($A1026),$A1026,180,1000000)</f>
        <v>-44.5</v>
      </c>
      <c r="G1026" cm="1">
        <f t="array" aca="1" ref="G1026" ca="1">[1]!s_west_netprofit($B$1,YEAR($A1026)+1,$A1026,180,1000000)</f>
        <v>-87.484012000000007</v>
      </c>
      <c r="H1026" cm="1">
        <f t="array" aca="1" ref="H1026" ca="1">[1]!s_west_eps($B$1,YEAR($A1026)+1,$A1026,180)</f>
        <v>-0.10050000000000001</v>
      </c>
      <c r="I1026" cm="1">
        <f t="array" aca="1" ref="I1026" ca="1">[1]!s_west_instnum_np($B$1,YEAR($A1026)+1,$A1026,180)</f>
        <v>11</v>
      </c>
      <c r="J1026" cm="1">
        <f t="array" aca="1" ref="J1026" ca="1">[1]!s_west_stdnetprofit($B$1,YEAR($A1026)+1,$A1026,180,1000000)</f>
        <v>106.08859699999999</v>
      </c>
      <c r="K1026" cm="1">
        <f t="array" aca="1" ref="K1026" ca="1">[1]!s_west_mediannetprofit($B$1,YEAR($A1025)+1,$A1025,180,1000000)</f>
        <v>-54.5</v>
      </c>
      <c r="L1026" cm="1">
        <f t="array" aca="1" ref="L1026" ca="1">[1]!s_dq_close($B$1,$A1026,3)</f>
        <v>21.85</v>
      </c>
    </row>
    <row r="1027" spans="1:12">
      <c r="A1027" s="23">
        <f t="shared" ca="1" si="15"/>
        <v>45148</v>
      </c>
      <c r="B1027" cm="1">
        <f t="array" aca="1" ref="B1027" ca="1">[1]!s_west_netprofit($B$1,YEAR($A1027),$A1027,180,1000000)</f>
        <v>-9.8964949999999998</v>
      </c>
      <c r="C1027" cm="1">
        <f t="array" aca="1" ref="C1027" ca="1">[1]!s_west_eps($B$1,YEAR($A1027),$A1027,180)</f>
        <v>-1.14E-2</v>
      </c>
      <c r="D1027" cm="1">
        <f t="array" aca="1" ref="D1027" ca="1">[1]!s_west_instnum_np($B$1,YEAR($A1027),$A1027,180)</f>
        <v>11</v>
      </c>
      <c r="E1027" cm="1">
        <f t="array" aca="1" ref="E1027" ca="1">[1]!s_west_stdnetprofit($B$1,YEAR($A1027),$A1027,180,1000000)</f>
        <v>146.48572100000001</v>
      </c>
      <c r="F1027" cm="1">
        <f t="array" aca="1" ref="F1027" ca="1">[1]!s_west_mediannetprofit($B$1,YEAR($A1027),$A1027,180,1000000)</f>
        <v>-44.5</v>
      </c>
      <c r="G1027" cm="1">
        <f t="array" aca="1" ref="G1027" ca="1">[1]!s_west_netprofit($B$1,YEAR($A1027)+1,$A1027,180,1000000)</f>
        <v>-87.484012000000007</v>
      </c>
      <c r="H1027" cm="1">
        <f t="array" aca="1" ref="H1027" ca="1">[1]!s_west_eps($B$1,YEAR($A1027)+1,$A1027,180)</f>
        <v>-0.10050000000000001</v>
      </c>
      <c r="I1027" cm="1">
        <f t="array" aca="1" ref="I1027" ca="1">[1]!s_west_instnum_np($B$1,YEAR($A1027)+1,$A1027,180)</f>
        <v>11</v>
      </c>
      <c r="J1027" cm="1">
        <f t="array" aca="1" ref="J1027" ca="1">[1]!s_west_stdnetprofit($B$1,YEAR($A1027)+1,$A1027,180,1000000)</f>
        <v>106.08859699999999</v>
      </c>
      <c r="K1027" cm="1">
        <f t="array" aca="1" ref="K1027" ca="1">[1]!s_west_mediannetprofit($B$1,YEAR($A1026)+1,$A1026,180,1000000)</f>
        <v>-54.5</v>
      </c>
      <c r="L1027" cm="1">
        <f t="array" aca="1" ref="L1027" ca="1">[1]!s_dq_close($B$1,$A1027,3)</f>
        <v>22.95</v>
      </c>
    </row>
    <row r="1028" spans="1:12">
      <c r="A1028" s="23">
        <f t="shared" ca="1" si="15"/>
        <v>45147</v>
      </c>
      <c r="B1028" cm="1">
        <f t="array" aca="1" ref="B1028" ca="1">[1]!s_west_netprofit($B$1,YEAR($A1028),$A1028,180,1000000)</f>
        <v>-9.8964949999999998</v>
      </c>
      <c r="C1028" cm="1">
        <f t="array" aca="1" ref="C1028" ca="1">[1]!s_west_eps($B$1,YEAR($A1028),$A1028,180)</f>
        <v>-1.14E-2</v>
      </c>
      <c r="D1028" cm="1">
        <f t="array" aca="1" ref="D1028" ca="1">[1]!s_west_instnum_np($B$1,YEAR($A1028),$A1028,180)</f>
        <v>11</v>
      </c>
      <c r="E1028" cm="1">
        <f t="array" aca="1" ref="E1028" ca="1">[1]!s_west_stdnetprofit($B$1,YEAR($A1028),$A1028,180,1000000)</f>
        <v>146.48572100000001</v>
      </c>
      <c r="F1028" cm="1">
        <f t="array" aca="1" ref="F1028" ca="1">[1]!s_west_mediannetprofit($B$1,YEAR($A1028),$A1028,180,1000000)</f>
        <v>-44.5</v>
      </c>
      <c r="G1028" cm="1">
        <f t="array" aca="1" ref="G1028" ca="1">[1]!s_west_netprofit($B$1,YEAR($A1028)+1,$A1028,180,1000000)</f>
        <v>-87.484012000000007</v>
      </c>
      <c r="H1028" cm="1">
        <f t="array" aca="1" ref="H1028" ca="1">[1]!s_west_eps($B$1,YEAR($A1028)+1,$A1028,180)</f>
        <v>-0.10050000000000001</v>
      </c>
      <c r="I1028" cm="1">
        <f t="array" aca="1" ref="I1028" ca="1">[1]!s_west_instnum_np($B$1,YEAR($A1028)+1,$A1028,180)</f>
        <v>11</v>
      </c>
      <c r="J1028" cm="1">
        <f t="array" aca="1" ref="J1028" ca="1">[1]!s_west_stdnetprofit($B$1,YEAR($A1028)+1,$A1028,180,1000000)</f>
        <v>106.08859699999999</v>
      </c>
      <c r="K1028" cm="1">
        <f t="array" aca="1" ref="K1028" ca="1">[1]!s_west_mediannetprofit($B$1,YEAR($A1027)+1,$A1027,180,1000000)</f>
        <v>-54.5</v>
      </c>
      <c r="L1028" cm="1">
        <f t="array" aca="1" ref="L1028" ca="1">[1]!s_dq_close($B$1,$A1028,3)</f>
        <v>22.7</v>
      </c>
    </row>
    <row r="1029" spans="1:12">
      <c r="A1029" s="23">
        <f t="shared" ca="1" si="15"/>
        <v>45146</v>
      </c>
      <c r="B1029" cm="1">
        <f t="array" aca="1" ref="B1029" ca="1">[1]!s_west_netprofit($B$1,YEAR($A1029),$A1029,180,1000000)</f>
        <v>-1.9442759999999999</v>
      </c>
      <c r="C1029" cm="1">
        <f t="array" aca="1" ref="C1029" ca="1">[1]!s_west_eps($B$1,YEAR($A1029),$A1029,180)</f>
        <v>-2.2000000000000001E-3</v>
      </c>
      <c r="D1029" cm="1">
        <f t="array" aca="1" ref="D1029" ca="1">[1]!s_west_instnum_np($B$1,YEAR($A1029),$A1029,180)</f>
        <v>10</v>
      </c>
      <c r="E1029" cm="1">
        <f t="array" aca="1" ref="E1029" ca="1">[1]!s_west_stdnetprofit($B$1,YEAR($A1029),$A1029,180,1000000)</f>
        <v>150.89444800000001</v>
      </c>
      <c r="F1029" cm="1">
        <f t="array" aca="1" ref="F1029" ca="1">[1]!s_west_mediannetprofit($B$1,YEAR($A1029),$A1029,180,1000000)</f>
        <v>-37</v>
      </c>
      <c r="G1029" cm="1">
        <f t="array" aca="1" ref="G1029" ca="1">[1]!s_west_netprofit($B$1,YEAR($A1029)+1,$A1029,180,1000000)</f>
        <v>-84.731003000000001</v>
      </c>
      <c r="H1029" cm="1">
        <f t="array" aca="1" ref="H1029" ca="1">[1]!s_west_eps($B$1,YEAR($A1029)+1,$A1029,180)</f>
        <v>-9.7299999999999998E-2</v>
      </c>
      <c r="I1029" cm="1">
        <f t="array" aca="1" ref="I1029" ca="1">[1]!s_west_instnum_np($B$1,YEAR($A1029)+1,$A1029,180)</f>
        <v>10</v>
      </c>
      <c r="J1029" cm="1">
        <f t="array" aca="1" ref="J1029" ca="1">[1]!s_west_stdnetprofit($B$1,YEAR($A1029)+1,$A1029,180,1000000)</f>
        <v>110.81618</v>
      </c>
      <c r="K1029" cm="1">
        <f t="array" aca="1" ref="K1029" ca="1">[1]!s_west_mediannetprofit($B$1,YEAR($A1028)+1,$A1028,180,1000000)</f>
        <v>-54.5</v>
      </c>
      <c r="L1029" cm="1">
        <f t="array" aca="1" ref="L1029" ca="1">[1]!s_dq_close($B$1,$A1029,3)</f>
        <v>22.25</v>
      </c>
    </row>
    <row r="1030" spans="1:12">
      <c r="A1030" s="23">
        <f t="shared" ca="1" si="15"/>
        <v>45145</v>
      </c>
      <c r="B1030" cm="1">
        <f t="array" aca="1" ref="B1030" ca="1">[1]!s_west_netprofit($B$1,YEAR($A1030),$A1030,180,1000000)</f>
        <v>-1.9442759999999999</v>
      </c>
      <c r="C1030" cm="1">
        <f t="array" aca="1" ref="C1030" ca="1">[1]!s_west_eps($B$1,YEAR($A1030),$A1030,180)</f>
        <v>-2.2000000000000001E-3</v>
      </c>
      <c r="D1030" cm="1">
        <f t="array" aca="1" ref="D1030" ca="1">[1]!s_west_instnum_np($B$1,YEAR($A1030),$A1030,180)</f>
        <v>10</v>
      </c>
      <c r="E1030" cm="1">
        <f t="array" aca="1" ref="E1030" ca="1">[1]!s_west_stdnetprofit($B$1,YEAR($A1030),$A1030,180,1000000)</f>
        <v>150.89444800000001</v>
      </c>
      <c r="F1030" cm="1">
        <f t="array" aca="1" ref="F1030" ca="1">[1]!s_west_mediannetprofit($B$1,YEAR($A1030),$A1030,180,1000000)</f>
        <v>-37</v>
      </c>
      <c r="G1030" cm="1">
        <f t="array" aca="1" ref="G1030" ca="1">[1]!s_west_netprofit($B$1,YEAR($A1030)+1,$A1030,180,1000000)</f>
        <v>-84.731003000000001</v>
      </c>
      <c r="H1030" cm="1">
        <f t="array" aca="1" ref="H1030" ca="1">[1]!s_west_eps($B$1,YEAR($A1030)+1,$A1030,180)</f>
        <v>-9.7299999999999998E-2</v>
      </c>
      <c r="I1030" cm="1">
        <f t="array" aca="1" ref="I1030" ca="1">[1]!s_west_instnum_np($B$1,YEAR($A1030)+1,$A1030,180)</f>
        <v>10</v>
      </c>
      <c r="J1030" cm="1">
        <f t="array" aca="1" ref="J1030" ca="1">[1]!s_west_stdnetprofit($B$1,YEAR($A1030)+1,$A1030,180,1000000)</f>
        <v>110.81618</v>
      </c>
      <c r="K1030" cm="1">
        <f t="array" aca="1" ref="K1030" ca="1">[1]!s_west_mediannetprofit($B$1,YEAR($A1029)+1,$A1029,180,1000000)</f>
        <v>-52</v>
      </c>
      <c r="L1030" cm="1">
        <f t="array" aca="1" ref="L1030" ca="1">[1]!s_dq_close($B$1,$A1030,3)</f>
        <v>21.6</v>
      </c>
    </row>
    <row r="1031" spans="1:12">
      <c r="A1031" s="23">
        <f t="shared" ca="1" si="15"/>
        <v>45144</v>
      </c>
      <c r="B1031" cm="1">
        <f t="array" aca="1" ref="B1031" ca="1">[1]!s_west_netprofit($B$1,YEAR($A1031),$A1031,180,1000000)</f>
        <v>-1.9442759999999999</v>
      </c>
      <c r="C1031" cm="1">
        <f t="array" aca="1" ref="C1031" ca="1">[1]!s_west_eps($B$1,YEAR($A1031),$A1031,180)</f>
        <v>-2.2000000000000001E-3</v>
      </c>
      <c r="D1031" cm="1">
        <f t="array" aca="1" ref="D1031" ca="1">[1]!s_west_instnum_np($B$1,YEAR($A1031),$A1031,180)</f>
        <v>10</v>
      </c>
      <c r="E1031" cm="1">
        <f t="array" aca="1" ref="E1031" ca="1">[1]!s_west_stdnetprofit($B$1,YEAR($A1031),$A1031,180,1000000)</f>
        <v>150.89444800000001</v>
      </c>
      <c r="F1031" cm="1">
        <f t="array" aca="1" ref="F1031" ca="1">[1]!s_west_mediannetprofit($B$1,YEAR($A1031),$A1031,180,1000000)</f>
        <v>-37</v>
      </c>
      <c r="G1031" cm="1">
        <f t="array" aca="1" ref="G1031" ca="1">[1]!s_west_netprofit($B$1,YEAR($A1031)+1,$A1031,180,1000000)</f>
        <v>-84.731003000000001</v>
      </c>
      <c r="H1031" cm="1">
        <f t="array" aca="1" ref="H1031" ca="1">[1]!s_west_eps($B$1,YEAR($A1031)+1,$A1031,180)</f>
        <v>-9.7799999999999998E-2</v>
      </c>
      <c r="I1031" cm="1">
        <f t="array" aca="1" ref="I1031" ca="1">[1]!s_west_instnum_np($B$1,YEAR($A1031)+1,$A1031,180)</f>
        <v>10</v>
      </c>
      <c r="J1031" cm="1">
        <f t="array" aca="1" ref="J1031" ca="1">[1]!s_west_stdnetprofit($B$1,YEAR($A1031)+1,$A1031,180,1000000)</f>
        <v>110.81618</v>
      </c>
      <c r="K1031" cm="1">
        <f t="array" aca="1" ref="K1031" ca="1">[1]!s_west_mediannetprofit($B$1,YEAR($A1030)+1,$A1030,180,1000000)</f>
        <v>-52</v>
      </c>
      <c r="L1031" cm="1">
        <f t="array" aca="1" ref="L1031" ca="1">[1]!s_dq_close($B$1,$A1031,3)</f>
        <v>24.5</v>
      </c>
    </row>
    <row r="1032" spans="1:12">
      <c r="A1032" s="23">
        <f t="shared" ca="1" si="15"/>
        <v>45143</v>
      </c>
      <c r="B1032" cm="1">
        <f t="array" aca="1" ref="B1032" ca="1">[1]!s_west_netprofit($B$1,YEAR($A1032),$A1032,180,1000000)</f>
        <v>-1.9442759999999999</v>
      </c>
      <c r="C1032" cm="1">
        <f t="array" aca="1" ref="C1032" ca="1">[1]!s_west_eps($B$1,YEAR($A1032),$A1032,180)</f>
        <v>-2.2000000000000001E-3</v>
      </c>
      <c r="D1032" cm="1">
        <f t="array" aca="1" ref="D1032" ca="1">[1]!s_west_instnum_np($B$1,YEAR($A1032),$A1032,180)</f>
        <v>10</v>
      </c>
      <c r="E1032" cm="1">
        <f t="array" aca="1" ref="E1032" ca="1">[1]!s_west_stdnetprofit($B$1,YEAR($A1032),$A1032,180,1000000)</f>
        <v>150.89444800000001</v>
      </c>
      <c r="F1032" cm="1">
        <f t="array" aca="1" ref="F1032" ca="1">[1]!s_west_mediannetprofit($B$1,YEAR($A1032),$A1032,180,1000000)</f>
        <v>-37</v>
      </c>
      <c r="G1032" cm="1">
        <f t="array" aca="1" ref="G1032" ca="1">[1]!s_west_netprofit($B$1,YEAR($A1032)+1,$A1032,180,1000000)</f>
        <v>-84.731003000000001</v>
      </c>
      <c r="H1032" cm="1">
        <f t="array" aca="1" ref="H1032" ca="1">[1]!s_west_eps($B$1,YEAR($A1032)+1,$A1032,180)</f>
        <v>-9.7799999999999998E-2</v>
      </c>
      <c r="I1032" cm="1">
        <f t="array" aca="1" ref="I1032" ca="1">[1]!s_west_instnum_np($B$1,YEAR($A1032)+1,$A1032,180)</f>
        <v>10</v>
      </c>
      <c r="J1032" cm="1">
        <f t="array" aca="1" ref="J1032" ca="1">[1]!s_west_stdnetprofit($B$1,YEAR($A1032)+1,$A1032,180,1000000)</f>
        <v>110.81618</v>
      </c>
      <c r="K1032" cm="1">
        <f t="array" aca="1" ref="K1032" ca="1">[1]!s_west_mediannetprofit($B$1,YEAR($A1031)+1,$A1031,180,1000000)</f>
        <v>-52</v>
      </c>
      <c r="L1032" cm="1">
        <f t="array" aca="1" ref="L1032" ca="1">[1]!s_dq_close($B$1,$A1032,3)</f>
        <v>24.5</v>
      </c>
    </row>
    <row r="1033" spans="1:12">
      <c r="A1033" s="23">
        <f t="shared" ca="1" si="15"/>
        <v>45142</v>
      </c>
      <c r="B1033" cm="1">
        <f t="array" aca="1" ref="B1033" ca="1">[1]!s_west_netprofit($B$1,YEAR($A1033),$A1033,180,1000000)</f>
        <v>-1.9442759999999999</v>
      </c>
      <c r="C1033" cm="1">
        <f t="array" aca="1" ref="C1033" ca="1">[1]!s_west_eps($B$1,YEAR($A1033),$A1033,180)</f>
        <v>-2.2000000000000001E-3</v>
      </c>
      <c r="D1033" cm="1">
        <f t="array" aca="1" ref="D1033" ca="1">[1]!s_west_instnum_np($B$1,YEAR($A1033),$A1033,180)</f>
        <v>10</v>
      </c>
      <c r="E1033" cm="1">
        <f t="array" aca="1" ref="E1033" ca="1">[1]!s_west_stdnetprofit($B$1,YEAR($A1033),$A1033,180,1000000)</f>
        <v>150.89444800000001</v>
      </c>
      <c r="F1033" cm="1">
        <f t="array" aca="1" ref="F1033" ca="1">[1]!s_west_mediannetprofit($B$1,YEAR($A1033),$A1033,180,1000000)</f>
        <v>-37</v>
      </c>
      <c r="G1033" cm="1">
        <f t="array" aca="1" ref="G1033" ca="1">[1]!s_west_netprofit($B$1,YEAR($A1033)+1,$A1033,180,1000000)</f>
        <v>-84.731003000000001</v>
      </c>
      <c r="H1033" cm="1">
        <f t="array" aca="1" ref="H1033" ca="1">[1]!s_west_eps($B$1,YEAR($A1033)+1,$A1033,180)</f>
        <v>-9.7799999999999998E-2</v>
      </c>
      <c r="I1033" cm="1">
        <f t="array" aca="1" ref="I1033" ca="1">[1]!s_west_instnum_np($B$1,YEAR($A1033)+1,$A1033,180)</f>
        <v>10</v>
      </c>
      <c r="J1033" cm="1">
        <f t="array" aca="1" ref="J1033" ca="1">[1]!s_west_stdnetprofit($B$1,YEAR($A1033)+1,$A1033,180,1000000)</f>
        <v>110.81618</v>
      </c>
      <c r="K1033" cm="1">
        <f t="array" aca="1" ref="K1033" ca="1">[1]!s_west_mediannetprofit($B$1,YEAR($A1032)+1,$A1032,180,1000000)</f>
        <v>-52</v>
      </c>
      <c r="L1033" cm="1">
        <f t="array" aca="1" ref="L1033" ca="1">[1]!s_dq_close($B$1,$A1033,3)</f>
        <v>24.5</v>
      </c>
    </row>
    <row r="1034" spans="1:12">
      <c r="A1034" s="23">
        <f t="shared" ca="1" si="15"/>
        <v>45141</v>
      </c>
      <c r="B1034" cm="1">
        <f t="array" aca="1" ref="B1034" ca="1">[1]!s_west_netprofit($B$1,YEAR($A1034),$A1034,180,1000000)</f>
        <v>-5.2170030000000001</v>
      </c>
      <c r="C1034" cm="1">
        <f t="array" aca="1" ref="C1034" ca="1">[1]!s_west_eps($B$1,YEAR($A1034),$A1034,180)</f>
        <v>-6.0000000000000001E-3</v>
      </c>
      <c r="D1034" cm="1">
        <f t="array" aca="1" ref="D1034" ca="1">[1]!s_west_instnum_np($B$1,YEAR($A1034),$A1034,180)</f>
        <v>10</v>
      </c>
      <c r="E1034" cm="1">
        <f t="array" aca="1" ref="E1034" ca="1">[1]!s_west_stdnetprofit($B$1,YEAR($A1034),$A1034,180,1000000)</f>
        <v>149.97117700000001</v>
      </c>
      <c r="F1034" cm="1">
        <f t="array" aca="1" ref="F1034" ca="1">[1]!s_west_mediannetprofit($B$1,YEAR($A1034),$A1034,180,1000000)</f>
        <v>-37</v>
      </c>
      <c r="G1034" cm="1">
        <f t="array" aca="1" ref="G1034" ca="1">[1]!s_west_netprofit($B$1,YEAR($A1034)+1,$A1034,180,1000000)</f>
        <v>-87.640094000000005</v>
      </c>
      <c r="H1034" cm="1">
        <f t="array" aca="1" ref="H1034" ca="1">[1]!s_west_eps($B$1,YEAR($A1034)+1,$A1034,180)</f>
        <v>-0.1012</v>
      </c>
      <c r="I1034" cm="1">
        <f t="array" aca="1" ref="I1034" ca="1">[1]!s_west_instnum_np($B$1,YEAR($A1034)+1,$A1034,180)</f>
        <v>10</v>
      </c>
      <c r="J1034" cm="1">
        <f t="array" aca="1" ref="J1034" ca="1">[1]!s_west_stdnetprofit($B$1,YEAR($A1034)+1,$A1034,180,1000000)</f>
        <v>109.15236299999999</v>
      </c>
      <c r="K1034" cm="1">
        <f t="array" aca="1" ref="K1034" ca="1">[1]!s_west_mediannetprofit($B$1,YEAR($A1033)+1,$A1033,180,1000000)</f>
        <v>-52</v>
      </c>
      <c r="L1034" cm="1">
        <f t="array" aca="1" ref="L1034" ca="1">[1]!s_dq_close($B$1,$A1034,3)</f>
        <v>23.95</v>
      </c>
    </row>
    <row r="1035" spans="1:12">
      <c r="A1035" s="23">
        <f t="shared" ca="1" si="15"/>
        <v>45140</v>
      </c>
      <c r="B1035" cm="1">
        <f t="array" aca="1" ref="B1035" ca="1">[1]!s_west_netprofit($B$1,YEAR($A1035),$A1035,180,1000000)</f>
        <v>-6.1842759999999997</v>
      </c>
      <c r="C1035" cm="1">
        <f t="array" aca="1" ref="C1035" ca="1">[1]!s_west_eps($B$1,YEAR($A1035),$A1035,180)</f>
        <v>-7.1000000000000004E-3</v>
      </c>
      <c r="D1035" cm="1">
        <f t="array" aca="1" ref="D1035" ca="1">[1]!s_west_instnum_np($B$1,YEAR($A1035),$A1035,180)</f>
        <v>10</v>
      </c>
      <c r="E1035" cm="1">
        <f t="array" aca="1" ref="E1035" ca="1">[1]!s_west_stdnetprofit($B$1,YEAR($A1035),$A1035,180,1000000)</f>
        <v>151.29339999999999</v>
      </c>
      <c r="F1035" cm="1">
        <f t="array" aca="1" ref="F1035" ca="1">[1]!s_west_mediannetprofit($B$1,YEAR($A1035),$A1035,180,1000000)</f>
        <v>-37</v>
      </c>
      <c r="G1035" cm="1">
        <f t="array" aca="1" ref="G1035" ca="1">[1]!s_west_netprofit($B$1,YEAR($A1035)+1,$A1035,180,1000000)</f>
        <v>-91.315549000000004</v>
      </c>
      <c r="H1035" cm="1">
        <f t="array" aca="1" ref="H1035" ca="1">[1]!s_west_eps($B$1,YEAR($A1035)+1,$A1035,180)</f>
        <v>-0.10539999999999999</v>
      </c>
      <c r="I1035" cm="1">
        <f t="array" aca="1" ref="I1035" ca="1">[1]!s_west_instnum_np($B$1,YEAR($A1035)+1,$A1035,180)</f>
        <v>10</v>
      </c>
      <c r="J1035" cm="1">
        <f t="array" aca="1" ref="J1035" ca="1">[1]!s_west_stdnetprofit($B$1,YEAR($A1035)+1,$A1035,180,1000000)</f>
        <v>110.521924</v>
      </c>
      <c r="K1035" cm="1">
        <f t="array" aca="1" ref="K1035" ca="1">[1]!s_west_mediannetprofit($B$1,YEAR($A1034)+1,$A1034,180,1000000)</f>
        <v>-52</v>
      </c>
      <c r="L1035" cm="1">
        <f t="array" aca="1" ref="L1035" ca="1">[1]!s_dq_close($B$1,$A1035,3)</f>
        <v>22.8</v>
      </c>
    </row>
    <row r="1036" spans="1:12">
      <c r="A1036" s="23">
        <f t="shared" ca="1" si="15"/>
        <v>45139</v>
      </c>
      <c r="B1036" cm="1">
        <f t="array" aca="1" ref="B1036" ca="1">[1]!s_west_netprofit($B$1,YEAR($A1036),$A1036,180,1000000)</f>
        <v>-55.060639000000002</v>
      </c>
      <c r="C1036" cm="1">
        <f t="array" aca="1" ref="C1036" ca="1">[1]!s_west_eps($B$1,YEAR($A1036),$A1036,180)</f>
        <v>-6.3600000000000004E-2</v>
      </c>
      <c r="D1036" cm="1">
        <f t="array" aca="1" ref="D1036" ca="1">[1]!s_west_instnum_np($B$1,YEAR($A1036),$A1036,180)</f>
        <v>10</v>
      </c>
      <c r="E1036" cm="1">
        <f t="array" aca="1" ref="E1036" ca="1">[1]!s_west_stdnetprofit($B$1,YEAR($A1036),$A1036,180,1000000)</f>
        <v>156.86073999999999</v>
      </c>
      <c r="F1036" cm="1">
        <f t="array" aca="1" ref="F1036" ca="1">[1]!s_west_mediannetprofit($B$1,YEAR($A1036),$A1036,180,1000000)</f>
        <v>-55</v>
      </c>
      <c r="G1036" cm="1">
        <f t="array" aca="1" ref="G1036" ca="1">[1]!s_west_netprofit($B$1,YEAR($A1036)+1,$A1036,180,1000000)</f>
        <v>-106.275549</v>
      </c>
      <c r="H1036" cm="1">
        <f t="array" aca="1" ref="H1036" ca="1">[1]!s_west_eps($B$1,YEAR($A1036)+1,$A1036,180)</f>
        <v>-0.1227</v>
      </c>
      <c r="I1036" cm="1">
        <f t="array" aca="1" ref="I1036" ca="1">[1]!s_west_instnum_np($B$1,YEAR($A1036)+1,$A1036,180)</f>
        <v>10</v>
      </c>
      <c r="J1036" cm="1">
        <f t="array" aca="1" ref="J1036" ca="1">[1]!s_west_stdnetprofit($B$1,YEAR($A1036)+1,$A1036,180,1000000)</f>
        <v>113.919861</v>
      </c>
      <c r="K1036" cm="1">
        <f t="array" aca="1" ref="K1036" ca="1">[1]!s_west_mediannetprofit($B$1,YEAR($A1035)+1,$A1035,180,1000000)</f>
        <v>-52</v>
      </c>
      <c r="L1036" cm="1">
        <f t="array" aca="1" ref="L1036" ca="1">[1]!s_dq_close($B$1,$A1036,3)</f>
        <v>23.75</v>
      </c>
    </row>
    <row r="1037" spans="1:12">
      <c r="A1037" s="23">
        <f t="shared" ref="A1037:A1100" ca="1" si="16">A1036-1</f>
        <v>45138</v>
      </c>
      <c r="B1037" cm="1">
        <f t="array" aca="1" ref="B1037" ca="1">[1]!s_west_netprofit($B$1,YEAR($A1037),$A1037,180,1000000)</f>
        <v>-64.515185000000002</v>
      </c>
      <c r="C1037" cm="1">
        <f t="array" aca="1" ref="C1037" ca="1">[1]!s_west_eps($B$1,YEAR($A1037),$A1037,180)</f>
        <v>-7.4499999999999997E-2</v>
      </c>
      <c r="D1037" cm="1">
        <f t="array" aca="1" ref="D1037" ca="1">[1]!s_west_instnum_np($B$1,YEAR($A1037),$A1037,180)</f>
        <v>10</v>
      </c>
      <c r="E1037" cm="1">
        <f t="array" aca="1" ref="E1037" ca="1">[1]!s_west_stdnetprofit($B$1,YEAR($A1037),$A1037,180,1000000)</f>
        <v>152.93431000000001</v>
      </c>
      <c r="F1037" cm="1">
        <f t="array" aca="1" ref="F1037" ca="1">[1]!s_west_mediannetprofit($B$1,YEAR($A1037),$A1037,180,1000000)</f>
        <v>-55</v>
      </c>
      <c r="G1037" cm="1">
        <f t="array" aca="1" ref="G1037" ca="1">[1]!s_west_netprofit($B$1,YEAR($A1037)+1,$A1037,180,1000000)</f>
        <v>-102.821003</v>
      </c>
      <c r="H1037" cm="1">
        <f t="array" aca="1" ref="H1037" ca="1">[1]!s_west_eps($B$1,YEAR($A1037)+1,$A1037,180)</f>
        <v>-0.1145</v>
      </c>
      <c r="I1037" cm="1">
        <f t="array" aca="1" ref="I1037" ca="1">[1]!s_west_instnum_np($B$1,YEAR($A1037)+1,$A1037,180)</f>
        <v>10</v>
      </c>
      <c r="J1037" cm="1">
        <f t="array" aca="1" ref="J1037" ca="1">[1]!s_west_stdnetprofit($B$1,YEAR($A1037)+1,$A1037,180,1000000)</f>
        <v>117.34863199999999</v>
      </c>
      <c r="K1037" cm="1">
        <f t="array" aca="1" ref="K1037" ca="1">[1]!s_west_mediannetprofit($B$1,YEAR($A1036)+1,$A1036,180,1000000)</f>
        <v>-65</v>
      </c>
      <c r="L1037" cm="1">
        <f t="array" aca="1" ref="L1037" ca="1">[1]!s_dq_close($B$1,$A1037,3)</f>
        <v>23</v>
      </c>
    </row>
    <row r="1038" spans="1:12">
      <c r="A1038" s="23">
        <f t="shared" ca="1" si="16"/>
        <v>45137</v>
      </c>
      <c r="B1038" cm="1">
        <f t="array" aca="1" ref="B1038" ca="1">[1]!s_west_netprofit($B$1,YEAR($A1038),$A1038,180,1000000)</f>
        <v>-88.224545000000006</v>
      </c>
      <c r="C1038" cm="1">
        <f t="array" aca="1" ref="C1038" ca="1">[1]!s_west_eps($B$1,YEAR($A1038),$A1038,180)</f>
        <v>-0.1019</v>
      </c>
      <c r="D1038" cm="1">
        <f t="array" aca="1" ref="D1038" ca="1">[1]!s_west_instnum_np($B$1,YEAR($A1038),$A1038,180)</f>
        <v>11</v>
      </c>
      <c r="E1038" cm="1">
        <f t="array" aca="1" ref="E1038" ca="1">[1]!s_west_stdnetprofit($B$1,YEAR($A1038),$A1038,180,1000000)</f>
        <v>92.667260999999996</v>
      </c>
      <c r="F1038" cm="1">
        <f t="array" aca="1" ref="F1038" ca="1">[1]!s_west_mediannetprofit($B$1,YEAR($A1038),$A1038,180,1000000)</f>
        <v>-55</v>
      </c>
      <c r="G1038" cm="1">
        <f t="array" aca="1" ref="G1038" ca="1">[1]!s_west_netprofit($B$1,YEAR($A1038)+1,$A1038,180,1000000)</f>
        <v>-74.992000000000004</v>
      </c>
      <c r="H1038" cm="1">
        <f t="array" aca="1" ref="H1038" ca="1">[1]!s_west_eps($B$1,YEAR($A1038)+1,$A1038,180)</f>
        <v>-8.3199999999999996E-2</v>
      </c>
      <c r="I1038" cm="1">
        <f t="array" aca="1" ref="I1038" ca="1">[1]!s_west_instnum_np($B$1,YEAR($A1038)+1,$A1038,180)</f>
        <v>10</v>
      </c>
      <c r="J1038" cm="1">
        <f t="array" aca="1" ref="J1038" ca="1">[1]!s_west_stdnetprofit($B$1,YEAR($A1038)+1,$A1038,180,1000000)</f>
        <v>76.388726000000005</v>
      </c>
      <c r="K1038" cm="1">
        <f t="array" aca="1" ref="K1038" ca="1">[1]!s_west_mediannetprofit($B$1,YEAR($A1037)+1,$A1037,180,1000000)</f>
        <v>-65</v>
      </c>
      <c r="L1038" cm="1">
        <f t="array" aca="1" ref="L1038" ca="1">[1]!s_dq_close($B$1,$A1038,3)</f>
        <v>23.4</v>
      </c>
    </row>
    <row r="1039" spans="1:12">
      <c r="A1039" s="23">
        <f t="shared" ca="1" si="16"/>
        <v>45136</v>
      </c>
      <c r="B1039" cm="1">
        <f t="array" aca="1" ref="B1039" ca="1">[1]!s_west_netprofit($B$1,YEAR($A1039),$A1039,180,1000000)</f>
        <v>-88.224545000000006</v>
      </c>
      <c r="C1039" cm="1">
        <f t="array" aca="1" ref="C1039" ca="1">[1]!s_west_eps($B$1,YEAR($A1039),$A1039,180)</f>
        <v>-0.1019</v>
      </c>
      <c r="D1039" cm="1">
        <f t="array" aca="1" ref="D1039" ca="1">[1]!s_west_instnum_np($B$1,YEAR($A1039),$A1039,180)</f>
        <v>11</v>
      </c>
      <c r="E1039" cm="1">
        <f t="array" aca="1" ref="E1039" ca="1">[1]!s_west_stdnetprofit($B$1,YEAR($A1039),$A1039,180,1000000)</f>
        <v>92.667260999999996</v>
      </c>
      <c r="F1039" cm="1">
        <f t="array" aca="1" ref="F1039" ca="1">[1]!s_west_mediannetprofit($B$1,YEAR($A1039),$A1039,180,1000000)</f>
        <v>-55</v>
      </c>
      <c r="G1039" cm="1">
        <f t="array" aca="1" ref="G1039" ca="1">[1]!s_west_netprofit($B$1,YEAR($A1039)+1,$A1039,180,1000000)</f>
        <v>-74.992000000000004</v>
      </c>
      <c r="H1039" cm="1">
        <f t="array" aca="1" ref="H1039" ca="1">[1]!s_west_eps($B$1,YEAR($A1039)+1,$A1039,180)</f>
        <v>-8.3199999999999996E-2</v>
      </c>
      <c r="I1039" cm="1">
        <f t="array" aca="1" ref="I1039" ca="1">[1]!s_west_instnum_np($B$1,YEAR($A1039)+1,$A1039,180)</f>
        <v>10</v>
      </c>
      <c r="J1039" cm="1">
        <f t="array" aca="1" ref="J1039" ca="1">[1]!s_west_stdnetprofit($B$1,YEAR($A1039)+1,$A1039,180,1000000)</f>
        <v>76.388726000000005</v>
      </c>
      <c r="K1039" cm="1">
        <f t="array" aca="1" ref="K1039" ca="1">[1]!s_west_mediannetprofit($B$1,YEAR($A1038)+1,$A1038,180,1000000)</f>
        <v>-58.5</v>
      </c>
      <c r="L1039" cm="1">
        <f t="array" aca="1" ref="L1039" ca="1">[1]!s_dq_close($B$1,$A1039,3)</f>
        <v>23.4</v>
      </c>
    </row>
    <row r="1040" spans="1:12">
      <c r="A1040" s="23">
        <f t="shared" ca="1" si="16"/>
        <v>45135</v>
      </c>
      <c r="B1040" cm="1">
        <f t="array" aca="1" ref="B1040" ca="1">[1]!s_west_netprofit($B$1,YEAR($A1040),$A1040,180,1000000)</f>
        <v>-88.224545000000006</v>
      </c>
      <c r="C1040" cm="1">
        <f t="array" aca="1" ref="C1040" ca="1">[1]!s_west_eps($B$1,YEAR($A1040),$A1040,180)</f>
        <v>-0.1019</v>
      </c>
      <c r="D1040" cm="1">
        <f t="array" aca="1" ref="D1040" ca="1">[1]!s_west_instnum_np($B$1,YEAR($A1040),$A1040,180)</f>
        <v>11</v>
      </c>
      <c r="E1040" cm="1">
        <f t="array" aca="1" ref="E1040" ca="1">[1]!s_west_stdnetprofit($B$1,YEAR($A1040),$A1040,180,1000000)</f>
        <v>92.667260999999996</v>
      </c>
      <c r="F1040" cm="1">
        <f t="array" aca="1" ref="F1040" ca="1">[1]!s_west_mediannetprofit($B$1,YEAR($A1040),$A1040,180,1000000)</f>
        <v>-55</v>
      </c>
      <c r="G1040" cm="1">
        <f t="array" aca="1" ref="G1040" ca="1">[1]!s_west_netprofit($B$1,YEAR($A1040)+1,$A1040,180,1000000)</f>
        <v>-74.992000000000004</v>
      </c>
      <c r="H1040" cm="1">
        <f t="array" aca="1" ref="H1040" ca="1">[1]!s_west_eps($B$1,YEAR($A1040)+1,$A1040,180)</f>
        <v>-8.3199999999999996E-2</v>
      </c>
      <c r="I1040" cm="1">
        <f t="array" aca="1" ref="I1040" ca="1">[1]!s_west_instnum_np($B$1,YEAR($A1040)+1,$A1040,180)</f>
        <v>10</v>
      </c>
      <c r="J1040" cm="1">
        <f t="array" aca="1" ref="J1040" ca="1">[1]!s_west_stdnetprofit($B$1,YEAR($A1040)+1,$A1040,180,1000000)</f>
        <v>76.388726000000005</v>
      </c>
      <c r="K1040" cm="1">
        <f t="array" aca="1" ref="K1040" ca="1">[1]!s_west_mediannetprofit($B$1,YEAR($A1039)+1,$A1039,180,1000000)</f>
        <v>-58.5</v>
      </c>
      <c r="L1040" cm="1">
        <f t="array" aca="1" ref="L1040" ca="1">[1]!s_dq_close($B$1,$A1040,3)</f>
        <v>23.4</v>
      </c>
    </row>
    <row r="1041" spans="1:12">
      <c r="A1041" s="23">
        <f t="shared" ca="1" si="16"/>
        <v>45134</v>
      </c>
      <c r="B1041" cm="1">
        <f t="array" aca="1" ref="B1041" ca="1">[1]!s_west_netprofit($B$1,YEAR($A1041),$A1041,180,1000000)</f>
        <v>-88.224545000000006</v>
      </c>
      <c r="C1041" cm="1">
        <f t="array" aca="1" ref="C1041" ca="1">[1]!s_west_eps($B$1,YEAR($A1041),$A1041,180)</f>
        <v>-0.1019</v>
      </c>
      <c r="D1041" cm="1">
        <f t="array" aca="1" ref="D1041" ca="1">[1]!s_west_instnum_np($B$1,YEAR($A1041),$A1041,180)</f>
        <v>11</v>
      </c>
      <c r="E1041" cm="1">
        <f t="array" aca="1" ref="E1041" ca="1">[1]!s_west_stdnetprofit($B$1,YEAR($A1041),$A1041,180,1000000)</f>
        <v>92.667260999999996</v>
      </c>
      <c r="F1041" cm="1">
        <f t="array" aca="1" ref="F1041" ca="1">[1]!s_west_mediannetprofit($B$1,YEAR($A1041),$A1041,180,1000000)</f>
        <v>-55</v>
      </c>
      <c r="G1041" cm="1">
        <f t="array" aca="1" ref="G1041" ca="1">[1]!s_west_netprofit($B$1,YEAR($A1041)+1,$A1041,180,1000000)</f>
        <v>-74.992000000000004</v>
      </c>
      <c r="H1041" cm="1">
        <f t="array" aca="1" ref="H1041" ca="1">[1]!s_west_eps($B$1,YEAR($A1041)+1,$A1041,180)</f>
        <v>-8.3199999999999996E-2</v>
      </c>
      <c r="I1041" cm="1">
        <f t="array" aca="1" ref="I1041" ca="1">[1]!s_west_instnum_np($B$1,YEAR($A1041)+1,$A1041,180)</f>
        <v>10</v>
      </c>
      <c r="J1041" cm="1">
        <f t="array" aca="1" ref="J1041" ca="1">[1]!s_west_stdnetprofit($B$1,YEAR($A1041)+1,$A1041,180,1000000)</f>
        <v>76.388726000000005</v>
      </c>
      <c r="K1041" cm="1">
        <f t="array" aca="1" ref="K1041" ca="1">[1]!s_west_mediannetprofit($B$1,YEAR($A1040)+1,$A1040,180,1000000)</f>
        <v>-58.5</v>
      </c>
      <c r="L1041" cm="1">
        <f t="array" aca="1" ref="L1041" ca="1">[1]!s_dq_close($B$1,$A1041,3)</f>
        <v>22.75</v>
      </c>
    </row>
    <row r="1042" spans="1:12">
      <c r="A1042" s="23">
        <f t="shared" ca="1" si="16"/>
        <v>45133</v>
      </c>
      <c r="B1042" cm="1">
        <f t="array" aca="1" ref="B1042" ca="1">[1]!s_west_netprofit($B$1,YEAR($A1042),$A1042,180,1000000)</f>
        <v>-88.224545000000006</v>
      </c>
      <c r="C1042" cm="1">
        <f t="array" aca="1" ref="C1042" ca="1">[1]!s_west_eps($B$1,YEAR($A1042),$A1042,180)</f>
        <v>-0.1019</v>
      </c>
      <c r="D1042" cm="1">
        <f t="array" aca="1" ref="D1042" ca="1">[1]!s_west_instnum_np($B$1,YEAR($A1042),$A1042,180)</f>
        <v>11</v>
      </c>
      <c r="E1042" cm="1">
        <f t="array" aca="1" ref="E1042" ca="1">[1]!s_west_stdnetprofit($B$1,YEAR($A1042),$A1042,180,1000000)</f>
        <v>92.667260999999996</v>
      </c>
      <c r="F1042" cm="1">
        <f t="array" aca="1" ref="F1042" ca="1">[1]!s_west_mediannetprofit($B$1,YEAR($A1042),$A1042,180,1000000)</f>
        <v>-55</v>
      </c>
      <c r="G1042" cm="1">
        <f t="array" aca="1" ref="G1042" ca="1">[1]!s_west_netprofit($B$1,YEAR($A1042)+1,$A1042,180,1000000)</f>
        <v>-74.992000000000004</v>
      </c>
      <c r="H1042" cm="1">
        <f t="array" aca="1" ref="H1042" ca="1">[1]!s_west_eps($B$1,YEAR($A1042)+1,$A1042,180)</f>
        <v>-8.3199999999999996E-2</v>
      </c>
      <c r="I1042" cm="1">
        <f t="array" aca="1" ref="I1042" ca="1">[1]!s_west_instnum_np($B$1,YEAR($A1042)+1,$A1042,180)</f>
        <v>10</v>
      </c>
      <c r="J1042" cm="1">
        <f t="array" aca="1" ref="J1042" ca="1">[1]!s_west_stdnetprofit($B$1,YEAR($A1042)+1,$A1042,180,1000000)</f>
        <v>76.388726000000005</v>
      </c>
      <c r="K1042" cm="1">
        <f t="array" aca="1" ref="K1042" ca="1">[1]!s_west_mediannetprofit($B$1,YEAR($A1041)+1,$A1041,180,1000000)</f>
        <v>-58.5</v>
      </c>
      <c r="L1042" cm="1">
        <f t="array" aca="1" ref="L1042" ca="1">[1]!s_dq_close($B$1,$A1042,3)</f>
        <v>22.6</v>
      </c>
    </row>
    <row r="1043" spans="1:12">
      <c r="A1043" s="23">
        <f t="shared" ca="1" si="16"/>
        <v>45132</v>
      </c>
      <c r="B1043" cm="1">
        <f t="array" aca="1" ref="B1043" ca="1">[1]!s_west_netprofit($B$1,YEAR($A1043),$A1043,180,1000000)</f>
        <v>-88.224545000000006</v>
      </c>
      <c r="C1043" cm="1">
        <f t="array" aca="1" ref="C1043" ca="1">[1]!s_west_eps($B$1,YEAR($A1043),$A1043,180)</f>
        <v>-0.1019</v>
      </c>
      <c r="D1043" cm="1">
        <f t="array" aca="1" ref="D1043" ca="1">[1]!s_west_instnum_np($B$1,YEAR($A1043),$A1043,180)</f>
        <v>11</v>
      </c>
      <c r="E1043" cm="1">
        <f t="array" aca="1" ref="E1043" ca="1">[1]!s_west_stdnetprofit($B$1,YEAR($A1043),$A1043,180,1000000)</f>
        <v>92.667260999999996</v>
      </c>
      <c r="F1043" cm="1">
        <f t="array" aca="1" ref="F1043" ca="1">[1]!s_west_mediannetprofit($B$1,YEAR($A1043),$A1043,180,1000000)</f>
        <v>-55</v>
      </c>
      <c r="G1043" cm="1">
        <f t="array" aca="1" ref="G1043" ca="1">[1]!s_west_netprofit($B$1,YEAR($A1043)+1,$A1043,180,1000000)</f>
        <v>-74.992000000000004</v>
      </c>
      <c r="H1043" cm="1">
        <f t="array" aca="1" ref="H1043" ca="1">[1]!s_west_eps($B$1,YEAR($A1043)+1,$A1043,180)</f>
        <v>-8.3199999999999996E-2</v>
      </c>
      <c r="I1043" cm="1">
        <f t="array" aca="1" ref="I1043" ca="1">[1]!s_west_instnum_np($B$1,YEAR($A1043)+1,$A1043,180)</f>
        <v>10</v>
      </c>
      <c r="J1043" cm="1">
        <f t="array" aca="1" ref="J1043" ca="1">[1]!s_west_stdnetprofit($B$1,YEAR($A1043)+1,$A1043,180,1000000)</f>
        <v>76.388726000000005</v>
      </c>
      <c r="K1043" cm="1">
        <f t="array" aca="1" ref="K1043" ca="1">[1]!s_west_mediannetprofit($B$1,YEAR($A1042)+1,$A1042,180,1000000)</f>
        <v>-58.5</v>
      </c>
      <c r="L1043" cm="1">
        <f t="array" aca="1" ref="L1043" ca="1">[1]!s_dq_close($B$1,$A1043,3)</f>
        <v>21.8</v>
      </c>
    </row>
    <row r="1044" spans="1:12">
      <c r="A1044" s="23">
        <f t="shared" ca="1" si="16"/>
        <v>45131</v>
      </c>
      <c r="B1044" cm="1">
        <f t="array" aca="1" ref="B1044" ca="1">[1]!s_west_netprofit($B$1,YEAR($A1044),$A1044,180,1000000)</f>
        <v>-88.224545000000006</v>
      </c>
      <c r="C1044" cm="1">
        <f t="array" aca="1" ref="C1044" ca="1">[1]!s_west_eps($B$1,YEAR($A1044),$A1044,180)</f>
        <v>-0.1019</v>
      </c>
      <c r="D1044" cm="1">
        <f t="array" aca="1" ref="D1044" ca="1">[1]!s_west_instnum_np($B$1,YEAR($A1044),$A1044,180)</f>
        <v>11</v>
      </c>
      <c r="E1044" cm="1">
        <f t="array" aca="1" ref="E1044" ca="1">[1]!s_west_stdnetprofit($B$1,YEAR($A1044),$A1044,180,1000000)</f>
        <v>92.667260999999996</v>
      </c>
      <c r="F1044" cm="1">
        <f t="array" aca="1" ref="F1044" ca="1">[1]!s_west_mediannetprofit($B$1,YEAR($A1044),$A1044,180,1000000)</f>
        <v>-55</v>
      </c>
      <c r="G1044" cm="1">
        <f t="array" aca="1" ref="G1044" ca="1">[1]!s_west_netprofit($B$1,YEAR($A1044)+1,$A1044,180,1000000)</f>
        <v>-74.992000000000004</v>
      </c>
      <c r="H1044" cm="1">
        <f t="array" aca="1" ref="H1044" ca="1">[1]!s_west_eps($B$1,YEAR($A1044)+1,$A1044,180)</f>
        <v>-8.3199999999999996E-2</v>
      </c>
      <c r="I1044" cm="1">
        <f t="array" aca="1" ref="I1044" ca="1">[1]!s_west_instnum_np($B$1,YEAR($A1044)+1,$A1044,180)</f>
        <v>10</v>
      </c>
      <c r="J1044" cm="1">
        <f t="array" aca="1" ref="J1044" ca="1">[1]!s_west_stdnetprofit($B$1,YEAR($A1044)+1,$A1044,180,1000000)</f>
        <v>76.388726000000005</v>
      </c>
      <c r="K1044" cm="1">
        <f t="array" aca="1" ref="K1044" ca="1">[1]!s_west_mediannetprofit($B$1,YEAR($A1043)+1,$A1043,180,1000000)</f>
        <v>-58.5</v>
      </c>
      <c r="L1044" cm="1">
        <f t="array" aca="1" ref="L1044" ca="1">[1]!s_dq_close($B$1,$A1044,3)</f>
        <v>20.7</v>
      </c>
    </row>
    <row r="1045" spans="1:12">
      <c r="A1045" s="23">
        <f t="shared" ca="1" si="16"/>
        <v>45130</v>
      </c>
      <c r="B1045" cm="1">
        <f t="array" aca="1" ref="B1045" ca="1">[1]!s_west_netprofit($B$1,YEAR($A1045),$A1045,180,1000000)</f>
        <v>-88.224545000000006</v>
      </c>
      <c r="C1045" cm="1">
        <f t="array" aca="1" ref="C1045" ca="1">[1]!s_west_eps($B$1,YEAR($A1045),$A1045,180)</f>
        <v>-0.1019</v>
      </c>
      <c r="D1045" cm="1">
        <f t="array" aca="1" ref="D1045" ca="1">[1]!s_west_instnum_np($B$1,YEAR($A1045),$A1045,180)</f>
        <v>11</v>
      </c>
      <c r="E1045" cm="1">
        <f t="array" aca="1" ref="E1045" ca="1">[1]!s_west_stdnetprofit($B$1,YEAR($A1045),$A1045,180,1000000)</f>
        <v>92.667260999999996</v>
      </c>
      <c r="F1045" cm="1">
        <f t="array" aca="1" ref="F1045" ca="1">[1]!s_west_mediannetprofit($B$1,YEAR($A1045),$A1045,180,1000000)</f>
        <v>-55</v>
      </c>
      <c r="G1045" cm="1">
        <f t="array" aca="1" ref="G1045" ca="1">[1]!s_west_netprofit($B$1,YEAR($A1045)+1,$A1045,180,1000000)</f>
        <v>-74.992000000000004</v>
      </c>
      <c r="H1045" cm="1">
        <f t="array" aca="1" ref="H1045" ca="1">[1]!s_west_eps($B$1,YEAR($A1045)+1,$A1045,180)</f>
        <v>-8.3199999999999996E-2</v>
      </c>
      <c r="I1045" cm="1">
        <f t="array" aca="1" ref="I1045" ca="1">[1]!s_west_instnum_np($B$1,YEAR($A1045)+1,$A1045,180)</f>
        <v>10</v>
      </c>
      <c r="J1045" cm="1">
        <f t="array" aca="1" ref="J1045" ca="1">[1]!s_west_stdnetprofit($B$1,YEAR($A1045)+1,$A1045,180,1000000)</f>
        <v>76.388726000000005</v>
      </c>
      <c r="K1045" cm="1">
        <f t="array" aca="1" ref="K1045" ca="1">[1]!s_west_mediannetprofit($B$1,YEAR($A1044)+1,$A1044,180,1000000)</f>
        <v>-58.5</v>
      </c>
      <c r="L1045" cm="1">
        <f t="array" aca="1" ref="L1045" ca="1">[1]!s_dq_close($B$1,$A1045,3)</f>
        <v>20.2</v>
      </c>
    </row>
    <row r="1046" spans="1:12">
      <c r="A1046" s="23">
        <f t="shared" ca="1" si="16"/>
        <v>45129</v>
      </c>
      <c r="B1046" cm="1">
        <f t="array" aca="1" ref="B1046" ca="1">[1]!s_west_netprofit($B$1,YEAR($A1046),$A1046,180,1000000)</f>
        <v>-88.224545000000006</v>
      </c>
      <c r="C1046" cm="1">
        <f t="array" aca="1" ref="C1046" ca="1">[1]!s_west_eps($B$1,YEAR($A1046),$A1046,180)</f>
        <v>-0.1019</v>
      </c>
      <c r="D1046" cm="1">
        <f t="array" aca="1" ref="D1046" ca="1">[1]!s_west_instnum_np($B$1,YEAR($A1046),$A1046,180)</f>
        <v>11</v>
      </c>
      <c r="E1046" cm="1">
        <f t="array" aca="1" ref="E1046" ca="1">[1]!s_west_stdnetprofit($B$1,YEAR($A1046),$A1046,180,1000000)</f>
        <v>92.667260999999996</v>
      </c>
      <c r="F1046" cm="1">
        <f t="array" aca="1" ref="F1046" ca="1">[1]!s_west_mediannetprofit($B$1,YEAR($A1046),$A1046,180,1000000)</f>
        <v>-55</v>
      </c>
      <c r="G1046" cm="1">
        <f t="array" aca="1" ref="G1046" ca="1">[1]!s_west_netprofit($B$1,YEAR($A1046)+1,$A1046,180,1000000)</f>
        <v>-74.992000000000004</v>
      </c>
      <c r="H1046" cm="1">
        <f t="array" aca="1" ref="H1046" ca="1">[1]!s_west_eps($B$1,YEAR($A1046)+1,$A1046,180)</f>
        <v>-8.3199999999999996E-2</v>
      </c>
      <c r="I1046" cm="1">
        <f t="array" aca="1" ref="I1046" ca="1">[1]!s_west_instnum_np($B$1,YEAR($A1046)+1,$A1046,180)</f>
        <v>10</v>
      </c>
      <c r="J1046" cm="1">
        <f t="array" aca="1" ref="J1046" ca="1">[1]!s_west_stdnetprofit($B$1,YEAR($A1046)+1,$A1046,180,1000000)</f>
        <v>76.388726000000005</v>
      </c>
      <c r="K1046" cm="1">
        <f t="array" aca="1" ref="K1046" ca="1">[1]!s_west_mediannetprofit($B$1,YEAR($A1045)+1,$A1045,180,1000000)</f>
        <v>-58.5</v>
      </c>
      <c r="L1046" cm="1">
        <f t="array" aca="1" ref="L1046" ca="1">[1]!s_dq_close($B$1,$A1046,3)</f>
        <v>20.2</v>
      </c>
    </row>
    <row r="1047" spans="1:12">
      <c r="A1047" s="23">
        <f t="shared" ca="1" si="16"/>
        <v>45128</v>
      </c>
      <c r="B1047" cm="1">
        <f t="array" aca="1" ref="B1047" ca="1">[1]!s_west_netprofit($B$1,YEAR($A1047),$A1047,180,1000000)</f>
        <v>-88.224545000000006</v>
      </c>
      <c r="C1047" cm="1">
        <f t="array" aca="1" ref="C1047" ca="1">[1]!s_west_eps($B$1,YEAR($A1047),$A1047,180)</f>
        <v>-0.1019</v>
      </c>
      <c r="D1047" cm="1">
        <f t="array" aca="1" ref="D1047" ca="1">[1]!s_west_instnum_np($B$1,YEAR($A1047),$A1047,180)</f>
        <v>11</v>
      </c>
      <c r="E1047" cm="1">
        <f t="array" aca="1" ref="E1047" ca="1">[1]!s_west_stdnetprofit($B$1,YEAR($A1047),$A1047,180,1000000)</f>
        <v>92.667260999999996</v>
      </c>
      <c r="F1047" cm="1">
        <f t="array" aca="1" ref="F1047" ca="1">[1]!s_west_mediannetprofit($B$1,YEAR($A1047),$A1047,180,1000000)</f>
        <v>-55</v>
      </c>
      <c r="G1047" cm="1">
        <f t="array" aca="1" ref="G1047" ca="1">[1]!s_west_netprofit($B$1,YEAR($A1047)+1,$A1047,180,1000000)</f>
        <v>-74.992000000000004</v>
      </c>
      <c r="H1047" cm="1">
        <f t="array" aca="1" ref="H1047" ca="1">[1]!s_west_eps($B$1,YEAR($A1047)+1,$A1047,180)</f>
        <v>-8.3199999999999996E-2</v>
      </c>
      <c r="I1047" cm="1">
        <f t="array" aca="1" ref="I1047" ca="1">[1]!s_west_instnum_np($B$1,YEAR($A1047)+1,$A1047,180)</f>
        <v>10</v>
      </c>
      <c r="J1047" cm="1">
        <f t="array" aca="1" ref="J1047" ca="1">[1]!s_west_stdnetprofit($B$1,YEAR($A1047)+1,$A1047,180,1000000)</f>
        <v>76.388726000000005</v>
      </c>
      <c r="K1047" cm="1">
        <f t="array" aca="1" ref="K1047" ca="1">[1]!s_west_mediannetprofit($B$1,YEAR($A1046)+1,$A1046,180,1000000)</f>
        <v>-58.5</v>
      </c>
      <c r="L1047" cm="1">
        <f t="array" aca="1" ref="L1047" ca="1">[1]!s_dq_close($B$1,$A1047,3)</f>
        <v>20.2</v>
      </c>
    </row>
    <row r="1048" spans="1:12">
      <c r="A1048" s="23">
        <f t="shared" ca="1" si="16"/>
        <v>45127</v>
      </c>
      <c r="B1048" cm="1">
        <f t="array" aca="1" ref="B1048" ca="1">[1]!s_west_netprofit($B$1,YEAR($A1048),$A1048,180,1000000)</f>
        <v>-88.224545000000006</v>
      </c>
      <c r="C1048" cm="1">
        <f t="array" aca="1" ref="C1048" ca="1">[1]!s_west_eps($B$1,YEAR($A1048),$A1048,180)</f>
        <v>-0.1019</v>
      </c>
      <c r="D1048" cm="1">
        <f t="array" aca="1" ref="D1048" ca="1">[1]!s_west_instnum_np($B$1,YEAR($A1048),$A1048,180)</f>
        <v>11</v>
      </c>
      <c r="E1048" cm="1">
        <f t="array" aca="1" ref="E1048" ca="1">[1]!s_west_stdnetprofit($B$1,YEAR($A1048),$A1048,180,1000000)</f>
        <v>92.667260999999996</v>
      </c>
      <c r="F1048" cm="1">
        <f t="array" aca="1" ref="F1048" ca="1">[1]!s_west_mediannetprofit($B$1,YEAR($A1048),$A1048,180,1000000)</f>
        <v>-55</v>
      </c>
      <c r="G1048" cm="1">
        <f t="array" aca="1" ref="G1048" ca="1">[1]!s_west_netprofit($B$1,YEAR($A1048)+1,$A1048,180,1000000)</f>
        <v>-74.992000000000004</v>
      </c>
      <c r="H1048" cm="1">
        <f t="array" aca="1" ref="H1048" ca="1">[1]!s_west_eps($B$1,YEAR($A1048)+1,$A1048,180)</f>
        <v>-8.3199999999999996E-2</v>
      </c>
      <c r="I1048" cm="1">
        <f t="array" aca="1" ref="I1048" ca="1">[1]!s_west_instnum_np($B$1,YEAR($A1048)+1,$A1048,180)</f>
        <v>10</v>
      </c>
      <c r="J1048" cm="1">
        <f t="array" aca="1" ref="J1048" ca="1">[1]!s_west_stdnetprofit($B$1,YEAR($A1048)+1,$A1048,180,1000000)</f>
        <v>76.388726000000005</v>
      </c>
      <c r="K1048" cm="1">
        <f t="array" aca="1" ref="K1048" ca="1">[1]!s_west_mediannetprofit($B$1,YEAR($A1047)+1,$A1047,180,1000000)</f>
        <v>-58.5</v>
      </c>
      <c r="L1048" cm="1">
        <f t="array" aca="1" ref="L1048" ca="1">[1]!s_dq_close($B$1,$A1048,3)</f>
        <v>19.64</v>
      </c>
    </row>
    <row r="1049" spans="1:12">
      <c r="A1049" s="23">
        <f t="shared" ca="1" si="16"/>
        <v>45126</v>
      </c>
      <c r="B1049" cm="1">
        <f t="array" aca="1" ref="B1049" ca="1">[1]!s_west_netprofit($B$1,YEAR($A1049),$A1049,180,1000000)</f>
        <v>-88.224545000000006</v>
      </c>
      <c r="C1049" cm="1">
        <f t="array" aca="1" ref="C1049" ca="1">[1]!s_west_eps($B$1,YEAR($A1049),$A1049,180)</f>
        <v>-0.1019</v>
      </c>
      <c r="D1049" cm="1">
        <f t="array" aca="1" ref="D1049" ca="1">[1]!s_west_instnum_np($B$1,YEAR($A1049),$A1049,180)</f>
        <v>11</v>
      </c>
      <c r="E1049" cm="1">
        <f t="array" aca="1" ref="E1049" ca="1">[1]!s_west_stdnetprofit($B$1,YEAR($A1049),$A1049,180,1000000)</f>
        <v>92.667260999999996</v>
      </c>
      <c r="F1049" cm="1">
        <f t="array" aca="1" ref="F1049" ca="1">[1]!s_west_mediannetprofit($B$1,YEAR($A1049),$A1049,180,1000000)</f>
        <v>-55</v>
      </c>
      <c r="G1049" cm="1">
        <f t="array" aca="1" ref="G1049" ca="1">[1]!s_west_netprofit($B$1,YEAR($A1049)+1,$A1049,180,1000000)</f>
        <v>-74.992000000000004</v>
      </c>
      <c r="H1049" cm="1">
        <f t="array" aca="1" ref="H1049" ca="1">[1]!s_west_eps($B$1,YEAR($A1049)+1,$A1049,180)</f>
        <v>-8.3199999999999996E-2</v>
      </c>
      <c r="I1049" cm="1">
        <f t="array" aca="1" ref="I1049" ca="1">[1]!s_west_instnum_np($B$1,YEAR($A1049)+1,$A1049,180)</f>
        <v>10</v>
      </c>
      <c r="J1049" cm="1">
        <f t="array" aca="1" ref="J1049" ca="1">[1]!s_west_stdnetprofit($B$1,YEAR($A1049)+1,$A1049,180,1000000)</f>
        <v>76.388726000000005</v>
      </c>
      <c r="K1049" cm="1">
        <f t="array" aca="1" ref="K1049" ca="1">[1]!s_west_mediannetprofit($B$1,YEAR($A1048)+1,$A1048,180,1000000)</f>
        <v>-58.5</v>
      </c>
      <c r="L1049" cm="1">
        <f t="array" aca="1" ref="L1049" ca="1">[1]!s_dq_close($B$1,$A1049,3)</f>
        <v>20.100000000000001</v>
      </c>
    </row>
    <row r="1050" spans="1:12">
      <c r="A1050" s="23">
        <f t="shared" ca="1" si="16"/>
        <v>45125</v>
      </c>
      <c r="B1050" cm="1">
        <f t="array" aca="1" ref="B1050" ca="1">[1]!s_west_netprofit($B$1,YEAR($A1050),$A1050,180,1000000)</f>
        <v>-88.224545000000006</v>
      </c>
      <c r="C1050" cm="1">
        <f t="array" aca="1" ref="C1050" ca="1">[1]!s_west_eps($B$1,YEAR($A1050),$A1050,180)</f>
        <v>-0.1019</v>
      </c>
      <c r="D1050" cm="1">
        <f t="array" aca="1" ref="D1050" ca="1">[1]!s_west_instnum_np($B$1,YEAR($A1050),$A1050,180)</f>
        <v>11</v>
      </c>
      <c r="E1050" cm="1">
        <f t="array" aca="1" ref="E1050" ca="1">[1]!s_west_stdnetprofit($B$1,YEAR($A1050),$A1050,180,1000000)</f>
        <v>92.667260999999996</v>
      </c>
      <c r="F1050" cm="1">
        <f t="array" aca="1" ref="F1050" ca="1">[1]!s_west_mediannetprofit($B$1,YEAR($A1050),$A1050,180,1000000)</f>
        <v>-55</v>
      </c>
      <c r="G1050" cm="1">
        <f t="array" aca="1" ref="G1050" ca="1">[1]!s_west_netprofit($B$1,YEAR($A1050)+1,$A1050,180,1000000)</f>
        <v>-74.992000000000004</v>
      </c>
      <c r="H1050" cm="1">
        <f t="array" aca="1" ref="H1050" ca="1">[1]!s_west_eps($B$1,YEAR($A1050)+1,$A1050,180)</f>
        <v>-8.3199999999999996E-2</v>
      </c>
      <c r="I1050" cm="1">
        <f t="array" aca="1" ref="I1050" ca="1">[1]!s_west_instnum_np($B$1,YEAR($A1050)+1,$A1050,180)</f>
        <v>10</v>
      </c>
      <c r="J1050" cm="1">
        <f t="array" aca="1" ref="J1050" ca="1">[1]!s_west_stdnetprofit($B$1,YEAR($A1050)+1,$A1050,180,1000000)</f>
        <v>76.388726000000005</v>
      </c>
      <c r="K1050" cm="1">
        <f t="array" aca="1" ref="K1050" ca="1">[1]!s_west_mediannetprofit($B$1,YEAR($A1049)+1,$A1049,180,1000000)</f>
        <v>-58.5</v>
      </c>
      <c r="L1050" cm="1">
        <f t="array" aca="1" ref="L1050" ca="1">[1]!s_dq_close($B$1,$A1050,3)</f>
        <v>20.350000000000001</v>
      </c>
    </row>
    <row r="1051" spans="1:12">
      <c r="A1051" s="23">
        <f t="shared" ca="1" si="16"/>
        <v>45124</v>
      </c>
      <c r="B1051" cm="1">
        <f t="array" aca="1" ref="B1051" ca="1">[1]!s_west_netprofit($B$1,YEAR($A1051),$A1051,180,1000000)</f>
        <v>-88.224545000000006</v>
      </c>
      <c r="C1051" cm="1">
        <f t="array" aca="1" ref="C1051" ca="1">[1]!s_west_eps($B$1,YEAR($A1051),$A1051,180)</f>
        <v>-0.1019</v>
      </c>
      <c r="D1051" cm="1">
        <f t="array" aca="1" ref="D1051" ca="1">[1]!s_west_instnum_np($B$1,YEAR($A1051),$A1051,180)</f>
        <v>11</v>
      </c>
      <c r="E1051" cm="1">
        <f t="array" aca="1" ref="E1051" ca="1">[1]!s_west_stdnetprofit($B$1,YEAR($A1051),$A1051,180,1000000)</f>
        <v>92.667260999999996</v>
      </c>
      <c r="F1051" cm="1">
        <f t="array" aca="1" ref="F1051" ca="1">[1]!s_west_mediannetprofit($B$1,YEAR($A1051),$A1051,180,1000000)</f>
        <v>-55</v>
      </c>
      <c r="G1051" cm="1">
        <f t="array" aca="1" ref="G1051" ca="1">[1]!s_west_netprofit($B$1,YEAR($A1051)+1,$A1051,180,1000000)</f>
        <v>-74.992000000000004</v>
      </c>
      <c r="H1051" cm="1">
        <f t="array" aca="1" ref="H1051" ca="1">[1]!s_west_eps($B$1,YEAR($A1051)+1,$A1051,180)</f>
        <v>-8.3199999999999996E-2</v>
      </c>
      <c r="I1051" cm="1">
        <f t="array" aca="1" ref="I1051" ca="1">[1]!s_west_instnum_np($B$1,YEAR($A1051)+1,$A1051,180)</f>
        <v>10</v>
      </c>
      <c r="J1051" cm="1">
        <f t="array" aca="1" ref="J1051" ca="1">[1]!s_west_stdnetprofit($B$1,YEAR($A1051)+1,$A1051,180,1000000)</f>
        <v>76.388726000000005</v>
      </c>
      <c r="K1051" cm="1">
        <f t="array" aca="1" ref="K1051" ca="1">[1]!s_west_mediannetprofit($B$1,YEAR($A1050)+1,$A1050,180,1000000)</f>
        <v>-58.5</v>
      </c>
      <c r="L1051" cm="1">
        <f t="array" aca="1" ref="L1051" ca="1">[1]!s_dq_close($B$1,$A1051,3)</f>
        <v>20.75</v>
      </c>
    </row>
    <row r="1052" spans="1:12">
      <c r="A1052" s="23">
        <f t="shared" ca="1" si="16"/>
        <v>45123</v>
      </c>
      <c r="B1052" cm="1">
        <f t="array" aca="1" ref="B1052" ca="1">[1]!s_west_netprofit($B$1,YEAR($A1052),$A1052,180,1000000)</f>
        <v>-88.224545000000006</v>
      </c>
      <c r="C1052" cm="1">
        <f t="array" aca="1" ref="C1052" ca="1">[1]!s_west_eps($B$1,YEAR($A1052),$A1052,180)</f>
        <v>-0.1019</v>
      </c>
      <c r="D1052" cm="1">
        <f t="array" aca="1" ref="D1052" ca="1">[1]!s_west_instnum_np($B$1,YEAR($A1052),$A1052,180)</f>
        <v>11</v>
      </c>
      <c r="E1052" cm="1">
        <f t="array" aca="1" ref="E1052" ca="1">[1]!s_west_stdnetprofit($B$1,YEAR($A1052),$A1052,180,1000000)</f>
        <v>92.667260999999996</v>
      </c>
      <c r="F1052" cm="1">
        <f t="array" aca="1" ref="F1052" ca="1">[1]!s_west_mediannetprofit($B$1,YEAR($A1052),$A1052,180,1000000)</f>
        <v>-55</v>
      </c>
      <c r="G1052" cm="1">
        <f t="array" aca="1" ref="G1052" ca="1">[1]!s_west_netprofit($B$1,YEAR($A1052)+1,$A1052,180,1000000)</f>
        <v>-74.992000000000004</v>
      </c>
      <c r="H1052" cm="1">
        <f t="array" aca="1" ref="H1052" ca="1">[1]!s_west_eps($B$1,YEAR($A1052)+1,$A1052,180)</f>
        <v>-8.3199999999999996E-2</v>
      </c>
      <c r="I1052" cm="1">
        <f t="array" aca="1" ref="I1052" ca="1">[1]!s_west_instnum_np($B$1,YEAR($A1052)+1,$A1052,180)</f>
        <v>10</v>
      </c>
      <c r="J1052" cm="1">
        <f t="array" aca="1" ref="J1052" ca="1">[1]!s_west_stdnetprofit($B$1,YEAR($A1052)+1,$A1052,180,1000000)</f>
        <v>76.388726000000005</v>
      </c>
      <c r="K1052" cm="1">
        <f t="array" aca="1" ref="K1052" ca="1">[1]!s_west_mediannetprofit($B$1,YEAR($A1051)+1,$A1051,180,1000000)</f>
        <v>-58.5</v>
      </c>
      <c r="L1052" cm="1">
        <f t="array" aca="1" ref="L1052" ca="1">[1]!s_dq_close($B$1,$A1052,3)</f>
        <v>20.75</v>
      </c>
    </row>
    <row r="1053" spans="1:12">
      <c r="A1053" s="23">
        <f t="shared" ca="1" si="16"/>
        <v>45122</v>
      </c>
      <c r="B1053" cm="1">
        <f t="array" aca="1" ref="B1053" ca="1">[1]!s_west_netprofit($B$1,YEAR($A1053),$A1053,180,1000000)</f>
        <v>-88.224545000000006</v>
      </c>
      <c r="C1053" cm="1">
        <f t="array" aca="1" ref="C1053" ca="1">[1]!s_west_eps($B$1,YEAR($A1053),$A1053,180)</f>
        <v>-0.1019</v>
      </c>
      <c r="D1053" cm="1">
        <f t="array" aca="1" ref="D1053" ca="1">[1]!s_west_instnum_np($B$1,YEAR($A1053),$A1053,180)</f>
        <v>11</v>
      </c>
      <c r="E1053" cm="1">
        <f t="array" aca="1" ref="E1053" ca="1">[1]!s_west_stdnetprofit($B$1,YEAR($A1053),$A1053,180,1000000)</f>
        <v>92.667260999999996</v>
      </c>
      <c r="F1053" cm="1">
        <f t="array" aca="1" ref="F1053" ca="1">[1]!s_west_mediannetprofit($B$1,YEAR($A1053),$A1053,180,1000000)</f>
        <v>-55</v>
      </c>
      <c r="G1053" cm="1">
        <f t="array" aca="1" ref="G1053" ca="1">[1]!s_west_netprofit($B$1,YEAR($A1053)+1,$A1053,180,1000000)</f>
        <v>-74.992000000000004</v>
      </c>
      <c r="H1053" cm="1">
        <f t="array" aca="1" ref="H1053" ca="1">[1]!s_west_eps($B$1,YEAR($A1053)+1,$A1053,180)</f>
        <v>-8.3199999999999996E-2</v>
      </c>
      <c r="I1053" cm="1">
        <f t="array" aca="1" ref="I1053" ca="1">[1]!s_west_instnum_np($B$1,YEAR($A1053)+1,$A1053,180)</f>
        <v>10</v>
      </c>
      <c r="J1053" cm="1">
        <f t="array" aca="1" ref="J1053" ca="1">[1]!s_west_stdnetprofit($B$1,YEAR($A1053)+1,$A1053,180,1000000)</f>
        <v>76.388726000000005</v>
      </c>
      <c r="K1053" cm="1">
        <f t="array" aca="1" ref="K1053" ca="1">[1]!s_west_mediannetprofit($B$1,YEAR($A1052)+1,$A1052,180,1000000)</f>
        <v>-58.5</v>
      </c>
      <c r="L1053" cm="1">
        <f t="array" aca="1" ref="L1053" ca="1">[1]!s_dq_close($B$1,$A1053,3)</f>
        <v>20.75</v>
      </c>
    </row>
    <row r="1054" spans="1:12">
      <c r="A1054" s="23">
        <f t="shared" ca="1" si="16"/>
        <v>45121</v>
      </c>
      <c r="B1054" cm="1">
        <f t="array" aca="1" ref="B1054" ca="1">[1]!s_west_netprofit($B$1,YEAR($A1054),$A1054,180,1000000)</f>
        <v>-88.224545000000006</v>
      </c>
      <c r="C1054" cm="1">
        <f t="array" aca="1" ref="C1054" ca="1">[1]!s_west_eps($B$1,YEAR($A1054),$A1054,180)</f>
        <v>-0.1019</v>
      </c>
      <c r="D1054" cm="1">
        <f t="array" aca="1" ref="D1054" ca="1">[1]!s_west_instnum_np($B$1,YEAR($A1054),$A1054,180)</f>
        <v>11</v>
      </c>
      <c r="E1054" cm="1">
        <f t="array" aca="1" ref="E1054" ca="1">[1]!s_west_stdnetprofit($B$1,YEAR($A1054),$A1054,180,1000000)</f>
        <v>92.667260999999996</v>
      </c>
      <c r="F1054" cm="1">
        <f t="array" aca="1" ref="F1054" ca="1">[1]!s_west_mediannetprofit($B$1,YEAR($A1054),$A1054,180,1000000)</f>
        <v>-55</v>
      </c>
      <c r="G1054" cm="1">
        <f t="array" aca="1" ref="G1054" ca="1">[1]!s_west_netprofit($B$1,YEAR($A1054)+1,$A1054,180,1000000)</f>
        <v>-74.992000000000004</v>
      </c>
      <c r="H1054" cm="1">
        <f t="array" aca="1" ref="H1054" ca="1">[1]!s_west_eps($B$1,YEAR($A1054)+1,$A1054,180)</f>
        <v>-8.3199999999999996E-2</v>
      </c>
      <c r="I1054" cm="1">
        <f t="array" aca="1" ref="I1054" ca="1">[1]!s_west_instnum_np($B$1,YEAR($A1054)+1,$A1054,180)</f>
        <v>10</v>
      </c>
      <c r="J1054" cm="1">
        <f t="array" aca="1" ref="J1054" ca="1">[1]!s_west_stdnetprofit($B$1,YEAR($A1054)+1,$A1054,180,1000000)</f>
        <v>76.388726000000005</v>
      </c>
      <c r="K1054" cm="1">
        <f t="array" aca="1" ref="K1054" ca="1">[1]!s_west_mediannetprofit($B$1,YEAR($A1053)+1,$A1053,180,1000000)</f>
        <v>-58.5</v>
      </c>
      <c r="L1054" cm="1">
        <f t="array" aca="1" ref="L1054" ca="1">[1]!s_dq_close($B$1,$A1054,3)</f>
        <v>20.75</v>
      </c>
    </row>
    <row r="1055" spans="1:12">
      <c r="A1055" s="23">
        <f t="shared" ca="1" si="16"/>
        <v>45120</v>
      </c>
      <c r="B1055" cm="1">
        <f t="array" aca="1" ref="B1055" ca="1">[1]!s_west_netprofit($B$1,YEAR($A1055),$A1055,180,1000000)</f>
        <v>-88.224545000000006</v>
      </c>
      <c r="C1055" cm="1">
        <f t="array" aca="1" ref="C1055" ca="1">[1]!s_west_eps($B$1,YEAR($A1055),$A1055,180)</f>
        <v>-0.1019</v>
      </c>
      <c r="D1055" cm="1">
        <f t="array" aca="1" ref="D1055" ca="1">[1]!s_west_instnum_np($B$1,YEAR($A1055),$A1055,180)</f>
        <v>11</v>
      </c>
      <c r="E1055" cm="1">
        <f t="array" aca="1" ref="E1055" ca="1">[1]!s_west_stdnetprofit($B$1,YEAR($A1055),$A1055,180,1000000)</f>
        <v>92.667260999999996</v>
      </c>
      <c r="F1055" cm="1">
        <f t="array" aca="1" ref="F1055" ca="1">[1]!s_west_mediannetprofit($B$1,YEAR($A1055),$A1055,180,1000000)</f>
        <v>-55</v>
      </c>
      <c r="G1055" cm="1">
        <f t="array" aca="1" ref="G1055" ca="1">[1]!s_west_netprofit($B$1,YEAR($A1055)+1,$A1055,180,1000000)</f>
        <v>-74.992000000000004</v>
      </c>
      <c r="H1055" cm="1">
        <f t="array" aca="1" ref="H1055" ca="1">[1]!s_west_eps($B$1,YEAR($A1055)+1,$A1055,180)</f>
        <v>-8.3199999999999996E-2</v>
      </c>
      <c r="I1055" cm="1">
        <f t="array" aca="1" ref="I1055" ca="1">[1]!s_west_instnum_np($B$1,YEAR($A1055)+1,$A1055,180)</f>
        <v>10</v>
      </c>
      <c r="J1055" cm="1">
        <f t="array" aca="1" ref="J1055" ca="1">[1]!s_west_stdnetprofit($B$1,YEAR($A1055)+1,$A1055,180,1000000)</f>
        <v>76.388726000000005</v>
      </c>
      <c r="K1055" cm="1">
        <f t="array" aca="1" ref="K1055" ca="1">[1]!s_west_mediannetprofit($B$1,YEAR($A1054)+1,$A1054,180,1000000)</f>
        <v>-58.5</v>
      </c>
      <c r="L1055" cm="1">
        <f t="array" aca="1" ref="L1055" ca="1">[1]!s_dq_close($B$1,$A1055,3)</f>
        <v>20.8</v>
      </c>
    </row>
    <row r="1056" spans="1:12">
      <c r="A1056" s="23">
        <f t="shared" ca="1" si="16"/>
        <v>45119</v>
      </c>
      <c r="B1056" cm="1">
        <f t="array" aca="1" ref="B1056" ca="1">[1]!s_west_netprofit($B$1,YEAR($A1056),$A1056,180,1000000)</f>
        <v>-88.224545000000006</v>
      </c>
      <c r="C1056" cm="1">
        <f t="array" aca="1" ref="C1056" ca="1">[1]!s_west_eps($B$1,YEAR($A1056),$A1056,180)</f>
        <v>-0.1019</v>
      </c>
      <c r="D1056" cm="1">
        <f t="array" aca="1" ref="D1056" ca="1">[1]!s_west_instnum_np($B$1,YEAR($A1056),$A1056,180)</f>
        <v>11</v>
      </c>
      <c r="E1056" cm="1">
        <f t="array" aca="1" ref="E1056" ca="1">[1]!s_west_stdnetprofit($B$1,YEAR($A1056),$A1056,180,1000000)</f>
        <v>92.667260999999996</v>
      </c>
      <c r="F1056" cm="1">
        <f t="array" aca="1" ref="F1056" ca="1">[1]!s_west_mediannetprofit($B$1,YEAR($A1056),$A1056,180,1000000)</f>
        <v>-55</v>
      </c>
      <c r="G1056" cm="1">
        <f t="array" aca="1" ref="G1056" ca="1">[1]!s_west_netprofit($B$1,YEAR($A1056)+1,$A1056,180,1000000)</f>
        <v>-74.992000000000004</v>
      </c>
      <c r="H1056" cm="1">
        <f t="array" aca="1" ref="H1056" ca="1">[1]!s_west_eps($B$1,YEAR($A1056)+1,$A1056,180)</f>
        <v>-8.3199999999999996E-2</v>
      </c>
      <c r="I1056" cm="1">
        <f t="array" aca="1" ref="I1056" ca="1">[1]!s_west_instnum_np($B$1,YEAR($A1056)+1,$A1056,180)</f>
        <v>10</v>
      </c>
      <c r="J1056" cm="1">
        <f t="array" aca="1" ref="J1056" ca="1">[1]!s_west_stdnetprofit($B$1,YEAR($A1056)+1,$A1056,180,1000000)</f>
        <v>76.388726000000005</v>
      </c>
      <c r="K1056" cm="1">
        <f t="array" aca="1" ref="K1056" ca="1">[1]!s_west_mediannetprofit($B$1,YEAR($A1055)+1,$A1055,180,1000000)</f>
        <v>-58.5</v>
      </c>
      <c r="L1056" cm="1">
        <f t="array" aca="1" ref="L1056" ca="1">[1]!s_dq_close($B$1,$A1056,3)</f>
        <v>19.46</v>
      </c>
    </row>
    <row r="1057" spans="1:12">
      <c r="A1057" s="23">
        <f t="shared" ca="1" si="16"/>
        <v>45118</v>
      </c>
      <c r="B1057" cm="1">
        <f t="array" aca="1" ref="B1057" ca="1">[1]!s_west_netprofit($B$1,YEAR($A1057),$A1057,180,1000000)</f>
        <v>-88.224545000000006</v>
      </c>
      <c r="C1057" cm="1">
        <f t="array" aca="1" ref="C1057" ca="1">[1]!s_west_eps($B$1,YEAR($A1057),$A1057,180)</f>
        <v>-0.1019</v>
      </c>
      <c r="D1057" cm="1">
        <f t="array" aca="1" ref="D1057" ca="1">[1]!s_west_instnum_np($B$1,YEAR($A1057),$A1057,180)</f>
        <v>11</v>
      </c>
      <c r="E1057" cm="1">
        <f t="array" aca="1" ref="E1057" ca="1">[1]!s_west_stdnetprofit($B$1,YEAR($A1057),$A1057,180,1000000)</f>
        <v>92.667260999999996</v>
      </c>
      <c r="F1057" cm="1">
        <f t="array" aca="1" ref="F1057" ca="1">[1]!s_west_mediannetprofit($B$1,YEAR($A1057),$A1057,180,1000000)</f>
        <v>-55</v>
      </c>
      <c r="G1057" cm="1">
        <f t="array" aca="1" ref="G1057" ca="1">[1]!s_west_netprofit($B$1,YEAR($A1057)+1,$A1057,180,1000000)</f>
        <v>-74.992000000000004</v>
      </c>
      <c r="H1057" cm="1">
        <f t="array" aca="1" ref="H1057" ca="1">[1]!s_west_eps($B$1,YEAR($A1057)+1,$A1057,180)</f>
        <v>-8.3199999999999996E-2</v>
      </c>
      <c r="I1057" cm="1">
        <f t="array" aca="1" ref="I1057" ca="1">[1]!s_west_instnum_np($B$1,YEAR($A1057)+1,$A1057,180)</f>
        <v>10</v>
      </c>
      <c r="J1057" cm="1">
        <f t="array" aca="1" ref="J1057" ca="1">[1]!s_west_stdnetprofit($B$1,YEAR($A1057)+1,$A1057,180,1000000)</f>
        <v>76.388726000000005</v>
      </c>
      <c r="K1057" cm="1">
        <f t="array" aca="1" ref="K1057" ca="1">[1]!s_west_mediannetprofit($B$1,YEAR($A1056)+1,$A1056,180,1000000)</f>
        <v>-58.5</v>
      </c>
      <c r="L1057" cm="1">
        <f t="array" aca="1" ref="L1057" ca="1">[1]!s_dq_close($B$1,$A1057,3)</f>
        <v>19.86</v>
      </c>
    </row>
    <row r="1058" spans="1:12">
      <c r="A1058" s="23">
        <f t="shared" ca="1" si="16"/>
        <v>45117</v>
      </c>
      <c r="B1058" cm="1">
        <f t="array" aca="1" ref="B1058" ca="1">[1]!s_west_netprofit($B$1,YEAR($A1058),$A1058,180,1000000)</f>
        <v>-88.224545000000006</v>
      </c>
      <c r="C1058" cm="1">
        <f t="array" aca="1" ref="C1058" ca="1">[1]!s_west_eps($B$1,YEAR($A1058),$A1058,180)</f>
        <v>-0.1019</v>
      </c>
      <c r="D1058" cm="1">
        <f t="array" aca="1" ref="D1058" ca="1">[1]!s_west_instnum_np($B$1,YEAR($A1058),$A1058,180)</f>
        <v>11</v>
      </c>
      <c r="E1058" cm="1">
        <f t="array" aca="1" ref="E1058" ca="1">[1]!s_west_stdnetprofit($B$1,YEAR($A1058),$A1058,180,1000000)</f>
        <v>92.667260999999996</v>
      </c>
      <c r="F1058" cm="1">
        <f t="array" aca="1" ref="F1058" ca="1">[1]!s_west_mediannetprofit($B$1,YEAR($A1058),$A1058,180,1000000)</f>
        <v>-55</v>
      </c>
      <c r="G1058" cm="1">
        <f t="array" aca="1" ref="G1058" ca="1">[1]!s_west_netprofit($B$1,YEAR($A1058)+1,$A1058,180,1000000)</f>
        <v>-74.992000000000004</v>
      </c>
      <c r="H1058" cm="1">
        <f t="array" aca="1" ref="H1058" ca="1">[1]!s_west_eps($B$1,YEAR($A1058)+1,$A1058,180)</f>
        <v>-8.3199999999999996E-2</v>
      </c>
      <c r="I1058" cm="1">
        <f t="array" aca="1" ref="I1058" ca="1">[1]!s_west_instnum_np($B$1,YEAR($A1058)+1,$A1058,180)</f>
        <v>10</v>
      </c>
      <c r="J1058" cm="1">
        <f t="array" aca="1" ref="J1058" ca="1">[1]!s_west_stdnetprofit($B$1,YEAR($A1058)+1,$A1058,180,1000000)</f>
        <v>76.388726000000005</v>
      </c>
      <c r="K1058" cm="1">
        <f t="array" aca="1" ref="K1058" ca="1">[1]!s_west_mediannetprofit($B$1,YEAR($A1057)+1,$A1057,180,1000000)</f>
        <v>-58.5</v>
      </c>
      <c r="L1058" cm="1">
        <f t="array" aca="1" ref="L1058" ca="1">[1]!s_dq_close($B$1,$A1058,3)</f>
        <v>18.899999999999999</v>
      </c>
    </row>
    <row r="1059" spans="1:12">
      <c r="A1059" s="23">
        <f t="shared" ca="1" si="16"/>
        <v>45116</v>
      </c>
      <c r="B1059" cm="1">
        <f t="array" aca="1" ref="B1059" ca="1">[1]!s_west_netprofit($B$1,YEAR($A1059),$A1059,180,1000000)</f>
        <v>-88.224545000000006</v>
      </c>
      <c r="C1059" cm="1">
        <f t="array" aca="1" ref="C1059" ca="1">[1]!s_west_eps($B$1,YEAR($A1059),$A1059,180)</f>
        <v>-0.1019</v>
      </c>
      <c r="D1059" cm="1">
        <f t="array" aca="1" ref="D1059" ca="1">[1]!s_west_instnum_np($B$1,YEAR($A1059),$A1059,180)</f>
        <v>11</v>
      </c>
      <c r="E1059" cm="1">
        <f t="array" aca="1" ref="E1059" ca="1">[1]!s_west_stdnetprofit($B$1,YEAR($A1059),$A1059,180,1000000)</f>
        <v>92.667260999999996</v>
      </c>
      <c r="F1059" cm="1">
        <f t="array" aca="1" ref="F1059" ca="1">[1]!s_west_mediannetprofit($B$1,YEAR($A1059),$A1059,180,1000000)</f>
        <v>-55</v>
      </c>
      <c r="G1059" cm="1">
        <f t="array" aca="1" ref="G1059" ca="1">[1]!s_west_netprofit($B$1,YEAR($A1059)+1,$A1059,180,1000000)</f>
        <v>-74.992000000000004</v>
      </c>
      <c r="H1059" cm="1">
        <f t="array" aca="1" ref="H1059" ca="1">[1]!s_west_eps($B$1,YEAR($A1059)+1,$A1059,180)</f>
        <v>-8.3199999999999996E-2</v>
      </c>
      <c r="I1059" cm="1">
        <f t="array" aca="1" ref="I1059" ca="1">[1]!s_west_instnum_np($B$1,YEAR($A1059)+1,$A1059,180)</f>
        <v>10</v>
      </c>
      <c r="J1059" cm="1">
        <f t="array" aca="1" ref="J1059" ca="1">[1]!s_west_stdnetprofit($B$1,YEAR($A1059)+1,$A1059,180,1000000)</f>
        <v>76.388726000000005</v>
      </c>
      <c r="K1059" cm="1">
        <f t="array" aca="1" ref="K1059" ca="1">[1]!s_west_mediannetprofit($B$1,YEAR($A1058)+1,$A1058,180,1000000)</f>
        <v>-58.5</v>
      </c>
      <c r="L1059" cm="1">
        <f t="array" aca="1" ref="L1059" ca="1">[1]!s_dq_close($B$1,$A1059,3)</f>
        <v>18.86</v>
      </c>
    </row>
    <row r="1060" spans="1:12">
      <c r="A1060" s="23">
        <f t="shared" ca="1" si="16"/>
        <v>45115</v>
      </c>
      <c r="B1060" cm="1">
        <f t="array" aca="1" ref="B1060" ca="1">[1]!s_west_netprofit($B$1,YEAR($A1060),$A1060,180,1000000)</f>
        <v>-88.224545000000006</v>
      </c>
      <c r="C1060" cm="1">
        <f t="array" aca="1" ref="C1060" ca="1">[1]!s_west_eps($B$1,YEAR($A1060),$A1060,180)</f>
        <v>-0.1019</v>
      </c>
      <c r="D1060" cm="1">
        <f t="array" aca="1" ref="D1060" ca="1">[1]!s_west_instnum_np($B$1,YEAR($A1060),$A1060,180)</f>
        <v>11</v>
      </c>
      <c r="E1060" cm="1">
        <f t="array" aca="1" ref="E1060" ca="1">[1]!s_west_stdnetprofit($B$1,YEAR($A1060),$A1060,180,1000000)</f>
        <v>92.667260999999996</v>
      </c>
      <c r="F1060" cm="1">
        <f t="array" aca="1" ref="F1060" ca="1">[1]!s_west_mediannetprofit($B$1,YEAR($A1060),$A1060,180,1000000)</f>
        <v>-55</v>
      </c>
      <c r="G1060" cm="1">
        <f t="array" aca="1" ref="G1060" ca="1">[1]!s_west_netprofit($B$1,YEAR($A1060)+1,$A1060,180,1000000)</f>
        <v>-74.992000000000004</v>
      </c>
      <c r="H1060" cm="1">
        <f t="array" aca="1" ref="H1060" ca="1">[1]!s_west_eps($B$1,YEAR($A1060)+1,$A1060,180)</f>
        <v>-8.3199999999999996E-2</v>
      </c>
      <c r="I1060" cm="1">
        <f t="array" aca="1" ref="I1060" ca="1">[1]!s_west_instnum_np($B$1,YEAR($A1060)+1,$A1060,180)</f>
        <v>10</v>
      </c>
      <c r="J1060" cm="1">
        <f t="array" aca="1" ref="J1060" ca="1">[1]!s_west_stdnetprofit($B$1,YEAR($A1060)+1,$A1060,180,1000000)</f>
        <v>76.388726000000005</v>
      </c>
      <c r="K1060" cm="1">
        <f t="array" aca="1" ref="K1060" ca="1">[1]!s_west_mediannetprofit($B$1,YEAR($A1059)+1,$A1059,180,1000000)</f>
        <v>-58.5</v>
      </c>
      <c r="L1060" cm="1">
        <f t="array" aca="1" ref="L1060" ca="1">[1]!s_dq_close($B$1,$A1060,3)</f>
        <v>18.86</v>
      </c>
    </row>
    <row r="1061" spans="1:12">
      <c r="A1061" s="23">
        <f t="shared" ca="1" si="16"/>
        <v>45114</v>
      </c>
      <c r="B1061" cm="1">
        <f t="array" aca="1" ref="B1061" ca="1">[1]!s_west_netprofit($B$1,YEAR($A1061),$A1061,180,1000000)</f>
        <v>-88.224545000000006</v>
      </c>
      <c r="C1061" cm="1">
        <f t="array" aca="1" ref="C1061" ca="1">[1]!s_west_eps($B$1,YEAR($A1061),$A1061,180)</f>
        <v>-0.1019</v>
      </c>
      <c r="D1061" cm="1">
        <f t="array" aca="1" ref="D1061" ca="1">[1]!s_west_instnum_np($B$1,YEAR($A1061),$A1061,180)</f>
        <v>11</v>
      </c>
      <c r="E1061" cm="1">
        <f t="array" aca="1" ref="E1061" ca="1">[1]!s_west_stdnetprofit($B$1,YEAR($A1061),$A1061,180,1000000)</f>
        <v>92.667260999999996</v>
      </c>
      <c r="F1061" cm="1">
        <f t="array" aca="1" ref="F1061" ca="1">[1]!s_west_mediannetprofit($B$1,YEAR($A1061),$A1061,180,1000000)</f>
        <v>-55</v>
      </c>
      <c r="G1061" cm="1">
        <f t="array" aca="1" ref="G1061" ca="1">[1]!s_west_netprofit($B$1,YEAR($A1061)+1,$A1061,180,1000000)</f>
        <v>-74.992000000000004</v>
      </c>
      <c r="H1061" cm="1">
        <f t="array" aca="1" ref="H1061" ca="1">[1]!s_west_eps($B$1,YEAR($A1061)+1,$A1061,180)</f>
        <v>-8.3199999999999996E-2</v>
      </c>
      <c r="I1061" cm="1">
        <f t="array" aca="1" ref="I1061" ca="1">[1]!s_west_instnum_np($B$1,YEAR($A1061)+1,$A1061,180)</f>
        <v>10</v>
      </c>
      <c r="J1061" cm="1">
        <f t="array" aca="1" ref="J1061" ca="1">[1]!s_west_stdnetprofit($B$1,YEAR($A1061)+1,$A1061,180,1000000)</f>
        <v>76.388726000000005</v>
      </c>
      <c r="K1061" cm="1">
        <f t="array" aca="1" ref="K1061" ca="1">[1]!s_west_mediannetprofit($B$1,YEAR($A1060)+1,$A1060,180,1000000)</f>
        <v>-58.5</v>
      </c>
      <c r="L1061" cm="1">
        <f t="array" aca="1" ref="L1061" ca="1">[1]!s_dq_close($B$1,$A1061,3)</f>
        <v>18.86</v>
      </c>
    </row>
    <row r="1062" spans="1:12">
      <c r="A1062" s="23">
        <f t="shared" ca="1" si="16"/>
        <v>45113</v>
      </c>
      <c r="B1062" cm="1">
        <f t="array" aca="1" ref="B1062" ca="1">[1]!s_west_netprofit($B$1,YEAR($A1062),$A1062,180,1000000)</f>
        <v>-88.224545000000006</v>
      </c>
      <c r="C1062" cm="1">
        <f t="array" aca="1" ref="C1062" ca="1">[1]!s_west_eps($B$1,YEAR($A1062),$A1062,180)</f>
        <v>-0.1019</v>
      </c>
      <c r="D1062" cm="1">
        <f t="array" aca="1" ref="D1062" ca="1">[1]!s_west_instnum_np($B$1,YEAR($A1062),$A1062,180)</f>
        <v>11</v>
      </c>
      <c r="E1062" cm="1">
        <f t="array" aca="1" ref="E1062" ca="1">[1]!s_west_stdnetprofit($B$1,YEAR($A1062),$A1062,180,1000000)</f>
        <v>92.667260999999996</v>
      </c>
      <c r="F1062" cm="1">
        <f t="array" aca="1" ref="F1062" ca="1">[1]!s_west_mediannetprofit($B$1,YEAR($A1062),$A1062,180,1000000)</f>
        <v>-55</v>
      </c>
      <c r="G1062" cm="1">
        <f t="array" aca="1" ref="G1062" ca="1">[1]!s_west_netprofit($B$1,YEAR($A1062)+1,$A1062,180,1000000)</f>
        <v>-74.992000000000004</v>
      </c>
      <c r="H1062" cm="1">
        <f t="array" aca="1" ref="H1062" ca="1">[1]!s_west_eps($B$1,YEAR($A1062)+1,$A1062,180)</f>
        <v>-8.3199999999999996E-2</v>
      </c>
      <c r="I1062" cm="1">
        <f t="array" aca="1" ref="I1062" ca="1">[1]!s_west_instnum_np($B$1,YEAR($A1062)+1,$A1062,180)</f>
        <v>10</v>
      </c>
      <c r="J1062" cm="1">
        <f t="array" aca="1" ref="J1062" ca="1">[1]!s_west_stdnetprofit($B$1,YEAR($A1062)+1,$A1062,180,1000000)</f>
        <v>76.388726000000005</v>
      </c>
      <c r="K1062" cm="1">
        <f t="array" aca="1" ref="K1062" ca="1">[1]!s_west_mediannetprofit($B$1,YEAR($A1061)+1,$A1061,180,1000000)</f>
        <v>-58.5</v>
      </c>
      <c r="L1062" cm="1">
        <f t="array" aca="1" ref="L1062" ca="1">[1]!s_dq_close($B$1,$A1062,3)</f>
        <v>19.3</v>
      </c>
    </row>
    <row r="1063" spans="1:12">
      <c r="A1063" s="23">
        <f t="shared" ca="1" si="16"/>
        <v>45112</v>
      </c>
      <c r="B1063" cm="1">
        <f t="array" aca="1" ref="B1063" ca="1">[1]!s_west_netprofit($B$1,YEAR($A1063),$A1063,180,1000000)</f>
        <v>-88.224545000000006</v>
      </c>
      <c r="C1063" cm="1">
        <f t="array" aca="1" ref="C1063" ca="1">[1]!s_west_eps($B$1,YEAR($A1063),$A1063,180)</f>
        <v>-0.1019</v>
      </c>
      <c r="D1063" cm="1">
        <f t="array" aca="1" ref="D1063" ca="1">[1]!s_west_instnum_np($B$1,YEAR($A1063),$A1063,180)</f>
        <v>11</v>
      </c>
      <c r="E1063" cm="1">
        <f t="array" aca="1" ref="E1063" ca="1">[1]!s_west_stdnetprofit($B$1,YEAR($A1063),$A1063,180,1000000)</f>
        <v>92.667260999999996</v>
      </c>
      <c r="F1063" cm="1">
        <f t="array" aca="1" ref="F1063" ca="1">[1]!s_west_mediannetprofit($B$1,YEAR($A1063),$A1063,180,1000000)</f>
        <v>-55</v>
      </c>
      <c r="G1063" cm="1">
        <f t="array" aca="1" ref="G1063" ca="1">[1]!s_west_netprofit($B$1,YEAR($A1063)+1,$A1063,180,1000000)</f>
        <v>-74.992000000000004</v>
      </c>
      <c r="H1063" cm="1">
        <f t="array" aca="1" ref="H1063" ca="1">[1]!s_west_eps($B$1,YEAR($A1063)+1,$A1063,180)</f>
        <v>-8.3199999999999996E-2</v>
      </c>
      <c r="I1063" cm="1">
        <f t="array" aca="1" ref="I1063" ca="1">[1]!s_west_instnum_np($B$1,YEAR($A1063)+1,$A1063,180)</f>
        <v>10</v>
      </c>
      <c r="J1063" cm="1">
        <f t="array" aca="1" ref="J1063" ca="1">[1]!s_west_stdnetprofit($B$1,YEAR($A1063)+1,$A1063,180,1000000)</f>
        <v>76.388726000000005</v>
      </c>
      <c r="K1063" cm="1">
        <f t="array" aca="1" ref="K1063" ca="1">[1]!s_west_mediannetprofit($B$1,YEAR($A1062)+1,$A1062,180,1000000)</f>
        <v>-58.5</v>
      </c>
      <c r="L1063" cm="1">
        <f t="array" aca="1" ref="L1063" ca="1">[1]!s_dq_close($B$1,$A1063,3)</f>
        <v>19.32</v>
      </c>
    </row>
    <row r="1064" spans="1:12">
      <c r="A1064" s="23">
        <f t="shared" ca="1" si="16"/>
        <v>45111</v>
      </c>
      <c r="B1064" cm="1">
        <f t="array" aca="1" ref="B1064" ca="1">[1]!s_west_netprofit($B$1,YEAR($A1064),$A1064,180,1000000)</f>
        <v>-88.224545000000006</v>
      </c>
      <c r="C1064" cm="1">
        <f t="array" aca="1" ref="C1064" ca="1">[1]!s_west_eps($B$1,YEAR($A1064),$A1064,180)</f>
        <v>-0.1019</v>
      </c>
      <c r="D1064" cm="1">
        <f t="array" aca="1" ref="D1064" ca="1">[1]!s_west_instnum_np($B$1,YEAR($A1064),$A1064,180)</f>
        <v>11</v>
      </c>
      <c r="E1064" cm="1">
        <f t="array" aca="1" ref="E1064" ca="1">[1]!s_west_stdnetprofit($B$1,YEAR($A1064),$A1064,180,1000000)</f>
        <v>92.667260999999996</v>
      </c>
      <c r="F1064" cm="1">
        <f t="array" aca="1" ref="F1064" ca="1">[1]!s_west_mediannetprofit($B$1,YEAR($A1064),$A1064,180,1000000)</f>
        <v>-55</v>
      </c>
      <c r="G1064" cm="1">
        <f t="array" aca="1" ref="G1064" ca="1">[1]!s_west_netprofit($B$1,YEAR($A1064)+1,$A1064,180,1000000)</f>
        <v>-74.992000000000004</v>
      </c>
      <c r="H1064" cm="1">
        <f t="array" aca="1" ref="H1064" ca="1">[1]!s_west_eps($B$1,YEAR($A1064)+1,$A1064,180)</f>
        <v>-8.3199999999999996E-2</v>
      </c>
      <c r="I1064" cm="1">
        <f t="array" aca="1" ref="I1064" ca="1">[1]!s_west_instnum_np($B$1,YEAR($A1064)+1,$A1064,180)</f>
        <v>10</v>
      </c>
      <c r="J1064" cm="1">
        <f t="array" aca="1" ref="J1064" ca="1">[1]!s_west_stdnetprofit($B$1,YEAR($A1064)+1,$A1064,180,1000000)</f>
        <v>76.388726000000005</v>
      </c>
      <c r="K1064" cm="1">
        <f t="array" aca="1" ref="K1064" ca="1">[1]!s_west_mediannetprofit($B$1,YEAR($A1063)+1,$A1063,180,1000000)</f>
        <v>-58.5</v>
      </c>
      <c r="L1064" cm="1">
        <f t="array" aca="1" ref="L1064" ca="1">[1]!s_dq_close($B$1,$A1064,3)</f>
        <v>20</v>
      </c>
    </row>
    <row r="1065" spans="1:12">
      <c r="A1065" s="23">
        <f t="shared" ca="1" si="16"/>
        <v>45110</v>
      </c>
      <c r="B1065" cm="1">
        <f t="array" aca="1" ref="B1065" ca="1">[1]!s_west_netprofit($B$1,YEAR($A1065),$A1065,180,1000000)</f>
        <v>-88.224545000000006</v>
      </c>
      <c r="C1065" cm="1">
        <f t="array" aca="1" ref="C1065" ca="1">[1]!s_west_eps($B$1,YEAR($A1065),$A1065,180)</f>
        <v>-0.1019</v>
      </c>
      <c r="D1065" cm="1">
        <f t="array" aca="1" ref="D1065" ca="1">[1]!s_west_instnum_np($B$1,YEAR($A1065),$A1065,180)</f>
        <v>11</v>
      </c>
      <c r="E1065" cm="1">
        <f t="array" aca="1" ref="E1065" ca="1">[1]!s_west_stdnetprofit($B$1,YEAR($A1065),$A1065,180,1000000)</f>
        <v>92.667260999999996</v>
      </c>
      <c r="F1065" cm="1">
        <f t="array" aca="1" ref="F1065" ca="1">[1]!s_west_mediannetprofit($B$1,YEAR($A1065),$A1065,180,1000000)</f>
        <v>-55</v>
      </c>
      <c r="G1065" cm="1">
        <f t="array" aca="1" ref="G1065" ca="1">[1]!s_west_netprofit($B$1,YEAR($A1065)+1,$A1065,180,1000000)</f>
        <v>-74.992000000000004</v>
      </c>
      <c r="H1065" cm="1">
        <f t="array" aca="1" ref="H1065" ca="1">[1]!s_west_eps($B$1,YEAR($A1065)+1,$A1065,180)</f>
        <v>-8.3199999999999996E-2</v>
      </c>
      <c r="I1065" cm="1">
        <f t="array" aca="1" ref="I1065" ca="1">[1]!s_west_instnum_np($B$1,YEAR($A1065)+1,$A1065,180)</f>
        <v>10</v>
      </c>
      <c r="J1065" cm="1">
        <f t="array" aca="1" ref="J1065" ca="1">[1]!s_west_stdnetprofit($B$1,YEAR($A1065)+1,$A1065,180,1000000)</f>
        <v>76.388726000000005</v>
      </c>
      <c r="K1065" cm="1">
        <f t="array" aca="1" ref="K1065" ca="1">[1]!s_west_mediannetprofit($B$1,YEAR($A1064)+1,$A1064,180,1000000)</f>
        <v>-58.5</v>
      </c>
      <c r="L1065" cm="1">
        <f t="array" aca="1" ref="L1065" ca="1">[1]!s_dq_close($B$1,$A1065,3)</f>
        <v>18.64</v>
      </c>
    </row>
    <row r="1066" spans="1:12">
      <c r="A1066" s="23">
        <f t="shared" ca="1" si="16"/>
        <v>45109</v>
      </c>
      <c r="B1066" cm="1">
        <f t="array" aca="1" ref="B1066" ca="1">[1]!s_west_netprofit($B$1,YEAR($A1066),$A1066,180,1000000)</f>
        <v>-88.224545000000006</v>
      </c>
      <c r="C1066" cm="1">
        <f t="array" aca="1" ref="C1066" ca="1">[1]!s_west_eps($B$1,YEAR($A1066),$A1066,180)</f>
        <v>-0.1019</v>
      </c>
      <c r="D1066" cm="1">
        <f t="array" aca="1" ref="D1066" ca="1">[1]!s_west_instnum_np($B$1,YEAR($A1066),$A1066,180)</f>
        <v>11</v>
      </c>
      <c r="E1066" cm="1">
        <f t="array" aca="1" ref="E1066" ca="1">[1]!s_west_stdnetprofit($B$1,YEAR($A1066),$A1066,180,1000000)</f>
        <v>92.667260999999996</v>
      </c>
      <c r="F1066" cm="1">
        <f t="array" aca="1" ref="F1066" ca="1">[1]!s_west_mediannetprofit($B$1,YEAR($A1066),$A1066,180,1000000)</f>
        <v>-55</v>
      </c>
      <c r="G1066" cm="1">
        <f t="array" aca="1" ref="G1066" ca="1">[1]!s_west_netprofit($B$1,YEAR($A1066)+1,$A1066,180,1000000)</f>
        <v>-74.992000000000004</v>
      </c>
      <c r="H1066" cm="1">
        <f t="array" aca="1" ref="H1066" ca="1">[1]!s_west_eps($B$1,YEAR($A1066)+1,$A1066,180)</f>
        <v>-8.3199999999999996E-2</v>
      </c>
      <c r="I1066" cm="1">
        <f t="array" aca="1" ref="I1066" ca="1">[1]!s_west_instnum_np($B$1,YEAR($A1066)+1,$A1066,180)</f>
        <v>10</v>
      </c>
      <c r="J1066" cm="1">
        <f t="array" aca="1" ref="J1066" ca="1">[1]!s_west_stdnetprofit($B$1,YEAR($A1066)+1,$A1066,180,1000000)</f>
        <v>76.388726000000005</v>
      </c>
      <c r="K1066" cm="1">
        <f t="array" aca="1" ref="K1066" ca="1">[1]!s_west_mediannetprofit($B$1,YEAR($A1065)+1,$A1065,180,1000000)</f>
        <v>-58.5</v>
      </c>
      <c r="L1066" cm="1">
        <f t="array" aca="1" ref="L1066" ca="1">[1]!s_dq_close($B$1,$A1066,3)</f>
        <v>18.440000000000001</v>
      </c>
    </row>
    <row r="1067" spans="1:12">
      <c r="A1067" s="23">
        <f t="shared" ca="1" si="16"/>
        <v>45108</v>
      </c>
      <c r="B1067" cm="1">
        <f t="array" aca="1" ref="B1067" ca="1">[1]!s_west_netprofit($B$1,YEAR($A1067),$A1067,180,1000000)</f>
        <v>-88.224545000000006</v>
      </c>
      <c r="C1067" cm="1">
        <f t="array" aca="1" ref="C1067" ca="1">[1]!s_west_eps($B$1,YEAR($A1067),$A1067,180)</f>
        <v>-0.1019</v>
      </c>
      <c r="D1067" cm="1">
        <f t="array" aca="1" ref="D1067" ca="1">[1]!s_west_instnum_np($B$1,YEAR($A1067),$A1067,180)</f>
        <v>11</v>
      </c>
      <c r="E1067" cm="1">
        <f t="array" aca="1" ref="E1067" ca="1">[1]!s_west_stdnetprofit($B$1,YEAR($A1067),$A1067,180,1000000)</f>
        <v>92.667260999999996</v>
      </c>
      <c r="F1067" cm="1">
        <f t="array" aca="1" ref="F1067" ca="1">[1]!s_west_mediannetprofit($B$1,YEAR($A1067),$A1067,180,1000000)</f>
        <v>-55</v>
      </c>
      <c r="G1067" cm="1">
        <f t="array" aca="1" ref="G1067" ca="1">[1]!s_west_netprofit($B$1,YEAR($A1067)+1,$A1067,180,1000000)</f>
        <v>-74.992000000000004</v>
      </c>
      <c r="H1067" cm="1">
        <f t="array" aca="1" ref="H1067" ca="1">[1]!s_west_eps($B$1,YEAR($A1067)+1,$A1067,180)</f>
        <v>-8.3199999999999996E-2</v>
      </c>
      <c r="I1067" cm="1">
        <f t="array" aca="1" ref="I1067" ca="1">[1]!s_west_instnum_np($B$1,YEAR($A1067)+1,$A1067,180)</f>
        <v>10</v>
      </c>
      <c r="J1067" cm="1">
        <f t="array" aca="1" ref="J1067" ca="1">[1]!s_west_stdnetprofit($B$1,YEAR($A1067)+1,$A1067,180,1000000)</f>
        <v>76.388726000000005</v>
      </c>
      <c r="K1067" cm="1">
        <f t="array" aca="1" ref="K1067" ca="1">[1]!s_west_mediannetprofit($B$1,YEAR($A1066)+1,$A1066,180,1000000)</f>
        <v>-58.5</v>
      </c>
      <c r="L1067" cm="1">
        <f t="array" aca="1" ref="L1067" ca="1">[1]!s_dq_close($B$1,$A1067,3)</f>
        <v>18.440000000000001</v>
      </c>
    </row>
    <row r="1068" spans="1:12">
      <c r="A1068" s="23">
        <f t="shared" ca="1" si="16"/>
        <v>45107</v>
      </c>
      <c r="B1068" cm="1">
        <f t="array" aca="1" ref="B1068" ca="1">[1]!s_west_netprofit($B$1,YEAR($A1068),$A1068,180,1000000)</f>
        <v>-88.224545000000006</v>
      </c>
      <c r="C1068" cm="1">
        <f t="array" aca="1" ref="C1068" ca="1">[1]!s_west_eps($B$1,YEAR($A1068),$A1068,180)</f>
        <v>-0.1019</v>
      </c>
      <c r="D1068" cm="1">
        <f t="array" aca="1" ref="D1068" ca="1">[1]!s_west_instnum_np($B$1,YEAR($A1068),$A1068,180)</f>
        <v>11</v>
      </c>
      <c r="E1068" cm="1">
        <f t="array" aca="1" ref="E1068" ca="1">[1]!s_west_stdnetprofit($B$1,YEAR($A1068),$A1068,180,1000000)</f>
        <v>92.667260999999996</v>
      </c>
      <c r="F1068" cm="1">
        <f t="array" aca="1" ref="F1068" ca="1">[1]!s_west_mediannetprofit($B$1,YEAR($A1068),$A1068,180,1000000)</f>
        <v>-55</v>
      </c>
      <c r="G1068" cm="1">
        <f t="array" aca="1" ref="G1068" ca="1">[1]!s_west_netprofit($B$1,YEAR($A1068)+1,$A1068,180,1000000)</f>
        <v>-74.992000000000004</v>
      </c>
      <c r="H1068" cm="1">
        <f t="array" aca="1" ref="H1068" ca="1">[1]!s_west_eps($B$1,YEAR($A1068)+1,$A1068,180)</f>
        <v>-8.3199999999999996E-2</v>
      </c>
      <c r="I1068" cm="1">
        <f t="array" aca="1" ref="I1068" ca="1">[1]!s_west_instnum_np($B$1,YEAR($A1068)+1,$A1068,180)</f>
        <v>10</v>
      </c>
      <c r="J1068" cm="1">
        <f t="array" aca="1" ref="J1068" ca="1">[1]!s_west_stdnetprofit($B$1,YEAR($A1068)+1,$A1068,180,1000000)</f>
        <v>76.388726000000005</v>
      </c>
      <c r="K1068" cm="1">
        <f t="array" aca="1" ref="K1068" ca="1">[1]!s_west_mediannetprofit($B$1,YEAR($A1067)+1,$A1067,180,1000000)</f>
        <v>-58.5</v>
      </c>
      <c r="L1068" cm="1">
        <f t="array" aca="1" ref="L1068" ca="1">[1]!s_dq_close($B$1,$A1068,3)</f>
        <v>18.440000000000001</v>
      </c>
    </row>
    <row r="1069" spans="1:12">
      <c r="A1069" s="23">
        <f t="shared" ca="1" si="16"/>
        <v>45106</v>
      </c>
      <c r="B1069" cm="1">
        <f t="array" aca="1" ref="B1069" ca="1">[1]!s_west_netprofit($B$1,YEAR($A1069),$A1069,180,1000000)</f>
        <v>-88.224545000000006</v>
      </c>
      <c r="C1069" cm="1">
        <f t="array" aca="1" ref="C1069" ca="1">[1]!s_west_eps($B$1,YEAR($A1069),$A1069,180)</f>
        <v>-0.1019</v>
      </c>
      <c r="D1069" cm="1">
        <f t="array" aca="1" ref="D1069" ca="1">[1]!s_west_instnum_np($B$1,YEAR($A1069),$A1069,180)</f>
        <v>11</v>
      </c>
      <c r="E1069" cm="1">
        <f t="array" aca="1" ref="E1069" ca="1">[1]!s_west_stdnetprofit($B$1,YEAR($A1069),$A1069,180,1000000)</f>
        <v>92.667260999999996</v>
      </c>
      <c r="F1069" cm="1">
        <f t="array" aca="1" ref="F1069" ca="1">[1]!s_west_mediannetprofit($B$1,YEAR($A1069),$A1069,180,1000000)</f>
        <v>-55</v>
      </c>
      <c r="G1069" cm="1">
        <f t="array" aca="1" ref="G1069" ca="1">[1]!s_west_netprofit($B$1,YEAR($A1069)+1,$A1069,180,1000000)</f>
        <v>-74.992000000000004</v>
      </c>
      <c r="H1069" cm="1">
        <f t="array" aca="1" ref="H1069" ca="1">[1]!s_west_eps($B$1,YEAR($A1069)+1,$A1069,180)</f>
        <v>-8.3199999999999996E-2</v>
      </c>
      <c r="I1069" cm="1">
        <f t="array" aca="1" ref="I1069" ca="1">[1]!s_west_instnum_np($B$1,YEAR($A1069)+1,$A1069,180)</f>
        <v>10</v>
      </c>
      <c r="J1069" cm="1">
        <f t="array" aca="1" ref="J1069" ca="1">[1]!s_west_stdnetprofit($B$1,YEAR($A1069)+1,$A1069,180,1000000)</f>
        <v>76.388726000000005</v>
      </c>
      <c r="K1069" cm="1">
        <f t="array" aca="1" ref="K1069" ca="1">[1]!s_west_mediannetprofit($B$1,YEAR($A1068)+1,$A1068,180,1000000)</f>
        <v>-58.5</v>
      </c>
      <c r="L1069" cm="1">
        <f t="array" aca="1" ref="L1069" ca="1">[1]!s_dq_close($B$1,$A1069,3)</f>
        <v>17.88</v>
      </c>
    </row>
    <row r="1070" spans="1:12">
      <c r="A1070" s="23">
        <f t="shared" ca="1" si="16"/>
        <v>45105</v>
      </c>
      <c r="B1070" cm="1">
        <f t="array" aca="1" ref="B1070" ca="1">[1]!s_west_netprofit($B$1,YEAR($A1070),$A1070,180,1000000)</f>
        <v>-88.224545000000006</v>
      </c>
      <c r="C1070" cm="1">
        <f t="array" aca="1" ref="C1070" ca="1">[1]!s_west_eps($B$1,YEAR($A1070),$A1070,180)</f>
        <v>-0.1019</v>
      </c>
      <c r="D1070" cm="1">
        <f t="array" aca="1" ref="D1070" ca="1">[1]!s_west_instnum_np($B$1,YEAR($A1070),$A1070,180)</f>
        <v>11</v>
      </c>
      <c r="E1070" cm="1">
        <f t="array" aca="1" ref="E1070" ca="1">[1]!s_west_stdnetprofit($B$1,YEAR($A1070),$A1070,180,1000000)</f>
        <v>92.667260999999996</v>
      </c>
      <c r="F1070" cm="1">
        <f t="array" aca="1" ref="F1070" ca="1">[1]!s_west_mediannetprofit($B$1,YEAR($A1070),$A1070,180,1000000)</f>
        <v>-55</v>
      </c>
      <c r="G1070" cm="1">
        <f t="array" aca="1" ref="G1070" ca="1">[1]!s_west_netprofit($B$1,YEAR($A1070)+1,$A1070,180,1000000)</f>
        <v>-74.992000000000004</v>
      </c>
      <c r="H1070" cm="1">
        <f t="array" aca="1" ref="H1070" ca="1">[1]!s_west_eps($B$1,YEAR($A1070)+1,$A1070,180)</f>
        <v>-8.3199999999999996E-2</v>
      </c>
      <c r="I1070" cm="1">
        <f t="array" aca="1" ref="I1070" ca="1">[1]!s_west_instnum_np($B$1,YEAR($A1070)+1,$A1070,180)</f>
        <v>10</v>
      </c>
      <c r="J1070" cm="1">
        <f t="array" aca="1" ref="J1070" ca="1">[1]!s_west_stdnetprofit($B$1,YEAR($A1070)+1,$A1070,180,1000000)</f>
        <v>76.388726000000005</v>
      </c>
      <c r="K1070" cm="1">
        <f t="array" aca="1" ref="K1070" ca="1">[1]!s_west_mediannetprofit($B$1,YEAR($A1069)+1,$A1069,180,1000000)</f>
        <v>-58.5</v>
      </c>
      <c r="L1070" cm="1">
        <f t="array" aca="1" ref="L1070" ca="1">[1]!s_dq_close($B$1,$A1070,3)</f>
        <v>17.8</v>
      </c>
    </row>
    <row r="1071" spans="1:12">
      <c r="A1071" s="23">
        <f t="shared" ca="1" si="16"/>
        <v>45104</v>
      </c>
      <c r="B1071" cm="1">
        <f t="array" aca="1" ref="B1071" ca="1">[1]!s_west_netprofit($B$1,YEAR($A1071),$A1071,180,1000000)</f>
        <v>-88.224545000000006</v>
      </c>
      <c r="C1071" cm="1">
        <f t="array" aca="1" ref="C1071" ca="1">[1]!s_west_eps($B$1,YEAR($A1071),$A1071,180)</f>
        <v>-0.1019</v>
      </c>
      <c r="D1071" cm="1">
        <f t="array" aca="1" ref="D1071" ca="1">[1]!s_west_instnum_np($B$1,YEAR($A1071),$A1071,180)</f>
        <v>11</v>
      </c>
      <c r="E1071" cm="1">
        <f t="array" aca="1" ref="E1071" ca="1">[1]!s_west_stdnetprofit($B$1,YEAR($A1071),$A1071,180,1000000)</f>
        <v>92.667260999999996</v>
      </c>
      <c r="F1071" cm="1">
        <f t="array" aca="1" ref="F1071" ca="1">[1]!s_west_mediannetprofit($B$1,YEAR($A1071),$A1071,180,1000000)</f>
        <v>-55</v>
      </c>
      <c r="G1071" cm="1">
        <f t="array" aca="1" ref="G1071" ca="1">[1]!s_west_netprofit($B$1,YEAR($A1071)+1,$A1071,180,1000000)</f>
        <v>-74.992000000000004</v>
      </c>
      <c r="H1071" cm="1">
        <f t="array" aca="1" ref="H1071" ca="1">[1]!s_west_eps($B$1,YEAR($A1071)+1,$A1071,180)</f>
        <v>-8.3199999999999996E-2</v>
      </c>
      <c r="I1071" cm="1">
        <f t="array" aca="1" ref="I1071" ca="1">[1]!s_west_instnum_np($B$1,YEAR($A1071)+1,$A1071,180)</f>
        <v>10</v>
      </c>
      <c r="J1071" cm="1">
        <f t="array" aca="1" ref="J1071" ca="1">[1]!s_west_stdnetprofit($B$1,YEAR($A1071)+1,$A1071,180,1000000)</f>
        <v>76.388726000000005</v>
      </c>
      <c r="K1071" cm="1">
        <f t="array" aca="1" ref="K1071" ca="1">[1]!s_west_mediannetprofit($B$1,YEAR($A1070)+1,$A1070,180,1000000)</f>
        <v>-58.5</v>
      </c>
      <c r="L1071" cm="1">
        <f t="array" aca="1" ref="L1071" ca="1">[1]!s_dq_close($B$1,$A1071,3)</f>
        <v>18.14</v>
      </c>
    </row>
    <row r="1072" spans="1:12">
      <c r="A1072" s="23">
        <f t="shared" ca="1" si="16"/>
        <v>45103</v>
      </c>
      <c r="B1072" cm="1">
        <f t="array" aca="1" ref="B1072" ca="1">[1]!s_west_netprofit($B$1,YEAR($A1072),$A1072,180,1000000)</f>
        <v>-88.224545000000006</v>
      </c>
      <c r="C1072" cm="1">
        <f t="array" aca="1" ref="C1072" ca="1">[1]!s_west_eps($B$1,YEAR($A1072),$A1072,180)</f>
        <v>-0.1019</v>
      </c>
      <c r="D1072" cm="1">
        <f t="array" aca="1" ref="D1072" ca="1">[1]!s_west_instnum_np($B$1,YEAR($A1072),$A1072,180)</f>
        <v>11</v>
      </c>
      <c r="E1072" cm="1">
        <f t="array" aca="1" ref="E1072" ca="1">[1]!s_west_stdnetprofit($B$1,YEAR($A1072),$A1072,180,1000000)</f>
        <v>92.667260999999996</v>
      </c>
      <c r="F1072" cm="1">
        <f t="array" aca="1" ref="F1072" ca="1">[1]!s_west_mediannetprofit($B$1,YEAR($A1072),$A1072,180,1000000)</f>
        <v>-55</v>
      </c>
      <c r="G1072" cm="1">
        <f t="array" aca="1" ref="G1072" ca="1">[1]!s_west_netprofit($B$1,YEAR($A1072)+1,$A1072,180,1000000)</f>
        <v>-74.992000000000004</v>
      </c>
      <c r="H1072" cm="1">
        <f t="array" aca="1" ref="H1072" ca="1">[1]!s_west_eps($B$1,YEAR($A1072)+1,$A1072,180)</f>
        <v>-8.3199999999999996E-2</v>
      </c>
      <c r="I1072" cm="1">
        <f t="array" aca="1" ref="I1072" ca="1">[1]!s_west_instnum_np($B$1,YEAR($A1072)+1,$A1072,180)</f>
        <v>10</v>
      </c>
      <c r="J1072" cm="1">
        <f t="array" aca="1" ref="J1072" ca="1">[1]!s_west_stdnetprofit($B$1,YEAR($A1072)+1,$A1072,180,1000000)</f>
        <v>76.388726000000005</v>
      </c>
      <c r="K1072" cm="1">
        <f t="array" aca="1" ref="K1072" ca="1">[1]!s_west_mediannetprofit($B$1,YEAR($A1071)+1,$A1071,180,1000000)</f>
        <v>-58.5</v>
      </c>
      <c r="L1072" cm="1">
        <f t="array" aca="1" ref="L1072" ca="1">[1]!s_dq_close($B$1,$A1072,3)</f>
        <v>18</v>
      </c>
    </row>
    <row r="1073" spans="1:12">
      <c r="A1073" s="23">
        <f t="shared" ca="1" si="16"/>
        <v>45102</v>
      </c>
      <c r="B1073" cm="1">
        <f t="array" aca="1" ref="B1073" ca="1">[1]!s_west_netprofit($B$1,YEAR($A1073),$A1073,180,1000000)</f>
        <v>-88.224545000000006</v>
      </c>
      <c r="C1073" cm="1">
        <f t="array" aca="1" ref="C1073" ca="1">[1]!s_west_eps($B$1,YEAR($A1073),$A1073,180)</f>
        <v>-0.1019</v>
      </c>
      <c r="D1073" cm="1">
        <f t="array" aca="1" ref="D1073" ca="1">[1]!s_west_instnum_np($B$1,YEAR($A1073),$A1073,180)</f>
        <v>11</v>
      </c>
      <c r="E1073" cm="1">
        <f t="array" aca="1" ref="E1073" ca="1">[1]!s_west_stdnetprofit($B$1,YEAR($A1073),$A1073,180,1000000)</f>
        <v>92.667260999999996</v>
      </c>
      <c r="F1073" cm="1">
        <f t="array" aca="1" ref="F1073" ca="1">[1]!s_west_mediannetprofit($B$1,YEAR($A1073),$A1073,180,1000000)</f>
        <v>-55</v>
      </c>
      <c r="G1073" cm="1">
        <f t="array" aca="1" ref="G1073" ca="1">[1]!s_west_netprofit($B$1,YEAR($A1073)+1,$A1073,180,1000000)</f>
        <v>-74.992000000000004</v>
      </c>
      <c r="H1073" cm="1">
        <f t="array" aca="1" ref="H1073" ca="1">[1]!s_west_eps($B$1,YEAR($A1073)+1,$A1073,180)</f>
        <v>-8.3199999999999996E-2</v>
      </c>
      <c r="I1073" cm="1">
        <f t="array" aca="1" ref="I1073" ca="1">[1]!s_west_instnum_np($B$1,YEAR($A1073)+1,$A1073,180)</f>
        <v>10</v>
      </c>
      <c r="J1073" cm="1">
        <f t="array" aca="1" ref="J1073" ca="1">[1]!s_west_stdnetprofit($B$1,YEAR($A1073)+1,$A1073,180,1000000)</f>
        <v>76.388726000000005</v>
      </c>
      <c r="K1073" cm="1">
        <f t="array" aca="1" ref="K1073" ca="1">[1]!s_west_mediannetprofit($B$1,YEAR($A1072)+1,$A1072,180,1000000)</f>
        <v>-58.5</v>
      </c>
      <c r="L1073" cm="1">
        <f t="array" aca="1" ref="L1073" ca="1">[1]!s_dq_close($B$1,$A1073,3)</f>
        <v>17.68</v>
      </c>
    </row>
    <row r="1074" spans="1:12">
      <c r="A1074" s="23">
        <f t="shared" ca="1" si="16"/>
        <v>45101</v>
      </c>
      <c r="B1074" cm="1">
        <f t="array" aca="1" ref="B1074" ca="1">[1]!s_west_netprofit($B$1,YEAR($A1074),$A1074,180,1000000)</f>
        <v>-88.224545000000006</v>
      </c>
      <c r="C1074" cm="1">
        <f t="array" aca="1" ref="C1074" ca="1">[1]!s_west_eps($B$1,YEAR($A1074),$A1074,180)</f>
        <v>-0.1019</v>
      </c>
      <c r="D1074" cm="1">
        <f t="array" aca="1" ref="D1074" ca="1">[1]!s_west_instnum_np($B$1,YEAR($A1074),$A1074,180)</f>
        <v>11</v>
      </c>
      <c r="E1074" cm="1">
        <f t="array" aca="1" ref="E1074" ca="1">[1]!s_west_stdnetprofit($B$1,YEAR($A1074),$A1074,180,1000000)</f>
        <v>92.667260999999996</v>
      </c>
      <c r="F1074" cm="1">
        <f t="array" aca="1" ref="F1074" ca="1">[1]!s_west_mediannetprofit($B$1,YEAR($A1074),$A1074,180,1000000)</f>
        <v>-55</v>
      </c>
      <c r="G1074" cm="1">
        <f t="array" aca="1" ref="G1074" ca="1">[1]!s_west_netprofit($B$1,YEAR($A1074)+1,$A1074,180,1000000)</f>
        <v>-74.992000000000004</v>
      </c>
      <c r="H1074" cm="1">
        <f t="array" aca="1" ref="H1074" ca="1">[1]!s_west_eps($B$1,YEAR($A1074)+1,$A1074,180)</f>
        <v>-8.3199999999999996E-2</v>
      </c>
      <c r="I1074" cm="1">
        <f t="array" aca="1" ref="I1074" ca="1">[1]!s_west_instnum_np($B$1,YEAR($A1074)+1,$A1074,180)</f>
        <v>10</v>
      </c>
      <c r="J1074" cm="1">
        <f t="array" aca="1" ref="J1074" ca="1">[1]!s_west_stdnetprofit($B$1,YEAR($A1074)+1,$A1074,180,1000000)</f>
        <v>76.388726000000005</v>
      </c>
      <c r="K1074" cm="1">
        <f t="array" aca="1" ref="K1074" ca="1">[1]!s_west_mediannetprofit($B$1,YEAR($A1073)+1,$A1073,180,1000000)</f>
        <v>-58.5</v>
      </c>
      <c r="L1074" cm="1">
        <f t="array" aca="1" ref="L1074" ca="1">[1]!s_dq_close($B$1,$A1074,3)</f>
        <v>17.68</v>
      </c>
    </row>
    <row r="1075" spans="1:12">
      <c r="A1075" s="23">
        <f t="shared" ca="1" si="16"/>
        <v>45100</v>
      </c>
      <c r="B1075" cm="1">
        <f t="array" aca="1" ref="B1075" ca="1">[1]!s_west_netprofit($B$1,YEAR($A1075),$A1075,180,1000000)</f>
        <v>-88.224545000000006</v>
      </c>
      <c r="C1075" cm="1">
        <f t="array" aca="1" ref="C1075" ca="1">[1]!s_west_eps($B$1,YEAR($A1075),$A1075,180)</f>
        <v>-0.1019</v>
      </c>
      <c r="D1075" cm="1">
        <f t="array" aca="1" ref="D1075" ca="1">[1]!s_west_instnum_np($B$1,YEAR($A1075),$A1075,180)</f>
        <v>11</v>
      </c>
      <c r="E1075" cm="1">
        <f t="array" aca="1" ref="E1075" ca="1">[1]!s_west_stdnetprofit($B$1,YEAR($A1075),$A1075,180,1000000)</f>
        <v>92.667260999999996</v>
      </c>
      <c r="F1075" cm="1">
        <f t="array" aca="1" ref="F1075" ca="1">[1]!s_west_mediannetprofit($B$1,YEAR($A1075),$A1075,180,1000000)</f>
        <v>-55</v>
      </c>
      <c r="G1075" cm="1">
        <f t="array" aca="1" ref="G1075" ca="1">[1]!s_west_netprofit($B$1,YEAR($A1075)+1,$A1075,180,1000000)</f>
        <v>-74.992000000000004</v>
      </c>
      <c r="H1075" cm="1">
        <f t="array" aca="1" ref="H1075" ca="1">[1]!s_west_eps($B$1,YEAR($A1075)+1,$A1075,180)</f>
        <v>-8.3199999999999996E-2</v>
      </c>
      <c r="I1075" cm="1">
        <f t="array" aca="1" ref="I1075" ca="1">[1]!s_west_instnum_np($B$1,YEAR($A1075)+1,$A1075,180)</f>
        <v>10</v>
      </c>
      <c r="J1075" cm="1">
        <f t="array" aca="1" ref="J1075" ca="1">[1]!s_west_stdnetprofit($B$1,YEAR($A1075)+1,$A1075,180,1000000)</f>
        <v>76.388726000000005</v>
      </c>
      <c r="K1075" cm="1">
        <f t="array" aca="1" ref="K1075" ca="1">[1]!s_west_mediannetprofit($B$1,YEAR($A1074)+1,$A1074,180,1000000)</f>
        <v>-58.5</v>
      </c>
      <c r="L1075" cm="1">
        <f t="array" aca="1" ref="L1075" ca="1">[1]!s_dq_close($B$1,$A1075,3)</f>
        <v>17.68</v>
      </c>
    </row>
    <row r="1076" spans="1:12">
      <c r="A1076" s="23">
        <f t="shared" ca="1" si="16"/>
        <v>45099</v>
      </c>
      <c r="B1076" cm="1">
        <f t="array" aca="1" ref="B1076" ca="1">[1]!s_west_netprofit($B$1,YEAR($A1076),$A1076,180,1000000)</f>
        <v>-88.224545000000006</v>
      </c>
      <c r="C1076" cm="1">
        <f t="array" aca="1" ref="C1076" ca="1">[1]!s_west_eps($B$1,YEAR($A1076),$A1076,180)</f>
        <v>-0.1019</v>
      </c>
      <c r="D1076" cm="1">
        <f t="array" aca="1" ref="D1076" ca="1">[1]!s_west_instnum_np($B$1,YEAR($A1076),$A1076,180)</f>
        <v>11</v>
      </c>
      <c r="E1076" cm="1">
        <f t="array" aca="1" ref="E1076" ca="1">[1]!s_west_stdnetprofit($B$1,YEAR($A1076),$A1076,180,1000000)</f>
        <v>92.667260999999996</v>
      </c>
      <c r="F1076" cm="1">
        <f t="array" aca="1" ref="F1076" ca="1">[1]!s_west_mediannetprofit($B$1,YEAR($A1076),$A1076,180,1000000)</f>
        <v>-55</v>
      </c>
      <c r="G1076" cm="1">
        <f t="array" aca="1" ref="G1076" ca="1">[1]!s_west_netprofit($B$1,YEAR($A1076)+1,$A1076,180,1000000)</f>
        <v>-74.992000000000004</v>
      </c>
      <c r="H1076" cm="1">
        <f t="array" aca="1" ref="H1076" ca="1">[1]!s_west_eps($B$1,YEAR($A1076)+1,$A1076,180)</f>
        <v>-8.3199999999999996E-2</v>
      </c>
      <c r="I1076" cm="1">
        <f t="array" aca="1" ref="I1076" ca="1">[1]!s_west_instnum_np($B$1,YEAR($A1076)+1,$A1076,180)</f>
        <v>10</v>
      </c>
      <c r="J1076" cm="1">
        <f t="array" aca="1" ref="J1076" ca="1">[1]!s_west_stdnetprofit($B$1,YEAR($A1076)+1,$A1076,180,1000000)</f>
        <v>76.388726000000005</v>
      </c>
      <c r="K1076" cm="1">
        <f t="array" aca="1" ref="K1076" ca="1">[1]!s_west_mediannetprofit($B$1,YEAR($A1075)+1,$A1075,180,1000000)</f>
        <v>-58.5</v>
      </c>
      <c r="L1076" cm="1">
        <f t="array" aca="1" ref="L1076" ca="1">[1]!s_dq_close($B$1,$A1076,3)</f>
        <v>18.559999999999999</v>
      </c>
    </row>
    <row r="1077" spans="1:12">
      <c r="A1077" s="23">
        <f t="shared" ca="1" si="16"/>
        <v>45098</v>
      </c>
      <c r="B1077" cm="1">
        <f t="array" aca="1" ref="B1077" ca="1">[1]!s_west_netprofit($B$1,YEAR($A1077),$A1077,180,1000000)</f>
        <v>-88.224545000000006</v>
      </c>
      <c r="C1077" cm="1">
        <f t="array" aca="1" ref="C1077" ca="1">[1]!s_west_eps($B$1,YEAR($A1077),$A1077,180)</f>
        <v>-0.1019</v>
      </c>
      <c r="D1077" cm="1">
        <f t="array" aca="1" ref="D1077" ca="1">[1]!s_west_instnum_np($B$1,YEAR($A1077),$A1077,180)</f>
        <v>11</v>
      </c>
      <c r="E1077" cm="1">
        <f t="array" aca="1" ref="E1077" ca="1">[1]!s_west_stdnetprofit($B$1,YEAR($A1077),$A1077,180,1000000)</f>
        <v>92.667260999999996</v>
      </c>
      <c r="F1077" cm="1">
        <f t="array" aca="1" ref="F1077" ca="1">[1]!s_west_mediannetprofit($B$1,YEAR($A1077),$A1077,180,1000000)</f>
        <v>-55</v>
      </c>
      <c r="G1077" cm="1">
        <f t="array" aca="1" ref="G1077" ca="1">[1]!s_west_netprofit($B$1,YEAR($A1077)+1,$A1077,180,1000000)</f>
        <v>-74.992000000000004</v>
      </c>
      <c r="H1077" cm="1">
        <f t="array" aca="1" ref="H1077" ca="1">[1]!s_west_eps($B$1,YEAR($A1077)+1,$A1077,180)</f>
        <v>-8.3199999999999996E-2</v>
      </c>
      <c r="I1077" cm="1">
        <f t="array" aca="1" ref="I1077" ca="1">[1]!s_west_instnum_np($B$1,YEAR($A1077)+1,$A1077,180)</f>
        <v>10</v>
      </c>
      <c r="J1077" cm="1">
        <f t="array" aca="1" ref="J1077" ca="1">[1]!s_west_stdnetprofit($B$1,YEAR($A1077)+1,$A1077,180,1000000)</f>
        <v>76.388726000000005</v>
      </c>
      <c r="K1077" cm="1">
        <f t="array" aca="1" ref="K1077" ca="1">[1]!s_west_mediannetprofit($B$1,YEAR($A1076)+1,$A1076,180,1000000)</f>
        <v>-58.5</v>
      </c>
      <c r="L1077" cm="1">
        <f t="array" aca="1" ref="L1077" ca="1">[1]!s_dq_close($B$1,$A1077,3)</f>
        <v>18.559999999999999</v>
      </c>
    </row>
    <row r="1078" spans="1:12">
      <c r="A1078" s="23">
        <f t="shared" ca="1" si="16"/>
        <v>45097</v>
      </c>
      <c r="B1078" cm="1">
        <f t="array" aca="1" ref="B1078" ca="1">[1]!s_west_netprofit($B$1,YEAR($A1078),$A1078,180,1000000)</f>
        <v>-88.224545000000006</v>
      </c>
      <c r="C1078" cm="1">
        <f t="array" aca="1" ref="C1078" ca="1">[1]!s_west_eps($B$1,YEAR($A1078),$A1078,180)</f>
        <v>-0.1019</v>
      </c>
      <c r="D1078" cm="1">
        <f t="array" aca="1" ref="D1078" ca="1">[1]!s_west_instnum_np($B$1,YEAR($A1078),$A1078,180)</f>
        <v>11</v>
      </c>
      <c r="E1078" cm="1">
        <f t="array" aca="1" ref="E1078" ca="1">[1]!s_west_stdnetprofit($B$1,YEAR($A1078),$A1078,180,1000000)</f>
        <v>92.667260999999996</v>
      </c>
      <c r="F1078" cm="1">
        <f t="array" aca="1" ref="F1078" ca="1">[1]!s_west_mediannetprofit($B$1,YEAR($A1078),$A1078,180,1000000)</f>
        <v>-55</v>
      </c>
      <c r="G1078" cm="1">
        <f t="array" aca="1" ref="G1078" ca="1">[1]!s_west_netprofit($B$1,YEAR($A1078)+1,$A1078,180,1000000)</f>
        <v>-74.992000000000004</v>
      </c>
      <c r="H1078" cm="1">
        <f t="array" aca="1" ref="H1078" ca="1">[1]!s_west_eps($B$1,YEAR($A1078)+1,$A1078,180)</f>
        <v>-8.3199999999999996E-2</v>
      </c>
      <c r="I1078" cm="1">
        <f t="array" aca="1" ref="I1078" ca="1">[1]!s_west_instnum_np($B$1,YEAR($A1078)+1,$A1078,180)</f>
        <v>10</v>
      </c>
      <c r="J1078" cm="1">
        <f t="array" aca="1" ref="J1078" ca="1">[1]!s_west_stdnetprofit($B$1,YEAR($A1078)+1,$A1078,180,1000000)</f>
        <v>76.388726000000005</v>
      </c>
      <c r="K1078" cm="1">
        <f t="array" aca="1" ref="K1078" ca="1">[1]!s_west_mediannetprofit($B$1,YEAR($A1077)+1,$A1077,180,1000000)</f>
        <v>-58.5</v>
      </c>
      <c r="L1078" cm="1">
        <f t="array" aca="1" ref="L1078" ca="1">[1]!s_dq_close($B$1,$A1078,3)</f>
        <v>19.739999999999998</v>
      </c>
    </row>
    <row r="1079" spans="1:12">
      <c r="A1079" s="23">
        <f t="shared" ca="1" si="16"/>
        <v>45096</v>
      </c>
      <c r="B1079" cm="1">
        <f t="array" aca="1" ref="B1079" ca="1">[1]!s_west_netprofit($B$1,YEAR($A1079),$A1079,180,1000000)</f>
        <v>-88.224545000000006</v>
      </c>
      <c r="C1079" cm="1">
        <f t="array" aca="1" ref="C1079" ca="1">[1]!s_west_eps($B$1,YEAR($A1079),$A1079,180)</f>
        <v>-0.1019</v>
      </c>
      <c r="D1079" cm="1">
        <f t="array" aca="1" ref="D1079" ca="1">[1]!s_west_instnum_np($B$1,YEAR($A1079),$A1079,180)</f>
        <v>11</v>
      </c>
      <c r="E1079" cm="1">
        <f t="array" aca="1" ref="E1079" ca="1">[1]!s_west_stdnetprofit($B$1,YEAR($A1079),$A1079,180,1000000)</f>
        <v>92.667260999999996</v>
      </c>
      <c r="F1079" cm="1">
        <f t="array" aca="1" ref="F1079" ca="1">[1]!s_west_mediannetprofit($B$1,YEAR($A1079),$A1079,180,1000000)</f>
        <v>-55</v>
      </c>
      <c r="G1079" cm="1">
        <f t="array" aca="1" ref="G1079" ca="1">[1]!s_west_netprofit($B$1,YEAR($A1079)+1,$A1079,180,1000000)</f>
        <v>-74.992000000000004</v>
      </c>
      <c r="H1079" cm="1">
        <f t="array" aca="1" ref="H1079" ca="1">[1]!s_west_eps($B$1,YEAR($A1079)+1,$A1079,180)</f>
        <v>-8.3199999999999996E-2</v>
      </c>
      <c r="I1079" cm="1">
        <f t="array" aca="1" ref="I1079" ca="1">[1]!s_west_instnum_np($B$1,YEAR($A1079)+1,$A1079,180)</f>
        <v>10</v>
      </c>
      <c r="J1079" cm="1">
        <f t="array" aca="1" ref="J1079" ca="1">[1]!s_west_stdnetprofit($B$1,YEAR($A1079)+1,$A1079,180,1000000)</f>
        <v>76.388726000000005</v>
      </c>
      <c r="K1079" cm="1">
        <f t="array" aca="1" ref="K1079" ca="1">[1]!s_west_mediannetprofit($B$1,YEAR($A1078)+1,$A1078,180,1000000)</f>
        <v>-58.5</v>
      </c>
      <c r="L1079" cm="1">
        <f t="array" aca="1" ref="L1079" ca="1">[1]!s_dq_close($B$1,$A1079,3)</f>
        <v>20.95</v>
      </c>
    </row>
    <row r="1080" spans="1:12">
      <c r="A1080" s="23">
        <f t="shared" ca="1" si="16"/>
        <v>45095</v>
      </c>
      <c r="B1080" cm="1">
        <f t="array" aca="1" ref="B1080" ca="1">[1]!s_west_netprofit($B$1,YEAR($A1080),$A1080,180,1000000)</f>
        <v>-88.224545000000006</v>
      </c>
      <c r="C1080" cm="1">
        <f t="array" aca="1" ref="C1080" ca="1">[1]!s_west_eps($B$1,YEAR($A1080),$A1080,180)</f>
        <v>-0.1019</v>
      </c>
      <c r="D1080" cm="1">
        <f t="array" aca="1" ref="D1080" ca="1">[1]!s_west_instnum_np($B$1,YEAR($A1080),$A1080,180)</f>
        <v>11</v>
      </c>
      <c r="E1080" cm="1">
        <f t="array" aca="1" ref="E1080" ca="1">[1]!s_west_stdnetprofit($B$1,YEAR($A1080),$A1080,180,1000000)</f>
        <v>92.667260999999996</v>
      </c>
      <c r="F1080" cm="1">
        <f t="array" aca="1" ref="F1080" ca="1">[1]!s_west_mediannetprofit($B$1,YEAR($A1080),$A1080,180,1000000)</f>
        <v>-55</v>
      </c>
      <c r="G1080" cm="1">
        <f t="array" aca="1" ref="G1080" ca="1">[1]!s_west_netprofit($B$1,YEAR($A1080)+1,$A1080,180,1000000)</f>
        <v>-74.992000000000004</v>
      </c>
      <c r="H1080" cm="1">
        <f t="array" aca="1" ref="H1080" ca="1">[1]!s_west_eps($B$1,YEAR($A1080)+1,$A1080,180)</f>
        <v>-8.3199999999999996E-2</v>
      </c>
      <c r="I1080" cm="1">
        <f t="array" aca="1" ref="I1080" ca="1">[1]!s_west_instnum_np($B$1,YEAR($A1080)+1,$A1080,180)</f>
        <v>10</v>
      </c>
      <c r="J1080" cm="1">
        <f t="array" aca="1" ref="J1080" ca="1">[1]!s_west_stdnetprofit($B$1,YEAR($A1080)+1,$A1080,180,1000000)</f>
        <v>76.388726000000005</v>
      </c>
      <c r="K1080" cm="1">
        <f t="array" aca="1" ref="K1080" ca="1">[1]!s_west_mediannetprofit($B$1,YEAR($A1079)+1,$A1079,180,1000000)</f>
        <v>-58.5</v>
      </c>
      <c r="L1080" cm="1">
        <f t="array" aca="1" ref="L1080" ca="1">[1]!s_dq_close($B$1,$A1080,3)</f>
        <v>21.1</v>
      </c>
    </row>
    <row r="1081" spans="1:12">
      <c r="A1081" s="23">
        <f t="shared" ca="1" si="16"/>
        <v>45094</v>
      </c>
      <c r="B1081" cm="1">
        <f t="array" aca="1" ref="B1081" ca="1">[1]!s_west_netprofit($B$1,YEAR($A1081),$A1081,180,1000000)</f>
        <v>-88.224545000000006</v>
      </c>
      <c r="C1081" cm="1">
        <f t="array" aca="1" ref="C1081" ca="1">[1]!s_west_eps($B$1,YEAR($A1081),$A1081,180)</f>
        <v>-0.1019</v>
      </c>
      <c r="D1081" cm="1">
        <f t="array" aca="1" ref="D1081" ca="1">[1]!s_west_instnum_np($B$1,YEAR($A1081),$A1081,180)</f>
        <v>11</v>
      </c>
      <c r="E1081" cm="1">
        <f t="array" aca="1" ref="E1081" ca="1">[1]!s_west_stdnetprofit($B$1,YEAR($A1081),$A1081,180,1000000)</f>
        <v>92.667260999999996</v>
      </c>
      <c r="F1081" cm="1">
        <f t="array" aca="1" ref="F1081" ca="1">[1]!s_west_mediannetprofit($B$1,YEAR($A1081),$A1081,180,1000000)</f>
        <v>-55</v>
      </c>
      <c r="G1081" cm="1">
        <f t="array" aca="1" ref="G1081" ca="1">[1]!s_west_netprofit($B$1,YEAR($A1081)+1,$A1081,180,1000000)</f>
        <v>-74.992000000000004</v>
      </c>
      <c r="H1081" cm="1">
        <f t="array" aca="1" ref="H1081" ca="1">[1]!s_west_eps($B$1,YEAR($A1081)+1,$A1081,180)</f>
        <v>-8.3199999999999996E-2</v>
      </c>
      <c r="I1081" cm="1">
        <f t="array" aca="1" ref="I1081" ca="1">[1]!s_west_instnum_np($B$1,YEAR($A1081)+1,$A1081,180)</f>
        <v>10</v>
      </c>
      <c r="J1081" cm="1">
        <f t="array" aca="1" ref="J1081" ca="1">[1]!s_west_stdnetprofit($B$1,YEAR($A1081)+1,$A1081,180,1000000)</f>
        <v>76.388726000000005</v>
      </c>
      <c r="K1081" cm="1">
        <f t="array" aca="1" ref="K1081" ca="1">[1]!s_west_mediannetprofit($B$1,YEAR($A1080)+1,$A1080,180,1000000)</f>
        <v>-58.5</v>
      </c>
      <c r="L1081" cm="1">
        <f t="array" aca="1" ref="L1081" ca="1">[1]!s_dq_close($B$1,$A1081,3)</f>
        <v>21.1</v>
      </c>
    </row>
    <row r="1082" spans="1:12">
      <c r="A1082" s="23">
        <f t="shared" ca="1" si="16"/>
        <v>45093</v>
      </c>
      <c r="B1082" cm="1">
        <f t="array" aca="1" ref="B1082" ca="1">[1]!s_west_netprofit($B$1,YEAR($A1082),$A1082,180,1000000)</f>
        <v>-88.224545000000006</v>
      </c>
      <c r="C1082" cm="1">
        <f t="array" aca="1" ref="C1082" ca="1">[1]!s_west_eps($B$1,YEAR($A1082),$A1082,180)</f>
        <v>-0.1019</v>
      </c>
      <c r="D1082" cm="1">
        <f t="array" aca="1" ref="D1082" ca="1">[1]!s_west_instnum_np($B$1,YEAR($A1082),$A1082,180)</f>
        <v>11</v>
      </c>
      <c r="E1082" cm="1">
        <f t="array" aca="1" ref="E1082" ca="1">[1]!s_west_stdnetprofit($B$1,YEAR($A1082),$A1082,180,1000000)</f>
        <v>92.667260999999996</v>
      </c>
      <c r="F1082" cm="1">
        <f t="array" aca="1" ref="F1082" ca="1">[1]!s_west_mediannetprofit($B$1,YEAR($A1082),$A1082,180,1000000)</f>
        <v>-55</v>
      </c>
      <c r="G1082" cm="1">
        <f t="array" aca="1" ref="G1082" ca="1">[1]!s_west_netprofit($B$1,YEAR($A1082)+1,$A1082,180,1000000)</f>
        <v>-74.992000000000004</v>
      </c>
      <c r="H1082" cm="1">
        <f t="array" aca="1" ref="H1082" ca="1">[1]!s_west_eps($B$1,YEAR($A1082)+1,$A1082,180)</f>
        <v>-8.3199999999999996E-2</v>
      </c>
      <c r="I1082" cm="1">
        <f t="array" aca="1" ref="I1082" ca="1">[1]!s_west_instnum_np($B$1,YEAR($A1082)+1,$A1082,180)</f>
        <v>10</v>
      </c>
      <c r="J1082" cm="1">
        <f t="array" aca="1" ref="J1082" ca="1">[1]!s_west_stdnetprofit($B$1,YEAR($A1082)+1,$A1082,180,1000000)</f>
        <v>76.388726000000005</v>
      </c>
      <c r="K1082" cm="1">
        <f t="array" aca="1" ref="K1082" ca="1">[1]!s_west_mediannetprofit($B$1,YEAR($A1081)+1,$A1081,180,1000000)</f>
        <v>-58.5</v>
      </c>
      <c r="L1082" cm="1">
        <f t="array" aca="1" ref="L1082" ca="1">[1]!s_dq_close($B$1,$A1082,3)</f>
        <v>21.1</v>
      </c>
    </row>
    <row r="1083" spans="1:12">
      <c r="A1083" s="23">
        <f t="shared" ca="1" si="16"/>
        <v>45092</v>
      </c>
      <c r="B1083" cm="1">
        <f t="array" aca="1" ref="B1083" ca="1">[1]!s_west_netprofit($B$1,YEAR($A1083),$A1083,180,1000000)</f>
        <v>-88.224545000000006</v>
      </c>
      <c r="C1083" cm="1">
        <f t="array" aca="1" ref="C1083" ca="1">[1]!s_west_eps($B$1,YEAR($A1083),$A1083,180)</f>
        <v>-0.1019</v>
      </c>
      <c r="D1083" cm="1">
        <f t="array" aca="1" ref="D1083" ca="1">[1]!s_west_instnum_np($B$1,YEAR($A1083),$A1083,180)</f>
        <v>11</v>
      </c>
      <c r="E1083" cm="1">
        <f t="array" aca="1" ref="E1083" ca="1">[1]!s_west_stdnetprofit($B$1,YEAR($A1083),$A1083,180,1000000)</f>
        <v>92.667260999999996</v>
      </c>
      <c r="F1083" cm="1">
        <f t="array" aca="1" ref="F1083" ca="1">[1]!s_west_mediannetprofit($B$1,YEAR($A1083),$A1083,180,1000000)</f>
        <v>-55</v>
      </c>
      <c r="G1083" cm="1">
        <f t="array" aca="1" ref="G1083" ca="1">[1]!s_west_netprofit($B$1,YEAR($A1083)+1,$A1083,180,1000000)</f>
        <v>-74.992000000000004</v>
      </c>
      <c r="H1083" cm="1">
        <f t="array" aca="1" ref="H1083" ca="1">[1]!s_west_eps($B$1,YEAR($A1083)+1,$A1083,180)</f>
        <v>-8.3199999999999996E-2</v>
      </c>
      <c r="I1083" cm="1">
        <f t="array" aca="1" ref="I1083" ca="1">[1]!s_west_instnum_np($B$1,YEAR($A1083)+1,$A1083,180)</f>
        <v>10</v>
      </c>
      <c r="J1083" cm="1">
        <f t="array" aca="1" ref="J1083" ca="1">[1]!s_west_stdnetprofit($B$1,YEAR($A1083)+1,$A1083,180,1000000)</f>
        <v>76.388726000000005</v>
      </c>
      <c r="K1083" cm="1">
        <f t="array" aca="1" ref="K1083" ca="1">[1]!s_west_mediannetprofit($B$1,YEAR($A1082)+1,$A1082,180,1000000)</f>
        <v>-58.5</v>
      </c>
      <c r="L1083" cm="1">
        <f t="array" aca="1" ref="L1083" ca="1">[1]!s_dq_close($B$1,$A1083,3)</f>
        <v>20</v>
      </c>
    </row>
    <row r="1084" spans="1:12">
      <c r="A1084" s="23">
        <f t="shared" ca="1" si="16"/>
        <v>45091</v>
      </c>
      <c r="B1084" cm="1">
        <f t="array" aca="1" ref="B1084" ca="1">[1]!s_west_netprofit($B$1,YEAR($A1084),$A1084,180,1000000)</f>
        <v>-88.224545000000006</v>
      </c>
      <c r="C1084" cm="1">
        <f t="array" aca="1" ref="C1084" ca="1">[1]!s_west_eps($B$1,YEAR($A1084),$A1084,180)</f>
        <v>-0.1019</v>
      </c>
      <c r="D1084" cm="1">
        <f t="array" aca="1" ref="D1084" ca="1">[1]!s_west_instnum_np($B$1,YEAR($A1084),$A1084,180)</f>
        <v>11</v>
      </c>
      <c r="E1084" cm="1">
        <f t="array" aca="1" ref="E1084" ca="1">[1]!s_west_stdnetprofit($B$1,YEAR($A1084),$A1084,180,1000000)</f>
        <v>92.667260999999996</v>
      </c>
      <c r="F1084" cm="1">
        <f t="array" aca="1" ref="F1084" ca="1">[1]!s_west_mediannetprofit($B$1,YEAR($A1084),$A1084,180,1000000)</f>
        <v>-55</v>
      </c>
      <c r="G1084" cm="1">
        <f t="array" aca="1" ref="G1084" ca="1">[1]!s_west_netprofit($B$1,YEAR($A1084)+1,$A1084,180,1000000)</f>
        <v>-74.992000000000004</v>
      </c>
      <c r="H1084" cm="1">
        <f t="array" aca="1" ref="H1084" ca="1">[1]!s_west_eps($B$1,YEAR($A1084)+1,$A1084,180)</f>
        <v>-8.3199999999999996E-2</v>
      </c>
      <c r="I1084" cm="1">
        <f t="array" aca="1" ref="I1084" ca="1">[1]!s_west_instnum_np($B$1,YEAR($A1084)+1,$A1084,180)</f>
        <v>10</v>
      </c>
      <c r="J1084" cm="1">
        <f t="array" aca="1" ref="J1084" ca="1">[1]!s_west_stdnetprofit($B$1,YEAR($A1084)+1,$A1084,180,1000000)</f>
        <v>76.388726000000005</v>
      </c>
      <c r="K1084" cm="1">
        <f t="array" aca="1" ref="K1084" ca="1">[1]!s_west_mediannetprofit($B$1,YEAR($A1083)+1,$A1083,180,1000000)</f>
        <v>-58.5</v>
      </c>
      <c r="L1084" cm="1">
        <f t="array" aca="1" ref="L1084" ca="1">[1]!s_dq_close($B$1,$A1084,3)</f>
        <v>19.100000000000001</v>
      </c>
    </row>
    <row r="1085" spans="1:12">
      <c r="A1085" s="23">
        <f t="shared" ca="1" si="16"/>
        <v>45090</v>
      </c>
      <c r="B1085" cm="1">
        <f t="array" aca="1" ref="B1085" ca="1">[1]!s_west_netprofit($B$1,YEAR($A1085),$A1085,180,1000000)</f>
        <v>-88.224545000000006</v>
      </c>
      <c r="C1085" cm="1">
        <f t="array" aca="1" ref="C1085" ca="1">[1]!s_west_eps($B$1,YEAR($A1085),$A1085,180)</f>
        <v>-0.1019</v>
      </c>
      <c r="D1085" cm="1">
        <f t="array" aca="1" ref="D1085" ca="1">[1]!s_west_instnum_np($B$1,YEAR($A1085),$A1085,180)</f>
        <v>11</v>
      </c>
      <c r="E1085" cm="1">
        <f t="array" aca="1" ref="E1085" ca="1">[1]!s_west_stdnetprofit($B$1,YEAR($A1085),$A1085,180,1000000)</f>
        <v>92.667260999999996</v>
      </c>
      <c r="F1085" cm="1">
        <f t="array" aca="1" ref="F1085" ca="1">[1]!s_west_mediannetprofit($B$1,YEAR($A1085),$A1085,180,1000000)</f>
        <v>-55</v>
      </c>
      <c r="G1085" cm="1">
        <f t="array" aca="1" ref="G1085" ca="1">[1]!s_west_netprofit($B$1,YEAR($A1085)+1,$A1085,180,1000000)</f>
        <v>-74.992000000000004</v>
      </c>
      <c r="H1085" cm="1">
        <f t="array" aca="1" ref="H1085" ca="1">[1]!s_west_eps($B$1,YEAR($A1085)+1,$A1085,180)</f>
        <v>-8.3199999999999996E-2</v>
      </c>
      <c r="I1085" cm="1">
        <f t="array" aca="1" ref="I1085" ca="1">[1]!s_west_instnum_np($B$1,YEAR($A1085)+1,$A1085,180)</f>
        <v>10</v>
      </c>
      <c r="J1085" cm="1">
        <f t="array" aca="1" ref="J1085" ca="1">[1]!s_west_stdnetprofit($B$1,YEAR($A1085)+1,$A1085,180,1000000)</f>
        <v>76.388726000000005</v>
      </c>
      <c r="K1085" cm="1">
        <f t="array" aca="1" ref="K1085" ca="1">[1]!s_west_mediannetprofit($B$1,YEAR($A1084)+1,$A1084,180,1000000)</f>
        <v>-58.5</v>
      </c>
      <c r="L1085" cm="1">
        <f t="array" aca="1" ref="L1085" ca="1">[1]!s_dq_close($B$1,$A1085,3)</f>
        <v>18.88</v>
      </c>
    </row>
    <row r="1086" spans="1:12">
      <c r="A1086" s="23">
        <f t="shared" ca="1" si="16"/>
        <v>45089</v>
      </c>
      <c r="B1086" cm="1">
        <f t="array" aca="1" ref="B1086" ca="1">[1]!s_west_netprofit($B$1,YEAR($A1086),$A1086,180,1000000)</f>
        <v>-88.224545000000006</v>
      </c>
      <c r="C1086" cm="1">
        <f t="array" aca="1" ref="C1086" ca="1">[1]!s_west_eps($B$1,YEAR($A1086),$A1086,180)</f>
        <v>-0.1019</v>
      </c>
      <c r="D1086" cm="1">
        <f t="array" aca="1" ref="D1086" ca="1">[1]!s_west_instnum_np($B$1,YEAR($A1086),$A1086,180)</f>
        <v>11</v>
      </c>
      <c r="E1086" cm="1">
        <f t="array" aca="1" ref="E1086" ca="1">[1]!s_west_stdnetprofit($B$1,YEAR($A1086),$A1086,180,1000000)</f>
        <v>92.667260999999996</v>
      </c>
      <c r="F1086" cm="1">
        <f t="array" aca="1" ref="F1086" ca="1">[1]!s_west_mediannetprofit($B$1,YEAR($A1086),$A1086,180,1000000)</f>
        <v>-55</v>
      </c>
      <c r="G1086" cm="1">
        <f t="array" aca="1" ref="G1086" ca="1">[1]!s_west_netprofit($B$1,YEAR($A1086)+1,$A1086,180,1000000)</f>
        <v>-74.992000000000004</v>
      </c>
      <c r="H1086" cm="1">
        <f t="array" aca="1" ref="H1086" ca="1">[1]!s_west_eps($B$1,YEAR($A1086)+1,$A1086,180)</f>
        <v>-8.3199999999999996E-2</v>
      </c>
      <c r="I1086" cm="1">
        <f t="array" aca="1" ref="I1086" ca="1">[1]!s_west_instnum_np($B$1,YEAR($A1086)+1,$A1086,180)</f>
        <v>10</v>
      </c>
      <c r="J1086" cm="1">
        <f t="array" aca="1" ref="J1086" ca="1">[1]!s_west_stdnetprofit($B$1,YEAR($A1086)+1,$A1086,180,1000000)</f>
        <v>76.388726000000005</v>
      </c>
      <c r="K1086" cm="1">
        <f t="array" aca="1" ref="K1086" ca="1">[1]!s_west_mediannetprofit($B$1,YEAR($A1085)+1,$A1085,180,1000000)</f>
        <v>-58.5</v>
      </c>
      <c r="L1086" cm="1">
        <f t="array" aca="1" ref="L1086" ca="1">[1]!s_dq_close($B$1,$A1086,3)</f>
        <v>18.739999999999998</v>
      </c>
    </row>
    <row r="1087" spans="1:12">
      <c r="A1087" s="23">
        <f t="shared" ca="1" si="16"/>
        <v>45088</v>
      </c>
      <c r="B1087" cm="1">
        <f t="array" aca="1" ref="B1087" ca="1">[1]!s_west_netprofit($B$1,YEAR($A1087),$A1087,180,1000000)</f>
        <v>-88.224545000000006</v>
      </c>
      <c r="C1087" cm="1">
        <f t="array" aca="1" ref="C1087" ca="1">[1]!s_west_eps($B$1,YEAR($A1087),$A1087,180)</f>
        <v>-0.1019</v>
      </c>
      <c r="D1087" cm="1">
        <f t="array" aca="1" ref="D1087" ca="1">[1]!s_west_instnum_np($B$1,YEAR($A1087),$A1087,180)</f>
        <v>11</v>
      </c>
      <c r="E1087" cm="1">
        <f t="array" aca="1" ref="E1087" ca="1">[1]!s_west_stdnetprofit($B$1,YEAR($A1087),$A1087,180,1000000)</f>
        <v>92.667260999999996</v>
      </c>
      <c r="F1087" cm="1">
        <f t="array" aca="1" ref="F1087" ca="1">[1]!s_west_mediannetprofit($B$1,YEAR($A1087),$A1087,180,1000000)</f>
        <v>-55</v>
      </c>
      <c r="G1087" cm="1">
        <f t="array" aca="1" ref="G1087" ca="1">[1]!s_west_netprofit($B$1,YEAR($A1087)+1,$A1087,180,1000000)</f>
        <v>-74.992000000000004</v>
      </c>
      <c r="H1087" cm="1">
        <f t="array" aca="1" ref="H1087" ca="1">[1]!s_west_eps($B$1,YEAR($A1087)+1,$A1087,180)</f>
        <v>-8.3199999999999996E-2</v>
      </c>
      <c r="I1087" cm="1">
        <f t="array" aca="1" ref="I1087" ca="1">[1]!s_west_instnum_np($B$1,YEAR($A1087)+1,$A1087,180)</f>
        <v>10</v>
      </c>
      <c r="J1087" cm="1">
        <f t="array" aca="1" ref="J1087" ca="1">[1]!s_west_stdnetprofit($B$1,YEAR($A1087)+1,$A1087,180,1000000)</f>
        <v>76.388726000000005</v>
      </c>
      <c r="K1087" cm="1">
        <f t="array" aca="1" ref="K1087" ca="1">[1]!s_west_mediannetprofit($B$1,YEAR($A1086)+1,$A1086,180,1000000)</f>
        <v>-58.5</v>
      </c>
      <c r="L1087" cm="1">
        <f t="array" aca="1" ref="L1087" ca="1">[1]!s_dq_close($B$1,$A1087,3)</f>
        <v>19.100000000000001</v>
      </c>
    </row>
    <row r="1088" spans="1:12">
      <c r="A1088" s="23">
        <f t="shared" ca="1" si="16"/>
        <v>45087</v>
      </c>
      <c r="B1088" cm="1">
        <f t="array" aca="1" ref="B1088" ca="1">[1]!s_west_netprofit($B$1,YEAR($A1088),$A1088,180,1000000)</f>
        <v>-88.224545000000006</v>
      </c>
      <c r="C1088" cm="1">
        <f t="array" aca="1" ref="C1088" ca="1">[1]!s_west_eps($B$1,YEAR($A1088),$A1088,180)</f>
        <v>-0.1019</v>
      </c>
      <c r="D1088" cm="1">
        <f t="array" aca="1" ref="D1088" ca="1">[1]!s_west_instnum_np($B$1,YEAR($A1088),$A1088,180)</f>
        <v>11</v>
      </c>
      <c r="E1088" cm="1">
        <f t="array" aca="1" ref="E1088" ca="1">[1]!s_west_stdnetprofit($B$1,YEAR($A1088),$A1088,180,1000000)</f>
        <v>92.667260999999996</v>
      </c>
      <c r="F1088" cm="1">
        <f t="array" aca="1" ref="F1088" ca="1">[1]!s_west_mediannetprofit($B$1,YEAR($A1088),$A1088,180,1000000)</f>
        <v>-55</v>
      </c>
      <c r="G1088" cm="1">
        <f t="array" aca="1" ref="G1088" ca="1">[1]!s_west_netprofit($B$1,YEAR($A1088)+1,$A1088,180,1000000)</f>
        <v>-74.992000000000004</v>
      </c>
      <c r="H1088" cm="1">
        <f t="array" aca="1" ref="H1088" ca="1">[1]!s_west_eps($B$1,YEAR($A1088)+1,$A1088,180)</f>
        <v>-8.3199999999999996E-2</v>
      </c>
      <c r="I1088" cm="1">
        <f t="array" aca="1" ref="I1088" ca="1">[1]!s_west_instnum_np($B$1,YEAR($A1088)+1,$A1088,180)</f>
        <v>10</v>
      </c>
      <c r="J1088" cm="1">
        <f t="array" aca="1" ref="J1088" ca="1">[1]!s_west_stdnetprofit($B$1,YEAR($A1088)+1,$A1088,180,1000000)</f>
        <v>76.388726000000005</v>
      </c>
      <c r="K1088" cm="1">
        <f t="array" aca="1" ref="K1088" ca="1">[1]!s_west_mediannetprofit($B$1,YEAR($A1087)+1,$A1087,180,1000000)</f>
        <v>-58.5</v>
      </c>
      <c r="L1088" cm="1">
        <f t="array" aca="1" ref="L1088" ca="1">[1]!s_dq_close($B$1,$A1088,3)</f>
        <v>19.100000000000001</v>
      </c>
    </row>
    <row r="1089" spans="1:12">
      <c r="A1089" s="23">
        <f t="shared" ca="1" si="16"/>
        <v>45086</v>
      </c>
      <c r="B1089" cm="1">
        <f t="array" aca="1" ref="B1089" ca="1">[1]!s_west_netprofit($B$1,YEAR($A1089),$A1089,180,1000000)</f>
        <v>-88.224545000000006</v>
      </c>
      <c r="C1089" cm="1">
        <f t="array" aca="1" ref="C1089" ca="1">[1]!s_west_eps($B$1,YEAR($A1089),$A1089,180)</f>
        <v>-0.1019</v>
      </c>
      <c r="D1089" cm="1">
        <f t="array" aca="1" ref="D1089" ca="1">[1]!s_west_instnum_np($B$1,YEAR($A1089),$A1089,180)</f>
        <v>11</v>
      </c>
      <c r="E1089" cm="1">
        <f t="array" aca="1" ref="E1089" ca="1">[1]!s_west_stdnetprofit($B$1,YEAR($A1089),$A1089,180,1000000)</f>
        <v>92.667260999999996</v>
      </c>
      <c r="F1089" cm="1">
        <f t="array" aca="1" ref="F1089" ca="1">[1]!s_west_mediannetprofit($B$1,YEAR($A1089),$A1089,180,1000000)</f>
        <v>-55</v>
      </c>
      <c r="G1089" cm="1">
        <f t="array" aca="1" ref="G1089" ca="1">[1]!s_west_netprofit($B$1,YEAR($A1089)+1,$A1089,180,1000000)</f>
        <v>-74.992000000000004</v>
      </c>
      <c r="H1089" cm="1">
        <f t="array" aca="1" ref="H1089" ca="1">[1]!s_west_eps($B$1,YEAR($A1089)+1,$A1089,180)</f>
        <v>-8.3199999999999996E-2</v>
      </c>
      <c r="I1089" cm="1">
        <f t="array" aca="1" ref="I1089" ca="1">[1]!s_west_instnum_np($B$1,YEAR($A1089)+1,$A1089,180)</f>
        <v>10</v>
      </c>
      <c r="J1089" cm="1">
        <f t="array" aca="1" ref="J1089" ca="1">[1]!s_west_stdnetprofit($B$1,YEAR($A1089)+1,$A1089,180,1000000)</f>
        <v>76.388726000000005</v>
      </c>
      <c r="K1089" cm="1">
        <f t="array" aca="1" ref="K1089" ca="1">[1]!s_west_mediannetprofit($B$1,YEAR($A1088)+1,$A1088,180,1000000)</f>
        <v>-58.5</v>
      </c>
      <c r="L1089" cm="1">
        <f t="array" aca="1" ref="L1089" ca="1">[1]!s_dq_close($B$1,$A1089,3)</f>
        <v>19.100000000000001</v>
      </c>
    </row>
    <row r="1090" spans="1:12">
      <c r="A1090" s="23">
        <f t="shared" ca="1" si="16"/>
        <v>45085</v>
      </c>
      <c r="B1090" cm="1">
        <f t="array" aca="1" ref="B1090" ca="1">[1]!s_west_netprofit($B$1,YEAR($A1090),$A1090,180,1000000)</f>
        <v>-88.224545000000006</v>
      </c>
      <c r="C1090" cm="1">
        <f t="array" aca="1" ref="C1090" ca="1">[1]!s_west_eps($B$1,YEAR($A1090),$A1090,180)</f>
        <v>-0.1019</v>
      </c>
      <c r="D1090" cm="1">
        <f t="array" aca="1" ref="D1090" ca="1">[1]!s_west_instnum_np($B$1,YEAR($A1090),$A1090,180)</f>
        <v>11</v>
      </c>
      <c r="E1090" cm="1">
        <f t="array" aca="1" ref="E1090" ca="1">[1]!s_west_stdnetprofit($B$1,YEAR($A1090),$A1090,180,1000000)</f>
        <v>92.667260999999996</v>
      </c>
      <c r="F1090" cm="1">
        <f t="array" aca="1" ref="F1090" ca="1">[1]!s_west_mediannetprofit($B$1,YEAR($A1090),$A1090,180,1000000)</f>
        <v>-55</v>
      </c>
      <c r="G1090" cm="1">
        <f t="array" aca="1" ref="G1090" ca="1">[1]!s_west_netprofit($B$1,YEAR($A1090)+1,$A1090,180,1000000)</f>
        <v>-74.992000000000004</v>
      </c>
      <c r="H1090" cm="1">
        <f t="array" aca="1" ref="H1090" ca="1">[1]!s_west_eps($B$1,YEAR($A1090)+1,$A1090,180)</f>
        <v>-8.3199999999999996E-2</v>
      </c>
      <c r="I1090" cm="1">
        <f t="array" aca="1" ref="I1090" ca="1">[1]!s_west_instnum_np($B$1,YEAR($A1090)+1,$A1090,180)</f>
        <v>10</v>
      </c>
      <c r="J1090" cm="1">
        <f t="array" aca="1" ref="J1090" ca="1">[1]!s_west_stdnetprofit($B$1,YEAR($A1090)+1,$A1090,180,1000000)</f>
        <v>76.388726000000005</v>
      </c>
      <c r="K1090" cm="1">
        <f t="array" aca="1" ref="K1090" ca="1">[1]!s_west_mediannetprofit($B$1,YEAR($A1089)+1,$A1089,180,1000000)</f>
        <v>-58.5</v>
      </c>
      <c r="L1090" cm="1">
        <f t="array" aca="1" ref="L1090" ca="1">[1]!s_dq_close($B$1,$A1090,3)</f>
        <v>18.98</v>
      </c>
    </row>
    <row r="1091" spans="1:12">
      <c r="A1091" s="23">
        <f t="shared" ca="1" si="16"/>
        <v>45084</v>
      </c>
      <c r="B1091" cm="1">
        <f t="array" aca="1" ref="B1091" ca="1">[1]!s_west_netprofit($B$1,YEAR($A1091),$A1091,180,1000000)</f>
        <v>-88.224545000000006</v>
      </c>
      <c r="C1091" cm="1">
        <f t="array" aca="1" ref="C1091" ca="1">[1]!s_west_eps($B$1,YEAR($A1091),$A1091,180)</f>
        <v>-0.1019</v>
      </c>
      <c r="D1091" cm="1">
        <f t="array" aca="1" ref="D1091" ca="1">[1]!s_west_instnum_np($B$1,YEAR($A1091),$A1091,180)</f>
        <v>11</v>
      </c>
      <c r="E1091" cm="1">
        <f t="array" aca="1" ref="E1091" ca="1">[1]!s_west_stdnetprofit($B$1,YEAR($A1091),$A1091,180,1000000)</f>
        <v>92.667260999999996</v>
      </c>
      <c r="F1091" cm="1">
        <f t="array" aca="1" ref="F1091" ca="1">[1]!s_west_mediannetprofit($B$1,YEAR($A1091),$A1091,180,1000000)</f>
        <v>-55</v>
      </c>
      <c r="G1091" cm="1">
        <f t="array" aca="1" ref="G1091" ca="1">[1]!s_west_netprofit($B$1,YEAR($A1091)+1,$A1091,180,1000000)</f>
        <v>-74.992000000000004</v>
      </c>
      <c r="H1091" cm="1">
        <f t="array" aca="1" ref="H1091" ca="1">[1]!s_west_eps($B$1,YEAR($A1091)+1,$A1091,180)</f>
        <v>-8.3199999999999996E-2</v>
      </c>
      <c r="I1091" cm="1">
        <f t="array" aca="1" ref="I1091" ca="1">[1]!s_west_instnum_np($B$1,YEAR($A1091)+1,$A1091,180)</f>
        <v>10</v>
      </c>
      <c r="J1091" cm="1">
        <f t="array" aca="1" ref="J1091" ca="1">[1]!s_west_stdnetprofit($B$1,YEAR($A1091)+1,$A1091,180,1000000)</f>
        <v>76.388726000000005</v>
      </c>
      <c r="K1091" cm="1">
        <f t="array" aca="1" ref="K1091" ca="1">[1]!s_west_mediannetprofit($B$1,YEAR($A1090)+1,$A1090,180,1000000)</f>
        <v>-58.5</v>
      </c>
      <c r="L1091" cm="1">
        <f t="array" aca="1" ref="L1091" ca="1">[1]!s_dq_close($B$1,$A1091,3)</f>
        <v>19.399999999999999</v>
      </c>
    </row>
    <row r="1092" spans="1:12">
      <c r="A1092" s="23">
        <f t="shared" ca="1" si="16"/>
        <v>45083</v>
      </c>
      <c r="B1092" cm="1">
        <f t="array" aca="1" ref="B1092" ca="1">[1]!s_west_netprofit($B$1,YEAR($A1092),$A1092,180,1000000)</f>
        <v>-88.224545000000006</v>
      </c>
      <c r="C1092" cm="1">
        <f t="array" aca="1" ref="C1092" ca="1">[1]!s_west_eps($B$1,YEAR($A1092),$A1092,180)</f>
        <v>-0.1019</v>
      </c>
      <c r="D1092" cm="1">
        <f t="array" aca="1" ref="D1092" ca="1">[1]!s_west_instnum_np($B$1,YEAR($A1092),$A1092,180)</f>
        <v>11</v>
      </c>
      <c r="E1092" cm="1">
        <f t="array" aca="1" ref="E1092" ca="1">[1]!s_west_stdnetprofit($B$1,YEAR($A1092),$A1092,180,1000000)</f>
        <v>92.667260999999996</v>
      </c>
      <c r="F1092" cm="1">
        <f t="array" aca="1" ref="F1092" ca="1">[1]!s_west_mediannetprofit($B$1,YEAR($A1092),$A1092,180,1000000)</f>
        <v>-55</v>
      </c>
      <c r="G1092" cm="1">
        <f t="array" aca="1" ref="G1092" ca="1">[1]!s_west_netprofit($B$1,YEAR($A1092)+1,$A1092,180,1000000)</f>
        <v>-74.992000000000004</v>
      </c>
      <c r="H1092" cm="1">
        <f t="array" aca="1" ref="H1092" ca="1">[1]!s_west_eps($B$1,YEAR($A1092)+1,$A1092,180)</f>
        <v>-8.3199999999999996E-2</v>
      </c>
      <c r="I1092" cm="1">
        <f t="array" aca="1" ref="I1092" ca="1">[1]!s_west_instnum_np($B$1,YEAR($A1092)+1,$A1092,180)</f>
        <v>10</v>
      </c>
      <c r="J1092" cm="1">
        <f t="array" aca="1" ref="J1092" ca="1">[1]!s_west_stdnetprofit($B$1,YEAR($A1092)+1,$A1092,180,1000000)</f>
        <v>76.388726000000005</v>
      </c>
      <c r="K1092" cm="1">
        <f t="array" aca="1" ref="K1092" ca="1">[1]!s_west_mediannetprofit($B$1,YEAR($A1091)+1,$A1091,180,1000000)</f>
        <v>-58.5</v>
      </c>
      <c r="L1092" cm="1">
        <f t="array" aca="1" ref="L1092" ca="1">[1]!s_dq_close($B$1,$A1092,3)</f>
        <v>19.38</v>
      </c>
    </row>
    <row r="1093" spans="1:12">
      <c r="A1093" s="23">
        <f t="shared" ca="1" si="16"/>
        <v>45082</v>
      </c>
      <c r="B1093" cm="1">
        <f t="array" aca="1" ref="B1093" ca="1">[1]!s_west_netprofit($B$1,YEAR($A1093),$A1093,180,1000000)</f>
        <v>-88.224545000000006</v>
      </c>
      <c r="C1093" cm="1">
        <f t="array" aca="1" ref="C1093" ca="1">[1]!s_west_eps($B$1,YEAR($A1093),$A1093,180)</f>
        <v>-0.1019</v>
      </c>
      <c r="D1093" cm="1">
        <f t="array" aca="1" ref="D1093" ca="1">[1]!s_west_instnum_np($B$1,YEAR($A1093),$A1093,180)</f>
        <v>11</v>
      </c>
      <c r="E1093" cm="1">
        <f t="array" aca="1" ref="E1093" ca="1">[1]!s_west_stdnetprofit($B$1,YEAR($A1093),$A1093,180,1000000)</f>
        <v>92.667260999999996</v>
      </c>
      <c r="F1093" cm="1">
        <f t="array" aca="1" ref="F1093" ca="1">[1]!s_west_mediannetprofit($B$1,YEAR($A1093),$A1093,180,1000000)</f>
        <v>-55</v>
      </c>
      <c r="G1093" cm="1">
        <f t="array" aca="1" ref="G1093" ca="1">[1]!s_west_netprofit($B$1,YEAR($A1093)+1,$A1093,180,1000000)</f>
        <v>-74.992000000000004</v>
      </c>
      <c r="H1093" cm="1">
        <f t="array" aca="1" ref="H1093" ca="1">[1]!s_west_eps($B$1,YEAR($A1093)+1,$A1093,180)</f>
        <v>-8.3199999999999996E-2</v>
      </c>
      <c r="I1093" cm="1">
        <f t="array" aca="1" ref="I1093" ca="1">[1]!s_west_instnum_np($B$1,YEAR($A1093)+1,$A1093,180)</f>
        <v>10</v>
      </c>
      <c r="J1093" cm="1">
        <f t="array" aca="1" ref="J1093" ca="1">[1]!s_west_stdnetprofit($B$1,YEAR($A1093)+1,$A1093,180,1000000)</f>
        <v>76.388726000000005</v>
      </c>
      <c r="K1093" cm="1">
        <f t="array" aca="1" ref="K1093" ca="1">[1]!s_west_mediannetprofit($B$1,YEAR($A1092)+1,$A1092,180,1000000)</f>
        <v>-58.5</v>
      </c>
      <c r="L1093" cm="1">
        <f t="array" aca="1" ref="L1093" ca="1">[1]!s_dq_close($B$1,$A1093,3)</f>
        <v>19.52</v>
      </c>
    </row>
    <row r="1094" spans="1:12">
      <c r="A1094" s="23">
        <f t="shared" ca="1" si="16"/>
        <v>45081</v>
      </c>
      <c r="B1094" cm="1">
        <f t="array" aca="1" ref="B1094" ca="1">[1]!s_west_netprofit($B$1,YEAR($A1094),$A1094,180,1000000)</f>
        <v>-88.224545000000006</v>
      </c>
      <c r="C1094" cm="1">
        <f t="array" aca="1" ref="C1094" ca="1">[1]!s_west_eps($B$1,YEAR($A1094),$A1094,180)</f>
        <v>-0.1019</v>
      </c>
      <c r="D1094" cm="1">
        <f t="array" aca="1" ref="D1094" ca="1">[1]!s_west_instnum_np($B$1,YEAR($A1094),$A1094,180)</f>
        <v>11</v>
      </c>
      <c r="E1094" cm="1">
        <f t="array" aca="1" ref="E1094" ca="1">[1]!s_west_stdnetprofit($B$1,YEAR($A1094),$A1094,180,1000000)</f>
        <v>92.667260999999996</v>
      </c>
      <c r="F1094" cm="1">
        <f t="array" aca="1" ref="F1094" ca="1">[1]!s_west_mediannetprofit($B$1,YEAR($A1094),$A1094,180,1000000)</f>
        <v>-55</v>
      </c>
      <c r="G1094" cm="1">
        <f t="array" aca="1" ref="G1094" ca="1">[1]!s_west_netprofit($B$1,YEAR($A1094)+1,$A1094,180,1000000)</f>
        <v>-74.992000000000004</v>
      </c>
      <c r="H1094" cm="1">
        <f t="array" aca="1" ref="H1094" ca="1">[1]!s_west_eps($B$1,YEAR($A1094)+1,$A1094,180)</f>
        <v>-8.3199999999999996E-2</v>
      </c>
      <c r="I1094" cm="1">
        <f t="array" aca="1" ref="I1094" ca="1">[1]!s_west_instnum_np($B$1,YEAR($A1094)+1,$A1094,180)</f>
        <v>10</v>
      </c>
      <c r="J1094" cm="1">
        <f t="array" aca="1" ref="J1094" ca="1">[1]!s_west_stdnetprofit($B$1,YEAR($A1094)+1,$A1094,180,1000000)</f>
        <v>76.388726000000005</v>
      </c>
      <c r="K1094" cm="1">
        <f t="array" aca="1" ref="K1094" ca="1">[1]!s_west_mediannetprofit($B$1,YEAR($A1093)+1,$A1093,180,1000000)</f>
        <v>-58.5</v>
      </c>
      <c r="L1094" cm="1">
        <f t="array" aca="1" ref="L1094" ca="1">[1]!s_dq_close($B$1,$A1094,3)</f>
        <v>19.760000000000002</v>
      </c>
    </row>
    <row r="1095" spans="1:12">
      <c r="A1095" s="23">
        <f t="shared" ca="1" si="16"/>
        <v>45080</v>
      </c>
      <c r="B1095" cm="1">
        <f t="array" aca="1" ref="B1095" ca="1">[1]!s_west_netprofit($B$1,YEAR($A1095),$A1095,180,1000000)</f>
        <v>-88.224545000000006</v>
      </c>
      <c r="C1095" cm="1">
        <f t="array" aca="1" ref="C1095" ca="1">[1]!s_west_eps($B$1,YEAR($A1095),$A1095,180)</f>
        <v>-0.1019</v>
      </c>
      <c r="D1095" cm="1">
        <f t="array" aca="1" ref="D1095" ca="1">[1]!s_west_instnum_np($B$1,YEAR($A1095),$A1095,180)</f>
        <v>11</v>
      </c>
      <c r="E1095" cm="1">
        <f t="array" aca="1" ref="E1095" ca="1">[1]!s_west_stdnetprofit($B$1,YEAR($A1095),$A1095,180,1000000)</f>
        <v>92.667260999999996</v>
      </c>
      <c r="F1095" cm="1">
        <f t="array" aca="1" ref="F1095" ca="1">[1]!s_west_mediannetprofit($B$1,YEAR($A1095),$A1095,180,1000000)</f>
        <v>-55</v>
      </c>
      <c r="G1095" cm="1">
        <f t="array" aca="1" ref="G1095" ca="1">[1]!s_west_netprofit($B$1,YEAR($A1095)+1,$A1095,180,1000000)</f>
        <v>-74.992000000000004</v>
      </c>
      <c r="H1095" cm="1">
        <f t="array" aca="1" ref="H1095" ca="1">[1]!s_west_eps($B$1,YEAR($A1095)+1,$A1095,180)</f>
        <v>-8.3199999999999996E-2</v>
      </c>
      <c r="I1095" cm="1">
        <f t="array" aca="1" ref="I1095" ca="1">[1]!s_west_instnum_np($B$1,YEAR($A1095)+1,$A1095,180)</f>
        <v>10</v>
      </c>
      <c r="J1095" cm="1">
        <f t="array" aca="1" ref="J1095" ca="1">[1]!s_west_stdnetprofit($B$1,YEAR($A1095)+1,$A1095,180,1000000)</f>
        <v>76.388726000000005</v>
      </c>
      <c r="K1095" cm="1">
        <f t="array" aca="1" ref="K1095" ca="1">[1]!s_west_mediannetprofit($B$1,YEAR($A1094)+1,$A1094,180,1000000)</f>
        <v>-58.5</v>
      </c>
      <c r="L1095" cm="1">
        <f t="array" aca="1" ref="L1095" ca="1">[1]!s_dq_close($B$1,$A1095,3)</f>
        <v>19.760000000000002</v>
      </c>
    </row>
    <row r="1096" spans="1:12">
      <c r="A1096" s="23">
        <f t="shared" ca="1" si="16"/>
        <v>45079</v>
      </c>
      <c r="B1096" cm="1">
        <f t="array" aca="1" ref="B1096" ca="1">[1]!s_west_netprofit($B$1,YEAR($A1096),$A1096,180,1000000)</f>
        <v>-88.224545000000006</v>
      </c>
      <c r="C1096" cm="1">
        <f t="array" aca="1" ref="C1096" ca="1">[1]!s_west_eps($B$1,YEAR($A1096),$A1096,180)</f>
        <v>-0.1019</v>
      </c>
      <c r="D1096" cm="1">
        <f t="array" aca="1" ref="D1096" ca="1">[1]!s_west_instnum_np($B$1,YEAR($A1096),$A1096,180)</f>
        <v>11</v>
      </c>
      <c r="E1096" cm="1">
        <f t="array" aca="1" ref="E1096" ca="1">[1]!s_west_stdnetprofit($B$1,YEAR($A1096),$A1096,180,1000000)</f>
        <v>92.667260999999996</v>
      </c>
      <c r="F1096" cm="1">
        <f t="array" aca="1" ref="F1096" ca="1">[1]!s_west_mediannetprofit($B$1,YEAR($A1096),$A1096,180,1000000)</f>
        <v>-55</v>
      </c>
      <c r="G1096" cm="1">
        <f t="array" aca="1" ref="G1096" ca="1">[1]!s_west_netprofit($B$1,YEAR($A1096)+1,$A1096,180,1000000)</f>
        <v>-74.992000000000004</v>
      </c>
      <c r="H1096" cm="1">
        <f t="array" aca="1" ref="H1096" ca="1">[1]!s_west_eps($B$1,YEAR($A1096)+1,$A1096,180)</f>
        <v>-8.3199999999999996E-2</v>
      </c>
      <c r="I1096" cm="1">
        <f t="array" aca="1" ref="I1096" ca="1">[1]!s_west_instnum_np($B$1,YEAR($A1096)+1,$A1096,180)</f>
        <v>10</v>
      </c>
      <c r="J1096" cm="1">
        <f t="array" aca="1" ref="J1096" ca="1">[1]!s_west_stdnetprofit($B$1,YEAR($A1096)+1,$A1096,180,1000000)</f>
        <v>76.388726000000005</v>
      </c>
      <c r="K1096" cm="1">
        <f t="array" aca="1" ref="K1096" ca="1">[1]!s_west_mediannetprofit($B$1,YEAR($A1095)+1,$A1095,180,1000000)</f>
        <v>-58.5</v>
      </c>
      <c r="L1096" cm="1">
        <f t="array" aca="1" ref="L1096" ca="1">[1]!s_dq_close($B$1,$A1096,3)</f>
        <v>19.760000000000002</v>
      </c>
    </row>
    <row r="1097" spans="1:12">
      <c r="A1097" s="23">
        <f t="shared" ca="1" si="16"/>
        <v>45078</v>
      </c>
      <c r="B1097" cm="1">
        <f t="array" aca="1" ref="B1097" ca="1">[1]!s_west_netprofit($B$1,YEAR($A1097),$A1097,180,1000000)</f>
        <v>-88.224545000000006</v>
      </c>
      <c r="C1097" cm="1">
        <f t="array" aca="1" ref="C1097" ca="1">[1]!s_west_eps($B$1,YEAR($A1097),$A1097,180)</f>
        <v>-0.1019</v>
      </c>
      <c r="D1097" cm="1">
        <f t="array" aca="1" ref="D1097" ca="1">[1]!s_west_instnum_np($B$1,YEAR($A1097),$A1097,180)</f>
        <v>11</v>
      </c>
      <c r="E1097" cm="1">
        <f t="array" aca="1" ref="E1097" ca="1">[1]!s_west_stdnetprofit($B$1,YEAR($A1097),$A1097,180,1000000)</f>
        <v>92.667260999999996</v>
      </c>
      <c r="F1097" cm="1">
        <f t="array" aca="1" ref="F1097" ca="1">[1]!s_west_mediannetprofit($B$1,YEAR($A1097),$A1097,180,1000000)</f>
        <v>-55</v>
      </c>
      <c r="G1097" cm="1">
        <f t="array" aca="1" ref="G1097" ca="1">[1]!s_west_netprofit($B$1,YEAR($A1097)+1,$A1097,180,1000000)</f>
        <v>-74.992000000000004</v>
      </c>
      <c r="H1097" cm="1">
        <f t="array" aca="1" ref="H1097" ca="1">[1]!s_west_eps($B$1,YEAR($A1097)+1,$A1097,180)</f>
        <v>-8.3199999999999996E-2</v>
      </c>
      <c r="I1097" cm="1">
        <f t="array" aca="1" ref="I1097" ca="1">[1]!s_west_instnum_np($B$1,YEAR($A1097)+1,$A1097,180)</f>
        <v>10</v>
      </c>
      <c r="J1097" cm="1">
        <f t="array" aca="1" ref="J1097" ca="1">[1]!s_west_stdnetprofit($B$1,YEAR($A1097)+1,$A1097,180,1000000)</f>
        <v>76.388726000000005</v>
      </c>
      <c r="K1097" cm="1">
        <f t="array" aca="1" ref="K1097" ca="1">[1]!s_west_mediannetprofit($B$1,YEAR($A1096)+1,$A1096,180,1000000)</f>
        <v>-58.5</v>
      </c>
      <c r="L1097" cm="1">
        <f t="array" aca="1" ref="L1097" ca="1">[1]!s_dq_close($B$1,$A1097,3)</f>
        <v>19.04</v>
      </c>
    </row>
    <row r="1098" spans="1:12">
      <c r="A1098" s="23">
        <f t="shared" ca="1" si="16"/>
        <v>45077</v>
      </c>
      <c r="B1098" cm="1">
        <f t="array" aca="1" ref="B1098" ca="1">[1]!s_west_netprofit($B$1,YEAR($A1098),$A1098,180,1000000)</f>
        <v>-88.224545000000006</v>
      </c>
      <c r="C1098" cm="1">
        <f t="array" aca="1" ref="C1098" ca="1">[1]!s_west_eps($B$1,YEAR($A1098),$A1098,180)</f>
        <v>-0.1019</v>
      </c>
      <c r="D1098" cm="1">
        <f t="array" aca="1" ref="D1098" ca="1">[1]!s_west_instnum_np($B$1,YEAR($A1098),$A1098,180)</f>
        <v>11</v>
      </c>
      <c r="E1098" cm="1">
        <f t="array" aca="1" ref="E1098" ca="1">[1]!s_west_stdnetprofit($B$1,YEAR($A1098),$A1098,180,1000000)</f>
        <v>92.667260999999996</v>
      </c>
      <c r="F1098" cm="1">
        <f t="array" aca="1" ref="F1098" ca="1">[1]!s_west_mediannetprofit($B$1,YEAR($A1098),$A1098,180,1000000)</f>
        <v>-55</v>
      </c>
      <c r="G1098" cm="1">
        <f t="array" aca="1" ref="G1098" ca="1">[1]!s_west_netprofit($B$1,YEAR($A1098)+1,$A1098,180,1000000)</f>
        <v>-74.992000000000004</v>
      </c>
      <c r="H1098" cm="1">
        <f t="array" aca="1" ref="H1098" ca="1">[1]!s_west_eps($B$1,YEAR($A1098)+1,$A1098,180)</f>
        <v>-8.3199999999999996E-2</v>
      </c>
      <c r="I1098" cm="1">
        <f t="array" aca="1" ref="I1098" ca="1">[1]!s_west_instnum_np($B$1,YEAR($A1098)+1,$A1098,180)</f>
        <v>10</v>
      </c>
      <c r="J1098" cm="1">
        <f t="array" aca="1" ref="J1098" ca="1">[1]!s_west_stdnetprofit($B$1,YEAR($A1098)+1,$A1098,180,1000000)</f>
        <v>76.388726000000005</v>
      </c>
      <c r="K1098" cm="1">
        <f t="array" aca="1" ref="K1098" ca="1">[1]!s_west_mediannetprofit($B$1,YEAR($A1097)+1,$A1097,180,1000000)</f>
        <v>-58.5</v>
      </c>
      <c r="L1098" cm="1">
        <f t="array" aca="1" ref="L1098" ca="1">[1]!s_dq_close($B$1,$A1098,3)</f>
        <v>19</v>
      </c>
    </row>
    <row r="1099" spans="1:12">
      <c r="A1099" s="23">
        <f t="shared" ca="1" si="16"/>
        <v>45076</v>
      </c>
      <c r="B1099" cm="1">
        <f t="array" aca="1" ref="B1099" ca="1">[1]!s_west_netprofit($B$1,YEAR($A1099),$A1099,180,1000000)</f>
        <v>-88.224545000000006</v>
      </c>
      <c r="C1099" cm="1">
        <f t="array" aca="1" ref="C1099" ca="1">[1]!s_west_eps($B$1,YEAR($A1099),$A1099,180)</f>
        <v>-0.1019</v>
      </c>
      <c r="D1099" cm="1">
        <f t="array" aca="1" ref="D1099" ca="1">[1]!s_west_instnum_np($B$1,YEAR($A1099),$A1099,180)</f>
        <v>11</v>
      </c>
      <c r="E1099" cm="1">
        <f t="array" aca="1" ref="E1099" ca="1">[1]!s_west_stdnetprofit($B$1,YEAR($A1099),$A1099,180,1000000)</f>
        <v>92.667260999999996</v>
      </c>
      <c r="F1099" cm="1">
        <f t="array" aca="1" ref="F1099" ca="1">[1]!s_west_mediannetprofit($B$1,YEAR($A1099),$A1099,180,1000000)</f>
        <v>-55</v>
      </c>
      <c r="G1099" cm="1">
        <f t="array" aca="1" ref="G1099" ca="1">[1]!s_west_netprofit($B$1,YEAR($A1099)+1,$A1099,180,1000000)</f>
        <v>-75.224000000000004</v>
      </c>
      <c r="H1099" cm="1">
        <f t="array" aca="1" ref="H1099" ca="1">[1]!s_west_eps($B$1,YEAR($A1099)+1,$A1099,180)</f>
        <v>-8.3900000000000002E-2</v>
      </c>
      <c r="I1099" cm="1">
        <f t="array" aca="1" ref="I1099" ca="1">[1]!s_west_instnum_np($B$1,YEAR($A1099)+1,$A1099,180)</f>
        <v>10</v>
      </c>
      <c r="J1099" cm="1">
        <f t="array" aca="1" ref="J1099" ca="1">[1]!s_west_stdnetprofit($B$1,YEAR($A1099)+1,$A1099,180,1000000)</f>
        <v>76.634511000000003</v>
      </c>
      <c r="K1099" cm="1">
        <f t="array" aca="1" ref="K1099" ca="1">[1]!s_west_mediannetprofit($B$1,YEAR($A1098)+1,$A1098,180,1000000)</f>
        <v>-58.5</v>
      </c>
      <c r="L1099" cm="1">
        <f t="array" aca="1" ref="L1099" ca="1">[1]!s_dq_close($B$1,$A1099,3)</f>
        <v>19.899999999999999</v>
      </c>
    </row>
    <row r="1100" spans="1:12">
      <c r="A1100" s="23">
        <f t="shared" ca="1" si="16"/>
        <v>45075</v>
      </c>
      <c r="B1100" cm="1">
        <f t="array" aca="1" ref="B1100" ca="1">[1]!s_west_netprofit($B$1,YEAR($A1100),$A1100,180,1000000)</f>
        <v>-88.224545000000006</v>
      </c>
      <c r="C1100" cm="1">
        <f t="array" aca="1" ref="C1100" ca="1">[1]!s_west_eps($B$1,YEAR($A1100),$A1100,180)</f>
        <v>-0.1019</v>
      </c>
      <c r="D1100" cm="1">
        <f t="array" aca="1" ref="D1100" ca="1">[1]!s_west_instnum_np($B$1,YEAR($A1100),$A1100,180)</f>
        <v>11</v>
      </c>
      <c r="E1100" cm="1">
        <f t="array" aca="1" ref="E1100" ca="1">[1]!s_west_stdnetprofit($B$1,YEAR($A1100),$A1100,180,1000000)</f>
        <v>92.667260999999996</v>
      </c>
      <c r="F1100" cm="1">
        <f t="array" aca="1" ref="F1100" ca="1">[1]!s_west_mediannetprofit($B$1,YEAR($A1100),$A1100,180,1000000)</f>
        <v>-55</v>
      </c>
      <c r="G1100" cm="1">
        <f t="array" aca="1" ref="G1100" ca="1">[1]!s_west_netprofit($B$1,YEAR($A1100)+1,$A1100,180,1000000)</f>
        <v>-75.224000000000004</v>
      </c>
      <c r="H1100" cm="1">
        <f t="array" aca="1" ref="H1100" ca="1">[1]!s_west_eps($B$1,YEAR($A1100)+1,$A1100,180)</f>
        <v>-8.3900000000000002E-2</v>
      </c>
      <c r="I1100" cm="1">
        <f t="array" aca="1" ref="I1100" ca="1">[1]!s_west_instnum_np($B$1,YEAR($A1100)+1,$A1100,180)</f>
        <v>10</v>
      </c>
      <c r="J1100" cm="1">
        <f t="array" aca="1" ref="J1100" ca="1">[1]!s_west_stdnetprofit($B$1,YEAR($A1100)+1,$A1100,180,1000000)</f>
        <v>76.634511000000003</v>
      </c>
      <c r="K1100" cm="1">
        <f t="array" aca="1" ref="K1100" ca="1">[1]!s_west_mediannetprofit($B$1,YEAR($A1099)+1,$A1099,180,1000000)</f>
        <v>-58.5</v>
      </c>
      <c r="L1100" cm="1">
        <f t="array" aca="1" ref="L1100" ca="1">[1]!s_dq_close($B$1,$A1100,3)</f>
        <v>19.899999999999999</v>
      </c>
    </row>
    <row r="1101" spans="1:12">
      <c r="A1101" s="23">
        <f t="shared" ref="A1101:A1164" ca="1" si="17">A1100-1</f>
        <v>45074</v>
      </c>
      <c r="B1101" cm="1">
        <f t="array" aca="1" ref="B1101" ca="1">[1]!s_west_netprofit($B$1,YEAR($A1101),$A1101,180,1000000)</f>
        <v>-88.224545000000006</v>
      </c>
      <c r="C1101" cm="1">
        <f t="array" aca="1" ref="C1101" ca="1">[1]!s_west_eps($B$1,YEAR($A1101),$A1101,180)</f>
        <v>-0.1019</v>
      </c>
      <c r="D1101" cm="1">
        <f t="array" aca="1" ref="D1101" ca="1">[1]!s_west_instnum_np($B$1,YEAR($A1101),$A1101,180)</f>
        <v>11</v>
      </c>
      <c r="E1101" cm="1">
        <f t="array" aca="1" ref="E1101" ca="1">[1]!s_west_stdnetprofit($B$1,YEAR($A1101),$A1101,180,1000000)</f>
        <v>92.667260999999996</v>
      </c>
      <c r="F1101" cm="1">
        <f t="array" aca="1" ref="F1101" ca="1">[1]!s_west_mediannetprofit($B$1,YEAR($A1101),$A1101,180,1000000)</f>
        <v>-55</v>
      </c>
      <c r="G1101" cm="1">
        <f t="array" aca="1" ref="G1101" ca="1">[1]!s_west_netprofit($B$1,YEAR($A1101)+1,$A1101,180,1000000)</f>
        <v>-75.224000000000004</v>
      </c>
      <c r="H1101" cm="1">
        <f t="array" aca="1" ref="H1101" ca="1">[1]!s_west_eps($B$1,YEAR($A1101)+1,$A1101,180)</f>
        <v>-8.3900000000000002E-2</v>
      </c>
      <c r="I1101" cm="1">
        <f t="array" aca="1" ref="I1101" ca="1">[1]!s_west_instnum_np($B$1,YEAR($A1101)+1,$A1101,180)</f>
        <v>10</v>
      </c>
      <c r="J1101" cm="1">
        <f t="array" aca="1" ref="J1101" ca="1">[1]!s_west_stdnetprofit($B$1,YEAR($A1101)+1,$A1101,180,1000000)</f>
        <v>76.634511000000003</v>
      </c>
      <c r="K1101" cm="1">
        <f t="array" aca="1" ref="K1101" ca="1">[1]!s_west_mediannetprofit($B$1,YEAR($A1100)+1,$A1100,180,1000000)</f>
        <v>-58.5</v>
      </c>
      <c r="L1101" cm="1">
        <f t="array" aca="1" ref="L1101" ca="1">[1]!s_dq_close($B$1,$A1101,3)</f>
        <v>20.149999999999999</v>
      </c>
    </row>
    <row r="1102" spans="1:12">
      <c r="A1102" s="23">
        <f t="shared" ca="1" si="17"/>
        <v>45073</v>
      </c>
      <c r="B1102" cm="1">
        <f t="array" aca="1" ref="B1102" ca="1">[1]!s_west_netprofit($B$1,YEAR($A1102),$A1102,180,1000000)</f>
        <v>-88.224545000000006</v>
      </c>
      <c r="C1102" cm="1">
        <f t="array" aca="1" ref="C1102" ca="1">[1]!s_west_eps($B$1,YEAR($A1102),$A1102,180)</f>
        <v>-0.1019</v>
      </c>
      <c r="D1102" cm="1">
        <f t="array" aca="1" ref="D1102" ca="1">[1]!s_west_instnum_np($B$1,YEAR($A1102),$A1102,180)</f>
        <v>11</v>
      </c>
      <c r="E1102" cm="1">
        <f t="array" aca="1" ref="E1102" ca="1">[1]!s_west_stdnetprofit($B$1,YEAR($A1102),$A1102,180,1000000)</f>
        <v>92.667260999999996</v>
      </c>
      <c r="F1102" cm="1">
        <f t="array" aca="1" ref="F1102" ca="1">[1]!s_west_mediannetprofit($B$1,YEAR($A1102),$A1102,180,1000000)</f>
        <v>-55</v>
      </c>
      <c r="G1102" cm="1">
        <f t="array" aca="1" ref="G1102" ca="1">[1]!s_west_netprofit($B$1,YEAR($A1102)+1,$A1102,180,1000000)</f>
        <v>-75.224000000000004</v>
      </c>
      <c r="H1102" cm="1">
        <f t="array" aca="1" ref="H1102" ca="1">[1]!s_west_eps($B$1,YEAR($A1102)+1,$A1102,180)</f>
        <v>-8.3900000000000002E-2</v>
      </c>
      <c r="I1102" cm="1">
        <f t="array" aca="1" ref="I1102" ca="1">[1]!s_west_instnum_np($B$1,YEAR($A1102)+1,$A1102,180)</f>
        <v>10</v>
      </c>
      <c r="J1102" cm="1">
        <f t="array" aca="1" ref="J1102" ca="1">[1]!s_west_stdnetprofit($B$1,YEAR($A1102)+1,$A1102,180,1000000)</f>
        <v>76.634511000000003</v>
      </c>
      <c r="K1102" cm="1">
        <f t="array" aca="1" ref="K1102" ca="1">[1]!s_west_mediannetprofit($B$1,YEAR($A1101)+1,$A1101,180,1000000)</f>
        <v>-58.5</v>
      </c>
      <c r="L1102" cm="1">
        <f t="array" aca="1" ref="L1102" ca="1">[1]!s_dq_close($B$1,$A1102,3)</f>
        <v>20.149999999999999</v>
      </c>
    </row>
    <row r="1103" spans="1:12">
      <c r="A1103" s="23">
        <f t="shared" ca="1" si="17"/>
        <v>45072</v>
      </c>
      <c r="B1103" cm="1">
        <f t="array" aca="1" ref="B1103" ca="1">[1]!s_west_netprofit($B$1,YEAR($A1103),$A1103,180,1000000)</f>
        <v>-88.224545000000006</v>
      </c>
      <c r="C1103" cm="1">
        <f t="array" aca="1" ref="C1103" ca="1">[1]!s_west_eps($B$1,YEAR($A1103),$A1103,180)</f>
        <v>-0.1019</v>
      </c>
      <c r="D1103" cm="1">
        <f t="array" aca="1" ref="D1103" ca="1">[1]!s_west_instnum_np($B$1,YEAR($A1103),$A1103,180)</f>
        <v>11</v>
      </c>
      <c r="E1103" cm="1">
        <f t="array" aca="1" ref="E1103" ca="1">[1]!s_west_stdnetprofit($B$1,YEAR($A1103),$A1103,180,1000000)</f>
        <v>92.667260999999996</v>
      </c>
      <c r="F1103" cm="1">
        <f t="array" aca="1" ref="F1103" ca="1">[1]!s_west_mediannetprofit($B$1,YEAR($A1103),$A1103,180,1000000)</f>
        <v>-55</v>
      </c>
      <c r="G1103" cm="1">
        <f t="array" aca="1" ref="G1103" ca="1">[1]!s_west_netprofit($B$1,YEAR($A1103)+1,$A1103,180,1000000)</f>
        <v>-75.224000000000004</v>
      </c>
      <c r="H1103" cm="1">
        <f t="array" aca="1" ref="H1103" ca="1">[1]!s_west_eps($B$1,YEAR($A1103)+1,$A1103,180)</f>
        <v>-8.3900000000000002E-2</v>
      </c>
      <c r="I1103" cm="1">
        <f t="array" aca="1" ref="I1103" ca="1">[1]!s_west_instnum_np($B$1,YEAR($A1103)+1,$A1103,180)</f>
        <v>10</v>
      </c>
      <c r="J1103" cm="1">
        <f t="array" aca="1" ref="J1103" ca="1">[1]!s_west_stdnetprofit($B$1,YEAR($A1103)+1,$A1103,180,1000000)</f>
        <v>76.634511000000003</v>
      </c>
      <c r="K1103" cm="1">
        <f t="array" aca="1" ref="K1103" ca="1">[1]!s_west_mediannetprofit($B$1,YEAR($A1102)+1,$A1102,180,1000000)</f>
        <v>-58.5</v>
      </c>
      <c r="L1103" cm="1">
        <f t="array" aca="1" ref="L1103" ca="1">[1]!s_dq_close($B$1,$A1103,3)</f>
        <v>20.149999999999999</v>
      </c>
    </row>
    <row r="1104" spans="1:12">
      <c r="A1104" s="23">
        <f t="shared" ca="1" si="17"/>
        <v>45071</v>
      </c>
      <c r="B1104" cm="1">
        <f t="array" aca="1" ref="B1104" ca="1">[1]!s_west_netprofit($B$1,YEAR($A1104),$A1104,180,1000000)</f>
        <v>-88.224545000000006</v>
      </c>
      <c r="C1104" cm="1">
        <f t="array" aca="1" ref="C1104" ca="1">[1]!s_west_eps($B$1,YEAR($A1104),$A1104,180)</f>
        <v>-0.1019</v>
      </c>
      <c r="D1104" cm="1">
        <f t="array" aca="1" ref="D1104" ca="1">[1]!s_west_instnum_np($B$1,YEAR($A1104),$A1104,180)</f>
        <v>11</v>
      </c>
      <c r="E1104" cm="1">
        <f t="array" aca="1" ref="E1104" ca="1">[1]!s_west_stdnetprofit($B$1,YEAR($A1104),$A1104,180,1000000)</f>
        <v>92.667260999999996</v>
      </c>
      <c r="F1104" cm="1">
        <f t="array" aca="1" ref="F1104" ca="1">[1]!s_west_mediannetprofit($B$1,YEAR($A1104),$A1104,180,1000000)</f>
        <v>-55</v>
      </c>
      <c r="G1104" cm="1">
        <f t="array" aca="1" ref="G1104" ca="1">[1]!s_west_netprofit($B$1,YEAR($A1104)+1,$A1104,180,1000000)</f>
        <v>-75.224000000000004</v>
      </c>
      <c r="H1104" cm="1">
        <f t="array" aca="1" ref="H1104" ca="1">[1]!s_west_eps($B$1,YEAR($A1104)+1,$A1104,180)</f>
        <v>-8.3900000000000002E-2</v>
      </c>
      <c r="I1104" cm="1">
        <f t="array" aca="1" ref="I1104" ca="1">[1]!s_west_instnum_np($B$1,YEAR($A1104)+1,$A1104,180)</f>
        <v>10</v>
      </c>
      <c r="J1104" cm="1">
        <f t="array" aca="1" ref="J1104" ca="1">[1]!s_west_stdnetprofit($B$1,YEAR($A1104)+1,$A1104,180,1000000)</f>
        <v>76.634511000000003</v>
      </c>
      <c r="K1104" cm="1">
        <f t="array" aca="1" ref="K1104" ca="1">[1]!s_west_mediannetprofit($B$1,YEAR($A1103)+1,$A1103,180,1000000)</f>
        <v>-58.5</v>
      </c>
      <c r="L1104" cm="1">
        <f t="array" aca="1" ref="L1104" ca="1">[1]!s_dq_close($B$1,$A1104,3)</f>
        <v>20.149999999999999</v>
      </c>
    </row>
    <row r="1105" spans="1:12">
      <c r="A1105" s="23">
        <f t="shared" ca="1" si="17"/>
        <v>45070</v>
      </c>
      <c r="B1105" cm="1">
        <f t="array" aca="1" ref="B1105" ca="1">[1]!s_west_netprofit($B$1,YEAR($A1105),$A1105,180,1000000)</f>
        <v>-88.224545000000006</v>
      </c>
      <c r="C1105" cm="1">
        <f t="array" aca="1" ref="C1105" ca="1">[1]!s_west_eps($B$1,YEAR($A1105),$A1105,180)</f>
        <v>-0.1019</v>
      </c>
      <c r="D1105" cm="1">
        <f t="array" aca="1" ref="D1105" ca="1">[1]!s_west_instnum_np($B$1,YEAR($A1105),$A1105,180)</f>
        <v>11</v>
      </c>
      <c r="E1105" cm="1">
        <f t="array" aca="1" ref="E1105" ca="1">[1]!s_west_stdnetprofit($B$1,YEAR($A1105),$A1105,180,1000000)</f>
        <v>92.667260999999996</v>
      </c>
      <c r="F1105" cm="1">
        <f t="array" aca="1" ref="F1105" ca="1">[1]!s_west_mediannetprofit($B$1,YEAR($A1105),$A1105,180,1000000)</f>
        <v>-55</v>
      </c>
      <c r="G1105" cm="1">
        <f t="array" aca="1" ref="G1105" ca="1">[1]!s_west_netprofit($B$1,YEAR($A1105)+1,$A1105,180,1000000)</f>
        <v>-75.224000000000004</v>
      </c>
      <c r="H1105" cm="1">
        <f t="array" aca="1" ref="H1105" ca="1">[1]!s_west_eps($B$1,YEAR($A1105)+1,$A1105,180)</f>
        <v>-8.3900000000000002E-2</v>
      </c>
      <c r="I1105" cm="1">
        <f t="array" aca="1" ref="I1105" ca="1">[1]!s_west_instnum_np($B$1,YEAR($A1105)+1,$A1105,180)</f>
        <v>10</v>
      </c>
      <c r="J1105" cm="1">
        <f t="array" aca="1" ref="J1105" ca="1">[1]!s_west_stdnetprofit($B$1,YEAR($A1105)+1,$A1105,180,1000000)</f>
        <v>76.634511000000003</v>
      </c>
      <c r="K1105" cm="1">
        <f t="array" aca="1" ref="K1105" ca="1">[1]!s_west_mediannetprofit($B$1,YEAR($A1104)+1,$A1104,180,1000000)</f>
        <v>-58.5</v>
      </c>
      <c r="L1105" cm="1">
        <f t="array" aca="1" ref="L1105" ca="1">[1]!s_dq_close($B$1,$A1105,3)</f>
        <v>20.6</v>
      </c>
    </row>
    <row r="1106" spans="1:12">
      <c r="A1106" s="23">
        <f t="shared" ca="1" si="17"/>
        <v>45069</v>
      </c>
      <c r="B1106" cm="1">
        <f t="array" aca="1" ref="B1106" ca="1">[1]!s_west_netprofit($B$1,YEAR($A1106),$A1106,180,1000000)</f>
        <v>-88.224545000000006</v>
      </c>
      <c r="C1106" cm="1">
        <f t="array" aca="1" ref="C1106" ca="1">[1]!s_west_eps($B$1,YEAR($A1106),$A1106,180)</f>
        <v>-0.1019</v>
      </c>
      <c r="D1106" cm="1">
        <f t="array" aca="1" ref="D1106" ca="1">[1]!s_west_instnum_np($B$1,YEAR($A1106),$A1106,180)</f>
        <v>11</v>
      </c>
      <c r="E1106" cm="1">
        <f t="array" aca="1" ref="E1106" ca="1">[1]!s_west_stdnetprofit($B$1,YEAR($A1106),$A1106,180,1000000)</f>
        <v>92.667260999999996</v>
      </c>
      <c r="F1106" cm="1">
        <f t="array" aca="1" ref="F1106" ca="1">[1]!s_west_mediannetprofit($B$1,YEAR($A1106),$A1106,180,1000000)</f>
        <v>-55</v>
      </c>
      <c r="G1106" cm="1">
        <f t="array" aca="1" ref="G1106" ca="1">[1]!s_west_netprofit($B$1,YEAR($A1106)+1,$A1106,180,1000000)</f>
        <v>-75.224000000000004</v>
      </c>
      <c r="H1106" cm="1">
        <f t="array" aca="1" ref="H1106" ca="1">[1]!s_west_eps($B$1,YEAR($A1106)+1,$A1106,180)</f>
        <v>-8.3900000000000002E-2</v>
      </c>
      <c r="I1106" cm="1">
        <f t="array" aca="1" ref="I1106" ca="1">[1]!s_west_instnum_np($B$1,YEAR($A1106)+1,$A1106,180)</f>
        <v>10</v>
      </c>
      <c r="J1106" cm="1">
        <f t="array" aca="1" ref="J1106" ca="1">[1]!s_west_stdnetprofit($B$1,YEAR($A1106)+1,$A1106,180,1000000)</f>
        <v>76.634511000000003</v>
      </c>
      <c r="K1106" cm="1">
        <f t="array" aca="1" ref="K1106" ca="1">[1]!s_west_mediannetprofit($B$1,YEAR($A1105)+1,$A1105,180,1000000)</f>
        <v>-58.5</v>
      </c>
      <c r="L1106" cm="1">
        <f t="array" aca="1" ref="L1106" ca="1">[1]!s_dq_close($B$1,$A1106,3)</f>
        <v>20.9</v>
      </c>
    </row>
    <row r="1107" spans="1:12">
      <c r="A1107" s="23">
        <f t="shared" ca="1" si="17"/>
        <v>45068</v>
      </c>
      <c r="B1107" cm="1">
        <f t="array" aca="1" ref="B1107" ca="1">[1]!s_west_netprofit($B$1,YEAR($A1107),$A1107,180,1000000)</f>
        <v>-88.224545000000006</v>
      </c>
      <c r="C1107" cm="1">
        <f t="array" aca="1" ref="C1107" ca="1">[1]!s_west_eps($B$1,YEAR($A1107),$A1107,180)</f>
        <v>-0.1019</v>
      </c>
      <c r="D1107" cm="1">
        <f t="array" aca="1" ref="D1107" ca="1">[1]!s_west_instnum_np($B$1,YEAR($A1107),$A1107,180)</f>
        <v>11</v>
      </c>
      <c r="E1107" cm="1">
        <f t="array" aca="1" ref="E1107" ca="1">[1]!s_west_stdnetprofit($B$1,YEAR($A1107),$A1107,180,1000000)</f>
        <v>92.667260999999996</v>
      </c>
      <c r="F1107" cm="1">
        <f t="array" aca="1" ref="F1107" ca="1">[1]!s_west_mediannetprofit($B$1,YEAR($A1107),$A1107,180,1000000)</f>
        <v>-55</v>
      </c>
      <c r="G1107" cm="1">
        <f t="array" aca="1" ref="G1107" ca="1">[1]!s_west_netprofit($B$1,YEAR($A1107)+1,$A1107,180,1000000)</f>
        <v>-75.224000000000004</v>
      </c>
      <c r="H1107" cm="1">
        <f t="array" aca="1" ref="H1107" ca="1">[1]!s_west_eps($B$1,YEAR($A1107)+1,$A1107,180)</f>
        <v>-8.3900000000000002E-2</v>
      </c>
      <c r="I1107" cm="1">
        <f t="array" aca="1" ref="I1107" ca="1">[1]!s_west_instnum_np($B$1,YEAR($A1107)+1,$A1107,180)</f>
        <v>10</v>
      </c>
      <c r="J1107" cm="1">
        <f t="array" aca="1" ref="J1107" ca="1">[1]!s_west_stdnetprofit($B$1,YEAR($A1107)+1,$A1107,180,1000000)</f>
        <v>76.634511000000003</v>
      </c>
      <c r="K1107" cm="1">
        <f t="array" aca="1" ref="K1107" ca="1">[1]!s_west_mediannetprofit($B$1,YEAR($A1106)+1,$A1106,180,1000000)</f>
        <v>-58.5</v>
      </c>
      <c r="L1107" cm="1">
        <f t="array" aca="1" ref="L1107" ca="1">[1]!s_dq_close($B$1,$A1107,3)</f>
        <v>20.6</v>
      </c>
    </row>
    <row r="1108" spans="1:12">
      <c r="A1108" s="23">
        <f t="shared" ca="1" si="17"/>
        <v>45067</v>
      </c>
      <c r="B1108" cm="1">
        <f t="array" aca="1" ref="B1108" ca="1">[1]!s_west_netprofit($B$1,YEAR($A1108),$A1108,180,1000000)</f>
        <v>-88.224545000000006</v>
      </c>
      <c r="C1108" cm="1">
        <f t="array" aca="1" ref="C1108" ca="1">[1]!s_west_eps($B$1,YEAR($A1108),$A1108,180)</f>
        <v>-0.1019</v>
      </c>
      <c r="D1108" cm="1">
        <f t="array" aca="1" ref="D1108" ca="1">[1]!s_west_instnum_np($B$1,YEAR($A1108),$A1108,180)</f>
        <v>11</v>
      </c>
      <c r="E1108" cm="1">
        <f t="array" aca="1" ref="E1108" ca="1">[1]!s_west_stdnetprofit($B$1,YEAR($A1108),$A1108,180,1000000)</f>
        <v>92.667260999999996</v>
      </c>
      <c r="F1108" cm="1">
        <f t="array" aca="1" ref="F1108" ca="1">[1]!s_west_mediannetprofit($B$1,YEAR($A1108),$A1108,180,1000000)</f>
        <v>-55</v>
      </c>
      <c r="G1108" cm="1">
        <f t="array" aca="1" ref="G1108" ca="1">[1]!s_west_netprofit($B$1,YEAR($A1108)+1,$A1108,180,1000000)</f>
        <v>-75.224000000000004</v>
      </c>
      <c r="H1108" cm="1">
        <f t="array" aca="1" ref="H1108" ca="1">[1]!s_west_eps($B$1,YEAR($A1108)+1,$A1108,180)</f>
        <v>-8.3900000000000002E-2</v>
      </c>
      <c r="I1108" cm="1">
        <f t="array" aca="1" ref="I1108" ca="1">[1]!s_west_instnum_np($B$1,YEAR($A1108)+1,$A1108,180)</f>
        <v>10</v>
      </c>
      <c r="J1108" cm="1">
        <f t="array" aca="1" ref="J1108" ca="1">[1]!s_west_stdnetprofit($B$1,YEAR($A1108)+1,$A1108,180,1000000)</f>
        <v>76.634511000000003</v>
      </c>
      <c r="K1108" cm="1">
        <f t="array" aca="1" ref="K1108" ca="1">[1]!s_west_mediannetprofit($B$1,YEAR($A1107)+1,$A1107,180,1000000)</f>
        <v>-58.5</v>
      </c>
      <c r="L1108" cm="1">
        <f t="array" aca="1" ref="L1108" ca="1">[1]!s_dq_close($B$1,$A1108,3)</f>
        <v>20.25</v>
      </c>
    </row>
    <row r="1109" spans="1:12">
      <c r="A1109" s="23">
        <f t="shared" ca="1" si="17"/>
        <v>45066</v>
      </c>
      <c r="B1109" cm="1">
        <f t="array" aca="1" ref="B1109" ca="1">[1]!s_west_netprofit($B$1,YEAR($A1109),$A1109,180,1000000)</f>
        <v>-88.224545000000006</v>
      </c>
      <c r="C1109" cm="1">
        <f t="array" aca="1" ref="C1109" ca="1">[1]!s_west_eps($B$1,YEAR($A1109),$A1109,180)</f>
        <v>-0.1019</v>
      </c>
      <c r="D1109" cm="1">
        <f t="array" aca="1" ref="D1109" ca="1">[1]!s_west_instnum_np($B$1,YEAR($A1109),$A1109,180)</f>
        <v>11</v>
      </c>
      <c r="E1109" cm="1">
        <f t="array" aca="1" ref="E1109" ca="1">[1]!s_west_stdnetprofit($B$1,YEAR($A1109),$A1109,180,1000000)</f>
        <v>92.667260999999996</v>
      </c>
      <c r="F1109" cm="1">
        <f t="array" aca="1" ref="F1109" ca="1">[1]!s_west_mediannetprofit($B$1,YEAR($A1109),$A1109,180,1000000)</f>
        <v>-55</v>
      </c>
      <c r="G1109" cm="1">
        <f t="array" aca="1" ref="G1109" ca="1">[1]!s_west_netprofit($B$1,YEAR($A1109)+1,$A1109,180,1000000)</f>
        <v>-75.224000000000004</v>
      </c>
      <c r="H1109" cm="1">
        <f t="array" aca="1" ref="H1109" ca="1">[1]!s_west_eps($B$1,YEAR($A1109)+1,$A1109,180)</f>
        <v>-8.3900000000000002E-2</v>
      </c>
      <c r="I1109" cm="1">
        <f t="array" aca="1" ref="I1109" ca="1">[1]!s_west_instnum_np($B$1,YEAR($A1109)+1,$A1109,180)</f>
        <v>10</v>
      </c>
      <c r="J1109" cm="1">
        <f t="array" aca="1" ref="J1109" ca="1">[1]!s_west_stdnetprofit($B$1,YEAR($A1109)+1,$A1109,180,1000000)</f>
        <v>76.634511000000003</v>
      </c>
      <c r="K1109" cm="1">
        <f t="array" aca="1" ref="K1109" ca="1">[1]!s_west_mediannetprofit($B$1,YEAR($A1108)+1,$A1108,180,1000000)</f>
        <v>-58.5</v>
      </c>
      <c r="L1109" cm="1">
        <f t="array" aca="1" ref="L1109" ca="1">[1]!s_dq_close($B$1,$A1109,3)</f>
        <v>20.25</v>
      </c>
    </row>
    <row r="1110" spans="1:12">
      <c r="A1110" s="23">
        <f t="shared" ca="1" si="17"/>
        <v>45065</v>
      </c>
      <c r="B1110" cm="1">
        <f t="array" aca="1" ref="B1110" ca="1">[1]!s_west_netprofit($B$1,YEAR($A1110),$A1110,180,1000000)</f>
        <v>-88.224545000000006</v>
      </c>
      <c r="C1110" cm="1">
        <f t="array" aca="1" ref="C1110" ca="1">[1]!s_west_eps($B$1,YEAR($A1110),$A1110,180)</f>
        <v>-0.1019</v>
      </c>
      <c r="D1110" cm="1">
        <f t="array" aca="1" ref="D1110" ca="1">[1]!s_west_instnum_np($B$1,YEAR($A1110),$A1110,180)</f>
        <v>11</v>
      </c>
      <c r="E1110" cm="1">
        <f t="array" aca="1" ref="E1110" ca="1">[1]!s_west_stdnetprofit($B$1,YEAR($A1110),$A1110,180,1000000)</f>
        <v>92.667260999999996</v>
      </c>
      <c r="F1110" cm="1">
        <f t="array" aca="1" ref="F1110" ca="1">[1]!s_west_mediannetprofit($B$1,YEAR($A1110),$A1110,180,1000000)</f>
        <v>-55</v>
      </c>
      <c r="G1110" cm="1">
        <f t="array" aca="1" ref="G1110" ca="1">[1]!s_west_netprofit($B$1,YEAR($A1110)+1,$A1110,180,1000000)</f>
        <v>-75.224000000000004</v>
      </c>
      <c r="H1110" cm="1">
        <f t="array" aca="1" ref="H1110" ca="1">[1]!s_west_eps($B$1,YEAR($A1110)+1,$A1110,180)</f>
        <v>-8.3900000000000002E-2</v>
      </c>
      <c r="I1110" cm="1">
        <f t="array" aca="1" ref="I1110" ca="1">[1]!s_west_instnum_np($B$1,YEAR($A1110)+1,$A1110,180)</f>
        <v>10</v>
      </c>
      <c r="J1110" cm="1">
        <f t="array" aca="1" ref="J1110" ca="1">[1]!s_west_stdnetprofit($B$1,YEAR($A1110)+1,$A1110,180,1000000)</f>
        <v>76.634511000000003</v>
      </c>
      <c r="K1110" cm="1">
        <f t="array" aca="1" ref="K1110" ca="1">[1]!s_west_mediannetprofit($B$1,YEAR($A1109)+1,$A1109,180,1000000)</f>
        <v>-58.5</v>
      </c>
      <c r="L1110" cm="1">
        <f t="array" aca="1" ref="L1110" ca="1">[1]!s_dq_close($B$1,$A1110,3)</f>
        <v>20.25</v>
      </c>
    </row>
    <row r="1111" spans="1:12">
      <c r="A1111" s="23">
        <f t="shared" ca="1" si="17"/>
        <v>45064</v>
      </c>
      <c r="B1111" cm="1">
        <f t="array" aca="1" ref="B1111" ca="1">[1]!s_west_netprofit($B$1,YEAR($A1111),$A1111,180,1000000)</f>
        <v>-88.224545000000006</v>
      </c>
      <c r="C1111" cm="1">
        <f t="array" aca="1" ref="C1111" ca="1">[1]!s_west_eps($B$1,YEAR($A1111),$A1111,180)</f>
        <v>-0.1019</v>
      </c>
      <c r="D1111" cm="1">
        <f t="array" aca="1" ref="D1111" ca="1">[1]!s_west_instnum_np($B$1,YEAR($A1111),$A1111,180)</f>
        <v>11</v>
      </c>
      <c r="E1111" cm="1">
        <f t="array" aca="1" ref="E1111" ca="1">[1]!s_west_stdnetprofit($B$1,YEAR($A1111),$A1111,180,1000000)</f>
        <v>92.667260999999996</v>
      </c>
      <c r="F1111" cm="1">
        <f t="array" aca="1" ref="F1111" ca="1">[1]!s_west_mediannetprofit($B$1,YEAR($A1111),$A1111,180,1000000)</f>
        <v>-55</v>
      </c>
      <c r="G1111" cm="1">
        <f t="array" aca="1" ref="G1111" ca="1">[1]!s_west_netprofit($B$1,YEAR($A1111)+1,$A1111,180,1000000)</f>
        <v>-75.224000000000004</v>
      </c>
      <c r="H1111" cm="1">
        <f t="array" aca="1" ref="H1111" ca="1">[1]!s_west_eps($B$1,YEAR($A1111)+1,$A1111,180)</f>
        <v>-8.3900000000000002E-2</v>
      </c>
      <c r="I1111" cm="1">
        <f t="array" aca="1" ref="I1111" ca="1">[1]!s_west_instnum_np($B$1,YEAR($A1111)+1,$A1111,180)</f>
        <v>10</v>
      </c>
      <c r="J1111" cm="1">
        <f t="array" aca="1" ref="J1111" ca="1">[1]!s_west_stdnetprofit($B$1,YEAR($A1111)+1,$A1111,180,1000000)</f>
        <v>76.634511000000003</v>
      </c>
      <c r="K1111" cm="1">
        <f t="array" aca="1" ref="K1111" ca="1">[1]!s_west_mediannetprofit($B$1,YEAR($A1110)+1,$A1110,180,1000000)</f>
        <v>-58.5</v>
      </c>
      <c r="L1111" cm="1">
        <f t="array" aca="1" ref="L1111" ca="1">[1]!s_dq_close($B$1,$A1111,3)</f>
        <v>20.7</v>
      </c>
    </row>
    <row r="1112" spans="1:12">
      <c r="A1112" s="23">
        <f t="shared" ca="1" si="17"/>
        <v>45063</v>
      </c>
      <c r="B1112" cm="1">
        <f t="array" aca="1" ref="B1112" ca="1">[1]!s_west_netprofit($B$1,YEAR($A1112),$A1112,180,1000000)</f>
        <v>-88.224545000000006</v>
      </c>
      <c r="C1112" cm="1">
        <f t="array" aca="1" ref="C1112" ca="1">[1]!s_west_eps($B$1,YEAR($A1112),$A1112,180)</f>
        <v>-0.1019</v>
      </c>
      <c r="D1112" cm="1">
        <f t="array" aca="1" ref="D1112" ca="1">[1]!s_west_instnum_np($B$1,YEAR($A1112),$A1112,180)</f>
        <v>11</v>
      </c>
      <c r="E1112" cm="1">
        <f t="array" aca="1" ref="E1112" ca="1">[1]!s_west_stdnetprofit($B$1,YEAR($A1112),$A1112,180,1000000)</f>
        <v>92.667260999999996</v>
      </c>
      <c r="F1112" cm="1">
        <f t="array" aca="1" ref="F1112" ca="1">[1]!s_west_mediannetprofit($B$1,YEAR($A1112),$A1112,180,1000000)</f>
        <v>-55</v>
      </c>
      <c r="G1112" cm="1">
        <f t="array" aca="1" ref="G1112" ca="1">[1]!s_west_netprofit($B$1,YEAR($A1112)+1,$A1112,180,1000000)</f>
        <v>-75.224000000000004</v>
      </c>
      <c r="H1112" cm="1">
        <f t="array" aca="1" ref="H1112" ca="1">[1]!s_west_eps($B$1,YEAR($A1112)+1,$A1112,180)</f>
        <v>-8.3900000000000002E-2</v>
      </c>
      <c r="I1112" cm="1">
        <f t="array" aca="1" ref="I1112" ca="1">[1]!s_west_instnum_np($B$1,YEAR($A1112)+1,$A1112,180)</f>
        <v>10</v>
      </c>
      <c r="J1112" cm="1">
        <f t="array" aca="1" ref="J1112" ca="1">[1]!s_west_stdnetprofit($B$1,YEAR($A1112)+1,$A1112,180,1000000)</f>
        <v>76.634511000000003</v>
      </c>
      <c r="K1112" cm="1">
        <f t="array" aca="1" ref="K1112" ca="1">[1]!s_west_mediannetprofit($B$1,YEAR($A1111)+1,$A1111,180,1000000)</f>
        <v>-58.5</v>
      </c>
      <c r="L1112" cm="1">
        <f t="array" aca="1" ref="L1112" ca="1">[1]!s_dq_close($B$1,$A1112,3)</f>
        <v>20.9</v>
      </c>
    </row>
    <row r="1113" spans="1:12">
      <c r="A1113" s="23">
        <f t="shared" ca="1" si="17"/>
        <v>45062</v>
      </c>
      <c r="B1113" cm="1">
        <f t="array" aca="1" ref="B1113" ca="1">[1]!s_west_netprofit($B$1,YEAR($A1113),$A1113,180,1000000)</f>
        <v>-88.224545000000006</v>
      </c>
      <c r="C1113" cm="1">
        <f t="array" aca="1" ref="C1113" ca="1">[1]!s_west_eps($B$1,YEAR($A1113),$A1113,180)</f>
        <v>-0.1019</v>
      </c>
      <c r="D1113" cm="1">
        <f t="array" aca="1" ref="D1113" ca="1">[1]!s_west_instnum_np($B$1,YEAR($A1113),$A1113,180)</f>
        <v>11</v>
      </c>
      <c r="E1113" cm="1">
        <f t="array" aca="1" ref="E1113" ca="1">[1]!s_west_stdnetprofit($B$1,YEAR($A1113),$A1113,180,1000000)</f>
        <v>92.667260999999996</v>
      </c>
      <c r="F1113" cm="1">
        <f t="array" aca="1" ref="F1113" ca="1">[1]!s_west_mediannetprofit($B$1,YEAR($A1113),$A1113,180,1000000)</f>
        <v>-55</v>
      </c>
      <c r="G1113" cm="1">
        <f t="array" aca="1" ref="G1113" ca="1">[1]!s_west_netprofit($B$1,YEAR($A1113)+1,$A1113,180,1000000)</f>
        <v>-75.224000000000004</v>
      </c>
      <c r="H1113" cm="1">
        <f t="array" aca="1" ref="H1113" ca="1">[1]!s_west_eps($B$1,YEAR($A1113)+1,$A1113,180)</f>
        <v>-8.3900000000000002E-2</v>
      </c>
      <c r="I1113" cm="1">
        <f t="array" aca="1" ref="I1113" ca="1">[1]!s_west_instnum_np($B$1,YEAR($A1113)+1,$A1113,180)</f>
        <v>10</v>
      </c>
      <c r="J1113" cm="1">
        <f t="array" aca="1" ref="J1113" ca="1">[1]!s_west_stdnetprofit($B$1,YEAR($A1113)+1,$A1113,180,1000000)</f>
        <v>76.634511000000003</v>
      </c>
      <c r="K1113" cm="1">
        <f t="array" aca="1" ref="K1113" ca="1">[1]!s_west_mediannetprofit($B$1,YEAR($A1112)+1,$A1112,180,1000000)</f>
        <v>-58.5</v>
      </c>
      <c r="L1113" cm="1">
        <f t="array" aca="1" ref="L1113" ca="1">[1]!s_dq_close($B$1,$A1113,3)</f>
        <v>22.1</v>
      </c>
    </row>
    <row r="1114" spans="1:12">
      <c r="A1114" s="23">
        <f t="shared" ca="1" si="17"/>
        <v>45061</v>
      </c>
      <c r="B1114" cm="1">
        <f t="array" aca="1" ref="B1114" ca="1">[1]!s_west_netprofit($B$1,YEAR($A1114),$A1114,180,1000000)</f>
        <v>-88.224545000000006</v>
      </c>
      <c r="C1114" cm="1">
        <f t="array" aca="1" ref="C1114" ca="1">[1]!s_west_eps($B$1,YEAR($A1114),$A1114,180)</f>
        <v>-0.1019</v>
      </c>
      <c r="D1114" cm="1">
        <f t="array" aca="1" ref="D1114" ca="1">[1]!s_west_instnum_np($B$1,YEAR($A1114),$A1114,180)</f>
        <v>11</v>
      </c>
      <c r="E1114" cm="1">
        <f t="array" aca="1" ref="E1114" ca="1">[1]!s_west_stdnetprofit($B$1,YEAR($A1114),$A1114,180,1000000)</f>
        <v>92.667260999999996</v>
      </c>
      <c r="F1114" cm="1">
        <f t="array" aca="1" ref="F1114" ca="1">[1]!s_west_mediannetprofit($B$1,YEAR($A1114),$A1114,180,1000000)</f>
        <v>-55</v>
      </c>
      <c r="G1114" cm="1">
        <f t="array" aca="1" ref="G1114" ca="1">[1]!s_west_netprofit($B$1,YEAR($A1114)+1,$A1114,180,1000000)</f>
        <v>-75.224000000000004</v>
      </c>
      <c r="H1114" cm="1">
        <f t="array" aca="1" ref="H1114" ca="1">[1]!s_west_eps($B$1,YEAR($A1114)+1,$A1114,180)</f>
        <v>-8.3900000000000002E-2</v>
      </c>
      <c r="I1114" cm="1">
        <f t="array" aca="1" ref="I1114" ca="1">[1]!s_west_instnum_np($B$1,YEAR($A1114)+1,$A1114,180)</f>
        <v>10</v>
      </c>
      <c r="J1114" cm="1">
        <f t="array" aca="1" ref="J1114" ca="1">[1]!s_west_stdnetprofit($B$1,YEAR($A1114)+1,$A1114,180,1000000)</f>
        <v>76.634511000000003</v>
      </c>
      <c r="K1114" cm="1">
        <f t="array" aca="1" ref="K1114" ca="1">[1]!s_west_mediannetprofit($B$1,YEAR($A1113)+1,$A1113,180,1000000)</f>
        <v>-58.5</v>
      </c>
      <c r="L1114" cm="1">
        <f t="array" aca="1" ref="L1114" ca="1">[1]!s_dq_close($B$1,$A1114,3)</f>
        <v>21.9</v>
      </c>
    </row>
    <row r="1115" spans="1:12">
      <c r="A1115" s="23">
        <f t="shared" ca="1" si="17"/>
        <v>45060</v>
      </c>
      <c r="B1115" cm="1">
        <f t="array" aca="1" ref="B1115" ca="1">[1]!s_west_netprofit($B$1,YEAR($A1115),$A1115,180,1000000)</f>
        <v>-88.224545000000006</v>
      </c>
      <c r="C1115" cm="1">
        <f t="array" aca="1" ref="C1115" ca="1">[1]!s_west_eps($B$1,YEAR($A1115),$A1115,180)</f>
        <v>-0.1019</v>
      </c>
      <c r="D1115" cm="1">
        <f t="array" aca="1" ref="D1115" ca="1">[1]!s_west_instnum_np($B$1,YEAR($A1115),$A1115,180)</f>
        <v>11</v>
      </c>
      <c r="E1115" cm="1">
        <f t="array" aca="1" ref="E1115" ca="1">[1]!s_west_stdnetprofit($B$1,YEAR($A1115),$A1115,180,1000000)</f>
        <v>92.667260999999996</v>
      </c>
      <c r="F1115" cm="1">
        <f t="array" aca="1" ref="F1115" ca="1">[1]!s_west_mediannetprofit($B$1,YEAR($A1115),$A1115,180,1000000)</f>
        <v>-55</v>
      </c>
      <c r="G1115" cm="1">
        <f t="array" aca="1" ref="G1115" ca="1">[1]!s_west_netprofit($B$1,YEAR($A1115)+1,$A1115,180,1000000)</f>
        <v>-75.224000000000004</v>
      </c>
      <c r="H1115" cm="1">
        <f t="array" aca="1" ref="H1115" ca="1">[1]!s_west_eps($B$1,YEAR($A1115)+1,$A1115,180)</f>
        <v>-8.3900000000000002E-2</v>
      </c>
      <c r="I1115" cm="1">
        <f t="array" aca="1" ref="I1115" ca="1">[1]!s_west_instnum_np($B$1,YEAR($A1115)+1,$A1115,180)</f>
        <v>10</v>
      </c>
      <c r="J1115" cm="1">
        <f t="array" aca="1" ref="J1115" ca="1">[1]!s_west_stdnetprofit($B$1,YEAR($A1115)+1,$A1115,180,1000000)</f>
        <v>76.634511000000003</v>
      </c>
      <c r="K1115" cm="1">
        <f t="array" aca="1" ref="K1115" ca="1">[1]!s_west_mediannetprofit($B$1,YEAR($A1114)+1,$A1114,180,1000000)</f>
        <v>-58.5</v>
      </c>
      <c r="L1115" cm="1">
        <f t="array" aca="1" ref="L1115" ca="1">[1]!s_dq_close($B$1,$A1115,3)</f>
        <v>21.6</v>
      </c>
    </row>
    <row r="1116" spans="1:12">
      <c r="A1116" s="23">
        <f t="shared" ca="1" si="17"/>
        <v>45059</v>
      </c>
      <c r="B1116" cm="1">
        <f t="array" aca="1" ref="B1116" ca="1">[1]!s_west_netprofit($B$1,YEAR($A1116),$A1116,180,1000000)</f>
        <v>-88.224545000000006</v>
      </c>
      <c r="C1116" cm="1">
        <f t="array" aca="1" ref="C1116" ca="1">[1]!s_west_eps($B$1,YEAR($A1116),$A1116,180)</f>
        <v>-0.1019</v>
      </c>
      <c r="D1116" cm="1">
        <f t="array" aca="1" ref="D1116" ca="1">[1]!s_west_instnum_np($B$1,YEAR($A1116),$A1116,180)</f>
        <v>11</v>
      </c>
      <c r="E1116" cm="1">
        <f t="array" aca="1" ref="E1116" ca="1">[1]!s_west_stdnetprofit($B$1,YEAR($A1116),$A1116,180,1000000)</f>
        <v>92.667260999999996</v>
      </c>
      <c r="F1116" cm="1">
        <f t="array" aca="1" ref="F1116" ca="1">[1]!s_west_mediannetprofit($B$1,YEAR($A1116),$A1116,180,1000000)</f>
        <v>-55</v>
      </c>
      <c r="G1116" cm="1">
        <f t="array" aca="1" ref="G1116" ca="1">[1]!s_west_netprofit($B$1,YEAR($A1116)+1,$A1116,180,1000000)</f>
        <v>-75.224000000000004</v>
      </c>
      <c r="H1116" cm="1">
        <f t="array" aca="1" ref="H1116" ca="1">[1]!s_west_eps($B$1,YEAR($A1116)+1,$A1116,180)</f>
        <v>-8.3900000000000002E-2</v>
      </c>
      <c r="I1116" cm="1">
        <f t="array" aca="1" ref="I1116" ca="1">[1]!s_west_instnum_np($B$1,YEAR($A1116)+1,$A1116,180)</f>
        <v>10</v>
      </c>
      <c r="J1116" cm="1">
        <f t="array" aca="1" ref="J1116" ca="1">[1]!s_west_stdnetprofit($B$1,YEAR($A1116)+1,$A1116,180,1000000)</f>
        <v>76.634511000000003</v>
      </c>
      <c r="K1116" cm="1">
        <f t="array" aca="1" ref="K1116" ca="1">[1]!s_west_mediannetprofit($B$1,YEAR($A1115)+1,$A1115,180,1000000)</f>
        <v>-58.5</v>
      </c>
      <c r="L1116" cm="1">
        <f t="array" aca="1" ref="L1116" ca="1">[1]!s_dq_close($B$1,$A1116,3)</f>
        <v>21.6</v>
      </c>
    </row>
    <row r="1117" spans="1:12">
      <c r="A1117" s="23">
        <f t="shared" ca="1" si="17"/>
        <v>45058</v>
      </c>
      <c r="B1117" cm="1">
        <f t="array" aca="1" ref="B1117" ca="1">[1]!s_west_netprofit($B$1,YEAR($A1117),$A1117,180,1000000)</f>
        <v>-88.224545000000006</v>
      </c>
      <c r="C1117" cm="1">
        <f t="array" aca="1" ref="C1117" ca="1">[1]!s_west_eps($B$1,YEAR($A1117),$A1117,180)</f>
        <v>-0.1019</v>
      </c>
      <c r="D1117" cm="1">
        <f t="array" aca="1" ref="D1117" ca="1">[1]!s_west_instnum_np($B$1,YEAR($A1117),$A1117,180)</f>
        <v>11</v>
      </c>
      <c r="E1117" cm="1">
        <f t="array" aca="1" ref="E1117" ca="1">[1]!s_west_stdnetprofit($B$1,YEAR($A1117),$A1117,180,1000000)</f>
        <v>92.667260999999996</v>
      </c>
      <c r="F1117" cm="1">
        <f t="array" aca="1" ref="F1117" ca="1">[1]!s_west_mediannetprofit($B$1,YEAR($A1117),$A1117,180,1000000)</f>
        <v>-55</v>
      </c>
      <c r="G1117" cm="1">
        <f t="array" aca="1" ref="G1117" ca="1">[1]!s_west_netprofit($B$1,YEAR($A1117)+1,$A1117,180,1000000)</f>
        <v>-75.224000000000004</v>
      </c>
      <c r="H1117" cm="1">
        <f t="array" aca="1" ref="H1117" ca="1">[1]!s_west_eps($B$1,YEAR($A1117)+1,$A1117,180)</f>
        <v>-8.3900000000000002E-2</v>
      </c>
      <c r="I1117" cm="1">
        <f t="array" aca="1" ref="I1117" ca="1">[1]!s_west_instnum_np($B$1,YEAR($A1117)+1,$A1117,180)</f>
        <v>10</v>
      </c>
      <c r="J1117" cm="1">
        <f t="array" aca="1" ref="J1117" ca="1">[1]!s_west_stdnetprofit($B$1,YEAR($A1117)+1,$A1117,180,1000000)</f>
        <v>76.634511000000003</v>
      </c>
      <c r="K1117" cm="1">
        <f t="array" aca="1" ref="K1117" ca="1">[1]!s_west_mediannetprofit($B$1,YEAR($A1116)+1,$A1116,180,1000000)</f>
        <v>-58.5</v>
      </c>
      <c r="L1117" cm="1">
        <f t="array" aca="1" ref="L1117" ca="1">[1]!s_dq_close($B$1,$A1117,3)</f>
        <v>21.6</v>
      </c>
    </row>
    <row r="1118" spans="1:12">
      <c r="A1118" s="23">
        <f t="shared" ca="1" si="17"/>
        <v>45057</v>
      </c>
      <c r="B1118" cm="1">
        <f t="array" aca="1" ref="B1118" ca="1">[1]!s_west_netprofit($B$1,YEAR($A1118),$A1118,180,1000000)</f>
        <v>-88.224545000000006</v>
      </c>
      <c r="C1118" cm="1">
        <f t="array" aca="1" ref="C1118" ca="1">[1]!s_west_eps($B$1,YEAR($A1118),$A1118,180)</f>
        <v>-0.1019</v>
      </c>
      <c r="D1118" cm="1">
        <f t="array" aca="1" ref="D1118" ca="1">[1]!s_west_instnum_np($B$1,YEAR($A1118),$A1118,180)</f>
        <v>11</v>
      </c>
      <c r="E1118" cm="1">
        <f t="array" aca="1" ref="E1118" ca="1">[1]!s_west_stdnetprofit($B$1,YEAR($A1118),$A1118,180,1000000)</f>
        <v>92.667260999999996</v>
      </c>
      <c r="F1118" cm="1">
        <f t="array" aca="1" ref="F1118" ca="1">[1]!s_west_mediannetprofit($B$1,YEAR($A1118),$A1118,180,1000000)</f>
        <v>-55</v>
      </c>
      <c r="G1118" cm="1">
        <f t="array" aca="1" ref="G1118" ca="1">[1]!s_west_netprofit($B$1,YEAR($A1118)+1,$A1118,180,1000000)</f>
        <v>-75.224000000000004</v>
      </c>
      <c r="H1118" cm="1">
        <f t="array" aca="1" ref="H1118" ca="1">[1]!s_west_eps($B$1,YEAR($A1118)+1,$A1118,180)</f>
        <v>-8.3900000000000002E-2</v>
      </c>
      <c r="I1118" cm="1">
        <f t="array" aca="1" ref="I1118" ca="1">[1]!s_west_instnum_np($B$1,YEAR($A1118)+1,$A1118,180)</f>
        <v>10</v>
      </c>
      <c r="J1118" cm="1">
        <f t="array" aca="1" ref="J1118" ca="1">[1]!s_west_stdnetprofit($B$1,YEAR($A1118)+1,$A1118,180,1000000)</f>
        <v>76.634511000000003</v>
      </c>
      <c r="K1118" cm="1">
        <f t="array" aca="1" ref="K1118" ca="1">[1]!s_west_mediannetprofit($B$1,YEAR($A1117)+1,$A1117,180,1000000)</f>
        <v>-58.5</v>
      </c>
      <c r="L1118" cm="1">
        <f t="array" aca="1" ref="L1118" ca="1">[1]!s_dq_close($B$1,$A1118,3)</f>
        <v>22.35</v>
      </c>
    </row>
    <row r="1119" spans="1:12">
      <c r="A1119" s="23">
        <f t="shared" ca="1" si="17"/>
        <v>45056</v>
      </c>
      <c r="B1119" cm="1">
        <f t="array" aca="1" ref="B1119" ca="1">[1]!s_west_netprofit($B$1,YEAR($A1119),$A1119,180,1000000)</f>
        <v>-88.224545000000006</v>
      </c>
      <c r="C1119" cm="1">
        <f t="array" aca="1" ref="C1119" ca="1">[1]!s_west_eps($B$1,YEAR($A1119),$A1119,180)</f>
        <v>-0.1019</v>
      </c>
      <c r="D1119" cm="1">
        <f t="array" aca="1" ref="D1119" ca="1">[1]!s_west_instnum_np($B$1,YEAR($A1119),$A1119,180)</f>
        <v>11</v>
      </c>
      <c r="E1119" cm="1">
        <f t="array" aca="1" ref="E1119" ca="1">[1]!s_west_stdnetprofit($B$1,YEAR($A1119),$A1119,180,1000000)</f>
        <v>92.667260999999996</v>
      </c>
      <c r="F1119" cm="1">
        <f t="array" aca="1" ref="F1119" ca="1">[1]!s_west_mediannetprofit($B$1,YEAR($A1119),$A1119,180,1000000)</f>
        <v>-55</v>
      </c>
      <c r="G1119" cm="1">
        <f t="array" aca="1" ref="G1119" ca="1">[1]!s_west_netprofit($B$1,YEAR($A1119)+1,$A1119,180,1000000)</f>
        <v>-75.224000000000004</v>
      </c>
      <c r="H1119" cm="1">
        <f t="array" aca="1" ref="H1119" ca="1">[1]!s_west_eps($B$1,YEAR($A1119)+1,$A1119,180)</f>
        <v>-8.3900000000000002E-2</v>
      </c>
      <c r="I1119" cm="1">
        <f t="array" aca="1" ref="I1119" ca="1">[1]!s_west_instnum_np($B$1,YEAR($A1119)+1,$A1119,180)</f>
        <v>10</v>
      </c>
      <c r="J1119" cm="1">
        <f t="array" aca="1" ref="J1119" ca="1">[1]!s_west_stdnetprofit($B$1,YEAR($A1119)+1,$A1119,180,1000000)</f>
        <v>76.634511000000003</v>
      </c>
      <c r="K1119" cm="1">
        <f t="array" aca="1" ref="K1119" ca="1">[1]!s_west_mediannetprofit($B$1,YEAR($A1118)+1,$A1118,180,1000000)</f>
        <v>-58.5</v>
      </c>
      <c r="L1119" cm="1">
        <f t="array" aca="1" ref="L1119" ca="1">[1]!s_dq_close($B$1,$A1119,3)</f>
        <v>22.6</v>
      </c>
    </row>
    <row r="1120" spans="1:12">
      <c r="A1120" s="23">
        <f t="shared" ca="1" si="17"/>
        <v>45055</v>
      </c>
      <c r="B1120" cm="1">
        <f t="array" aca="1" ref="B1120" ca="1">[1]!s_west_netprofit($B$1,YEAR($A1120),$A1120,180,1000000)</f>
        <v>-88.224545000000006</v>
      </c>
      <c r="C1120" cm="1">
        <f t="array" aca="1" ref="C1120" ca="1">[1]!s_west_eps($B$1,YEAR($A1120),$A1120,180)</f>
        <v>-0.1019</v>
      </c>
      <c r="D1120" cm="1">
        <f t="array" aca="1" ref="D1120" ca="1">[1]!s_west_instnum_np($B$1,YEAR($A1120),$A1120,180)</f>
        <v>11</v>
      </c>
      <c r="E1120" cm="1">
        <f t="array" aca="1" ref="E1120" ca="1">[1]!s_west_stdnetprofit($B$1,YEAR($A1120),$A1120,180,1000000)</f>
        <v>92.667260999999996</v>
      </c>
      <c r="F1120" cm="1">
        <f t="array" aca="1" ref="F1120" ca="1">[1]!s_west_mediannetprofit($B$1,YEAR($A1120),$A1120,180,1000000)</f>
        <v>-55</v>
      </c>
      <c r="G1120" cm="1">
        <f t="array" aca="1" ref="G1120" ca="1">[1]!s_west_netprofit($B$1,YEAR($A1120)+1,$A1120,180,1000000)</f>
        <v>-75.224000000000004</v>
      </c>
      <c r="H1120" cm="1">
        <f t="array" aca="1" ref="H1120" ca="1">[1]!s_west_eps($B$1,YEAR($A1120)+1,$A1120,180)</f>
        <v>-8.3900000000000002E-2</v>
      </c>
      <c r="I1120" cm="1">
        <f t="array" aca="1" ref="I1120" ca="1">[1]!s_west_instnum_np($B$1,YEAR($A1120)+1,$A1120,180)</f>
        <v>10</v>
      </c>
      <c r="J1120" cm="1">
        <f t="array" aca="1" ref="J1120" ca="1">[1]!s_west_stdnetprofit($B$1,YEAR($A1120)+1,$A1120,180,1000000)</f>
        <v>76.634511000000003</v>
      </c>
      <c r="K1120" cm="1">
        <f t="array" aca="1" ref="K1120" ca="1">[1]!s_west_mediannetprofit($B$1,YEAR($A1119)+1,$A1119,180,1000000)</f>
        <v>-58.5</v>
      </c>
      <c r="L1120" cm="1">
        <f t="array" aca="1" ref="L1120" ca="1">[1]!s_dq_close($B$1,$A1120,3)</f>
        <v>23</v>
      </c>
    </row>
    <row r="1121" spans="1:12">
      <c r="A1121" s="23">
        <f t="shared" ca="1" si="17"/>
        <v>45054</v>
      </c>
      <c r="B1121" cm="1">
        <f t="array" aca="1" ref="B1121" ca="1">[1]!s_west_netprofit($B$1,YEAR($A1121),$A1121,180,1000000)</f>
        <v>-102.13800000000001</v>
      </c>
      <c r="C1121" cm="1">
        <f t="array" aca="1" ref="C1121" ca="1">[1]!s_west_eps($B$1,YEAR($A1121),$A1121,180)</f>
        <v>-0.1179</v>
      </c>
      <c r="D1121" cm="1">
        <f t="array" aca="1" ref="D1121" ca="1">[1]!s_west_instnum_np($B$1,YEAR($A1121),$A1121,180)</f>
        <v>12</v>
      </c>
      <c r="E1121" cm="1">
        <f t="array" aca="1" ref="E1121" ca="1">[1]!s_west_stdnetprofit($B$1,YEAR($A1121),$A1121,180,1000000)</f>
        <v>100.645792</v>
      </c>
      <c r="F1121" cm="1">
        <f t="array" aca="1" ref="F1121" ca="1">[1]!s_west_mediannetprofit($B$1,YEAR($A1121),$A1121,180,1000000)</f>
        <v>-96.6</v>
      </c>
      <c r="G1121" cm="1">
        <f t="array" aca="1" ref="G1121" ca="1">[1]!s_west_netprofit($B$1,YEAR($A1121)+1,$A1121,180,1000000)</f>
        <v>-82.120455000000007</v>
      </c>
      <c r="H1121" cm="1">
        <f t="array" aca="1" ref="H1121" ca="1">[1]!s_west_eps($B$1,YEAR($A1121)+1,$A1121,180)</f>
        <v>-9.1600000000000001E-2</v>
      </c>
      <c r="I1121" cm="1">
        <f t="array" aca="1" ref="I1121" ca="1">[1]!s_west_instnum_np($B$1,YEAR($A1121)+1,$A1121,180)</f>
        <v>11</v>
      </c>
      <c r="J1121" cm="1">
        <f t="array" aca="1" ref="J1121" ca="1">[1]!s_west_stdnetprofit($B$1,YEAR($A1121)+1,$A1121,180,1000000)</f>
        <v>76.215059999999994</v>
      </c>
      <c r="K1121" cm="1">
        <f t="array" aca="1" ref="K1121" ca="1">[1]!s_west_mediannetprofit($B$1,YEAR($A1120)+1,$A1120,180,1000000)</f>
        <v>-58.5</v>
      </c>
      <c r="L1121" cm="1">
        <f t="array" aca="1" ref="L1121" ca="1">[1]!s_dq_close($B$1,$A1121,3)</f>
        <v>24.65</v>
      </c>
    </row>
    <row r="1122" spans="1:12">
      <c r="A1122" s="23">
        <f t="shared" ca="1" si="17"/>
        <v>45053</v>
      </c>
      <c r="B1122" cm="1">
        <f t="array" aca="1" ref="B1122" ca="1">[1]!s_west_netprofit($B$1,YEAR($A1122),$A1122,180,1000000)</f>
        <v>-102.13800000000001</v>
      </c>
      <c r="C1122" cm="1">
        <f t="array" aca="1" ref="C1122" ca="1">[1]!s_west_eps($B$1,YEAR($A1122),$A1122,180)</f>
        <v>-0.1179</v>
      </c>
      <c r="D1122" cm="1">
        <f t="array" aca="1" ref="D1122" ca="1">[1]!s_west_instnum_np($B$1,YEAR($A1122),$A1122,180)</f>
        <v>12</v>
      </c>
      <c r="E1122" cm="1">
        <f t="array" aca="1" ref="E1122" ca="1">[1]!s_west_stdnetprofit($B$1,YEAR($A1122),$A1122,180,1000000)</f>
        <v>100.645792</v>
      </c>
      <c r="F1122" cm="1">
        <f t="array" aca="1" ref="F1122" ca="1">[1]!s_west_mediannetprofit($B$1,YEAR($A1122),$A1122,180,1000000)</f>
        <v>-96.6</v>
      </c>
      <c r="G1122" cm="1">
        <f t="array" aca="1" ref="G1122" ca="1">[1]!s_west_netprofit($B$1,YEAR($A1122)+1,$A1122,180,1000000)</f>
        <v>-82.120455000000007</v>
      </c>
      <c r="H1122" cm="1">
        <f t="array" aca="1" ref="H1122" ca="1">[1]!s_west_eps($B$1,YEAR($A1122)+1,$A1122,180)</f>
        <v>-9.1600000000000001E-2</v>
      </c>
      <c r="I1122" cm="1">
        <f t="array" aca="1" ref="I1122" ca="1">[1]!s_west_instnum_np($B$1,YEAR($A1122)+1,$A1122,180)</f>
        <v>11</v>
      </c>
      <c r="J1122" cm="1">
        <f t="array" aca="1" ref="J1122" ca="1">[1]!s_west_stdnetprofit($B$1,YEAR($A1122)+1,$A1122,180,1000000)</f>
        <v>76.215059999999994</v>
      </c>
      <c r="K1122" cm="1">
        <f t="array" aca="1" ref="K1122" ca="1">[1]!s_west_mediannetprofit($B$1,YEAR($A1121)+1,$A1121,180,1000000)</f>
        <v>-65</v>
      </c>
      <c r="L1122" cm="1">
        <f t="array" aca="1" ref="L1122" ca="1">[1]!s_dq_close($B$1,$A1122,3)</f>
        <v>25.15</v>
      </c>
    </row>
    <row r="1123" spans="1:12">
      <c r="A1123" s="23">
        <f t="shared" ca="1" si="17"/>
        <v>45052</v>
      </c>
      <c r="B1123" cm="1">
        <f t="array" aca="1" ref="B1123" ca="1">[1]!s_west_netprofit($B$1,YEAR($A1123),$A1123,180,1000000)</f>
        <v>-102.13800000000001</v>
      </c>
      <c r="C1123" cm="1">
        <f t="array" aca="1" ref="C1123" ca="1">[1]!s_west_eps($B$1,YEAR($A1123),$A1123,180)</f>
        <v>-0.1179</v>
      </c>
      <c r="D1123" cm="1">
        <f t="array" aca="1" ref="D1123" ca="1">[1]!s_west_instnum_np($B$1,YEAR($A1123),$A1123,180)</f>
        <v>12</v>
      </c>
      <c r="E1123" cm="1">
        <f t="array" aca="1" ref="E1123" ca="1">[1]!s_west_stdnetprofit($B$1,YEAR($A1123),$A1123,180,1000000)</f>
        <v>100.645792</v>
      </c>
      <c r="F1123" cm="1">
        <f t="array" aca="1" ref="F1123" ca="1">[1]!s_west_mediannetprofit($B$1,YEAR($A1123),$A1123,180,1000000)</f>
        <v>-96.6</v>
      </c>
      <c r="G1123" cm="1">
        <f t="array" aca="1" ref="G1123" ca="1">[1]!s_west_netprofit($B$1,YEAR($A1123)+1,$A1123,180,1000000)</f>
        <v>-82.120455000000007</v>
      </c>
      <c r="H1123" cm="1">
        <f t="array" aca="1" ref="H1123" ca="1">[1]!s_west_eps($B$1,YEAR($A1123)+1,$A1123,180)</f>
        <v>-9.1600000000000001E-2</v>
      </c>
      <c r="I1123" cm="1">
        <f t="array" aca="1" ref="I1123" ca="1">[1]!s_west_instnum_np($B$1,YEAR($A1123)+1,$A1123,180)</f>
        <v>11</v>
      </c>
      <c r="J1123" cm="1">
        <f t="array" aca="1" ref="J1123" ca="1">[1]!s_west_stdnetprofit($B$1,YEAR($A1123)+1,$A1123,180,1000000)</f>
        <v>76.215059999999994</v>
      </c>
      <c r="K1123" cm="1">
        <f t="array" aca="1" ref="K1123" ca="1">[1]!s_west_mediannetprofit($B$1,YEAR($A1122)+1,$A1122,180,1000000)</f>
        <v>-65</v>
      </c>
      <c r="L1123" cm="1">
        <f t="array" aca="1" ref="L1123" ca="1">[1]!s_dq_close($B$1,$A1123,3)</f>
        <v>25.15</v>
      </c>
    </row>
    <row r="1124" spans="1:12">
      <c r="A1124" s="23">
        <f t="shared" ca="1" si="17"/>
        <v>45051</v>
      </c>
      <c r="B1124" cm="1">
        <f t="array" aca="1" ref="B1124" ca="1">[1]!s_west_netprofit($B$1,YEAR($A1124),$A1124,180,1000000)</f>
        <v>-102.13800000000001</v>
      </c>
      <c r="C1124" cm="1">
        <f t="array" aca="1" ref="C1124" ca="1">[1]!s_west_eps($B$1,YEAR($A1124),$A1124,180)</f>
        <v>-0.1179</v>
      </c>
      <c r="D1124" cm="1">
        <f t="array" aca="1" ref="D1124" ca="1">[1]!s_west_instnum_np($B$1,YEAR($A1124),$A1124,180)</f>
        <v>12</v>
      </c>
      <c r="E1124" cm="1">
        <f t="array" aca="1" ref="E1124" ca="1">[1]!s_west_stdnetprofit($B$1,YEAR($A1124),$A1124,180,1000000)</f>
        <v>100.645792</v>
      </c>
      <c r="F1124" cm="1">
        <f t="array" aca="1" ref="F1124" ca="1">[1]!s_west_mediannetprofit($B$1,YEAR($A1124),$A1124,180,1000000)</f>
        <v>-96.6</v>
      </c>
      <c r="G1124" cm="1">
        <f t="array" aca="1" ref="G1124" ca="1">[1]!s_west_netprofit($B$1,YEAR($A1124)+1,$A1124,180,1000000)</f>
        <v>-82.120455000000007</v>
      </c>
      <c r="H1124" cm="1">
        <f t="array" aca="1" ref="H1124" ca="1">[1]!s_west_eps($B$1,YEAR($A1124)+1,$A1124,180)</f>
        <v>-9.1600000000000001E-2</v>
      </c>
      <c r="I1124" cm="1">
        <f t="array" aca="1" ref="I1124" ca="1">[1]!s_west_instnum_np($B$1,YEAR($A1124)+1,$A1124,180)</f>
        <v>11</v>
      </c>
      <c r="J1124" cm="1">
        <f t="array" aca="1" ref="J1124" ca="1">[1]!s_west_stdnetprofit($B$1,YEAR($A1124)+1,$A1124,180,1000000)</f>
        <v>76.215059999999994</v>
      </c>
      <c r="K1124" cm="1">
        <f t="array" aca="1" ref="K1124" ca="1">[1]!s_west_mediannetprofit($B$1,YEAR($A1123)+1,$A1123,180,1000000)</f>
        <v>-65</v>
      </c>
      <c r="L1124" cm="1">
        <f t="array" aca="1" ref="L1124" ca="1">[1]!s_dq_close($B$1,$A1124,3)</f>
        <v>25.15</v>
      </c>
    </row>
    <row r="1125" spans="1:12">
      <c r="A1125" s="23">
        <f t="shared" ca="1" si="17"/>
        <v>45050</v>
      </c>
      <c r="B1125" cm="1">
        <f t="array" aca="1" ref="B1125" ca="1">[1]!s_west_netprofit($B$1,YEAR($A1125),$A1125,180,1000000)</f>
        <v>-102.13800000000001</v>
      </c>
      <c r="C1125" cm="1">
        <f t="array" aca="1" ref="C1125" ca="1">[1]!s_west_eps($B$1,YEAR($A1125),$A1125,180)</f>
        <v>-0.1179</v>
      </c>
      <c r="D1125" cm="1">
        <f t="array" aca="1" ref="D1125" ca="1">[1]!s_west_instnum_np($B$1,YEAR($A1125),$A1125,180)</f>
        <v>12</v>
      </c>
      <c r="E1125" cm="1">
        <f t="array" aca="1" ref="E1125" ca="1">[1]!s_west_stdnetprofit($B$1,YEAR($A1125),$A1125,180,1000000)</f>
        <v>100.645792</v>
      </c>
      <c r="F1125" cm="1">
        <f t="array" aca="1" ref="F1125" ca="1">[1]!s_west_mediannetprofit($B$1,YEAR($A1125),$A1125,180,1000000)</f>
        <v>-96.6</v>
      </c>
      <c r="G1125" cm="1">
        <f t="array" aca="1" ref="G1125" ca="1">[1]!s_west_netprofit($B$1,YEAR($A1125)+1,$A1125,180,1000000)</f>
        <v>-82.120455000000007</v>
      </c>
      <c r="H1125" cm="1">
        <f t="array" aca="1" ref="H1125" ca="1">[1]!s_west_eps($B$1,YEAR($A1125)+1,$A1125,180)</f>
        <v>-9.1600000000000001E-2</v>
      </c>
      <c r="I1125" cm="1">
        <f t="array" aca="1" ref="I1125" ca="1">[1]!s_west_instnum_np($B$1,YEAR($A1125)+1,$A1125,180)</f>
        <v>11</v>
      </c>
      <c r="J1125" cm="1">
        <f t="array" aca="1" ref="J1125" ca="1">[1]!s_west_stdnetprofit($B$1,YEAR($A1125)+1,$A1125,180,1000000)</f>
        <v>76.215059999999994</v>
      </c>
      <c r="K1125" cm="1">
        <f t="array" aca="1" ref="K1125" ca="1">[1]!s_west_mediannetprofit($B$1,YEAR($A1124)+1,$A1124,180,1000000)</f>
        <v>-65</v>
      </c>
      <c r="L1125" cm="1">
        <f t="array" aca="1" ref="L1125" ca="1">[1]!s_dq_close($B$1,$A1125,3)</f>
        <v>24.35</v>
      </c>
    </row>
    <row r="1126" spans="1:12">
      <c r="A1126" s="23">
        <f t="shared" ca="1" si="17"/>
        <v>45049</v>
      </c>
      <c r="B1126" cm="1">
        <f t="array" aca="1" ref="B1126" ca="1">[1]!s_west_netprofit($B$1,YEAR($A1126),$A1126,180,1000000)</f>
        <v>-102.13800000000001</v>
      </c>
      <c r="C1126" cm="1">
        <f t="array" aca="1" ref="C1126" ca="1">[1]!s_west_eps($B$1,YEAR($A1126),$A1126,180)</f>
        <v>-0.1179</v>
      </c>
      <c r="D1126" cm="1">
        <f t="array" aca="1" ref="D1126" ca="1">[1]!s_west_instnum_np($B$1,YEAR($A1126),$A1126,180)</f>
        <v>12</v>
      </c>
      <c r="E1126" cm="1">
        <f t="array" aca="1" ref="E1126" ca="1">[1]!s_west_stdnetprofit($B$1,YEAR($A1126),$A1126,180,1000000)</f>
        <v>100.645792</v>
      </c>
      <c r="F1126" cm="1">
        <f t="array" aca="1" ref="F1126" ca="1">[1]!s_west_mediannetprofit($B$1,YEAR($A1126),$A1126,180,1000000)</f>
        <v>-96.6</v>
      </c>
      <c r="G1126" cm="1">
        <f t="array" aca="1" ref="G1126" ca="1">[1]!s_west_netprofit($B$1,YEAR($A1126)+1,$A1126,180,1000000)</f>
        <v>-82.120455000000007</v>
      </c>
      <c r="H1126" cm="1">
        <f t="array" aca="1" ref="H1126" ca="1">[1]!s_west_eps($B$1,YEAR($A1126)+1,$A1126,180)</f>
        <v>-9.1600000000000001E-2</v>
      </c>
      <c r="I1126" cm="1">
        <f t="array" aca="1" ref="I1126" ca="1">[1]!s_west_instnum_np($B$1,YEAR($A1126)+1,$A1126,180)</f>
        <v>11</v>
      </c>
      <c r="J1126" cm="1">
        <f t="array" aca="1" ref="J1126" ca="1">[1]!s_west_stdnetprofit($B$1,YEAR($A1126)+1,$A1126,180,1000000)</f>
        <v>76.215059999999994</v>
      </c>
      <c r="K1126" cm="1">
        <f t="array" aca="1" ref="K1126" ca="1">[1]!s_west_mediannetprofit($B$1,YEAR($A1125)+1,$A1125,180,1000000)</f>
        <v>-65</v>
      </c>
      <c r="L1126" cm="1">
        <f t="array" aca="1" ref="L1126" ca="1">[1]!s_dq_close($B$1,$A1126,3)</f>
        <v>23.35</v>
      </c>
    </row>
    <row r="1127" spans="1:12">
      <c r="A1127" s="23">
        <f t="shared" ca="1" si="17"/>
        <v>45048</v>
      </c>
      <c r="B1127" cm="1">
        <f t="array" aca="1" ref="B1127" ca="1">[1]!s_west_netprofit($B$1,YEAR($A1127),$A1127,180,1000000)</f>
        <v>-102.13800000000001</v>
      </c>
      <c r="C1127" cm="1">
        <f t="array" aca="1" ref="C1127" ca="1">[1]!s_west_eps($B$1,YEAR($A1127),$A1127,180)</f>
        <v>-0.1179</v>
      </c>
      <c r="D1127" cm="1">
        <f t="array" aca="1" ref="D1127" ca="1">[1]!s_west_instnum_np($B$1,YEAR($A1127),$A1127,180)</f>
        <v>12</v>
      </c>
      <c r="E1127" cm="1">
        <f t="array" aca="1" ref="E1127" ca="1">[1]!s_west_stdnetprofit($B$1,YEAR($A1127),$A1127,180,1000000)</f>
        <v>100.645792</v>
      </c>
      <c r="F1127" cm="1">
        <f t="array" aca="1" ref="F1127" ca="1">[1]!s_west_mediannetprofit($B$1,YEAR($A1127),$A1127,180,1000000)</f>
        <v>-96.6</v>
      </c>
      <c r="G1127" cm="1">
        <f t="array" aca="1" ref="G1127" ca="1">[1]!s_west_netprofit($B$1,YEAR($A1127)+1,$A1127,180,1000000)</f>
        <v>-82.120455000000007</v>
      </c>
      <c r="H1127" cm="1">
        <f t="array" aca="1" ref="H1127" ca="1">[1]!s_west_eps($B$1,YEAR($A1127)+1,$A1127,180)</f>
        <v>-9.1600000000000001E-2</v>
      </c>
      <c r="I1127" cm="1">
        <f t="array" aca="1" ref="I1127" ca="1">[1]!s_west_instnum_np($B$1,YEAR($A1127)+1,$A1127,180)</f>
        <v>11</v>
      </c>
      <c r="J1127" cm="1">
        <f t="array" aca="1" ref="J1127" ca="1">[1]!s_west_stdnetprofit($B$1,YEAR($A1127)+1,$A1127,180,1000000)</f>
        <v>76.215059999999994</v>
      </c>
      <c r="K1127" cm="1">
        <f t="array" aca="1" ref="K1127" ca="1">[1]!s_west_mediannetprofit($B$1,YEAR($A1126)+1,$A1126,180,1000000)</f>
        <v>-65</v>
      </c>
      <c r="L1127" cm="1">
        <f t="array" aca="1" ref="L1127" ca="1">[1]!s_dq_close($B$1,$A1127,3)</f>
        <v>23.6</v>
      </c>
    </row>
    <row r="1128" spans="1:12">
      <c r="A1128" s="23">
        <f t="shared" ca="1" si="17"/>
        <v>45047</v>
      </c>
      <c r="B1128" cm="1">
        <f t="array" aca="1" ref="B1128" ca="1">[1]!s_west_netprofit($B$1,YEAR($A1128),$A1128,180,1000000)</f>
        <v>-102.13800000000001</v>
      </c>
      <c r="C1128" cm="1">
        <f t="array" aca="1" ref="C1128" ca="1">[1]!s_west_eps($B$1,YEAR($A1128),$A1128,180)</f>
        <v>-0.1179</v>
      </c>
      <c r="D1128" cm="1">
        <f t="array" aca="1" ref="D1128" ca="1">[1]!s_west_instnum_np($B$1,YEAR($A1128),$A1128,180)</f>
        <v>12</v>
      </c>
      <c r="E1128" cm="1">
        <f t="array" aca="1" ref="E1128" ca="1">[1]!s_west_stdnetprofit($B$1,YEAR($A1128),$A1128,180,1000000)</f>
        <v>100.645792</v>
      </c>
      <c r="F1128" cm="1">
        <f t="array" aca="1" ref="F1128" ca="1">[1]!s_west_mediannetprofit($B$1,YEAR($A1128),$A1128,180,1000000)</f>
        <v>-96.6</v>
      </c>
      <c r="G1128" cm="1">
        <f t="array" aca="1" ref="G1128" ca="1">[1]!s_west_netprofit($B$1,YEAR($A1128)+1,$A1128,180,1000000)</f>
        <v>-82.120455000000007</v>
      </c>
      <c r="H1128" cm="1">
        <f t="array" aca="1" ref="H1128" ca="1">[1]!s_west_eps($B$1,YEAR($A1128)+1,$A1128,180)</f>
        <v>-9.1600000000000001E-2</v>
      </c>
      <c r="I1128" cm="1">
        <f t="array" aca="1" ref="I1128" ca="1">[1]!s_west_instnum_np($B$1,YEAR($A1128)+1,$A1128,180)</f>
        <v>11</v>
      </c>
      <c r="J1128" cm="1">
        <f t="array" aca="1" ref="J1128" ca="1">[1]!s_west_stdnetprofit($B$1,YEAR($A1128)+1,$A1128,180,1000000)</f>
        <v>76.215059999999994</v>
      </c>
      <c r="K1128" cm="1">
        <f t="array" aca="1" ref="K1128" ca="1">[1]!s_west_mediannetprofit($B$1,YEAR($A1127)+1,$A1127,180,1000000)</f>
        <v>-65</v>
      </c>
      <c r="L1128" cm="1">
        <f t="array" aca="1" ref="L1128" ca="1">[1]!s_dq_close($B$1,$A1128,3)</f>
        <v>24.05</v>
      </c>
    </row>
    <row r="1129" spans="1:12">
      <c r="A1129" s="23">
        <f t="shared" ca="1" si="17"/>
        <v>45046</v>
      </c>
      <c r="B1129" cm="1">
        <f t="array" aca="1" ref="B1129" ca="1">[1]!s_west_netprofit($B$1,YEAR($A1129),$A1129,180,1000000)</f>
        <v>-102.13800000000001</v>
      </c>
      <c r="C1129" cm="1">
        <f t="array" aca="1" ref="C1129" ca="1">[1]!s_west_eps($B$1,YEAR($A1129),$A1129,180)</f>
        <v>-0.1179</v>
      </c>
      <c r="D1129" cm="1">
        <f t="array" aca="1" ref="D1129" ca="1">[1]!s_west_instnum_np($B$1,YEAR($A1129),$A1129,180)</f>
        <v>12</v>
      </c>
      <c r="E1129" cm="1">
        <f t="array" aca="1" ref="E1129" ca="1">[1]!s_west_stdnetprofit($B$1,YEAR($A1129),$A1129,180,1000000)</f>
        <v>100.645792</v>
      </c>
      <c r="F1129" cm="1">
        <f t="array" aca="1" ref="F1129" ca="1">[1]!s_west_mediannetprofit($B$1,YEAR($A1129),$A1129,180,1000000)</f>
        <v>-96.6</v>
      </c>
      <c r="G1129" cm="1">
        <f t="array" aca="1" ref="G1129" ca="1">[1]!s_west_netprofit($B$1,YEAR($A1129)+1,$A1129,180,1000000)</f>
        <v>-82.120455000000007</v>
      </c>
      <c r="H1129" cm="1">
        <f t="array" aca="1" ref="H1129" ca="1">[1]!s_west_eps($B$1,YEAR($A1129)+1,$A1129,180)</f>
        <v>-9.1600000000000001E-2</v>
      </c>
      <c r="I1129" cm="1">
        <f t="array" aca="1" ref="I1129" ca="1">[1]!s_west_instnum_np($B$1,YEAR($A1129)+1,$A1129,180)</f>
        <v>11</v>
      </c>
      <c r="J1129" cm="1">
        <f t="array" aca="1" ref="J1129" ca="1">[1]!s_west_stdnetprofit($B$1,YEAR($A1129)+1,$A1129,180,1000000)</f>
        <v>76.215059999999994</v>
      </c>
      <c r="K1129" cm="1">
        <f t="array" aca="1" ref="K1129" ca="1">[1]!s_west_mediannetprofit($B$1,YEAR($A1128)+1,$A1128,180,1000000)</f>
        <v>-65</v>
      </c>
      <c r="L1129" cm="1">
        <f t="array" aca="1" ref="L1129" ca="1">[1]!s_dq_close($B$1,$A1129,3)</f>
        <v>24.05</v>
      </c>
    </row>
    <row r="1130" spans="1:12">
      <c r="A1130" s="23">
        <f t="shared" ca="1" si="17"/>
        <v>45045</v>
      </c>
      <c r="B1130" cm="1">
        <f t="array" aca="1" ref="B1130" ca="1">[1]!s_west_netprofit($B$1,YEAR($A1130),$A1130,180,1000000)</f>
        <v>-102.13800000000001</v>
      </c>
      <c r="C1130" cm="1">
        <f t="array" aca="1" ref="C1130" ca="1">[1]!s_west_eps($B$1,YEAR($A1130),$A1130,180)</f>
        <v>-0.1181</v>
      </c>
      <c r="D1130" cm="1">
        <f t="array" aca="1" ref="D1130" ca="1">[1]!s_west_instnum_np($B$1,YEAR($A1130),$A1130,180)</f>
        <v>12</v>
      </c>
      <c r="E1130" cm="1">
        <f t="array" aca="1" ref="E1130" ca="1">[1]!s_west_stdnetprofit($B$1,YEAR($A1130),$A1130,180,1000000)</f>
        <v>100.645792</v>
      </c>
      <c r="F1130" cm="1">
        <f t="array" aca="1" ref="F1130" ca="1">[1]!s_west_mediannetprofit($B$1,YEAR($A1130),$A1130,180,1000000)</f>
        <v>-96.6</v>
      </c>
      <c r="G1130" cm="1">
        <f t="array" aca="1" ref="G1130" ca="1">[1]!s_west_netprofit($B$1,YEAR($A1130)+1,$A1130,180,1000000)</f>
        <v>-82.120455000000007</v>
      </c>
      <c r="H1130" cm="1">
        <f t="array" aca="1" ref="H1130" ca="1">[1]!s_west_eps($B$1,YEAR($A1130)+1,$A1130,180)</f>
        <v>-9.1600000000000001E-2</v>
      </c>
      <c r="I1130" cm="1">
        <f t="array" aca="1" ref="I1130" ca="1">[1]!s_west_instnum_np($B$1,YEAR($A1130)+1,$A1130,180)</f>
        <v>11</v>
      </c>
      <c r="J1130" cm="1">
        <f t="array" aca="1" ref="J1130" ca="1">[1]!s_west_stdnetprofit($B$1,YEAR($A1130)+1,$A1130,180,1000000)</f>
        <v>76.215059999999994</v>
      </c>
      <c r="K1130" cm="1">
        <f t="array" aca="1" ref="K1130" ca="1">[1]!s_west_mediannetprofit($B$1,YEAR($A1129)+1,$A1129,180,1000000)</f>
        <v>-65</v>
      </c>
      <c r="L1130" cm="1">
        <f t="array" aca="1" ref="L1130" ca="1">[1]!s_dq_close($B$1,$A1130,3)</f>
        <v>24.05</v>
      </c>
    </row>
    <row r="1131" spans="1:12">
      <c r="A1131" s="23">
        <f t="shared" ca="1" si="17"/>
        <v>45044</v>
      </c>
      <c r="B1131" cm="1">
        <f t="array" aca="1" ref="B1131" ca="1">[1]!s_west_netprofit($B$1,YEAR($A1131),$A1131,180,1000000)</f>
        <v>-102.13800000000001</v>
      </c>
      <c r="C1131" cm="1">
        <f t="array" aca="1" ref="C1131" ca="1">[1]!s_west_eps($B$1,YEAR($A1131),$A1131,180)</f>
        <v>-0.1181</v>
      </c>
      <c r="D1131" cm="1">
        <f t="array" aca="1" ref="D1131" ca="1">[1]!s_west_instnum_np($B$1,YEAR($A1131),$A1131,180)</f>
        <v>12</v>
      </c>
      <c r="E1131" cm="1">
        <f t="array" aca="1" ref="E1131" ca="1">[1]!s_west_stdnetprofit($B$1,YEAR($A1131),$A1131,180,1000000)</f>
        <v>100.645792</v>
      </c>
      <c r="F1131" cm="1">
        <f t="array" aca="1" ref="F1131" ca="1">[1]!s_west_mediannetprofit($B$1,YEAR($A1131),$A1131,180,1000000)</f>
        <v>-96.6</v>
      </c>
      <c r="G1131" cm="1">
        <f t="array" aca="1" ref="G1131" ca="1">[1]!s_west_netprofit($B$1,YEAR($A1131)+1,$A1131,180,1000000)</f>
        <v>-82.120455000000007</v>
      </c>
      <c r="H1131" cm="1">
        <f t="array" aca="1" ref="H1131" ca="1">[1]!s_west_eps($B$1,YEAR($A1131)+1,$A1131,180)</f>
        <v>-9.1600000000000001E-2</v>
      </c>
      <c r="I1131" cm="1">
        <f t="array" aca="1" ref="I1131" ca="1">[1]!s_west_instnum_np($B$1,YEAR($A1131)+1,$A1131,180)</f>
        <v>11</v>
      </c>
      <c r="J1131" cm="1">
        <f t="array" aca="1" ref="J1131" ca="1">[1]!s_west_stdnetprofit($B$1,YEAR($A1131)+1,$A1131,180,1000000)</f>
        <v>76.215059999999994</v>
      </c>
      <c r="K1131" cm="1">
        <f t="array" aca="1" ref="K1131" ca="1">[1]!s_west_mediannetprofit($B$1,YEAR($A1130)+1,$A1130,180,1000000)</f>
        <v>-65</v>
      </c>
      <c r="L1131" cm="1">
        <f t="array" aca="1" ref="L1131" ca="1">[1]!s_dq_close($B$1,$A1131,3)</f>
        <v>24.05</v>
      </c>
    </row>
    <row r="1132" spans="1:12">
      <c r="A1132" s="23">
        <f t="shared" ca="1" si="17"/>
        <v>45043</v>
      </c>
      <c r="B1132" cm="1">
        <f t="array" aca="1" ref="B1132" ca="1">[1]!s_west_netprofit($B$1,YEAR($A1132),$A1132,180,1000000)</f>
        <v>-102.13800000000001</v>
      </c>
      <c r="C1132" cm="1">
        <f t="array" aca="1" ref="C1132" ca="1">[1]!s_west_eps($B$1,YEAR($A1132),$A1132,180)</f>
        <v>-0.1181</v>
      </c>
      <c r="D1132" cm="1">
        <f t="array" aca="1" ref="D1132" ca="1">[1]!s_west_instnum_np($B$1,YEAR($A1132),$A1132,180)</f>
        <v>12</v>
      </c>
      <c r="E1132" cm="1">
        <f t="array" aca="1" ref="E1132" ca="1">[1]!s_west_stdnetprofit($B$1,YEAR($A1132),$A1132,180,1000000)</f>
        <v>100.645792</v>
      </c>
      <c r="F1132" cm="1">
        <f t="array" aca="1" ref="F1132" ca="1">[1]!s_west_mediannetprofit($B$1,YEAR($A1132),$A1132,180,1000000)</f>
        <v>-96.6</v>
      </c>
      <c r="G1132" cm="1">
        <f t="array" aca="1" ref="G1132" ca="1">[1]!s_west_netprofit($B$1,YEAR($A1132)+1,$A1132,180,1000000)</f>
        <v>-82.120455000000007</v>
      </c>
      <c r="H1132" cm="1">
        <f t="array" aca="1" ref="H1132" ca="1">[1]!s_west_eps($B$1,YEAR($A1132)+1,$A1132,180)</f>
        <v>-9.1600000000000001E-2</v>
      </c>
      <c r="I1132" cm="1">
        <f t="array" aca="1" ref="I1132" ca="1">[1]!s_west_instnum_np($B$1,YEAR($A1132)+1,$A1132,180)</f>
        <v>11</v>
      </c>
      <c r="J1132" cm="1">
        <f t="array" aca="1" ref="J1132" ca="1">[1]!s_west_stdnetprofit($B$1,YEAR($A1132)+1,$A1132,180,1000000)</f>
        <v>76.215059999999994</v>
      </c>
      <c r="K1132" cm="1">
        <f t="array" aca="1" ref="K1132" ca="1">[1]!s_west_mediannetprofit($B$1,YEAR($A1131)+1,$A1131,180,1000000)</f>
        <v>-65</v>
      </c>
      <c r="L1132" cm="1">
        <f t="array" aca="1" ref="L1132" ca="1">[1]!s_dq_close($B$1,$A1132,3)</f>
        <v>24.1</v>
      </c>
    </row>
    <row r="1133" spans="1:12">
      <c r="A1133" s="23">
        <f t="shared" ca="1" si="17"/>
        <v>45042</v>
      </c>
      <c r="B1133" cm="1">
        <f t="array" aca="1" ref="B1133" ca="1">[1]!s_west_netprofit($B$1,YEAR($A1133),$A1133,180,1000000)</f>
        <v>-102.13800000000001</v>
      </c>
      <c r="C1133" cm="1">
        <f t="array" aca="1" ref="C1133" ca="1">[1]!s_west_eps($B$1,YEAR($A1133),$A1133,180)</f>
        <v>-0.1181</v>
      </c>
      <c r="D1133" cm="1">
        <f t="array" aca="1" ref="D1133" ca="1">[1]!s_west_instnum_np($B$1,YEAR($A1133),$A1133,180)</f>
        <v>12</v>
      </c>
      <c r="E1133" cm="1">
        <f t="array" aca="1" ref="E1133" ca="1">[1]!s_west_stdnetprofit($B$1,YEAR($A1133),$A1133,180,1000000)</f>
        <v>100.645792</v>
      </c>
      <c r="F1133" cm="1">
        <f t="array" aca="1" ref="F1133" ca="1">[1]!s_west_mediannetprofit($B$1,YEAR($A1133),$A1133,180,1000000)</f>
        <v>-96.6</v>
      </c>
      <c r="G1133" cm="1">
        <f t="array" aca="1" ref="G1133" ca="1">[1]!s_west_netprofit($B$1,YEAR($A1133)+1,$A1133,180,1000000)</f>
        <v>-82.120455000000007</v>
      </c>
      <c r="H1133" cm="1">
        <f t="array" aca="1" ref="H1133" ca="1">[1]!s_west_eps($B$1,YEAR($A1133)+1,$A1133,180)</f>
        <v>-9.1600000000000001E-2</v>
      </c>
      <c r="I1133" cm="1">
        <f t="array" aca="1" ref="I1133" ca="1">[1]!s_west_instnum_np($B$1,YEAR($A1133)+1,$A1133,180)</f>
        <v>11</v>
      </c>
      <c r="J1133" cm="1">
        <f t="array" aca="1" ref="J1133" ca="1">[1]!s_west_stdnetprofit($B$1,YEAR($A1133)+1,$A1133,180,1000000)</f>
        <v>76.215059999999994</v>
      </c>
      <c r="K1133" cm="1">
        <f t="array" aca="1" ref="K1133" ca="1">[1]!s_west_mediannetprofit($B$1,YEAR($A1132)+1,$A1132,180,1000000)</f>
        <v>-65</v>
      </c>
      <c r="L1133" cm="1">
        <f t="array" aca="1" ref="L1133" ca="1">[1]!s_dq_close($B$1,$A1133,3)</f>
        <v>24.3</v>
      </c>
    </row>
    <row r="1134" spans="1:12">
      <c r="A1134" s="23">
        <f t="shared" ca="1" si="17"/>
        <v>45041</v>
      </c>
      <c r="B1134" cm="1">
        <f t="array" aca="1" ref="B1134" ca="1">[1]!s_west_netprofit($B$1,YEAR($A1134),$A1134,180,1000000)</f>
        <v>-102.13800000000001</v>
      </c>
      <c r="C1134" cm="1">
        <f t="array" aca="1" ref="C1134" ca="1">[1]!s_west_eps($B$1,YEAR($A1134),$A1134,180)</f>
        <v>-0.1181</v>
      </c>
      <c r="D1134" cm="1">
        <f t="array" aca="1" ref="D1134" ca="1">[1]!s_west_instnum_np($B$1,YEAR($A1134),$A1134,180)</f>
        <v>12</v>
      </c>
      <c r="E1134" cm="1">
        <f t="array" aca="1" ref="E1134" ca="1">[1]!s_west_stdnetprofit($B$1,YEAR($A1134),$A1134,180,1000000)</f>
        <v>100.645792</v>
      </c>
      <c r="F1134" cm="1">
        <f t="array" aca="1" ref="F1134" ca="1">[1]!s_west_mediannetprofit($B$1,YEAR($A1134),$A1134,180,1000000)</f>
        <v>-96.6</v>
      </c>
      <c r="G1134" cm="1">
        <f t="array" aca="1" ref="G1134" ca="1">[1]!s_west_netprofit($B$1,YEAR($A1134)+1,$A1134,180,1000000)</f>
        <v>-82.120455000000007</v>
      </c>
      <c r="H1134" cm="1">
        <f t="array" aca="1" ref="H1134" ca="1">[1]!s_west_eps($B$1,YEAR($A1134)+1,$A1134,180)</f>
        <v>-9.1600000000000001E-2</v>
      </c>
      <c r="I1134" cm="1">
        <f t="array" aca="1" ref="I1134" ca="1">[1]!s_west_instnum_np($B$1,YEAR($A1134)+1,$A1134,180)</f>
        <v>11</v>
      </c>
      <c r="J1134" cm="1">
        <f t="array" aca="1" ref="J1134" ca="1">[1]!s_west_stdnetprofit($B$1,YEAR($A1134)+1,$A1134,180,1000000)</f>
        <v>76.215059999999994</v>
      </c>
      <c r="K1134" cm="1">
        <f t="array" aca="1" ref="K1134" ca="1">[1]!s_west_mediannetprofit($B$1,YEAR($A1133)+1,$A1133,180,1000000)</f>
        <v>-65</v>
      </c>
      <c r="L1134" cm="1">
        <f t="array" aca="1" ref="L1134" ca="1">[1]!s_dq_close($B$1,$A1134,3)</f>
        <v>24.95</v>
      </c>
    </row>
    <row r="1135" spans="1:12">
      <c r="A1135" s="23">
        <f t="shared" ca="1" si="17"/>
        <v>45040</v>
      </c>
      <c r="B1135" cm="1">
        <f t="array" aca="1" ref="B1135" ca="1">[1]!s_west_netprofit($B$1,YEAR($A1135),$A1135,180,1000000)</f>
        <v>-102.13800000000001</v>
      </c>
      <c r="C1135" cm="1">
        <f t="array" aca="1" ref="C1135" ca="1">[1]!s_west_eps($B$1,YEAR($A1135),$A1135,180)</f>
        <v>-0.1181</v>
      </c>
      <c r="D1135" cm="1">
        <f t="array" aca="1" ref="D1135" ca="1">[1]!s_west_instnum_np($B$1,YEAR($A1135),$A1135,180)</f>
        <v>12</v>
      </c>
      <c r="E1135" cm="1">
        <f t="array" aca="1" ref="E1135" ca="1">[1]!s_west_stdnetprofit($B$1,YEAR($A1135),$A1135,180,1000000)</f>
        <v>100.645792</v>
      </c>
      <c r="F1135" cm="1">
        <f t="array" aca="1" ref="F1135" ca="1">[1]!s_west_mediannetprofit($B$1,YEAR($A1135),$A1135,180,1000000)</f>
        <v>-96.6</v>
      </c>
      <c r="G1135" cm="1">
        <f t="array" aca="1" ref="G1135" ca="1">[1]!s_west_netprofit($B$1,YEAR($A1135)+1,$A1135,180,1000000)</f>
        <v>-82.120455000000007</v>
      </c>
      <c r="H1135" cm="1">
        <f t="array" aca="1" ref="H1135" ca="1">[1]!s_west_eps($B$1,YEAR($A1135)+1,$A1135,180)</f>
        <v>-9.1600000000000001E-2</v>
      </c>
      <c r="I1135" cm="1">
        <f t="array" aca="1" ref="I1135" ca="1">[1]!s_west_instnum_np($B$1,YEAR($A1135)+1,$A1135,180)</f>
        <v>11</v>
      </c>
      <c r="J1135" cm="1">
        <f t="array" aca="1" ref="J1135" ca="1">[1]!s_west_stdnetprofit($B$1,YEAR($A1135)+1,$A1135,180,1000000)</f>
        <v>76.215059999999994</v>
      </c>
      <c r="K1135" cm="1">
        <f t="array" aca="1" ref="K1135" ca="1">[1]!s_west_mediannetprofit($B$1,YEAR($A1134)+1,$A1134,180,1000000)</f>
        <v>-65</v>
      </c>
      <c r="L1135" cm="1">
        <f t="array" aca="1" ref="L1135" ca="1">[1]!s_dq_close($B$1,$A1135,3)</f>
        <v>26.45</v>
      </c>
    </row>
    <row r="1136" spans="1:12">
      <c r="A1136" s="23">
        <f t="shared" ca="1" si="17"/>
        <v>45039</v>
      </c>
      <c r="B1136" cm="1">
        <f t="array" aca="1" ref="B1136" ca="1">[1]!s_west_netprofit($B$1,YEAR($A1136),$A1136,180,1000000)</f>
        <v>-102.13800000000001</v>
      </c>
      <c r="C1136" cm="1">
        <f t="array" aca="1" ref="C1136" ca="1">[1]!s_west_eps($B$1,YEAR($A1136),$A1136,180)</f>
        <v>-0.1181</v>
      </c>
      <c r="D1136" cm="1">
        <f t="array" aca="1" ref="D1136" ca="1">[1]!s_west_instnum_np($B$1,YEAR($A1136),$A1136,180)</f>
        <v>12</v>
      </c>
      <c r="E1136" cm="1">
        <f t="array" aca="1" ref="E1136" ca="1">[1]!s_west_stdnetprofit($B$1,YEAR($A1136),$A1136,180,1000000)</f>
        <v>100.645792</v>
      </c>
      <c r="F1136" cm="1">
        <f t="array" aca="1" ref="F1136" ca="1">[1]!s_west_mediannetprofit($B$1,YEAR($A1136),$A1136,180,1000000)</f>
        <v>-96.6</v>
      </c>
      <c r="G1136" cm="1">
        <f t="array" aca="1" ref="G1136" ca="1">[1]!s_west_netprofit($B$1,YEAR($A1136)+1,$A1136,180,1000000)</f>
        <v>-82.120455000000007</v>
      </c>
      <c r="H1136" cm="1">
        <f t="array" aca="1" ref="H1136" ca="1">[1]!s_west_eps($B$1,YEAR($A1136)+1,$A1136,180)</f>
        <v>-9.1600000000000001E-2</v>
      </c>
      <c r="I1136" cm="1">
        <f t="array" aca="1" ref="I1136" ca="1">[1]!s_west_instnum_np($B$1,YEAR($A1136)+1,$A1136,180)</f>
        <v>11</v>
      </c>
      <c r="J1136" cm="1">
        <f t="array" aca="1" ref="J1136" ca="1">[1]!s_west_stdnetprofit($B$1,YEAR($A1136)+1,$A1136,180,1000000)</f>
        <v>76.215059999999994</v>
      </c>
      <c r="K1136" cm="1">
        <f t="array" aca="1" ref="K1136" ca="1">[1]!s_west_mediannetprofit($B$1,YEAR($A1135)+1,$A1135,180,1000000)</f>
        <v>-65</v>
      </c>
      <c r="L1136" cm="1">
        <f t="array" aca="1" ref="L1136" ca="1">[1]!s_dq_close($B$1,$A1136,3)</f>
        <v>26.1</v>
      </c>
    </row>
    <row r="1137" spans="1:12">
      <c r="A1137" s="23">
        <f t="shared" ca="1" si="17"/>
        <v>45038</v>
      </c>
      <c r="B1137" cm="1">
        <f t="array" aca="1" ref="B1137" ca="1">[1]!s_west_netprofit($B$1,YEAR($A1137),$A1137,180,1000000)</f>
        <v>-102.13800000000001</v>
      </c>
      <c r="C1137" cm="1">
        <f t="array" aca="1" ref="C1137" ca="1">[1]!s_west_eps($B$1,YEAR($A1137),$A1137,180)</f>
        <v>-0.1181</v>
      </c>
      <c r="D1137" cm="1">
        <f t="array" aca="1" ref="D1137" ca="1">[1]!s_west_instnum_np($B$1,YEAR($A1137),$A1137,180)</f>
        <v>12</v>
      </c>
      <c r="E1137" cm="1">
        <f t="array" aca="1" ref="E1137" ca="1">[1]!s_west_stdnetprofit($B$1,YEAR($A1137),$A1137,180,1000000)</f>
        <v>100.645792</v>
      </c>
      <c r="F1137" cm="1">
        <f t="array" aca="1" ref="F1137" ca="1">[1]!s_west_mediannetprofit($B$1,YEAR($A1137),$A1137,180,1000000)</f>
        <v>-96.6</v>
      </c>
      <c r="G1137" cm="1">
        <f t="array" aca="1" ref="G1137" ca="1">[1]!s_west_netprofit($B$1,YEAR($A1137)+1,$A1137,180,1000000)</f>
        <v>-82.120455000000007</v>
      </c>
      <c r="H1137" cm="1">
        <f t="array" aca="1" ref="H1137" ca="1">[1]!s_west_eps($B$1,YEAR($A1137)+1,$A1137,180)</f>
        <v>-9.1600000000000001E-2</v>
      </c>
      <c r="I1137" cm="1">
        <f t="array" aca="1" ref="I1137" ca="1">[1]!s_west_instnum_np($B$1,YEAR($A1137)+1,$A1137,180)</f>
        <v>11</v>
      </c>
      <c r="J1137" cm="1">
        <f t="array" aca="1" ref="J1137" ca="1">[1]!s_west_stdnetprofit($B$1,YEAR($A1137)+1,$A1137,180,1000000)</f>
        <v>76.215059999999994</v>
      </c>
      <c r="K1137" cm="1">
        <f t="array" aca="1" ref="K1137" ca="1">[1]!s_west_mediannetprofit($B$1,YEAR($A1136)+1,$A1136,180,1000000)</f>
        <v>-65</v>
      </c>
      <c r="L1137" cm="1">
        <f t="array" aca="1" ref="L1137" ca="1">[1]!s_dq_close($B$1,$A1137,3)</f>
        <v>26.1</v>
      </c>
    </row>
    <row r="1138" spans="1:12">
      <c r="A1138" s="23">
        <f t="shared" ca="1" si="17"/>
        <v>45037</v>
      </c>
      <c r="B1138" cm="1">
        <f t="array" aca="1" ref="B1138" ca="1">[1]!s_west_netprofit($B$1,YEAR($A1138),$A1138,180,1000000)</f>
        <v>-102.13800000000001</v>
      </c>
      <c r="C1138" cm="1">
        <f t="array" aca="1" ref="C1138" ca="1">[1]!s_west_eps($B$1,YEAR($A1138),$A1138,180)</f>
        <v>-0.1181</v>
      </c>
      <c r="D1138" cm="1">
        <f t="array" aca="1" ref="D1138" ca="1">[1]!s_west_instnum_np($B$1,YEAR($A1138),$A1138,180)</f>
        <v>12</v>
      </c>
      <c r="E1138" cm="1">
        <f t="array" aca="1" ref="E1138" ca="1">[1]!s_west_stdnetprofit($B$1,YEAR($A1138),$A1138,180,1000000)</f>
        <v>100.645792</v>
      </c>
      <c r="F1138" cm="1">
        <f t="array" aca="1" ref="F1138" ca="1">[1]!s_west_mediannetprofit($B$1,YEAR($A1138),$A1138,180,1000000)</f>
        <v>-96.6</v>
      </c>
      <c r="G1138" cm="1">
        <f t="array" aca="1" ref="G1138" ca="1">[1]!s_west_netprofit($B$1,YEAR($A1138)+1,$A1138,180,1000000)</f>
        <v>-82.120455000000007</v>
      </c>
      <c r="H1138" cm="1">
        <f t="array" aca="1" ref="H1138" ca="1">[1]!s_west_eps($B$1,YEAR($A1138)+1,$A1138,180)</f>
        <v>-9.1600000000000001E-2</v>
      </c>
      <c r="I1138" cm="1">
        <f t="array" aca="1" ref="I1138" ca="1">[1]!s_west_instnum_np($B$1,YEAR($A1138)+1,$A1138,180)</f>
        <v>11</v>
      </c>
      <c r="J1138" cm="1">
        <f t="array" aca="1" ref="J1138" ca="1">[1]!s_west_stdnetprofit($B$1,YEAR($A1138)+1,$A1138,180,1000000)</f>
        <v>76.215059999999994</v>
      </c>
      <c r="K1138" cm="1">
        <f t="array" aca="1" ref="K1138" ca="1">[1]!s_west_mediannetprofit($B$1,YEAR($A1137)+1,$A1137,180,1000000)</f>
        <v>-65</v>
      </c>
      <c r="L1138" cm="1">
        <f t="array" aca="1" ref="L1138" ca="1">[1]!s_dq_close($B$1,$A1138,3)</f>
        <v>26.1</v>
      </c>
    </row>
    <row r="1139" spans="1:12">
      <c r="A1139" s="23">
        <f t="shared" ca="1" si="17"/>
        <v>45036</v>
      </c>
      <c r="B1139" cm="1">
        <f t="array" aca="1" ref="B1139" ca="1">[1]!s_west_netprofit($B$1,YEAR($A1139),$A1139,180,1000000)</f>
        <v>-102.13800000000001</v>
      </c>
      <c r="C1139" cm="1">
        <f t="array" aca="1" ref="C1139" ca="1">[1]!s_west_eps($B$1,YEAR($A1139),$A1139,180)</f>
        <v>-0.1181</v>
      </c>
      <c r="D1139" cm="1">
        <f t="array" aca="1" ref="D1139" ca="1">[1]!s_west_instnum_np($B$1,YEAR($A1139),$A1139,180)</f>
        <v>12</v>
      </c>
      <c r="E1139" cm="1">
        <f t="array" aca="1" ref="E1139" ca="1">[1]!s_west_stdnetprofit($B$1,YEAR($A1139),$A1139,180,1000000)</f>
        <v>100.645792</v>
      </c>
      <c r="F1139" cm="1">
        <f t="array" aca="1" ref="F1139" ca="1">[1]!s_west_mediannetprofit($B$1,YEAR($A1139),$A1139,180,1000000)</f>
        <v>-96.6</v>
      </c>
      <c r="G1139" cm="1">
        <f t="array" aca="1" ref="G1139" ca="1">[1]!s_west_netprofit($B$1,YEAR($A1139)+1,$A1139,180,1000000)</f>
        <v>-82.120455000000007</v>
      </c>
      <c r="H1139" cm="1">
        <f t="array" aca="1" ref="H1139" ca="1">[1]!s_west_eps($B$1,YEAR($A1139)+1,$A1139,180)</f>
        <v>-9.1600000000000001E-2</v>
      </c>
      <c r="I1139" cm="1">
        <f t="array" aca="1" ref="I1139" ca="1">[1]!s_west_instnum_np($B$1,YEAR($A1139)+1,$A1139,180)</f>
        <v>11</v>
      </c>
      <c r="J1139" cm="1">
        <f t="array" aca="1" ref="J1139" ca="1">[1]!s_west_stdnetprofit($B$1,YEAR($A1139)+1,$A1139,180,1000000)</f>
        <v>76.215059999999994</v>
      </c>
      <c r="K1139" cm="1">
        <f t="array" aca="1" ref="K1139" ca="1">[1]!s_west_mediannetprofit($B$1,YEAR($A1138)+1,$A1138,180,1000000)</f>
        <v>-65</v>
      </c>
      <c r="L1139" cm="1">
        <f t="array" aca="1" ref="L1139" ca="1">[1]!s_dq_close($B$1,$A1139,3)</f>
        <v>26.05</v>
      </c>
    </row>
    <row r="1140" spans="1:12">
      <c r="A1140" s="23">
        <f t="shared" ca="1" si="17"/>
        <v>45035</v>
      </c>
      <c r="B1140" cm="1">
        <f t="array" aca="1" ref="B1140" ca="1">[1]!s_west_netprofit($B$1,YEAR($A1140),$A1140,180,1000000)</f>
        <v>-102.13800000000001</v>
      </c>
      <c r="C1140" cm="1">
        <f t="array" aca="1" ref="C1140" ca="1">[1]!s_west_eps($B$1,YEAR($A1140),$A1140,180)</f>
        <v>-0.1181</v>
      </c>
      <c r="D1140" cm="1">
        <f t="array" aca="1" ref="D1140" ca="1">[1]!s_west_instnum_np($B$1,YEAR($A1140),$A1140,180)</f>
        <v>12</v>
      </c>
      <c r="E1140" cm="1">
        <f t="array" aca="1" ref="E1140" ca="1">[1]!s_west_stdnetprofit($B$1,YEAR($A1140),$A1140,180,1000000)</f>
        <v>100.645792</v>
      </c>
      <c r="F1140" cm="1">
        <f t="array" aca="1" ref="F1140" ca="1">[1]!s_west_mediannetprofit($B$1,YEAR($A1140),$A1140,180,1000000)</f>
        <v>-96.6</v>
      </c>
      <c r="G1140" cm="1">
        <f t="array" aca="1" ref="G1140" ca="1">[1]!s_west_netprofit($B$1,YEAR($A1140)+1,$A1140,180,1000000)</f>
        <v>-82.120455000000007</v>
      </c>
      <c r="H1140" cm="1">
        <f t="array" aca="1" ref="H1140" ca="1">[1]!s_west_eps($B$1,YEAR($A1140)+1,$A1140,180)</f>
        <v>-9.1600000000000001E-2</v>
      </c>
      <c r="I1140" cm="1">
        <f t="array" aca="1" ref="I1140" ca="1">[1]!s_west_instnum_np($B$1,YEAR($A1140)+1,$A1140,180)</f>
        <v>11</v>
      </c>
      <c r="J1140" cm="1">
        <f t="array" aca="1" ref="J1140" ca="1">[1]!s_west_stdnetprofit($B$1,YEAR($A1140)+1,$A1140,180,1000000)</f>
        <v>76.215059999999994</v>
      </c>
      <c r="K1140" cm="1">
        <f t="array" aca="1" ref="K1140" ca="1">[1]!s_west_mediannetprofit($B$1,YEAR($A1139)+1,$A1139,180,1000000)</f>
        <v>-65</v>
      </c>
      <c r="L1140" cm="1">
        <f t="array" aca="1" ref="L1140" ca="1">[1]!s_dq_close($B$1,$A1140,3)</f>
        <v>27.2</v>
      </c>
    </row>
    <row r="1141" spans="1:12">
      <c r="A1141" s="23">
        <f t="shared" ca="1" si="17"/>
        <v>45034</v>
      </c>
      <c r="B1141" cm="1">
        <f t="array" aca="1" ref="B1141" ca="1">[1]!s_west_netprofit($B$1,YEAR($A1141),$A1141,180,1000000)</f>
        <v>-96.765600000000006</v>
      </c>
      <c r="C1141" cm="1">
        <f t="array" aca="1" ref="C1141" ca="1">[1]!s_west_eps($B$1,YEAR($A1141),$A1141,180)</f>
        <v>-0.1119</v>
      </c>
      <c r="D1141" cm="1">
        <f t="array" aca="1" ref="D1141" ca="1">[1]!s_west_instnum_np($B$1,YEAR($A1141),$A1141,180)</f>
        <v>10</v>
      </c>
      <c r="E1141" cm="1">
        <f t="array" aca="1" ref="E1141" ca="1">[1]!s_west_stdnetprofit($B$1,YEAR($A1141),$A1141,180,1000000)</f>
        <v>104.743904</v>
      </c>
      <c r="F1141" cm="1">
        <f t="array" aca="1" ref="F1141" ca="1">[1]!s_west_mediannetprofit($B$1,YEAR($A1141),$A1141,180,1000000)</f>
        <v>-93.1</v>
      </c>
      <c r="G1141" cm="1">
        <f t="array" aca="1" ref="G1141" ca="1">[1]!s_west_netprofit($B$1,YEAR($A1141)+1,$A1141,180,1000000)</f>
        <v>-84.480556000000007</v>
      </c>
      <c r="H1141" cm="1">
        <f t="array" aca="1" ref="H1141" ca="1">[1]!s_west_eps($B$1,YEAR($A1141)+1,$A1141,180)</f>
        <v>-9.3600000000000003E-2</v>
      </c>
      <c r="I1141" cm="1">
        <f t="array" aca="1" ref="I1141" ca="1">[1]!s_west_instnum_np($B$1,YEAR($A1141)+1,$A1141,180)</f>
        <v>9</v>
      </c>
      <c r="J1141" cm="1">
        <f t="array" aca="1" ref="J1141" ca="1">[1]!s_west_stdnetprofit($B$1,YEAR($A1141)+1,$A1141,180,1000000)</f>
        <v>84.447569000000001</v>
      </c>
      <c r="K1141" cm="1">
        <f t="array" aca="1" ref="K1141" ca="1">[1]!s_west_mediannetprofit($B$1,YEAR($A1140)+1,$A1140,180,1000000)</f>
        <v>-65</v>
      </c>
      <c r="L1141" cm="1">
        <f t="array" aca="1" ref="L1141" ca="1">[1]!s_dq_close($B$1,$A1141,3)</f>
        <v>27.55</v>
      </c>
    </row>
    <row r="1142" spans="1:12">
      <c r="A1142" s="23">
        <f t="shared" ca="1" si="17"/>
        <v>45033</v>
      </c>
      <c r="B1142" cm="1">
        <f t="array" aca="1" ref="B1142" ca="1">[1]!s_west_netprofit($B$1,YEAR($A1142),$A1142,180,1000000)</f>
        <v>-96.765600000000006</v>
      </c>
      <c r="C1142" cm="1">
        <f t="array" aca="1" ref="C1142" ca="1">[1]!s_west_eps($B$1,YEAR($A1142),$A1142,180)</f>
        <v>-0.1119</v>
      </c>
      <c r="D1142" cm="1">
        <f t="array" aca="1" ref="D1142" ca="1">[1]!s_west_instnum_np($B$1,YEAR($A1142),$A1142,180)</f>
        <v>10</v>
      </c>
      <c r="E1142" cm="1">
        <f t="array" aca="1" ref="E1142" ca="1">[1]!s_west_stdnetprofit($B$1,YEAR($A1142),$A1142,180,1000000)</f>
        <v>104.743904</v>
      </c>
      <c r="F1142" cm="1">
        <f t="array" aca="1" ref="F1142" ca="1">[1]!s_west_mediannetprofit($B$1,YEAR($A1142),$A1142,180,1000000)</f>
        <v>-93.1</v>
      </c>
      <c r="G1142" cm="1">
        <f t="array" aca="1" ref="G1142" ca="1">[1]!s_west_netprofit($B$1,YEAR($A1142)+1,$A1142,180,1000000)</f>
        <v>-84.480556000000007</v>
      </c>
      <c r="H1142" cm="1">
        <f t="array" aca="1" ref="H1142" ca="1">[1]!s_west_eps($B$1,YEAR($A1142)+1,$A1142,180)</f>
        <v>-9.3600000000000003E-2</v>
      </c>
      <c r="I1142" cm="1">
        <f t="array" aca="1" ref="I1142" ca="1">[1]!s_west_instnum_np($B$1,YEAR($A1142)+1,$A1142,180)</f>
        <v>9</v>
      </c>
      <c r="J1142" cm="1">
        <f t="array" aca="1" ref="J1142" ca="1">[1]!s_west_stdnetprofit($B$1,YEAR($A1142)+1,$A1142,180,1000000)</f>
        <v>84.447569000000001</v>
      </c>
      <c r="K1142" cm="1">
        <f t="array" aca="1" ref="K1142" ca="1">[1]!s_west_mediannetprofit($B$1,YEAR($A1141)+1,$A1141,180,1000000)</f>
        <v>-65</v>
      </c>
      <c r="L1142" cm="1">
        <f t="array" aca="1" ref="L1142" ca="1">[1]!s_dq_close($B$1,$A1142,3)</f>
        <v>26.95</v>
      </c>
    </row>
    <row r="1143" spans="1:12">
      <c r="A1143" s="23">
        <f t="shared" ca="1" si="17"/>
        <v>45032</v>
      </c>
      <c r="B1143" cm="1">
        <f t="array" aca="1" ref="B1143" ca="1">[1]!s_west_netprofit($B$1,YEAR($A1143),$A1143,180,1000000)</f>
        <v>-96.765600000000006</v>
      </c>
      <c r="C1143" cm="1">
        <f t="array" aca="1" ref="C1143" ca="1">[1]!s_west_eps($B$1,YEAR($A1143),$A1143,180)</f>
        <v>-0.1119</v>
      </c>
      <c r="D1143" cm="1">
        <f t="array" aca="1" ref="D1143" ca="1">[1]!s_west_instnum_np($B$1,YEAR($A1143),$A1143,180)</f>
        <v>10</v>
      </c>
      <c r="E1143" cm="1">
        <f t="array" aca="1" ref="E1143" ca="1">[1]!s_west_stdnetprofit($B$1,YEAR($A1143),$A1143,180,1000000)</f>
        <v>104.743904</v>
      </c>
      <c r="F1143" cm="1">
        <f t="array" aca="1" ref="F1143" ca="1">[1]!s_west_mediannetprofit($B$1,YEAR($A1143),$A1143,180,1000000)</f>
        <v>-93.1</v>
      </c>
      <c r="G1143" cm="1">
        <f t="array" aca="1" ref="G1143" ca="1">[1]!s_west_netprofit($B$1,YEAR($A1143)+1,$A1143,180,1000000)</f>
        <v>-84.480556000000007</v>
      </c>
      <c r="H1143" cm="1">
        <f t="array" aca="1" ref="H1143" ca="1">[1]!s_west_eps($B$1,YEAR($A1143)+1,$A1143,180)</f>
        <v>-9.3600000000000003E-2</v>
      </c>
      <c r="I1143" cm="1">
        <f t="array" aca="1" ref="I1143" ca="1">[1]!s_west_instnum_np($B$1,YEAR($A1143)+1,$A1143,180)</f>
        <v>9</v>
      </c>
      <c r="J1143" cm="1">
        <f t="array" aca="1" ref="J1143" ca="1">[1]!s_west_stdnetprofit($B$1,YEAR($A1143)+1,$A1143,180,1000000)</f>
        <v>84.447569000000001</v>
      </c>
      <c r="K1143" cm="1">
        <f t="array" aca="1" ref="K1143" ca="1">[1]!s_west_mediannetprofit($B$1,YEAR($A1142)+1,$A1142,180,1000000)</f>
        <v>-65</v>
      </c>
      <c r="L1143" cm="1">
        <f t="array" aca="1" ref="L1143" ca="1">[1]!s_dq_close($B$1,$A1143,3)</f>
        <v>28.65</v>
      </c>
    </row>
    <row r="1144" spans="1:12">
      <c r="A1144" s="23">
        <f t="shared" ca="1" si="17"/>
        <v>45031</v>
      </c>
      <c r="B1144" cm="1">
        <f t="array" aca="1" ref="B1144" ca="1">[1]!s_west_netprofit($B$1,YEAR($A1144),$A1144,180,1000000)</f>
        <v>-96.765600000000006</v>
      </c>
      <c r="C1144" cm="1">
        <f t="array" aca="1" ref="C1144" ca="1">[1]!s_west_eps($B$1,YEAR($A1144),$A1144,180)</f>
        <v>-0.1119</v>
      </c>
      <c r="D1144" cm="1">
        <f t="array" aca="1" ref="D1144" ca="1">[1]!s_west_instnum_np($B$1,YEAR($A1144),$A1144,180)</f>
        <v>10</v>
      </c>
      <c r="E1144" cm="1">
        <f t="array" aca="1" ref="E1144" ca="1">[1]!s_west_stdnetprofit($B$1,YEAR($A1144),$A1144,180,1000000)</f>
        <v>104.743904</v>
      </c>
      <c r="F1144" cm="1">
        <f t="array" aca="1" ref="F1144" ca="1">[1]!s_west_mediannetprofit($B$1,YEAR($A1144),$A1144,180,1000000)</f>
        <v>-93.1</v>
      </c>
      <c r="G1144" cm="1">
        <f t="array" aca="1" ref="G1144" ca="1">[1]!s_west_netprofit($B$1,YEAR($A1144)+1,$A1144,180,1000000)</f>
        <v>-84.480556000000007</v>
      </c>
      <c r="H1144" cm="1">
        <f t="array" aca="1" ref="H1144" ca="1">[1]!s_west_eps($B$1,YEAR($A1144)+1,$A1144,180)</f>
        <v>-9.3600000000000003E-2</v>
      </c>
      <c r="I1144" cm="1">
        <f t="array" aca="1" ref="I1144" ca="1">[1]!s_west_instnum_np($B$1,YEAR($A1144)+1,$A1144,180)</f>
        <v>9</v>
      </c>
      <c r="J1144" cm="1">
        <f t="array" aca="1" ref="J1144" ca="1">[1]!s_west_stdnetprofit($B$1,YEAR($A1144)+1,$A1144,180,1000000)</f>
        <v>84.447569000000001</v>
      </c>
      <c r="K1144" cm="1">
        <f t="array" aca="1" ref="K1144" ca="1">[1]!s_west_mediannetprofit($B$1,YEAR($A1143)+1,$A1143,180,1000000)</f>
        <v>-65</v>
      </c>
      <c r="L1144" cm="1">
        <f t="array" aca="1" ref="L1144" ca="1">[1]!s_dq_close($B$1,$A1144,3)</f>
        <v>28.65</v>
      </c>
    </row>
    <row r="1145" spans="1:12">
      <c r="A1145" s="23">
        <f t="shared" ca="1" si="17"/>
        <v>45030</v>
      </c>
      <c r="B1145" cm="1">
        <f t="array" aca="1" ref="B1145" ca="1">[1]!s_west_netprofit($B$1,YEAR($A1145),$A1145,180,1000000)</f>
        <v>-96.765600000000006</v>
      </c>
      <c r="C1145" cm="1">
        <f t="array" aca="1" ref="C1145" ca="1">[1]!s_west_eps($B$1,YEAR($A1145),$A1145,180)</f>
        <v>-0.1119</v>
      </c>
      <c r="D1145" cm="1">
        <f t="array" aca="1" ref="D1145" ca="1">[1]!s_west_instnum_np($B$1,YEAR($A1145),$A1145,180)</f>
        <v>10</v>
      </c>
      <c r="E1145" cm="1">
        <f t="array" aca="1" ref="E1145" ca="1">[1]!s_west_stdnetprofit($B$1,YEAR($A1145),$A1145,180,1000000)</f>
        <v>104.743904</v>
      </c>
      <c r="F1145" cm="1">
        <f t="array" aca="1" ref="F1145" ca="1">[1]!s_west_mediannetprofit($B$1,YEAR($A1145),$A1145,180,1000000)</f>
        <v>-93.1</v>
      </c>
      <c r="G1145" cm="1">
        <f t="array" aca="1" ref="G1145" ca="1">[1]!s_west_netprofit($B$1,YEAR($A1145)+1,$A1145,180,1000000)</f>
        <v>-84.480556000000007</v>
      </c>
      <c r="H1145" cm="1">
        <f t="array" aca="1" ref="H1145" ca="1">[1]!s_west_eps($B$1,YEAR($A1145)+1,$A1145,180)</f>
        <v>-9.3600000000000003E-2</v>
      </c>
      <c r="I1145" cm="1">
        <f t="array" aca="1" ref="I1145" ca="1">[1]!s_west_instnum_np($B$1,YEAR($A1145)+1,$A1145,180)</f>
        <v>9</v>
      </c>
      <c r="J1145" cm="1">
        <f t="array" aca="1" ref="J1145" ca="1">[1]!s_west_stdnetprofit($B$1,YEAR($A1145)+1,$A1145,180,1000000)</f>
        <v>84.447569000000001</v>
      </c>
      <c r="K1145" cm="1">
        <f t="array" aca="1" ref="K1145" ca="1">[1]!s_west_mediannetprofit($B$1,YEAR($A1144)+1,$A1144,180,1000000)</f>
        <v>-65</v>
      </c>
      <c r="L1145" cm="1">
        <f t="array" aca="1" ref="L1145" ca="1">[1]!s_dq_close($B$1,$A1145,3)</f>
        <v>28.65</v>
      </c>
    </row>
    <row r="1146" spans="1:12">
      <c r="A1146" s="23">
        <f t="shared" ca="1" si="17"/>
        <v>45029</v>
      </c>
      <c r="B1146" cm="1">
        <f t="array" aca="1" ref="B1146" ca="1">[1]!s_west_netprofit($B$1,YEAR($A1146),$A1146,180,1000000)</f>
        <v>-96.765600000000006</v>
      </c>
      <c r="C1146" cm="1">
        <f t="array" aca="1" ref="C1146" ca="1">[1]!s_west_eps($B$1,YEAR($A1146),$A1146,180)</f>
        <v>-0.1119</v>
      </c>
      <c r="D1146" cm="1">
        <f t="array" aca="1" ref="D1146" ca="1">[1]!s_west_instnum_np($B$1,YEAR($A1146),$A1146,180)</f>
        <v>10</v>
      </c>
      <c r="E1146" cm="1">
        <f t="array" aca="1" ref="E1146" ca="1">[1]!s_west_stdnetprofit($B$1,YEAR($A1146),$A1146,180,1000000)</f>
        <v>104.743904</v>
      </c>
      <c r="F1146" cm="1">
        <f t="array" aca="1" ref="F1146" ca="1">[1]!s_west_mediannetprofit($B$1,YEAR($A1146),$A1146,180,1000000)</f>
        <v>-93.1</v>
      </c>
      <c r="G1146" cm="1">
        <f t="array" aca="1" ref="G1146" ca="1">[1]!s_west_netprofit($B$1,YEAR($A1146)+1,$A1146,180,1000000)</f>
        <v>-84.480556000000007</v>
      </c>
      <c r="H1146" cm="1">
        <f t="array" aca="1" ref="H1146" ca="1">[1]!s_west_eps($B$1,YEAR($A1146)+1,$A1146,180)</f>
        <v>-9.3600000000000003E-2</v>
      </c>
      <c r="I1146" cm="1">
        <f t="array" aca="1" ref="I1146" ca="1">[1]!s_west_instnum_np($B$1,YEAR($A1146)+1,$A1146,180)</f>
        <v>9</v>
      </c>
      <c r="J1146" cm="1">
        <f t="array" aca="1" ref="J1146" ca="1">[1]!s_west_stdnetprofit($B$1,YEAR($A1146)+1,$A1146,180,1000000)</f>
        <v>84.447569000000001</v>
      </c>
      <c r="K1146" cm="1">
        <f t="array" aca="1" ref="K1146" ca="1">[1]!s_west_mediannetprofit($B$1,YEAR($A1145)+1,$A1145,180,1000000)</f>
        <v>-65</v>
      </c>
      <c r="L1146" cm="1">
        <f t="array" aca="1" ref="L1146" ca="1">[1]!s_dq_close($B$1,$A1146,3)</f>
        <v>27.1</v>
      </c>
    </row>
    <row r="1147" spans="1:12">
      <c r="A1147" s="23">
        <f t="shared" ca="1" si="17"/>
        <v>45028</v>
      </c>
      <c r="B1147" cm="1">
        <f t="array" aca="1" ref="B1147" ca="1">[1]!s_west_netprofit($B$1,YEAR($A1147),$A1147,180,1000000)</f>
        <v>-96.765600000000006</v>
      </c>
      <c r="C1147" cm="1">
        <f t="array" aca="1" ref="C1147" ca="1">[1]!s_west_eps($B$1,YEAR($A1147),$A1147,180)</f>
        <v>-0.1119</v>
      </c>
      <c r="D1147" cm="1">
        <f t="array" aca="1" ref="D1147" ca="1">[1]!s_west_instnum_np($B$1,YEAR($A1147),$A1147,180)</f>
        <v>10</v>
      </c>
      <c r="E1147" cm="1">
        <f t="array" aca="1" ref="E1147" ca="1">[1]!s_west_stdnetprofit($B$1,YEAR($A1147),$A1147,180,1000000)</f>
        <v>104.743904</v>
      </c>
      <c r="F1147" cm="1">
        <f t="array" aca="1" ref="F1147" ca="1">[1]!s_west_mediannetprofit($B$1,YEAR($A1147),$A1147,180,1000000)</f>
        <v>-93.1</v>
      </c>
      <c r="G1147" cm="1">
        <f t="array" aca="1" ref="G1147" ca="1">[1]!s_west_netprofit($B$1,YEAR($A1147)+1,$A1147,180,1000000)</f>
        <v>-84.480556000000007</v>
      </c>
      <c r="H1147" cm="1">
        <f t="array" aca="1" ref="H1147" ca="1">[1]!s_west_eps($B$1,YEAR($A1147)+1,$A1147,180)</f>
        <v>-9.3600000000000003E-2</v>
      </c>
      <c r="I1147" cm="1">
        <f t="array" aca="1" ref="I1147" ca="1">[1]!s_west_instnum_np($B$1,YEAR($A1147)+1,$A1147,180)</f>
        <v>9</v>
      </c>
      <c r="J1147" cm="1">
        <f t="array" aca="1" ref="J1147" ca="1">[1]!s_west_stdnetprofit($B$1,YEAR($A1147)+1,$A1147,180,1000000)</f>
        <v>84.447569000000001</v>
      </c>
      <c r="K1147" cm="1">
        <f t="array" aca="1" ref="K1147" ca="1">[1]!s_west_mediannetprofit($B$1,YEAR($A1146)+1,$A1146,180,1000000)</f>
        <v>-65</v>
      </c>
      <c r="L1147" cm="1">
        <f t="array" aca="1" ref="L1147" ca="1">[1]!s_dq_close($B$1,$A1147,3)</f>
        <v>25</v>
      </c>
    </row>
    <row r="1148" spans="1:12">
      <c r="A1148" s="23">
        <f t="shared" ca="1" si="17"/>
        <v>45027</v>
      </c>
      <c r="B1148" cm="1">
        <f t="array" aca="1" ref="B1148" ca="1">[1]!s_west_netprofit($B$1,YEAR($A1148),$A1148,180,1000000)</f>
        <v>-96.765600000000006</v>
      </c>
      <c r="C1148" cm="1">
        <f t="array" aca="1" ref="C1148" ca="1">[1]!s_west_eps($B$1,YEAR($A1148),$A1148,180)</f>
        <v>-0.1119</v>
      </c>
      <c r="D1148" cm="1">
        <f t="array" aca="1" ref="D1148" ca="1">[1]!s_west_instnum_np($B$1,YEAR($A1148),$A1148,180)</f>
        <v>10</v>
      </c>
      <c r="E1148" cm="1">
        <f t="array" aca="1" ref="E1148" ca="1">[1]!s_west_stdnetprofit($B$1,YEAR($A1148),$A1148,180,1000000)</f>
        <v>104.743904</v>
      </c>
      <c r="F1148" cm="1">
        <f t="array" aca="1" ref="F1148" ca="1">[1]!s_west_mediannetprofit($B$1,YEAR($A1148),$A1148,180,1000000)</f>
        <v>-93.1</v>
      </c>
      <c r="G1148" cm="1">
        <f t="array" aca="1" ref="G1148" ca="1">[1]!s_west_netprofit($B$1,YEAR($A1148)+1,$A1148,180,1000000)</f>
        <v>-84.480556000000007</v>
      </c>
      <c r="H1148" cm="1">
        <f t="array" aca="1" ref="H1148" ca="1">[1]!s_west_eps($B$1,YEAR($A1148)+1,$A1148,180)</f>
        <v>-9.3600000000000003E-2</v>
      </c>
      <c r="I1148" cm="1">
        <f t="array" aca="1" ref="I1148" ca="1">[1]!s_west_instnum_np($B$1,YEAR($A1148)+1,$A1148,180)</f>
        <v>9</v>
      </c>
      <c r="J1148" cm="1">
        <f t="array" aca="1" ref="J1148" ca="1">[1]!s_west_stdnetprofit($B$1,YEAR($A1148)+1,$A1148,180,1000000)</f>
        <v>84.447569000000001</v>
      </c>
      <c r="K1148" cm="1">
        <f t="array" aca="1" ref="K1148" ca="1">[1]!s_west_mediannetprofit($B$1,YEAR($A1147)+1,$A1147,180,1000000)</f>
        <v>-65</v>
      </c>
      <c r="L1148" cm="1">
        <f t="array" aca="1" ref="L1148" ca="1">[1]!s_dq_close($B$1,$A1148,3)</f>
        <v>23.6</v>
      </c>
    </row>
    <row r="1149" spans="1:12">
      <c r="A1149" s="23">
        <f t="shared" ca="1" si="17"/>
        <v>45026</v>
      </c>
      <c r="B1149" cm="1">
        <f t="array" aca="1" ref="B1149" ca="1">[1]!s_west_netprofit($B$1,YEAR($A1149),$A1149,180,1000000)</f>
        <v>-96.765600000000006</v>
      </c>
      <c r="C1149" cm="1">
        <f t="array" aca="1" ref="C1149" ca="1">[1]!s_west_eps($B$1,YEAR($A1149),$A1149,180)</f>
        <v>-0.1119</v>
      </c>
      <c r="D1149" cm="1">
        <f t="array" aca="1" ref="D1149" ca="1">[1]!s_west_instnum_np($B$1,YEAR($A1149),$A1149,180)</f>
        <v>10</v>
      </c>
      <c r="E1149" cm="1">
        <f t="array" aca="1" ref="E1149" ca="1">[1]!s_west_stdnetprofit($B$1,YEAR($A1149),$A1149,180,1000000)</f>
        <v>104.743904</v>
      </c>
      <c r="F1149" cm="1">
        <f t="array" aca="1" ref="F1149" ca="1">[1]!s_west_mediannetprofit($B$1,YEAR($A1149),$A1149,180,1000000)</f>
        <v>-93.1</v>
      </c>
      <c r="G1149" cm="1">
        <f t="array" aca="1" ref="G1149" ca="1">[1]!s_west_netprofit($B$1,YEAR($A1149)+1,$A1149,180,1000000)</f>
        <v>-84.480556000000007</v>
      </c>
      <c r="H1149" cm="1">
        <f t="array" aca="1" ref="H1149" ca="1">[1]!s_west_eps($B$1,YEAR($A1149)+1,$A1149,180)</f>
        <v>-9.3600000000000003E-2</v>
      </c>
      <c r="I1149" cm="1">
        <f t="array" aca="1" ref="I1149" ca="1">[1]!s_west_instnum_np($B$1,YEAR($A1149)+1,$A1149,180)</f>
        <v>9</v>
      </c>
      <c r="J1149" cm="1">
        <f t="array" aca="1" ref="J1149" ca="1">[1]!s_west_stdnetprofit($B$1,YEAR($A1149)+1,$A1149,180,1000000)</f>
        <v>84.447569000000001</v>
      </c>
      <c r="K1149" cm="1">
        <f t="array" aca="1" ref="K1149" ca="1">[1]!s_west_mediannetprofit($B$1,YEAR($A1148)+1,$A1148,180,1000000)</f>
        <v>-65</v>
      </c>
      <c r="L1149" cm="1">
        <f t="array" aca="1" ref="L1149" ca="1">[1]!s_dq_close($B$1,$A1149,3)</f>
        <v>22.4</v>
      </c>
    </row>
    <row r="1150" spans="1:12">
      <c r="A1150" s="23">
        <f t="shared" ca="1" si="17"/>
        <v>45025</v>
      </c>
      <c r="B1150" cm="1">
        <f t="array" aca="1" ref="B1150" ca="1">[1]!s_west_netprofit($B$1,YEAR($A1150),$A1150,180,1000000)</f>
        <v>-96.765600000000006</v>
      </c>
      <c r="C1150" cm="1">
        <f t="array" aca="1" ref="C1150" ca="1">[1]!s_west_eps($B$1,YEAR($A1150),$A1150,180)</f>
        <v>-0.1119</v>
      </c>
      <c r="D1150" cm="1">
        <f t="array" aca="1" ref="D1150" ca="1">[1]!s_west_instnum_np($B$1,YEAR($A1150),$A1150,180)</f>
        <v>10</v>
      </c>
      <c r="E1150" cm="1">
        <f t="array" aca="1" ref="E1150" ca="1">[1]!s_west_stdnetprofit($B$1,YEAR($A1150),$A1150,180,1000000)</f>
        <v>104.743904</v>
      </c>
      <c r="F1150" cm="1">
        <f t="array" aca="1" ref="F1150" ca="1">[1]!s_west_mediannetprofit($B$1,YEAR($A1150),$A1150,180,1000000)</f>
        <v>-93.1</v>
      </c>
      <c r="G1150" cm="1">
        <f t="array" aca="1" ref="G1150" ca="1">[1]!s_west_netprofit($B$1,YEAR($A1150)+1,$A1150,180,1000000)</f>
        <v>-84.480556000000007</v>
      </c>
      <c r="H1150" cm="1">
        <f t="array" aca="1" ref="H1150" ca="1">[1]!s_west_eps($B$1,YEAR($A1150)+1,$A1150,180)</f>
        <v>-9.3600000000000003E-2</v>
      </c>
      <c r="I1150" cm="1">
        <f t="array" aca="1" ref="I1150" ca="1">[1]!s_west_instnum_np($B$1,YEAR($A1150)+1,$A1150,180)</f>
        <v>9</v>
      </c>
      <c r="J1150" cm="1">
        <f t="array" aca="1" ref="J1150" ca="1">[1]!s_west_stdnetprofit($B$1,YEAR($A1150)+1,$A1150,180,1000000)</f>
        <v>84.447569000000001</v>
      </c>
      <c r="K1150" cm="1">
        <f t="array" aca="1" ref="K1150" ca="1">[1]!s_west_mediannetprofit($B$1,YEAR($A1149)+1,$A1149,180,1000000)</f>
        <v>-65</v>
      </c>
      <c r="L1150" cm="1">
        <f t="array" aca="1" ref="L1150" ca="1">[1]!s_dq_close($B$1,$A1150,3)</f>
        <v>22.4</v>
      </c>
    </row>
    <row r="1151" spans="1:12">
      <c r="A1151" s="23">
        <f t="shared" ca="1" si="17"/>
        <v>45024</v>
      </c>
      <c r="B1151" cm="1">
        <f t="array" aca="1" ref="B1151" ca="1">[1]!s_west_netprofit($B$1,YEAR($A1151),$A1151,180,1000000)</f>
        <v>-96.765600000000006</v>
      </c>
      <c r="C1151" cm="1">
        <f t="array" aca="1" ref="C1151" ca="1">[1]!s_west_eps($B$1,YEAR($A1151),$A1151,180)</f>
        <v>-0.1119</v>
      </c>
      <c r="D1151" cm="1">
        <f t="array" aca="1" ref="D1151" ca="1">[1]!s_west_instnum_np($B$1,YEAR($A1151),$A1151,180)</f>
        <v>10</v>
      </c>
      <c r="E1151" cm="1">
        <f t="array" aca="1" ref="E1151" ca="1">[1]!s_west_stdnetprofit($B$1,YEAR($A1151),$A1151,180,1000000)</f>
        <v>104.743904</v>
      </c>
      <c r="F1151" cm="1">
        <f t="array" aca="1" ref="F1151" ca="1">[1]!s_west_mediannetprofit($B$1,YEAR($A1151),$A1151,180,1000000)</f>
        <v>-93.1</v>
      </c>
      <c r="G1151" cm="1">
        <f t="array" aca="1" ref="G1151" ca="1">[1]!s_west_netprofit($B$1,YEAR($A1151)+1,$A1151,180,1000000)</f>
        <v>-84.480556000000007</v>
      </c>
      <c r="H1151" cm="1">
        <f t="array" aca="1" ref="H1151" ca="1">[1]!s_west_eps($B$1,YEAR($A1151)+1,$A1151,180)</f>
        <v>-9.3600000000000003E-2</v>
      </c>
      <c r="I1151" cm="1">
        <f t="array" aca="1" ref="I1151" ca="1">[1]!s_west_instnum_np($B$1,YEAR($A1151)+1,$A1151,180)</f>
        <v>9</v>
      </c>
      <c r="J1151" cm="1">
        <f t="array" aca="1" ref="J1151" ca="1">[1]!s_west_stdnetprofit($B$1,YEAR($A1151)+1,$A1151,180,1000000)</f>
        <v>84.447569000000001</v>
      </c>
      <c r="K1151" cm="1">
        <f t="array" aca="1" ref="K1151" ca="1">[1]!s_west_mediannetprofit($B$1,YEAR($A1150)+1,$A1150,180,1000000)</f>
        <v>-65</v>
      </c>
      <c r="L1151" cm="1">
        <f t="array" aca="1" ref="L1151" ca="1">[1]!s_dq_close($B$1,$A1151,3)</f>
        <v>22.4</v>
      </c>
    </row>
    <row r="1152" spans="1:12">
      <c r="A1152" s="23">
        <f t="shared" ca="1" si="17"/>
        <v>45023</v>
      </c>
      <c r="B1152" cm="1">
        <f t="array" aca="1" ref="B1152" ca="1">[1]!s_west_netprofit($B$1,YEAR($A1152),$A1152,180,1000000)</f>
        <v>-96.765600000000006</v>
      </c>
      <c r="C1152" cm="1">
        <f t="array" aca="1" ref="C1152" ca="1">[1]!s_west_eps($B$1,YEAR($A1152),$A1152,180)</f>
        <v>-0.1119</v>
      </c>
      <c r="D1152" cm="1">
        <f t="array" aca="1" ref="D1152" ca="1">[1]!s_west_instnum_np($B$1,YEAR($A1152),$A1152,180)</f>
        <v>10</v>
      </c>
      <c r="E1152" cm="1">
        <f t="array" aca="1" ref="E1152" ca="1">[1]!s_west_stdnetprofit($B$1,YEAR($A1152),$A1152,180,1000000)</f>
        <v>104.743904</v>
      </c>
      <c r="F1152" cm="1">
        <f t="array" aca="1" ref="F1152" ca="1">[1]!s_west_mediannetprofit($B$1,YEAR($A1152),$A1152,180,1000000)</f>
        <v>-93.1</v>
      </c>
      <c r="G1152" cm="1">
        <f t="array" aca="1" ref="G1152" ca="1">[1]!s_west_netprofit($B$1,YEAR($A1152)+1,$A1152,180,1000000)</f>
        <v>-84.480556000000007</v>
      </c>
      <c r="H1152" cm="1">
        <f t="array" aca="1" ref="H1152" ca="1">[1]!s_west_eps($B$1,YEAR($A1152)+1,$A1152,180)</f>
        <v>-9.3600000000000003E-2</v>
      </c>
      <c r="I1152" cm="1">
        <f t="array" aca="1" ref="I1152" ca="1">[1]!s_west_instnum_np($B$1,YEAR($A1152)+1,$A1152,180)</f>
        <v>9</v>
      </c>
      <c r="J1152" cm="1">
        <f t="array" aca="1" ref="J1152" ca="1">[1]!s_west_stdnetprofit($B$1,YEAR($A1152)+1,$A1152,180,1000000)</f>
        <v>84.447569000000001</v>
      </c>
      <c r="K1152" cm="1">
        <f t="array" aca="1" ref="K1152" ca="1">[1]!s_west_mediannetprofit($B$1,YEAR($A1151)+1,$A1151,180,1000000)</f>
        <v>-65</v>
      </c>
      <c r="L1152" cm="1">
        <f t="array" aca="1" ref="L1152" ca="1">[1]!s_dq_close($B$1,$A1152,3)</f>
        <v>22.4</v>
      </c>
    </row>
    <row r="1153" spans="1:12">
      <c r="A1153" s="23">
        <f t="shared" ca="1" si="17"/>
        <v>45022</v>
      </c>
      <c r="B1153" cm="1">
        <f t="array" aca="1" ref="B1153" ca="1">[1]!s_west_netprofit($B$1,YEAR($A1153),$A1153,180,1000000)</f>
        <v>-96.765600000000006</v>
      </c>
      <c r="C1153" cm="1">
        <f t="array" aca="1" ref="C1153" ca="1">[1]!s_west_eps($B$1,YEAR($A1153),$A1153,180)</f>
        <v>-0.1119</v>
      </c>
      <c r="D1153" cm="1">
        <f t="array" aca="1" ref="D1153" ca="1">[1]!s_west_instnum_np($B$1,YEAR($A1153),$A1153,180)</f>
        <v>10</v>
      </c>
      <c r="E1153" cm="1">
        <f t="array" aca="1" ref="E1153" ca="1">[1]!s_west_stdnetprofit($B$1,YEAR($A1153),$A1153,180,1000000)</f>
        <v>104.743904</v>
      </c>
      <c r="F1153" cm="1">
        <f t="array" aca="1" ref="F1153" ca="1">[1]!s_west_mediannetprofit($B$1,YEAR($A1153),$A1153,180,1000000)</f>
        <v>-93.1</v>
      </c>
      <c r="G1153" cm="1">
        <f t="array" aca="1" ref="G1153" ca="1">[1]!s_west_netprofit($B$1,YEAR($A1153)+1,$A1153,180,1000000)</f>
        <v>-84.480556000000007</v>
      </c>
      <c r="H1153" cm="1">
        <f t="array" aca="1" ref="H1153" ca="1">[1]!s_west_eps($B$1,YEAR($A1153)+1,$A1153,180)</f>
        <v>-9.3600000000000003E-2</v>
      </c>
      <c r="I1153" cm="1">
        <f t="array" aca="1" ref="I1153" ca="1">[1]!s_west_instnum_np($B$1,YEAR($A1153)+1,$A1153,180)</f>
        <v>9</v>
      </c>
      <c r="J1153" cm="1">
        <f t="array" aca="1" ref="J1153" ca="1">[1]!s_west_stdnetprofit($B$1,YEAR($A1153)+1,$A1153,180,1000000)</f>
        <v>84.447569000000001</v>
      </c>
      <c r="K1153" cm="1">
        <f t="array" aca="1" ref="K1153" ca="1">[1]!s_west_mediannetprofit($B$1,YEAR($A1152)+1,$A1152,180,1000000)</f>
        <v>-65</v>
      </c>
      <c r="L1153" cm="1">
        <f t="array" aca="1" ref="L1153" ca="1">[1]!s_dq_close($B$1,$A1153,3)</f>
        <v>22.4</v>
      </c>
    </row>
    <row r="1154" spans="1:12">
      <c r="A1154" s="23">
        <f t="shared" ca="1" si="17"/>
        <v>45021</v>
      </c>
      <c r="B1154" cm="1">
        <f t="array" aca="1" ref="B1154" ca="1">[1]!s_west_netprofit($B$1,YEAR($A1154),$A1154,180,1000000)</f>
        <v>-96.765600000000006</v>
      </c>
      <c r="C1154" cm="1">
        <f t="array" aca="1" ref="C1154" ca="1">[1]!s_west_eps($B$1,YEAR($A1154),$A1154,180)</f>
        <v>-0.1119</v>
      </c>
      <c r="D1154" cm="1">
        <f t="array" aca="1" ref="D1154" ca="1">[1]!s_west_instnum_np($B$1,YEAR($A1154),$A1154,180)</f>
        <v>10</v>
      </c>
      <c r="E1154" cm="1">
        <f t="array" aca="1" ref="E1154" ca="1">[1]!s_west_stdnetprofit($B$1,YEAR($A1154),$A1154,180,1000000)</f>
        <v>104.743904</v>
      </c>
      <c r="F1154" cm="1">
        <f t="array" aca="1" ref="F1154" ca="1">[1]!s_west_mediannetprofit($B$1,YEAR($A1154),$A1154,180,1000000)</f>
        <v>-93.1</v>
      </c>
      <c r="G1154" cm="1">
        <f t="array" aca="1" ref="G1154" ca="1">[1]!s_west_netprofit($B$1,YEAR($A1154)+1,$A1154,180,1000000)</f>
        <v>-84.480556000000007</v>
      </c>
      <c r="H1154" cm="1">
        <f t="array" aca="1" ref="H1154" ca="1">[1]!s_west_eps($B$1,YEAR($A1154)+1,$A1154,180)</f>
        <v>-9.3600000000000003E-2</v>
      </c>
      <c r="I1154" cm="1">
        <f t="array" aca="1" ref="I1154" ca="1">[1]!s_west_instnum_np($B$1,YEAR($A1154)+1,$A1154,180)</f>
        <v>9</v>
      </c>
      <c r="J1154" cm="1">
        <f t="array" aca="1" ref="J1154" ca="1">[1]!s_west_stdnetprofit($B$1,YEAR($A1154)+1,$A1154,180,1000000)</f>
        <v>84.447569000000001</v>
      </c>
      <c r="K1154" cm="1">
        <f t="array" aca="1" ref="K1154" ca="1">[1]!s_west_mediannetprofit($B$1,YEAR($A1153)+1,$A1153,180,1000000)</f>
        <v>-65</v>
      </c>
      <c r="L1154" cm="1">
        <f t="array" aca="1" ref="L1154" ca="1">[1]!s_dq_close($B$1,$A1154,3)</f>
        <v>21.05</v>
      </c>
    </row>
    <row r="1155" spans="1:12">
      <c r="A1155" s="23">
        <f t="shared" ca="1" si="17"/>
        <v>45020</v>
      </c>
      <c r="B1155" cm="1">
        <f t="array" aca="1" ref="B1155" ca="1">[1]!s_west_netprofit($B$1,YEAR($A1155),$A1155,180,1000000)</f>
        <v>-96.765600000000006</v>
      </c>
      <c r="C1155" cm="1">
        <f t="array" aca="1" ref="C1155" ca="1">[1]!s_west_eps($B$1,YEAR($A1155),$A1155,180)</f>
        <v>-0.1119</v>
      </c>
      <c r="D1155" cm="1">
        <f t="array" aca="1" ref="D1155" ca="1">[1]!s_west_instnum_np($B$1,YEAR($A1155),$A1155,180)</f>
        <v>10</v>
      </c>
      <c r="E1155" cm="1">
        <f t="array" aca="1" ref="E1155" ca="1">[1]!s_west_stdnetprofit($B$1,YEAR($A1155),$A1155,180,1000000)</f>
        <v>104.743904</v>
      </c>
      <c r="F1155" cm="1">
        <f t="array" aca="1" ref="F1155" ca="1">[1]!s_west_mediannetprofit($B$1,YEAR($A1155),$A1155,180,1000000)</f>
        <v>-93.1</v>
      </c>
      <c r="G1155" cm="1">
        <f t="array" aca="1" ref="G1155" ca="1">[1]!s_west_netprofit($B$1,YEAR($A1155)+1,$A1155,180,1000000)</f>
        <v>-84.480556000000007</v>
      </c>
      <c r="H1155" cm="1">
        <f t="array" aca="1" ref="H1155" ca="1">[1]!s_west_eps($B$1,YEAR($A1155)+1,$A1155,180)</f>
        <v>-9.3600000000000003E-2</v>
      </c>
      <c r="I1155" cm="1">
        <f t="array" aca="1" ref="I1155" ca="1">[1]!s_west_instnum_np($B$1,YEAR($A1155)+1,$A1155,180)</f>
        <v>9</v>
      </c>
      <c r="J1155" cm="1">
        <f t="array" aca="1" ref="J1155" ca="1">[1]!s_west_stdnetprofit($B$1,YEAR($A1155)+1,$A1155,180,1000000)</f>
        <v>84.447569000000001</v>
      </c>
      <c r="K1155" cm="1">
        <f t="array" aca="1" ref="K1155" ca="1">[1]!s_west_mediannetprofit($B$1,YEAR($A1154)+1,$A1154,180,1000000)</f>
        <v>-65</v>
      </c>
      <c r="L1155" cm="1">
        <f t="array" aca="1" ref="L1155" ca="1">[1]!s_dq_close($B$1,$A1155,3)</f>
        <v>21.05</v>
      </c>
    </row>
    <row r="1156" spans="1:12">
      <c r="A1156" s="23">
        <f t="shared" ca="1" si="17"/>
        <v>45019</v>
      </c>
      <c r="B1156" cm="1">
        <f t="array" aca="1" ref="B1156" ca="1">[1]!s_west_netprofit($B$1,YEAR($A1156),$A1156,180,1000000)</f>
        <v>-96.765600000000006</v>
      </c>
      <c r="C1156" cm="1">
        <f t="array" aca="1" ref="C1156" ca="1">[1]!s_west_eps($B$1,YEAR($A1156),$A1156,180)</f>
        <v>-0.1119</v>
      </c>
      <c r="D1156" cm="1">
        <f t="array" aca="1" ref="D1156" ca="1">[1]!s_west_instnum_np($B$1,YEAR($A1156),$A1156,180)</f>
        <v>10</v>
      </c>
      <c r="E1156" cm="1">
        <f t="array" aca="1" ref="E1156" ca="1">[1]!s_west_stdnetprofit($B$1,YEAR($A1156),$A1156,180,1000000)</f>
        <v>104.743904</v>
      </c>
      <c r="F1156" cm="1">
        <f t="array" aca="1" ref="F1156" ca="1">[1]!s_west_mediannetprofit($B$1,YEAR($A1156),$A1156,180,1000000)</f>
        <v>-93.1</v>
      </c>
      <c r="G1156" cm="1">
        <f t="array" aca="1" ref="G1156" ca="1">[1]!s_west_netprofit($B$1,YEAR($A1156)+1,$A1156,180,1000000)</f>
        <v>-84.480556000000007</v>
      </c>
      <c r="H1156" cm="1">
        <f t="array" aca="1" ref="H1156" ca="1">[1]!s_west_eps($B$1,YEAR($A1156)+1,$A1156,180)</f>
        <v>-9.3600000000000003E-2</v>
      </c>
      <c r="I1156" cm="1">
        <f t="array" aca="1" ref="I1156" ca="1">[1]!s_west_instnum_np($B$1,YEAR($A1156)+1,$A1156,180)</f>
        <v>9</v>
      </c>
      <c r="J1156" cm="1">
        <f t="array" aca="1" ref="J1156" ca="1">[1]!s_west_stdnetprofit($B$1,YEAR($A1156)+1,$A1156,180,1000000)</f>
        <v>84.447569000000001</v>
      </c>
      <c r="K1156" cm="1">
        <f t="array" aca="1" ref="K1156" ca="1">[1]!s_west_mediannetprofit($B$1,YEAR($A1155)+1,$A1155,180,1000000)</f>
        <v>-65</v>
      </c>
      <c r="L1156" cm="1">
        <f t="array" aca="1" ref="L1156" ca="1">[1]!s_dq_close($B$1,$A1156,3)</f>
        <v>20.149999999999999</v>
      </c>
    </row>
    <row r="1157" spans="1:12">
      <c r="A1157" s="23">
        <f t="shared" ca="1" si="17"/>
        <v>45018</v>
      </c>
      <c r="B1157" cm="1">
        <f t="array" aca="1" ref="B1157" ca="1">[1]!s_west_netprofit($B$1,YEAR($A1157),$A1157,180,1000000)</f>
        <v>-96.765600000000006</v>
      </c>
      <c r="C1157" cm="1">
        <f t="array" aca="1" ref="C1157" ca="1">[1]!s_west_eps($B$1,YEAR($A1157),$A1157,180)</f>
        <v>-0.1119</v>
      </c>
      <c r="D1157" cm="1">
        <f t="array" aca="1" ref="D1157" ca="1">[1]!s_west_instnum_np($B$1,YEAR($A1157),$A1157,180)</f>
        <v>10</v>
      </c>
      <c r="E1157" cm="1">
        <f t="array" aca="1" ref="E1157" ca="1">[1]!s_west_stdnetprofit($B$1,YEAR($A1157),$A1157,180,1000000)</f>
        <v>104.743904</v>
      </c>
      <c r="F1157" cm="1">
        <f t="array" aca="1" ref="F1157" ca="1">[1]!s_west_mediannetprofit($B$1,YEAR($A1157),$A1157,180,1000000)</f>
        <v>-93.1</v>
      </c>
      <c r="G1157" cm="1">
        <f t="array" aca="1" ref="G1157" ca="1">[1]!s_west_netprofit($B$1,YEAR($A1157)+1,$A1157,180,1000000)</f>
        <v>-84.480556000000007</v>
      </c>
      <c r="H1157" cm="1">
        <f t="array" aca="1" ref="H1157" ca="1">[1]!s_west_eps($B$1,YEAR($A1157)+1,$A1157,180)</f>
        <v>-9.3600000000000003E-2</v>
      </c>
      <c r="I1157" cm="1">
        <f t="array" aca="1" ref="I1157" ca="1">[1]!s_west_instnum_np($B$1,YEAR($A1157)+1,$A1157,180)</f>
        <v>9</v>
      </c>
      <c r="J1157" cm="1">
        <f t="array" aca="1" ref="J1157" ca="1">[1]!s_west_stdnetprofit($B$1,YEAR($A1157)+1,$A1157,180,1000000)</f>
        <v>84.447569000000001</v>
      </c>
      <c r="K1157" cm="1">
        <f t="array" aca="1" ref="K1157" ca="1">[1]!s_west_mediannetprofit($B$1,YEAR($A1156)+1,$A1156,180,1000000)</f>
        <v>-65</v>
      </c>
      <c r="L1157" cm="1">
        <f t="array" aca="1" ref="L1157" ca="1">[1]!s_dq_close($B$1,$A1157,3)</f>
        <v>20.65</v>
      </c>
    </row>
    <row r="1158" spans="1:12">
      <c r="A1158" s="23">
        <f t="shared" ca="1" si="17"/>
        <v>45017</v>
      </c>
      <c r="B1158" cm="1">
        <f t="array" aca="1" ref="B1158" ca="1">[1]!s_west_netprofit($B$1,YEAR($A1158),$A1158,180,1000000)</f>
        <v>-96.765600000000006</v>
      </c>
      <c r="C1158" cm="1">
        <f t="array" aca="1" ref="C1158" ca="1">[1]!s_west_eps($B$1,YEAR($A1158),$A1158,180)</f>
        <v>-0.1119</v>
      </c>
      <c r="D1158" cm="1">
        <f t="array" aca="1" ref="D1158" ca="1">[1]!s_west_instnum_np($B$1,YEAR($A1158),$A1158,180)</f>
        <v>10</v>
      </c>
      <c r="E1158" cm="1">
        <f t="array" aca="1" ref="E1158" ca="1">[1]!s_west_stdnetprofit($B$1,YEAR($A1158),$A1158,180,1000000)</f>
        <v>104.743904</v>
      </c>
      <c r="F1158" cm="1">
        <f t="array" aca="1" ref="F1158" ca="1">[1]!s_west_mediannetprofit($B$1,YEAR($A1158),$A1158,180,1000000)</f>
        <v>-93.1</v>
      </c>
      <c r="G1158" cm="1">
        <f t="array" aca="1" ref="G1158" ca="1">[1]!s_west_netprofit($B$1,YEAR($A1158)+1,$A1158,180,1000000)</f>
        <v>-84.480556000000007</v>
      </c>
      <c r="H1158" cm="1">
        <f t="array" aca="1" ref="H1158" ca="1">[1]!s_west_eps($B$1,YEAR($A1158)+1,$A1158,180)</f>
        <v>-9.3600000000000003E-2</v>
      </c>
      <c r="I1158" cm="1">
        <f t="array" aca="1" ref="I1158" ca="1">[1]!s_west_instnum_np($B$1,YEAR($A1158)+1,$A1158,180)</f>
        <v>9</v>
      </c>
      <c r="J1158" cm="1">
        <f t="array" aca="1" ref="J1158" ca="1">[1]!s_west_stdnetprofit($B$1,YEAR($A1158)+1,$A1158,180,1000000)</f>
        <v>84.447569000000001</v>
      </c>
      <c r="K1158" cm="1">
        <f t="array" aca="1" ref="K1158" ca="1">[1]!s_west_mediannetprofit($B$1,YEAR($A1157)+1,$A1157,180,1000000)</f>
        <v>-65</v>
      </c>
      <c r="L1158" cm="1">
        <f t="array" aca="1" ref="L1158" ca="1">[1]!s_dq_close($B$1,$A1158,3)</f>
        <v>20.65</v>
      </c>
    </row>
    <row r="1159" spans="1:12">
      <c r="A1159" s="23">
        <f t="shared" ca="1" si="17"/>
        <v>45016</v>
      </c>
      <c r="B1159" cm="1">
        <f t="array" aca="1" ref="B1159" ca="1">[1]!s_west_netprofit($B$1,YEAR($A1159),$A1159,180,1000000)</f>
        <v>-96.765600000000006</v>
      </c>
      <c r="C1159" cm="1">
        <f t="array" aca="1" ref="C1159" ca="1">[1]!s_west_eps($B$1,YEAR($A1159),$A1159,180)</f>
        <v>-0.1119</v>
      </c>
      <c r="D1159" cm="1">
        <f t="array" aca="1" ref="D1159" ca="1">[1]!s_west_instnum_np($B$1,YEAR($A1159),$A1159,180)</f>
        <v>10</v>
      </c>
      <c r="E1159" cm="1">
        <f t="array" aca="1" ref="E1159" ca="1">[1]!s_west_stdnetprofit($B$1,YEAR($A1159),$A1159,180,1000000)</f>
        <v>104.743904</v>
      </c>
      <c r="F1159" cm="1">
        <f t="array" aca="1" ref="F1159" ca="1">[1]!s_west_mediannetprofit($B$1,YEAR($A1159),$A1159,180,1000000)</f>
        <v>-93.1</v>
      </c>
      <c r="G1159" cm="1">
        <f t="array" aca="1" ref="G1159" ca="1">[1]!s_west_netprofit($B$1,YEAR($A1159)+1,$A1159,180,1000000)</f>
        <v>-84.480556000000007</v>
      </c>
      <c r="H1159" cm="1">
        <f t="array" aca="1" ref="H1159" ca="1">[1]!s_west_eps($B$1,YEAR($A1159)+1,$A1159,180)</f>
        <v>-9.3600000000000003E-2</v>
      </c>
      <c r="I1159" cm="1">
        <f t="array" aca="1" ref="I1159" ca="1">[1]!s_west_instnum_np($B$1,YEAR($A1159)+1,$A1159,180)</f>
        <v>9</v>
      </c>
      <c r="J1159" cm="1">
        <f t="array" aca="1" ref="J1159" ca="1">[1]!s_west_stdnetprofit($B$1,YEAR($A1159)+1,$A1159,180,1000000)</f>
        <v>84.447569000000001</v>
      </c>
      <c r="K1159" cm="1">
        <f t="array" aca="1" ref="K1159" ca="1">[1]!s_west_mediannetprofit($B$1,YEAR($A1158)+1,$A1158,180,1000000)</f>
        <v>-65</v>
      </c>
      <c r="L1159" cm="1">
        <f t="array" aca="1" ref="L1159" ca="1">[1]!s_dq_close($B$1,$A1159,3)</f>
        <v>20.65</v>
      </c>
    </row>
    <row r="1160" spans="1:12">
      <c r="A1160" s="23">
        <f t="shared" ca="1" si="17"/>
        <v>45015</v>
      </c>
      <c r="B1160" cm="1">
        <f t="array" aca="1" ref="B1160" ca="1">[1]!s_west_netprofit($B$1,YEAR($A1160),$A1160,180,1000000)</f>
        <v>-96.765600000000006</v>
      </c>
      <c r="C1160" cm="1">
        <f t="array" aca="1" ref="C1160" ca="1">[1]!s_west_eps($B$1,YEAR($A1160),$A1160,180)</f>
        <v>-0.1119</v>
      </c>
      <c r="D1160" cm="1">
        <f t="array" aca="1" ref="D1160" ca="1">[1]!s_west_instnum_np($B$1,YEAR($A1160),$A1160,180)</f>
        <v>10</v>
      </c>
      <c r="E1160" cm="1">
        <f t="array" aca="1" ref="E1160" ca="1">[1]!s_west_stdnetprofit($B$1,YEAR($A1160),$A1160,180,1000000)</f>
        <v>104.743904</v>
      </c>
      <c r="F1160" cm="1">
        <f t="array" aca="1" ref="F1160" ca="1">[1]!s_west_mediannetprofit($B$1,YEAR($A1160),$A1160,180,1000000)</f>
        <v>-93.1</v>
      </c>
      <c r="G1160" cm="1">
        <f t="array" aca="1" ref="G1160" ca="1">[1]!s_west_netprofit($B$1,YEAR($A1160)+1,$A1160,180,1000000)</f>
        <v>-84.480556000000007</v>
      </c>
      <c r="H1160" cm="1">
        <f t="array" aca="1" ref="H1160" ca="1">[1]!s_west_eps($B$1,YEAR($A1160)+1,$A1160,180)</f>
        <v>-9.3600000000000003E-2</v>
      </c>
      <c r="I1160" cm="1">
        <f t="array" aca="1" ref="I1160" ca="1">[1]!s_west_instnum_np($B$1,YEAR($A1160)+1,$A1160,180)</f>
        <v>9</v>
      </c>
      <c r="J1160" cm="1">
        <f t="array" aca="1" ref="J1160" ca="1">[1]!s_west_stdnetprofit($B$1,YEAR($A1160)+1,$A1160,180,1000000)</f>
        <v>84.447569000000001</v>
      </c>
      <c r="K1160" cm="1">
        <f t="array" aca="1" ref="K1160" ca="1">[1]!s_west_mediannetprofit($B$1,YEAR($A1159)+1,$A1159,180,1000000)</f>
        <v>-65</v>
      </c>
      <c r="L1160" cm="1">
        <f t="array" aca="1" ref="L1160" ca="1">[1]!s_dq_close($B$1,$A1160,3)</f>
        <v>21.3</v>
      </c>
    </row>
    <row r="1161" spans="1:12">
      <c r="A1161" s="23">
        <f t="shared" ca="1" si="17"/>
        <v>45014</v>
      </c>
      <c r="B1161" cm="1">
        <f t="array" aca="1" ref="B1161" ca="1">[1]!s_west_netprofit($B$1,YEAR($A1161),$A1161,180,1000000)</f>
        <v>-96.765600000000006</v>
      </c>
      <c r="C1161" cm="1">
        <f t="array" aca="1" ref="C1161" ca="1">[1]!s_west_eps($B$1,YEAR($A1161),$A1161,180)</f>
        <v>-0.1119</v>
      </c>
      <c r="D1161" cm="1">
        <f t="array" aca="1" ref="D1161" ca="1">[1]!s_west_instnum_np($B$1,YEAR($A1161),$A1161,180)</f>
        <v>10</v>
      </c>
      <c r="E1161" cm="1">
        <f t="array" aca="1" ref="E1161" ca="1">[1]!s_west_stdnetprofit($B$1,YEAR($A1161),$A1161,180,1000000)</f>
        <v>104.743904</v>
      </c>
      <c r="F1161" cm="1">
        <f t="array" aca="1" ref="F1161" ca="1">[1]!s_west_mediannetprofit($B$1,YEAR($A1161),$A1161,180,1000000)</f>
        <v>-93.1</v>
      </c>
      <c r="G1161" cm="1">
        <f t="array" aca="1" ref="G1161" ca="1">[1]!s_west_netprofit($B$1,YEAR($A1161)+1,$A1161,180,1000000)</f>
        <v>-84.480556000000007</v>
      </c>
      <c r="H1161" cm="1">
        <f t="array" aca="1" ref="H1161" ca="1">[1]!s_west_eps($B$1,YEAR($A1161)+1,$A1161,180)</f>
        <v>-9.3600000000000003E-2</v>
      </c>
      <c r="I1161" cm="1">
        <f t="array" aca="1" ref="I1161" ca="1">[1]!s_west_instnum_np($B$1,YEAR($A1161)+1,$A1161,180)</f>
        <v>9</v>
      </c>
      <c r="J1161" cm="1">
        <f t="array" aca="1" ref="J1161" ca="1">[1]!s_west_stdnetprofit($B$1,YEAR($A1161)+1,$A1161,180,1000000)</f>
        <v>84.447569000000001</v>
      </c>
      <c r="K1161" cm="1">
        <f t="array" aca="1" ref="K1161" ca="1">[1]!s_west_mediannetprofit($B$1,YEAR($A1160)+1,$A1160,180,1000000)</f>
        <v>-65</v>
      </c>
      <c r="L1161" cm="1">
        <f t="array" aca="1" ref="L1161" ca="1">[1]!s_dq_close($B$1,$A1161,3)</f>
        <v>21.15</v>
      </c>
    </row>
    <row r="1162" spans="1:12">
      <c r="A1162" s="23">
        <f t="shared" ca="1" si="17"/>
        <v>45013</v>
      </c>
      <c r="B1162" cm="1">
        <f t="array" aca="1" ref="B1162" ca="1">[1]!s_west_netprofit($B$1,YEAR($A1162),$A1162,180,1000000)</f>
        <v>-96.765600000000006</v>
      </c>
      <c r="C1162" cm="1">
        <f t="array" aca="1" ref="C1162" ca="1">[1]!s_west_eps($B$1,YEAR($A1162),$A1162,180)</f>
        <v>-0.1119</v>
      </c>
      <c r="D1162" cm="1">
        <f t="array" aca="1" ref="D1162" ca="1">[1]!s_west_instnum_np($B$1,YEAR($A1162),$A1162,180)</f>
        <v>10</v>
      </c>
      <c r="E1162" cm="1">
        <f t="array" aca="1" ref="E1162" ca="1">[1]!s_west_stdnetprofit($B$1,YEAR($A1162),$A1162,180,1000000)</f>
        <v>104.743904</v>
      </c>
      <c r="F1162" cm="1">
        <f t="array" aca="1" ref="F1162" ca="1">[1]!s_west_mediannetprofit($B$1,YEAR($A1162),$A1162,180,1000000)</f>
        <v>-93.1</v>
      </c>
      <c r="G1162" cm="1">
        <f t="array" aca="1" ref="G1162" ca="1">[1]!s_west_netprofit($B$1,YEAR($A1162)+1,$A1162,180,1000000)</f>
        <v>-84.480556000000007</v>
      </c>
      <c r="H1162" cm="1">
        <f t="array" aca="1" ref="H1162" ca="1">[1]!s_west_eps($B$1,YEAR($A1162)+1,$A1162,180)</f>
        <v>-9.3600000000000003E-2</v>
      </c>
      <c r="I1162" cm="1">
        <f t="array" aca="1" ref="I1162" ca="1">[1]!s_west_instnum_np($B$1,YEAR($A1162)+1,$A1162,180)</f>
        <v>9</v>
      </c>
      <c r="J1162" cm="1">
        <f t="array" aca="1" ref="J1162" ca="1">[1]!s_west_stdnetprofit($B$1,YEAR($A1162)+1,$A1162,180,1000000)</f>
        <v>84.447569000000001</v>
      </c>
      <c r="K1162" cm="1">
        <f t="array" aca="1" ref="K1162" ca="1">[1]!s_west_mediannetprofit($B$1,YEAR($A1161)+1,$A1161,180,1000000)</f>
        <v>-65</v>
      </c>
      <c r="L1162" cm="1">
        <f t="array" aca="1" ref="L1162" ca="1">[1]!s_dq_close($B$1,$A1162,3)</f>
        <v>21.05</v>
      </c>
    </row>
    <row r="1163" spans="1:12">
      <c r="A1163" s="23">
        <f t="shared" ca="1" si="17"/>
        <v>45012</v>
      </c>
      <c r="B1163" cm="1">
        <f t="array" aca="1" ref="B1163" ca="1">[1]!s_west_netprofit($B$1,YEAR($A1163),$A1163,180,1000000)</f>
        <v>-96.765600000000006</v>
      </c>
      <c r="C1163" cm="1">
        <f t="array" aca="1" ref="C1163" ca="1">[1]!s_west_eps($B$1,YEAR($A1163),$A1163,180)</f>
        <v>-0.1119</v>
      </c>
      <c r="D1163" cm="1">
        <f t="array" aca="1" ref="D1163" ca="1">[1]!s_west_instnum_np($B$1,YEAR($A1163),$A1163,180)</f>
        <v>10</v>
      </c>
      <c r="E1163" cm="1">
        <f t="array" aca="1" ref="E1163" ca="1">[1]!s_west_stdnetprofit($B$1,YEAR($A1163),$A1163,180,1000000)</f>
        <v>104.743904</v>
      </c>
      <c r="F1163" cm="1">
        <f t="array" aca="1" ref="F1163" ca="1">[1]!s_west_mediannetprofit($B$1,YEAR($A1163),$A1163,180,1000000)</f>
        <v>-93.1</v>
      </c>
      <c r="G1163" cm="1">
        <f t="array" aca="1" ref="G1163" ca="1">[1]!s_west_netprofit($B$1,YEAR($A1163)+1,$A1163,180,1000000)</f>
        <v>-84.480556000000007</v>
      </c>
      <c r="H1163" cm="1">
        <f t="array" aca="1" ref="H1163" ca="1">[1]!s_west_eps($B$1,YEAR($A1163)+1,$A1163,180)</f>
        <v>-9.3600000000000003E-2</v>
      </c>
      <c r="I1163" cm="1">
        <f t="array" aca="1" ref="I1163" ca="1">[1]!s_west_instnum_np($B$1,YEAR($A1163)+1,$A1163,180)</f>
        <v>9</v>
      </c>
      <c r="J1163" cm="1">
        <f t="array" aca="1" ref="J1163" ca="1">[1]!s_west_stdnetprofit($B$1,YEAR($A1163)+1,$A1163,180,1000000)</f>
        <v>84.447569000000001</v>
      </c>
      <c r="K1163" cm="1">
        <f t="array" aca="1" ref="K1163" ca="1">[1]!s_west_mediannetprofit($B$1,YEAR($A1162)+1,$A1162,180,1000000)</f>
        <v>-65</v>
      </c>
      <c r="L1163" cm="1">
        <f t="array" aca="1" ref="L1163" ca="1">[1]!s_dq_close($B$1,$A1163,3)</f>
        <v>21.95</v>
      </c>
    </row>
    <row r="1164" spans="1:12">
      <c r="A1164" s="23">
        <f t="shared" ca="1" si="17"/>
        <v>45011</v>
      </c>
      <c r="B1164" cm="1">
        <f t="array" aca="1" ref="B1164" ca="1">[1]!s_west_netprofit($B$1,YEAR($A1164),$A1164,180,1000000)</f>
        <v>-96.765600000000006</v>
      </c>
      <c r="C1164" cm="1">
        <f t="array" aca="1" ref="C1164" ca="1">[1]!s_west_eps($B$1,YEAR($A1164),$A1164,180)</f>
        <v>-0.1119</v>
      </c>
      <c r="D1164" cm="1">
        <f t="array" aca="1" ref="D1164" ca="1">[1]!s_west_instnum_np($B$1,YEAR($A1164),$A1164,180)</f>
        <v>10</v>
      </c>
      <c r="E1164" cm="1">
        <f t="array" aca="1" ref="E1164" ca="1">[1]!s_west_stdnetprofit($B$1,YEAR($A1164),$A1164,180,1000000)</f>
        <v>104.743904</v>
      </c>
      <c r="F1164" cm="1">
        <f t="array" aca="1" ref="F1164" ca="1">[1]!s_west_mediannetprofit($B$1,YEAR($A1164),$A1164,180,1000000)</f>
        <v>-93.1</v>
      </c>
      <c r="G1164" cm="1">
        <f t="array" aca="1" ref="G1164" ca="1">[1]!s_west_netprofit($B$1,YEAR($A1164)+1,$A1164,180,1000000)</f>
        <v>-84.480556000000007</v>
      </c>
      <c r="H1164" cm="1">
        <f t="array" aca="1" ref="H1164" ca="1">[1]!s_west_eps($B$1,YEAR($A1164)+1,$A1164,180)</f>
        <v>-9.3600000000000003E-2</v>
      </c>
      <c r="I1164" cm="1">
        <f t="array" aca="1" ref="I1164" ca="1">[1]!s_west_instnum_np($B$1,YEAR($A1164)+1,$A1164,180)</f>
        <v>9</v>
      </c>
      <c r="J1164" cm="1">
        <f t="array" aca="1" ref="J1164" ca="1">[1]!s_west_stdnetprofit($B$1,YEAR($A1164)+1,$A1164,180,1000000)</f>
        <v>84.447569000000001</v>
      </c>
      <c r="K1164" cm="1">
        <f t="array" aca="1" ref="K1164" ca="1">[1]!s_west_mediannetprofit($B$1,YEAR($A1163)+1,$A1163,180,1000000)</f>
        <v>-65</v>
      </c>
      <c r="L1164" cm="1">
        <f t="array" aca="1" ref="L1164" ca="1">[1]!s_dq_close($B$1,$A1164,3)</f>
        <v>22.1</v>
      </c>
    </row>
    <row r="1165" spans="1:12">
      <c r="A1165" s="23">
        <f t="shared" ref="A1165:A1228" ca="1" si="18">A1164-1</f>
        <v>45010</v>
      </c>
      <c r="B1165" cm="1">
        <f t="array" aca="1" ref="B1165" ca="1">[1]!s_west_netprofit($B$1,YEAR($A1165),$A1165,180,1000000)</f>
        <v>-96.765600000000006</v>
      </c>
      <c r="C1165" cm="1">
        <f t="array" aca="1" ref="C1165" ca="1">[1]!s_west_eps($B$1,YEAR($A1165),$A1165,180)</f>
        <v>-0.1119</v>
      </c>
      <c r="D1165" cm="1">
        <f t="array" aca="1" ref="D1165" ca="1">[1]!s_west_instnum_np($B$1,YEAR($A1165),$A1165,180)</f>
        <v>10</v>
      </c>
      <c r="E1165" cm="1">
        <f t="array" aca="1" ref="E1165" ca="1">[1]!s_west_stdnetprofit($B$1,YEAR($A1165),$A1165,180,1000000)</f>
        <v>104.743904</v>
      </c>
      <c r="F1165" cm="1">
        <f t="array" aca="1" ref="F1165" ca="1">[1]!s_west_mediannetprofit($B$1,YEAR($A1165),$A1165,180,1000000)</f>
        <v>-93.1</v>
      </c>
      <c r="G1165" cm="1">
        <f t="array" aca="1" ref="G1165" ca="1">[1]!s_west_netprofit($B$1,YEAR($A1165)+1,$A1165,180,1000000)</f>
        <v>-84.480556000000007</v>
      </c>
      <c r="H1165" cm="1">
        <f t="array" aca="1" ref="H1165" ca="1">[1]!s_west_eps($B$1,YEAR($A1165)+1,$A1165,180)</f>
        <v>-9.3600000000000003E-2</v>
      </c>
      <c r="I1165" cm="1">
        <f t="array" aca="1" ref="I1165" ca="1">[1]!s_west_instnum_np($B$1,YEAR($A1165)+1,$A1165,180)</f>
        <v>9</v>
      </c>
      <c r="J1165" cm="1">
        <f t="array" aca="1" ref="J1165" ca="1">[1]!s_west_stdnetprofit($B$1,YEAR($A1165)+1,$A1165,180,1000000)</f>
        <v>84.447569000000001</v>
      </c>
      <c r="K1165" cm="1">
        <f t="array" aca="1" ref="K1165" ca="1">[1]!s_west_mediannetprofit($B$1,YEAR($A1164)+1,$A1164,180,1000000)</f>
        <v>-65</v>
      </c>
      <c r="L1165" cm="1">
        <f t="array" aca="1" ref="L1165" ca="1">[1]!s_dq_close($B$1,$A1165,3)</f>
        <v>22.1</v>
      </c>
    </row>
    <row r="1166" spans="1:12">
      <c r="A1166" s="23">
        <f t="shared" ca="1" si="18"/>
        <v>45009</v>
      </c>
      <c r="B1166" cm="1">
        <f t="array" aca="1" ref="B1166" ca="1">[1]!s_west_netprofit($B$1,YEAR($A1166),$A1166,180,1000000)</f>
        <v>-96.765600000000006</v>
      </c>
      <c r="C1166" cm="1">
        <f t="array" aca="1" ref="C1166" ca="1">[1]!s_west_eps($B$1,YEAR($A1166),$A1166,180)</f>
        <v>-0.1119</v>
      </c>
      <c r="D1166" cm="1">
        <f t="array" aca="1" ref="D1166" ca="1">[1]!s_west_instnum_np($B$1,YEAR($A1166),$A1166,180)</f>
        <v>10</v>
      </c>
      <c r="E1166" cm="1">
        <f t="array" aca="1" ref="E1166" ca="1">[1]!s_west_stdnetprofit($B$1,YEAR($A1166),$A1166,180,1000000)</f>
        <v>104.743904</v>
      </c>
      <c r="F1166" cm="1">
        <f t="array" aca="1" ref="F1166" ca="1">[1]!s_west_mediannetprofit($B$1,YEAR($A1166),$A1166,180,1000000)</f>
        <v>-93.1</v>
      </c>
      <c r="G1166" cm="1">
        <f t="array" aca="1" ref="G1166" ca="1">[1]!s_west_netprofit($B$1,YEAR($A1166)+1,$A1166,180,1000000)</f>
        <v>-84.480556000000007</v>
      </c>
      <c r="H1166" cm="1">
        <f t="array" aca="1" ref="H1166" ca="1">[1]!s_west_eps($B$1,YEAR($A1166)+1,$A1166,180)</f>
        <v>-9.3600000000000003E-2</v>
      </c>
      <c r="I1166" cm="1">
        <f t="array" aca="1" ref="I1166" ca="1">[1]!s_west_instnum_np($B$1,YEAR($A1166)+1,$A1166,180)</f>
        <v>9</v>
      </c>
      <c r="J1166" cm="1">
        <f t="array" aca="1" ref="J1166" ca="1">[1]!s_west_stdnetprofit($B$1,YEAR($A1166)+1,$A1166,180,1000000)</f>
        <v>84.447569000000001</v>
      </c>
      <c r="K1166" cm="1">
        <f t="array" aca="1" ref="K1166" ca="1">[1]!s_west_mediannetprofit($B$1,YEAR($A1165)+1,$A1165,180,1000000)</f>
        <v>-65</v>
      </c>
      <c r="L1166" cm="1">
        <f t="array" aca="1" ref="L1166" ca="1">[1]!s_dq_close($B$1,$A1166,3)</f>
        <v>22.1</v>
      </c>
    </row>
    <row r="1167" spans="1:12">
      <c r="A1167" s="23">
        <f t="shared" ca="1" si="18"/>
        <v>45008</v>
      </c>
      <c r="B1167" cm="1">
        <f t="array" aca="1" ref="B1167" ca="1">[1]!s_west_netprofit($B$1,YEAR($A1167),$A1167,180,1000000)</f>
        <v>-96.765600000000006</v>
      </c>
      <c r="C1167" cm="1">
        <f t="array" aca="1" ref="C1167" ca="1">[1]!s_west_eps($B$1,YEAR($A1167),$A1167,180)</f>
        <v>-0.1119</v>
      </c>
      <c r="D1167" cm="1">
        <f t="array" aca="1" ref="D1167" ca="1">[1]!s_west_instnum_np($B$1,YEAR($A1167),$A1167,180)</f>
        <v>10</v>
      </c>
      <c r="E1167" cm="1">
        <f t="array" aca="1" ref="E1167" ca="1">[1]!s_west_stdnetprofit($B$1,YEAR($A1167),$A1167,180,1000000)</f>
        <v>104.743904</v>
      </c>
      <c r="F1167" cm="1">
        <f t="array" aca="1" ref="F1167" ca="1">[1]!s_west_mediannetprofit($B$1,YEAR($A1167),$A1167,180,1000000)</f>
        <v>-93.1</v>
      </c>
      <c r="G1167" cm="1">
        <f t="array" aca="1" ref="G1167" ca="1">[1]!s_west_netprofit($B$1,YEAR($A1167)+1,$A1167,180,1000000)</f>
        <v>-84.480556000000007</v>
      </c>
      <c r="H1167" cm="1">
        <f t="array" aca="1" ref="H1167" ca="1">[1]!s_west_eps($B$1,YEAR($A1167)+1,$A1167,180)</f>
        <v>-9.3600000000000003E-2</v>
      </c>
      <c r="I1167" cm="1">
        <f t="array" aca="1" ref="I1167" ca="1">[1]!s_west_instnum_np($B$1,YEAR($A1167)+1,$A1167,180)</f>
        <v>9</v>
      </c>
      <c r="J1167" cm="1">
        <f t="array" aca="1" ref="J1167" ca="1">[1]!s_west_stdnetprofit($B$1,YEAR($A1167)+1,$A1167,180,1000000)</f>
        <v>84.447569000000001</v>
      </c>
      <c r="K1167" cm="1">
        <f t="array" aca="1" ref="K1167" ca="1">[1]!s_west_mediannetprofit($B$1,YEAR($A1166)+1,$A1166,180,1000000)</f>
        <v>-65</v>
      </c>
      <c r="L1167" cm="1">
        <f t="array" aca="1" ref="L1167" ca="1">[1]!s_dq_close($B$1,$A1167,3)</f>
        <v>23.1</v>
      </c>
    </row>
    <row r="1168" spans="1:12">
      <c r="A1168" s="23">
        <f t="shared" ca="1" si="18"/>
        <v>45007</v>
      </c>
      <c r="B1168" cm="1">
        <f t="array" aca="1" ref="B1168" ca="1">[1]!s_west_netprofit($B$1,YEAR($A1168),$A1168,180,1000000)</f>
        <v>-96.765600000000006</v>
      </c>
      <c r="C1168" cm="1">
        <f t="array" aca="1" ref="C1168" ca="1">[1]!s_west_eps($B$1,YEAR($A1168),$A1168,180)</f>
        <v>-0.1119</v>
      </c>
      <c r="D1168" cm="1">
        <f t="array" aca="1" ref="D1168" ca="1">[1]!s_west_instnum_np($B$1,YEAR($A1168),$A1168,180)</f>
        <v>10</v>
      </c>
      <c r="E1168" cm="1">
        <f t="array" aca="1" ref="E1168" ca="1">[1]!s_west_stdnetprofit($B$1,YEAR($A1168),$A1168,180,1000000)</f>
        <v>104.743904</v>
      </c>
      <c r="F1168" cm="1">
        <f t="array" aca="1" ref="F1168" ca="1">[1]!s_west_mediannetprofit($B$1,YEAR($A1168),$A1168,180,1000000)</f>
        <v>-93.1</v>
      </c>
      <c r="G1168" cm="1">
        <f t="array" aca="1" ref="G1168" ca="1">[1]!s_west_netprofit($B$1,YEAR($A1168)+1,$A1168,180,1000000)</f>
        <v>-84.480556000000007</v>
      </c>
      <c r="H1168" cm="1">
        <f t="array" aca="1" ref="H1168" ca="1">[1]!s_west_eps($B$1,YEAR($A1168)+1,$A1168,180)</f>
        <v>-9.3600000000000003E-2</v>
      </c>
      <c r="I1168" cm="1">
        <f t="array" aca="1" ref="I1168" ca="1">[1]!s_west_instnum_np($B$1,YEAR($A1168)+1,$A1168,180)</f>
        <v>9</v>
      </c>
      <c r="J1168" cm="1">
        <f t="array" aca="1" ref="J1168" ca="1">[1]!s_west_stdnetprofit($B$1,YEAR($A1168)+1,$A1168,180,1000000)</f>
        <v>84.447569000000001</v>
      </c>
      <c r="K1168" cm="1">
        <f t="array" aca="1" ref="K1168" ca="1">[1]!s_west_mediannetprofit($B$1,YEAR($A1167)+1,$A1167,180,1000000)</f>
        <v>-65</v>
      </c>
      <c r="L1168" cm="1">
        <f t="array" aca="1" ref="L1168" ca="1">[1]!s_dq_close($B$1,$A1168,3)</f>
        <v>23.1</v>
      </c>
    </row>
    <row r="1169" spans="1:12">
      <c r="A1169" s="23">
        <f t="shared" ca="1" si="18"/>
        <v>45006</v>
      </c>
      <c r="B1169" cm="1">
        <f t="array" aca="1" ref="B1169" ca="1">[1]!s_west_netprofit($B$1,YEAR($A1169),$A1169,180,1000000)</f>
        <v>-96.765600000000006</v>
      </c>
      <c r="C1169" cm="1">
        <f t="array" aca="1" ref="C1169" ca="1">[1]!s_west_eps($B$1,YEAR($A1169),$A1169,180)</f>
        <v>-0.1119</v>
      </c>
      <c r="D1169" cm="1">
        <f t="array" aca="1" ref="D1169" ca="1">[1]!s_west_instnum_np($B$1,YEAR($A1169),$A1169,180)</f>
        <v>10</v>
      </c>
      <c r="E1169" cm="1">
        <f t="array" aca="1" ref="E1169" ca="1">[1]!s_west_stdnetprofit($B$1,YEAR($A1169),$A1169,180,1000000)</f>
        <v>104.743904</v>
      </c>
      <c r="F1169" cm="1">
        <f t="array" aca="1" ref="F1169" ca="1">[1]!s_west_mediannetprofit($B$1,YEAR($A1169),$A1169,180,1000000)</f>
        <v>-93.1</v>
      </c>
      <c r="G1169" cm="1">
        <f t="array" aca="1" ref="G1169" ca="1">[1]!s_west_netprofit($B$1,YEAR($A1169)+1,$A1169,180,1000000)</f>
        <v>-84.480556000000007</v>
      </c>
      <c r="H1169" cm="1">
        <f t="array" aca="1" ref="H1169" ca="1">[1]!s_west_eps($B$1,YEAR($A1169)+1,$A1169,180)</f>
        <v>-9.3600000000000003E-2</v>
      </c>
      <c r="I1169" cm="1">
        <f t="array" aca="1" ref="I1169" ca="1">[1]!s_west_instnum_np($B$1,YEAR($A1169)+1,$A1169,180)</f>
        <v>9</v>
      </c>
      <c r="J1169" cm="1">
        <f t="array" aca="1" ref="J1169" ca="1">[1]!s_west_stdnetprofit($B$1,YEAR($A1169)+1,$A1169,180,1000000)</f>
        <v>84.447569000000001</v>
      </c>
      <c r="K1169" cm="1">
        <f t="array" aca="1" ref="K1169" ca="1">[1]!s_west_mediannetprofit($B$1,YEAR($A1168)+1,$A1168,180,1000000)</f>
        <v>-65</v>
      </c>
      <c r="L1169" cm="1">
        <f t="array" aca="1" ref="L1169" ca="1">[1]!s_dq_close($B$1,$A1169,3)</f>
        <v>22.8</v>
      </c>
    </row>
    <row r="1170" spans="1:12">
      <c r="A1170" s="23">
        <f t="shared" ca="1" si="18"/>
        <v>45005</v>
      </c>
      <c r="B1170" cm="1">
        <f t="array" aca="1" ref="B1170" ca="1">[1]!s_west_netprofit($B$1,YEAR($A1170),$A1170,180,1000000)</f>
        <v>-96.765600000000006</v>
      </c>
      <c r="C1170" cm="1">
        <f t="array" aca="1" ref="C1170" ca="1">[1]!s_west_eps($B$1,YEAR($A1170),$A1170,180)</f>
        <v>-0.1119</v>
      </c>
      <c r="D1170" cm="1">
        <f t="array" aca="1" ref="D1170" ca="1">[1]!s_west_instnum_np($B$1,YEAR($A1170),$A1170,180)</f>
        <v>10</v>
      </c>
      <c r="E1170" cm="1">
        <f t="array" aca="1" ref="E1170" ca="1">[1]!s_west_stdnetprofit($B$1,YEAR($A1170),$A1170,180,1000000)</f>
        <v>104.743904</v>
      </c>
      <c r="F1170" cm="1">
        <f t="array" aca="1" ref="F1170" ca="1">[1]!s_west_mediannetprofit($B$1,YEAR($A1170),$A1170,180,1000000)</f>
        <v>-93.1</v>
      </c>
      <c r="G1170" cm="1">
        <f t="array" aca="1" ref="G1170" ca="1">[1]!s_west_netprofit($B$1,YEAR($A1170)+1,$A1170,180,1000000)</f>
        <v>-84.480556000000007</v>
      </c>
      <c r="H1170" cm="1">
        <f t="array" aca="1" ref="H1170" ca="1">[1]!s_west_eps($B$1,YEAR($A1170)+1,$A1170,180)</f>
        <v>-9.3600000000000003E-2</v>
      </c>
      <c r="I1170" cm="1">
        <f t="array" aca="1" ref="I1170" ca="1">[1]!s_west_instnum_np($B$1,YEAR($A1170)+1,$A1170,180)</f>
        <v>9</v>
      </c>
      <c r="J1170" cm="1">
        <f t="array" aca="1" ref="J1170" ca="1">[1]!s_west_stdnetprofit($B$1,YEAR($A1170)+1,$A1170,180,1000000)</f>
        <v>84.447569000000001</v>
      </c>
      <c r="K1170" cm="1">
        <f t="array" aca="1" ref="K1170" ca="1">[1]!s_west_mediannetprofit($B$1,YEAR($A1169)+1,$A1169,180,1000000)</f>
        <v>-65</v>
      </c>
      <c r="L1170" cm="1">
        <f t="array" aca="1" ref="L1170" ca="1">[1]!s_dq_close($B$1,$A1170,3)</f>
        <v>21.85</v>
      </c>
    </row>
    <row r="1171" spans="1:12">
      <c r="A1171" s="23">
        <f t="shared" ca="1" si="18"/>
        <v>45004</v>
      </c>
      <c r="B1171" cm="1">
        <f t="array" aca="1" ref="B1171" ca="1">[1]!s_west_netprofit($B$1,YEAR($A1171),$A1171,180,1000000)</f>
        <v>-96.765600000000006</v>
      </c>
      <c r="C1171" cm="1">
        <f t="array" aca="1" ref="C1171" ca="1">[1]!s_west_eps($B$1,YEAR($A1171),$A1171,180)</f>
        <v>-0.1119</v>
      </c>
      <c r="D1171" cm="1">
        <f t="array" aca="1" ref="D1171" ca="1">[1]!s_west_instnum_np($B$1,YEAR($A1171),$A1171,180)</f>
        <v>10</v>
      </c>
      <c r="E1171" cm="1">
        <f t="array" aca="1" ref="E1171" ca="1">[1]!s_west_stdnetprofit($B$1,YEAR($A1171),$A1171,180,1000000)</f>
        <v>104.743904</v>
      </c>
      <c r="F1171" cm="1">
        <f t="array" aca="1" ref="F1171" ca="1">[1]!s_west_mediannetprofit($B$1,YEAR($A1171),$A1171,180,1000000)</f>
        <v>-93.1</v>
      </c>
      <c r="G1171" cm="1">
        <f t="array" aca="1" ref="G1171" ca="1">[1]!s_west_netprofit($B$1,YEAR($A1171)+1,$A1171,180,1000000)</f>
        <v>-84.480556000000007</v>
      </c>
      <c r="H1171" cm="1">
        <f t="array" aca="1" ref="H1171" ca="1">[1]!s_west_eps($B$1,YEAR($A1171)+1,$A1171,180)</f>
        <v>-9.3600000000000003E-2</v>
      </c>
      <c r="I1171" cm="1">
        <f t="array" aca="1" ref="I1171" ca="1">[1]!s_west_instnum_np($B$1,YEAR($A1171)+1,$A1171,180)</f>
        <v>9</v>
      </c>
      <c r="J1171" cm="1">
        <f t="array" aca="1" ref="J1171" ca="1">[1]!s_west_stdnetprofit($B$1,YEAR($A1171)+1,$A1171,180,1000000)</f>
        <v>84.447569000000001</v>
      </c>
      <c r="K1171" cm="1">
        <f t="array" aca="1" ref="K1171" ca="1">[1]!s_west_mediannetprofit($B$1,YEAR($A1170)+1,$A1170,180,1000000)</f>
        <v>-65</v>
      </c>
      <c r="L1171" cm="1">
        <f t="array" aca="1" ref="L1171" ca="1">[1]!s_dq_close($B$1,$A1171,3)</f>
        <v>22.8</v>
      </c>
    </row>
    <row r="1172" spans="1:12">
      <c r="A1172" s="23">
        <f t="shared" ca="1" si="18"/>
        <v>45003</v>
      </c>
      <c r="B1172" cm="1">
        <f t="array" aca="1" ref="B1172" ca="1">[1]!s_west_netprofit($B$1,YEAR($A1172),$A1172,180,1000000)</f>
        <v>-96.765600000000006</v>
      </c>
      <c r="C1172" cm="1">
        <f t="array" aca="1" ref="C1172" ca="1">[1]!s_west_eps($B$1,YEAR($A1172),$A1172,180)</f>
        <v>-0.1119</v>
      </c>
      <c r="D1172" cm="1">
        <f t="array" aca="1" ref="D1172" ca="1">[1]!s_west_instnum_np($B$1,YEAR($A1172),$A1172,180)</f>
        <v>10</v>
      </c>
      <c r="E1172" cm="1">
        <f t="array" aca="1" ref="E1172" ca="1">[1]!s_west_stdnetprofit($B$1,YEAR($A1172),$A1172,180,1000000)</f>
        <v>104.743904</v>
      </c>
      <c r="F1172" cm="1">
        <f t="array" aca="1" ref="F1172" ca="1">[1]!s_west_mediannetprofit($B$1,YEAR($A1172),$A1172,180,1000000)</f>
        <v>-93.1</v>
      </c>
      <c r="G1172" cm="1">
        <f t="array" aca="1" ref="G1172" ca="1">[1]!s_west_netprofit($B$1,YEAR($A1172)+1,$A1172,180,1000000)</f>
        <v>-84.480556000000007</v>
      </c>
      <c r="H1172" cm="1">
        <f t="array" aca="1" ref="H1172" ca="1">[1]!s_west_eps($B$1,YEAR($A1172)+1,$A1172,180)</f>
        <v>-9.3600000000000003E-2</v>
      </c>
      <c r="I1172" cm="1">
        <f t="array" aca="1" ref="I1172" ca="1">[1]!s_west_instnum_np($B$1,YEAR($A1172)+1,$A1172,180)</f>
        <v>9</v>
      </c>
      <c r="J1172" cm="1">
        <f t="array" aca="1" ref="J1172" ca="1">[1]!s_west_stdnetprofit($B$1,YEAR($A1172)+1,$A1172,180,1000000)</f>
        <v>84.447569000000001</v>
      </c>
      <c r="K1172" cm="1">
        <f t="array" aca="1" ref="K1172" ca="1">[1]!s_west_mediannetprofit($B$1,YEAR($A1171)+1,$A1171,180,1000000)</f>
        <v>-65</v>
      </c>
      <c r="L1172" cm="1">
        <f t="array" aca="1" ref="L1172" ca="1">[1]!s_dq_close($B$1,$A1172,3)</f>
        <v>22.8</v>
      </c>
    </row>
    <row r="1173" spans="1:12">
      <c r="A1173" s="23">
        <f t="shared" ca="1" si="18"/>
        <v>45002</v>
      </c>
      <c r="B1173" cm="1">
        <f t="array" aca="1" ref="B1173" ca="1">[1]!s_west_netprofit($B$1,YEAR($A1173),$A1173,180,1000000)</f>
        <v>-96.765600000000006</v>
      </c>
      <c r="C1173" cm="1">
        <f t="array" aca="1" ref="C1173" ca="1">[1]!s_west_eps($B$1,YEAR($A1173),$A1173,180)</f>
        <v>-0.1119</v>
      </c>
      <c r="D1173" cm="1">
        <f t="array" aca="1" ref="D1173" ca="1">[1]!s_west_instnum_np($B$1,YEAR($A1173),$A1173,180)</f>
        <v>10</v>
      </c>
      <c r="E1173" cm="1">
        <f t="array" aca="1" ref="E1173" ca="1">[1]!s_west_stdnetprofit($B$1,YEAR($A1173),$A1173,180,1000000)</f>
        <v>104.743904</v>
      </c>
      <c r="F1173" cm="1">
        <f t="array" aca="1" ref="F1173" ca="1">[1]!s_west_mediannetprofit($B$1,YEAR($A1173),$A1173,180,1000000)</f>
        <v>-93.1</v>
      </c>
      <c r="G1173" cm="1">
        <f t="array" aca="1" ref="G1173" ca="1">[1]!s_west_netprofit($B$1,YEAR($A1173)+1,$A1173,180,1000000)</f>
        <v>-84.480556000000007</v>
      </c>
      <c r="H1173" cm="1">
        <f t="array" aca="1" ref="H1173" ca="1">[1]!s_west_eps($B$1,YEAR($A1173)+1,$A1173,180)</f>
        <v>-9.3600000000000003E-2</v>
      </c>
      <c r="I1173" cm="1">
        <f t="array" aca="1" ref="I1173" ca="1">[1]!s_west_instnum_np($B$1,YEAR($A1173)+1,$A1173,180)</f>
        <v>9</v>
      </c>
      <c r="J1173" cm="1">
        <f t="array" aca="1" ref="J1173" ca="1">[1]!s_west_stdnetprofit($B$1,YEAR($A1173)+1,$A1173,180,1000000)</f>
        <v>84.447569000000001</v>
      </c>
      <c r="K1173" cm="1">
        <f t="array" aca="1" ref="K1173" ca="1">[1]!s_west_mediannetprofit($B$1,YEAR($A1172)+1,$A1172,180,1000000)</f>
        <v>-65</v>
      </c>
      <c r="L1173" cm="1">
        <f t="array" aca="1" ref="L1173" ca="1">[1]!s_dq_close($B$1,$A1173,3)</f>
        <v>22.8</v>
      </c>
    </row>
    <row r="1174" spans="1:12">
      <c r="A1174" s="23">
        <f t="shared" ca="1" si="18"/>
        <v>45001</v>
      </c>
      <c r="B1174" cm="1">
        <f t="array" aca="1" ref="B1174" ca="1">[1]!s_west_netprofit($B$1,YEAR($A1174),$A1174,180,1000000)</f>
        <v>-96.765600000000006</v>
      </c>
      <c r="C1174" cm="1">
        <f t="array" aca="1" ref="C1174" ca="1">[1]!s_west_eps($B$1,YEAR($A1174),$A1174,180)</f>
        <v>-0.1119</v>
      </c>
      <c r="D1174" cm="1">
        <f t="array" aca="1" ref="D1174" ca="1">[1]!s_west_instnum_np($B$1,YEAR($A1174),$A1174,180)</f>
        <v>10</v>
      </c>
      <c r="E1174" cm="1">
        <f t="array" aca="1" ref="E1174" ca="1">[1]!s_west_stdnetprofit($B$1,YEAR($A1174),$A1174,180,1000000)</f>
        <v>104.743904</v>
      </c>
      <c r="F1174" cm="1">
        <f t="array" aca="1" ref="F1174" ca="1">[1]!s_west_mediannetprofit($B$1,YEAR($A1174),$A1174,180,1000000)</f>
        <v>-93.1</v>
      </c>
      <c r="G1174" cm="1">
        <f t="array" aca="1" ref="G1174" ca="1">[1]!s_west_netprofit($B$1,YEAR($A1174)+1,$A1174,180,1000000)</f>
        <v>-84.480556000000007</v>
      </c>
      <c r="H1174" cm="1">
        <f t="array" aca="1" ref="H1174" ca="1">[1]!s_west_eps($B$1,YEAR($A1174)+1,$A1174,180)</f>
        <v>-9.3600000000000003E-2</v>
      </c>
      <c r="I1174" cm="1">
        <f t="array" aca="1" ref="I1174" ca="1">[1]!s_west_instnum_np($B$1,YEAR($A1174)+1,$A1174,180)</f>
        <v>9</v>
      </c>
      <c r="J1174" cm="1">
        <f t="array" aca="1" ref="J1174" ca="1">[1]!s_west_stdnetprofit($B$1,YEAR($A1174)+1,$A1174,180,1000000)</f>
        <v>84.447569000000001</v>
      </c>
      <c r="K1174" cm="1">
        <f t="array" aca="1" ref="K1174" ca="1">[1]!s_west_mediannetprofit($B$1,YEAR($A1173)+1,$A1173,180,1000000)</f>
        <v>-65</v>
      </c>
      <c r="L1174" cm="1">
        <f t="array" aca="1" ref="L1174" ca="1">[1]!s_dq_close($B$1,$A1174,3)</f>
        <v>23.25</v>
      </c>
    </row>
    <row r="1175" spans="1:12">
      <c r="A1175" s="23">
        <f t="shared" ca="1" si="18"/>
        <v>45000</v>
      </c>
      <c r="B1175" cm="1">
        <f t="array" aca="1" ref="B1175" ca="1">[1]!s_west_netprofit($B$1,YEAR($A1175),$A1175,180,1000000)</f>
        <v>-96.765600000000006</v>
      </c>
      <c r="C1175" cm="1">
        <f t="array" aca="1" ref="C1175" ca="1">[1]!s_west_eps($B$1,YEAR($A1175),$A1175,180)</f>
        <v>-0.1119</v>
      </c>
      <c r="D1175" cm="1">
        <f t="array" aca="1" ref="D1175" ca="1">[1]!s_west_instnum_np($B$1,YEAR($A1175),$A1175,180)</f>
        <v>10</v>
      </c>
      <c r="E1175" cm="1">
        <f t="array" aca="1" ref="E1175" ca="1">[1]!s_west_stdnetprofit($B$1,YEAR($A1175),$A1175,180,1000000)</f>
        <v>104.743904</v>
      </c>
      <c r="F1175" cm="1">
        <f t="array" aca="1" ref="F1175" ca="1">[1]!s_west_mediannetprofit($B$1,YEAR($A1175),$A1175,180,1000000)</f>
        <v>-93.1</v>
      </c>
      <c r="G1175" cm="1">
        <f t="array" aca="1" ref="G1175" ca="1">[1]!s_west_netprofit($B$1,YEAR($A1175)+1,$A1175,180,1000000)</f>
        <v>-84.480556000000007</v>
      </c>
      <c r="H1175" cm="1">
        <f t="array" aca="1" ref="H1175" ca="1">[1]!s_west_eps($B$1,YEAR($A1175)+1,$A1175,180)</f>
        <v>-9.3600000000000003E-2</v>
      </c>
      <c r="I1175" cm="1">
        <f t="array" aca="1" ref="I1175" ca="1">[1]!s_west_instnum_np($B$1,YEAR($A1175)+1,$A1175,180)</f>
        <v>9</v>
      </c>
      <c r="J1175" cm="1">
        <f t="array" aca="1" ref="J1175" ca="1">[1]!s_west_stdnetprofit($B$1,YEAR($A1175)+1,$A1175,180,1000000)</f>
        <v>84.447569000000001</v>
      </c>
      <c r="K1175" cm="1">
        <f t="array" aca="1" ref="K1175" ca="1">[1]!s_west_mediannetprofit($B$1,YEAR($A1174)+1,$A1174,180,1000000)</f>
        <v>-65</v>
      </c>
      <c r="L1175" cm="1">
        <f t="array" aca="1" ref="L1175" ca="1">[1]!s_dq_close($B$1,$A1175,3)</f>
        <v>23.35</v>
      </c>
    </row>
    <row r="1176" spans="1:12">
      <c r="A1176" s="23">
        <f t="shared" ca="1" si="18"/>
        <v>44999</v>
      </c>
      <c r="B1176" cm="1">
        <f t="array" aca="1" ref="B1176" ca="1">[1]!s_west_netprofit($B$1,YEAR($A1176),$A1176,180,1000000)</f>
        <v>-96.765600000000006</v>
      </c>
      <c r="C1176" cm="1">
        <f t="array" aca="1" ref="C1176" ca="1">[1]!s_west_eps($B$1,YEAR($A1176),$A1176,180)</f>
        <v>-0.1119</v>
      </c>
      <c r="D1176" cm="1">
        <f t="array" aca="1" ref="D1176" ca="1">[1]!s_west_instnum_np($B$1,YEAR($A1176),$A1176,180)</f>
        <v>10</v>
      </c>
      <c r="E1176" cm="1">
        <f t="array" aca="1" ref="E1176" ca="1">[1]!s_west_stdnetprofit($B$1,YEAR($A1176),$A1176,180,1000000)</f>
        <v>104.743904</v>
      </c>
      <c r="F1176" cm="1">
        <f t="array" aca="1" ref="F1176" ca="1">[1]!s_west_mediannetprofit($B$1,YEAR($A1176),$A1176,180,1000000)</f>
        <v>-93.1</v>
      </c>
      <c r="G1176" cm="1">
        <f t="array" aca="1" ref="G1176" ca="1">[1]!s_west_netprofit($B$1,YEAR($A1176)+1,$A1176,180,1000000)</f>
        <v>-84.480556000000007</v>
      </c>
      <c r="H1176" cm="1">
        <f t="array" aca="1" ref="H1176" ca="1">[1]!s_west_eps($B$1,YEAR($A1176)+1,$A1176,180)</f>
        <v>-9.3600000000000003E-2</v>
      </c>
      <c r="I1176" cm="1">
        <f t="array" aca="1" ref="I1176" ca="1">[1]!s_west_instnum_np($B$1,YEAR($A1176)+1,$A1176,180)</f>
        <v>9</v>
      </c>
      <c r="J1176" cm="1">
        <f t="array" aca="1" ref="J1176" ca="1">[1]!s_west_stdnetprofit($B$1,YEAR($A1176)+1,$A1176,180,1000000)</f>
        <v>84.447569000000001</v>
      </c>
      <c r="K1176" cm="1">
        <f t="array" aca="1" ref="K1176" ca="1">[1]!s_west_mediannetprofit($B$1,YEAR($A1175)+1,$A1175,180,1000000)</f>
        <v>-65</v>
      </c>
      <c r="L1176" cm="1">
        <f t="array" aca="1" ref="L1176" ca="1">[1]!s_dq_close($B$1,$A1176,3)</f>
        <v>22.35</v>
      </c>
    </row>
    <row r="1177" spans="1:12">
      <c r="A1177" s="23">
        <f t="shared" ca="1" si="18"/>
        <v>44998</v>
      </c>
      <c r="B1177" cm="1">
        <f t="array" aca="1" ref="B1177" ca="1">[1]!s_west_netprofit($B$1,YEAR($A1177),$A1177,180,1000000)</f>
        <v>-96.765600000000006</v>
      </c>
      <c r="C1177" cm="1">
        <f t="array" aca="1" ref="C1177" ca="1">[1]!s_west_eps($B$1,YEAR($A1177),$A1177,180)</f>
        <v>-0.1119</v>
      </c>
      <c r="D1177" cm="1">
        <f t="array" aca="1" ref="D1177" ca="1">[1]!s_west_instnum_np($B$1,YEAR($A1177),$A1177,180)</f>
        <v>10</v>
      </c>
      <c r="E1177" cm="1">
        <f t="array" aca="1" ref="E1177" ca="1">[1]!s_west_stdnetprofit($B$1,YEAR($A1177),$A1177,180,1000000)</f>
        <v>104.743904</v>
      </c>
      <c r="F1177" cm="1">
        <f t="array" aca="1" ref="F1177" ca="1">[1]!s_west_mediannetprofit($B$1,YEAR($A1177),$A1177,180,1000000)</f>
        <v>-93.1</v>
      </c>
      <c r="G1177" cm="1">
        <f t="array" aca="1" ref="G1177" ca="1">[1]!s_west_netprofit($B$1,YEAR($A1177)+1,$A1177,180,1000000)</f>
        <v>-84.480556000000007</v>
      </c>
      <c r="H1177" cm="1">
        <f t="array" aca="1" ref="H1177" ca="1">[1]!s_west_eps($B$1,YEAR($A1177)+1,$A1177,180)</f>
        <v>-9.3600000000000003E-2</v>
      </c>
      <c r="I1177" cm="1">
        <f t="array" aca="1" ref="I1177" ca="1">[1]!s_west_instnum_np($B$1,YEAR($A1177)+1,$A1177,180)</f>
        <v>9</v>
      </c>
      <c r="J1177" cm="1">
        <f t="array" aca="1" ref="J1177" ca="1">[1]!s_west_stdnetprofit($B$1,YEAR($A1177)+1,$A1177,180,1000000)</f>
        <v>84.447569000000001</v>
      </c>
      <c r="K1177" cm="1">
        <f t="array" aca="1" ref="K1177" ca="1">[1]!s_west_mediannetprofit($B$1,YEAR($A1176)+1,$A1176,180,1000000)</f>
        <v>-65</v>
      </c>
      <c r="L1177" cm="1">
        <f t="array" aca="1" ref="L1177" ca="1">[1]!s_dq_close($B$1,$A1177,3)</f>
        <v>22.1</v>
      </c>
    </row>
    <row r="1178" spans="1:12">
      <c r="A1178" s="23">
        <f t="shared" ca="1" si="18"/>
        <v>44997</v>
      </c>
      <c r="B1178" cm="1">
        <f t="array" aca="1" ref="B1178" ca="1">[1]!s_west_netprofit($B$1,YEAR($A1178),$A1178,180,1000000)</f>
        <v>-96.765600000000006</v>
      </c>
      <c r="C1178" cm="1">
        <f t="array" aca="1" ref="C1178" ca="1">[1]!s_west_eps($B$1,YEAR($A1178),$A1178,180)</f>
        <v>-0.1119</v>
      </c>
      <c r="D1178" cm="1">
        <f t="array" aca="1" ref="D1178" ca="1">[1]!s_west_instnum_np($B$1,YEAR($A1178),$A1178,180)</f>
        <v>10</v>
      </c>
      <c r="E1178" cm="1">
        <f t="array" aca="1" ref="E1178" ca="1">[1]!s_west_stdnetprofit($B$1,YEAR($A1178),$A1178,180,1000000)</f>
        <v>104.743904</v>
      </c>
      <c r="F1178" cm="1">
        <f t="array" aca="1" ref="F1178" ca="1">[1]!s_west_mediannetprofit($B$1,YEAR($A1178),$A1178,180,1000000)</f>
        <v>-93.1</v>
      </c>
      <c r="G1178" cm="1">
        <f t="array" aca="1" ref="G1178" ca="1">[1]!s_west_netprofit($B$1,YEAR($A1178)+1,$A1178,180,1000000)</f>
        <v>-84.480556000000007</v>
      </c>
      <c r="H1178" cm="1">
        <f t="array" aca="1" ref="H1178" ca="1">[1]!s_west_eps($B$1,YEAR($A1178)+1,$A1178,180)</f>
        <v>-9.3600000000000003E-2</v>
      </c>
      <c r="I1178" cm="1">
        <f t="array" aca="1" ref="I1178" ca="1">[1]!s_west_instnum_np($B$1,YEAR($A1178)+1,$A1178,180)</f>
        <v>9</v>
      </c>
      <c r="J1178" cm="1">
        <f t="array" aca="1" ref="J1178" ca="1">[1]!s_west_stdnetprofit($B$1,YEAR($A1178)+1,$A1178,180,1000000)</f>
        <v>84.447569000000001</v>
      </c>
      <c r="K1178" cm="1">
        <f t="array" aca="1" ref="K1178" ca="1">[1]!s_west_mediannetprofit($B$1,YEAR($A1177)+1,$A1177,180,1000000)</f>
        <v>-65</v>
      </c>
      <c r="L1178" cm="1">
        <f t="array" aca="1" ref="L1178" ca="1">[1]!s_dq_close($B$1,$A1178,3)</f>
        <v>22.85</v>
      </c>
    </row>
    <row r="1179" spans="1:12">
      <c r="A1179" s="23">
        <f t="shared" ca="1" si="18"/>
        <v>44996</v>
      </c>
      <c r="B1179" cm="1">
        <f t="array" aca="1" ref="B1179" ca="1">[1]!s_west_netprofit($B$1,YEAR($A1179),$A1179,180,1000000)</f>
        <v>-96.765600000000006</v>
      </c>
      <c r="C1179" cm="1">
        <f t="array" aca="1" ref="C1179" ca="1">[1]!s_west_eps($B$1,YEAR($A1179),$A1179,180)</f>
        <v>-0.1119</v>
      </c>
      <c r="D1179" cm="1">
        <f t="array" aca="1" ref="D1179" ca="1">[1]!s_west_instnum_np($B$1,YEAR($A1179),$A1179,180)</f>
        <v>10</v>
      </c>
      <c r="E1179" cm="1">
        <f t="array" aca="1" ref="E1179" ca="1">[1]!s_west_stdnetprofit($B$1,YEAR($A1179),$A1179,180,1000000)</f>
        <v>104.743904</v>
      </c>
      <c r="F1179" cm="1">
        <f t="array" aca="1" ref="F1179" ca="1">[1]!s_west_mediannetprofit($B$1,YEAR($A1179),$A1179,180,1000000)</f>
        <v>-93.1</v>
      </c>
      <c r="G1179" cm="1">
        <f t="array" aca="1" ref="G1179" ca="1">[1]!s_west_netprofit($B$1,YEAR($A1179)+1,$A1179,180,1000000)</f>
        <v>-84.480556000000007</v>
      </c>
      <c r="H1179" cm="1">
        <f t="array" aca="1" ref="H1179" ca="1">[1]!s_west_eps($B$1,YEAR($A1179)+1,$A1179,180)</f>
        <v>-9.3600000000000003E-2</v>
      </c>
      <c r="I1179" cm="1">
        <f t="array" aca="1" ref="I1179" ca="1">[1]!s_west_instnum_np($B$1,YEAR($A1179)+1,$A1179,180)</f>
        <v>9</v>
      </c>
      <c r="J1179" cm="1">
        <f t="array" aca="1" ref="J1179" ca="1">[1]!s_west_stdnetprofit($B$1,YEAR($A1179)+1,$A1179,180,1000000)</f>
        <v>84.447569000000001</v>
      </c>
      <c r="K1179" cm="1">
        <f t="array" aca="1" ref="K1179" ca="1">[1]!s_west_mediannetprofit($B$1,YEAR($A1178)+1,$A1178,180,1000000)</f>
        <v>-65</v>
      </c>
      <c r="L1179" cm="1">
        <f t="array" aca="1" ref="L1179" ca="1">[1]!s_dq_close($B$1,$A1179,3)</f>
        <v>22.85</v>
      </c>
    </row>
    <row r="1180" spans="1:12">
      <c r="A1180" s="23">
        <f t="shared" ca="1" si="18"/>
        <v>44995</v>
      </c>
      <c r="B1180" cm="1">
        <f t="array" aca="1" ref="B1180" ca="1">[1]!s_west_netprofit($B$1,YEAR($A1180),$A1180,180,1000000)</f>
        <v>-96.765600000000006</v>
      </c>
      <c r="C1180" cm="1">
        <f t="array" aca="1" ref="C1180" ca="1">[1]!s_west_eps($B$1,YEAR($A1180),$A1180,180)</f>
        <v>-0.1119</v>
      </c>
      <c r="D1180" cm="1">
        <f t="array" aca="1" ref="D1180" ca="1">[1]!s_west_instnum_np($B$1,YEAR($A1180),$A1180,180)</f>
        <v>10</v>
      </c>
      <c r="E1180" cm="1">
        <f t="array" aca="1" ref="E1180" ca="1">[1]!s_west_stdnetprofit($B$1,YEAR($A1180),$A1180,180,1000000)</f>
        <v>104.743904</v>
      </c>
      <c r="F1180" cm="1">
        <f t="array" aca="1" ref="F1180" ca="1">[1]!s_west_mediannetprofit($B$1,YEAR($A1180),$A1180,180,1000000)</f>
        <v>-93.1</v>
      </c>
      <c r="G1180" cm="1">
        <f t="array" aca="1" ref="G1180" ca="1">[1]!s_west_netprofit($B$1,YEAR($A1180)+1,$A1180,180,1000000)</f>
        <v>-84.480556000000007</v>
      </c>
      <c r="H1180" cm="1">
        <f t="array" aca="1" ref="H1180" ca="1">[1]!s_west_eps($B$1,YEAR($A1180)+1,$A1180,180)</f>
        <v>-9.3600000000000003E-2</v>
      </c>
      <c r="I1180" cm="1">
        <f t="array" aca="1" ref="I1180" ca="1">[1]!s_west_instnum_np($B$1,YEAR($A1180)+1,$A1180,180)</f>
        <v>9</v>
      </c>
      <c r="J1180" cm="1">
        <f t="array" aca="1" ref="J1180" ca="1">[1]!s_west_stdnetprofit($B$1,YEAR($A1180)+1,$A1180,180,1000000)</f>
        <v>84.447569000000001</v>
      </c>
      <c r="K1180" cm="1">
        <f t="array" aca="1" ref="K1180" ca="1">[1]!s_west_mediannetprofit($B$1,YEAR($A1179)+1,$A1179,180,1000000)</f>
        <v>-65</v>
      </c>
      <c r="L1180" cm="1">
        <f t="array" aca="1" ref="L1180" ca="1">[1]!s_dq_close($B$1,$A1180,3)</f>
        <v>22.85</v>
      </c>
    </row>
    <row r="1181" spans="1:12">
      <c r="A1181" s="23">
        <f t="shared" ca="1" si="18"/>
        <v>44994</v>
      </c>
      <c r="B1181" cm="1">
        <f t="array" aca="1" ref="B1181" ca="1">[1]!s_west_netprofit($B$1,YEAR($A1181),$A1181,180,1000000)</f>
        <v>-96.765600000000006</v>
      </c>
      <c r="C1181" cm="1">
        <f t="array" aca="1" ref="C1181" ca="1">[1]!s_west_eps($B$1,YEAR($A1181),$A1181,180)</f>
        <v>-0.1119</v>
      </c>
      <c r="D1181" cm="1">
        <f t="array" aca="1" ref="D1181" ca="1">[1]!s_west_instnum_np($B$1,YEAR($A1181),$A1181,180)</f>
        <v>10</v>
      </c>
      <c r="E1181" cm="1">
        <f t="array" aca="1" ref="E1181" ca="1">[1]!s_west_stdnetprofit($B$1,YEAR($A1181),$A1181,180,1000000)</f>
        <v>104.743904</v>
      </c>
      <c r="F1181" cm="1">
        <f t="array" aca="1" ref="F1181" ca="1">[1]!s_west_mediannetprofit($B$1,YEAR($A1181),$A1181,180,1000000)</f>
        <v>-93.1</v>
      </c>
      <c r="G1181" cm="1">
        <f t="array" aca="1" ref="G1181" ca="1">[1]!s_west_netprofit($B$1,YEAR($A1181)+1,$A1181,180,1000000)</f>
        <v>-84.480556000000007</v>
      </c>
      <c r="H1181" cm="1">
        <f t="array" aca="1" ref="H1181" ca="1">[1]!s_west_eps($B$1,YEAR($A1181)+1,$A1181,180)</f>
        <v>-9.3600000000000003E-2</v>
      </c>
      <c r="I1181" cm="1">
        <f t="array" aca="1" ref="I1181" ca="1">[1]!s_west_instnum_np($B$1,YEAR($A1181)+1,$A1181,180)</f>
        <v>9</v>
      </c>
      <c r="J1181" cm="1">
        <f t="array" aca="1" ref="J1181" ca="1">[1]!s_west_stdnetprofit($B$1,YEAR($A1181)+1,$A1181,180,1000000)</f>
        <v>84.447569000000001</v>
      </c>
      <c r="K1181" cm="1">
        <f t="array" aca="1" ref="K1181" ca="1">[1]!s_west_mediannetprofit($B$1,YEAR($A1180)+1,$A1180,180,1000000)</f>
        <v>-65</v>
      </c>
      <c r="L1181" cm="1">
        <f t="array" aca="1" ref="L1181" ca="1">[1]!s_dq_close($B$1,$A1181,3)</f>
        <v>22.6</v>
      </c>
    </row>
    <row r="1182" spans="1:12">
      <c r="A1182" s="23">
        <f t="shared" ca="1" si="18"/>
        <v>44993</v>
      </c>
      <c r="B1182" cm="1">
        <f t="array" aca="1" ref="B1182" ca="1">[1]!s_west_netprofit($B$1,YEAR($A1182),$A1182,180,1000000)</f>
        <v>-96.765600000000006</v>
      </c>
      <c r="C1182" cm="1">
        <f t="array" aca="1" ref="C1182" ca="1">[1]!s_west_eps($B$1,YEAR($A1182),$A1182,180)</f>
        <v>-0.1119</v>
      </c>
      <c r="D1182" cm="1">
        <f t="array" aca="1" ref="D1182" ca="1">[1]!s_west_instnum_np($B$1,YEAR($A1182),$A1182,180)</f>
        <v>10</v>
      </c>
      <c r="E1182" cm="1">
        <f t="array" aca="1" ref="E1182" ca="1">[1]!s_west_stdnetprofit($B$1,YEAR($A1182),$A1182,180,1000000)</f>
        <v>104.743904</v>
      </c>
      <c r="F1182" cm="1">
        <f t="array" aca="1" ref="F1182" ca="1">[1]!s_west_mediannetprofit($B$1,YEAR($A1182),$A1182,180,1000000)</f>
        <v>-93.1</v>
      </c>
      <c r="G1182" cm="1">
        <f t="array" aca="1" ref="G1182" ca="1">[1]!s_west_netprofit($B$1,YEAR($A1182)+1,$A1182,180,1000000)</f>
        <v>-84.480556000000007</v>
      </c>
      <c r="H1182" cm="1">
        <f t="array" aca="1" ref="H1182" ca="1">[1]!s_west_eps($B$1,YEAR($A1182)+1,$A1182,180)</f>
        <v>-9.3600000000000003E-2</v>
      </c>
      <c r="I1182" cm="1">
        <f t="array" aca="1" ref="I1182" ca="1">[1]!s_west_instnum_np($B$1,YEAR($A1182)+1,$A1182,180)</f>
        <v>9</v>
      </c>
      <c r="J1182" cm="1">
        <f t="array" aca="1" ref="J1182" ca="1">[1]!s_west_stdnetprofit($B$1,YEAR($A1182)+1,$A1182,180,1000000)</f>
        <v>84.447569000000001</v>
      </c>
      <c r="K1182" cm="1">
        <f t="array" aca="1" ref="K1182" ca="1">[1]!s_west_mediannetprofit($B$1,YEAR($A1181)+1,$A1181,180,1000000)</f>
        <v>-65</v>
      </c>
      <c r="L1182" cm="1">
        <f t="array" aca="1" ref="L1182" ca="1">[1]!s_dq_close($B$1,$A1182,3)</f>
        <v>24.8</v>
      </c>
    </row>
    <row r="1183" spans="1:12">
      <c r="A1183" s="23">
        <f t="shared" ca="1" si="18"/>
        <v>44992</v>
      </c>
      <c r="B1183" cm="1">
        <f t="array" aca="1" ref="B1183" ca="1">[1]!s_west_netprofit($B$1,YEAR($A1183),$A1183,180,1000000)</f>
        <v>-96.765600000000006</v>
      </c>
      <c r="C1183" cm="1">
        <f t="array" aca="1" ref="C1183" ca="1">[1]!s_west_eps($B$1,YEAR($A1183),$A1183,180)</f>
        <v>-0.1119</v>
      </c>
      <c r="D1183" cm="1">
        <f t="array" aca="1" ref="D1183" ca="1">[1]!s_west_instnum_np($B$1,YEAR($A1183),$A1183,180)</f>
        <v>10</v>
      </c>
      <c r="E1183" cm="1">
        <f t="array" aca="1" ref="E1183" ca="1">[1]!s_west_stdnetprofit($B$1,YEAR($A1183),$A1183,180,1000000)</f>
        <v>104.743904</v>
      </c>
      <c r="F1183" cm="1">
        <f t="array" aca="1" ref="F1183" ca="1">[1]!s_west_mediannetprofit($B$1,YEAR($A1183),$A1183,180,1000000)</f>
        <v>-93.1</v>
      </c>
      <c r="G1183" cm="1">
        <f t="array" aca="1" ref="G1183" ca="1">[1]!s_west_netprofit($B$1,YEAR($A1183)+1,$A1183,180,1000000)</f>
        <v>-84.480556000000007</v>
      </c>
      <c r="H1183" cm="1">
        <f t="array" aca="1" ref="H1183" ca="1">[1]!s_west_eps($B$1,YEAR($A1183)+1,$A1183,180)</f>
        <v>-9.3600000000000003E-2</v>
      </c>
      <c r="I1183" cm="1">
        <f t="array" aca="1" ref="I1183" ca="1">[1]!s_west_instnum_np($B$1,YEAR($A1183)+1,$A1183,180)</f>
        <v>9</v>
      </c>
      <c r="J1183" cm="1">
        <f t="array" aca="1" ref="J1183" ca="1">[1]!s_west_stdnetprofit($B$1,YEAR($A1183)+1,$A1183,180,1000000)</f>
        <v>84.447569000000001</v>
      </c>
      <c r="K1183" cm="1">
        <f t="array" aca="1" ref="K1183" ca="1">[1]!s_west_mediannetprofit($B$1,YEAR($A1182)+1,$A1182,180,1000000)</f>
        <v>-65</v>
      </c>
      <c r="L1183" cm="1">
        <f t="array" aca="1" ref="L1183" ca="1">[1]!s_dq_close($B$1,$A1183,3)</f>
        <v>26.5</v>
      </c>
    </row>
    <row r="1184" spans="1:12">
      <c r="A1184" s="23">
        <f t="shared" ca="1" si="18"/>
        <v>44991</v>
      </c>
      <c r="B1184" cm="1">
        <f t="array" aca="1" ref="B1184" ca="1">[1]!s_west_netprofit($B$1,YEAR($A1184),$A1184,180,1000000)</f>
        <v>-89.229600000000005</v>
      </c>
      <c r="C1184" cm="1">
        <f t="array" aca="1" ref="C1184" ca="1">[1]!s_west_eps($B$1,YEAR($A1184),$A1184,180)</f>
        <v>-0.1032</v>
      </c>
      <c r="D1184" cm="1">
        <f t="array" aca="1" ref="D1184" ca="1">[1]!s_west_instnum_np($B$1,YEAR($A1184),$A1184,180)</f>
        <v>10</v>
      </c>
      <c r="E1184" cm="1">
        <f t="array" aca="1" ref="E1184" ca="1">[1]!s_west_stdnetprofit($B$1,YEAR($A1184),$A1184,180,1000000)</f>
        <v>99.716272000000004</v>
      </c>
      <c r="F1184" cm="1">
        <f t="array" aca="1" ref="F1184" ca="1">[1]!s_west_mediannetprofit($B$1,YEAR($A1184),$A1184,180,1000000)</f>
        <v>-82.35</v>
      </c>
      <c r="G1184" cm="1">
        <f t="array" aca="1" ref="G1184" ca="1">[1]!s_west_netprofit($B$1,YEAR($A1184)+1,$A1184,180,1000000)</f>
        <v>-81.077222000000006</v>
      </c>
      <c r="H1184" cm="1">
        <f t="array" aca="1" ref="H1184" ca="1">[1]!s_west_eps($B$1,YEAR($A1184)+1,$A1184,180)</f>
        <v>-8.9300000000000004E-2</v>
      </c>
      <c r="I1184" cm="1">
        <f t="array" aca="1" ref="I1184" ca="1">[1]!s_west_instnum_np($B$1,YEAR($A1184)+1,$A1184,180)</f>
        <v>9</v>
      </c>
      <c r="J1184" cm="1">
        <f t="array" aca="1" ref="J1184" ca="1">[1]!s_west_stdnetprofit($B$1,YEAR($A1184)+1,$A1184,180,1000000)</f>
        <v>84.645644000000004</v>
      </c>
      <c r="K1184" cm="1">
        <f t="array" aca="1" ref="K1184" ca="1">[1]!s_west_mediannetprofit($B$1,YEAR($A1183)+1,$A1183,180,1000000)</f>
        <v>-65</v>
      </c>
      <c r="L1184" cm="1">
        <f t="array" aca="1" ref="L1184" ca="1">[1]!s_dq_close($B$1,$A1184,3)</f>
        <v>27.05</v>
      </c>
    </row>
    <row r="1185" spans="1:12">
      <c r="A1185" s="23">
        <f t="shared" ca="1" si="18"/>
        <v>44990</v>
      </c>
      <c r="B1185" cm="1">
        <f t="array" aca="1" ref="B1185" ca="1">[1]!s_west_netprofit($B$1,YEAR($A1185),$A1185,180,1000000)</f>
        <v>-89.229600000000005</v>
      </c>
      <c r="C1185" cm="1">
        <f t="array" aca="1" ref="C1185" ca="1">[1]!s_west_eps($B$1,YEAR($A1185),$A1185,180)</f>
        <v>-0.1032</v>
      </c>
      <c r="D1185" cm="1">
        <f t="array" aca="1" ref="D1185" ca="1">[1]!s_west_instnum_np($B$1,YEAR($A1185),$A1185,180)</f>
        <v>10</v>
      </c>
      <c r="E1185" cm="1">
        <f t="array" aca="1" ref="E1185" ca="1">[1]!s_west_stdnetprofit($B$1,YEAR($A1185),$A1185,180,1000000)</f>
        <v>99.716272000000004</v>
      </c>
      <c r="F1185" cm="1">
        <f t="array" aca="1" ref="F1185" ca="1">[1]!s_west_mediannetprofit($B$1,YEAR($A1185),$A1185,180,1000000)</f>
        <v>-82.35</v>
      </c>
      <c r="G1185" cm="1">
        <f t="array" aca="1" ref="G1185" ca="1">[1]!s_west_netprofit($B$1,YEAR($A1185)+1,$A1185,180,1000000)</f>
        <v>-81.077222000000006</v>
      </c>
      <c r="H1185" cm="1">
        <f t="array" aca="1" ref="H1185" ca="1">[1]!s_west_eps($B$1,YEAR($A1185)+1,$A1185,180)</f>
        <v>-8.9300000000000004E-2</v>
      </c>
      <c r="I1185" cm="1">
        <f t="array" aca="1" ref="I1185" ca="1">[1]!s_west_instnum_np($B$1,YEAR($A1185)+1,$A1185,180)</f>
        <v>9</v>
      </c>
      <c r="J1185" cm="1">
        <f t="array" aca="1" ref="J1185" ca="1">[1]!s_west_stdnetprofit($B$1,YEAR($A1185)+1,$A1185,180,1000000)</f>
        <v>84.645644000000004</v>
      </c>
      <c r="K1185" cm="1">
        <f t="array" aca="1" ref="K1185" ca="1">[1]!s_west_mediannetprofit($B$1,YEAR($A1184)+1,$A1184,180,1000000)</f>
        <v>-63.09</v>
      </c>
      <c r="L1185" cm="1">
        <f t="array" aca="1" ref="L1185" ca="1">[1]!s_dq_close($B$1,$A1185,3)</f>
        <v>27.1</v>
      </c>
    </row>
    <row r="1186" spans="1:12">
      <c r="A1186" s="23">
        <f t="shared" ca="1" si="18"/>
        <v>44989</v>
      </c>
      <c r="B1186" cm="1">
        <f t="array" aca="1" ref="B1186" ca="1">[1]!s_west_netprofit($B$1,YEAR($A1186),$A1186,180,1000000)</f>
        <v>-89.229600000000005</v>
      </c>
      <c r="C1186" cm="1">
        <f t="array" aca="1" ref="C1186" ca="1">[1]!s_west_eps($B$1,YEAR($A1186),$A1186,180)</f>
        <v>-0.1032</v>
      </c>
      <c r="D1186" cm="1">
        <f t="array" aca="1" ref="D1186" ca="1">[1]!s_west_instnum_np($B$1,YEAR($A1186),$A1186,180)</f>
        <v>10</v>
      </c>
      <c r="E1186" cm="1">
        <f t="array" aca="1" ref="E1186" ca="1">[1]!s_west_stdnetprofit($B$1,YEAR($A1186),$A1186,180,1000000)</f>
        <v>99.716272000000004</v>
      </c>
      <c r="F1186" cm="1">
        <f t="array" aca="1" ref="F1186" ca="1">[1]!s_west_mediannetprofit($B$1,YEAR($A1186),$A1186,180,1000000)</f>
        <v>-82.35</v>
      </c>
      <c r="G1186" cm="1">
        <f t="array" aca="1" ref="G1186" ca="1">[1]!s_west_netprofit($B$1,YEAR($A1186)+1,$A1186,180,1000000)</f>
        <v>-81.077222000000006</v>
      </c>
      <c r="H1186" cm="1">
        <f t="array" aca="1" ref="H1186" ca="1">[1]!s_west_eps($B$1,YEAR($A1186)+1,$A1186,180)</f>
        <v>-8.9300000000000004E-2</v>
      </c>
      <c r="I1186" cm="1">
        <f t="array" aca="1" ref="I1186" ca="1">[1]!s_west_instnum_np($B$1,YEAR($A1186)+1,$A1186,180)</f>
        <v>9</v>
      </c>
      <c r="J1186" cm="1">
        <f t="array" aca="1" ref="J1186" ca="1">[1]!s_west_stdnetprofit($B$1,YEAR($A1186)+1,$A1186,180,1000000)</f>
        <v>84.645644000000004</v>
      </c>
      <c r="K1186" cm="1">
        <f t="array" aca="1" ref="K1186" ca="1">[1]!s_west_mediannetprofit($B$1,YEAR($A1185)+1,$A1185,180,1000000)</f>
        <v>-63.09</v>
      </c>
      <c r="L1186" cm="1">
        <f t="array" aca="1" ref="L1186" ca="1">[1]!s_dq_close($B$1,$A1186,3)</f>
        <v>27.1</v>
      </c>
    </row>
    <row r="1187" spans="1:12">
      <c r="A1187" s="23">
        <f t="shared" ca="1" si="18"/>
        <v>44988</v>
      </c>
      <c r="B1187" cm="1">
        <f t="array" aca="1" ref="B1187" ca="1">[1]!s_west_netprofit($B$1,YEAR($A1187),$A1187,180,1000000)</f>
        <v>-89.229600000000005</v>
      </c>
      <c r="C1187" cm="1">
        <f t="array" aca="1" ref="C1187" ca="1">[1]!s_west_eps($B$1,YEAR($A1187),$A1187,180)</f>
        <v>-0.1032</v>
      </c>
      <c r="D1187" cm="1">
        <f t="array" aca="1" ref="D1187" ca="1">[1]!s_west_instnum_np($B$1,YEAR($A1187),$A1187,180)</f>
        <v>10</v>
      </c>
      <c r="E1187" cm="1">
        <f t="array" aca="1" ref="E1187" ca="1">[1]!s_west_stdnetprofit($B$1,YEAR($A1187),$A1187,180,1000000)</f>
        <v>99.716272000000004</v>
      </c>
      <c r="F1187" cm="1">
        <f t="array" aca="1" ref="F1187" ca="1">[1]!s_west_mediannetprofit($B$1,YEAR($A1187),$A1187,180,1000000)</f>
        <v>-82.35</v>
      </c>
      <c r="G1187" cm="1">
        <f t="array" aca="1" ref="G1187" ca="1">[1]!s_west_netprofit($B$1,YEAR($A1187)+1,$A1187,180,1000000)</f>
        <v>-81.077222000000006</v>
      </c>
      <c r="H1187" cm="1">
        <f t="array" aca="1" ref="H1187" ca="1">[1]!s_west_eps($B$1,YEAR($A1187)+1,$A1187,180)</f>
        <v>-8.9300000000000004E-2</v>
      </c>
      <c r="I1187" cm="1">
        <f t="array" aca="1" ref="I1187" ca="1">[1]!s_west_instnum_np($B$1,YEAR($A1187)+1,$A1187,180)</f>
        <v>9</v>
      </c>
      <c r="J1187" cm="1">
        <f t="array" aca="1" ref="J1187" ca="1">[1]!s_west_stdnetprofit($B$1,YEAR($A1187)+1,$A1187,180,1000000)</f>
        <v>84.645644000000004</v>
      </c>
      <c r="K1187" cm="1">
        <f t="array" aca="1" ref="K1187" ca="1">[1]!s_west_mediannetprofit($B$1,YEAR($A1186)+1,$A1186,180,1000000)</f>
        <v>-63.09</v>
      </c>
      <c r="L1187" cm="1">
        <f t="array" aca="1" ref="L1187" ca="1">[1]!s_dq_close($B$1,$A1187,3)</f>
        <v>27.1</v>
      </c>
    </row>
    <row r="1188" spans="1:12">
      <c r="A1188" s="23">
        <f t="shared" ca="1" si="18"/>
        <v>44987</v>
      </c>
      <c r="B1188" cm="1">
        <f t="array" aca="1" ref="B1188" ca="1">[1]!s_west_netprofit($B$1,YEAR($A1188),$A1188,180,1000000)</f>
        <v>-104.676222</v>
      </c>
      <c r="C1188" cm="1">
        <f t="array" aca="1" ref="C1188" ca="1">[1]!s_west_eps($B$1,YEAR($A1188),$A1188,180)</f>
        <v>-0.121</v>
      </c>
      <c r="D1188" cm="1">
        <f t="array" aca="1" ref="D1188" ca="1">[1]!s_west_instnum_np($B$1,YEAR($A1188),$A1188,180)</f>
        <v>9</v>
      </c>
      <c r="E1188" cm="1">
        <f t="array" aca="1" ref="E1188" ca="1">[1]!s_west_stdnetprofit($B$1,YEAR($A1188),$A1188,180,1000000)</f>
        <v>120.685553</v>
      </c>
      <c r="F1188" cm="1">
        <f t="array" aca="1" ref="F1188" ca="1">[1]!s_west_mediannetprofit($B$1,YEAR($A1188),$A1188,180,1000000)</f>
        <v>-116.7</v>
      </c>
      <c r="G1188" cm="1">
        <f t="array" aca="1" ref="G1188" ca="1">[1]!s_west_netprofit($B$1,YEAR($A1188)+1,$A1188,180,1000000)</f>
        <v>-99.684375000000003</v>
      </c>
      <c r="H1188" cm="1">
        <f t="array" aca="1" ref="H1188" ca="1">[1]!s_west_eps($B$1,YEAR($A1188)+1,$A1188,180)</f>
        <v>-0.10929999999999999</v>
      </c>
      <c r="I1188" cm="1">
        <f t="array" aca="1" ref="I1188" ca="1">[1]!s_west_instnum_np($B$1,YEAR($A1188)+1,$A1188,180)</f>
        <v>8</v>
      </c>
      <c r="J1188" cm="1">
        <f t="array" aca="1" ref="J1188" ca="1">[1]!s_west_stdnetprofit($B$1,YEAR($A1188)+1,$A1188,180,1000000)</f>
        <v>100.347481</v>
      </c>
      <c r="K1188" cm="1">
        <f t="array" aca="1" ref="K1188" ca="1">[1]!s_west_mediannetprofit($B$1,YEAR($A1187)+1,$A1187,180,1000000)</f>
        <v>-63.09</v>
      </c>
      <c r="L1188" cm="1">
        <f t="array" aca="1" ref="L1188" ca="1">[1]!s_dq_close($B$1,$A1188,3)</f>
        <v>27.95</v>
      </c>
    </row>
    <row r="1189" spans="1:12">
      <c r="A1189" s="23">
        <f t="shared" ca="1" si="18"/>
        <v>44986</v>
      </c>
      <c r="B1189" cm="1">
        <f t="array" aca="1" ref="B1189" ca="1">[1]!s_west_netprofit($B$1,YEAR($A1189),$A1189,180,1000000)</f>
        <v>-118.787333</v>
      </c>
      <c r="C1189" cm="1">
        <f t="array" aca="1" ref="C1189" ca="1">[1]!s_west_eps($B$1,YEAR($A1189),$A1189,180)</f>
        <v>-0.13739999999999999</v>
      </c>
      <c r="D1189" cm="1">
        <f t="array" aca="1" ref="D1189" ca="1">[1]!s_west_instnum_np($B$1,YEAR($A1189),$A1189,180)</f>
        <v>9</v>
      </c>
      <c r="E1189" cm="1">
        <f t="array" aca="1" ref="E1189" ca="1">[1]!s_west_stdnetprofit($B$1,YEAR($A1189),$A1189,180,1000000)</f>
        <v>139.79411200000001</v>
      </c>
      <c r="F1189" cm="1">
        <f t="array" aca="1" ref="F1189" ca="1">[1]!s_west_mediannetprofit($B$1,YEAR($A1189),$A1189,180,1000000)</f>
        <v>-116.7</v>
      </c>
      <c r="G1189" cm="1">
        <f t="array" aca="1" ref="G1189" ca="1">[1]!s_west_netprofit($B$1,YEAR($A1189)+1,$A1189,180,1000000)</f>
        <v>-98.809375000000003</v>
      </c>
      <c r="H1189" cm="1">
        <f t="array" aca="1" ref="H1189" ca="1">[1]!s_west_eps($B$1,YEAR($A1189)+1,$A1189,180)</f>
        <v>-0.1143</v>
      </c>
      <c r="I1189" cm="1">
        <f t="array" aca="1" ref="I1189" ca="1">[1]!s_west_instnum_np($B$1,YEAR($A1189)+1,$A1189,180)</f>
        <v>8</v>
      </c>
      <c r="J1189" cm="1">
        <f t="array" aca="1" ref="J1189" ca="1">[1]!s_west_stdnetprofit($B$1,YEAR($A1189)+1,$A1189,180,1000000)</f>
        <v>109.810079</v>
      </c>
      <c r="K1189" cm="1">
        <f t="array" aca="1" ref="K1189" ca="1">[1]!s_west_mediannetprofit($B$1,YEAR($A1188)+1,$A1188,180,1000000)</f>
        <v>-64.045000000000002</v>
      </c>
      <c r="L1189" cm="1">
        <f t="array" aca="1" ref="L1189" ca="1">[1]!s_dq_close($B$1,$A1189,3)</f>
        <v>27.3</v>
      </c>
    </row>
    <row r="1190" spans="1:12">
      <c r="A1190" s="23">
        <f t="shared" ca="1" si="18"/>
        <v>44985</v>
      </c>
      <c r="B1190" cm="1">
        <f t="array" aca="1" ref="B1190" ca="1">[1]!s_west_netprofit($B$1,YEAR($A1190),$A1190,180,1000000)</f>
        <v>-109.887333</v>
      </c>
      <c r="C1190" cm="1">
        <f t="array" aca="1" ref="C1190" ca="1">[1]!s_west_eps($B$1,YEAR($A1190),$A1190,180)</f>
        <v>-0.12709999999999999</v>
      </c>
      <c r="D1190" cm="1">
        <f t="array" aca="1" ref="D1190" ca="1">[1]!s_west_instnum_np($B$1,YEAR($A1190),$A1190,180)</f>
        <v>9</v>
      </c>
      <c r="E1190" cm="1">
        <f t="array" aca="1" ref="E1190" ca="1">[1]!s_west_stdnetprofit($B$1,YEAR($A1190),$A1190,180,1000000)</f>
        <v>162.030846</v>
      </c>
      <c r="F1190" cm="1">
        <f t="array" aca="1" ref="F1190" ca="1">[1]!s_west_mediannetprofit($B$1,YEAR($A1190),$A1190,180,1000000)</f>
        <v>-116.7</v>
      </c>
      <c r="G1190" cm="1">
        <f t="array" aca="1" ref="G1190" ca="1">[1]!s_west_netprofit($B$1,YEAR($A1190)+1,$A1190,180,1000000)</f>
        <v>-122.909375</v>
      </c>
      <c r="H1190" cm="1">
        <f t="array" aca="1" ref="H1190" ca="1">[1]!s_west_eps($B$1,YEAR($A1190)+1,$A1190,180)</f>
        <v>-0.1421</v>
      </c>
      <c r="I1190" cm="1">
        <f t="array" aca="1" ref="I1190" ca="1">[1]!s_west_instnum_np($B$1,YEAR($A1190)+1,$A1190,180)</f>
        <v>8</v>
      </c>
      <c r="J1190" cm="1">
        <f t="array" aca="1" ref="J1190" ca="1">[1]!s_west_stdnetprofit($B$1,YEAR($A1190)+1,$A1190,180,1000000)</f>
        <v>89.480181000000002</v>
      </c>
      <c r="K1190" cm="1">
        <f t="array" aca="1" ref="K1190" ca="1">[1]!s_west_mediannetprofit($B$1,YEAR($A1189)+1,$A1189,180,1000000)</f>
        <v>-91.545000000000002</v>
      </c>
      <c r="L1190" cm="1">
        <f t="array" aca="1" ref="L1190" ca="1">[1]!s_dq_close($B$1,$A1190,3)</f>
        <v>25.85</v>
      </c>
    </row>
    <row r="1191" spans="1:12">
      <c r="A1191" s="23">
        <f t="shared" ca="1" si="18"/>
        <v>44984</v>
      </c>
      <c r="B1191" cm="1">
        <f t="array" aca="1" ref="B1191" ca="1">[1]!s_west_netprofit($B$1,YEAR($A1191),$A1191,180,1000000)</f>
        <v>-109.887333</v>
      </c>
      <c r="C1191" cm="1">
        <f t="array" aca="1" ref="C1191" ca="1">[1]!s_west_eps($B$1,YEAR($A1191),$A1191,180)</f>
        <v>-0.12709999999999999</v>
      </c>
      <c r="D1191" cm="1">
        <f t="array" aca="1" ref="D1191" ca="1">[1]!s_west_instnum_np($B$1,YEAR($A1191),$A1191,180)</f>
        <v>9</v>
      </c>
      <c r="E1191" cm="1">
        <f t="array" aca="1" ref="E1191" ca="1">[1]!s_west_stdnetprofit($B$1,YEAR($A1191),$A1191,180,1000000)</f>
        <v>162.030846</v>
      </c>
      <c r="F1191" cm="1">
        <f t="array" aca="1" ref="F1191" ca="1">[1]!s_west_mediannetprofit($B$1,YEAR($A1191),$A1191,180,1000000)</f>
        <v>-116.7</v>
      </c>
      <c r="G1191" cm="1">
        <f t="array" aca="1" ref="G1191" ca="1">[1]!s_west_netprofit($B$1,YEAR($A1191)+1,$A1191,180,1000000)</f>
        <v>-122.909375</v>
      </c>
      <c r="H1191" cm="1">
        <f t="array" aca="1" ref="H1191" ca="1">[1]!s_west_eps($B$1,YEAR($A1191)+1,$A1191,180)</f>
        <v>-0.1421</v>
      </c>
      <c r="I1191" cm="1">
        <f t="array" aca="1" ref="I1191" ca="1">[1]!s_west_instnum_np($B$1,YEAR($A1191)+1,$A1191,180)</f>
        <v>8</v>
      </c>
      <c r="J1191" cm="1">
        <f t="array" aca="1" ref="J1191" ca="1">[1]!s_west_stdnetprofit($B$1,YEAR($A1191)+1,$A1191,180,1000000)</f>
        <v>89.480181000000002</v>
      </c>
      <c r="K1191" cm="1">
        <f t="array" aca="1" ref="K1191" ca="1">[1]!s_west_mediannetprofit($B$1,YEAR($A1190)+1,$A1190,180,1000000)</f>
        <v>-131</v>
      </c>
      <c r="L1191" cm="1">
        <f t="array" aca="1" ref="L1191" ca="1">[1]!s_dq_close($B$1,$A1191,3)</f>
        <v>25.25</v>
      </c>
    </row>
    <row r="1192" spans="1:12">
      <c r="A1192" s="23">
        <f t="shared" ca="1" si="18"/>
        <v>44983</v>
      </c>
      <c r="B1192" cm="1">
        <f t="array" aca="1" ref="B1192" ca="1">[1]!s_west_netprofit($B$1,YEAR($A1192),$A1192,180,1000000)</f>
        <v>-109.887333</v>
      </c>
      <c r="C1192" cm="1">
        <f t="array" aca="1" ref="C1192" ca="1">[1]!s_west_eps($B$1,YEAR($A1192),$A1192,180)</f>
        <v>-0.12709999999999999</v>
      </c>
      <c r="D1192" cm="1">
        <f t="array" aca="1" ref="D1192" ca="1">[1]!s_west_instnum_np($B$1,YEAR($A1192),$A1192,180)</f>
        <v>9</v>
      </c>
      <c r="E1192" cm="1">
        <f t="array" aca="1" ref="E1192" ca="1">[1]!s_west_stdnetprofit($B$1,YEAR($A1192),$A1192,180,1000000)</f>
        <v>162.030846</v>
      </c>
      <c r="F1192" cm="1">
        <f t="array" aca="1" ref="F1192" ca="1">[1]!s_west_mediannetprofit($B$1,YEAR($A1192),$A1192,180,1000000)</f>
        <v>-116.7</v>
      </c>
      <c r="G1192" cm="1">
        <f t="array" aca="1" ref="G1192" ca="1">[1]!s_west_netprofit($B$1,YEAR($A1192)+1,$A1192,180,1000000)</f>
        <v>-122.909375</v>
      </c>
      <c r="H1192" cm="1">
        <f t="array" aca="1" ref="H1192" ca="1">[1]!s_west_eps($B$1,YEAR($A1192)+1,$A1192,180)</f>
        <v>-0.1421</v>
      </c>
      <c r="I1192" cm="1">
        <f t="array" aca="1" ref="I1192" ca="1">[1]!s_west_instnum_np($B$1,YEAR($A1192)+1,$A1192,180)</f>
        <v>8</v>
      </c>
      <c r="J1192" cm="1">
        <f t="array" aca="1" ref="J1192" ca="1">[1]!s_west_stdnetprofit($B$1,YEAR($A1192)+1,$A1192,180,1000000)</f>
        <v>89.480181000000002</v>
      </c>
      <c r="K1192" cm="1">
        <f t="array" aca="1" ref="K1192" ca="1">[1]!s_west_mediannetprofit($B$1,YEAR($A1191)+1,$A1191,180,1000000)</f>
        <v>-131</v>
      </c>
      <c r="L1192" cm="1">
        <f t="array" aca="1" ref="L1192" ca="1">[1]!s_dq_close($B$1,$A1192,3)</f>
        <v>25.25</v>
      </c>
    </row>
    <row r="1193" spans="1:12">
      <c r="A1193" s="23">
        <f t="shared" ca="1" si="18"/>
        <v>44982</v>
      </c>
      <c r="B1193" cm="1">
        <f t="array" aca="1" ref="B1193" ca="1">[1]!s_west_netprofit($B$1,YEAR($A1193),$A1193,180,1000000)</f>
        <v>-109.887333</v>
      </c>
      <c r="C1193" cm="1">
        <f t="array" aca="1" ref="C1193" ca="1">[1]!s_west_eps($B$1,YEAR($A1193),$A1193,180)</f>
        <v>-0.12709999999999999</v>
      </c>
      <c r="D1193" cm="1">
        <f t="array" aca="1" ref="D1193" ca="1">[1]!s_west_instnum_np($B$1,YEAR($A1193),$A1193,180)</f>
        <v>9</v>
      </c>
      <c r="E1193" cm="1">
        <f t="array" aca="1" ref="E1193" ca="1">[1]!s_west_stdnetprofit($B$1,YEAR($A1193),$A1193,180,1000000)</f>
        <v>162.030846</v>
      </c>
      <c r="F1193" cm="1">
        <f t="array" aca="1" ref="F1193" ca="1">[1]!s_west_mediannetprofit($B$1,YEAR($A1193),$A1193,180,1000000)</f>
        <v>-116.7</v>
      </c>
      <c r="G1193" cm="1">
        <f t="array" aca="1" ref="G1193" ca="1">[1]!s_west_netprofit($B$1,YEAR($A1193)+1,$A1193,180,1000000)</f>
        <v>-122.909375</v>
      </c>
      <c r="H1193" cm="1">
        <f t="array" aca="1" ref="H1193" ca="1">[1]!s_west_eps($B$1,YEAR($A1193)+1,$A1193,180)</f>
        <v>-0.1421</v>
      </c>
      <c r="I1193" cm="1">
        <f t="array" aca="1" ref="I1193" ca="1">[1]!s_west_instnum_np($B$1,YEAR($A1193)+1,$A1193,180)</f>
        <v>8</v>
      </c>
      <c r="J1193" cm="1">
        <f t="array" aca="1" ref="J1193" ca="1">[1]!s_west_stdnetprofit($B$1,YEAR($A1193)+1,$A1193,180,1000000)</f>
        <v>89.480181000000002</v>
      </c>
      <c r="K1193" cm="1">
        <f t="array" aca="1" ref="K1193" ca="1">[1]!s_west_mediannetprofit($B$1,YEAR($A1192)+1,$A1192,180,1000000)</f>
        <v>-131</v>
      </c>
      <c r="L1193" cm="1">
        <f t="array" aca="1" ref="L1193" ca="1">[1]!s_dq_close($B$1,$A1193,3)</f>
        <v>25.25</v>
      </c>
    </row>
    <row r="1194" spans="1:12">
      <c r="A1194" s="23">
        <f t="shared" ca="1" si="18"/>
        <v>44981</v>
      </c>
      <c r="B1194" cm="1">
        <f t="array" aca="1" ref="B1194" ca="1">[1]!s_west_netprofit($B$1,YEAR($A1194),$A1194,180,1000000)</f>
        <v>-109.887333</v>
      </c>
      <c r="C1194" cm="1">
        <f t="array" aca="1" ref="C1194" ca="1">[1]!s_west_eps($B$1,YEAR($A1194),$A1194,180)</f>
        <v>-0.12709999999999999</v>
      </c>
      <c r="D1194" cm="1">
        <f t="array" aca="1" ref="D1194" ca="1">[1]!s_west_instnum_np($B$1,YEAR($A1194),$A1194,180)</f>
        <v>9</v>
      </c>
      <c r="E1194" cm="1">
        <f t="array" aca="1" ref="E1194" ca="1">[1]!s_west_stdnetprofit($B$1,YEAR($A1194),$A1194,180,1000000)</f>
        <v>162.030846</v>
      </c>
      <c r="F1194" cm="1">
        <f t="array" aca="1" ref="F1194" ca="1">[1]!s_west_mediannetprofit($B$1,YEAR($A1194),$A1194,180,1000000)</f>
        <v>-116.7</v>
      </c>
      <c r="G1194" cm="1">
        <f t="array" aca="1" ref="G1194" ca="1">[1]!s_west_netprofit($B$1,YEAR($A1194)+1,$A1194,180,1000000)</f>
        <v>-122.909375</v>
      </c>
      <c r="H1194" cm="1">
        <f t="array" aca="1" ref="H1194" ca="1">[1]!s_west_eps($B$1,YEAR($A1194)+1,$A1194,180)</f>
        <v>-0.1421</v>
      </c>
      <c r="I1194" cm="1">
        <f t="array" aca="1" ref="I1194" ca="1">[1]!s_west_instnum_np($B$1,YEAR($A1194)+1,$A1194,180)</f>
        <v>8</v>
      </c>
      <c r="J1194" cm="1">
        <f t="array" aca="1" ref="J1194" ca="1">[1]!s_west_stdnetprofit($B$1,YEAR($A1194)+1,$A1194,180,1000000)</f>
        <v>89.480181000000002</v>
      </c>
      <c r="K1194" cm="1">
        <f t="array" aca="1" ref="K1194" ca="1">[1]!s_west_mediannetprofit($B$1,YEAR($A1193)+1,$A1193,180,1000000)</f>
        <v>-131</v>
      </c>
      <c r="L1194" cm="1">
        <f t="array" aca="1" ref="L1194" ca="1">[1]!s_dq_close($B$1,$A1194,3)</f>
        <v>25.25</v>
      </c>
    </row>
    <row r="1195" spans="1:12">
      <c r="A1195" s="23">
        <f t="shared" ca="1" si="18"/>
        <v>44980</v>
      </c>
      <c r="B1195" cm="1">
        <f t="array" aca="1" ref="B1195" ca="1">[1]!s_west_netprofit($B$1,YEAR($A1195),$A1195,180,1000000)</f>
        <v>-109.887333</v>
      </c>
      <c r="C1195" cm="1">
        <f t="array" aca="1" ref="C1195" ca="1">[1]!s_west_eps($B$1,YEAR($A1195),$A1195,180)</f>
        <v>-0.12709999999999999</v>
      </c>
      <c r="D1195" cm="1">
        <f t="array" aca="1" ref="D1195" ca="1">[1]!s_west_instnum_np($B$1,YEAR($A1195),$A1195,180)</f>
        <v>9</v>
      </c>
      <c r="E1195" cm="1">
        <f t="array" aca="1" ref="E1195" ca="1">[1]!s_west_stdnetprofit($B$1,YEAR($A1195),$A1195,180,1000000)</f>
        <v>162.030846</v>
      </c>
      <c r="F1195" cm="1">
        <f t="array" aca="1" ref="F1195" ca="1">[1]!s_west_mediannetprofit($B$1,YEAR($A1195),$A1195,180,1000000)</f>
        <v>-116.7</v>
      </c>
      <c r="G1195" cm="1">
        <f t="array" aca="1" ref="G1195" ca="1">[1]!s_west_netprofit($B$1,YEAR($A1195)+1,$A1195,180,1000000)</f>
        <v>-122.909375</v>
      </c>
      <c r="H1195" cm="1">
        <f t="array" aca="1" ref="H1195" ca="1">[1]!s_west_eps($B$1,YEAR($A1195)+1,$A1195,180)</f>
        <v>-0.1421</v>
      </c>
      <c r="I1195" cm="1">
        <f t="array" aca="1" ref="I1195" ca="1">[1]!s_west_instnum_np($B$1,YEAR($A1195)+1,$A1195,180)</f>
        <v>8</v>
      </c>
      <c r="J1195" cm="1">
        <f t="array" aca="1" ref="J1195" ca="1">[1]!s_west_stdnetprofit($B$1,YEAR($A1195)+1,$A1195,180,1000000)</f>
        <v>89.480181000000002</v>
      </c>
      <c r="K1195" cm="1">
        <f t="array" aca="1" ref="K1195" ca="1">[1]!s_west_mediannetprofit($B$1,YEAR($A1194)+1,$A1194,180,1000000)</f>
        <v>-131</v>
      </c>
      <c r="L1195" cm="1">
        <f t="array" aca="1" ref="L1195" ca="1">[1]!s_dq_close($B$1,$A1195,3)</f>
        <v>25.4</v>
      </c>
    </row>
    <row r="1196" spans="1:12">
      <c r="A1196" s="23">
        <f t="shared" ca="1" si="18"/>
        <v>44979</v>
      </c>
      <c r="B1196" cm="1">
        <f t="array" aca="1" ref="B1196" ca="1">[1]!s_west_netprofit($B$1,YEAR($A1196),$A1196,180,1000000)</f>
        <v>-109.887333</v>
      </c>
      <c r="C1196" cm="1">
        <f t="array" aca="1" ref="C1196" ca="1">[1]!s_west_eps($B$1,YEAR($A1196),$A1196,180)</f>
        <v>-0.12709999999999999</v>
      </c>
      <c r="D1196" cm="1">
        <f t="array" aca="1" ref="D1196" ca="1">[1]!s_west_instnum_np($B$1,YEAR($A1196),$A1196,180)</f>
        <v>9</v>
      </c>
      <c r="E1196" cm="1">
        <f t="array" aca="1" ref="E1196" ca="1">[1]!s_west_stdnetprofit($B$1,YEAR($A1196),$A1196,180,1000000)</f>
        <v>162.030846</v>
      </c>
      <c r="F1196" cm="1">
        <f t="array" aca="1" ref="F1196" ca="1">[1]!s_west_mediannetprofit($B$1,YEAR($A1196),$A1196,180,1000000)</f>
        <v>-116.7</v>
      </c>
      <c r="G1196" cm="1">
        <f t="array" aca="1" ref="G1196" ca="1">[1]!s_west_netprofit($B$1,YEAR($A1196)+1,$A1196,180,1000000)</f>
        <v>-122.909375</v>
      </c>
      <c r="H1196" cm="1">
        <f t="array" aca="1" ref="H1196" ca="1">[1]!s_west_eps($B$1,YEAR($A1196)+1,$A1196,180)</f>
        <v>-0.1421</v>
      </c>
      <c r="I1196" cm="1">
        <f t="array" aca="1" ref="I1196" ca="1">[1]!s_west_instnum_np($B$1,YEAR($A1196)+1,$A1196,180)</f>
        <v>8</v>
      </c>
      <c r="J1196" cm="1">
        <f t="array" aca="1" ref="J1196" ca="1">[1]!s_west_stdnetprofit($B$1,YEAR($A1196)+1,$A1196,180,1000000)</f>
        <v>89.480181000000002</v>
      </c>
      <c r="K1196" cm="1">
        <f t="array" aca="1" ref="K1196" ca="1">[1]!s_west_mediannetprofit($B$1,YEAR($A1195)+1,$A1195,180,1000000)</f>
        <v>-131</v>
      </c>
      <c r="L1196" cm="1">
        <f t="array" aca="1" ref="L1196" ca="1">[1]!s_dq_close($B$1,$A1196,3)</f>
        <v>25.2</v>
      </c>
    </row>
    <row r="1197" spans="1:12">
      <c r="A1197" s="23">
        <f t="shared" ca="1" si="18"/>
        <v>44978</v>
      </c>
      <c r="B1197" cm="1">
        <f t="array" aca="1" ref="B1197" ca="1">[1]!s_west_netprofit($B$1,YEAR($A1197),$A1197,180,1000000)</f>
        <v>-109.887333</v>
      </c>
      <c r="C1197" cm="1">
        <f t="array" aca="1" ref="C1197" ca="1">[1]!s_west_eps($B$1,YEAR($A1197),$A1197,180)</f>
        <v>-0.12709999999999999</v>
      </c>
      <c r="D1197" cm="1">
        <f t="array" aca="1" ref="D1197" ca="1">[1]!s_west_instnum_np($B$1,YEAR($A1197),$A1197,180)</f>
        <v>9</v>
      </c>
      <c r="E1197" cm="1">
        <f t="array" aca="1" ref="E1197" ca="1">[1]!s_west_stdnetprofit($B$1,YEAR($A1197),$A1197,180,1000000)</f>
        <v>162.030846</v>
      </c>
      <c r="F1197" cm="1">
        <f t="array" aca="1" ref="F1197" ca="1">[1]!s_west_mediannetprofit($B$1,YEAR($A1197),$A1197,180,1000000)</f>
        <v>-116.7</v>
      </c>
      <c r="G1197" cm="1">
        <f t="array" aca="1" ref="G1197" ca="1">[1]!s_west_netprofit($B$1,YEAR($A1197)+1,$A1197,180,1000000)</f>
        <v>-122.909375</v>
      </c>
      <c r="H1197" cm="1">
        <f t="array" aca="1" ref="H1197" ca="1">[1]!s_west_eps($B$1,YEAR($A1197)+1,$A1197,180)</f>
        <v>-0.1421</v>
      </c>
      <c r="I1197" cm="1">
        <f t="array" aca="1" ref="I1197" ca="1">[1]!s_west_instnum_np($B$1,YEAR($A1197)+1,$A1197,180)</f>
        <v>8</v>
      </c>
      <c r="J1197" cm="1">
        <f t="array" aca="1" ref="J1197" ca="1">[1]!s_west_stdnetprofit($B$1,YEAR($A1197)+1,$A1197,180,1000000)</f>
        <v>89.480181000000002</v>
      </c>
      <c r="K1197" cm="1">
        <f t="array" aca="1" ref="K1197" ca="1">[1]!s_west_mediannetprofit($B$1,YEAR($A1196)+1,$A1196,180,1000000)</f>
        <v>-131</v>
      </c>
      <c r="L1197" cm="1">
        <f t="array" aca="1" ref="L1197" ca="1">[1]!s_dq_close($B$1,$A1197,3)</f>
        <v>25.65</v>
      </c>
    </row>
    <row r="1198" spans="1:12">
      <c r="A1198" s="23">
        <f t="shared" ca="1" si="18"/>
        <v>44977</v>
      </c>
      <c r="B1198" cm="1">
        <f t="array" aca="1" ref="B1198" ca="1">[1]!s_west_netprofit($B$1,YEAR($A1198),$A1198,180,1000000)</f>
        <v>-109.887333</v>
      </c>
      <c r="C1198" cm="1">
        <f t="array" aca="1" ref="C1198" ca="1">[1]!s_west_eps($B$1,YEAR($A1198),$A1198,180)</f>
        <v>-0.12709999999999999</v>
      </c>
      <c r="D1198" cm="1">
        <f t="array" aca="1" ref="D1198" ca="1">[1]!s_west_instnum_np($B$1,YEAR($A1198),$A1198,180)</f>
        <v>9</v>
      </c>
      <c r="E1198" cm="1">
        <f t="array" aca="1" ref="E1198" ca="1">[1]!s_west_stdnetprofit($B$1,YEAR($A1198),$A1198,180,1000000)</f>
        <v>162.030846</v>
      </c>
      <c r="F1198" cm="1">
        <f t="array" aca="1" ref="F1198" ca="1">[1]!s_west_mediannetprofit($B$1,YEAR($A1198),$A1198,180,1000000)</f>
        <v>-116.7</v>
      </c>
      <c r="G1198" cm="1">
        <f t="array" aca="1" ref="G1198" ca="1">[1]!s_west_netprofit($B$1,YEAR($A1198)+1,$A1198,180,1000000)</f>
        <v>-122.909375</v>
      </c>
      <c r="H1198" cm="1">
        <f t="array" aca="1" ref="H1198" ca="1">[1]!s_west_eps($B$1,YEAR($A1198)+1,$A1198,180)</f>
        <v>-0.1421</v>
      </c>
      <c r="I1198" cm="1">
        <f t="array" aca="1" ref="I1198" ca="1">[1]!s_west_instnum_np($B$1,YEAR($A1198)+1,$A1198,180)</f>
        <v>8</v>
      </c>
      <c r="J1198" cm="1">
        <f t="array" aca="1" ref="J1198" ca="1">[1]!s_west_stdnetprofit($B$1,YEAR($A1198)+1,$A1198,180,1000000)</f>
        <v>89.480181000000002</v>
      </c>
      <c r="K1198" cm="1">
        <f t="array" aca="1" ref="K1198" ca="1">[1]!s_west_mediannetprofit($B$1,YEAR($A1197)+1,$A1197,180,1000000)</f>
        <v>-131</v>
      </c>
      <c r="L1198" cm="1">
        <f t="array" aca="1" ref="L1198" ca="1">[1]!s_dq_close($B$1,$A1198,3)</f>
        <v>26.6</v>
      </c>
    </row>
    <row r="1199" spans="1:12">
      <c r="A1199" s="23">
        <f t="shared" ca="1" si="18"/>
        <v>44976</v>
      </c>
      <c r="B1199" cm="1">
        <f t="array" aca="1" ref="B1199" ca="1">[1]!s_west_netprofit($B$1,YEAR($A1199),$A1199,180,1000000)</f>
        <v>-109.887333</v>
      </c>
      <c r="C1199" cm="1">
        <f t="array" aca="1" ref="C1199" ca="1">[1]!s_west_eps($B$1,YEAR($A1199),$A1199,180)</f>
        <v>-0.12709999999999999</v>
      </c>
      <c r="D1199" cm="1">
        <f t="array" aca="1" ref="D1199" ca="1">[1]!s_west_instnum_np($B$1,YEAR($A1199),$A1199,180)</f>
        <v>9</v>
      </c>
      <c r="E1199" cm="1">
        <f t="array" aca="1" ref="E1199" ca="1">[1]!s_west_stdnetprofit($B$1,YEAR($A1199),$A1199,180,1000000)</f>
        <v>162.030846</v>
      </c>
      <c r="F1199" cm="1">
        <f t="array" aca="1" ref="F1199" ca="1">[1]!s_west_mediannetprofit($B$1,YEAR($A1199),$A1199,180,1000000)</f>
        <v>-116.7</v>
      </c>
      <c r="G1199" cm="1">
        <f t="array" aca="1" ref="G1199" ca="1">[1]!s_west_netprofit($B$1,YEAR($A1199)+1,$A1199,180,1000000)</f>
        <v>-122.909375</v>
      </c>
      <c r="H1199" cm="1">
        <f t="array" aca="1" ref="H1199" ca="1">[1]!s_west_eps($B$1,YEAR($A1199)+1,$A1199,180)</f>
        <v>-0.1421</v>
      </c>
      <c r="I1199" cm="1">
        <f t="array" aca="1" ref="I1199" ca="1">[1]!s_west_instnum_np($B$1,YEAR($A1199)+1,$A1199,180)</f>
        <v>8</v>
      </c>
      <c r="J1199" cm="1">
        <f t="array" aca="1" ref="J1199" ca="1">[1]!s_west_stdnetprofit($B$1,YEAR($A1199)+1,$A1199,180,1000000)</f>
        <v>89.480181000000002</v>
      </c>
      <c r="K1199" cm="1">
        <f t="array" aca="1" ref="K1199" ca="1">[1]!s_west_mediannetprofit($B$1,YEAR($A1198)+1,$A1198,180,1000000)</f>
        <v>-131</v>
      </c>
      <c r="L1199" cm="1">
        <f t="array" aca="1" ref="L1199" ca="1">[1]!s_dq_close($B$1,$A1199,3)</f>
        <v>25.9</v>
      </c>
    </row>
    <row r="1200" spans="1:12">
      <c r="A1200" s="23">
        <f t="shared" ca="1" si="18"/>
        <v>44975</v>
      </c>
      <c r="B1200" cm="1">
        <f t="array" aca="1" ref="B1200" ca="1">[1]!s_west_netprofit($B$1,YEAR($A1200),$A1200,180,1000000)</f>
        <v>-109.887333</v>
      </c>
      <c r="C1200" cm="1">
        <f t="array" aca="1" ref="C1200" ca="1">[1]!s_west_eps($B$1,YEAR($A1200),$A1200,180)</f>
        <v>-0.12709999999999999</v>
      </c>
      <c r="D1200" cm="1">
        <f t="array" aca="1" ref="D1200" ca="1">[1]!s_west_instnum_np($B$1,YEAR($A1200),$A1200,180)</f>
        <v>9</v>
      </c>
      <c r="E1200" cm="1">
        <f t="array" aca="1" ref="E1200" ca="1">[1]!s_west_stdnetprofit($B$1,YEAR($A1200),$A1200,180,1000000)</f>
        <v>162.030846</v>
      </c>
      <c r="F1200" cm="1">
        <f t="array" aca="1" ref="F1200" ca="1">[1]!s_west_mediannetprofit($B$1,YEAR($A1200),$A1200,180,1000000)</f>
        <v>-116.7</v>
      </c>
      <c r="G1200" cm="1">
        <f t="array" aca="1" ref="G1200" ca="1">[1]!s_west_netprofit($B$1,YEAR($A1200)+1,$A1200,180,1000000)</f>
        <v>-122.909375</v>
      </c>
      <c r="H1200" cm="1">
        <f t="array" aca="1" ref="H1200" ca="1">[1]!s_west_eps($B$1,YEAR($A1200)+1,$A1200,180)</f>
        <v>-0.1421</v>
      </c>
      <c r="I1200" cm="1">
        <f t="array" aca="1" ref="I1200" ca="1">[1]!s_west_instnum_np($B$1,YEAR($A1200)+1,$A1200,180)</f>
        <v>8</v>
      </c>
      <c r="J1200" cm="1">
        <f t="array" aca="1" ref="J1200" ca="1">[1]!s_west_stdnetprofit($B$1,YEAR($A1200)+1,$A1200,180,1000000)</f>
        <v>89.480181000000002</v>
      </c>
      <c r="K1200" cm="1">
        <f t="array" aca="1" ref="K1200" ca="1">[1]!s_west_mediannetprofit($B$1,YEAR($A1199)+1,$A1199,180,1000000)</f>
        <v>-131</v>
      </c>
      <c r="L1200" cm="1">
        <f t="array" aca="1" ref="L1200" ca="1">[1]!s_dq_close($B$1,$A1200,3)</f>
        <v>25.9</v>
      </c>
    </row>
    <row r="1201" spans="1:12">
      <c r="A1201" s="23">
        <f t="shared" ca="1" si="18"/>
        <v>44974</v>
      </c>
      <c r="B1201" cm="1">
        <f t="array" aca="1" ref="B1201" ca="1">[1]!s_west_netprofit($B$1,YEAR($A1201),$A1201,180,1000000)</f>
        <v>-109.887333</v>
      </c>
      <c r="C1201" cm="1">
        <f t="array" aca="1" ref="C1201" ca="1">[1]!s_west_eps($B$1,YEAR($A1201),$A1201,180)</f>
        <v>-0.12709999999999999</v>
      </c>
      <c r="D1201" cm="1">
        <f t="array" aca="1" ref="D1201" ca="1">[1]!s_west_instnum_np($B$1,YEAR($A1201),$A1201,180)</f>
        <v>9</v>
      </c>
      <c r="E1201" cm="1">
        <f t="array" aca="1" ref="E1201" ca="1">[1]!s_west_stdnetprofit($B$1,YEAR($A1201),$A1201,180,1000000)</f>
        <v>162.030846</v>
      </c>
      <c r="F1201" cm="1">
        <f t="array" aca="1" ref="F1201" ca="1">[1]!s_west_mediannetprofit($B$1,YEAR($A1201),$A1201,180,1000000)</f>
        <v>-116.7</v>
      </c>
      <c r="G1201" cm="1">
        <f t="array" aca="1" ref="G1201" ca="1">[1]!s_west_netprofit($B$1,YEAR($A1201)+1,$A1201,180,1000000)</f>
        <v>-122.909375</v>
      </c>
      <c r="H1201" cm="1">
        <f t="array" aca="1" ref="H1201" ca="1">[1]!s_west_eps($B$1,YEAR($A1201)+1,$A1201,180)</f>
        <v>-0.1421</v>
      </c>
      <c r="I1201" cm="1">
        <f t="array" aca="1" ref="I1201" ca="1">[1]!s_west_instnum_np($B$1,YEAR($A1201)+1,$A1201,180)</f>
        <v>8</v>
      </c>
      <c r="J1201" cm="1">
        <f t="array" aca="1" ref="J1201" ca="1">[1]!s_west_stdnetprofit($B$1,YEAR($A1201)+1,$A1201,180,1000000)</f>
        <v>89.480181000000002</v>
      </c>
      <c r="K1201" cm="1">
        <f t="array" aca="1" ref="K1201" ca="1">[1]!s_west_mediannetprofit($B$1,YEAR($A1200)+1,$A1200,180,1000000)</f>
        <v>-131</v>
      </c>
      <c r="L1201" cm="1">
        <f t="array" aca="1" ref="L1201" ca="1">[1]!s_dq_close($B$1,$A1201,3)</f>
        <v>25.9</v>
      </c>
    </row>
    <row r="1202" spans="1:12">
      <c r="A1202" s="23">
        <f t="shared" ca="1" si="18"/>
        <v>44973</v>
      </c>
      <c r="B1202" cm="1">
        <f t="array" aca="1" ref="B1202" ca="1">[1]!s_west_netprofit($B$1,YEAR($A1202),$A1202,180,1000000)</f>
        <v>-109.887333</v>
      </c>
      <c r="C1202" cm="1">
        <f t="array" aca="1" ref="C1202" ca="1">[1]!s_west_eps($B$1,YEAR($A1202),$A1202,180)</f>
        <v>-0.12709999999999999</v>
      </c>
      <c r="D1202" cm="1">
        <f t="array" aca="1" ref="D1202" ca="1">[1]!s_west_instnum_np($B$1,YEAR($A1202),$A1202,180)</f>
        <v>9</v>
      </c>
      <c r="E1202" cm="1">
        <f t="array" aca="1" ref="E1202" ca="1">[1]!s_west_stdnetprofit($B$1,YEAR($A1202),$A1202,180,1000000)</f>
        <v>162.030846</v>
      </c>
      <c r="F1202" cm="1">
        <f t="array" aca="1" ref="F1202" ca="1">[1]!s_west_mediannetprofit($B$1,YEAR($A1202),$A1202,180,1000000)</f>
        <v>-116.7</v>
      </c>
      <c r="G1202" cm="1">
        <f t="array" aca="1" ref="G1202" ca="1">[1]!s_west_netprofit($B$1,YEAR($A1202)+1,$A1202,180,1000000)</f>
        <v>-122.909375</v>
      </c>
      <c r="H1202" cm="1">
        <f t="array" aca="1" ref="H1202" ca="1">[1]!s_west_eps($B$1,YEAR($A1202)+1,$A1202,180)</f>
        <v>-0.1421</v>
      </c>
      <c r="I1202" cm="1">
        <f t="array" aca="1" ref="I1202" ca="1">[1]!s_west_instnum_np($B$1,YEAR($A1202)+1,$A1202,180)</f>
        <v>8</v>
      </c>
      <c r="J1202" cm="1">
        <f t="array" aca="1" ref="J1202" ca="1">[1]!s_west_stdnetprofit($B$1,YEAR($A1202)+1,$A1202,180,1000000)</f>
        <v>89.480181000000002</v>
      </c>
      <c r="K1202" cm="1">
        <f t="array" aca="1" ref="K1202" ca="1">[1]!s_west_mediannetprofit($B$1,YEAR($A1201)+1,$A1201,180,1000000)</f>
        <v>-131</v>
      </c>
      <c r="L1202" cm="1">
        <f t="array" aca="1" ref="L1202" ca="1">[1]!s_dq_close($B$1,$A1202,3)</f>
        <v>25.9</v>
      </c>
    </row>
    <row r="1203" spans="1:12">
      <c r="A1203" s="23">
        <f t="shared" ca="1" si="18"/>
        <v>44972</v>
      </c>
      <c r="B1203" cm="1">
        <f t="array" aca="1" ref="B1203" ca="1">[1]!s_west_netprofit($B$1,YEAR($A1203),$A1203,180,1000000)</f>
        <v>-109.887333</v>
      </c>
      <c r="C1203" cm="1">
        <f t="array" aca="1" ref="C1203" ca="1">[1]!s_west_eps($B$1,YEAR($A1203),$A1203,180)</f>
        <v>-0.12709999999999999</v>
      </c>
      <c r="D1203" cm="1">
        <f t="array" aca="1" ref="D1203" ca="1">[1]!s_west_instnum_np($B$1,YEAR($A1203),$A1203,180)</f>
        <v>9</v>
      </c>
      <c r="E1203" cm="1">
        <f t="array" aca="1" ref="E1203" ca="1">[1]!s_west_stdnetprofit($B$1,YEAR($A1203),$A1203,180,1000000)</f>
        <v>162.030846</v>
      </c>
      <c r="F1203" cm="1">
        <f t="array" aca="1" ref="F1203" ca="1">[1]!s_west_mediannetprofit($B$1,YEAR($A1203),$A1203,180,1000000)</f>
        <v>-116.7</v>
      </c>
      <c r="G1203" cm="1">
        <f t="array" aca="1" ref="G1203" ca="1">[1]!s_west_netprofit($B$1,YEAR($A1203)+1,$A1203,180,1000000)</f>
        <v>-122.909375</v>
      </c>
      <c r="H1203" cm="1">
        <f t="array" aca="1" ref="H1203" ca="1">[1]!s_west_eps($B$1,YEAR($A1203)+1,$A1203,180)</f>
        <v>-0.1421</v>
      </c>
      <c r="I1203" cm="1">
        <f t="array" aca="1" ref="I1203" ca="1">[1]!s_west_instnum_np($B$1,YEAR($A1203)+1,$A1203,180)</f>
        <v>8</v>
      </c>
      <c r="J1203" cm="1">
        <f t="array" aca="1" ref="J1203" ca="1">[1]!s_west_stdnetprofit($B$1,YEAR($A1203)+1,$A1203,180,1000000)</f>
        <v>89.480181000000002</v>
      </c>
      <c r="K1203" cm="1">
        <f t="array" aca="1" ref="K1203" ca="1">[1]!s_west_mediannetprofit($B$1,YEAR($A1202)+1,$A1202,180,1000000)</f>
        <v>-131</v>
      </c>
      <c r="L1203" cm="1">
        <f t="array" aca="1" ref="L1203" ca="1">[1]!s_dq_close($B$1,$A1203,3)</f>
        <v>26.5</v>
      </c>
    </row>
    <row r="1204" spans="1:12">
      <c r="A1204" s="23">
        <f t="shared" ca="1" si="18"/>
        <v>44971</v>
      </c>
      <c r="B1204" cm="1">
        <f t="array" aca="1" ref="B1204" ca="1">[1]!s_west_netprofit($B$1,YEAR($A1204),$A1204,180,1000000)</f>
        <v>-109.887333</v>
      </c>
      <c r="C1204" cm="1">
        <f t="array" aca="1" ref="C1204" ca="1">[1]!s_west_eps($B$1,YEAR($A1204),$A1204,180)</f>
        <v>-0.12709999999999999</v>
      </c>
      <c r="D1204" cm="1">
        <f t="array" aca="1" ref="D1204" ca="1">[1]!s_west_instnum_np($B$1,YEAR($A1204),$A1204,180)</f>
        <v>9</v>
      </c>
      <c r="E1204" cm="1">
        <f t="array" aca="1" ref="E1204" ca="1">[1]!s_west_stdnetprofit($B$1,YEAR($A1204),$A1204,180,1000000)</f>
        <v>162.030846</v>
      </c>
      <c r="F1204" cm="1">
        <f t="array" aca="1" ref="F1204" ca="1">[1]!s_west_mediannetprofit($B$1,YEAR($A1204),$A1204,180,1000000)</f>
        <v>-116.7</v>
      </c>
      <c r="G1204" cm="1">
        <f t="array" aca="1" ref="G1204" ca="1">[1]!s_west_netprofit($B$1,YEAR($A1204)+1,$A1204,180,1000000)</f>
        <v>-122.909375</v>
      </c>
      <c r="H1204" cm="1">
        <f t="array" aca="1" ref="H1204" ca="1">[1]!s_west_eps($B$1,YEAR($A1204)+1,$A1204,180)</f>
        <v>-0.1421</v>
      </c>
      <c r="I1204" cm="1">
        <f t="array" aca="1" ref="I1204" ca="1">[1]!s_west_instnum_np($B$1,YEAR($A1204)+1,$A1204,180)</f>
        <v>8</v>
      </c>
      <c r="J1204" cm="1">
        <f t="array" aca="1" ref="J1204" ca="1">[1]!s_west_stdnetprofit($B$1,YEAR($A1204)+1,$A1204,180,1000000)</f>
        <v>89.480181000000002</v>
      </c>
      <c r="K1204" cm="1">
        <f t="array" aca="1" ref="K1204" ca="1">[1]!s_west_mediannetprofit($B$1,YEAR($A1203)+1,$A1203,180,1000000)</f>
        <v>-131</v>
      </c>
      <c r="L1204" cm="1">
        <f t="array" aca="1" ref="L1204" ca="1">[1]!s_dq_close($B$1,$A1204,3)</f>
        <v>26.15</v>
      </c>
    </row>
    <row r="1205" spans="1:12">
      <c r="A1205" s="23">
        <f t="shared" ca="1" si="18"/>
        <v>44970</v>
      </c>
      <c r="B1205" cm="1">
        <f t="array" aca="1" ref="B1205" ca="1">[1]!s_west_netprofit($B$1,YEAR($A1205),$A1205,180,1000000)</f>
        <v>-109.887333</v>
      </c>
      <c r="C1205" cm="1">
        <f t="array" aca="1" ref="C1205" ca="1">[1]!s_west_eps($B$1,YEAR($A1205),$A1205,180)</f>
        <v>-0.12709999999999999</v>
      </c>
      <c r="D1205" cm="1">
        <f t="array" aca="1" ref="D1205" ca="1">[1]!s_west_instnum_np($B$1,YEAR($A1205),$A1205,180)</f>
        <v>9</v>
      </c>
      <c r="E1205" cm="1">
        <f t="array" aca="1" ref="E1205" ca="1">[1]!s_west_stdnetprofit($B$1,YEAR($A1205),$A1205,180,1000000)</f>
        <v>162.030846</v>
      </c>
      <c r="F1205" cm="1">
        <f t="array" aca="1" ref="F1205" ca="1">[1]!s_west_mediannetprofit($B$1,YEAR($A1205),$A1205,180,1000000)</f>
        <v>-116.7</v>
      </c>
      <c r="G1205" cm="1">
        <f t="array" aca="1" ref="G1205" ca="1">[1]!s_west_netprofit($B$1,YEAR($A1205)+1,$A1205,180,1000000)</f>
        <v>-122.909375</v>
      </c>
      <c r="H1205" cm="1">
        <f t="array" aca="1" ref="H1205" ca="1">[1]!s_west_eps($B$1,YEAR($A1205)+1,$A1205,180)</f>
        <v>-0.1421</v>
      </c>
      <c r="I1205" cm="1">
        <f t="array" aca="1" ref="I1205" ca="1">[1]!s_west_instnum_np($B$1,YEAR($A1205)+1,$A1205,180)</f>
        <v>8</v>
      </c>
      <c r="J1205" cm="1">
        <f t="array" aca="1" ref="J1205" ca="1">[1]!s_west_stdnetprofit($B$1,YEAR($A1205)+1,$A1205,180,1000000)</f>
        <v>89.480181000000002</v>
      </c>
      <c r="K1205" cm="1">
        <f t="array" aca="1" ref="K1205" ca="1">[1]!s_west_mediannetprofit($B$1,YEAR($A1204)+1,$A1204,180,1000000)</f>
        <v>-131</v>
      </c>
      <c r="L1205" cm="1">
        <f t="array" aca="1" ref="L1205" ca="1">[1]!s_dq_close($B$1,$A1205,3)</f>
        <v>26.4</v>
      </c>
    </row>
    <row r="1206" spans="1:12">
      <c r="A1206" s="23">
        <f t="shared" ca="1" si="18"/>
        <v>44969</v>
      </c>
      <c r="B1206" cm="1">
        <f t="array" aca="1" ref="B1206" ca="1">[1]!s_west_netprofit($B$1,YEAR($A1206),$A1206,180,1000000)</f>
        <v>-109.887333</v>
      </c>
      <c r="C1206" cm="1">
        <f t="array" aca="1" ref="C1206" ca="1">[1]!s_west_eps($B$1,YEAR($A1206),$A1206,180)</f>
        <v>-0.12709999999999999</v>
      </c>
      <c r="D1206" cm="1">
        <f t="array" aca="1" ref="D1206" ca="1">[1]!s_west_instnum_np($B$1,YEAR($A1206),$A1206,180)</f>
        <v>9</v>
      </c>
      <c r="E1206" cm="1">
        <f t="array" aca="1" ref="E1206" ca="1">[1]!s_west_stdnetprofit($B$1,YEAR($A1206),$A1206,180,1000000)</f>
        <v>162.030846</v>
      </c>
      <c r="F1206" cm="1">
        <f t="array" aca="1" ref="F1206" ca="1">[1]!s_west_mediannetprofit($B$1,YEAR($A1206),$A1206,180,1000000)</f>
        <v>-116.7</v>
      </c>
      <c r="G1206" cm="1">
        <f t="array" aca="1" ref="G1206" ca="1">[1]!s_west_netprofit($B$1,YEAR($A1206)+1,$A1206,180,1000000)</f>
        <v>-122.909375</v>
      </c>
      <c r="H1206" cm="1">
        <f t="array" aca="1" ref="H1206" ca="1">[1]!s_west_eps($B$1,YEAR($A1206)+1,$A1206,180)</f>
        <v>-0.1421</v>
      </c>
      <c r="I1206" cm="1">
        <f t="array" aca="1" ref="I1206" ca="1">[1]!s_west_instnum_np($B$1,YEAR($A1206)+1,$A1206,180)</f>
        <v>8</v>
      </c>
      <c r="J1206" cm="1">
        <f t="array" aca="1" ref="J1206" ca="1">[1]!s_west_stdnetprofit($B$1,YEAR($A1206)+1,$A1206,180,1000000)</f>
        <v>89.480181000000002</v>
      </c>
      <c r="K1206" cm="1">
        <f t="array" aca="1" ref="K1206" ca="1">[1]!s_west_mediannetprofit($B$1,YEAR($A1205)+1,$A1205,180,1000000)</f>
        <v>-131</v>
      </c>
      <c r="L1206" cm="1">
        <f t="array" aca="1" ref="L1206" ca="1">[1]!s_dq_close($B$1,$A1206,3)</f>
        <v>27</v>
      </c>
    </row>
    <row r="1207" spans="1:12">
      <c r="A1207" s="23">
        <f t="shared" ca="1" si="18"/>
        <v>44968</v>
      </c>
      <c r="B1207" cm="1">
        <f t="array" aca="1" ref="B1207" ca="1">[1]!s_west_netprofit($B$1,YEAR($A1207),$A1207,180,1000000)</f>
        <v>-109.887333</v>
      </c>
      <c r="C1207" cm="1">
        <f t="array" aca="1" ref="C1207" ca="1">[1]!s_west_eps($B$1,YEAR($A1207),$A1207,180)</f>
        <v>-0.12709999999999999</v>
      </c>
      <c r="D1207" cm="1">
        <f t="array" aca="1" ref="D1207" ca="1">[1]!s_west_instnum_np($B$1,YEAR($A1207),$A1207,180)</f>
        <v>9</v>
      </c>
      <c r="E1207" cm="1">
        <f t="array" aca="1" ref="E1207" ca="1">[1]!s_west_stdnetprofit($B$1,YEAR($A1207),$A1207,180,1000000)</f>
        <v>162.030846</v>
      </c>
      <c r="F1207" cm="1">
        <f t="array" aca="1" ref="F1207" ca="1">[1]!s_west_mediannetprofit($B$1,YEAR($A1207),$A1207,180,1000000)</f>
        <v>-116.7</v>
      </c>
      <c r="G1207" cm="1">
        <f t="array" aca="1" ref="G1207" ca="1">[1]!s_west_netprofit($B$1,YEAR($A1207)+1,$A1207,180,1000000)</f>
        <v>-122.909375</v>
      </c>
      <c r="H1207" cm="1">
        <f t="array" aca="1" ref="H1207" ca="1">[1]!s_west_eps($B$1,YEAR($A1207)+1,$A1207,180)</f>
        <v>-0.1421</v>
      </c>
      <c r="I1207" cm="1">
        <f t="array" aca="1" ref="I1207" ca="1">[1]!s_west_instnum_np($B$1,YEAR($A1207)+1,$A1207,180)</f>
        <v>8</v>
      </c>
      <c r="J1207" cm="1">
        <f t="array" aca="1" ref="J1207" ca="1">[1]!s_west_stdnetprofit($B$1,YEAR($A1207)+1,$A1207,180,1000000)</f>
        <v>89.480181000000002</v>
      </c>
      <c r="K1207" cm="1">
        <f t="array" aca="1" ref="K1207" ca="1">[1]!s_west_mediannetprofit($B$1,YEAR($A1206)+1,$A1206,180,1000000)</f>
        <v>-131</v>
      </c>
      <c r="L1207" cm="1">
        <f t="array" aca="1" ref="L1207" ca="1">[1]!s_dq_close($B$1,$A1207,3)</f>
        <v>27</v>
      </c>
    </row>
    <row r="1208" spans="1:12">
      <c r="A1208" s="23">
        <f t="shared" ca="1" si="18"/>
        <v>44967</v>
      </c>
      <c r="B1208" cm="1">
        <f t="array" aca="1" ref="B1208" ca="1">[1]!s_west_netprofit($B$1,YEAR($A1208),$A1208,180,1000000)</f>
        <v>-109.887333</v>
      </c>
      <c r="C1208" cm="1">
        <f t="array" aca="1" ref="C1208" ca="1">[1]!s_west_eps($B$1,YEAR($A1208),$A1208,180)</f>
        <v>-0.12709999999999999</v>
      </c>
      <c r="D1208" cm="1">
        <f t="array" aca="1" ref="D1208" ca="1">[1]!s_west_instnum_np($B$1,YEAR($A1208),$A1208,180)</f>
        <v>9</v>
      </c>
      <c r="E1208" cm="1">
        <f t="array" aca="1" ref="E1208" ca="1">[1]!s_west_stdnetprofit($B$1,YEAR($A1208),$A1208,180,1000000)</f>
        <v>162.030846</v>
      </c>
      <c r="F1208" cm="1">
        <f t="array" aca="1" ref="F1208" ca="1">[1]!s_west_mediannetprofit($B$1,YEAR($A1208),$A1208,180,1000000)</f>
        <v>-116.7</v>
      </c>
      <c r="G1208" cm="1">
        <f t="array" aca="1" ref="G1208" ca="1">[1]!s_west_netprofit($B$1,YEAR($A1208)+1,$A1208,180,1000000)</f>
        <v>-122.909375</v>
      </c>
      <c r="H1208" cm="1">
        <f t="array" aca="1" ref="H1208" ca="1">[1]!s_west_eps($B$1,YEAR($A1208)+1,$A1208,180)</f>
        <v>-0.1421</v>
      </c>
      <c r="I1208" cm="1">
        <f t="array" aca="1" ref="I1208" ca="1">[1]!s_west_instnum_np($B$1,YEAR($A1208)+1,$A1208,180)</f>
        <v>8</v>
      </c>
      <c r="J1208" cm="1">
        <f t="array" aca="1" ref="J1208" ca="1">[1]!s_west_stdnetprofit($B$1,YEAR($A1208)+1,$A1208,180,1000000)</f>
        <v>89.480181000000002</v>
      </c>
      <c r="K1208" cm="1">
        <f t="array" aca="1" ref="K1208" ca="1">[1]!s_west_mediannetprofit($B$1,YEAR($A1207)+1,$A1207,180,1000000)</f>
        <v>-131</v>
      </c>
      <c r="L1208" cm="1">
        <f t="array" aca="1" ref="L1208" ca="1">[1]!s_dq_close($B$1,$A1208,3)</f>
        <v>27</v>
      </c>
    </row>
    <row r="1209" spans="1:12">
      <c r="A1209" s="23">
        <f t="shared" ca="1" si="18"/>
        <v>44966</v>
      </c>
      <c r="B1209" cm="1">
        <f t="array" aca="1" ref="B1209" ca="1">[1]!s_west_netprofit($B$1,YEAR($A1209),$A1209,180,1000000)</f>
        <v>-109.887333</v>
      </c>
      <c r="C1209" cm="1">
        <f t="array" aca="1" ref="C1209" ca="1">[1]!s_west_eps($B$1,YEAR($A1209),$A1209,180)</f>
        <v>-0.12709999999999999</v>
      </c>
      <c r="D1209" cm="1">
        <f t="array" aca="1" ref="D1209" ca="1">[1]!s_west_instnum_np($B$1,YEAR($A1209),$A1209,180)</f>
        <v>9</v>
      </c>
      <c r="E1209" cm="1">
        <f t="array" aca="1" ref="E1209" ca="1">[1]!s_west_stdnetprofit($B$1,YEAR($A1209),$A1209,180,1000000)</f>
        <v>162.030846</v>
      </c>
      <c r="F1209" cm="1">
        <f t="array" aca="1" ref="F1209" ca="1">[1]!s_west_mediannetprofit($B$1,YEAR($A1209),$A1209,180,1000000)</f>
        <v>-116.7</v>
      </c>
      <c r="G1209" cm="1">
        <f t="array" aca="1" ref="G1209" ca="1">[1]!s_west_netprofit($B$1,YEAR($A1209)+1,$A1209,180,1000000)</f>
        <v>-122.909375</v>
      </c>
      <c r="H1209" cm="1">
        <f t="array" aca="1" ref="H1209" ca="1">[1]!s_west_eps($B$1,YEAR($A1209)+1,$A1209,180)</f>
        <v>-0.1421</v>
      </c>
      <c r="I1209" cm="1">
        <f t="array" aca="1" ref="I1209" ca="1">[1]!s_west_instnum_np($B$1,YEAR($A1209)+1,$A1209,180)</f>
        <v>8</v>
      </c>
      <c r="J1209" cm="1">
        <f t="array" aca="1" ref="J1209" ca="1">[1]!s_west_stdnetprofit($B$1,YEAR($A1209)+1,$A1209,180,1000000)</f>
        <v>89.480181000000002</v>
      </c>
      <c r="K1209" cm="1">
        <f t="array" aca="1" ref="K1209" ca="1">[1]!s_west_mediannetprofit($B$1,YEAR($A1208)+1,$A1208,180,1000000)</f>
        <v>-131</v>
      </c>
      <c r="L1209" cm="1">
        <f t="array" aca="1" ref="L1209" ca="1">[1]!s_dq_close($B$1,$A1209,3)</f>
        <v>29.35</v>
      </c>
    </row>
    <row r="1210" spans="1:12">
      <c r="A1210" s="23">
        <f t="shared" ca="1" si="18"/>
        <v>44965</v>
      </c>
      <c r="B1210" cm="1">
        <f t="array" aca="1" ref="B1210" ca="1">[1]!s_west_netprofit($B$1,YEAR($A1210),$A1210,180,1000000)</f>
        <v>-109.887333</v>
      </c>
      <c r="C1210" cm="1">
        <f t="array" aca="1" ref="C1210" ca="1">[1]!s_west_eps($B$1,YEAR($A1210),$A1210,180)</f>
        <v>-0.12709999999999999</v>
      </c>
      <c r="D1210" cm="1">
        <f t="array" aca="1" ref="D1210" ca="1">[1]!s_west_instnum_np($B$1,YEAR($A1210),$A1210,180)</f>
        <v>9</v>
      </c>
      <c r="E1210" cm="1">
        <f t="array" aca="1" ref="E1210" ca="1">[1]!s_west_stdnetprofit($B$1,YEAR($A1210),$A1210,180,1000000)</f>
        <v>162.030846</v>
      </c>
      <c r="F1210" cm="1">
        <f t="array" aca="1" ref="F1210" ca="1">[1]!s_west_mediannetprofit($B$1,YEAR($A1210),$A1210,180,1000000)</f>
        <v>-116.7</v>
      </c>
      <c r="G1210" cm="1">
        <f t="array" aca="1" ref="G1210" ca="1">[1]!s_west_netprofit($B$1,YEAR($A1210)+1,$A1210,180,1000000)</f>
        <v>-122.909375</v>
      </c>
      <c r="H1210" cm="1">
        <f t="array" aca="1" ref="H1210" ca="1">[1]!s_west_eps($B$1,YEAR($A1210)+1,$A1210,180)</f>
        <v>-0.1421</v>
      </c>
      <c r="I1210" cm="1">
        <f t="array" aca="1" ref="I1210" ca="1">[1]!s_west_instnum_np($B$1,YEAR($A1210)+1,$A1210,180)</f>
        <v>8</v>
      </c>
      <c r="J1210" cm="1">
        <f t="array" aca="1" ref="J1210" ca="1">[1]!s_west_stdnetprofit($B$1,YEAR($A1210)+1,$A1210,180,1000000)</f>
        <v>89.480181000000002</v>
      </c>
      <c r="K1210" cm="1">
        <f t="array" aca="1" ref="K1210" ca="1">[1]!s_west_mediannetprofit($B$1,YEAR($A1209)+1,$A1209,180,1000000)</f>
        <v>-131</v>
      </c>
      <c r="L1210" cm="1">
        <f t="array" aca="1" ref="L1210" ca="1">[1]!s_dq_close($B$1,$A1210,3)</f>
        <v>29.7</v>
      </c>
    </row>
    <row r="1211" spans="1:12">
      <c r="A1211" s="23">
        <f t="shared" ca="1" si="18"/>
        <v>44964</v>
      </c>
      <c r="B1211" cm="1">
        <f t="array" aca="1" ref="B1211" ca="1">[1]!s_west_netprofit($B$1,YEAR($A1211),$A1211,180,1000000)</f>
        <v>-109.887333</v>
      </c>
      <c r="C1211" cm="1">
        <f t="array" aca="1" ref="C1211" ca="1">[1]!s_west_eps($B$1,YEAR($A1211),$A1211,180)</f>
        <v>-0.12709999999999999</v>
      </c>
      <c r="D1211" cm="1">
        <f t="array" aca="1" ref="D1211" ca="1">[1]!s_west_instnum_np($B$1,YEAR($A1211),$A1211,180)</f>
        <v>9</v>
      </c>
      <c r="E1211" cm="1">
        <f t="array" aca="1" ref="E1211" ca="1">[1]!s_west_stdnetprofit($B$1,YEAR($A1211),$A1211,180,1000000)</f>
        <v>162.030846</v>
      </c>
      <c r="F1211" cm="1">
        <f t="array" aca="1" ref="F1211" ca="1">[1]!s_west_mediannetprofit($B$1,YEAR($A1211),$A1211,180,1000000)</f>
        <v>-116.7</v>
      </c>
      <c r="G1211" cm="1">
        <f t="array" aca="1" ref="G1211" ca="1">[1]!s_west_netprofit($B$1,YEAR($A1211)+1,$A1211,180,1000000)</f>
        <v>-122.909375</v>
      </c>
      <c r="H1211" cm="1">
        <f t="array" aca="1" ref="H1211" ca="1">[1]!s_west_eps($B$1,YEAR($A1211)+1,$A1211,180)</f>
        <v>-0.1421</v>
      </c>
      <c r="I1211" cm="1">
        <f t="array" aca="1" ref="I1211" ca="1">[1]!s_west_instnum_np($B$1,YEAR($A1211)+1,$A1211,180)</f>
        <v>8</v>
      </c>
      <c r="J1211" cm="1">
        <f t="array" aca="1" ref="J1211" ca="1">[1]!s_west_stdnetprofit($B$1,YEAR($A1211)+1,$A1211,180,1000000)</f>
        <v>89.480181000000002</v>
      </c>
      <c r="K1211" cm="1">
        <f t="array" aca="1" ref="K1211" ca="1">[1]!s_west_mediannetprofit($B$1,YEAR($A1210)+1,$A1210,180,1000000)</f>
        <v>-131</v>
      </c>
      <c r="L1211" cm="1">
        <f t="array" aca="1" ref="L1211" ca="1">[1]!s_dq_close($B$1,$A1211,3)</f>
        <v>29.2</v>
      </c>
    </row>
    <row r="1212" spans="1:12">
      <c r="A1212" s="23">
        <f t="shared" ca="1" si="18"/>
        <v>44963</v>
      </c>
      <c r="B1212" cm="1">
        <f t="array" aca="1" ref="B1212" ca="1">[1]!s_west_netprofit($B$1,YEAR($A1212),$A1212,180,1000000)</f>
        <v>-109.887333</v>
      </c>
      <c r="C1212" cm="1">
        <f t="array" aca="1" ref="C1212" ca="1">[1]!s_west_eps($B$1,YEAR($A1212),$A1212,180)</f>
        <v>-0.12709999999999999</v>
      </c>
      <c r="D1212" cm="1">
        <f t="array" aca="1" ref="D1212" ca="1">[1]!s_west_instnum_np($B$1,YEAR($A1212),$A1212,180)</f>
        <v>9</v>
      </c>
      <c r="E1212" cm="1">
        <f t="array" aca="1" ref="E1212" ca="1">[1]!s_west_stdnetprofit($B$1,YEAR($A1212),$A1212,180,1000000)</f>
        <v>162.030846</v>
      </c>
      <c r="F1212" cm="1">
        <f t="array" aca="1" ref="F1212" ca="1">[1]!s_west_mediannetprofit($B$1,YEAR($A1212),$A1212,180,1000000)</f>
        <v>-116.7</v>
      </c>
      <c r="G1212" cm="1">
        <f t="array" aca="1" ref="G1212" ca="1">[1]!s_west_netprofit($B$1,YEAR($A1212)+1,$A1212,180,1000000)</f>
        <v>-122.909375</v>
      </c>
      <c r="H1212" cm="1">
        <f t="array" aca="1" ref="H1212" ca="1">[1]!s_west_eps($B$1,YEAR($A1212)+1,$A1212,180)</f>
        <v>-0.1421</v>
      </c>
      <c r="I1212" cm="1">
        <f t="array" aca="1" ref="I1212" ca="1">[1]!s_west_instnum_np($B$1,YEAR($A1212)+1,$A1212,180)</f>
        <v>8</v>
      </c>
      <c r="J1212" cm="1">
        <f t="array" aca="1" ref="J1212" ca="1">[1]!s_west_stdnetprofit($B$1,YEAR($A1212)+1,$A1212,180,1000000)</f>
        <v>89.480181000000002</v>
      </c>
      <c r="K1212" cm="1">
        <f t="array" aca="1" ref="K1212" ca="1">[1]!s_west_mediannetprofit($B$1,YEAR($A1211)+1,$A1211,180,1000000)</f>
        <v>-131</v>
      </c>
      <c r="L1212" cm="1">
        <f t="array" aca="1" ref="L1212" ca="1">[1]!s_dq_close($B$1,$A1212,3)</f>
        <v>29.2</v>
      </c>
    </row>
    <row r="1213" spans="1:12">
      <c r="A1213" s="23">
        <f t="shared" ca="1" si="18"/>
        <v>44962</v>
      </c>
      <c r="B1213" cm="1">
        <f t="array" aca="1" ref="B1213" ca="1">[1]!s_west_netprofit($B$1,YEAR($A1213),$A1213,180,1000000)</f>
        <v>-109.887333</v>
      </c>
      <c r="C1213" cm="1">
        <f t="array" aca="1" ref="C1213" ca="1">[1]!s_west_eps($B$1,YEAR($A1213),$A1213,180)</f>
        <v>-0.12709999999999999</v>
      </c>
      <c r="D1213" cm="1">
        <f t="array" aca="1" ref="D1213" ca="1">[1]!s_west_instnum_np($B$1,YEAR($A1213),$A1213,180)</f>
        <v>9</v>
      </c>
      <c r="E1213" cm="1">
        <f t="array" aca="1" ref="E1213" ca="1">[1]!s_west_stdnetprofit($B$1,YEAR($A1213),$A1213,180,1000000)</f>
        <v>162.030846</v>
      </c>
      <c r="F1213" cm="1">
        <f t="array" aca="1" ref="F1213" ca="1">[1]!s_west_mediannetprofit($B$1,YEAR($A1213),$A1213,180,1000000)</f>
        <v>-116.7</v>
      </c>
      <c r="G1213" cm="1">
        <f t="array" aca="1" ref="G1213" ca="1">[1]!s_west_netprofit($B$1,YEAR($A1213)+1,$A1213,180,1000000)</f>
        <v>-122.909375</v>
      </c>
      <c r="H1213" cm="1">
        <f t="array" aca="1" ref="H1213" ca="1">[1]!s_west_eps($B$1,YEAR($A1213)+1,$A1213,180)</f>
        <v>-0.1421</v>
      </c>
      <c r="I1213" cm="1">
        <f t="array" aca="1" ref="I1213" ca="1">[1]!s_west_instnum_np($B$1,YEAR($A1213)+1,$A1213,180)</f>
        <v>8</v>
      </c>
      <c r="J1213" cm="1">
        <f t="array" aca="1" ref="J1213" ca="1">[1]!s_west_stdnetprofit($B$1,YEAR($A1213)+1,$A1213,180,1000000)</f>
        <v>89.480181000000002</v>
      </c>
      <c r="K1213" cm="1">
        <f t="array" aca="1" ref="K1213" ca="1">[1]!s_west_mediannetprofit($B$1,YEAR($A1212)+1,$A1212,180,1000000)</f>
        <v>-131</v>
      </c>
      <c r="L1213" cm="1">
        <f t="array" aca="1" ref="L1213" ca="1">[1]!s_dq_close($B$1,$A1213,3)</f>
        <v>31</v>
      </c>
    </row>
    <row r="1214" spans="1:12">
      <c r="A1214" s="23">
        <f t="shared" ca="1" si="18"/>
        <v>44961</v>
      </c>
      <c r="B1214" cm="1">
        <f t="array" aca="1" ref="B1214" ca="1">[1]!s_west_netprofit($B$1,YEAR($A1214),$A1214,180,1000000)</f>
        <v>-109.887333</v>
      </c>
      <c r="C1214" cm="1">
        <f t="array" aca="1" ref="C1214" ca="1">[1]!s_west_eps($B$1,YEAR($A1214),$A1214,180)</f>
        <v>-0.12709999999999999</v>
      </c>
      <c r="D1214" cm="1">
        <f t="array" aca="1" ref="D1214" ca="1">[1]!s_west_instnum_np($B$1,YEAR($A1214),$A1214,180)</f>
        <v>9</v>
      </c>
      <c r="E1214" cm="1">
        <f t="array" aca="1" ref="E1214" ca="1">[1]!s_west_stdnetprofit($B$1,YEAR($A1214),$A1214,180,1000000)</f>
        <v>162.030846</v>
      </c>
      <c r="F1214" cm="1">
        <f t="array" aca="1" ref="F1214" ca="1">[1]!s_west_mediannetprofit($B$1,YEAR($A1214),$A1214,180,1000000)</f>
        <v>-116.7</v>
      </c>
      <c r="G1214" cm="1">
        <f t="array" aca="1" ref="G1214" ca="1">[1]!s_west_netprofit($B$1,YEAR($A1214)+1,$A1214,180,1000000)</f>
        <v>-122.909375</v>
      </c>
      <c r="H1214" cm="1">
        <f t="array" aca="1" ref="H1214" ca="1">[1]!s_west_eps($B$1,YEAR($A1214)+1,$A1214,180)</f>
        <v>-0.1421</v>
      </c>
      <c r="I1214" cm="1">
        <f t="array" aca="1" ref="I1214" ca="1">[1]!s_west_instnum_np($B$1,YEAR($A1214)+1,$A1214,180)</f>
        <v>8</v>
      </c>
      <c r="J1214" cm="1">
        <f t="array" aca="1" ref="J1214" ca="1">[1]!s_west_stdnetprofit($B$1,YEAR($A1214)+1,$A1214,180,1000000)</f>
        <v>89.480181000000002</v>
      </c>
      <c r="K1214" cm="1">
        <f t="array" aca="1" ref="K1214" ca="1">[1]!s_west_mediannetprofit($B$1,YEAR($A1213)+1,$A1213,180,1000000)</f>
        <v>-131</v>
      </c>
      <c r="L1214" cm="1">
        <f t="array" aca="1" ref="L1214" ca="1">[1]!s_dq_close($B$1,$A1214,3)</f>
        <v>31</v>
      </c>
    </row>
    <row r="1215" spans="1:12">
      <c r="A1215" s="23">
        <f t="shared" ca="1" si="18"/>
        <v>44960</v>
      </c>
      <c r="B1215" cm="1">
        <f t="array" aca="1" ref="B1215" ca="1">[1]!s_west_netprofit($B$1,YEAR($A1215),$A1215,180,1000000)</f>
        <v>-109.887333</v>
      </c>
      <c r="C1215" cm="1">
        <f t="array" aca="1" ref="C1215" ca="1">[1]!s_west_eps($B$1,YEAR($A1215),$A1215,180)</f>
        <v>-0.12709999999999999</v>
      </c>
      <c r="D1215" cm="1">
        <f t="array" aca="1" ref="D1215" ca="1">[1]!s_west_instnum_np($B$1,YEAR($A1215),$A1215,180)</f>
        <v>9</v>
      </c>
      <c r="E1215" cm="1">
        <f t="array" aca="1" ref="E1215" ca="1">[1]!s_west_stdnetprofit($B$1,YEAR($A1215),$A1215,180,1000000)</f>
        <v>162.030846</v>
      </c>
      <c r="F1215" cm="1">
        <f t="array" aca="1" ref="F1215" ca="1">[1]!s_west_mediannetprofit($B$1,YEAR($A1215),$A1215,180,1000000)</f>
        <v>-116.7</v>
      </c>
      <c r="G1215" cm="1">
        <f t="array" aca="1" ref="G1215" ca="1">[1]!s_west_netprofit($B$1,YEAR($A1215)+1,$A1215,180,1000000)</f>
        <v>-122.909375</v>
      </c>
      <c r="H1215" cm="1">
        <f t="array" aca="1" ref="H1215" ca="1">[1]!s_west_eps($B$1,YEAR($A1215)+1,$A1215,180)</f>
        <v>-0.1421</v>
      </c>
      <c r="I1215" cm="1">
        <f t="array" aca="1" ref="I1215" ca="1">[1]!s_west_instnum_np($B$1,YEAR($A1215)+1,$A1215,180)</f>
        <v>8</v>
      </c>
      <c r="J1215" cm="1">
        <f t="array" aca="1" ref="J1215" ca="1">[1]!s_west_stdnetprofit($B$1,YEAR($A1215)+1,$A1215,180,1000000)</f>
        <v>89.480181000000002</v>
      </c>
      <c r="K1215" cm="1">
        <f t="array" aca="1" ref="K1215" ca="1">[1]!s_west_mediannetprofit($B$1,YEAR($A1214)+1,$A1214,180,1000000)</f>
        <v>-131</v>
      </c>
      <c r="L1215" cm="1">
        <f t="array" aca="1" ref="L1215" ca="1">[1]!s_dq_close($B$1,$A1215,3)</f>
        <v>31</v>
      </c>
    </row>
    <row r="1216" spans="1:12">
      <c r="A1216" s="23">
        <f t="shared" ca="1" si="18"/>
        <v>44959</v>
      </c>
      <c r="B1216" cm="1">
        <f t="array" aca="1" ref="B1216" ca="1">[1]!s_west_netprofit($B$1,YEAR($A1216),$A1216,180,1000000)</f>
        <v>-109.887333</v>
      </c>
      <c r="C1216" cm="1">
        <f t="array" aca="1" ref="C1216" ca="1">[1]!s_west_eps($B$1,YEAR($A1216),$A1216,180)</f>
        <v>-0.12709999999999999</v>
      </c>
      <c r="D1216" cm="1">
        <f t="array" aca="1" ref="D1216" ca="1">[1]!s_west_instnum_np($B$1,YEAR($A1216),$A1216,180)</f>
        <v>9</v>
      </c>
      <c r="E1216" cm="1">
        <f t="array" aca="1" ref="E1216" ca="1">[1]!s_west_stdnetprofit($B$1,YEAR($A1216),$A1216,180,1000000)</f>
        <v>162.030846</v>
      </c>
      <c r="F1216" cm="1">
        <f t="array" aca="1" ref="F1216" ca="1">[1]!s_west_mediannetprofit($B$1,YEAR($A1216),$A1216,180,1000000)</f>
        <v>-116.7</v>
      </c>
      <c r="G1216" cm="1">
        <f t="array" aca="1" ref="G1216" ca="1">[1]!s_west_netprofit($B$1,YEAR($A1216)+1,$A1216,180,1000000)</f>
        <v>-122.909375</v>
      </c>
      <c r="H1216" cm="1">
        <f t="array" aca="1" ref="H1216" ca="1">[1]!s_west_eps($B$1,YEAR($A1216)+1,$A1216,180)</f>
        <v>-0.1421</v>
      </c>
      <c r="I1216" cm="1">
        <f t="array" aca="1" ref="I1216" ca="1">[1]!s_west_instnum_np($B$1,YEAR($A1216)+1,$A1216,180)</f>
        <v>8</v>
      </c>
      <c r="J1216" cm="1">
        <f t="array" aca="1" ref="J1216" ca="1">[1]!s_west_stdnetprofit($B$1,YEAR($A1216)+1,$A1216,180,1000000)</f>
        <v>89.480181000000002</v>
      </c>
      <c r="K1216" cm="1">
        <f t="array" aca="1" ref="K1216" ca="1">[1]!s_west_mediannetprofit($B$1,YEAR($A1215)+1,$A1215,180,1000000)</f>
        <v>-131</v>
      </c>
      <c r="L1216" cm="1">
        <f t="array" aca="1" ref="L1216" ca="1">[1]!s_dq_close($B$1,$A1216,3)</f>
        <v>31.5</v>
      </c>
    </row>
    <row r="1217" spans="1:12">
      <c r="A1217" s="23">
        <f t="shared" ca="1" si="18"/>
        <v>44958</v>
      </c>
      <c r="B1217" cm="1">
        <f t="array" aca="1" ref="B1217" ca="1">[1]!s_west_netprofit($B$1,YEAR($A1217),$A1217,180,1000000)</f>
        <v>-109.887333</v>
      </c>
      <c r="C1217" cm="1">
        <f t="array" aca="1" ref="C1217" ca="1">[1]!s_west_eps($B$1,YEAR($A1217),$A1217,180)</f>
        <v>-0.12709999999999999</v>
      </c>
      <c r="D1217" cm="1">
        <f t="array" aca="1" ref="D1217" ca="1">[1]!s_west_instnum_np($B$1,YEAR($A1217),$A1217,180)</f>
        <v>9</v>
      </c>
      <c r="E1217" cm="1">
        <f t="array" aca="1" ref="E1217" ca="1">[1]!s_west_stdnetprofit($B$1,YEAR($A1217),$A1217,180,1000000)</f>
        <v>162.030846</v>
      </c>
      <c r="F1217" cm="1">
        <f t="array" aca="1" ref="F1217" ca="1">[1]!s_west_mediannetprofit($B$1,YEAR($A1217),$A1217,180,1000000)</f>
        <v>-116.7</v>
      </c>
      <c r="G1217" cm="1">
        <f t="array" aca="1" ref="G1217" ca="1">[1]!s_west_netprofit($B$1,YEAR($A1217)+1,$A1217,180,1000000)</f>
        <v>-122.909375</v>
      </c>
      <c r="H1217" cm="1">
        <f t="array" aca="1" ref="H1217" ca="1">[1]!s_west_eps($B$1,YEAR($A1217)+1,$A1217,180)</f>
        <v>-0.1421</v>
      </c>
      <c r="I1217" cm="1">
        <f t="array" aca="1" ref="I1217" ca="1">[1]!s_west_instnum_np($B$1,YEAR($A1217)+1,$A1217,180)</f>
        <v>8</v>
      </c>
      <c r="J1217" cm="1">
        <f t="array" aca="1" ref="J1217" ca="1">[1]!s_west_stdnetprofit($B$1,YEAR($A1217)+1,$A1217,180,1000000)</f>
        <v>89.480181000000002</v>
      </c>
      <c r="K1217" cm="1">
        <f t="array" aca="1" ref="K1217" ca="1">[1]!s_west_mediannetprofit($B$1,YEAR($A1216)+1,$A1216,180,1000000)</f>
        <v>-131</v>
      </c>
      <c r="L1217" cm="1">
        <f t="array" aca="1" ref="L1217" ca="1">[1]!s_dq_close($B$1,$A1217,3)</f>
        <v>30.4</v>
      </c>
    </row>
    <row r="1218" spans="1:12">
      <c r="A1218" s="23">
        <f t="shared" ca="1" si="18"/>
        <v>44957</v>
      </c>
      <c r="B1218" cm="1">
        <f t="array" aca="1" ref="B1218" ca="1">[1]!s_west_netprofit($B$1,YEAR($A1218),$A1218,180,1000000)</f>
        <v>-153.77622199999999</v>
      </c>
      <c r="C1218" cm="1">
        <f t="array" aca="1" ref="C1218" ca="1">[1]!s_west_eps($B$1,YEAR($A1218),$A1218,180)</f>
        <v>-0.17780000000000001</v>
      </c>
      <c r="D1218" cm="1">
        <f t="array" aca="1" ref="D1218" ca="1">[1]!s_west_instnum_np($B$1,YEAR($A1218),$A1218,180)</f>
        <v>9</v>
      </c>
      <c r="E1218" cm="1">
        <f t="array" aca="1" ref="E1218" ca="1">[1]!s_west_stdnetprofit($B$1,YEAR($A1218),$A1218,180,1000000)</f>
        <v>158.54015899999999</v>
      </c>
      <c r="F1218" cm="1">
        <f t="array" aca="1" ref="F1218" ca="1">[1]!s_west_mediannetprofit($B$1,YEAR($A1218),$A1218,180,1000000)</f>
        <v>-216.1</v>
      </c>
      <c r="G1218" cm="1">
        <f t="array" aca="1" ref="G1218" ca="1">[1]!s_west_netprofit($B$1,YEAR($A1218)+1,$A1218,180,1000000)</f>
        <v>-122.909375</v>
      </c>
      <c r="H1218" cm="1">
        <f t="array" aca="1" ref="H1218" ca="1">[1]!s_west_eps($B$1,YEAR($A1218)+1,$A1218,180)</f>
        <v>-0.1421</v>
      </c>
      <c r="I1218" cm="1">
        <f t="array" aca="1" ref="I1218" ca="1">[1]!s_west_instnum_np($B$1,YEAR($A1218)+1,$A1218,180)</f>
        <v>8</v>
      </c>
      <c r="J1218" cm="1">
        <f t="array" aca="1" ref="J1218" ca="1">[1]!s_west_stdnetprofit($B$1,YEAR($A1218)+1,$A1218,180,1000000)</f>
        <v>89.480181000000002</v>
      </c>
      <c r="K1218" cm="1">
        <f t="array" aca="1" ref="K1218" ca="1">[1]!s_west_mediannetprofit($B$1,YEAR($A1217)+1,$A1217,180,1000000)</f>
        <v>-131</v>
      </c>
      <c r="L1218" cm="1">
        <f t="array" aca="1" ref="L1218" ca="1">[1]!s_dq_close($B$1,$A1218,3)</f>
        <v>28.8</v>
      </c>
    </row>
    <row r="1219" spans="1:12">
      <c r="A1219" s="23">
        <f t="shared" ca="1" si="18"/>
        <v>44956</v>
      </c>
      <c r="B1219" cm="1">
        <f t="array" aca="1" ref="B1219" ca="1">[1]!s_west_netprofit($B$1,YEAR($A1219),$A1219,180,1000000)</f>
        <v>-153.77622199999999</v>
      </c>
      <c r="C1219" cm="1">
        <f t="array" aca="1" ref="C1219" ca="1">[1]!s_west_eps($B$1,YEAR($A1219),$A1219,180)</f>
        <v>-0.17780000000000001</v>
      </c>
      <c r="D1219" cm="1">
        <f t="array" aca="1" ref="D1219" ca="1">[1]!s_west_instnum_np($B$1,YEAR($A1219),$A1219,180)</f>
        <v>9</v>
      </c>
      <c r="E1219" cm="1">
        <f t="array" aca="1" ref="E1219" ca="1">[1]!s_west_stdnetprofit($B$1,YEAR($A1219),$A1219,180,1000000)</f>
        <v>158.54015899999999</v>
      </c>
      <c r="F1219" cm="1">
        <f t="array" aca="1" ref="F1219" ca="1">[1]!s_west_mediannetprofit($B$1,YEAR($A1219),$A1219,180,1000000)</f>
        <v>-216.1</v>
      </c>
      <c r="G1219" cm="1">
        <f t="array" aca="1" ref="G1219" ca="1">[1]!s_west_netprofit($B$1,YEAR($A1219)+1,$A1219,180,1000000)</f>
        <v>-122.909375</v>
      </c>
      <c r="H1219" cm="1">
        <f t="array" aca="1" ref="H1219" ca="1">[1]!s_west_eps($B$1,YEAR($A1219)+1,$A1219,180)</f>
        <v>-0.1421</v>
      </c>
      <c r="I1219" cm="1">
        <f t="array" aca="1" ref="I1219" ca="1">[1]!s_west_instnum_np($B$1,YEAR($A1219)+1,$A1219,180)</f>
        <v>8</v>
      </c>
      <c r="J1219" cm="1">
        <f t="array" aca="1" ref="J1219" ca="1">[1]!s_west_stdnetprofit($B$1,YEAR($A1219)+1,$A1219,180,1000000)</f>
        <v>89.480181000000002</v>
      </c>
      <c r="K1219" cm="1">
        <f t="array" aca="1" ref="K1219" ca="1">[1]!s_west_mediannetprofit($B$1,YEAR($A1218)+1,$A1218,180,1000000)</f>
        <v>-131</v>
      </c>
      <c r="L1219" cm="1">
        <f t="array" aca="1" ref="L1219" ca="1">[1]!s_dq_close($B$1,$A1219,3)</f>
        <v>29.5</v>
      </c>
    </row>
    <row r="1220" spans="1:12">
      <c r="A1220" s="23">
        <f t="shared" ca="1" si="18"/>
        <v>44955</v>
      </c>
      <c r="B1220" cm="1">
        <f t="array" aca="1" ref="B1220" ca="1">[1]!s_west_netprofit($B$1,YEAR($A1220),$A1220,180,1000000)</f>
        <v>-184.87325000000001</v>
      </c>
      <c r="C1220" cm="1">
        <f t="array" aca="1" ref="C1220" ca="1">[1]!s_west_eps($B$1,YEAR($A1220),$A1220,180)</f>
        <v>-0.2137</v>
      </c>
      <c r="D1220" cm="1">
        <f t="array" aca="1" ref="D1220" ca="1">[1]!s_west_instnum_np($B$1,YEAR($A1220),$A1220,180)</f>
        <v>8</v>
      </c>
      <c r="E1220" cm="1">
        <f t="array" aca="1" ref="E1220" ca="1">[1]!s_west_stdnetprofit($B$1,YEAR($A1220),$A1220,180,1000000)</f>
        <v>137.037037</v>
      </c>
      <c r="F1220" cm="1">
        <f t="array" aca="1" ref="F1220" ca="1">[1]!s_west_mediannetprofit($B$1,YEAR($A1220),$A1220,180,1000000)</f>
        <v>-235.643</v>
      </c>
      <c r="G1220" cm="1">
        <f t="array" aca="1" ref="G1220" ca="1">[1]!s_west_netprofit($B$1,YEAR($A1220)+1,$A1220,180,1000000)</f>
        <v>-120.182143</v>
      </c>
      <c r="H1220" cm="1">
        <f t="array" aca="1" ref="H1220" ca="1">[1]!s_west_eps($B$1,YEAR($A1220)+1,$A1220,180)</f>
        <v>-0.13900000000000001</v>
      </c>
      <c r="I1220" cm="1">
        <f t="array" aca="1" ref="I1220" ca="1">[1]!s_west_instnum_np($B$1,YEAR($A1220)+1,$A1220,180)</f>
        <v>7</v>
      </c>
      <c r="J1220" cm="1">
        <f t="array" aca="1" ref="J1220" ca="1">[1]!s_west_stdnetprofit($B$1,YEAR($A1220)+1,$A1220,180,1000000)</f>
        <v>96.289843000000005</v>
      </c>
      <c r="K1220" cm="1">
        <f t="array" aca="1" ref="K1220" ca="1">[1]!s_west_mediannetprofit($B$1,YEAR($A1219)+1,$A1219,180,1000000)</f>
        <v>-131</v>
      </c>
      <c r="L1220" cm="1">
        <f t="array" aca="1" ref="L1220" ca="1">[1]!s_dq_close($B$1,$A1220,3)</f>
        <v>31.75</v>
      </c>
    </row>
    <row r="1221" spans="1:12">
      <c r="A1221" s="23">
        <f t="shared" ca="1" si="18"/>
        <v>44954</v>
      </c>
      <c r="B1221" cm="1">
        <f t="array" aca="1" ref="B1221" ca="1">[1]!s_west_netprofit($B$1,YEAR($A1221),$A1221,180,1000000)</f>
        <v>-234.12325000000001</v>
      </c>
      <c r="C1221" cm="1">
        <f t="array" aca="1" ref="C1221" ca="1">[1]!s_west_eps($B$1,YEAR($A1221),$A1221,180)</f>
        <v>-0.2707</v>
      </c>
      <c r="D1221" cm="1">
        <f t="array" aca="1" ref="D1221" ca="1">[1]!s_west_instnum_np($B$1,YEAR($A1221),$A1221,180)</f>
        <v>8</v>
      </c>
      <c r="E1221" cm="1">
        <f t="array" aca="1" ref="E1221" ca="1">[1]!s_west_stdnetprofit($B$1,YEAR($A1221),$A1221,180,1000000)</f>
        <v>116.38202200000001</v>
      </c>
      <c r="F1221" cm="1">
        <f t="array" aca="1" ref="F1221" ca="1">[1]!s_west_mediannetprofit($B$1,YEAR($A1221),$A1221,180,1000000)</f>
        <v>-275.59300000000002</v>
      </c>
      <c r="G1221" cm="1">
        <f t="array" aca="1" ref="G1221" ca="1">[1]!s_west_netprofit($B$1,YEAR($A1221)+1,$A1221,180,1000000)</f>
        <v>-122.379167</v>
      </c>
      <c r="H1221" cm="1">
        <f t="array" aca="1" ref="H1221" ca="1">[1]!s_west_eps($B$1,YEAR($A1221)+1,$A1221,180)</f>
        <v>-0.14149999999999999</v>
      </c>
      <c r="I1221" cm="1">
        <f t="array" aca="1" ref="I1221" ca="1">[1]!s_west_instnum_np($B$1,YEAR($A1221)+1,$A1221,180)</f>
        <v>6</v>
      </c>
      <c r="J1221" cm="1">
        <f t="array" aca="1" ref="J1221" ca="1">[1]!s_west_stdnetprofit($B$1,YEAR($A1221)+1,$A1221,180,1000000)</f>
        <v>105.287865</v>
      </c>
      <c r="K1221" cm="1">
        <f t="array" aca="1" ref="K1221" ca="1">[1]!s_west_mediannetprofit($B$1,YEAR($A1220)+1,$A1220,180,1000000)</f>
        <v>-120</v>
      </c>
      <c r="L1221" cm="1">
        <f t="array" aca="1" ref="L1221" ca="1">[1]!s_dq_close($B$1,$A1221,3)</f>
        <v>31.75</v>
      </c>
    </row>
    <row r="1222" spans="1:12">
      <c r="A1222" s="23">
        <f t="shared" ca="1" si="18"/>
        <v>44953</v>
      </c>
      <c r="B1222" cm="1">
        <f t="array" aca="1" ref="B1222" ca="1">[1]!s_west_netprofit($B$1,YEAR($A1222),$A1222,180,1000000)</f>
        <v>-234.12325000000001</v>
      </c>
      <c r="C1222" cm="1">
        <f t="array" aca="1" ref="C1222" ca="1">[1]!s_west_eps($B$1,YEAR($A1222),$A1222,180)</f>
        <v>-0.2707</v>
      </c>
      <c r="D1222" cm="1">
        <f t="array" aca="1" ref="D1222" ca="1">[1]!s_west_instnum_np($B$1,YEAR($A1222),$A1222,180)</f>
        <v>8</v>
      </c>
      <c r="E1222" cm="1">
        <f t="array" aca="1" ref="E1222" ca="1">[1]!s_west_stdnetprofit($B$1,YEAR($A1222),$A1222,180,1000000)</f>
        <v>116.38202200000001</v>
      </c>
      <c r="F1222" cm="1">
        <f t="array" aca="1" ref="F1222" ca="1">[1]!s_west_mediannetprofit($B$1,YEAR($A1222),$A1222,180,1000000)</f>
        <v>-275.59300000000002</v>
      </c>
      <c r="G1222" cm="1">
        <f t="array" aca="1" ref="G1222" ca="1">[1]!s_west_netprofit($B$1,YEAR($A1222)+1,$A1222,180,1000000)</f>
        <v>-122.379167</v>
      </c>
      <c r="H1222" cm="1">
        <f t="array" aca="1" ref="H1222" ca="1">[1]!s_west_eps($B$1,YEAR($A1222)+1,$A1222,180)</f>
        <v>-0.14149999999999999</v>
      </c>
      <c r="I1222" cm="1">
        <f t="array" aca="1" ref="I1222" ca="1">[1]!s_west_instnum_np($B$1,YEAR($A1222)+1,$A1222,180)</f>
        <v>6</v>
      </c>
      <c r="J1222" cm="1">
        <f t="array" aca="1" ref="J1222" ca="1">[1]!s_west_stdnetprofit($B$1,YEAR($A1222)+1,$A1222,180,1000000)</f>
        <v>105.287865</v>
      </c>
      <c r="K1222" cm="1">
        <f t="array" aca="1" ref="K1222" ca="1">[1]!s_west_mediannetprofit($B$1,YEAR($A1221)+1,$A1221,180,1000000)</f>
        <v>-135.54249999999999</v>
      </c>
      <c r="L1222" cm="1">
        <f t="array" aca="1" ref="L1222" ca="1">[1]!s_dq_close($B$1,$A1222,3)</f>
        <v>31.75</v>
      </c>
    </row>
    <row r="1223" spans="1:12">
      <c r="A1223" s="23">
        <f t="shared" ca="1" si="18"/>
        <v>44952</v>
      </c>
      <c r="B1223" cm="1">
        <f t="array" aca="1" ref="B1223" ca="1">[1]!s_west_netprofit($B$1,YEAR($A1223),$A1223,180,1000000)</f>
        <v>-234.12325000000001</v>
      </c>
      <c r="C1223" cm="1">
        <f t="array" aca="1" ref="C1223" ca="1">[1]!s_west_eps($B$1,YEAR($A1223),$A1223,180)</f>
        <v>-0.2707</v>
      </c>
      <c r="D1223" cm="1">
        <f t="array" aca="1" ref="D1223" ca="1">[1]!s_west_instnum_np($B$1,YEAR($A1223),$A1223,180)</f>
        <v>8</v>
      </c>
      <c r="E1223" cm="1">
        <f t="array" aca="1" ref="E1223" ca="1">[1]!s_west_stdnetprofit($B$1,YEAR($A1223),$A1223,180,1000000)</f>
        <v>116.38202200000001</v>
      </c>
      <c r="F1223" cm="1">
        <f t="array" aca="1" ref="F1223" ca="1">[1]!s_west_mediannetprofit($B$1,YEAR($A1223),$A1223,180,1000000)</f>
        <v>-275.59300000000002</v>
      </c>
      <c r="G1223" cm="1">
        <f t="array" aca="1" ref="G1223" ca="1">[1]!s_west_netprofit($B$1,YEAR($A1223)+1,$A1223,180,1000000)</f>
        <v>-122.379167</v>
      </c>
      <c r="H1223" cm="1">
        <f t="array" aca="1" ref="H1223" ca="1">[1]!s_west_eps($B$1,YEAR($A1223)+1,$A1223,180)</f>
        <v>-0.14149999999999999</v>
      </c>
      <c r="I1223" cm="1">
        <f t="array" aca="1" ref="I1223" ca="1">[1]!s_west_instnum_np($B$1,YEAR($A1223)+1,$A1223,180)</f>
        <v>6</v>
      </c>
      <c r="J1223" cm="1">
        <f t="array" aca="1" ref="J1223" ca="1">[1]!s_west_stdnetprofit($B$1,YEAR($A1223)+1,$A1223,180,1000000)</f>
        <v>105.287865</v>
      </c>
      <c r="K1223" cm="1">
        <f t="array" aca="1" ref="K1223" ca="1">[1]!s_west_mediannetprofit($B$1,YEAR($A1222)+1,$A1222,180,1000000)</f>
        <v>-135.54249999999999</v>
      </c>
      <c r="L1223" cm="1">
        <f t="array" aca="1" ref="L1223" ca="1">[1]!s_dq_close($B$1,$A1223,3)</f>
        <v>31.5</v>
      </c>
    </row>
    <row r="1224" spans="1:12">
      <c r="A1224" s="23">
        <f t="shared" ca="1" si="18"/>
        <v>44951</v>
      </c>
      <c r="B1224" cm="1">
        <f t="array" aca="1" ref="B1224" ca="1">[1]!s_west_netprofit($B$1,YEAR($A1224),$A1224,180,1000000)</f>
        <v>-242.62325000000001</v>
      </c>
      <c r="C1224" cm="1">
        <f t="array" aca="1" ref="C1224" ca="1">[1]!s_west_eps($B$1,YEAR($A1224),$A1224,180)</f>
        <v>-0.27979999999999999</v>
      </c>
      <c r="D1224" cm="1">
        <f t="array" aca="1" ref="D1224" ca="1">[1]!s_west_instnum_np($B$1,YEAR($A1224),$A1224,180)</f>
        <v>8</v>
      </c>
      <c r="E1224" cm="1">
        <f t="array" aca="1" ref="E1224" ca="1">[1]!s_west_stdnetprofit($B$1,YEAR($A1224),$A1224,180,1000000)</f>
        <v>99.031497999999999</v>
      </c>
      <c r="F1224" cm="1">
        <f t="array" aca="1" ref="F1224" ca="1">[1]!s_west_mediannetprofit($B$1,YEAR($A1224),$A1224,180,1000000)</f>
        <v>-275.59300000000002</v>
      </c>
      <c r="G1224" cm="1">
        <f t="array" aca="1" ref="G1224" ca="1">[1]!s_west_netprofit($B$1,YEAR($A1224)+1,$A1224,180,1000000)</f>
        <v>-128.379167</v>
      </c>
      <c r="H1224" cm="1">
        <f t="array" aca="1" ref="H1224" ca="1">[1]!s_west_eps($B$1,YEAR($A1224)+1,$A1224,180)</f>
        <v>-0.14849999999999999</v>
      </c>
      <c r="I1224" cm="1">
        <f t="array" aca="1" ref="I1224" ca="1">[1]!s_west_instnum_np($B$1,YEAR($A1224)+1,$A1224,180)</f>
        <v>6</v>
      </c>
      <c r="J1224" cm="1">
        <f t="array" aca="1" ref="J1224" ca="1">[1]!s_west_stdnetprofit($B$1,YEAR($A1224)+1,$A1224,180,1000000)</f>
        <v>93.910993000000005</v>
      </c>
      <c r="K1224" cm="1">
        <f t="array" aca="1" ref="K1224" ca="1">[1]!s_west_mediannetprofit($B$1,YEAR($A1223)+1,$A1223,180,1000000)</f>
        <v>-135.54249999999999</v>
      </c>
      <c r="L1224" cm="1">
        <f t="array" aca="1" ref="L1224" ca="1">[1]!s_dq_close($B$1,$A1224,3)</f>
        <v>27.6</v>
      </c>
    </row>
    <row r="1225" spans="1:12">
      <c r="A1225" s="23">
        <f t="shared" ca="1" si="18"/>
        <v>44950</v>
      </c>
      <c r="B1225" cm="1">
        <f t="array" aca="1" ref="B1225" ca="1">[1]!s_west_netprofit($B$1,YEAR($A1225),$A1225,180,1000000)</f>
        <v>-242.62325000000001</v>
      </c>
      <c r="C1225" cm="1">
        <f t="array" aca="1" ref="C1225" ca="1">[1]!s_west_eps($B$1,YEAR($A1225),$A1225,180)</f>
        <v>-0.27979999999999999</v>
      </c>
      <c r="D1225" cm="1">
        <f t="array" aca="1" ref="D1225" ca="1">[1]!s_west_instnum_np($B$1,YEAR($A1225),$A1225,180)</f>
        <v>8</v>
      </c>
      <c r="E1225" cm="1">
        <f t="array" aca="1" ref="E1225" ca="1">[1]!s_west_stdnetprofit($B$1,YEAR($A1225),$A1225,180,1000000)</f>
        <v>99.031497999999999</v>
      </c>
      <c r="F1225" cm="1">
        <f t="array" aca="1" ref="F1225" ca="1">[1]!s_west_mediannetprofit($B$1,YEAR($A1225),$A1225,180,1000000)</f>
        <v>-275.59300000000002</v>
      </c>
      <c r="G1225" cm="1">
        <f t="array" aca="1" ref="G1225" ca="1">[1]!s_west_netprofit($B$1,YEAR($A1225)+1,$A1225,180,1000000)</f>
        <v>-128.379167</v>
      </c>
      <c r="H1225" cm="1">
        <f t="array" aca="1" ref="H1225" ca="1">[1]!s_west_eps($B$1,YEAR($A1225)+1,$A1225,180)</f>
        <v>-0.14849999999999999</v>
      </c>
      <c r="I1225" cm="1">
        <f t="array" aca="1" ref="I1225" ca="1">[1]!s_west_instnum_np($B$1,YEAR($A1225)+1,$A1225,180)</f>
        <v>6</v>
      </c>
      <c r="J1225" cm="1">
        <f t="array" aca="1" ref="J1225" ca="1">[1]!s_west_stdnetprofit($B$1,YEAR($A1225)+1,$A1225,180,1000000)</f>
        <v>93.910993000000005</v>
      </c>
      <c r="K1225" cm="1">
        <f t="array" aca="1" ref="K1225" ca="1">[1]!s_west_mediannetprofit($B$1,YEAR($A1224)+1,$A1224,180,1000000)</f>
        <v>-135.54249999999999</v>
      </c>
      <c r="L1225" cm="1">
        <f t="array" aca="1" ref="L1225" ca="1">[1]!s_dq_close($B$1,$A1225,3)</f>
        <v>27.6</v>
      </c>
    </row>
    <row r="1226" spans="1:12">
      <c r="A1226" s="23">
        <f t="shared" ca="1" si="18"/>
        <v>44949</v>
      </c>
      <c r="B1226" cm="1">
        <f t="array" aca="1" ref="B1226" ca="1">[1]!s_west_netprofit($B$1,YEAR($A1226),$A1226,180,1000000)</f>
        <v>-246.41228599999999</v>
      </c>
      <c r="C1226" cm="1">
        <f t="array" aca="1" ref="C1226" ca="1">[1]!s_west_eps($B$1,YEAR($A1226),$A1226,180)</f>
        <v>-0.28410000000000002</v>
      </c>
      <c r="D1226" cm="1">
        <f t="array" aca="1" ref="D1226" ca="1">[1]!s_west_instnum_np($B$1,YEAR($A1226),$A1226,180)</f>
        <v>7</v>
      </c>
      <c r="E1226" cm="1">
        <f t="array" aca="1" ref="E1226" ca="1">[1]!s_west_stdnetprofit($B$1,YEAR($A1226),$A1226,180,1000000)</f>
        <v>106.338048</v>
      </c>
      <c r="F1226" cm="1">
        <f t="array" aca="1" ref="F1226" ca="1">[1]!s_west_mediannetprofit($B$1,YEAR($A1226),$A1226,180,1000000)</f>
        <v>-296</v>
      </c>
      <c r="G1226" cm="1">
        <f t="array" aca="1" ref="G1226" ca="1">[1]!s_west_netprofit($B$1,YEAR($A1226)+1,$A1226,180,1000000)</f>
        <v>-111.435</v>
      </c>
      <c r="H1226" cm="1">
        <f t="array" aca="1" ref="H1226" ca="1">[1]!s_west_eps($B$1,YEAR($A1226)+1,$A1226,180)</f>
        <v>-0.12889999999999999</v>
      </c>
      <c r="I1226" cm="1">
        <f t="array" aca="1" ref="I1226" ca="1">[1]!s_west_instnum_np($B$1,YEAR($A1226)+1,$A1226,180)</f>
        <v>5</v>
      </c>
      <c r="J1226" cm="1">
        <f t="array" aca="1" ref="J1226" ca="1">[1]!s_west_stdnetprofit($B$1,YEAR($A1226)+1,$A1226,180,1000000)</f>
        <v>94.184962999999996</v>
      </c>
      <c r="K1226" cm="1">
        <f t="array" aca="1" ref="K1226" ca="1">[1]!s_west_mediannetprofit($B$1,YEAR($A1225)+1,$A1225,180,1000000)</f>
        <v>-135.54249999999999</v>
      </c>
      <c r="L1226" cm="1">
        <f t="array" aca="1" ref="L1226" ca="1">[1]!s_dq_close($B$1,$A1226,3)</f>
        <v>27.6</v>
      </c>
    </row>
    <row r="1227" spans="1:12">
      <c r="A1227" s="23">
        <f t="shared" ca="1" si="18"/>
        <v>44948</v>
      </c>
      <c r="B1227" cm="1">
        <f t="array" aca="1" ref="B1227" ca="1">[1]!s_west_netprofit($B$1,YEAR($A1227),$A1227,180,1000000)</f>
        <v>-213.36075</v>
      </c>
      <c r="C1227" cm="1">
        <f t="array" aca="1" ref="C1227" ca="1">[1]!s_west_eps($B$1,YEAR($A1227),$A1227,180)</f>
        <v>-0.24479999999999999</v>
      </c>
      <c r="D1227" cm="1">
        <f t="array" aca="1" ref="D1227" ca="1">[1]!s_west_instnum_np($B$1,YEAR($A1227),$A1227,180)</f>
        <v>8</v>
      </c>
      <c r="E1227" cm="1">
        <f t="array" aca="1" ref="E1227" ca="1">[1]!s_west_stdnetprofit($B$1,YEAR($A1227),$A1227,180,1000000)</f>
        <v>135.76308499999999</v>
      </c>
      <c r="F1227" cm="1">
        <f t="array" aca="1" ref="F1227" ca="1">[1]!s_west_mediannetprofit($B$1,YEAR($A1227),$A1227,180,1000000)</f>
        <v>-275.59300000000002</v>
      </c>
      <c r="G1227" cm="1">
        <f t="array" aca="1" ref="G1227" ca="1">[1]!s_west_netprofit($B$1,YEAR($A1227)+1,$A1227,180,1000000)</f>
        <v>-77.529167000000001</v>
      </c>
      <c r="H1227" cm="1">
        <f t="array" aca="1" ref="H1227" ca="1">[1]!s_west_eps($B$1,YEAR($A1227)+1,$A1227,180)</f>
        <v>-8.9700000000000002E-2</v>
      </c>
      <c r="I1227" cm="1">
        <f t="array" aca="1" ref="I1227" ca="1">[1]!s_west_instnum_np($B$1,YEAR($A1227)+1,$A1227,180)</f>
        <v>6</v>
      </c>
      <c r="J1227" cm="1">
        <f t="array" aca="1" ref="J1227" ca="1">[1]!s_west_stdnetprofit($B$1,YEAR($A1227)+1,$A1227,180,1000000)</f>
        <v>118.29741799999999</v>
      </c>
      <c r="K1227" cm="1">
        <f t="array" aca="1" ref="K1227" ca="1">[1]!s_west_mediannetprofit($B$1,YEAR($A1226)+1,$A1226,180,1000000)</f>
        <v>-120</v>
      </c>
      <c r="L1227" cm="1">
        <f t="array" aca="1" ref="L1227" ca="1">[1]!s_dq_close($B$1,$A1227,3)</f>
        <v>27.6</v>
      </c>
    </row>
    <row r="1228" spans="1:12">
      <c r="A1228" s="23">
        <f t="shared" ca="1" si="18"/>
        <v>44947</v>
      </c>
      <c r="B1228" cm="1">
        <f t="array" aca="1" ref="B1228" ca="1">[1]!s_west_netprofit($B$1,YEAR($A1228),$A1228,180,1000000)</f>
        <v>-213.36075</v>
      </c>
      <c r="C1228" cm="1">
        <f t="array" aca="1" ref="C1228" ca="1">[1]!s_west_eps($B$1,YEAR($A1228),$A1228,180)</f>
        <v>-0.24479999999999999</v>
      </c>
      <c r="D1228" cm="1">
        <f t="array" aca="1" ref="D1228" ca="1">[1]!s_west_instnum_np($B$1,YEAR($A1228),$A1228,180)</f>
        <v>8</v>
      </c>
      <c r="E1228" cm="1">
        <f t="array" aca="1" ref="E1228" ca="1">[1]!s_west_stdnetprofit($B$1,YEAR($A1228),$A1228,180,1000000)</f>
        <v>135.76308499999999</v>
      </c>
      <c r="F1228" cm="1">
        <f t="array" aca="1" ref="F1228" ca="1">[1]!s_west_mediannetprofit($B$1,YEAR($A1228),$A1228,180,1000000)</f>
        <v>-275.59300000000002</v>
      </c>
      <c r="G1228" cm="1">
        <f t="array" aca="1" ref="G1228" ca="1">[1]!s_west_netprofit($B$1,YEAR($A1228)+1,$A1228,180,1000000)</f>
        <v>-77.529167000000001</v>
      </c>
      <c r="H1228" cm="1">
        <f t="array" aca="1" ref="H1228" ca="1">[1]!s_west_eps($B$1,YEAR($A1228)+1,$A1228,180)</f>
        <v>-8.9700000000000002E-2</v>
      </c>
      <c r="I1228" cm="1">
        <f t="array" aca="1" ref="I1228" ca="1">[1]!s_west_instnum_np($B$1,YEAR($A1228)+1,$A1228,180)</f>
        <v>6</v>
      </c>
      <c r="J1228" cm="1">
        <f t="array" aca="1" ref="J1228" ca="1">[1]!s_west_stdnetprofit($B$1,YEAR($A1228)+1,$A1228,180,1000000)</f>
        <v>118.29741799999999</v>
      </c>
      <c r="K1228" cm="1">
        <f t="array" aca="1" ref="K1228" ca="1">[1]!s_west_mediannetprofit($B$1,YEAR($A1227)+1,$A1227,180,1000000)</f>
        <v>-91.545000000000002</v>
      </c>
      <c r="L1228" cm="1">
        <f t="array" aca="1" ref="L1228" ca="1">[1]!s_dq_close($B$1,$A1228,3)</f>
        <v>27.6</v>
      </c>
    </row>
    <row r="1229" spans="1:12">
      <c r="A1229" s="23">
        <f t="shared" ref="A1229:A1292" ca="1" si="19">A1228-1</f>
        <v>44946</v>
      </c>
      <c r="B1229" cm="1">
        <f t="array" aca="1" ref="B1229" ca="1">[1]!s_west_netprofit($B$1,YEAR($A1229),$A1229,180,1000000)</f>
        <v>-213.36075</v>
      </c>
      <c r="C1229" cm="1">
        <f t="array" aca="1" ref="C1229" ca="1">[1]!s_west_eps($B$1,YEAR($A1229),$A1229,180)</f>
        <v>-0.24479999999999999</v>
      </c>
      <c r="D1229" cm="1">
        <f t="array" aca="1" ref="D1229" ca="1">[1]!s_west_instnum_np($B$1,YEAR($A1229),$A1229,180)</f>
        <v>8</v>
      </c>
      <c r="E1229" cm="1">
        <f t="array" aca="1" ref="E1229" ca="1">[1]!s_west_stdnetprofit($B$1,YEAR($A1229),$A1229,180,1000000)</f>
        <v>135.76308499999999</v>
      </c>
      <c r="F1229" cm="1">
        <f t="array" aca="1" ref="F1229" ca="1">[1]!s_west_mediannetprofit($B$1,YEAR($A1229),$A1229,180,1000000)</f>
        <v>-275.59300000000002</v>
      </c>
      <c r="G1229" cm="1">
        <f t="array" aca="1" ref="G1229" ca="1">[1]!s_west_netprofit($B$1,YEAR($A1229)+1,$A1229,180,1000000)</f>
        <v>-77.529167000000001</v>
      </c>
      <c r="H1229" cm="1">
        <f t="array" aca="1" ref="H1229" ca="1">[1]!s_west_eps($B$1,YEAR($A1229)+1,$A1229,180)</f>
        <v>-8.9700000000000002E-2</v>
      </c>
      <c r="I1229" cm="1">
        <f t="array" aca="1" ref="I1229" ca="1">[1]!s_west_instnum_np($B$1,YEAR($A1229)+1,$A1229,180)</f>
        <v>6</v>
      </c>
      <c r="J1229" cm="1">
        <f t="array" aca="1" ref="J1229" ca="1">[1]!s_west_stdnetprofit($B$1,YEAR($A1229)+1,$A1229,180,1000000)</f>
        <v>118.29741799999999</v>
      </c>
      <c r="K1229" cm="1">
        <f t="array" aca="1" ref="K1229" ca="1">[1]!s_west_mediannetprofit($B$1,YEAR($A1228)+1,$A1228,180,1000000)</f>
        <v>-91.545000000000002</v>
      </c>
      <c r="L1229" cm="1">
        <f t="array" aca="1" ref="L1229" ca="1">[1]!s_dq_close($B$1,$A1229,3)</f>
        <v>27.6</v>
      </c>
    </row>
    <row r="1230" spans="1:12">
      <c r="A1230" s="23">
        <f t="shared" ca="1" si="19"/>
        <v>44945</v>
      </c>
      <c r="B1230" cm="1">
        <f t="array" aca="1" ref="B1230" ca="1">[1]!s_west_netprofit($B$1,YEAR($A1230),$A1230,180,1000000)</f>
        <v>-213.36075</v>
      </c>
      <c r="C1230" cm="1">
        <f t="array" aca="1" ref="C1230" ca="1">[1]!s_west_eps($B$1,YEAR($A1230),$A1230,180)</f>
        <v>-0.24479999999999999</v>
      </c>
      <c r="D1230" cm="1">
        <f t="array" aca="1" ref="D1230" ca="1">[1]!s_west_instnum_np($B$1,YEAR($A1230),$A1230,180)</f>
        <v>8</v>
      </c>
      <c r="E1230" cm="1">
        <f t="array" aca="1" ref="E1230" ca="1">[1]!s_west_stdnetprofit($B$1,YEAR($A1230),$A1230,180,1000000)</f>
        <v>135.76308499999999</v>
      </c>
      <c r="F1230" cm="1">
        <f t="array" aca="1" ref="F1230" ca="1">[1]!s_west_mediannetprofit($B$1,YEAR($A1230),$A1230,180,1000000)</f>
        <v>-275.59300000000002</v>
      </c>
      <c r="G1230" cm="1">
        <f t="array" aca="1" ref="G1230" ca="1">[1]!s_west_netprofit($B$1,YEAR($A1230)+1,$A1230,180,1000000)</f>
        <v>-77.529167000000001</v>
      </c>
      <c r="H1230" cm="1">
        <f t="array" aca="1" ref="H1230" ca="1">[1]!s_west_eps($B$1,YEAR($A1230)+1,$A1230,180)</f>
        <v>-8.9700000000000002E-2</v>
      </c>
      <c r="I1230" cm="1">
        <f t="array" aca="1" ref="I1230" ca="1">[1]!s_west_instnum_np($B$1,YEAR($A1230)+1,$A1230,180)</f>
        <v>6</v>
      </c>
      <c r="J1230" cm="1">
        <f t="array" aca="1" ref="J1230" ca="1">[1]!s_west_stdnetprofit($B$1,YEAR($A1230)+1,$A1230,180,1000000)</f>
        <v>118.29741799999999</v>
      </c>
      <c r="K1230" cm="1">
        <f t="array" aca="1" ref="K1230" ca="1">[1]!s_west_mediannetprofit($B$1,YEAR($A1229)+1,$A1229,180,1000000)</f>
        <v>-91.545000000000002</v>
      </c>
      <c r="L1230" cm="1">
        <f t="array" aca="1" ref="L1230" ca="1">[1]!s_dq_close($B$1,$A1230,3)</f>
        <v>27.3</v>
      </c>
    </row>
    <row r="1231" spans="1:12">
      <c r="A1231" s="23">
        <f t="shared" ca="1" si="19"/>
        <v>44944</v>
      </c>
      <c r="B1231" cm="1">
        <f t="array" aca="1" ref="B1231" ca="1">[1]!s_west_netprofit($B$1,YEAR($A1231),$A1231,180,1000000)</f>
        <v>-214.48575</v>
      </c>
      <c r="C1231" cm="1">
        <f t="array" aca="1" ref="C1231" ca="1">[1]!s_west_eps($B$1,YEAR($A1231),$A1231,180)</f>
        <v>-0.24610000000000001</v>
      </c>
      <c r="D1231" cm="1">
        <f t="array" aca="1" ref="D1231" ca="1">[1]!s_west_instnum_np($B$1,YEAR($A1231),$A1231,180)</f>
        <v>8</v>
      </c>
      <c r="E1231" cm="1">
        <f t="array" aca="1" ref="E1231" ca="1">[1]!s_west_stdnetprofit($B$1,YEAR($A1231),$A1231,180,1000000)</f>
        <v>134.53182799999999</v>
      </c>
      <c r="F1231" cm="1">
        <f t="array" aca="1" ref="F1231" ca="1">[1]!s_west_mediannetprofit($B$1,YEAR($A1231),$A1231,180,1000000)</f>
        <v>-275.59300000000002</v>
      </c>
      <c r="G1231" cm="1">
        <f t="array" aca="1" ref="G1231" ca="1">[1]!s_west_netprofit($B$1,YEAR($A1231)+1,$A1231,180,1000000)</f>
        <v>-81.029167000000001</v>
      </c>
      <c r="H1231" cm="1">
        <f t="array" aca="1" ref="H1231" ca="1">[1]!s_west_eps($B$1,YEAR($A1231)+1,$A1231,180)</f>
        <v>-9.3700000000000006E-2</v>
      </c>
      <c r="I1231" cm="1">
        <f t="array" aca="1" ref="I1231" ca="1">[1]!s_west_instnum_np($B$1,YEAR($A1231)+1,$A1231,180)</f>
        <v>6</v>
      </c>
      <c r="J1231" cm="1">
        <f t="array" aca="1" ref="J1231" ca="1">[1]!s_west_stdnetprofit($B$1,YEAR($A1231)+1,$A1231,180,1000000)</f>
        <v>115.321004</v>
      </c>
      <c r="K1231" cm="1">
        <f t="array" aca="1" ref="K1231" ca="1">[1]!s_west_mediannetprofit($B$1,YEAR($A1230)+1,$A1230,180,1000000)</f>
        <v>-91.545000000000002</v>
      </c>
      <c r="L1231" cm="1">
        <f t="array" aca="1" ref="L1231" ca="1">[1]!s_dq_close($B$1,$A1231,3)</f>
        <v>27.5</v>
      </c>
    </row>
    <row r="1232" spans="1:12">
      <c r="A1232" s="23">
        <f t="shared" ca="1" si="19"/>
        <v>44943</v>
      </c>
      <c r="B1232" cm="1">
        <f t="array" aca="1" ref="B1232" ca="1">[1]!s_west_netprofit($B$1,YEAR($A1232),$A1232,180,1000000)</f>
        <v>-214.48575</v>
      </c>
      <c r="C1232" cm="1">
        <f t="array" aca="1" ref="C1232" ca="1">[1]!s_west_eps($B$1,YEAR($A1232),$A1232,180)</f>
        <v>-0.24610000000000001</v>
      </c>
      <c r="D1232" cm="1">
        <f t="array" aca="1" ref="D1232" ca="1">[1]!s_west_instnum_np($B$1,YEAR($A1232),$A1232,180)</f>
        <v>8</v>
      </c>
      <c r="E1232" cm="1">
        <f t="array" aca="1" ref="E1232" ca="1">[1]!s_west_stdnetprofit($B$1,YEAR($A1232),$A1232,180,1000000)</f>
        <v>134.53182799999999</v>
      </c>
      <c r="F1232" cm="1">
        <f t="array" aca="1" ref="F1232" ca="1">[1]!s_west_mediannetprofit($B$1,YEAR($A1232),$A1232,180,1000000)</f>
        <v>-275.59300000000002</v>
      </c>
      <c r="G1232" cm="1">
        <f t="array" aca="1" ref="G1232" ca="1">[1]!s_west_netprofit($B$1,YEAR($A1232)+1,$A1232,180,1000000)</f>
        <v>-81.029167000000001</v>
      </c>
      <c r="H1232" cm="1">
        <f t="array" aca="1" ref="H1232" ca="1">[1]!s_west_eps($B$1,YEAR($A1232)+1,$A1232,180)</f>
        <v>-9.3700000000000006E-2</v>
      </c>
      <c r="I1232" cm="1">
        <f t="array" aca="1" ref="I1232" ca="1">[1]!s_west_instnum_np($B$1,YEAR($A1232)+1,$A1232,180)</f>
        <v>6</v>
      </c>
      <c r="J1232" cm="1">
        <f t="array" aca="1" ref="J1232" ca="1">[1]!s_west_stdnetprofit($B$1,YEAR($A1232)+1,$A1232,180,1000000)</f>
        <v>115.321004</v>
      </c>
      <c r="K1232" cm="1">
        <f t="array" aca="1" ref="K1232" ca="1">[1]!s_west_mediannetprofit($B$1,YEAR($A1231)+1,$A1231,180,1000000)</f>
        <v>-91.545000000000002</v>
      </c>
      <c r="L1232" cm="1">
        <f t="array" aca="1" ref="L1232" ca="1">[1]!s_dq_close($B$1,$A1232,3)</f>
        <v>27.5</v>
      </c>
    </row>
    <row r="1233" spans="1:12">
      <c r="A1233" s="23">
        <f t="shared" ca="1" si="19"/>
        <v>44942</v>
      </c>
      <c r="B1233" cm="1">
        <f t="array" aca="1" ref="B1233" ca="1">[1]!s_west_netprofit($B$1,YEAR($A1233),$A1233,180,1000000)</f>
        <v>-214.48575</v>
      </c>
      <c r="C1233" cm="1">
        <f t="array" aca="1" ref="C1233" ca="1">[1]!s_west_eps($B$1,YEAR($A1233),$A1233,180)</f>
        <v>-0.24610000000000001</v>
      </c>
      <c r="D1233" cm="1">
        <f t="array" aca="1" ref="D1233" ca="1">[1]!s_west_instnum_np($B$1,YEAR($A1233),$A1233,180)</f>
        <v>8</v>
      </c>
      <c r="E1233" cm="1">
        <f t="array" aca="1" ref="E1233" ca="1">[1]!s_west_stdnetprofit($B$1,YEAR($A1233),$A1233,180,1000000)</f>
        <v>134.53182799999999</v>
      </c>
      <c r="F1233" cm="1">
        <f t="array" aca="1" ref="F1233" ca="1">[1]!s_west_mediannetprofit($B$1,YEAR($A1233),$A1233,180,1000000)</f>
        <v>-275.59300000000002</v>
      </c>
      <c r="G1233" cm="1">
        <f t="array" aca="1" ref="G1233" ca="1">[1]!s_west_netprofit($B$1,YEAR($A1233)+1,$A1233,180,1000000)</f>
        <v>-81.029167000000001</v>
      </c>
      <c r="H1233" cm="1">
        <f t="array" aca="1" ref="H1233" ca="1">[1]!s_west_eps($B$1,YEAR($A1233)+1,$A1233,180)</f>
        <v>-9.3700000000000006E-2</v>
      </c>
      <c r="I1233" cm="1">
        <f t="array" aca="1" ref="I1233" ca="1">[1]!s_west_instnum_np($B$1,YEAR($A1233)+1,$A1233,180)</f>
        <v>6</v>
      </c>
      <c r="J1233" cm="1">
        <f t="array" aca="1" ref="J1233" ca="1">[1]!s_west_stdnetprofit($B$1,YEAR($A1233)+1,$A1233,180,1000000)</f>
        <v>115.321004</v>
      </c>
      <c r="K1233" cm="1">
        <f t="array" aca="1" ref="K1233" ca="1">[1]!s_west_mediannetprofit($B$1,YEAR($A1232)+1,$A1232,180,1000000)</f>
        <v>-91.545000000000002</v>
      </c>
      <c r="L1233" cm="1">
        <f t="array" aca="1" ref="L1233" ca="1">[1]!s_dq_close($B$1,$A1233,3)</f>
        <v>28.4</v>
      </c>
    </row>
    <row r="1234" spans="1:12">
      <c r="A1234" s="23">
        <f t="shared" ca="1" si="19"/>
        <v>44941</v>
      </c>
      <c r="B1234" cm="1">
        <f t="array" aca="1" ref="B1234" ca="1">[1]!s_west_netprofit($B$1,YEAR($A1234),$A1234,180,1000000)</f>
        <v>-214.48575</v>
      </c>
      <c r="C1234" cm="1">
        <f t="array" aca="1" ref="C1234" ca="1">[1]!s_west_eps($B$1,YEAR($A1234),$A1234,180)</f>
        <v>-0.24610000000000001</v>
      </c>
      <c r="D1234" cm="1">
        <f t="array" aca="1" ref="D1234" ca="1">[1]!s_west_instnum_np($B$1,YEAR($A1234),$A1234,180)</f>
        <v>8</v>
      </c>
      <c r="E1234" cm="1">
        <f t="array" aca="1" ref="E1234" ca="1">[1]!s_west_stdnetprofit($B$1,YEAR($A1234),$A1234,180,1000000)</f>
        <v>134.53182799999999</v>
      </c>
      <c r="F1234" cm="1">
        <f t="array" aca="1" ref="F1234" ca="1">[1]!s_west_mediannetprofit($B$1,YEAR($A1234),$A1234,180,1000000)</f>
        <v>-275.59300000000002</v>
      </c>
      <c r="G1234" cm="1">
        <f t="array" aca="1" ref="G1234" ca="1">[1]!s_west_netprofit($B$1,YEAR($A1234)+1,$A1234,180,1000000)</f>
        <v>-81.029167000000001</v>
      </c>
      <c r="H1234" cm="1">
        <f t="array" aca="1" ref="H1234" ca="1">[1]!s_west_eps($B$1,YEAR($A1234)+1,$A1234,180)</f>
        <v>-9.3700000000000006E-2</v>
      </c>
      <c r="I1234" cm="1">
        <f t="array" aca="1" ref="I1234" ca="1">[1]!s_west_instnum_np($B$1,YEAR($A1234)+1,$A1234,180)</f>
        <v>6</v>
      </c>
      <c r="J1234" cm="1">
        <f t="array" aca="1" ref="J1234" ca="1">[1]!s_west_stdnetprofit($B$1,YEAR($A1234)+1,$A1234,180,1000000)</f>
        <v>115.321004</v>
      </c>
      <c r="K1234" cm="1">
        <f t="array" aca="1" ref="K1234" ca="1">[1]!s_west_mediannetprofit($B$1,YEAR($A1233)+1,$A1233,180,1000000)</f>
        <v>-91.545000000000002</v>
      </c>
      <c r="L1234" cm="1">
        <f t="array" aca="1" ref="L1234" ca="1">[1]!s_dq_close($B$1,$A1234,3)</f>
        <v>28.65</v>
      </c>
    </row>
    <row r="1235" spans="1:12">
      <c r="A1235" s="23">
        <f t="shared" ca="1" si="19"/>
        <v>44940</v>
      </c>
      <c r="B1235" cm="1">
        <f t="array" aca="1" ref="B1235" ca="1">[1]!s_west_netprofit($B$1,YEAR($A1235),$A1235,180,1000000)</f>
        <v>-214.48575</v>
      </c>
      <c r="C1235" cm="1">
        <f t="array" aca="1" ref="C1235" ca="1">[1]!s_west_eps($B$1,YEAR($A1235),$A1235,180)</f>
        <v>-0.24610000000000001</v>
      </c>
      <c r="D1235" cm="1">
        <f t="array" aca="1" ref="D1235" ca="1">[1]!s_west_instnum_np($B$1,YEAR($A1235),$A1235,180)</f>
        <v>8</v>
      </c>
      <c r="E1235" cm="1">
        <f t="array" aca="1" ref="E1235" ca="1">[1]!s_west_stdnetprofit($B$1,YEAR($A1235),$A1235,180,1000000)</f>
        <v>134.53182799999999</v>
      </c>
      <c r="F1235" cm="1">
        <f t="array" aca="1" ref="F1235" ca="1">[1]!s_west_mediannetprofit($B$1,YEAR($A1235),$A1235,180,1000000)</f>
        <v>-275.59300000000002</v>
      </c>
      <c r="G1235" cm="1">
        <f t="array" aca="1" ref="G1235" ca="1">[1]!s_west_netprofit($B$1,YEAR($A1235)+1,$A1235,180,1000000)</f>
        <v>-81.029167000000001</v>
      </c>
      <c r="H1235" cm="1">
        <f t="array" aca="1" ref="H1235" ca="1">[1]!s_west_eps($B$1,YEAR($A1235)+1,$A1235,180)</f>
        <v>-9.3700000000000006E-2</v>
      </c>
      <c r="I1235" cm="1">
        <f t="array" aca="1" ref="I1235" ca="1">[1]!s_west_instnum_np($B$1,YEAR($A1235)+1,$A1235,180)</f>
        <v>6</v>
      </c>
      <c r="J1235" cm="1">
        <f t="array" aca="1" ref="J1235" ca="1">[1]!s_west_stdnetprofit($B$1,YEAR($A1235)+1,$A1235,180,1000000)</f>
        <v>115.321004</v>
      </c>
      <c r="K1235" cm="1">
        <f t="array" aca="1" ref="K1235" ca="1">[1]!s_west_mediannetprofit($B$1,YEAR($A1234)+1,$A1234,180,1000000)</f>
        <v>-91.545000000000002</v>
      </c>
      <c r="L1235" cm="1">
        <f t="array" aca="1" ref="L1235" ca="1">[1]!s_dq_close($B$1,$A1235,3)</f>
        <v>28.65</v>
      </c>
    </row>
    <row r="1236" spans="1:12">
      <c r="A1236" s="23">
        <f t="shared" ca="1" si="19"/>
        <v>44939</v>
      </c>
      <c r="B1236" cm="1">
        <f t="array" aca="1" ref="B1236" ca="1">[1]!s_west_netprofit($B$1,YEAR($A1236),$A1236,180,1000000)</f>
        <v>-214.48575</v>
      </c>
      <c r="C1236" cm="1">
        <f t="array" aca="1" ref="C1236" ca="1">[1]!s_west_eps($B$1,YEAR($A1236),$A1236,180)</f>
        <v>-0.24610000000000001</v>
      </c>
      <c r="D1236" cm="1">
        <f t="array" aca="1" ref="D1236" ca="1">[1]!s_west_instnum_np($B$1,YEAR($A1236),$A1236,180)</f>
        <v>8</v>
      </c>
      <c r="E1236" cm="1">
        <f t="array" aca="1" ref="E1236" ca="1">[1]!s_west_stdnetprofit($B$1,YEAR($A1236),$A1236,180,1000000)</f>
        <v>134.53182799999999</v>
      </c>
      <c r="F1236" cm="1">
        <f t="array" aca="1" ref="F1236" ca="1">[1]!s_west_mediannetprofit($B$1,YEAR($A1236),$A1236,180,1000000)</f>
        <v>-275.59300000000002</v>
      </c>
      <c r="G1236" cm="1">
        <f t="array" aca="1" ref="G1236" ca="1">[1]!s_west_netprofit($B$1,YEAR($A1236)+1,$A1236,180,1000000)</f>
        <v>-81.029167000000001</v>
      </c>
      <c r="H1236" cm="1">
        <f t="array" aca="1" ref="H1236" ca="1">[1]!s_west_eps($B$1,YEAR($A1236)+1,$A1236,180)</f>
        <v>-9.3700000000000006E-2</v>
      </c>
      <c r="I1236" cm="1">
        <f t="array" aca="1" ref="I1236" ca="1">[1]!s_west_instnum_np($B$1,YEAR($A1236)+1,$A1236,180)</f>
        <v>6</v>
      </c>
      <c r="J1236" cm="1">
        <f t="array" aca="1" ref="J1236" ca="1">[1]!s_west_stdnetprofit($B$1,YEAR($A1236)+1,$A1236,180,1000000)</f>
        <v>115.321004</v>
      </c>
      <c r="K1236" cm="1">
        <f t="array" aca="1" ref="K1236" ca="1">[1]!s_west_mediannetprofit($B$1,YEAR($A1235)+1,$A1235,180,1000000)</f>
        <v>-91.545000000000002</v>
      </c>
      <c r="L1236" cm="1">
        <f t="array" aca="1" ref="L1236" ca="1">[1]!s_dq_close($B$1,$A1236,3)</f>
        <v>28.65</v>
      </c>
    </row>
    <row r="1237" spans="1:12">
      <c r="A1237" s="23">
        <f t="shared" ca="1" si="19"/>
        <v>44938</v>
      </c>
      <c r="B1237" cm="1">
        <f t="array" aca="1" ref="B1237" ca="1">[1]!s_west_netprofit($B$1,YEAR($A1237),$A1237,180,1000000)</f>
        <v>-214.48575</v>
      </c>
      <c r="C1237" cm="1">
        <f t="array" aca="1" ref="C1237" ca="1">[1]!s_west_eps($B$1,YEAR($A1237),$A1237,180)</f>
        <v>-0.24610000000000001</v>
      </c>
      <c r="D1237" cm="1">
        <f t="array" aca="1" ref="D1237" ca="1">[1]!s_west_instnum_np($B$1,YEAR($A1237),$A1237,180)</f>
        <v>8</v>
      </c>
      <c r="E1237" cm="1">
        <f t="array" aca="1" ref="E1237" ca="1">[1]!s_west_stdnetprofit($B$1,YEAR($A1237),$A1237,180,1000000)</f>
        <v>134.53182799999999</v>
      </c>
      <c r="F1237" cm="1">
        <f t="array" aca="1" ref="F1237" ca="1">[1]!s_west_mediannetprofit($B$1,YEAR($A1237),$A1237,180,1000000)</f>
        <v>-275.59300000000002</v>
      </c>
      <c r="G1237" cm="1">
        <f t="array" aca="1" ref="G1237" ca="1">[1]!s_west_netprofit($B$1,YEAR($A1237)+1,$A1237,180,1000000)</f>
        <v>-81.029167000000001</v>
      </c>
      <c r="H1237" cm="1">
        <f t="array" aca="1" ref="H1237" ca="1">[1]!s_west_eps($B$1,YEAR($A1237)+1,$A1237,180)</f>
        <v>-9.3700000000000006E-2</v>
      </c>
      <c r="I1237" cm="1">
        <f t="array" aca="1" ref="I1237" ca="1">[1]!s_west_instnum_np($B$1,YEAR($A1237)+1,$A1237,180)</f>
        <v>6</v>
      </c>
      <c r="J1237" cm="1">
        <f t="array" aca="1" ref="J1237" ca="1">[1]!s_west_stdnetprofit($B$1,YEAR($A1237)+1,$A1237,180,1000000)</f>
        <v>115.321004</v>
      </c>
      <c r="K1237" cm="1">
        <f t="array" aca="1" ref="K1237" ca="1">[1]!s_west_mediannetprofit($B$1,YEAR($A1236)+1,$A1236,180,1000000)</f>
        <v>-91.545000000000002</v>
      </c>
      <c r="L1237" cm="1">
        <f t="array" aca="1" ref="L1237" ca="1">[1]!s_dq_close($B$1,$A1237,3)</f>
        <v>27.05</v>
      </c>
    </row>
    <row r="1238" spans="1:12">
      <c r="A1238" s="23">
        <f t="shared" ca="1" si="19"/>
        <v>44937</v>
      </c>
      <c r="B1238" cm="1">
        <f t="array" aca="1" ref="B1238" ca="1">[1]!s_west_netprofit($B$1,YEAR($A1238),$A1238,180,1000000)</f>
        <v>-214.48575</v>
      </c>
      <c r="C1238" cm="1">
        <f t="array" aca="1" ref="C1238" ca="1">[1]!s_west_eps($B$1,YEAR($A1238),$A1238,180)</f>
        <v>-0.24610000000000001</v>
      </c>
      <c r="D1238" cm="1">
        <f t="array" aca="1" ref="D1238" ca="1">[1]!s_west_instnum_np($B$1,YEAR($A1238),$A1238,180)</f>
        <v>8</v>
      </c>
      <c r="E1238" cm="1">
        <f t="array" aca="1" ref="E1238" ca="1">[1]!s_west_stdnetprofit($B$1,YEAR($A1238),$A1238,180,1000000)</f>
        <v>134.53182799999999</v>
      </c>
      <c r="F1238" cm="1">
        <f t="array" aca="1" ref="F1238" ca="1">[1]!s_west_mediannetprofit($B$1,YEAR($A1238),$A1238,180,1000000)</f>
        <v>-275.59300000000002</v>
      </c>
      <c r="G1238" cm="1">
        <f t="array" aca="1" ref="G1238" ca="1">[1]!s_west_netprofit($B$1,YEAR($A1238)+1,$A1238,180,1000000)</f>
        <v>-81.029167000000001</v>
      </c>
      <c r="H1238" cm="1">
        <f t="array" aca="1" ref="H1238" ca="1">[1]!s_west_eps($B$1,YEAR($A1238)+1,$A1238,180)</f>
        <v>-9.3700000000000006E-2</v>
      </c>
      <c r="I1238" cm="1">
        <f t="array" aca="1" ref="I1238" ca="1">[1]!s_west_instnum_np($B$1,YEAR($A1238)+1,$A1238,180)</f>
        <v>6</v>
      </c>
      <c r="J1238" cm="1">
        <f t="array" aca="1" ref="J1238" ca="1">[1]!s_west_stdnetprofit($B$1,YEAR($A1238)+1,$A1238,180,1000000)</f>
        <v>115.321004</v>
      </c>
      <c r="K1238" cm="1">
        <f t="array" aca="1" ref="K1238" ca="1">[1]!s_west_mediannetprofit($B$1,YEAR($A1237)+1,$A1237,180,1000000)</f>
        <v>-91.545000000000002</v>
      </c>
      <c r="L1238" cm="1">
        <f t="array" aca="1" ref="L1238" ca="1">[1]!s_dq_close($B$1,$A1238,3)</f>
        <v>27.4</v>
      </c>
    </row>
    <row r="1239" spans="1:12">
      <c r="A1239" s="23">
        <f t="shared" ca="1" si="19"/>
        <v>44936</v>
      </c>
      <c r="B1239" cm="1">
        <f t="array" aca="1" ref="B1239" ca="1">[1]!s_west_netprofit($B$1,YEAR($A1239),$A1239,180,1000000)</f>
        <v>-214.48575</v>
      </c>
      <c r="C1239" cm="1">
        <f t="array" aca="1" ref="C1239" ca="1">[1]!s_west_eps($B$1,YEAR($A1239),$A1239,180)</f>
        <v>-0.24610000000000001</v>
      </c>
      <c r="D1239" cm="1">
        <f t="array" aca="1" ref="D1239" ca="1">[1]!s_west_instnum_np($B$1,YEAR($A1239),$A1239,180)</f>
        <v>8</v>
      </c>
      <c r="E1239" cm="1">
        <f t="array" aca="1" ref="E1239" ca="1">[1]!s_west_stdnetprofit($B$1,YEAR($A1239),$A1239,180,1000000)</f>
        <v>134.53182799999999</v>
      </c>
      <c r="F1239" cm="1">
        <f t="array" aca="1" ref="F1239" ca="1">[1]!s_west_mediannetprofit($B$1,YEAR($A1239),$A1239,180,1000000)</f>
        <v>-275.59300000000002</v>
      </c>
      <c r="G1239" cm="1">
        <f t="array" aca="1" ref="G1239" ca="1">[1]!s_west_netprofit($B$1,YEAR($A1239)+1,$A1239,180,1000000)</f>
        <v>-81.029167000000001</v>
      </c>
      <c r="H1239" cm="1">
        <f t="array" aca="1" ref="H1239" ca="1">[1]!s_west_eps($B$1,YEAR($A1239)+1,$A1239,180)</f>
        <v>-9.3700000000000006E-2</v>
      </c>
      <c r="I1239" cm="1">
        <f t="array" aca="1" ref="I1239" ca="1">[1]!s_west_instnum_np($B$1,YEAR($A1239)+1,$A1239,180)</f>
        <v>6</v>
      </c>
      <c r="J1239" cm="1">
        <f t="array" aca="1" ref="J1239" ca="1">[1]!s_west_stdnetprofit($B$1,YEAR($A1239)+1,$A1239,180,1000000)</f>
        <v>115.321004</v>
      </c>
      <c r="K1239" cm="1">
        <f t="array" aca="1" ref="K1239" ca="1">[1]!s_west_mediannetprofit($B$1,YEAR($A1238)+1,$A1238,180,1000000)</f>
        <v>-91.545000000000002</v>
      </c>
      <c r="L1239" cm="1">
        <f t="array" aca="1" ref="L1239" ca="1">[1]!s_dq_close($B$1,$A1239,3)</f>
        <v>27.95</v>
      </c>
    </row>
    <row r="1240" spans="1:12">
      <c r="A1240" s="23">
        <f t="shared" ca="1" si="19"/>
        <v>44935</v>
      </c>
      <c r="B1240" cm="1">
        <f t="array" aca="1" ref="B1240" ca="1">[1]!s_west_netprofit($B$1,YEAR($A1240),$A1240,180,1000000)</f>
        <v>-214.48575</v>
      </c>
      <c r="C1240" cm="1">
        <f t="array" aca="1" ref="C1240" ca="1">[1]!s_west_eps($B$1,YEAR($A1240),$A1240,180)</f>
        <v>-0.24610000000000001</v>
      </c>
      <c r="D1240" cm="1">
        <f t="array" aca="1" ref="D1240" ca="1">[1]!s_west_instnum_np($B$1,YEAR($A1240),$A1240,180)</f>
        <v>8</v>
      </c>
      <c r="E1240" cm="1">
        <f t="array" aca="1" ref="E1240" ca="1">[1]!s_west_stdnetprofit($B$1,YEAR($A1240),$A1240,180,1000000)</f>
        <v>134.53182799999999</v>
      </c>
      <c r="F1240" cm="1">
        <f t="array" aca="1" ref="F1240" ca="1">[1]!s_west_mediannetprofit($B$1,YEAR($A1240),$A1240,180,1000000)</f>
        <v>-275.59300000000002</v>
      </c>
      <c r="G1240" cm="1">
        <f t="array" aca="1" ref="G1240" ca="1">[1]!s_west_netprofit($B$1,YEAR($A1240)+1,$A1240,180,1000000)</f>
        <v>-81.029167000000001</v>
      </c>
      <c r="H1240" cm="1">
        <f t="array" aca="1" ref="H1240" ca="1">[1]!s_west_eps($B$1,YEAR($A1240)+1,$A1240,180)</f>
        <v>-9.3700000000000006E-2</v>
      </c>
      <c r="I1240" cm="1">
        <f t="array" aca="1" ref="I1240" ca="1">[1]!s_west_instnum_np($B$1,YEAR($A1240)+1,$A1240,180)</f>
        <v>6</v>
      </c>
      <c r="J1240" cm="1">
        <f t="array" aca="1" ref="J1240" ca="1">[1]!s_west_stdnetprofit($B$1,YEAR($A1240)+1,$A1240,180,1000000)</f>
        <v>115.321004</v>
      </c>
      <c r="K1240" cm="1">
        <f t="array" aca="1" ref="K1240" ca="1">[1]!s_west_mediannetprofit($B$1,YEAR($A1239)+1,$A1239,180,1000000)</f>
        <v>-91.545000000000002</v>
      </c>
      <c r="L1240" cm="1">
        <f t="array" aca="1" ref="L1240" ca="1">[1]!s_dq_close($B$1,$A1240,3)</f>
        <v>28.3</v>
      </c>
    </row>
    <row r="1241" spans="1:12">
      <c r="A1241" s="23">
        <f t="shared" ca="1" si="19"/>
        <v>44934</v>
      </c>
      <c r="B1241" cm="1">
        <f t="array" aca="1" ref="B1241" ca="1">[1]!s_west_netprofit($B$1,YEAR($A1241),$A1241,180,1000000)</f>
        <v>-214.48575</v>
      </c>
      <c r="C1241" cm="1">
        <f t="array" aca="1" ref="C1241" ca="1">[1]!s_west_eps($B$1,YEAR($A1241),$A1241,180)</f>
        <v>-0.24610000000000001</v>
      </c>
      <c r="D1241" cm="1">
        <f t="array" aca="1" ref="D1241" ca="1">[1]!s_west_instnum_np($B$1,YEAR($A1241),$A1241,180)</f>
        <v>8</v>
      </c>
      <c r="E1241" cm="1">
        <f t="array" aca="1" ref="E1241" ca="1">[1]!s_west_stdnetprofit($B$1,YEAR($A1241),$A1241,180,1000000)</f>
        <v>134.53182799999999</v>
      </c>
      <c r="F1241" cm="1">
        <f t="array" aca="1" ref="F1241" ca="1">[1]!s_west_mediannetprofit($B$1,YEAR($A1241),$A1241,180,1000000)</f>
        <v>-275.59300000000002</v>
      </c>
      <c r="G1241" cm="1">
        <f t="array" aca="1" ref="G1241" ca="1">[1]!s_west_netprofit($B$1,YEAR($A1241)+1,$A1241,180,1000000)</f>
        <v>-81.029167000000001</v>
      </c>
      <c r="H1241" cm="1">
        <f t="array" aca="1" ref="H1241" ca="1">[1]!s_west_eps($B$1,YEAR($A1241)+1,$A1241,180)</f>
        <v>-9.3700000000000006E-2</v>
      </c>
      <c r="I1241" cm="1">
        <f t="array" aca="1" ref="I1241" ca="1">[1]!s_west_instnum_np($B$1,YEAR($A1241)+1,$A1241,180)</f>
        <v>6</v>
      </c>
      <c r="J1241" cm="1">
        <f t="array" aca="1" ref="J1241" ca="1">[1]!s_west_stdnetprofit($B$1,YEAR($A1241)+1,$A1241,180,1000000)</f>
        <v>115.321004</v>
      </c>
      <c r="K1241" cm="1">
        <f t="array" aca="1" ref="K1241" ca="1">[1]!s_west_mediannetprofit($B$1,YEAR($A1240)+1,$A1240,180,1000000)</f>
        <v>-91.545000000000002</v>
      </c>
      <c r="L1241" cm="1">
        <f t="array" aca="1" ref="L1241" ca="1">[1]!s_dq_close($B$1,$A1241,3)</f>
        <v>26.4</v>
      </c>
    </row>
    <row r="1242" spans="1:12">
      <c r="A1242" s="23">
        <f t="shared" ca="1" si="19"/>
        <v>44933</v>
      </c>
      <c r="B1242" cm="1">
        <f t="array" aca="1" ref="B1242" ca="1">[1]!s_west_netprofit($B$1,YEAR($A1242),$A1242,180,1000000)</f>
        <v>-214.48575</v>
      </c>
      <c r="C1242" cm="1">
        <f t="array" aca="1" ref="C1242" ca="1">[1]!s_west_eps($B$1,YEAR($A1242),$A1242,180)</f>
        <v>-0.24610000000000001</v>
      </c>
      <c r="D1242" cm="1">
        <f t="array" aca="1" ref="D1242" ca="1">[1]!s_west_instnum_np($B$1,YEAR($A1242),$A1242,180)</f>
        <v>8</v>
      </c>
      <c r="E1242" cm="1">
        <f t="array" aca="1" ref="E1242" ca="1">[1]!s_west_stdnetprofit($B$1,YEAR($A1242),$A1242,180,1000000)</f>
        <v>134.53182799999999</v>
      </c>
      <c r="F1242" cm="1">
        <f t="array" aca="1" ref="F1242" ca="1">[1]!s_west_mediannetprofit($B$1,YEAR($A1242),$A1242,180,1000000)</f>
        <v>-275.59300000000002</v>
      </c>
      <c r="G1242" cm="1">
        <f t="array" aca="1" ref="G1242" ca="1">[1]!s_west_netprofit($B$1,YEAR($A1242)+1,$A1242,180,1000000)</f>
        <v>-81.029167000000001</v>
      </c>
      <c r="H1242" cm="1">
        <f t="array" aca="1" ref="H1242" ca="1">[1]!s_west_eps($B$1,YEAR($A1242)+1,$A1242,180)</f>
        <v>-9.3700000000000006E-2</v>
      </c>
      <c r="I1242" cm="1">
        <f t="array" aca="1" ref="I1242" ca="1">[1]!s_west_instnum_np($B$1,YEAR($A1242)+1,$A1242,180)</f>
        <v>6</v>
      </c>
      <c r="J1242" cm="1">
        <f t="array" aca="1" ref="J1242" ca="1">[1]!s_west_stdnetprofit($B$1,YEAR($A1242)+1,$A1242,180,1000000)</f>
        <v>115.321004</v>
      </c>
      <c r="K1242" cm="1">
        <f t="array" aca="1" ref="K1242" ca="1">[1]!s_west_mediannetprofit($B$1,YEAR($A1241)+1,$A1241,180,1000000)</f>
        <v>-91.545000000000002</v>
      </c>
      <c r="L1242" cm="1">
        <f t="array" aca="1" ref="L1242" ca="1">[1]!s_dq_close($B$1,$A1242,3)</f>
        <v>26.4</v>
      </c>
    </row>
    <row r="1243" spans="1:12">
      <c r="A1243" s="23">
        <f t="shared" ca="1" si="19"/>
        <v>44932</v>
      </c>
      <c r="B1243" cm="1">
        <f t="array" aca="1" ref="B1243" ca="1">[1]!s_west_netprofit($B$1,YEAR($A1243),$A1243,180,1000000)</f>
        <v>-214.48575</v>
      </c>
      <c r="C1243" cm="1">
        <f t="array" aca="1" ref="C1243" ca="1">[1]!s_west_eps($B$1,YEAR($A1243),$A1243,180)</f>
        <v>-0.24610000000000001</v>
      </c>
      <c r="D1243" cm="1">
        <f t="array" aca="1" ref="D1243" ca="1">[1]!s_west_instnum_np($B$1,YEAR($A1243),$A1243,180)</f>
        <v>8</v>
      </c>
      <c r="E1243" cm="1">
        <f t="array" aca="1" ref="E1243" ca="1">[1]!s_west_stdnetprofit($B$1,YEAR($A1243),$A1243,180,1000000)</f>
        <v>134.53182799999999</v>
      </c>
      <c r="F1243" cm="1">
        <f t="array" aca="1" ref="F1243" ca="1">[1]!s_west_mediannetprofit($B$1,YEAR($A1243),$A1243,180,1000000)</f>
        <v>-275.59300000000002</v>
      </c>
      <c r="G1243" cm="1">
        <f t="array" aca="1" ref="G1243" ca="1">[1]!s_west_netprofit($B$1,YEAR($A1243)+1,$A1243,180,1000000)</f>
        <v>-81.029167000000001</v>
      </c>
      <c r="H1243" cm="1">
        <f t="array" aca="1" ref="H1243" ca="1">[1]!s_west_eps($B$1,YEAR($A1243)+1,$A1243,180)</f>
        <v>-9.3700000000000006E-2</v>
      </c>
      <c r="I1243" cm="1">
        <f t="array" aca="1" ref="I1243" ca="1">[1]!s_west_instnum_np($B$1,YEAR($A1243)+1,$A1243,180)</f>
        <v>6</v>
      </c>
      <c r="J1243" cm="1">
        <f t="array" aca="1" ref="J1243" ca="1">[1]!s_west_stdnetprofit($B$1,YEAR($A1243)+1,$A1243,180,1000000)</f>
        <v>115.321004</v>
      </c>
      <c r="K1243" cm="1">
        <f t="array" aca="1" ref="K1243" ca="1">[1]!s_west_mediannetprofit($B$1,YEAR($A1242)+1,$A1242,180,1000000)</f>
        <v>-91.545000000000002</v>
      </c>
      <c r="L1243" cm="1">
        <f t="array" aca="1" ref="L1243" ca="1">[1]!s_dq_close($B$1,$A1243,3)</f>
        <v>26.4</v>
      </c>
    </row>
    <row r="1244" spans="1:12">
      <c r="A1244" s="23">
        <f t="shared" ca="1" si="19"/>
        <v>44931</v>
      </c>
      <c r="B1244" cm="1">
        <f t="array" aca="1" ref="B1244" ca="1">[1]!s_west_netprofit($B$1,YEAR($A1244),$A1244,180,1000000)</f>
        <v>-214.48575</v>
      </c>
      <c r="C1244" cm="1">
        <f t="array" aca="1" ref="C1244" ca="1">[1]!s_west_eps($B$1,YEAR($A1244),$A1244,180)</f>
        <v>-0.24610000000000001</v>
      </c>
      <c r="D1244" cm="1">
        <f t="array" aca="1" ref="D1244" ca="1">[1]!s_west_instnum_np($B$1,YEAR($A1244),$A1244,180)</f>
        <v>8</v>
      </c>
      <c r="E1244" cm="1">
        <f t="array" aca="1" ref="E1244" ca="1">[1]!s_west_stdnetprofit($B$1,YEAR($A1244),$A1244,180,1000000)</f>
        <v>134.53182799999999</v>
      </c>
      <c r="F1244" cm="1">
        <f t="array" aca="1" ref="F1244" ca="1">[1]!s_west_mediannetprofit($B$1,YEAR($A1244),$A1244,180,1000000)</f>
        <v>-275.59300000000002</v>
      </c>
      <c r="G1244" cm="1">
        <f t="array" aca="1" ref="G1244" ca="1">[1]!s_west_netprofit($B$1,YEAR($A1244)+1,$A1244,180,1000000)</f>
        <v>-81.029167000000001</v>
      </c>
      <c r="H1244" cm="1">
        <f t="array" aca="1" ref="H1244" ca="1">[1]!s_west_eps($B$1,YEAR($A1244)+1,$A1244,180)</f>
        <v>-9.3700000000000006E-2</v>
      </c>
      <c r="I1244" cm="1">
        <f t="array" aca="1" ref="I1244" ca="1">[1]!s_west_instnum_np($B$1,YEAR($A1244)+1,$A1244,180)</f>
        <v>6</v>
      </c>
      <c r="J1244" cm="1">
        <f t="array" aca="1" ref="J1244" ca="1">[1]!s_west_stdnetprofit($B$1,YEAR($A1244)+1,$A1244,180,1000000)</f>
        <v>115.321004</v>
      </c>
      <c r="K1244" cm="1">
        <f t="array" aca="1" ref="K1244" ca="1">[1]!s_west_mediannetprofit($B$1,YEAR($A1243)+1,$A1243,180,1000000)</f>
        <v>-91.545000000000002</v>
      </c>
      <c r="L1244" cm="1">
        <f t="array" aca="1" ref="L1244" ca="1">[1]!s_dq_close($B$1,$A1244,3)</f>
        <v>27.2</v>
      </c>
    </row>
    <row r="1245" spans="1:12">
      <c r="A1245" s="23">
        <f t="shared" ca="1" si="19"/>
        <v>44930</v>
      </c>
      <c r="B1245" cm="1">
        <f t="array" aca="1" ref="B1245" ca="1">[1]!s_west_netprofit($B$1,YEAR($A1245),$A1245,180,1000000)</f>
        <v>-214.48575</v>
      </c>
      <c r="C1245" cm="1">
        <f t="array" aca="1" ref="C1245" ca="1">[1]!s_west_eps($B$1,YEAR($A1245),$A1245,180)</f>
        <v>-0.24610000000000001</v>
      </c>
      <c r="D1245" cm="1">
        <f t="array" aca="1" ref="D1245" ca="1">[1]!s_west_instnum_np($B$1,YEAR($A1245),$A1245,180)</f>
        <v>8</v>
      </c>
      <c r="E1245" cm="1">
        <f t="array" aca="1" ref="E1245" ca="1">[1]!s_west_stdnetprofit($B$1,YEAR($A1245),$A1245,180,1000000)</f>
        <v>134.53182799999999</v>
      </c>
      <c r="F1245" cm="1">
        <f t="array" aca="1" ref="F1245" ca="1">[1]!s_west_mediannetprofit($B$1,YEAR($A1245),$A1245,180,1000000)</f>
        <v>-275.59300000000002</v>
      </c>
      <c r="G1245" cm="1">
        <f t="array" aca="1" ref="G1245" ca="1">[1]!s_west_netprofit($B$1,YEAR($A1245)+1,$A1245,180,1000000)</f>
        <v>-81.029167000000001</v>
      </c>
      <c r="H1245" cm="1">
        <f t="array" aca="1" ref="H1245" ca="1">[1]!s_west_eps($B$1,YEAR($A1245)+1,$A1245,180)</f>
        <v>-9.3700000000000006E-2</v>
      </c>
      <c r="I1245" cm="1">
        <f t="array" aca="1" ref="I1245" ca="1">[1]!s_west_instnum_np($B$1,YEAR($A1245)+1,$A1245,180)</f>
        <v>6</v>
      </c>
      <c r="J1245" cm="1">
        <f t="array" aca="1" ref="J1245" ca="1">[1]!s_west_stdnetprofit($B$1,YEAR($A1245)+1,$A1245,180,1000000)</f>
        <v>115.321004</v>
      </c>
      <c r="K1245" cm="1">
        <f t="array" aca="1" ref="K1245" ca="1">[1]!s_west_mediannetprofit($B$1,YEAR($A1244)+1,$A1244,180,1000000)</f>
        <v>-91.545000000000002</v>
      </c>
      <c r="L1245" cm="1">
        <f t="array" aca="1" ref="L1245" ca="1">[1]!s_dq_close($B$1,$A1245,3)</f>
        <v>27.65</v>
      </c>
    </row>
    <row r="1246" spans="1:12">
      <c r="A1246" s="23">
        <f t="shared" ca="1" si="19"/>
        <v>44929</v>
      </c>
      <c r="B1246" cm="1">
        <f t="array" aca="1" ref="B1246" ca="1">[1]!s_west_netprofit($B$1,YEAR($A1246),$A1246,180,1000000)</f>
        <v>-214.48575</v>
      </c>
      <c r="C1246" cm="1">
        <f t="array" aca="1" ref="C1246" ca="1">[1]!s_west_eps($B$1,YEAR($A1246),$A1246,180)</f>
        <v>-0.24610000000000001</v>
      </c>
      <c r="D1246" cm="1">
        <f t="array" aca="1" ref="D1246" ca="1">[1]!s_west_instnum_np($B$1,YEAR($A1246),$A1246,180)</f>
        <v>8</v>
      </c>
      <c r="E1246" cm="1">
        <f t="array" aca="1" ref="E1246" ca="1">[1]!s_west_stdnetprofit($B$1,YEAR($A1246),$A1246,180,1000000)</f>
        <v>134.53182799999999</v>
      </c>
      <c r="F1246" cm="1">
        <f t="array" aca="1" ref="F1246" ca="1">[1]!s_west_mediannetprofit($B$1,YEAR($A1246),$A1246,180,1000000)</f>
        <v>-275.59300000000002</v>
      </c>
      <c r="G1246" cm="1">
        <f t="array" aca="1" ref="G1246" ca="1">[1]!s_west_netprofit($B$1,YEAR($A1246)+1,$A1246,180,1000000)</f>
        <v>-81.029167000000001</v>
      </c>
      <c r="H1246" cm="1">
        <f t="array" aca="1" ref="H1246" ca="1">[1]!s_west_eps($B$1,YEAR($A1246)+1,$A1246,180)</f>
        <v>-9.3700000000000006E-2</v>
      </c>
      <c r="I1246" cm="1">
        <f t="array" aca="1" ref="I1246" ca="1">[1]!s_west_instnum_np($B$1,YEAR($A1246)+1,$A1246,180)</f>
        <v>6</v>
      </c>
      <c r="J1246" cm="1">
        <f t="array" aca="1" ref="J1246" ca="1">[1]!s_west_stdnetprofit($B$1,YEAR($A1246)+1,$A1246,180,1000000)</f>
        <v>115.321004</v>
      </c>
      <c r="K1246" cm="1">
        <f t="array" aca="1" ref="K1246" ca="1">[1]!s_west_mediannetprofit($B$1,YEAR($A1245)+1,$A1245,180,1000000)</f>
        <v>-91.545000000000002</v>
      </c>
      <c r="L1246" cm="1">
        <f t="array" aca="1" ref="L1246" ca="1">[1]!s_dq_close($B$1,$A1246,3)</f>
        <v>24.9</v>
      </c>
    </row>
    <row r="1247" spans="1:12">
      <c r="A1247" s="23">
        <f t="shared" ca="1" si="19"/>
        <v>44928</v>
      </c>
      <c r="B1247" cm="1">
        <f t="array" aca="1" ref="B1247" ca="1">[1]!s_west_netprofit($B$1,YEAR($A1247),$A1247,180,1000000)</f>
        <v>-214.48575</v>
      </c>
      <c r="C1247" cm="1">
        <f t="array" aca="1" ref="C1247" ca="1">[1]!s_west_eps($B$1,YEAR($A1247),$A1247,180)</f>
        <v>-0.24610000000000001</v>
      </c>
      <c r="D1247" cm="1">
        <f t="array" aca="1" ref="D1247" ca="1">[1]!s_west_instnum_np($B$1,YEAR($A1247),$A1247,180)</f>
        <v>8</v>
      </c>
      <c r="E1247" cm="1">
        <f t="array" aca="1" ref="E1247" ca="1">[1]!s_west_stdnetprofit($B$1,YEAR($A1247),$A1247,180,1000000)</f>
        <v>134.53182799999999</v>
      </c>
      <c r="F1247" cm="1">
        <f t="array" aca="1" ref="F1247" ca="1">[1]!s_west_mediannetprofit($B$1,YEAR($A1247),$A1247,180,1000000)</f>
        <v>-275.59300000000002</v>
      </c>
      <c r="G1247" cm="1">
        <f t="array" aca="1" ref="G1247" ca="1">[1]!s_west_netprofit($B$1,YEAR($A1247)+1,$A1247,180,1000000)</f>
        <v>-81.029167000000001</v>
      </c>
      <c r="H1247" cm="1">
        <f t="array" aca="1" ref="H1247" ca="1">[1]!s_west_eps($B$1,YEAR($A1247)+1,$A1247,180)</f>
        <v>-9.3700000000000006E-2</v>
      </c>
      <c r="I1247" cm="1">
        <f t="array" aca="1" ref="I1247" ca="1">[1]!s_west_instnum_np($B$1,YEAR($A1247)+1,$A1247,180)</f>
        <v>6</v>
      </c>
      <c r="J1247" cm="1">
        <f t="array" aca="1" ref="J1247" ca="1">[1]!s_west_stdnetprofit($B$1,YEAR($A1247)+1,$A1247,180,1000000)</f>
        <v>115.321004</v>
      </c>
      <c r="K1247" cm="1">
        <f t="array" aca="1" ref="K1247" ca="1">[1]!s_west_mediannetprofit($B$1,YEAR($A1246)+1,$A1246,180,1000000)</f>
        <v>-91.545000000000002</v>
      </c>
      <c r="L1247" cm="1">
        <f t="array" aca="1" ref="L1247" ca="1">[1]!s_dq_close($B$1,$A1247,3)</f>
        <v>24</v>
      </c>
    </row>
    <row r="1248" spans="1:12">
      <c r="A1248" s="23">
        <f t="shared" ca="1" si="19"/>
        <v>44927</v>
      </c>
      <c r="B1248" cm="1">
        <f t="array" aca="1" ref="B1248" ca="1">[1]!s_west_netprofit($B$1,YEAR($A1248),$A1248,180,1000000)</f>
        <v>-214.48575</v>
      </c>
      <c r="C1248" cm="1">
        <f t="array" aca="1" ref="C1248" ca="1">[1]!s_west_eps($B$1,YEAR($A1248),$A1248,180)</f>
        <v>-0.24610000000000001</v>
      </c>
      <c r="D1248" cm="1">
        <f t="array" aca="1" ref="D1248" ca="1">[1]!s_west_instnum_np($B$1,YEAR($A1248),$A1248,180)</f>
        <v>8</v>
      </c>
      <c r="E1248" cm="1">
        <f t="array" aca="1" ref="E1248" ca="1">[1]!s_west_stdnetprofit($B$1,YEAR($A1248),$A1248,180,1000000)</f>
        <v>134.53182799999999</v>
      </c>
      <c r="F1248" cm="1">
        <f t="array" aca="1" ref="F1248" ca="1">[1]!s_west_mediannetprofit($B$1,YEAR($A1248),$A1248,180,1000000)</f>
        <v>-275.59300000000002</v>
      </c>
      <c r="G1248" cm="1">
        <f t="array" aca="1" ref="G1248" ca="1">[1]!s_west_netprofit($B$1,YEAR($A1248)+1,$A1248,180,1000000)</f>
        <v>-81.029167000000001</v>
      </c>
      <c r="H1248" cm="1">
        <f t="array" aca="1" ref="H1248" ca="1">[1]!s_west_eps($B$1,YEAR($A1248)+1,$A1248,180)</f>
        <v>-9.3700000000000006E-2</v>
      </c>
      <c r="I1248" cm="1">
        <f t="array" aca="1" ref="I1248" ca="1">[1]!s_west_instnum_np($B$1,YEAR($A1248)+1,$A1248,180)</f>
        <v>6</v>
      </c>
      <c r="J1248" cm="1">
        <f t="array" aca="1" ref="J1248" ca="1">[1]!s_west_stdnetprofit($B$1,YEAR($A1248)+1,$A1248,180,1000000)</f>
        <v>115.321004</v>
      </c>
      <c r="K1248" cm="1">
        <f t="array" aca="1" ref="K1248" ca="1">[1]!s_west_mediannetprofit($B$1,YEAR($A1247)+1,$A1247,180,1000000)</f>
        <v>-91.545000000000002</v>
      </c>
      <c r="L1248" cm="1">
        <f t="array" aca="1" ref="L1248" ca="1">[1]!s_dq_close($B$1,$A1248,3)</f>
        <v>24</v>
      </c>
    </row>
    <row r="1249" spans="1:12">
      <c r="A1249" s="23">
        <f t="shared" ca="1" si="19"/>
        <v>44926</v>
      </c>
      <c r="B1249" cm="1">
        <f t="array" aca="1" ref="B1249" ca="1">[1]!s_west_netprofit($B$1,YEAR($A1249),$A1249,180,1000000)</f>
        <v>-276.67362500000002</v>
      </c>
      <c r="C1249" cm="1">
        <f t="array" aca="1" ref="C1249" ca="1">[1]!s_west_eps($B$1,YEAR($A1249),$A1249,180)</f>
        <v>-0.31990000000000002</v>
      </c>
      <c r="D1249" cm="1">
        <f t="array" aca="1" ref="D1249" ca="1">[1]!s_west_instnum_np($B$1,YEAR($A1249),$A1249,180)</f>
        <v>8</v>
      </c>
      <c r="E1249" cm="1">
        <f t="array" aca="1" ref="E1249" ca="1">[1]!s_west_stdnetprofit($B$1,YEAR($A1249),$A1249,180,1000000)</f>
        <v>104.759743</v>
      </c>
      <c r="F1249" cm="1">
        <f t="array" aca="1" ref="F1249" ca="1">[1]!s_west_mediannetprofit($B$1,YEAR($A1249),$A1249,180,1000000)</f>
        <v>-315</v>
      </c>
      <c r="G1249" cm="1">
        <f t="array" aca="1" ref="G1249" ca="1">[1]!s_west_netprofit($B$1,YEAR($A1249)+1,$A1249,180,1000000)</f>
        <v>-214.48575</v>
      </c>
      <c r="H1249" cm="1">
        <f t="array" aca="1" ref="H1249" ca="1">[1]!s_west_eps($B$1,YEAR($A1249)+1,$A1249,180)</f>
        <v>-0.24610000000000001</v>
      </c>
      <c r="I1249" cm="1">
        <f t="array" aca="1" ref="I1249" ca="1">[1]!s_west_instnum_np($B$1,YEAR($A1249)+1,$A1249,180)</f>
        <v>8</v>
      </c>
      <c r="J1249" cm="1">
        <f t="array" aca="1" ref="J1249" ca="1">[1]!s_west_stdnetprofit($B$1,YEAR($A1249)+1,$A1249,180,1000000)</f>
        <v>134.53182799999999</v>
      </c>
      <c r="K1249" cm="1">
        <f t="array" aca="1" ref="K1249" ca="1">[1]!s_west_mediannetprofit($B$1,YEAR($A1248)+1,$A1248,180,1000000)</f>
        <v>-91.545000000000002</v>
      </c>
      <c r="L1249" cm="1">
        <f t="array" aca="1" ref="L1249" ca="1">[1]!s_dq_close($B$1,$A1249,3)</f>
        <v>24</v>
      </c>
    </row>
    <row r="1250" spans="1:12">
      <c r="A1250" s="23">
        <f t="shared" ca="1" si="19"/>
        <v>44925</v>
      </c>
      <c r="B1250" cm="1">
        <f t="array" aca="1" ref="B1250" ca="1">[1]!s_west_netprofit($B$1,YEAR($A1250),$A1250,180,1000000)</f>
        <v>-276.67362500000002</v>
      </c>
      <c r="C1250" cm="1">
        <f t="array" aca="1" ref="C1250" ca="1">[1]!s_west_eps($B$1,YEAR($A1250),$A1250,180)</f>
        <v>-0.31990000000000002</v>
      </c>
      <c r="D1250" cm="1">
        <f t="array" aca="1" ref="D1250" ca="1">[1]!s_west_instnum_np($B$1,YEAR($A1250),$A1250,180)</f>
        <v>8</v>
      </c>
      <c r="E1250" cm="1">
        <f t="array" aca="1" ref="E1250" ca="1">[1]!s_west_stdnetprofit($B$1,YEAR($A1250),$A1250,180,1000000)</f>
        <v>104.759743</v>
      </c>
      <c r="F1250" cm="1">
        <f t="array" aca="1" ref="F1250" ca="1">[1]!s_west_mediannetprofit($B$1,YEAR($A1250),$A1250,180,1000000)</f>
        <v>-315</v>
      </c>
      <c r="G1250" cm="1">
        <f t="array" aca="1" ref="G1250" ca="1">[1]!s_west_netprofit($B$1,YEAR($A1250)+1,$A1250,180,1000000)</f>
        <v>-214.48575</v>
      </c>
      <c r="H1250" cm="1">
        <f t="array" aca="1" ref="H1250" ca="1">[1]!s_west_eps($B$1,YEAR($A1250)+1,$A1250,180)</f>
        <v>-0.24610000000000001</v>
      </c>
      <c r="I1250" cm="1">
        <f t="array" aca="1" ref="I1250" ca="1">[1]!s_west_instnum_np($B$1,YEAR($A1250)+1,$A1250,180)</f>
        <v>8</v>
      </c>
      <c r="J1250" cm="1">
        <f t="array" aca="1" ref="J1250" ca="1">[1]!s_west_stdnetprofit($B$1,YEAR($A1250)+1,$A1250,180,1000000)</f>
        <v>134.53182799999999</v>
      </c>
      <c r="K1250" cm="1">
        <f t="array" aca="1" ref="K1250" ca="1">[1]!s_west_mediannetprofit($B$1,YEAR($A1249)+1,$A1249,180,1000000)</f>
        <v>-275.59300000000002</v>
      </c>
      <c r="L1250" cm="1">
        <f t="array" aca="1" ref="L1250" ca="1">[1]!s_dq_close($B$1,$A1250,3)</f>
        <v>24</v>
      </c>
    </row>
    <row r="1251" spans="1:12">
      <c r="A1251" s="23">
        <f t="shared" ca="1" si="19"/>
        <v>44924</v>
      </c>
      <c r="B1251" cm="1">
        <f t="array" aca="1" ref="B1251" ca="1">[1]!s_west_netprofit($B$1,YEAR($A1251),$A1251,180,1000000)</f>
        <v>-276.67362500000002</v>
      </c>
      <c r="C1251" cm="1">
        <f t="array" aca="1" ref="C1251" ca="1">[1]!s_west_eps($B$1,YEAR($A1251),$A1251,180)</f>
        <v>-0.31990000000000002</v>
      </c>
      <c r="D1251" cm="1">
        <f t="array" aca="1" ref="D1251" ca="1">[1]!s_west_instnum_np($B$1,YEAR($A1251),$A1251,180)</f>
        <v>8</v>
      </c>
      <c r="E1251" cm="1">
        <f t="array" aca="1" ref="E1251" ca="1">[1]!s_west_stdnetprofit($B$1,YEAR($A1251),$A1251,180,1000000)</f>
        <v>104.759743</v>
      </c>
      <c r="F1251" cm="1">
        <f t="array" aca="1" ref="F1251" ca="1">[1]!s_west_mediannetprofit($B$1,YEAR($A1251),$A1251,180,1000000)</f>
        <v>-315</v>
      </c>
      <c r="G1251" cm="1">
        <f t="array" aca="1" ref="G1251" ca="1">[1]!s_west_netprofit($B$1,YEAR($A1251)+1,$A1251,180,1000000)</f>
        <v>-214.48575</v>
      </c>
      <c r="H1251" cm="1">
        <f t="array" aca="1" ref="H1251" ca="1">[1]!s_west_eps($B$1,YEAR($A1251)+1,$A1251,180)</f>
        <v>-0.24610000000000001</v>
      </c>
      <c r="I1251" cm="1">
        <f t="array" aca="1" ref="I1251" ca="1">[1]!s_west_instnum_np($B$1,YEAR($A1251)+1,$A1251,180)</f>
        <v>8</v>
      </c>
      <c r="J1251" cm="1">
        <f t="array" aca="1" ref="J1251" ca="1">[1]!s_west_stdnetprofit($B$1,YEAR($A1251)+1,$A1251,180,1000000)</f>
        <v>134.53182799999999</v>
      </c>
      <c r="K1251" cm="1">
        <f t="array" aca="1" ref="K1251" ca="1">[1]!s_west_mediannetprofit($B$1,YEAR($A1250)+1,$A1250,180,1000000)</f>
        <v>-275.59300000000002</v>
      </c>
      <c r="L1251" cm="1">
        <f t="array" aca="1" ref="L1251" ca="1">[1]!s_dq_close($B$1,$A1251,3)</f>
        <v>23.85</v>
      </c>
    </row>
    <row r="1252" spans="1:12">
      <c r="A1252" s="23">
        <f t="shared" ca="1" si="19"/>
        <v>44923</v>
      </c>
      <c r="B1252" cm="1">
        <f t="array" aca="1" ref="B1252" ca="1">[1]!s_west_netprofit($B$1,YEAR($A1252),$A1252,180,1000000)</f>
        <v>-276.67362500000002</v>
      </c>
      <c r="C1252" cm="1">
        <f t="array" aca="1" ref="C1252" ca="1">[1]!s_west_eps($B$1,YEAR($A1252),$A1252,180)</f>
        <v>-0.31990000000000002</v>
      </c>
      <c r="D1252" cm="1">
        <f t="array" aca="1" ref="D1252" ca="1">[1]!s_west_instnum_np($B$1,YEAR($A1252),$A1252,180)</f>
        <v>8</v>
      </c>
      <c r="E1252" cm="1">
        <f t="array" aca="1" ref="E1252" ca="1">[1]!s_west_stdnetprofit($B$1,YEAR($A1252),$A1252,180,1000000)</f>
        <v>104.759743</v>
      </c>
      <c r="F1252" cm="1">
        <f t="array" aca="1" ref="F1252" ca="1">[1]!s_west_mediannetprofit($B$1,YEAR($A1252),$A1252,180,1000000)</f>
        <v>-315</v>
      </c>
      <c r="G1252" cm="1">
        <f t="array" aca="1" ref="G1252" ca="1">[1]!s_west_netprofit($B$1,YEAR($A1252)+1,$A1252,180,1000000)</f>
        <v>-214.48575</v>
      </c>
      <c r="H1252" cm="1">
        <f t="array" aca="1" ref="H1252" ca="1">[1]!s_west_eps($B$1,YEAR($A1252)+1,$A1252,180)</f>
        <v>-0.24610000000000001</v>
      </c>
      <c r="I1252" cm="1">
        <f t="array" aca="1" ref="I1252" ca="1">[1]!s_west_instnum_np($B$1,YEAR($A1252)+1,$A1252,180)</f>
        <v>8</v>
      </c>
      <c r="J1252" cm="1">
        <f t="array" aca="1" ref="J1252" ca="1">[1]!s_west_stdnetprofit($B$1,YEAR($A1252)+1,$A1252,180,1000000)</f>
        <v>134.53182799999999</v>
      </c>
      <c r="K1252" cm="1">
        <f t="array" aca="1" ref="K1252" ca="1">[1]!s_west_mediannetprofit($B$1,YEAR($A1251)+1,$A1251,180,1000000)</f>
        <v>-275.59300000000002</v>
      </c>
      <c r="L1252" cm="1">
        <f t="array" aca="1" ref="L1252" ca="1">[1]!s_dq_close($B$1,$A1252,3)</f>
        <v>24.2</v>
      </c>
    </row>
    <row r="1253" spans="1:12">
      <c r="A1253" s="23">
        <f t="shared" ca="1" si="19"/>
        <v>44922</v>
      </c>
      <c r="B1253" cm="1">
        <f t="array" aca="1" ref="B1253" ca="1">[1]!s_west_netprofit($B$1,YEAR($A1253),$A1253,180,1000000)</f>
        <v>-276.67362500000002</v>
      </c>
      <c r="C1253" cm="1">
        <f t="array" aca="1" ref="C1253" ca="1">[1]!s_west_eps($B$1,YEAR($A1253),$A1253,180)</f>
        <v>-0.31990000000000002</v>
      </c>
      <c r="D1253" cm="1">
        <f t="array" aca="1" ref="D1253" ca="1">[1]!s_west_instnum_np($B$1,YEAR($A1253),$A1253,180)</f>
        <v>8</v>
      </c>
      <c r="E1253" cm="1">
        <f t="array" aca="1" ref="E1253" ca="1">[1]!s_west_stdnetprofit($B$1,YEAR($A1253),$A1253,180,1000000)</f>
        <v>104.759743</v>
      </c>
      <c r="F1253" cm="1">
        <f t="array" aca="1" ref="F1253" ca="1">[1]!s_west_mediannetprofit($B$1,YEAR($A1253),$A1253,180,1000000)</f>
        <v>-315</v>
      </c>
      <c r="G1253" cm="1">
        <f t="array" aca="1" ref="G1253" ca="1">[1]!s_west_netprofit($B$1,YEAR($A1253)+1,$A1253,180,1000000)</f>
        <v>-214.48575</v>
      </c>
      <c r="H1253" cm="1">
        <f t="array" aca="1" ref="H1253" ca="1">[1]!s_west_eps($B$1,YEAR($A1253)+1,$A1253,180)</f>
        <v>-0.24610000000000001</v>
      </c>
      <c r="I1253" cm="1">
        <f t="array" aca="1" ref="I1253" ca="1">[1]!s_west_instnum_np($B$1,YEAR($A1253)+1,$A1253,180)</f>
        <v>8</v>
      </c>
      <c r="J1253" cm="1">
        <f t="array" aca="1" ref="J1253" ca="1">[1]!s_west_stdnetprofit($B$1,YEAR($A1253)+1,$A1253,180,1000000)</f>
        <v>134.53182799999999</v>
      </c>
      <c r="K1253" cm="1">
        <f t="array" aca="1" ref="K1253" ca="1">[1]!s_west_mediannetprofit($B$1,YEAR($A1252)+1,$A1252,180,1000000)</f>
        <v>-275.59300000000002</v>
      </c>
      <c r="L1253" cm="1">
        <f t="array" aca="1" ref="L1253" ca="1">[1]!s_dq_close($B$1,$A1253,3)</f>
        <v>23.85</v>
      </c>
    </row>
    <row r="1254" spans="1:12">
      <c r="A1254" s="23">
        <f t="shared" ca="1" si="19"/>
        <v>44921</v>
      </c>
      <c r="B1254" cm="1">
        <f t="array" aca="1" ref="B1254" ca="1">[1]!s_west_netprofit($B$1,YEAR($A1254),$A1254,180,1000000)</f>
        <v>-276.67362500000002</v>
      </c>
      <c r="C1254" cm="1">
        <f t="array" aca="1" ref="C1254" ca="1">[1]!s_west_eps($B$1,YEAR($A1254),$A1254,180)</f>
        <v>-0.31990000000000002</v>
      </c>
      <c r="D1254" cm="1">
        <f t="array" aca="1" ref="D1254" ca="1">[1]!s_west_instnum_np($B$1,YEAR($A1254),$A1254,180)</f>
        <v>8</v>
      </c>
      <c r="E1254" cm="1">
        <f t="array" aca="1" ref="E1254" ca="1">[1]!s_west_stdnetprofit($B$1,YEAR($A1254),$A1254,180,1000000)</f>
        <v>104.759743</v>
      </c>
      <c r="F1254" cm="1">
        <f t="array" aca="1" ref="F1254" ca="1">[1]!s_west_mediannetprofit($B$1,YEAR($A1254),$A1254,180,1000000)</f>
        <v>-315</v>
      </c>
      <c r="G1254" cm="1">
        <f t="array" aca="1" ref="G1254" ca="1">[1]!s_west_netprofit($B$1,YEAR($A1254)+1,$A1254,180,1000000)</f>
        <v>-214.48575</v>
      </c>
      <c r="H1254" cm="1">
        <f t="array" aca="1" ref="H1254" ca="1">[1]!s_west_eps($B$1,YEAR($A1254)+1,$A1254,180)</f>
        <v>-0.24610000000000001</v>
      </c>
      <c r="I1254" cm="1">
        <f t="array" aca="1" ref="I1254" ca="1">[1]!s_west_instnum_np($B$1,YEAR($A1254)+1,$A1254,180)</f>
        <v>8</v>
      </c>
      <c r="J1254" cm="1">
        <f t="array" aca="1" ref="J1254" ca="1">[1]!s_west_stdnetprofit($B$1,YEAR($A1254)+1,$A1254,180,1000000)</f>
        <v>134.53182799999999</v>
      </c>
      <c r="K1254" cm="1">
        <f t="array" aca="1" ref="K1254" ca="1">[1]!s_west_mediannetprofit($B$1,YEAR($A1253)+1,$A1253,180,1000000)</f>
        <v>-275.59300000000002</v>
      </c>
      <c r="L1254" cm="1">
        <f t="array" aca="1" ref="L1254" ca="1">[1]!s_dq_close($B$1,$A1254,3)</f>
        <v>23.85</v>
      </c>
    </row>
    <row r="1255" spans="1:12">
      <c r="A1255" s="23">
        <f t="shared" ca="1" si="19"/>
        <v>44920</v>
      </c>
      <c r="B1255" cm="1">
        <f t="array" aca="1" ref="B1255" ca="1">[1]!s_west_netprofit($B$1,YEAR($A1255),$A1255,180,1000000)</f>
        <v>-276.67362500000002</v>
      </c>
      <c r="C1255" cm="1">
        <f t="array" aca="1" ref="C1255" ca="1">[1]!s_west_eps($B$1,YEAR($A1255),$A1255,180)</f>
        <v>-0.31990000000000002</v>
      </c>
      <c r="D1255" cm="1">
        <f t="array" aca="1" ref="D1255" ca="1">[1]!s_west_instnum_np($B$1,YEAR($A1255),$A1255,180)</f>
        <v>8</v>
      </c>
      <c r="E1255" cm="1">
        <f t="array" aca="1" ref="E1255" ca="1">[1]!s_west_stdnetprofit($B$1,YEAR($A1255),$A1255,180,1000000)</f>
        <v>104.759743</v>
      </c>
      <c r="F1255" cm="1">
        <f t="array" aca="1" ref="F1255" ca="1">[1]!s_west_mediannetprofit($B$1,YEAR($A1255),$A1255,180,1000000)</f>
        <v>-315</v>
      </c>
      <c r="G1255" cm="1">
        <f t="array" aca="1" ref="G1255" ca="1">[1]!s_west_netprofit($B$1,YEAR($A1255)+1,$A1255,180,1000000)</f>
        <v>-214.48575</v>
      </c>
      <c r="H1255" cm="1">
        <f t="array" aca="1" ref="H1255" ca="1">[1]!s_west_eps($B$1,YEAR($A1255)+1,$A1255,180)</f>
        <v>-0.24610000000000001</v>
      </c>
      <c r="I1255" cm="1">
        <f t="array" aca="1" ref="I1255" ca="1">[1]!s_west_instnum_np($B$1,YEAR($A1255)+1,$A1255,180)</f>
        <v>8</v>
      </c>
      <c r="J1255" cm="1">
        <f t="array" aca="1" ref="J1255" ca="1">[1]!s_west_stdnetprofit($B$1,YEAR($A1255)+1,$A1255,180,1000000)</f>
        <v>134.53182799999999</v>
      </c>
      <c r="K1255" cm="1">
        <f t="array" aca="1" ref="K1255" ca="1">[1]!s_west_mediannetprofit($B$1,YEAR($A1254)+1,$A1254,180,1000000)</f>
        <v>-275.59300000000002</v>
      </c>
      <c r="L1255" cm="1">
        <f t="array" aca="1" ref="L1255" ca="1">[1]!s_dq_close($B$1,$A1255,3)</f>
        <v>23.85</v>
      </c>
    </row>
    <row r="1256" spans="1:12">
      <c r="A1256" s="23">
        <f t="shared" ca="1" si="19"/>
        <v>44919</v>
      </c>
      <c r="B1256" cm="1">
        <f t="array" aca="1" ref="B1256" ca="1">[1]!s_west_netprofit($B$1,YEAR($A1256),$A1256,180,1000000)</f>
        <v>-276.67362500000002</v>
      </c>
      <c r="C1256" cm="1">
        <f t="array" aca="1" ref="C1256" ca="1">[1]!s_west_eps($B$1,YEAR($A1256),$A1256,180)</f>
        <v>-0.31990000000000002</v>
      </c>
      <c r="D1256" cm="1">
        <f t="array" aca="1" ref="D1256" ca="1">[1]!s_west_instnum_np($B$1,YEAR($A1256),$A1256,180)</f>
        <v>8</v>
      </c>
      <c r="E1256" cm="1">
        <f t="array" aca="1" ref="E1256" ca="1">[1]!s_west_stdnetprofit($B$1,YEAR($A1256),$A1256,180,1000000)</f>
        <v>104.759743</v>
      </c>
      <c r="F1256" cm="1">
        <f t="array" aca="1" ref="F1256" ca="1">[1]!s_west_mediannetprofit($B$1,YEAR($A1256),$A1256,180,1000000)</f>
        <v>-315</v>
      </c>
      <c r="G1256" cm="1">
        <f t="array" aca="1" ref="G1256" ca="1">[1]!s_west_netprofit($B$1,YEAR($A1256)+1,$A1256,180,1000000)</f>
        <v>-214.48575</v>
      </c>
      <c r="H1256" cm="1">
        <f t="array" aca="1" ref="H1256" ca="1">[1]!s_west_eps($B$1,YEAR($A1256)+1,$A1256,180)</f>
        <v>-0.24610000000000001</v>
      </c>
      <c r="I1256" cm="1">
        <f t="array" aca="1" ref="I1256" ca="1">[1]!s_west_instnum_np($B$1,YEAR($A1256)+1,$A1256,180)</f>
        <v>8</v>
      </c>
      <c r="J1256" cm="1">
        <f t="array" aca="1" ref="J1256" ca="1">[1]!s_west_stdnetprofit($B$1,YEAR($A1256)+1,$A1256,180,1000000)</f>
        <v>134.53182799999999</v>
      </c>
      <c r="K1256" cm="1">
        <f t="array" aca="1" ref="K1256" ca="1">[1]!s_west_mediannetprofit($B$1,YEAR($A1255)+1,$A1255,180,1000000)</f>
        <v>-275.59300000000002</v>
      </c>
      <c r="L1256" cm="1">
        <f t="array" aca="1" ref="L1256" ca="1">[1]!s_dq_close($B$1,$A1256,3)</f>
        <v>23.85</v>
      </c>
    </row>
    <row r="1257" spans="1:12">
      <c r="A1257" s="23">
        <f t="shared" ca="1" si="19"/>
        <v>44918</v>
      </c>
      <c r="B1257" cm="1">
        <f t="array" aca="1" ref="B1257" ca="1">[1]!s_west_netprofit($B$1,YEAR($A1257),$A1257,180,1000000)</f>
        <v>-276.67362500000002</v>
      </c>
      <c r="C1257" cm="1">
        <f t="array" aca="1" ref="C1257" ca="1">[1]!s_west_eps($B$1,YEAR($A1257),$A1257,180)</f>
        <v>-0.31990000000000002</v>
      </c>
      <c r="D1257" cm="1">
        <f t="array" aca="1" ref="D1257" ca="1">[1]!s_west_instnum_np($B$1,YEAR($A1257),$A1257,180)</f>
        <v>8</v>
      </c>
      <c r="E1257" cm="1">
        <f t="array" aca="1" ref="E1257" ca="1">[1]!s_west_stdnetprofit($B$1,YEAR($A1257),$A1257,180,1000000)</f>
        <v>104.759743</v>
      </c>
      <c r="F1257" cm="1">
        <f t="array" aca="1" ref="F1257" ca="1">[1]!s_west_mediannetprofit($B$1,YEAR($A1257),$A1257,180,1000000)</f>
        <v>-315</v>
      </c>
      <c r="G1257" cm="1">
        <f t="array" aca="1" ref="G1257" ca="1">[1]!s_west_netprofit($B$1,YEAR($A1257)+1,$A1257,180,1000000)</f>
        <v>-214.48575</v>
      </c>
      <c r="H1257" cm="1">
        <f t="array" aca="1" ref="H1257" ca="1">[1]!s_west_eps($B$1,YEAR($A1257)+1,$A1257,180)</f>
        <v>-0.24610000000000001</v>
      </c>
      <c r="I1257" cm="1">
        <f t="array" aca="1" ref="I1257" ca="1">[1]!s_west_instnum_np($B$1,YEAR($A1257)+1,$A1257,180)</f>
        <v>8</v>
      </c>
      <c r="J1257" cm="1">
        <f t="array" aca="1" ref="J1257" ca="1">[1]!s_west_stdnetprofit($B$1,YEAR($A1257)+1,$A1257,180,1000000)</f>
        <v>134.53182799999999</v>
      </c>
      <c r="K1257" cm="1">
        <f t="array" aca="1" ref="K1257" ca="1">[1]!s_west_mediannetprofit($B$1,YEAR($A1256)+1,$A1256,180,1000000)</f>
        <v>-275.59300000000002</v>
      </c>
      <c r="L1257" cm="1">
        <f t="array" aca="1" ref="L1257" ca="1">[1]!s_dq_close($B$1,$A1257,3)</f>
        <v>23.85</v>
      </c>
    </row>
    <row r="1258" spans="1:12">
      <c r="A1258" s="23">
        <f t="shared" ca="1" si="19"/>
        <v>44917</v>
      </c>
      <c r="B1258" cm="1">
        <f t="array" aca="1" ref="B1258" ca="1">[1]!s_west_netprofit($B$1,YEAR($A1258),$A1258,180,1000000)</f>
        <v>-276.67362500000002</v>
      </c>
      <c r="C1258" cm="1">
        <f t="array" aca="1" ref="C1258" ca="1">[1]!s_west_eps($B$1,YEAR($A1258),$A1258,180)</f>
        <v>-0.31990000000000002</v>
      </c>
      <c r="D1258" cm="1">
        <f t="array" aca="1" ref="D1258" ca="1">[1]!s_west_instnum_np($B$1,YEAR($A1258),$A1258,180)</f>
        <v>8</v>
      </c>
      <c r="E1258" cm="1">
        <f t="array" aca="1" ref="E1258" ca="1">[1]!s_west_stdnetprofit($B$1,YEAR($A1258),$A1258,180,1000000)</f>
        <v>104.759743</v>
      </c>
      <c r="F1258" cm="1">
        <f t="array" aca="1" ref="F1258" ca="1">[1]!s_west_mediannetprofit($B$1,YEAR($A1258),$A1258,180,1000000)</f>
        <v>-315</v>
      </c>
      <c r="G1258" cm="1">
        <f t="array" aca="1" ref="G1258" ca="1">[1]!s_west_netprofit($B$1,YEAR($A1258)+1,$A1258,180,1000000)</f>
        <v>-214.48575</v>
      </c>
      <c r="H1258" cm="1">
        <f t="array" aca="1" ref="H1258" ca="1">[1]!s_west_eps($B$1,YEAR($A1258)+1,$A1258,180)</f>
        <v>-0.24610000000000001</v>
      </c>
      <c r="I1258" cm="1">
        <f t="array" aca="1" ref="I1258" ca="1">[1]!s_west_instnum_np($B$1,YEAR($A1258)+1,$A1258,180)</f>
        <v>8</v>
      </c>
      <c r="J1258" cm="1">
        <f t="array" aca="1" ref="J1258" ca="1">[1]!s_west_stdnetprofit($B$1,YEAR($A1258)+1,$A1258,180,1000000)</f>
        <v>134.53182799999999</v>
      </c>
      <c r="K1258" cm="1">
        <f t="array" aca="1" ref="K1258" ca="1">[1]!s_west_mediannetprofit($B$1,YEAR($A1257)+1,$A1257,180,1000000)</f>
        <v>-275.59300000000002</v>
      </c>
      <c r="L1258" cm="1">
        <f t="array" aca="1" ref="L1258" ca="1">[1]!s_dq_close($B$1,$A1258,3)</f>
        <v>23.8</v>
      </c>
    </row>
    <row r="1259" spans="1:12">
      <c r="A1259" s="23">
        <f t="shared" ca="1" si="19"/>
        <v>44916</v>
      </c>
      <c r="B1259" cm="1">
        <f t="array" aca="1" ref="B1259" ca="1">[1]!s_west_netprofit($B$1,YEAR($A1259),$A1259,180,1000000)</f>
        <v>-276.67362500000002</v>
      </c>
      <c r="C1259" cm="1">
        <f t="array" aca="1" ref="C1259" ca="1">[1]!s_west_eps($B$1,YEAR($A1259),$A1259,180)</f>
        <v>-0.31990000000000002</v>
      </c>
      <c r="D1259" cm="1">
        <f t="array" aca="1" ref="D1259" ca="1">[1]!s_west_instnum_np($B$1,YEAR($A1259),$A1259,180)</f>
        <v>8</v>
      </c>
      <c r="E1259" cm="1">
        <f t="array" aca="1" ref="E1259" ca="1">[1]!s_west_stdnetprofit($B$1,YEAR($A1259),$A1259,180,1000000)</f>
        <v>104.759743</v>
      </c>
      <c r="F1259" cm="1">
        <f t="array" aca="1" ref="F1259" ca="1">[1]!s_west_mediannetprofit($B$1,YEAR($A1259),$A1259,180,1000000)</f>
        <v>-315</v>
      </c>
      <c r="G1259" cm="1">
        <f t="array" aca="1" ref="G1259" ca="1">[1]!s_west_netprofit($B$1,YEAR($A1259)+1,$A1259,180,1000000)</f>
        <v>-214.48575</v>
      </c>
      <c r="H1259" cm="1">
        <f t="array" aca="1" ref="H1259" ca="1">[1]!s_west_eps($B$1,YEAR($A1259)+1,$A1259,180)</f>
        <v>-0.24610000000000001</v>
      </c>
      <c r="I1259" cm="1">
        <f t="array" aca="1" ref="I1259" ca="1">[1]!s_west_instnum_np($B$1,YEAR($A1259)+1,$A1259,180)</f>
        <v>8</v>
      </c>
      <c r="J1259" cm="1">
        <f t="array" aca="1" ref="J1259" ca="1">[1]!s_west_stdnetprofit($B$1,YEAR($A1259)+1,$A1259,180,1000000)</f>
        <v>134.53182799999999</v>
      </c>
      <c r="K1259" cm="1">
        <f t="array" aca="1" ref="K1259" ca="1">[1]!s_west_mediannetprofit($B$1,YEAR($A1258)+1,$A1258,180,1000000)</f>
        <v>-275.59300000000002</v>
      </c>
      <c r="L1259" cm="1">
        <f t="array" aca="1" ref="L1259" ca="1">[1]!s_dq_close($B$1,$A1259,3)</f>
        <v>22.25</v>
      </c>
    </row>
    <row r="1260" spans="1:12">
      <c r="A1260" s="23">
        <f t="shared" ca="1" si="19"/>
        <v>44915</v>
      </c>
      <c r="B1260" cm="1">
        <f t="array" aca="1" ref="B1260" ca="1">[1]!s_west_netprofit($B$1,YEAR($A1260),$A1260,180,1000000)</f>
        <v>-277.67362500000002</v>
      </c>
      <c r="C1260" cm="1">
        <f t="array" aca="1" ref="C1260" ca="1">[1]!s_west_eps($B$1,YEAR($A1260),$A1260,180)</f>
        <v>-0.3211</v>
      </c>
      <c r="D1260" cm="1">
        <f t="array" aca="1" ref="D1260" ca="1">[1]!s_west_instnum_np($B$1,YEAR($A1260),$A1260,180)</f>
        <v>8</v>
      </c>
      <c r="E1260" cm="1">
        <f t="array" aca="1" ref="E1260" ca="1">[1]!s_west_stdnetprofit($B$1,YEAR($A1260),$A1260,180,1000000)</f>
        <v>104.221912</v>
      </c>
      <c r="F1260" cm="1">
        <f t="array" aca="1" ref="F1260" ca="1">[1]!s_west_mediannetprofit($B$1,YEAR($A1260),$A1260,180,1000000)</f>
        <v>-315</v>
      </c>
      <c r="G1260" cm="1">
        <f t="array" aca="1" ref="G1260" ca="1">[1]!s_west_netprofit($B$1,YEAR($A1260)+1,$A1260,180,1000000)</f>
        <v>-219.73575</v>
      </c>
      <c r="H1260" cm="1">
        <f t="array" aca="1" ref="H1260" ca="1">[1]!s_west_eps($B$1,YEAR($A1260)+1,$A1260,180)</f>
        <v>-0.25269999999999998</v>
      </c>
      <c r="I1260" cm="1">
        <f t="array" aca="1" ref="I1260" ca="1">[1]!s_west_instnum_np($B$1,YEAR($A1260)+1,$A1260,180)</f>
        <v>8</v>
      </c>
      <c r="J1260" cm="1">
        <f t="array" aca="1" ref="J1260" ca="1">[1]!s_west_stdnetprofit($B$1,YEAR($A1260)+1,$A1260,180,1000000)</f>
        <v>129.66681800000001</v>
      </c>
      <c r="K1260" cm="1">
        <f t="array" aca="1" ref="K1260" ca="1">[1]!s_west_mediannetprofit($B$1,YEAR($A1259)+1,$A1259,180,1000000)</f>
        <v>-275.59300000000002</v>
      </c>
      <c r="L1260" cm="1">
        <f t="array" aca="1" ref="L1260" ca="1">[1]!s_dq_close($B$1,$A1260,3)</f>
        <v>20.65</v>
      </c>
    </row>
    <row r="1261" spans="1:12">
      <c r="A1261" s="23">
        <f t="shared" ca="1" si="19"/>
        <v>44914</v>
      </c>
      <c r="B1261" cm="1">
        <f t="array" aca="1" ref="B1261" ca="1">[1]!s_west_netprofit($B$1,YEAR($A1261),$A1261,180,1000000)</f>
        <v>-277.67362500000002</v>
      </c>
      <c r="C1261" cm="1">
        <f t="array" aca="1" ref="C1261" ca="1">[1]!s_west_eps($B$1,YEAR($A1261),$A1261,180)</f>
        <v>-0.3211</v>
      </c>
      <c r="D1261" cm="1">
        <f t="array" aca="1" ref="D1261" ca="1">[1]!s_west_instnum_np($B$1,YEAR($A1261),$A1261,180)</f>
        <v>8</v>
      </c>
      <c r="E1261" cm="1">
        <f t="array" aca="1" ref="E1261" ca="1">[1]!s_west_stdnetprofit($B$1,YEAR($A1261),$A1261,180,1000000)</f>
        <v>104.221912</v>
      </c>
      <c r="F1261" cm="1">
        <f t="array" aca="1" ref="F1261" ca="1">[1]!s_west_mediannetprofit($B$1,YEAR($A1261),$A1261,180,1000000)</f>
        <v>-315</v>
      </c>
      <c r="G1261" cm="1">
        <f t="array" aca="1" ref="G1261" ca="1">[1]!s_west_netprofit($B$1,YEAR($A1261)+1,$A1261,180,1000000)</f>
        <v>-219.73575</v>
      </c>
      <c r="H1261" cm="1">
        <f t="array" aca="1" ref="H1261" ca="1">[1]!s_west_eps($B$1,YEAR($A1261)+1,$A1261,180)</f>
        <v>-0.25240000000000001</v>
      </c>
      <c r="I1261" cm="1">
        <f t="array" aca="1" ref="I1261" ca="1">[1]!s_west_instnum_np($B$1,YEAR($A1261)+1,$A1261,180)</f>
        <v>8</v>
      </c>
      <c r="J1261" cm="1">
        <f t="array" aca="1" ref="J1261" ca="1">[1]!s_west_stdnetprofit($B$1,YEAR($A1261)+1,$A1261,180,1000000)</f>
        <v>129.66681800000001</v>
      </c>
      <c r="K1261" cm="1">
        <f t="array" aca="1" ref="K1261" ca="1">[1]!s_west_mediannetprofit($B$1,YEAR($A1260)+1,$A1260,180,1000000)</f>
        <v>-275.59300000000002</v>
      </c>
      <c r="L1261" cm="1">
        <f t="array" aca="1" ref="L1261" ca="1">[1]!s_dq_close($B$1,$A1261,3)</f>
        <v>21.55</v>
      </c>
    </row>
    <row r="1262" spans="1:12">
      <c r="A1262" s="23">
        <f t="shared" ca="1" si="19"/>
        <v>44913</v>
      </c>
      <c r="B1262" cm="1">
        <f t="array" aca="1" ref="B1262" ca="1">[1]!s_west_netprofit($B$1,YEAR($A1262),$A1262,180,1000000)</f>
        <v>-277.67362500000002</v>
      </c>
      <c r="C1262" cm="1">
        <f t="array" aca="1" ref="C1262" ca="1">[1]!s_west_eps($B$1,YEAR($A1262),$A1262,180)</f>
        <v>-0.3211</v>
      </c>
      <c r="D1262" cm="1">
        <f t="array" aca="1" ref="D1262" ca="1">[1]!s_west_instnum_np($B$1,YEAR($A1262),$A1262,180)</f>
        <v>8</v>
      </c>
      <c r="E1262" cm="1">
        <f t="array" aca="1" ref="E1262" ca="1">[1]!s_west_stdnetprofit($B$1,YEAR($A1262),$A1262,180,1000000)</f>
        <v>104.221912</v>
      </c>
      <c r="F1262" cm="1">
        <f t="array" aca="1" ref="F1262" ca="1">[1]!s_west_mediannetprofit($B$1,YEAR($A1262),$A1262,180,1000000)</f>
        <v>-315</v>
      </c>
      <c r="G1262" cm="1">
        <f t="array" aca="1" ref="G1262" ca="1">[1]!s_west_netprofit($B$1,YEAR($A1262)+1,$A1262,180,1000000)</f>
        <v>-219.73575</v>
      </c>
      <c r="H1262" cm="1">
        <f t="array" aca="1" ref="H1262" ca="1">[1]!s_west_eps($B$1,YEAR($A1262)+1,$A1262,180)</f>
        <v>-0.25240000000000001</v>
      </c>
      <c r="I1262" cm="1">
        <f t="array" aca="1" ref="I1262" ca="1">[1]!s_west_instnum_np($B$1,YEAR($A1262)+1,$A1262,180)</f>
        <v>8</v>
      </c>
      <c r="J1262" cm="1">
        <f t="array" aca="1" ref="J1262" ca="1">[1]!s_west_stdnetprofit($B$1,YEAR($A1262)+1,$A1262,180,1000000)</f>
        <v>129.66681800000001</v>
      </c>
      <c r="K1262" cm="1">
        <f t="array" aca="1" ref="K1262" ca="1">[1]!s_west_mediannetprofit($B$1,YEAR($A1261)+1,$A1261,180,1000000)</f>
        <v>-275.59300000000002</v>
      </c>
      <c r="L1262" cm="1">
        <f t="array" aca="1" ref="L1262" ca="1">[1]!s_dq_close($B$1,$A1262,3)</f>
        <v>22.3</v>
      </c>
    </row>
    <row r="1263" spans="1:12">
      <c r="A1263" s="23">
        <f t="shared" ca="1" si="19"/>
        <v>44912</v>
      </c>
      <c r="B1263" cm="1">
        <f t="array" aca="1" ref="B1263" ca="1">[1]!s_west_netprofit($B$1,YEAR($A1263),$A1263,180,1000000)</f>
        <v>-277.67362500000002</v>
      </c>
      <c r="C1263" cm="1">
        <f t="array" aca="1" ref="C1263" ca="1">[1]!s_west_eps($B$1,YEAR($A1263),$A1263,180)</f>
        <v>-0.3211</v>
      </c>
      <c r="D1263" cm="1">
        <f t="array" aca="1" ref="D1263" ca="1">[1]!s_west_instnum_np($B$1,YEAR($A1263),$A1263,180)</f>
        <v>8</v>
      </c>
      <c r="E1263" cm="1">
        <f t="array" aca="1" ref="E1263" ca="1">[1]!s_west_stdnetprofit($B$1,YEAR($A1263),$A1263,180,1000000)</f>
        <v>104.221912</v>
      </c>
      <c r="F1263" cm="1">
        <f t="array" aca="1" ref="F1263" ca="1">[1]!s_west_mediannetprofit($B$1,YEAR($A1263),$A1263,180,1000000)</f>
        <v>-315</v>
      </c>
      <c r="G1263" cm="1">
        <f t="array" aca="1" ref="G1263" ca="1">[1]!s_west_netprofit($B$1,YEAR($A1263)+1,$A1263,180,1000000)</f>
        <v>-219.73575</v>
      </c>
      <c r="H1263" cm="1">
        <f t="array" aca="1" ref="H1263" ca="1">[1]!s_west_eps($B$1,YEAR($A1263)+1,$A1263,180)</f>
        <v>-0.25240000000000001</v>
      </c>
      <c r="I1263" cm="1">
        <f t="array" aca="1" ref="I1263" ca="1">[1]!s_west_instnum_np($B$1,YEAR($A1263)+1,$A1263,180)</f>
        <v>8</v>
      </c>
      <c r="J1263" cm="1">
        <f t="array" aca="1" ref="J1263" ca="1">[1]!s_west_stdnetprofit($B$1,YEAR($A1263)+1,$A1263,180,1000000)</f>
        <v>129.66681800000001</v>
      </c>
      <c r="K1263" cm="1">
        <f t="array" aca="1" ref="K1263" ca="1">[1]!s_west_mediannetprofit($B$1,YEAR($A1262)+1,$A1262,180,1000000)</f>
        <v>-275.59300000000002</v>
      </c>
      <c r="L1263" cm="1">
        <f t="array" aca="1" ref="L1263" ca="1">[1]!s_dq_close($B$1,$A1263,3)</f>
        <v>22.3</v>
      </c>
    </row>
    <row r="1264" spans="1:12">
      <c r="A1264" s="23">
        <f t="shared" ca="1" si="19"/>
        <v>44911</v>
      </c>
      <c r="B1264" cm="1">
        <f t="array" aca="1" ref="B1264" ca="1">[1]!s_west_netprofit($B$1,YEAR($A1264),$A1264,180,1000000)</f>
        <v>-277.67362500000002</v>
      </c>
      <c r="C1264" cm="1">
        <f t="array" aca="1" ref="C1264" ca="1">[1]!s_west_eps($B$1,YEAR($A1264),$A1264,180)</f>
        <v>-0.3211</v>
      </c>
      <c r="D1264" cm="1">
        <f t="array" aca="1" ref="D1264" ca="1">[1]!s_west_instnum_np($B$1,YEAR($A1264),$A1264,180)</f>
        <v>8</v>
      </c>
      <c r="E1264" cm="1">
        <f t="array" aca="1" ref="E1264" ca="1">[1]!s_west_stdnetprofit($B$1,YEAR($A1264),$A1264,180,1000000)</f>
        <v>104.221912</v>
      </c>
      <c r="F1264" cm="1">
        <f t="array" aca="1" ref="F1264" ca="1">[1]!s_west_mediannetprofit($B$1,YEAR($A1264),$A1264,180,1000000)</f>
        <v>-315</v>
      </c>
      <c r="G1264" cm="1">
        <f t="array" aca="1" ref="G1264" ca="1">[1]!s_west_netprofit($B$1,YEAR($A1264)+1,$A1264,180,1000000)</f>
        <v>-219.73575</v>
      </c>
      <c r="H1264" cm="1">
        <f t="array" aca="1" ref="H1264" ca="1">[1]!s_west_eps($B$1,YEAR($A1264)+1,$A1264,180)</f>
        <v>-0.25240000000000001</v>
      </c>
      <c r="I1264" cm="1">
        <f t="array" aca="1" ref="I1264" ca="1">[1]!s_west_instnum_np($B$1,YEAR($A1264)+1,$A1264,180)</f>
        <v>8</v>
      </c>
      <c r="J1264" cm="1">
        <f t="array" aca="1" ref="J1264" ca="1">[1]!s_west_stdnetprofit($B$1,YEAR($A1264)+1,$A1264,180,1000000)</f>
        <v>129.66681800000001</v>
      </c>
      <c r="K1264" cm="1">
        <f t="array" aca="1" ref="K1264" ca="1">[1]!s_west_mediannetprofit($B$1,YEAR($A1263)+1,$A1263,180,1000000)</f>
        <v>-275.59300000000002</v>
      </c>
      <c r="L1264" cm="1">
        <f t="array" aca="1" ref="L1264" ca="1">[1]!s_dq_close($B$1,$A1264,3)</f>
        <v>22.3</v>
      </c>
    </row>
    <row r="1265" spans="1:12">
      <c r="A1265" s="23">
        <f t="shared" ca="1" si="19"/>
        <v>44910</v>
      </c>
      <c r="B1265" cm="1">
        <f t="array" aca="1" ref="B1265" ca="1">[1]!s_west_netprofit($B$1,YEAR($A1265),$A1265,180,1000000)</f>
        <v>-277.67362500000002</v>
      </c>
      <c r="C1265" cm="1">
        <f t="array" aca="1" ref="C1265" ca="1">[1]!s_west_eps($B$1,YEAR($A1265),$A1265,180)</f>
        <v>-0.3211</v>
      </c>
      <c r="D1265" cm="1">
        <f t="array" aca="1" ref="D1265" ca="1">[1]!s_west_instnum_np($B$1,YEAR($A1265),$A1265,180)</f>
        <v>8</v>
      </c>
      <c r="E1265" cm="1">
        <f t="array" aca="1" ref="E1265" ca="1">[1]!s_west_stdnetprofit($B$1,YEAR($A1265),$A1265,180,1000000)</f>
        <v>104.221912</v>
      </c>
      <c r="F1265" cm="1">
        <f t="array" aca="1" ref="F1265" ca="1">[1]!s_west_mediannetprofit($B$1,YEAR($A1265),$A1265,180,1000000)</f>
        <v>-315</v>
      </c>
      <c r="G1265" cm="1">
        <f t="array" aca="1" ref="G1265" ca="1">[1]!s_west_netprofit($B$1,YEAR($A1265)+1,$A1265,180,1000000)</f>
        <v>-219.73575</v>
      </c>
      <c r="H1265" cm="1">
        <f t="array" aca="1" ref="H1265" ca="1">[1]!s_west_eps($B$1,YEAR($A1265)+1,$A1265,180)</f>
        <v>-0.25240000000000001</v>
      </c>
      <c r="I1265" cm="1">
        <f t="array" aca="1" ref="I1265" ca="1">[1]!s_west_instnum_np($B$1,YEAR($A1265)+1,$A1265,180)</f>
        <v>8</v>
      </c>
      <c r="J1265" cm="1">
        <f t="array" aca="1" ref="J1265" ca="1">[1]!s_west_stdnetprofit($B$1,YEAR($A1265)+1,$A1265,180,1000000)</f>
        <v>129.66681800000001</v>
      </c>
      <c r="K1265" cm="1">
        <f t="array" aca="1" ref="K1265" ca="1">[1]!s_west_mediannetprofit($B$1,YEAR($A1264)+1,$A1264,180,1000000)</f>
        <v>-275.59300000000002</v>
      </c>
      <c r="L1265" cm="1">
        <f t="array" aca="1" ref="L1265" ca="1">[1]!s_dq_close($B$1,$A1265,3)</f>
        <v>22.1</v>
      </c>
    </row>
    <row r="1266" spans="1:12">
      <c r="A1266" s="23">
        <f t="shared" ca="1" si="19"/>
        <v>44909</v>
      </c>
      <c r="B1266" cm="1">
        <f t="array" aca="1" ref="B1266" ca="1">[1]!s_west_netprofit($B$1,YEAR($A1266),$A1266,180,1000000)</f>
        <v>-277.67362500000002</v>
      </c>
      <c r="C1266" cm="1">
        <f t="array" aca="1" ref="C1266" ca="1">[1]!s_west_eps($B$1,YEAR($A1266),$A1266,180)</f>
        <v>-0.3211</v>
      </c>
      <c r="D1266" cm="1">
        <f t="array" aca="1" ref="D1266" ca="1">[1]!s_west_instnum_np($B$1,YEAR($A1266),$A1266,180)</f>
        <v>8</v>
      </c>
      <c r="E1266" cm="1">
        <f t="array" aca="1" ref="E1266" ca="1">[1]!s_west_stdnetprofit($B$1,YEAR($A1266),$A1266,180,1000000)</f>
        <v>104.221912</v>
      </c>
      <c r="F1266" cm="1">
        <f t="array" aca="1" ref="F1266" ca="1">[1]!s_west_mediannetprofit($B$1,YEAR($A1266),$A1266,180,1000000)</f>
        <v>-315</v>
      </c>
      <c r="G1266" cm="1">
        <f t="array" aca="1" ref="G1266" ca="1">[1]!s_west_netprofit($B$1,YEAR($A1266)+1,$A1266,180,1000000)</f>
        <v>-219.73575</v>
      </c>
      <c r="H1266" cm="1">
        <f t="array" aca="1" ref="H1266" ca="1">[1]!s_west_eps($B$1,YEAR($A1266)+1,$A1266,180)</f>
        <v>-0.25240000000000001</v>
      </c>
      <c r="I1266" cm="1">
        <f t="array" aca="1" ref="I1266" ca="1">[1]!s_west_instnum_np($B$1,YEAR($A1266)+1,$A1266,180)</f>
        <v>8</v>
      </c>
      <c r="J1266" cm="1">
        <f t="array" aca="1" ref="J1266" ca="1">[1]!s_west_stdnetprofit($B$1,YEAR($A1266)+1,$A1266,180,1000000)</f>
        <v>129.66681800000001</v>
      </c>
      <c r="K1266" cm="1">
        <f t="array" aca="1" ref="K1266" ca="1">[1]!s_west_mediannetprofit($B$1,YEAR($A1265)+1,$A1265,180,1000000)</f>
        <v>-275.59300000000002</v>
      </c>
      <c r="L1266" cm="1">
        <f t="array" aca="1" ref="L1266" ca="1">[1]!s_dq_close($B$1,$A1266,3)</f>
        <v>22.9</v>
      </c>
    </row>
    <row r="1267" spans="1:12">
      <c r="A1267" s="23">
        <f t="shared" ca="1" si="19"/>
        <v>44908</v>
      </c>
      <c r="B1267" cm="1">
        <f t="array" aca="1" ref="B1267" ca="1">[1]!s_west_netprofit($B$1,YEAR($A1267),$A1267,180,1000000)</f>
        <v>-277.67362500000002</v>
      </c>
      <c r="C1267" cm="1">
        <f t="array" aca="1" ref="C1267" ca="1">[1]!s_west_eps($B$1,YEAR($A1267),$A1267,180)</f>
        <v>-0.3211</v>
      </c>
      <c r="D1267" cm="1">
        <f t="array" aca="1" ref="D1267" ca="1">[1]!s_west_instnum_np($B$1,YEAR($A1267),$A1267,180)</f>
        <v>8</v>
      </c>
      <c r="E1267" cm="1">
        <f t="array" aca="1" ref="E1267" ca="1">[1]!s_west_stdnetprofit($B$1,YEAR($A1267),$A1267,180,1000000)</f>
        <v>104.221912</v>
      </c>
      <c r="F1267" cm="1">
        <f t="array" aca="1" ref="F1267" ca="1">[1]!s_west_mediannetprofit($B$1,YEAR($A1267),$A1267,180,1000000)</f>
        <v>-315</v>
      </c>
      <c r="G1267" cm="1">
        <f t="array" aca="1" ref="G1267" ca="1">[1]!s_west_netprofit($B$1,YEAR($A1267)+1,$A1267,180,1000000)</f>
        <v>-219.73575</v>
      </c>
      <c r="H1267" cm="1">
        <f t="array" aca="1" ref="H1267" ca="1">[1]!s_west_eps($B$1,YEAR($A1267)+1,$A1267,180)</f>
        <v>-0.25240000000000001</v>
      </c>
      <c r="I1267" cm="1">
        <f t="array" aca="1" ref="I1267" ca="1">[1]!s_west_instnum_np($B$1,YEAR($A1267)+1,$A1267,180)</f>
        <v>8</v>
      </c>
      <c r="J1267" cm="1">
        <f t="array" aca="1" ref="J1267" ca="1">[1]!s_west_stdnetprofit($B$1,YEAR($A1267)+1,$A1267,180,1000000)</f>
        <v>129.66681800000001</v>
      </c>
      <c r="K1267" cm="1">
        <f t="array" aca="1" ref="K1267" ca="1">[1]!s_west_mediannetprofit($B$1,YEAR($A1266)+1,$A1266,180,1000000)</f>
        <v>-275.59300000000002</v>
      </c>
      <c r="L1267" cm="1">
        <f t="array" aca="1" ref="L1267" ca="1">[1]!s_dq_close($B$1,$A1267,3)</f>
        <v>22.75</v>
      </c>
    </row>
    <row r="1268" spans="1:12">
      <c r="A1268" s="23">
        <f t="shared" ca="1" si="19"/>
        <v>44907</v>
      </c>
      <c r="B1268" cm="1">
        <f t="array" aca="1" ref="B1268" ca="1">[1]!s_west_netprofit($B$1,YEAR($A1268),$A1268,180,1000000)</f>
        <v>-277.67362500000002</v>
      </c>
      <c r="C1268" cm="1">
        <f t="array" aca="1" ref="C1268" ca="1">[1]!s_west_eps($B$1,YEAR($A1268),$A1268,180)</f>
        <v>-0.3211</v>
      </c>
      <c r="D1268" cm="1">
        <f t="array" aca="1" ref="D1268" ca="1">[1]!s_west_instnum_np($B$1,YEAR($A1268),$A1268,180)</f>
        <v>8</v>
      </c>
      <c r="E1268" cm="1">
        <f t="array" aca="1" ref="E1268" ca="1">[1]!s_west_stdnetprofit($B$1,YEAR($A1268),$A1268,180,1000000)</f>
        <v>104.221912</v>
      </c>
      <c r="F1268" cm="1">
        <f t="array" aca="1" ref="F1268" ca="1">[1]!s_west_mediannetprofit($B$1,YEAR($A1268),$A1268,180,1000000)</f>
        <v>-315</v>
      </c>
      <c r="G1268" cm="1">
        <f t="array" aca="1" ref="G1268" ca="1">[1]!s_west_netprofit($B$1,YEAR($A1268)+1,$A1268,180,1000000)</f>
        <v>-219.73575</v>
      </c>
      <c r="H1268" cm="1">
        <f t="array" aca="1" ref="H1268" ca="1">[1]!s_west_eps($B$1,YEAR($A1268)+1,$A1268,180)</f>
        <v>-0.25240000000000001</v>
      </c>
      <c r="I1268" cm="1">
        <f t="array" aca="1" ref="I1268" ca="1">[1]!s_west_instnum_np($B$1,YEAR($A1268)+1,$A1268,180)</f>
        <v>8</v>
      </c>
      <c r="J1268" cm="1">
        <f t="array" aca="1" ref="J1268" ca="1">[1]!s_west_stdnetprofit($B$1,YEAR($A1268)+1,$A1268,180,1000000)</f>
        <v>129.66681800000001</v>
      </c>
      <c r="K1268" cm="1">
        <f t="array" aca="1" ref="K1268" ca="1">[1]!s_west_mediannetprofit($B$1,YEAR($A1267)+1,$A1267,180,1000000)</f>
        <v>-275.59300000000002</v>
      </c>
      <c r="L1268" cm="1">
        <f t="array" aca="1" ref="L1268" ca="1">[1]!s_dq_close($B$1,$A1268,3)</f>
        <v>22.2</v>
      </c>
    </row>
    <row r="1269" spans="1:12">
      <c r="A1269" s="23">
        <f t="shared" ca="1" si="19"/>
        <v>44906</v>
      </c>
      <c r="B1269" cm="1">
        <f t="array" aca="1" ref="B1269" ca="1">[1]!s_west_netprofit($B$1,YEAR($A1269),$A1269,180,1000000)</f>
        <v>-277.67362500000002</v>
      </c>
      <c r="C1269" cm="1">
        <f t="array" aca="1" ref="C1269" ca="1">[1]!s_west_eps($B$1,YEAR($A1269),$A1269,180)</f>
        <v>-0.3211</v>
      </c>
      <c r="D1269" cm="1">
        <f t="array" aca="1" ref="D1269" ca="1">[1]!s_west_instnum_np($B$1,YEAR($A1269),$A1269,180)</f>
        <v>8</v>
      </c>
      <c r="E1269" cm="1">
        <f t="array" aca="1" ref="E1269" ca="1">[1]!s_west_stdnetprofit($B$1,YEAR($A1269),$A1269,180,1000000)</f>
        <v>104.221912</v>
      </c>
      <c r="F1269" cm="1">
        <f t="array" aca="1" ref="F1269" ca="1">[1]!s_west_mediannetprofit($B$1,YEAR($A1269),$A1269,180,1000000)</f>
        <v>-315</v>
      </c>
      <c r="G1269" cm="1">
        <f t="array" aca="1" ref="G1269" ca="1">[1]!s_west_netprofit($B$1,YEAR($A1269)+1,$A1269,180,1000000)</f>
        <v>-219.73575</v>
      </c>
      <c r="H1269" cm="1">
        <f t="array" aca="1" ref="H1269" ca="1">[1]!s_west_eps($B$1,YEAR($A1269)+1,$A1269,180)</f>
        <v>-0.25240000000000001</v>
      </c>
      <c r="I1269" cm="1">
        <f t="array" aca="1" ref="I1269" ca="1">[1]!s_west_instnum_np($B$1,YEAR($A1269)+1,$A1269,180)</f>
        <v>8</v>
      </c>
      <c r="J1269" cm="1">
        <f t="array" aca="1" ref="J1269" ca="1">[1]!s_west_stdnetprofit($B$1,YEAR($A1269)+1,$A1269,180,1000000)</f>
        <v>129.66681800000001</v>
      </c>
      <c r="K1269" cm="1">
        <f t="array" aca="1" ref="K1269" ca="1">[1]!s_west_mediannetprofit($B$1,YEAR($A1268)+1,$A1268,180,1000000)</f>
        <v>-275.59300000000002</v>
      </c>
      <c r="L1269" cm="1">
        <f t="array" aca="1" ref="L1269" ca="1">[1]!s_dq_close($B$1,$A1269,3)</f>
        <v>22.3</v>
      </c>
    </row>
    <row r="1270" spans="1:12">
      <c r="A1270" s="23">
        <f t="shared" ca="1" si="19"/>
        <v>44905</v>
      </c>
      <c r="B1270" cm="1">
        <f t="array" aca="1" ref="B1270" ca="1">[1]!s_west_netprofit($B$1,YEAR($A1270),$A1270,180,1000000)</f>
        <v>-277.67362500000002</v>
      </c>
      <c r="C1270" cm="1">
        <f t="array" aca="1" ref="C1270" ca="1">[1]!s_west_eps($B$1,YEAR($A1270),$A1270,180)</f>
        <v>-0.3211</v>
      </c>
      <c r="D1270" cm="1">
        <f t="array" aca="1" ref="D1270" ca="1">[1]!s_west_instnum_np($B$1,YEAR($A1270),$A1270,180)</f>
        <v>8</v>
      </c>
      <c r="E1270" cm="1">
        <f t="array" aca="1" ref="E1270" ca="1">[1]!s_west_stdnetprofit($B$1,YEAR($A1270),$A1270,180,1000000)</f>
        <v>104.221912</v>
      </c>
      <c r="F1270" cm="1">
        <f t="array" aca="1" ref="F1270" ca="1">[1]!s_west_mediannetprofit($B$1,YEAR($A1270),$A1270,180,1000000)</f>
        <v>-315</v>
      </c>
      <c r="G1270" cm="1">
        <f t="array" aca="1" ref="G1270" ca="1">[1]!s_west_netprofit($B$1,YEAR($A1270)+1,$A1270,180,1000000)</f>
        <v>-219.73575</v>
      </c>
      <c r="H1270" cm="1">
        <f t="array" aca="1" ref="H1270" ca="1">[1]!s_west_eps($B$1,YEAR($A1270)+1,$A1270,180)</f>
        <v>-0.25240000000000001</v>
      </c>
      <c r="I1270" cm="1">
        <f t="array" aca="1" ref="I1270" ca="1">[1]!s_west_instnum_np($B$1,YEAR($A1270)+1,$A1270,180)</f>
        <v>8</v>
      </c>
      <c r="J1270" cm="1">
        <f t="array" aca="1" ref="J1270" ca="1">[1]!s_west_stdnetprofit($B$1,YEAR($A1270)+1,$A1270,180,1000000)</f>
        <v>129.66681800000001</v>
      </c>
      <c r="K1270" cm="1">
        <f t="array" aca="1" ref="K1270" ca="1">[1]!s_west_mediannetprofit($B$1,YEAR($A1269)+1,$A1269,180,1000000)</f>
        <v>-275.59300000000002</v>
      </c>
      <c r="L1270" cm="1">
        <f t="array" aca="1" ref="L1270" ca="1">[1]!s_dq_close($B$1,$A1270,3)</f>
        <v>22.3</v>
      </c>
    </row>
    <row r="1271" spans="1:12">
      <c r="A1271" s="23">
        <f t="shared" ca="1" si="19"/>
        <v>44904</v>
      </c>
      <c r="B1271" cm="1">
        <f t="array" aca="1" ref="B1271" ca="1">[1]!s_west_netprofit($B$1,YEAR($A1271),$A1271,180,1000000)</f>
        <v>-277.67362500000002</v>
      </c>
      <c r="C1271" cm="1">
        <f t="array" aca="1" ref="C1271" ca="1">[1]!s_west_eps($B$1,YEAR($A1271),$A1271,180)</f>
        <v>-0.3211</v>
      </c>
      <c r="D1271" cm="1">
        <f t="array" aca="1" ref="D1271" ca="1">[1]!s_west_instnum_np($B$1,YEAR($A1271),$A1271,180)</f>
        <v>8</v>
      </c>
      <c r="E1271" cm="1">
        <f t="array" aca="1" ref="E1271" ca="1">[1]!s_west_stdnetprofit($B$1,YEAR($A1271),$A1271,180,1000000)</f>
        <v>104.221912</v>
      </c>
      <c r="F1271" cm="1">
        <f t="array" aca="1" ref="F1271" ca="1">[1]!s_west_mediannetprofit($B$1,YEAR($A1271),$A1271,180,1000000)</f>
        <v>-315</v>
      </c>
      <c r="G1271" cm="1">
        <f t="array" aca="1" ref="G1271" ca="1">[1]!s_west_netprofit($B$1,YEAR($A1271)+1,$A1271,180,1000000)</f>
        <v>-219.73575</v>
      </c>
      <c r="H1271" cm="1">
        <f t="array" aca="1" ref="H1271" ca="1">[1]!s_west_eps($B$1,YEAR($A1271)+1,$A1271,180)</f>
        <v>-0.25240000000000001</v>
      </c>
      <c r="I1271" cm="1">
        <f t="array" aca="1" ref="I1271" ca="1">[1]!s_west_instnum_np($B$1,YEAR($A1271)+1,$A1271,180)</f>
        <v>8</v>
      </c>
      <c r="J1271" cm="1">
        <f t="array" aca="1" ref="J1271" ca="1">[1]!s_west_stdnetprofit($B$1,YEAR($A1271)+1,$A1271,180,1000000)</f>
        <v>129.66681800000001</v>
      </c>
      <c r="K1271" cm="1">
        <f t="array" aca="1" ref="K1271" ca="1">[1]!s_west_mediannetprofit($B$1,YEAR($A1270)+1,$A1270,180,1000000)</f>
        <v>-275.59300000000002</v>
      </c>
      <c r="L1271" cm="1">
        <f t="array" aca="1" ref="L1271" ca="1">[1]!s_dq_close($B$1,$A1271,3)</f>
        <v>22.3</v>
      </c>
    </row>
    <row r="1272" spans="1:12">
      <c r="A1272" s="23">
        <f t="shared" ca="1" si="19"/>
        <v>44903</v>
      </c>
      <c r="B1272" cm="1">
        <f t="array" aca="1" ref="B1272" ca="1">[1]!s_west_netprofit($B$1,YEAR($A1272),$A1272,180,1000000)</f>
        <v>-277.67362500000002</v>
      </c>
      <c r="C1272" cm="1">
        <f t="array" aca="1" ref="C1272" ca="1">[1]!s_west_eps($B$1,YEAR($A1272),$A1272,180)</f>
        <v>-0.3211</v>
      </c>
      <c r="D1272" cm="1">
        <f t="array" aca="1" ref="D1272" ca="1">[1]!s_west_instnum_np($B$1,YEAR($A1272),$A1272,180)</f>
        <v>8</v>
      </c>
      <c r="E1272" cm="1">
        <f t="array" aca="1" ref="E1272" ca="1">[1]!s_west_stdnetprofit($B$1,YEAR($A1272),$A1272,180,1000000)</f>
        <v>104.221912</v>
      </c>
      <c r="F1272" cm="1">
        <f t="array" aca="1" ref="F1272" ca="1">[1]!s_west_mediannetprofit($B$1,YEAR($A1272),$A1272,180,1000000)</f>
        <v>-315</v>
      </c>
      <c r="G1272" cm="1">
        <f t="array" aca="1" ref="G1272" ca="1">[1]!s_west_netprofit($B$1,YEAR($A1272)+1,$A1272,180,1000000)</f>
        <v>-219.73575</v>
      </c>
      <c r="H1272" cm="1">
        <f t="array" aca="1" ref="H1272" ca="1">[1]!s_west_eps($B$1,YEAR($A1272)+1,$A1272,180)</f>
        <v>-0.25240000000000001</v>
      </c>
      <c r="I1272" cm="1">
        <f t="array" aca="1" ref="I1272" ca="1">[1]!s_west_instnum_np($B$1,YEAR($A1272)+1,$A1272,180)</f>
        <v>8</v>
      </c>
      <c r="J1272" cm="1">
        <f t="array" aca="1" ref="J1272" ca="1">[1]!s_west_stdnetprofit($B$1,YEAR($A1272)+1,$A1272,180,1000000)</f>
        <v>129.66681800000001</v>
      </c>
      <c r="K1272" cm="1">
        <f t="array" aca="1" ref="K1272" ca="1">[1]!s_west_mediannetprofit($B$1,YEAR($A1271)+1,$A1271,180,1000000)</f>
        <v>-275.59300000000002</v>
      </c>
      <c r="L1272" cm="1">
        <f t="array" aca="1" ref="L1272" ca="1">[1]!s_dq_close($B$1,$A1272,3)</f>
        <v>21.6</v>
      </c>
    </row>
    <row r="1273" spans="1:12">
      <c r="A1273" s="23">
        <f t="shared" ca="1" si="19"/>
        <v>44902</v>
      </c>
      <c r="B1273" cm="1">
        <f t="array" aca="1" ref="B1273" ca="1">[1]!s_west_netprofit($B$1,YEAR($A1273),$A1273,180,1000000)</f>
        <v>-277.67362500000002</v>
      </c>
      <c r="C1273" cm="1">
        <f t="array" aca="1" ref="C1273" ca="1">[1]!s_west_eps($B$1,YEAR($A1273),$A1273,180)</f>
        <v>-0.3211</v>
      </c>
      <c r="D1273" cm="1">
        <f t="array" aca="1" ref="D1273" ca="1">[1]!s_west_instnum_np($B$1,YEAR($A1273),$A1273,180)</f>
        <v>8</v>
      </c>
      <c r="E1273" cm="1">
        <f t="array" aca="1" ref="E1273" ca="1">[1]!s_west_stdnetprofit($B$1,YEAR($A1273),$A1273,180,1000000)</f>
        <v>104.221912</v>
      </c>
      <c r="F1273" cm="1">
        <f t="array" aca="1" ref="F1273" ca="1">[1]!s_west_mediannetprofit($B$1,YEAR($A1273),$A1273,180,1000000)</f>
        <v>-315</v>
      </c>
      <c r="G1273" cm="1">
        <f t="array" aca="1" ref="G1273" ca="1">[1]!s_west_netprofit($B$1,YEAR($A1273)+1,$A1273,180,1000000)</f>
        <v>-219.73575</v>
      </c>
      <c r="H1273" cm="1">
        <f t="array" aca="1" ref="H1273" ca="1">[1]!s_west_eps($B$1,YEAR($A1273)+1,$A1273,180)</f>
        <v>-0.25240000000000001</v>
      </c>
      <c r="I1273" cm="1">
        <f t="array" aca="1" ref="I1273" ca="1">[1]!s_west_instnum_np($B$1,YEAR($A1273)+1,$A1273,180)</f>
        <v>8</v>
      </c>
      <c r="J1273" cm="1">
        <f t="array" aca="1" ref="J1273" ca="1">[1]!s_west_stdnetprofit($B$1,YEAR($A1273)+1,$A1273,180,1000000)</f>
        <v>129.66681800000001</v>
      </c>
      <c r="K1273" cm="1">
        <f t="array" aca="1" ref="K1273" ca="1">[1]!s_west_mediannetprofit($B$1,YEAR($A1272)+1,$A1272,180,1000000)</f>
        <v>-275.59300000000002</v>
      </c>
      <c r="L1273" cm="1">
        <f t="array" aca="1" ref="L1273" ca="1">[1]!s_dq_close($B$1,$A1273,3)</f>
        <v>20.6</v>
      </c>
    </row>
    <row r="1274" spans="1:12">
      <c r="A1274" s="23">
        <f t="shared" ca="1" si="19"/>
        <v>44901</v>
      </c>
      <c r="B1274" cm="1">
        <f t="array" aca="1" ref="B1274" ca="1">[1]!s_west_netprofit($B$1,YEAR($A1274),$A1274,180,1000000)</f>
        <v>-277.67362500000002</v>
      </c>
      <c r="C1274" cm="1">
        <f t="array" aca="1" ref="C1274" ca="1">[1]!s_west_eps($B$1,YEAR($A1274),$A1274,180)</f>
        <v>-0.3211</v>
      </c>
      <c r="D1274" cm="1">
        <f t="array" aca="1" ref="D1274" ca="1">[1]!s_west_instnum_np($B$1,YEAR($A1274),$A1274,180)</f>
        <v>8</v>
      </c>
      <c r="E1274" cm="1">
        <f t="array" aca="1" ref="E1274" ca="1">[1]!s_west_stdnetprofit($B$1,YEAR($A1274),$A1274,180,1000000)</f>
        <v>104.221912</v>
      </c>
      <c r="F1274" cm="1">
        <f t="array" aca="1" ref="F1274" ca="1">[1]!s_west_mediannetprofit($B$1,YEAR($A1274),$A1274,180,1000000)</f>
        <v>-315</v>
      </c>
      <c r="G1274" cm="1">
        <f t="array" aca="1" ref="G1274" ca="1">[1]!s_west_netprofit($B$1,YEAR($A1274)+1,$A1274,180,1000000)</f>
        <v>-219.73575</v>
      </c>
      <c r="H1274" cm="1">
        <f t="array" aca="1" ref="H1274" ca="1">[1]!s_west_eps($B$1,YEAR($A1274)+1,$A1274,180)</f>
        <v>-0.25240000000000001</v>
      </c>
      <c r="I1274" cm="1">
        <f t="array" aca="1" ref="I1274" ca="1">[1]!s_west_instnum_np($B$1,YEAR($A1274)+1,$A1274,180)</f>
        <v>8</v>
      </c>
      <c r="J1274" cm="1">
        <f t="array" aca="1" ref="J1274" ca="1">[1]!s_west_stdnetprofit($B$1,YEAR($A1274)+1,$A1274,180,1000000)</f>
        <v>129.66681800000001</v>
      </c>
      <c r="K1274" cm="1">
        <f t="array" aca="1" ref="K1274" ca="1">[1]!s_west_mediannetprofit($B$1,YEAR($A1273)+1,$A1273,180,1000000)</f>
        <v>-275.59300000000002</v>
      </c>
      <c r="L1274" cm="1">
        <f t="array" aca="1" ref="L1274" ca="1">[1]!s_dq_close($B$1,$A1274,3)</f>
        <v>21.9</v>
      </c>
    </row>
    <row r="1275" spans="1:12">
      <c r="A1275" s="23">
        <f t="shared" ca="1" si="19"/>
        <v>44900</v>
      </c>
      <c r="B1275" cm="1">
        <f t="array" aca="1" ref="B1275" ca="1">[1]!s_west_netprofit($B$1,YEAR($A1275),$A1275,180,1000000)</f>
        <v>-277.67362500000002</v>
      </c>
      <c r="C1275" cm="1">
        <f t="array" aca="1" ref="C1275" ca="1">[1]!s_west_eps($B$1,YEAR($A1275),$A1275,180)</f>
        <v>-0.3211</v>
      </c>
      <c r="D1275" cm="1">
        <f t="array" aca="1" ref="D1275" ca="1">[1]!s_west_instnum_np($B$1,YEAR($A1275),$A1275,180)</f>
        <v>8</v>
      </c>
      <c r="E1275" cm="1">
        <f t="array" aca="1" ref="E1275" ca="1">[1]!s_west_stdnetprofit($B$1,YEAR($A1275),$A1275,180,1000000)</f>
        <v>104.221912</v>
      </c>
      <c r="F1275" cm="1">
        <f t="array" aca="1" ref="F1275" ca="1">[1]!s_west_mediannetprofit($B$1,YEAR($A1275),$A1275,180,1000000)</f>
        <v>-315</v>
      </c>
      <c r="G1275" cm="1">
        <f t="array" aca="1" ref="G1275" ca="1">[1]!s_west_netprofit($B$1,YEAR($A1275)+1,$A1275,180,1000000)</f>
        <v>-219.73575</v>
      </c>
      <c r="H1275" cm="1">
        <f t="array" aca="1" ref="H1275" ca="1">[1]!s_west_eps($B$1,YEAR($A1275)+1,$A1275,180)</f>
        <v>-0.25240000000000001</v>
      </c>
      <c r="I1275" cm="1">
        <f t="array" aca="1" ref="I1275" ca="1">[1]!s_west_instnum_np($B$1,YEAR($A1275)+1,$A1275,180)</f>
        <v>8</v>
      </c>
      <c r="J1275" cm="1">
        <f t="array" aca="1" ref="J1275" ca="1">[1]!s_west_stdnetprofit($B$1,YEAR($A1275)+1,$A1275,180,1000000)</f>
        <v>129.66681800000001</v>
      </c>
      <c r="K1275" cm="1">
        <f t="array" aca="1" ref="K1275" ca="1">[1]!s_west_mediannetprofit($B$1,YEAR($A1274)+1,$A1274,180,1000000)</f>
        <v>-275.59300000000002</v>
      </c>
      <c r="L1275" cm="1">
        <f t="array" aca="1" ref="L1275" ca="1">[1]!s_dq_close($B$1,$A1275,3)</f>
        <v>22.85</v>
      </c>
    </row>
    <row r="1276" spans="1:12">
      <c r="A1276" s="23">
        <f t="shared" ca="1" si="19"/>
        <v>44899</v>
      </c>
      <c r="B1276" cm="1">
        <f t="array" aca="1" ref="B1276" ca="1">[1]!s_west_netprofit($B$1,YEAR($A1276),$A1276,180,1000000)</f>
        <v>-277.67362500000002</v>
      </c>
      <c r="C1276" cm="1">
        <f t="array" aca="1" ref="C1276" ca="1">[1]!s_west_eps($B$1,YEAR($A1276),$A1276,180)</f>
        <v>-0.3211</v>
      </c>
      <c r="D1276" cm="1">
        <f t="array" aca="1" ref="D1276" ca="1">[1]!s_west_instnum_np($B$1,YEAR($A1276),$A1276,180)</f>
        <v>8</v>
      </c>
      <c r="E1276" cm="1">
        <f t="array" aca="1" ref="E1276" ca="1">[1]!s_west_stdnetprofit($B$1,YEAR($A1276),$A1276,180,1000000)</f>
        <v>104.221912</v>
      </c>
      <c r="F1276" cm="1">
        <f t="array" aca="1" ref="F1276" ca="1">[1]!s_west_mediannetprofit($B$1,YEAR($A1276),$A1276,180,1000000)</f>
        <v>-315</v>
      </c>
      <c r="G1276" cm="1">
        <f t="array" aca="1" ref="G1276" ca="1">[1]!s_west_netprofit($B$1,YEAR($A1276)+1,$A1276,180,1000000)</f>
        <v>-219.73575</v>
      </c>
      <c r="H1276" cm="1">
        <f t="array" aca="1" ref="H1276" ca="1">[1]!s_west_eps($B$1,YEAR($A1276)+1,$A1276,180)</f>
        <v>-0.25240000000000001</v>
      </c>
      <c r="I1276" cm="1">
        <f t="array" aca="1" ref="I1276" ca="1">[1]!s_west_instnum_np($B$1,YEAR($A1276)+1,$A1276,180)</f>
        <v>8</v>
      </c>
      <c r="J1276" cm="1">
        <f t="array" aca="1" ref="J1276" ca="1">[1]!s_west_stdnetprofit($B$1,YEAR($A1276)+1,$A1276,180,1000000)</f>
        <v>129.66681800000001</v>
      </c>
      <c r="K1276" cm="1">
        <f t="array" aca="1" ref="K1276" ca="1">[1]!s_west_mediannetprofit($B$1,YEAR($A1275)+1,$A1275,180,1000000)</f>
        <v>-275.59300000000002</v>
      </c>
      <c r="L1276" cm="1">
        <f t="array" aca="1" ref="L1276" ca="1">[1]!s_dq_close($B$1,$A1276,3)</f>
        <v>21.8</v>
      </c>
    </row>
    <row r="1277" spans="1:12">
      <c r="A1277" s="23">
        <f t="shared" ca="1" si="19"/>
        <v>44898</v>
      </c>
      <c r="B1277" cm="1">
        <f t="array" aca="1" ref="B1277" ca="1">[1]!s_west_netprofit($B$1,YEAR($A1277),$A1277,180,1000000)</f>
        <v>-277.67362500000002</v>
      </c>
      <c r="C1277" cm="1">
        <f t="array" aca="1" ref="C1277" ca="1">[1]!s_west_eps($B$1,YEAR($A1277),$A1277,180)</f>
        <v>-0.3211</v>
      </c>
      <c r="D1277" cm="1">
        <f t="array" aca="1" ref="D1277" ca="1">[1]!s_west_instnum_np($B$1,YEAR($A1277),$A1277,180)</f>
        <v>8</v>
      </c>
      <c r="E1277" cm="1">
        <f t="array" aca="1" ref="E1277" ca="1">[1]!s_west_stdnetprofit($B$1,YEAR($A1277),$A1277,180,1000000)</f>
        <v>104.221912</v>
      </c>
      <c r="F1277" cm="1">
        <f t="array" aca="1" ref="F1277" ca="1">[1]!s_west_mediannetprofit($B$1,YEAR($A1277),$A1277,180,1000000)</f>
        <v>-315</v>
      </c>
      <c r="G1277" cm="1">
        <f t="array" aca="1" ref="G1277" ca="1">[1]!s_west_netprofit($B$1,YEAR($A1277)+1,$A1277,180,1000000)</f>
        <v>-219.73575</v>
      </c>
      <c r="H1277" cm="1">
        <f t="array" aca="1" ref="H1277" ca="1">[1]!s_west_eps($B$1,YEAR($A1277)+1,$A1277,180)</f>
        <v>-0.25240000000000001</v>
      </c>
      <c r="I1277" cm="1">
        <f t="array" aca="1" ref="I1277" ca="1">[1]!s_west_instnum_np($B$1,YEAR($A1277)+1,$A1277,180)</f>
        <v>8</v>
      </c>
      <c r="J1277" cm="1">
        <f t="array" aca="1" ref="J1277" ca="1">[1]!s_west_stdnetprofit($B$1,YEAR($A1277)+1,$A1277,180,1000000)</f>
        <v>129.66681800000001</v>
      </c>
      <c r="K1277" cm="1">
        <f t="array" aca="1" ref="K1277" ca="1">[1]!s_west_mediannetprofit($B$1,YEAR($A1276)+1,$A1276,180,1000000)</f>
        <v>-275.59300000000002</v>
      </c>
      <c r="L1277" cm="1">
        <f t="array" aca="1" ref="L1277" ca="1">[1]!s_dq_close($B$1,$A1277,3)</f>
        <v>21.8</v>
      </c>
    </row>
    <row r="1278" spans="1:12">
      <c r="A1278" s="23">
        <f t="shared" ca="1" si="19"/>
        <v>44897</v>
      </c>
      <c r="B1278" cm="1">
        <f t="array" aca="1" ref="B1278" ca="1">[1]!s_west_netprofit($B$1,YEAR($A1278),$A1278,180,1000000)</f>
        <v>-277.67362500000002</v>
      </c>
      <c r="C1278" cm="1">
        <f t="array" aca="1" ref="C1278" ca="1">[1]!s_west_eps($B$1,YEAR($A1278),$A1278,180)</f>
        <v>-0.3211</v>
      </c>
      <c r="D1278" cm="1">
        <f t="array" aca="1" ref="D1278" ca="1">[1]!s_west_instnum_np($B$1,YEAR($A1278),$A1278,180)</f>
        <v>8</v>
      </c>
      <c r="E1278" cm="1">
        <f t="array" aca="1" ref="E1278" ca="1">[1]!s_west_stdnetprofit($B$1,YEAR($A1278),$A1278,180,1000000)</f>
        <v>104.221912</v>
      </c>
      <c r="F1278" cm="1">
        <f t="array" aca="1" ref="F1278" ca="1">[1]!s_west_mediannetprofit($B$1,YEAR($A1278),$A1278,180,1000000)</f>
        <v>-315</v>
      </c>
      <c r="G1278" cm="1">
        <f t="array" aca="1" ref="G1278" ca="1">[1]!s_west_netprofit($B$1,YEAR($A1278)+1,$A1278,180,1000000)</f>
        <v>-219.73575</v>
      </c>
      <c r="H1278" cm="1">
        <f t="array" aca="1" ref="H1278" ca="1">[1]!s_west_eps($B$1,YEAR($A1278)+1,$A1278,180)</f>
        <v>-0.25240000000000001</v>
      </c>
      <c r="I1278" cm="1">
        <f t="array" aca="1" ref="I1278" ca="1">[1]!s_west_instnum_np($B$1,YEAR($A1278)+1,$A1278,180)</f>
        <v>8</v>
      </c>
      <c r="J1278" cm="1">
        <f t="array" aca="1" ref="J1278" ca="1">[1]!s_west_stdnetprofit($B$1,YEAR($A1278)+1,$A1278,180,1000000)</f>
        <v>129.66681800000001</v>
      </c>
      <c r="K1278" cm="1">
        <f t="array" aca="1" ref="K1278" ca="1">[1]!s_west_mediannetprofit($B$1,YEAR($A1277)+1,$A1277,180,1000000)</f>
        <v>-275.59300000000002</v>
      </c>
      <c r="L1278" cm="1">
        <f t="array" aca="1" ref="L1278" ca="1">[1]!s_dq_close($B$1,$A1278,3)</f>
        <v>21.8</v>
      </c>
    </row>
    <row r="1279" spans="1:12">
      <c r="A1279" s="23">
        <f t="shared" ca="1" si="19"/>
        <v>44896</v>
      </c>
      <c r="B1279" cm="1">
        <f t="array" aca="1" ref="B1279" ca="1">[1]!s_west_netprofit($B$1,YEAR($A1279),$A1279,180,1000000)</f>
        <v>-277.67362500000002</v>
      </c>
      <c r="C1279" cm="1">
        <f t="array" aca="1" ref="C1279" ca="1">[1]!s_west_eps($B$1,YEAR($A1279),$A1279,180)</f>
        <v>-0.3211</v>
      </c>
      <c r="D1279" cm="1">
        <f t="array" aca="1" ref="D1279" ca="1">[1]!s_west_instnum_np($B$1,YEAR($A1279),$A1279,180)</f>
        <v>8</v>
      </c>
      <c r="E1279" cm="1">
        <f t="array" aca="1" ref="E1279" ca="1">[1]!s_west_stdnetprofit($B$1,YEAR($A1279),$A1279,180,1000000)</f>
        <v>104.221912</v>
      </c>
      <c r="F1279" cm="1">
        <f t="array" aca="1" ref="F1279" ca="1">[1]!s_west_mediannetprofit($B$1,YEAR($A1279),$A1279,180,1000000)</f>
        <v>-315</v>
      </c>
      <c r="G1279" cm="1">
        <f t="array" aca="1" ref="G1279" ca="1">[1]!s_west_netprofit($B$1,YEAR($A1279)+1,$A1279,180,1000000)</f>
        <v>-219.73575</v>
      </c>
      <c r="H1279" cm="1">
        <f t="array" aca="1" ref="H1279" ca="1">[1]!s_west_eps($B$1,YEAR($A1279)+1,$A1279,180)</f>
        <v>-0.25240000000000001</v>
      </c>
      <c r="I1279" cm="1">
        <f t="array" aca="1" ref="I1279" ca="1">[1]!s_west_instnum_np($B$1,YEAR($A1279)+1,$A1279,180)</f>
        <v>8</v>
      </c>
      <c r="J1279" cm="1">
        <f t="array" aca="1" ref="J1279" ca="1">[1]!s_west_stdnetprofit($B$1,YEAR($A1279)+1,$A1279,180,1000000)</f>
        <v>129.66681800000001</v>
      </c>
      <c r="K1279" cm="1">
        <f t="array" aca="1" ref="K1279" ca="1">[1]!s_west_mediannetprofit($B$1,YEAR($A1278)+1,$A1278,180,1000000)</f>
        <v>-275.59300000000002</v>
      </c>
      <c r="L1279" cm="1">
        <f t="array" aca="1" ref="L1279" ca="1">[1]!s_dq_close($B$1,$A1279,3)</f>
        <v>21.2</v>
      </c>
    </row>
    <row r="1280" spans="1:12">
      <c r="A1280" s="23">
        <f t="shared" ca="1" si="19"/>
        <v>44895</v>
      </c>
      <c r="B1280" cm="1">
        <f t="array" aca="1" ref="B1280" ca="1">[1]!s_west_netprofit($B$1,YEAR($A1280),$A1280,180,1000000)</f>
        <v>-277.67362500000002</v>
      </c>
      <c r="C1280" cm="1">
        <f t="array" aca="1" ref="C1280" ca="1">[1]!s_west_eps($B$1,YEAR($A1280),$A1280,180)</f>
        <v>-0.3211</v>
      </c>
      <c r="D1280" cm="1">
        <f t="array" aca="1" ref="D1280" ca="1">[1]!s_west_instnum_np($B$1,YEAR($A1280),$A1280,180)</f>
        <v>8</v>
      </c>
      <c r="E1280" cm="1">
        <f t="array" aca="1" ref="E1280" ca="1">[1]!s_west_stdnetprofit($B$1,YEAR($A1280),$A1280,180,1000000)</f>
        <v>104.221912</v>
      </c>
      <c r="F1280" cm="1">
        <f t="array" aca="1" ref="F1280" ca="1">[1]!s_west_mediannetprofit($B$1,YEAR($A1280),$A1280,180,1000000)</f>
        <v>-315</v>
      </c>
      <c r="G1280" cm="1">
        <f t="array" aca="1" ref="G1280" ca="1">[1]!s_west_netprofit($B$1,YEAR($A1280)+1,$A1280,180,1000000)</f>
        <v>-219.73575</v>
      </c>
      <c r="H1280" cm="1">
        <f t="array" aca="1" ref="H1280" ca="1">[1]!s_west_eps($B$1,YEAR($A1280)+1,$A1280,180)</f>
        <v>-0.25240000000000001</v>
      </c>
      <c r="I1280" cm="1">
        <f t="array" aca="1" ref="I1280" ca="1">[1]!s_west_instnum_np($B$1,YEAR($A1280)+1,$A1280,180)</f>
        <v>8</v>
      </c>
      <c r="J1280" cm="1">
        <f t="array" aca="1" ref="J1280" ca="1">[1]!s_west_stdnetprofit($B$1,YEAR($A1280)+1,$A1280,180,1000000)</f>
        <v>129.66681800000001</v>
      </c>
      <c r="K1280" cm="1">
        <f t="array" aca="1" ref="K1280" ca="1">[1]!s_west_mediannetprofit($B$1,YEAR($A1279)+1,$A1279,180,1000000)</f>
        <v>-275.59300000000002</v>
      </c>
      <c r="L1280" cm="1">
        <f t="array" aca="1" ref="L1280" ca="1">[1]!s_dq_close($B$1,$A1280,3)</f>
        <v>21.45</v>
      </c>
    </row>
    <row r="1281" spans="1:12">
      <c r="A1281" s="23">
        <f t="shared" ca="1" si="19"/>
        <v>44894</v>
      </c>
      <c r="B1281" cm="1">
        <f t="array" aca="1" ref="B1281" ca="1">[1]!s_west_netprofit($B$1,YEAR($A1281),$A1281,180,1000000)</f>
        <v>-277.67362500000002</v>
      </c>
      <c r="C1281" cm="1">
        <f t="array" aca="1" ref="C1281" ca="1">[1]!s_west_eps($B$1,YEAR($A1281),$A1281,180)</f>
        <v>-0.3211</v>
      </c>
      <c r="D1281" cm="1">
        <f t="array" aca="1" ref="D1281" ca="1">[1]!s_west_instnum_np($B$1,YEAR($A1281),$A1281,180)</f>
        <v>8</v>
      </c>
      <c r="E1281" cm="1">
        <f t="array" aca="1" ref="E1281" ca="1">[1]!s_west_stdnetprofit($B$1,YEAR($A1281),$A1281,180,1000000)</f>
        <v>104.221912</v>
      </c>
      <c r="F1281" cm="1">
        <f t="array" aca="1" ref="F1281" ca="1">[1]!s_west_mediannetprofit($B$1,YEAR($A1281),$A1281,180,1000000)</f>
        <v>-315</v>
      </c>
      <c r="G1281" cm="1">
        <f t="array" aca="1" ref="G1281" ca="1">[1]!s_west_netprofit($B$1,YEAR($A1281)+1,$A1281,180,1000000)</f>
        <v>-219.73575</v>
      </c>
      <c r="H1281" cm="1">
        <f t="array" aca="1" ref="H1281" ca="1">[1]!s_west_eps($B$1,YEAR($A1281)+1,$A1281,180)</f>
        <v>-0.25240000000000001</v>
      </c>
      <c r="I1281" cm="1">
        <f t="array" aca="1" ref="I1281" ca="1">[1]!s_west_instnum_np($B$1,YEAR($A1281)+1,$A1281,180)</f>
        <v>8</v>
      </c>
      <c r="J1281" cm="1">
        <f t="array" aca="1" ref="J1281" ca="1">[1]!s_west_stdnetprofit($B$1,YEAR($A1281)+1,$A1281,180,1000000)</f>
        <v>129.66681800000001</v>
      </c>
      <c r="K1281" cm="1">
        <f t="array" aca="1" ref="K1281" ca="1">[1]!s_west_mediannetprofit($B$1,YEAR($A1280)+1,$A1280,180,1000000)</f>
        <v>-275.59300000000002</v>
      </c>
      <c r="L1281" cm="1">
        <f t="array" aca="1" ref="L1281" ca="1">[1]!s_dq_close($B$1,$A1281,3)</f>
        <v>19.62</v>
      </c>
    </row>
    <row r="1282" spans="1:12">
      <c r="A1282" s="23">
        <f t="shared" ca="1" si="19"/>
        <v>44893</v>
      </c>
      <c r="B1282" cm="1">
        <f t="array" aca="1" ref="B1282" ca="1">[1]!s_west_netprofit($B$1,YEAR($A1282),$A1282,180,1000000)</f>
        <v>-277.67362500000002</v>
      </c>
      <c r="C1282" cm="1">
        <f t="array" aca="1" ref="C1282" ca="1">[1]!s_west_eps($B$1,YEAR($A1282),$A1282,180)</f>
        <v>-0.3211</v>
      </c>
      <c r="D1282" cm="1">
        <f t="array" aca="1" ref="D1282" ca="1">[1]!s_west_instnum_np($B$1,YEAR($A1282),$A1282,180)</f>
        <v>8</v>
      </c>
      <c r="E1282" cm="1">
        <f t="array" aca="1" ref="E1282" ca="1">[1]!s_west_stdnetprofit($B$1,YEAR($A1282),$A1282,180,1000000)</f>
        <v>104.221912</v>
      </c>
      <c r="F1282" cm="1">
        <f t="array" aca="1" ref="F1282" ca="1">[1]!s_west_mediannetprofit($B$1,YEAR($A1282),$A1282,180,1000000)</f>
        <v>-315</v>
      </c>
      <c r="G1282" cm="1">
        <f t="array" aca="1" ref="G1282" ca="1">[1]!s_west_netprofit($B$1,YEAR($A1282)+1,$A1282,180,1000000)</f>
        <v>-219.73575</v>
      </c>
      <c r="H1282" cm="1">
        <f t="array" aca="1" ref="H1282" ca="1">[1]!s_west_eps($B$1,YEAR($A1282)+1,$A1282,180)</f>
        <v>-0.25240000000000001</v>
      </c>
      <c r="I1282" cm="1">
        <f t="array" aca="1" ref="I1282" ca="1">[1]!s_west_instnum_np($B$1,YEAR($A1282)+1,$A1282,180)</f>
        <v>8</v>
      </c>
      <c r="J1282" cm="1">
        <f t="array" aca="1" ref="J1282" ca="1">[1]!s_west_stdnetprofit($B$1,YEAR($A1282)+1,$A1282,180,1000000)</f>
        <v>129.66681800000001</v>
      </c>
      <c r="K1282" cm="1">
        <f t="array" aca="1" ref="K1282" ca="1">[1]!s_west_mediannetprofit($B$1,YEAR($A1281)+1,$A1281,180,1000000)</f>
        <v>-275.59300000000002</v>
      </c>
      <c r="L1282" cm="1">
        <f t="array" aca="1" ref="L1282" ca="1">[1]!s_dq_close($B$1,$A1282,3)</f>
        <v>17.64</v>
      </c>
    </row>
    <row r="1283" spans="1:12">
      <c r="A1283" s="23">
        <f t="shared" ca="1" si="19"/>
        <v>44892</v>
      </c>
      <c r="B1283" cm="1">
        <f t="array" aca="1" ref="B1283" ca="1">[1]!s_west_netprofit($B$1,YEAR($A1283),$A1283,180,1000000)</f>
        <v>-277.67362500000002</v>
      </c>
      <c r="C1283" cm="1">
        <f t="array" aca="1" ref="C1283" ca="1">[1]!s_west_eps($B$1,YEAR($A1283),$A1283,180)</f>
        <v>-0.3211</v>
      </c>
      <c r="D1283" cm="1">
        <f t="array" aca="1" ref="D1283" ca="1">[1]!s_west_instnum_np($B$1,YEAR($A1283),$A1283,180)</f>
        <v>8</v>
      </c>
      <c r="E1283" cm="1">
        <f t="array" aca="1" ref="E1283" ca="1">[1]!s_west_stdnetprofit($B$1,YEAR($A1283),$A1283,180,1000000)</f>
        <v>104.221912</v>
      </c>
      <c r="F1283" cm="1">
        <f t="array" aca="1" ref="F1283" ca="1">[1]!s_west_mediannetprofit($B$1,YEAR($A1283),$A1283,180,1000000)</f>
        <v>-315</v>
      </c>
      <c r="G1283" cm="1">
        <f t="array" aca="1" ref="G1283" ca="1">[1]!s_west_netprofit($B$1,YEAR($A1283)+1,$A1283,180,1000000)</f>
        <v>-219.73575</v>
      </c>
      <c r="H1283" cm="1">
        <f t="array" aca="1" ref="H1283" ca="1">[1]!s_west_eps($B$1,YEAR($A1283)+1,$A1283,180)</f>
        <v>-0.25240000000000001</v>
      </c>
      <c r="I1283" cm="1">
        <f t="array" aca="1" ref="I1283" ca="1">[1]!s_west_instnum_np($B$1,YEAR($A1283)+1,$A1283,180)</f>
        <v>8</v>
      </c>
      <c r="J1283" cm="1">
        <f t="array" aca="1" ref="J1283" ca="1">[1]!s_west_stdnetprofit($B$1,YEAR($A1283)+1,$A1283,180,1000000)</f>
        <v>129.66681800000001</v>
      </c>
      <c r="K1283" cm="1">
        <f t="array" aca="1" ref="K1283" ca="1">[1]!s_west_mediannetprofit($B$1,YEAR($A1282)+1,$A1282,180,1000000)</f>
        <v>-275.59300000000002</v>
      </c>
      <c r="L1283" cm="1">
        <f t="array" aca="1" ref="L1283" ca="1">[1]!s_dq_close($B$1,$A1283,3)</f>
        <v>16.88</v>
      </c>
    </row>
    <row r="1284" spans="1:12">
      <c r="A1284" s="23">
        <f t="shared" ca="1" si="19"/>
        <v>44891</v>
      </c>
      <c r="B1284" cm="1">
        <f t="array" aca="1" ref="B1284" ca="1">[1]!s_west_netprofit($B$1,YEAR($A1284),$A1284,180,1000000)</f>
        <v>-277.67362500000002</v>
      </c>
      <c r="C1284" cm="1">
        <f t="array" aca="1" ref="C1284" ca="1">[1]!s_west_eps($B$1,YEAR($A1284),$A1284,180)</f>
        <v>-0.3211</v>
      </c>
      <c r="D1284" cm="1">
        <f t="array" aca="1" ref="D1284" ca="1">[1]!s_west_instnum_np($B$1,YEAR($A1284),$A1284,180)</f>
        <v>8</v>
      </c>
      <c r="E1284" cm="1">
        <f t="array" aca="1" ref="E1284" ca="1">[1]!s_west_stdnetprofit($B$1,YEAR($A1284),$A1284,180,1000000)</f>
        <v>104.221912</v>
      </c>
      <c r="F1284" cm="1">
        <f t="array" aca="1" ref="F1284" ca="1">[1]!s_west_mediannetprofit($B$1,YEAR($A1284),$A1284,180,1000000)</f>
        <v>-315</v>
      </c>
      <c r="G1284" cm="1">
        <f t="array" aca="1" ref="G1284" ca="1">[1]!s_west_netprofit($B$1,YEAR($A1284)+1,$A1284,180,1000000)</f>
        <v>-219.73575</v>
      </c>
      <c r="H1284" cm="1">
        <f t="array" aca="1" ref="H1284" ca="1">[1]!s_west_eps($B$1,YEAR($A1284)+1,$A1284,180)</f>
        <v>-0.25240000000000001</v>
      </c>
      <c r="I1284" cm="1">
        <f t="array" aca="1" ref="I1284" ca="1">[1]!s_west_instnum_np($B$1,YEAR($A1284)+1,$A1284,180)</f>
        <v>8</v>
      </c>
      <c r="J1284" cm="1">
        <f t="array" aca="1" ref="J1284" ca="1">[1]!s_west_stdnetprofit($B$1,YEAR($A1284)+1,$A1284,180,1000000)</f>
        <v>129.66681800000001</v>
      </c>
      <c r="K1284" cm="1">
        <f t="array" aca="1" ref="K1284" ca="1">[1]!s_west_mediannetprofit($B$1,YEAR($A1283)+1,$A1283,180,1000000)</f>
        <v>-275.59300000000002</v>
      </c>
      <c r="L1284" cm="1">
        <f t="array" aca="1" ref="L1284" ca="1">[1]!s_dq_close($B$1,$A1284,3)</f>
        <v>16.88</v>
      </c>
    </row>
    <row r="1285" spans="1:12">
      <c r="A1285" s="23">
        <f t="shared" ca="1" si="19"/>
        <v>44890</v>
      </c>
      <c r="B1285" cm="1">
        <f t="array" aca="1" ref="B1285" ca="1">[1]!s_west_netprofit($B$1,YEAR($A1285),$A1285,180,1000000)</f>
        <v>-273.91271399999999</v>
      </c>
      <c r="C1285" cm="1">
        <f t="array" aca="1" ref="C1285" ca="1">[1]!s_west_eps($B$1,YEAR($A1285),$A1285,180)</f>
        <v>-0.31669999999999998</v>
      </c>
      <c r="D1285" cm="1">
        <f t="array" aca="1" ref="D1285" ca="1">[1]!s_west_instnum_np($B$1,YEAR($A1285),$A1285,180)</f>
        <v>7</v>
      </c>
      <c r="E1285" cm="1">
        <f t="array" aca="1" ref="E1285" ca="1">[1]!s_west_stdnetprofit($B$1,YEAR($A1285),$A1285,180,1000000)</f>
        <v>111.984641</v>
      </c>
      <c r="F1285" cm="1">
        <f t="array" aca="1" ref="F1285" ca="1">[1]!s_west_mediannetprofit($B$1,YEAR($A1285),$A1285,180,1000000)</f>
        <v>-326</v>
      </c>
      <c r="G1285" cm="1">
        <f t="array" aca="1" ref="G1285" ca="1">[1]!s_west_netprofit($B$1,YEAR($A1285)+1,$A1285,180,1000000)</f>
        <v>-208.840857</v>
      </c>
      <c r="H1285" cm="1">
        <f t="array" aca="1" ref="H1285" ca="1">[1]!s_west_eps($B$1,YEAR($A1285)+1,$A1285,180)</f>
        <v>-0.2397</v>
      </c>
      <c r="I1285" cm="1">
        <f t="array" aca="1" ref="I1285" ca="1">[1]!s_west_instnum_np($B$1,YEAR($A1285)+1,$A1285,180)</f>
        <v>7</v>
      </c>
      <c r="J1285" cm="1">
        <f t="array" aca="1" ref="J1285" ca="1">[1]!s_west_stdnetprofit($B$1,YEAR($A1285)+1,$A1285,180,1000000)</f>
        <v>136.043657</v>
      </c>
      <c r="K1285" cm="1">
        <f t="array" aca="1" ref="K1285" ca="1">[1]!s_west_mediannetprofit($B$1,YEAR($A1284)+1,$A1284,180,1000000)</f>
        <v>-275.59300000000002</v>
      </c>
      <c r="L1285" cm="1">
        <f t="array" aca="1" ref="L1285" ca="1">[1]!s_dq_close($B$1,$A1285,3)</f>
        <v>16.88</v>
      </c>
    </row>
    <row r="1286" spans="1:12">
      <c r="A1286" s="23">
        <f t="shared" ca="1" si="19"/>
        <v>44889</v>
      </c>
      <c r="B1286" cm="1">
        <f t="array" aca="1" ref="B1286" ca="1">[1]!s_west_netprofit($B$1,YEAR($A1286),$A1286,180,1000000)</f>
        <v>-280.898167</v>
      </c>
      <c r="C1286" cm="1">
        <f t="array" aca="1" ref="C1286" ca="1">[1]!s_west_eps($B$1,YEAR($A1286),$A1286,180)</f>
        <v>-0.32479999999999998</v>
      </c>
      <c r="D1286" cm="1">
        <f t="array" aca="1" ref="D1286" ca="1">[1]!s_west_instnum_np($B$1,YEAR($A1286),$A1286,180)</f>
        <v>6</v>
      </c>
      <c r="E1286" cm="1">
        <f t="array" aca="1" ref="E1286" ca="1">[1]!s_west_stdnetprofit($B$1,YEAR($A1286),$A1286,180,1000000)</f>
        <v>120.99083</v>
      </c>
      <c r="F1286" cm="1">
        <f t="array" aca="1" ref="F1286" ca="1">[1]!s_west_mediannetprofit($B$1,YEAR($A1286),$A1286,180,1000000)</f>
        <v>-332</v>
      </c>
      <c r="G1286" cm="1">
        <f t="array" aca="1" ref="G1286" ca="1">[1]!s_west_netprofit($B$1,YEAR($A1286)+1,$A1286,180,1000000)</f>
        <v>-221.814333</v>
      </c>
      <c r="H1286" cm="1">
        <f t="array" aca="1" ref="H1286" ca="1">[1]!s_west_eps($B$1,YEAR($A1286)+1,$A1286,180)</f>
        <v>-0.25469999999999998</v>
      </c>
      <c r="I1286" cm="1">
        <f t="array" aca="1" ref="I1286" ca="1">[1]!s_west_instnum_np($B$1,YEAR($A1286)+1,$A1286,180)</f>
        <v>6</v>
      </c>
      <c r="J1286" cm="1">
        <f t="array" aca="1" ref="J1286" ca="1">[1]!s_west_stdnetprofit($B$1,YEAR($A1286)+1,$A1286,180,1000000)</f>
        <v>144.20693</v>
      </c>
      <c r="K1286" cm="1">
        <f t="array" aca="1" ref="K1286" ca="1">[1]!s_west_mediannetprofit($B$1,YEAR($A1285)+1,$A1285,180,1000000)</f>
        <v>-255.18600000000001</v>
      </c>
      <c r="L1286" cm="1">
        <f t="array" aca="1" ref="L1286" ca="1">[1]!s_dq_close($B$1,$A1286,3)</f>
        <v>17.12</v>
      </c>
    </row>
    <row r="1287" spans="1:12">
      <c r="A1287" s="23">
        <f t="shared" ca="1" si="19"/>
        <v>44888</v>
      </c>
      <c r="B1287" cm="1">
        <f t="array" aca="1" ref="B1287" ca="1">[1]!s_west_netprofit($B$1,YEAR($A1287),$A1287,180,1000000)</f>
        <v>-299.74779999999998</v>
      </c>
      <c r="C1287" cm="1">
        <f t="array" aca="1" ref="C1287" ca="1">[1]!s_west_eps($B$1,YEAR($A1287),$A1287,180)</f>
        <v>-0.34660000000000002</v>
      </c>
      <c r="D1287" cm="1">
        <f t="array" aca="1" ref="D1287" ca="1">[1]!s_west_instnum_np($B$1,YEAR($A1287),$A1287,180)</f>
        <v>5</v>
      </c>
      <c r="E1287" cm="1">
        <f t="array" aca="1" ref="E1287" ca="1">[1]!s_west_stdnetprofit($B$1,YEAR($A1287),$A1287,180,1000000)</f>
        <v>125.034639</v>
      </c>
      <c r="F1287" cm="1">
        <f t="array" aca="1" ref="F1287" ca="1">[1]!s_west_mediannetprofit($B$1,YEAR($A1287),$A1287,180,1000000)</f>
        <v>-338</v>
      </c>
      <c r="G1287" cm="1">
        <f t="array" aca="1" ref="G1287" ca="1">[1]!s_west_netprofit($B$1,YEAR($A1287)+1,$A1287,180,1000000)</f>
        <v>-242.8372</v>
      </c>
      <c r="H1287" cm="1">
        <f t="array" aca="1" ref="H1287" ca="1">[1]!s_west_eps($B$1,YEAR($A1287)+1,$A1287,180)</f>
        <v>-0.28060000000000002</v>
      </c>
      <c r="I1287" cm="1">
        <f t="array" aca="1" ref="I1287" ca="1">[1]!s_west_instnum_np($B$1,YEAR($A1287)+1,$A1287,180)</f>
        <v>5</v>
      </c>
      <c r="J1287" cm="1">
        <f t="array" aca="1" ref="J1287" ca="1">[1]!s_west_stdnetprofit($B$1,YEAR($A1287)+1,$A1287,180,1000000)</f>
        <v>150.59827899999999</v>
      </c>
      <c r="K1287" cm="1">
        <f t="array" aca="1" ref="K1287" ca="1">[1]!s_west_mediannetprofit($B$1,YEAR($A1286)+1,$A1286,180,1000000)</f>
        <v>-277.09300000000002</v>
      </c>
      <c r="L1287" cm="1">
        <f t="array" aca="1" ref="L1287" ca="1">[1]!s_dq_close($B$1,$A1287,3)</f>
        <v>16.2</v>
      </c>
    </row>
    <row r="1288" spans="1:12">
      <c r="A1288" s="23">
        <f t="shared" ca="1" si="19"/>
        <v>44887</v>
      </c>
      <c r="B1288" cm="1">
        <f t="array" aca="1" ref="B1288" ca="1">[1]!s_west_netprofit($B$1,YEAR($A1288),$A1288,180,1000000)</f>
        <v>-299.74779999999998</v>
      </c>
      <c r="C1288" cm="1">
        <f t="array" aca="1" ref="C1288" ca="1">[1]!s_west_eps($B$1,YEAR($A1288),$A1288,180)</f>
        <v>-0.34660000000000002</v>
      </c>
      <c r="D1288" cm="1">
        <f t="array" aca="1" ref="D1288" ca="1">[1]!s_west_instnum_np($B$1,YEAR($A1288),$A1288,180)</f>
        <v>5</v>
      </c>
      <c r="E1288" cm="1">
        <f t="array" aca="1" ref="E1288" ca="1">[1]!s_west_stdnetprofit($B$1,YEAR($A1288),$A1288,180,1000000)</f>
        <v>125.034639</v>
      </c>
      <c r="F1288" cm="1">
        <f t="array" aca="1" ref="F1288" ca="1">[1]!s_west_mediannetprofit($B$1,YEAR($A1288),$A1288,180,1000000)</f>
        <v>-338</v>
      </c>
      <c r="G1288" cm="1">
        <f t="array" aca="1" ref="G1288" ca="1">[1]!s_west_netprofit($B$1,YEAR($A1288)+1,$A1288,180,1000000)</f>
        <v>-242.8372</v>
      </c>
      <c r="H1288" cm="1">
        <f t="array" aca="1" ref="H1288" ca="1">[1]!s_west_eps($B$1,YEAR($A1288)+1,$A1288,180)</f>
        <v>-0.28060000000000002</v>
      </c>
      <c r="I1288" cm="1">
        <f t="array" aca="1" ref="I1288" ca="1">[1]!s_west_instnum_np($B$1,YEAR($A1288)+1,$A1288,180)</f>
        <v>5</v>
      </c>
      <c r="J1288" cm="1">
        <f t="array" aca="1" ref="J1288" ca="1">[1]!s_west_stdnetprofit($B$1,YEAR($A1288)+1,$A1288,180,1000000)</f>
        <v>150.59827899999999</v>
      </c>
      <c r="K1288" cm="1">
        <f t="array" aca="1" ref="K1288" ca="1">[1]!s_west_mediannetprofit($B$1,YEAR($A1287)+1,$A1287,180,1000000)</f>
        <v>-299</v>
      </c>
      <c r="L1288" cm="1">
        <f t="array" aca="1" ref="L1288" ca="1">[1]!s_dq_close($B$1,$A1288,3)</f>
        <v>15.96</v>
      </c>
    </row>
    <row r="1289" spans="1:12">
      <c r="A1289" s="23">
        <f t="shared" ca="1" si="19"/>
        <v>44886</v>
      </c>
      <c r="B1289" cm="1">
        <f t="array" aca="1" ref="B1289" ca="1">[1]!s_west_netprofit($B$1,YEAR($A1289),$A1289,180,1000000)</f>
        <v>-299.74779999999998</v>
      </c>
      <c r="C1289" cm="1">
        <f t="array" aca="1" ref="C1289" ca="1">[1]!s_west_eps($B$1,YEAR($A1289),$A1289,180)</f>
        <v>-0.34660000000000002</v>
      </c>
      <c r="D1289" cm="1">
        <f t="array" aca="1" ref="D1289" ca="1">[1]!s_west_instnum_np($B$1,YEAR($A1289),$A1289,180)</f>
        <v>5</v>
      </c>
      <c r="E1289" cm="1">
        <f t="array" aca="1" ref="E1289" ca="1">[1]!s_west_stdnetprofit($B$1,YEAR($A1289),$A1289,180,1000000)</f>
        <v>125.034639</v>
      </c>
      <c r="F1289" cm="1">
        <f t="array" aca="1" ref="F1289" ca="1">[1]!s_west_mediannetprofit($B$1,YEAR($A1289),$A1289,180,1000000)</f>
        <v>-338</v>
      </c>
      <c r="G1289" cm="1">
        <f t="array" aca="1" ref="G1289" ca="1">[1]!s_west_netprofit($B$1,YEAR($A1289)+1,$A1289,180,1000000)</f>
        <v>-242.8372</v>
      </c>
      <c r="H1289" cm="1">
        <f t="array" aca="1" ref="H1289" ca="1">[1]!s_west_eps($B$1,YEAR($A1289)+1,$A1289,180)</f>
        <v>-0.28060000000000002</v>
      </c>
      <c r="I1289" cm="1">
        <f t="array" aca="1" ref="I1289" ca="1">[1]!s_west_instnum_np($B$1,YEAR($A1289)+1,$A1289,180)</f>
        <v>5</v>
      </c>
      <c r="J1289" cm="1">
        <f t="array" aca="1" ref="J1289" ca="1">[1]!s_west_stdnetprofit($B$1,YEAR($A1289)+1,$A1289,180,1000000)</f>
        <v>150.59827899999999</v>
      </c>
      <c r="K1289" cm="1">
        <f t="array" aca="1" ref="K1289" ca="1">[1]!s_west_mediannetprofit($B$1,YEAR($A1288)+1,$A1288,180,1000000)</f>
        <v>-299</v>
      </c>
      <c r="L1289" cm="1">
        <f t="array" aca="1" ref="L1289" ca="1">[1]!s_dq_close($B$1,$A1289,3)</f>
        <v>17.059999999999999</v>
      </c>
    </row>
    <row r="1290" spans="1:12">
      <c r="A1290" s="23">
        <f t="shared" ca="1" si="19"/>
        <v>44885</v>
      </c>
      <c r="B1290" cm="1">
        <f t="array" aca="1" ref="B1290" ca="1">[1]!s_west_netprofit($B$1,YEAR($A1290),$A1290,180,1000000)</f>
        <v>-299.74779999999998</v>
      </c>
      <c r="C1290" cm="1">
        <f t="array" aca="1" ref="C1290" ca="1">[1]!s_west_eps($B$1,YEAR($A1290),$A1290,180)</f>
        <v>-0.34660000000000002</v>
      </c>
      <c r="D1290" cm="1">
        <f t="array" aca="1" ref="D1290" ca="1">[1]!s_west_instnum_np($B$1,YEAR($A1290),$A1290,180)</f>
        <v>5</v>
      </c>
      <c r="E1290" cm="1">
        <f t="array" aca="1" ref="E1290" ca="1">[1]!s_west_stdnetprofit($B$1,YEAR($A1290),$A1290,180,1000000)</f>
        <v>125.034639</v>
      </c>
      <c r="F1290" cm="1">
        <f t="array" aca="1" ref="F1290" ca="1">[1]!s_west_mediannetprofit($B$1,YEAR($A1290),$A1290,180,1000000)</f>
        <v>-338</v>
      </c>
      <c r="G1290" cm="1">
        <f t="array" aca="1" ref="G1290" ca="1">[1]!s_west_netprofit($B$1,YEAR($A1290)+1,$A1290,180,1000000)</f>
        <v>-242.8372</v>
      </c>
      <c r="H1290" cm="1">
        <f t="array" aca="1" ref="H1290" ca="1">[1]!s_west_eps($B$1,YEAR($A1290)+1,$A1290,180)</f>
        <v>-0.28060000000000002</v>
      </c>
      <c r="I1290" cm="1">
        <f t="array" aca="1" ref="I1290" ca="1">[1]!s_west_instnum_np($B$1,YEAR($A1290)+1,$A1290,180)</f>
        <v>5</v>
      </c>
      <c r="J1290" cm="1">
        <f t="array" aca="1" ref="J1290" ca="1">[1]!s_west_stdnetprofit($B$1,YEAR($A1290)+1,$A1290,180,1000000)</f>
        <v>150.59827899999999</v>
      </c>
      <c r="K1290" cm="1">
        <f t="array" aca="1" ref="K1290" ca="1">[1]!s_west_mediannetprofit($B$1,YEAR($A1289)+1,$A1289,180,1000000)</f>
        <v>-299</v>
      </c>
      <c r="L1290" cm="1">
        <f t="array" aca="1" ref="L1290" ca="1">[1]!s_dq_close($B$1,$A1290,3)</f>
        <v>17.36</v>
      </c>
    </row>
    <row r="1291" spans="1:12">
      <c r="A1291" s="23">
        <f t="shared" ca="1" si="19"/>
        <v>44884</v>
      </c>
      <c r="B1291" cm="1">
        <f t="array" aca="1" ref="B1291" ca="1">[1]!s_west_netprofit($B$1,YEAR($A1291),$A1291,180,1000000)</f>
        <v>-299.74779999999998</v>
      </c>
      <c r="C1291" cm="1">
        <f t="array" aca="1" ref="C1291" ca="1">[1]!s_west_eps($B$1,YEAR($A1291),$A1291,180)</f>
        <v>-0.34660000000000002</v>
      </c>
      <c r="D1291" cm="1">
        <f t="array" aca="1" ref="D1291" ca="1">[1]!s_west_instnum_np($B$1,YEAR($A1291),$A1291,180)</f>
        <v>5</v>
      </c>
      <c r="E1291" cm="1">
        <f t="array" aca="1" ref="E1291" ca="1">[1]!s_west_stdnetprofit($B$1,YEAR($A1291),$A1291,180,1000000)</f>
        <v>125.034639</v>
      </c>
      <c r="F1291" cm="1">
        <f t="array" aca="1" ref="F1291" ca="1">[1]!s_west_mediannetprofit($B$1,YEAR($A1291),$A1291,180,1000000)</f>
        <v>-338</v>
      </c>
      <c r="G1291" cm="1">
        <f t="array" aca="1" ref="G1291" ca="1">[1]!s_west_netprofit($B$1,YEAR($A1291)+1,$A1291,180,1000000)</f>
        <v>-242.8372</v>
      </c>
      <c r="H1291" cm="1">
        <f t="array" aca="1" ref="H1291" ca="1">[1]!s_west_eps($B$1,YEAR($A1291)+1,$A1291,180)</f>
        <v>-0.28060000000000002</v>
      </c>
      <c r="I1291" cm="1">
        <f t="array" aca="1" ref="I1291" ca="1">[1]!s_west_instnum_np($B$1,YEAR($A1291)+1,$A1291,180)</f>
        <v>5</v>
      </c>
      <c r="J1291" cm="1">
        <f t="array" aca="1" ref="J1291" ca="1">[1]!s_west_stdnetprofit($B$1,YEAR($A1291)+1,$A1291,180,1000000)</f>
        <v>150.59827899999999</v>
      </c>
      <c r="K1291" cm="1">
        <f t="array" aca="1" ref="K1291" ca="1">[1]!s_west_mediannetprofit($B$1,YEAR($A1290)+1,$A1290,180,1000000)</f>
        <v>-299</v>
      </c>
      <c r="L1291" cm="1">
        <f t="array" aca="1" ref="L1291" ca="1">[1]!s_dq_close($B$1,$A1291,3)</f>
        <v>17.36</v>
      </c>
    </row>
    <row r="1292" spans="1:12">
      <c r="A1292" s="23">
        <f t="shared" ca="1" si="19"/>
        <v>44883</v>
      </c>
      <c r="B1292" cm="1">
        <f t="array" aca="1" ref="B1292" ca="1">[1]!s_west_netprofit($B$1,YEAR($A1292),$A1292,180,1000000)</f>
        <v>-299.74779999999998</v>
      </c>
      <c r="C1292" cm="1">
        <f t="array" aca="1" ref="C1292" ca="1">[1]!s_west_eps($B$1,YEAR($A1292),$A1292,180)</f>
        <v>-0.34660000000000002</v>
      </c>
      <c r="D1292" cm="1">
        <f t="array" aca="1" ref="D1292" ca="1">[1]!s_west_instnum_np($B$1,YEAR($A1292),$A1292,180)</f>
        <v>5</v>
      </c>
      <c r="E1292" cm="1">
        <f t="array" aca="1" ref="E1292" ca="1">[1]!s_west_stdnetprofit($B$1,YEAR($A1292),$A1292,180,1000000)</f>
        <v>125.034639</v>
      </c>
      <c r="F1292" cm="1">
        <f t="array" aca="1" ref="F1292" ca="1">[1]!s_west_mediannetprofit($B$1,YEAR($A1292),$A1292,180,1000000)</f>
        <v>-338</v>
      </c>
      <c r="G1292" cm="1">
        <f t="array" aca="1" ref="G1292" ca="1">[1]!s_west_netprofit($B$1,YEAR($A1292)+1,$A1292,180,1000000)</f>
        <v>-242.8372</v>
      </c>
      <c r="H1292" cm="1">
        <f t="array" aca="1" ref="H1292" ca="1">[1]!s_west_eps($B$1,YEAR($A1292)+1,$A1292,180)</f>
        <v>-0.28060000000000002</v>
      </c>
      <c r="I1292" cm="1">
        <f t="array" aca="1" ref="I1292" ca="1">[1]!s_west_instnum_np($B$1,YEAR($A1292)+1,$A1292,180)</f>
        <v>5</v>
      </c>
      <c r="J1292" cm="1">
        <f t="array" aca="1" ref="J1292" ca="1">[1]!s_west_stdnetprofit($B$1,YEAR($A1292)+1,$A1292,180,1000000)</f>
        <v>150.59827899999999</v>
      </c>
      <c r="K1292" cm="1">
        <f t="array" aca="1" ref="K1292" ca="1">[1]!s_west_mediannetprofit($B$1,YEAR($A1291)+1,$A1291,180,1000000)</f>
        <v>-299</v>
      </c>
      <c r="L1292" cm="1">
        <f t="array" aca="1" ref="L1292" ca="1">[1]!s_dq_close($B$1,$A1292,3)</f>
        <v>17.36</v>
      </c>
    </row>
    <row r="1293" spans="1:12">
      <c r="A1293" s="23">
        <f t="shared" ref="A1293:A1356" ca="1" si="20">A1292-1</f>
        <v>44882</v>
      </c>
      <c r="B1293" cm="1">
        <f t="array" aca="1" ref="B1293" ca="1">[1]!s_west_netprofit($B$1,YEAR($A1293),$A1293,180,1000000)</f>
        <v>-299.74779999999998</v>
      </c>
      <c r="C1293" cm="1">
        <f t="array" aca="1" ref="C1293" ca="1">[1]!s_west_eps($B$1,YEAR($A1293),$A1293,180)</f>
        <v>-0.34660000000000002</v>
      </c>
      <c r="D1293" cm="1">
        <f t="array" aca="1" ref="D1293" ca="1">[1]!s_west_instnum_np($B$1,YEAR($A1293),$A1293,180)</f>
        <v>5</v>
      </c>
      <c r="E1293" cm="1">
        <f t="array" aca="1" ref="E1293" ca="1">[1]!s_west_stdnetprofit($B$1,YEAR($A1293),$A1293,180,1000000)</f>
        <v>125.034639</v>
      </c>
      <c r="F1293" cm="1">
        <f t="array" aca="1" ref="F1293" ca="1">[1]!s_west_mediannetprofit($B$1,YEAR($A1293),$A1293,180,1000000)</f>
        <v>-338</v>
      </c>
      <c r="G1293" cm="1">
        <f t="array" aca="1" ref="G1293" ca="1">[1]!s_west_netprofit($B$1,YEAR($A1293)+1,$A1293,180,1000000)</f>
        <v>-242.8372</v>
      </c>
      <c r="H1293" cm="1">
        <f t="array" aca="1" ref="H1293" ca="1">[1]!s_west_eps($B$1,YEAR($A1293)+1,$A1293,180)</f>
        <v>-0.28060000000000002</v>
      </c>
      <c r="I1293" cm="1">
        <f t="array" aca="1" ref="I1293" ca="1">[1]!s_west_instnum_np($B$1,YEAR($A1293)+1,$A1293,180)</f>
        <v>5</v>
      </c>
      <c r="J1293" cm="1">
        <f t="array" aca="1" ref="J1293" ca="1">[1]!s_west_stdnetprofit($B$1,YEAR($A1293)+1,$A1293,180,1000000)</f>
        <v>150.59827899999999</v>
      </c>
      <c r="K1293" cm="1">
        <f t="array" aca="1" ref="K1293" ca="1">[1]!s_west_mediannetprofit($B$1,YEAR($A1292)+1,$A1292,180,1000000)</f>
        <v>-299</v>
      </c>
      <c r="L1293" cm="1">
        <f t="array" aca="1" ref="L1293" ca="1">[1]!s_dq_close($B$1,$A1293,3)</f>
        <v>18.059999999999999</v>
      </c>
    </row>
    <row r="1294" spans="1:12">
      <c r="A1294" s="23">
        <f t="shared" ca="1" si="20"/>
        <v>44881</v>
      </c>
      <c r="B1294" cm="1">
        <f t="array" aca="1" ref="B1294" ca="1">[1]!s_west_netprofit($B$1,YEAR($A1294),$A1294,180,1000000)</f>
        <v>-299.74779999999998</v>
      </c>
      <c r="C1294" cm="1">
        <f t="array" aca="1" ref="C1294" ca="1">[1]!s_west_eps($B$1,YEAR($A1294),$A1294,180)</f>
        <v>-0.34660000000000002</v>
      </c>
      <c r="D1294" cm="1">
        <f t="array" aca="1" ref="D1294" ca="1">[1]!s_west_instnum_np($B$1,YEAR($A1294),$A1294,180)</f>
        <v>5</v>
      </c>
      <c r="E1294" cm="1">
        <f t="array" aca="1" ref="E1294" ca="1">[1]!s_west_stdnetprofit($B$1,YEAR($A1294),$A1294,180,1000000)</f>
        <v>125.034639</v>
      </c>
      <c r="F1294" cm="1">
        <f t="array" aca="1" ref="F1294" ca="1">[1]!s_west_mediannetprofit($B$1,YEAR($A1294),$A1294,180,1000000)</f>
        <v>-338</v>
      </c>
      <c r="G1294" cm="1">
        <f t="array" aca="1" ref="G1294" ca="1">[1]!s_west_netprofit($B$1,YEAR($A1294)+1,$A1294,180,1000000)</f>
        <v>-242.8372</v>
      </c>
      <c r="H1294" cm="1">
        <f t="array" aca="1" ref="H1294" ca="1">[1]!s_west_eps($B$1,YEAR($A1294)+1,$A1294,180)</f>
        <v>-0.28060000000000002</v>
      </c>
      <c r="I1294" cm="1">
        <f t="array" aca="1" ref="I1294" ca="1">[1]!s_west_instnum_np($B$1,YEAR($A1294)+1,$A1294,180)</f>
        <v>5</v>
      </c>
      <c r="J1294" cm="1">
        <f t="array" aca="1" ref="J1294" ca="1">[1]!s_west_stdnetprofit($B$1,YEAR($A1294)+1,$A1294,180,1000000)</f>
        <v>150.59827899999999</v>
      </c>
      <c r="K1294" cm="1">
        <f t="array" aca="1" ref="K1294" ca="1">[1]!s_west_mediannetprofit($B$1,YEAR($A1293)+1,$A1293,180,1000000)</f>
        <v>-299</v>
      </c>
      <c r="L1294" cm="1">
        <f t="array" aca="1" ref="L1294" ca="1">[1]!s_dq_close($B$1,$A1294,3)</f>
        <v>18.7</v>
      </c>
    </row>
    <row r="1295" spans="1:12">
      <c r="A1295" s="23">
        <f t="shared" ca="1" si="20"/>
        <v>44880</v>
      </c>
      <c r="B1295" cm="1">
        <f t="array" aca="1" ref="B1295" ca="1">[1]!s_west_netprofit($B$1,YEAR($A1295),$A1295,180,1000000)</f>
        <v>-299.74779999999998</v>
      </c>
      <c r="C1295" cm="1">
        <f t="array" aca="1" ref="C1295" ca="1">[1]!s_west_eps($B$1,YEAR($A1295),$A1295,180)</f>
        <v>-0.34660000000000002</v>
      </c>
      <c r="D1295" cm="1">
        <f t="array" aca="1" ref="D1295" ca="1">[1]!s_west_instnum_np($B$1,YEAR($A1295),$A1295,180)</f>
        <v>5</v>
      </c>
      <c r="E1295" cm="1">
        <f t="array" aca="1" ref="E1295" ca="1">[1]!s_west_stdnetprofit($B$1,YEAR($A1295),$A1295,180,1000000)</f>
        <v>125.034639</v>
      </c>
      <c r="F1295" cm="1">
        <f t="array" aca="1" ref="F1295" ca="1">[1]!s_west_mediannetprofit($B$1,YEAR($A1295),$A1295,180,1000000)</f>
        <v>-338</v>
      </c>
      <c r="G1295" cm="1">
        <f t="array" aca="1" ref="G1295" ca="1">[1]!s_west_netprofit($B$1,YEAR($A1295)+1,$A1295,180,1000000)</f>
        <v>-242.8372</v>
      </c>
      <c r="H1295" cm="1">
        <f t="array" aca="1" ref="H1295" ca="1">[1]!s_west_eps($B$1,YEAR($A1295)+1,$A1295,180)</f>
        <v>-0.28060000000000002</v>
      </c>
      <c r="I1295" cm="1">
        <f t="array" aca="1" ref="I1295" ca="1">[1]!s_west_instnum_np($B$1,YEAR($A1295)+1,$A1295,180)</f>
        <v>5</v>
      </c>
      <c r="J1295" cm="1">
        <f t="array" aca="1" ref="J1295" ca="1">[1]!s_west_stdnetprofit($B$1,YEAR($A1295)+1,$A1295,180,1000000)</f>
        <v>150.59827899999999</v>
      </c>
      <c r="K1295" cm="1">
        <f t="array" aca="1" ref="K1295" ca="1">[1]!s_west_mediannetprofit($B$1,YEAR($A1294)+1,$A1294,180,1000000)</f>
        <v>-299</v>
      </c>
      <c r="L1295" cm="1">
        <f t="array" aca="1" ref="L1295" ca="1">[1]!s_dq_close($B$1,$A1295,3)</f>
        <v>18.8</v>
      </c>
    </row>
    <row r="1296" spans="1:12">
      <c r="A1296" s="23">
        <f t="shared" ca="1" si="20"/>
        <v>44879</v>
      </c>
      <c r="B1296" cm="1">
        <f t="array" aca="1" ref="B1296" ca="1">[1]!s_west_netprofit($B$1,YEAR($A1296),$A1296,180,1000000)</f>
        <v>-299.74779999999998</v>
      </c>
      <c r="C1296" cm="1">
        <f t="array" aca="1" ref="C1296" ca="1">[1]!s_west_eps($B$1,YEAR($A1296),$A1296,180)</f>
        <v>-0.34660000000000002</v>
      </c>
      <c r="D1296" cm="1">
        <f t="array" aca="1" ref="D1296" ca="1">[1]!s_west_instnum_np($B$1,YEAR($A1296),$A1296,180)</f>
        <v>5</v>
      </c>
      <c r="E1296" cm="1">
        <f t="array" aca="1" ref="E1296" ca="1">[1]!s_west_stdnetprofit($B$1,YEAR($A1296),$A1296,180,1000000)</f>
        <v>125.034639</v>
      </c>
      <c r="F1296" cm="1">
        <f t="array" aca="1" ref="F1296" ca="1">[1]!s_west_mediannetprofit($B$1,YEAR($A1296),$A1296,180,1000000)</f>
        <v>-338</v>
      </c>
      <c r="G1296" cm="1">
        <f t="array" aca="1" ref="G1296" ca="1">[1]!s_west_netprofit($B$1,YEAR($A1296)+1,$A1296,180,1000000)</f>
        <v>-242.8372</v>
      </c>
      <c r="H1296" cm="1">
        <f t="array" aca="1" ref="H1296" ca="1">[1]!s_west_eps($B$1,YEAR($A1296)+1,$A1296,180)</f>
        <v>-0.28060000000000002</v>
      </c>
      <c r="I1296" cm="1">
        <f t="array" aca="1" ref="I1296" ca="1">[1]!s_west_instnum_np($B$1,YEAR($A1296)+1,$A1296,180)</f>
        <v>5</v>
      </c>
      <c r="J1296" cm="1">
        <f t="array" aca="1" ref="J1296" ca="1">[1]!s_west_stdnetprofit($B$1,YEAR($A1296)+1,$A1296,180,1000000)</f>
        <v>150.59827899999999</v>
      </c>
      <c r="K1296" cm="1">
        <f t="array" aca="1" ref="K1296" ca="1">[1]!s_west_mediannetprofit($B$1,YEAR($A1295)+1,$A1295,180,1000000)</f>
        <v>-299</v>
      </c>
      <c r="L1296" cm="1">
        <f t="array" aca="1" ref="L1296" ca="1">[1]!s_dq_close($B$1,$A1296,3)</f>
        <v>19.2</v>
      </c>
    </row>
    <row r="1297" spans="1:12">
      <c r="A1297" s="23">
        <f t="shared" ca="1" si="20"/>
        <v>44878</v>
      </c>
      <c r="B1297" cm="1">
        <f t="array" aca="1" ref="B1297" ca="1">[1]!s_west_netprofit($B$1,YEAR($A1297),$A1297,180,1000000)</f>
        <v>-299.74779999999998</v>
      </c>
      <c r="C1297" cm="1">
        <f t="array" aca="1" ref="C1297" ca="1">[1]!s_west_eps($B$1,YEAR($A1297),$A1297,180)</f>
        <v>-0.34660000000000002</v>
      </c>
      <c r="D1297" cm="1">
        <f t="array" aca="1" ref="D1297" ca="1">[1]!s_west_instnum_np($B$1,YEAR($A1297),$A1297,180)</f>
        <v>5</v>
      </c>
      <c r="E1297" cm="1">
        <f t="array" aca="1" ref="E1297" ca="1">[1]!s_west_stdnetprofit($B$1,YEAR($A1297),$A1297,180,1000000)</f>
        <v>125.034639</v>
      </c>
      <c r="F1297" cm="1">
        <f t="array" aca="1" ref="F1297" ca="1">[1]!s_west_mediannetprofit($B$1,YEAR($A1297),$A1297,180,1000000)</f>
        <v>-338</v>
      </c>
      <c r="G1297" cm="1">
        <f t="array" aca="1" ref="G1297" ca="1">[1]!s_west_netprofit($B$1,YEAR($A1297)+1,$A1297,180,1000000)</f>
        <v>-242.8372</v>
      </c>
      <c r="H1297" cm="1">
        <f t="array" aca="1" ref="H1297" ca="1">[1]!s_west_eps($B$1,YEAR($A1297)+1,$A1297,180)</f>
        <v>-0.28060000000000002</v>
      </c>
      <c r="I1297" cm="1">
        <f t="array" aca="1" ref="I1297" ca="1">[1]!s_west_instnum_np($B$1,YEAR($A1297)+1,$A1297,180)</f>
        <v>5</v>
      </c>
      <c r="J1297" cm="1">
        <f t="array" aca="1" ref="J1297" ca="1">[1]!s_west_stdnetprofit($B$1,YEAR($A1297)+1,$A1297,180,1000000)</f>
        <v>150.59827899999999</v>
      </c>
      <c r="K1297" cm="1">
        <f t="array" aca="1" ref="K1297" ca="1">[1]!s_west_mediannetprofit($B$1,YEAR($A1296)+1,$A1296,180,1000000)</f>
        <v>-299</v>
      </c>
      <c r="L1297" cm="1">
        <f t="array" aca="1" ref="L1297" ca="1">[1]!s_dq_close($B$1,$A1297,3)</f>
        <v>15.86</v>
      </c>
    </row>
    <row r="1298" spans="1:12">
      <c r="A1298" s="23">
        <f t="shared" ca="1" si="20"/>
        <v>44877</v>
      </c>
      <c r="B1298" cm="1">
        <f t="array" aca="1" ref="B1298" ca="1">[1]!s_west_netprofit($B$1,YEAR($A1298),$A1298,180,1000000)</f>
        <v>-299.74779999999998</v>
      </c>
      <c r="C1298" cm="1">
        <f t="array" aca="1" ref="C1298" ca="1">[1]!s_west_eps($B$1,YEAR($A1298),$A1298,180)</f>
        <v>-0.34660000000000002</v>
      </c>
      <c r="D1298" cm="1">
        <f t="array" aca="1" ref="D1298" ca="1">[1]!s_west_instnum_np($B$1,YEAR($A1298),$A1298,180)</f>
        <v>5</v>
      </c>
      <c r="E1298" cm="1">
        <f t="array" aca="1" ref="E1298" ca="1">[1]!s_west_stdnetprofit($B$1,YEAR($A1298),$A1298,180,1000000)</f>
        <v>125.034639</v>
      </c>
      <c r="F1298" cm="1">
        <f t="array" aca="1" ref="F1298" ca="1">[1]!s_west_mediannetprofit($B$1,YEAR($A1298),$A1298,180,1000000)</f>
        <v>-338</v>
      </c>
      <c r="G1298" cm="1">
        <f t="array" aca="1" ref="G1298" ca="1">[1]!s_west_netprofit($B$1,YEAR($A1298)+1,$A1298,180,1000000)</f>
        <v>-242.8372</v>
      </c>
      <c r="H1298" cm="1">
        <f t="array" aca="1" ref="H1298" ca="1">[1]!s_west_eps($B$1,YEAR($A1298)+1,$A1298,180)</f>
        <v>-0.28060000000000002</v>
      </c>
      <c r="I1298" cm="1">
        <f t="array" aca="1" ref="I1298" ca="1">[1]!s_west_instnum_np($B$1,YEAR($A1298)+1,$A1298,180)</f>
        <v>5</v>
      </c>
      <c r="J1298" cm="1">
        <f t="array" aca="1" ref="J1298" ca="1">[1]!s_west_stdnetprofit($B$1,YEAR($A1298)+1,$A1298,180,1000000)</f>
        <v>150.59827899999999</v>
      </c>
      <c r="K1298" cm="1">
        <f t="array" aca="1" ref="K1298" ca="1">[1]!s_west_mediannetprofit($B$1,YEAR($A1297)+1,$A1297,180,1000000)</f>
        <v>-299</v>
      </c>
      <c r="L1298" cm="1">
        <f t="array" aca="1" ref="L1298" ca="1">[1]!s_dq_close($B$1,$A1298,3)</f>
        <v>15.86</v>
      </c>
    </row>
    <row r="1299" spans="1:12">
      <c r="A1299" s="23">
        <f t="shared" ca="1" si="20"/>
        <v>44876</v>
      </c>
      <c r="B1299" cm="1">
        <f t="array" aca="1" ref="B1299" ca="1">[1]!s_west_netprofit($B$1,YEAR($A1299),$A1299,180,1000000)</f>
        <v>-299.74779999999998</v>
      </c>
      <c r="C1299" cm="1">
        <f t="array" aca="1" ref="C1299" ca="1">[1]!s_west_eps($B$1,YEAR($A1299),$A1299,180)</f>
        <v>-0.34660000000000002</v>
      </c>
      <c r="D1299" cm="1">
        <f t="array" aca="1" ref="D1299" ca="1">[1]!s_west_instnum_np($B$1,YEAR($A1299),$A1299,180)</f>
        <v>5</v>
      </c>
      <c r="E1299" cm="1">
        <f t="array" aca="1" ref="E1299" ca="1">[1]!s_west_stdnetprofit($B$1,YEAR($A1299),$A1299,180,1000000)</f>
        <v>125.034639</v>
      </c>
      <c r="F1299" cm="1">
        <f t="array" aca="1" ref="F1299" ca="1">[1]!s_west_mediannetprofit($B$1,YEAR($A1299),$A1299,180,1000000)</f>
        <v>-338</v>
      </c>
      <c r="G1299" cm="1">
        <f t="array" aca="1" ref="G1299" ca="1">[1]!s_west_netprofit($B$1,YEAR($A1299)+1,$A1299,180,1000000)</f>
        <v>-242.8372</v>
      </c>
      <c r="H1299" cm="1">
        <f t="array" aca="1" ref="H1299" ca="1">[1]!s_west_eps($B$1,YEAR($A1299)+1,$A1299,180)</f>
        <v>-0.28060000000000002</v>
      </c>
      <c r="I1299" cm="1">
        <f t="array" aca="1" ref="I1299" ca="1">[1]!s_west_instnum_np($B$1,YEAR($A1299)+1,$A1299,180)</f>
        <v>5</v>
      </c>
      <c r="J1299" cm="1">
        <f t="array" aca="1" ref="J1299" ca="1">[1]!s_west_stdnetprofit($B$1,YEAR($A1299)+1,$A1299,180,1000000)</f>
        <v>150.59827899999999</v>
      </c>
      <c r="K1299" cm="1">
        <f t="array" aca="1" ref="K1299" ca="1">[1]!s_west_mediannetprofit($B$1,YEAR($A1298)+1,$A1298,180,1000000)</f>
        <v>-299</v>
      </c>
      <c r="L1299" cm="1">
        <f t="array" aca="1" ref="L1299" ca="1">[1]!s_dq_close($B$1,$A1299,3)</f>
        <v>15.86</v>
      </c>
    </row>
    <row r="1300" spans="1:12">
      <c r="A1300" s="23">
        <f t="shared" ca="1" si="20"/>
        <v>44875</v>
      </c>
      <c r="B1300" cm="1">
        <f t="array" aca="1" ref="B1300" ca="1">[1]!s_west_netprofit($B$1,YEAR($A1300),$A1300,180,1000000)</f>
        <v>-299.74779999999998</v>
      </c>
      <c r="C1300" cm="1">
        <f t="array" aca="1" ref="C1300" ca="1">[1]!s_west_eps($B$1,YEAR($A1300),$A1300,180)</f>
        <v>-0.34660000000000002</v>
      </c>
      <c r="D1300" cm="1">
        <f t="array" aca="1" ref="D1300" ca="1">[1]!s_west_instnum_np($B$1,YEAR($A1300),$A1300,180)</f>
        <v>5</v>
      </c>
      <c r="E1300" cm="1">
        <f t="array" aca="1" ref="E1300" ca="1">[1]!s_west_stdnetprofit($B$1,YEAR($A1300),$A1300,180,1000000)</f>
        <v>125.034639</v>
      </c>
      <c r="F1300" cm="1">
        <f t="array" aca="1" ref="F1300" ca="1">[1]!s_west_mediannetprofit($B$1,YEAR($A1300),$A1300,180,1000000)</f>
        <v>-338</v>
      </c>
      <c r="G1300" cm="1">
        <f t="array" aca="1" ref="G1300" ca="1">[1]!s_west_netprofit($B$1,YEAR($A1300)+1,$A1300,180,1000000)</f>
        <v>-242.8372</v>
      </c>
      <c r="H1300" cm="1">
        <f t="array" aca="1" ref="H1300" ca="1">[1]!s_west_eps($B$1,YEAR($A1300)+1,$A1300,180)</f>
        <v>-0.28060000000000002</v>
      </c>
      <c r="I1300" cm="1">
        <f t="array" aca="1" ref="I1300" ca="1">[1]!s_west_instnum_np($B$1,YEAR($A1300)+1,$A1300,180)</f>
        <v>5</v>
      </c>
      <c r="J1300" cm="1">
        <f t="array" aca="1" ref="J1300" ca="1">[1]!s_west_stdnetprofit($B$1,YEAR($A1300)+1,$A1300,180,1000000)</f>
        <v>150.59827899999999</v>
      </c>
      <c r="K1300" cm="1">
        <f t="array" aca="1" ref="K1300" ca="1">[1]!s_west_mediannetprofit($B$1,YEAR($A1299)+1,$A1299,180,1000000)</f>
        <v>-299</v>
      </c>
      <c r="L1300" cm="1">
        <f t="array" aca="1" ref="L1300" ca="1">[1]!s_dq_close($B$1,$A1300,3)</f>
        <v>14.54</v>
      </c>
    </row>
    <row r="1301" spans="1:12">
      <c r="A1301" s="23">
        <f t="shared" ca="1" si="20"/>
        <v>44874</v>
      </c>
      <c r="B1301" cm="1">
        <f t="array" aca="1" ref="B1301" ca="1">[1]!s_west_netprofit($B$1,YEAR($A1301),$A1301,180,1000000)</f>
        <v>-281.5</v>
      </c>
      <c r="C1301" cm="1">
        <f t="array" aca="1" ref="C1301" ca="1">[1]!s_west_eps($B$1,YEAR($A1301),$A1301,180)</f>
        <v>-0.32550000000000001</v>
      </c>
      <c r="D1301" cm="1">
        <f t="array" aca="1" ref="D1301" ca="1">[1]!s_west_instnum_np($B$1,YEAR($A1301),$A1301,180)</f>
        <v>4</v>
      </c>
      <c r="E1301" cm="1">
        <f t="array" aca="1" ref="E1301" ca="1">[1]!s_west_stdnetprofit($B$1,YEAR($A1301),$A1301,180,1000000)</f>
        <v>136.47344100000001</v>
      </c>
      <c r="F1301" cm="1">
        <f t="array" aca="1" ref="F1301" ca="1">[1]!s_west_mediannetprofit($B$1,YEAR($A1301),$A1301,180,1000000)</f>
        <v>-332</v>
      </c>
      <c r="G1301" cm="1">
        <f t="array" aca="1" ref="G1301" ca="1">[1]!s_west_netprofit($B$1,YEAR($A1301)+1,$A1301,180,1000000)</f>
        <v>-239.75</v>
      </c>
      <c r="H1301" cm="1">
        <f t="array" aca="1" ref="H1301" ca="1">[1]!s_west_eps($B$1,YEAR($A1301)+1,$A1301,180)</f>
        <v>-0.27579999999999999</v>
      </c>
      <c r="I1301" cm="1">
        <f t="array" aca="1" ref="I1301" ca="1">[1]!s_west_instnum_np($B$1,YEAR($A1301)+1,$A1301,180)</f>
        <v>4</v>
      </c>
      <c r="J1301" cm="1">
        <f t="array" aca="1" ref="J1301" ca="1">[1]!s_west_stdnetprofit($B$1,YEAR($A1301)+1,$A1301,180,1000000)</f>
        <v>173.71312599999999</v>
      </c>
      <c r="K1301" cm="1">
        <f t="array" aca="1" ref="K1301" ca="1">[1]!s_west_mediannetprofit($B$1,YEAR($A1300)+1,$A1300,180,1000000)</f>
        <v>-299</v>
      </c>
      <c r="L1301" cm="1">
        <f t="array" aca="1" ref="L1301" ca="1">[1]!s_dq_close($B$1,$A1301,3)</f>
        <v>14.88</v>
      </c>
    </row>
    <row r="1302" spans="1:12">
      <c r="A1302" s="23">
        <f t="shared" ca="1" si="20"/>
        <v>44873</v>
      </c>
      <c r="B1302" cm="1">
        <f t="array" aca="1" ref="B1302" ca="1">[1]!s_west_netprofit($B$1,YEAR($A1302),$A1302,180,1000000)</f>
        <v>-281.5</v>
      </c>
      <c r="C1302" cm="1">
        <f t="array" aca="1" ref="C1302" ca="1">[1]!s_west_eps($B$1,YEAR($A1302),$A1302,180)</f>
        <v>-0.32550000000000001</v>
      </c>
      <c r="D1302" cm="1">
        <f t="array" aca="1" ref="D1302" ca="1">[1]!s_west_instnum_np($B$1,YEAR($A1302),$A1302,180)</f>
        <v>4</v>
      </c>
      <c r="E1302" cm="1">
        <f t="array" aca="1" ref="E1302" ca="1">[1]!s_west_stdnetprofit($B$1,YEAR($A1302),$A1302,180,1000000)</f>
        <v>136.47344100000001</v>
      </c>
      <c r="F1302" cm="1">
        <f t="array" aca="1" ref="F1302" ca="1">[1]!s_west_mediannetprofit($B$1,YEAR($A1302),$A1302,180,1000000)</f>
        <v>-332</v>
      </c>
      <c r="G1302" cm="1">
        <f t="array" aca="1" ref="G1302" ca="1">[1]!s_west_netprofit($B$1,YEAR($A1302)+1,$A1302,180,1000000)</f>
        <v>-239.75</v>
      </c>
      <c r="H1302" cm="1">
        <f t="array" aca="1" ref="H1302" ca="1">[1]!s_west_eps($B$1,YEAR($A1302)+1,$A1302,180)</f>
        <v>-0.27579999999999999</v>
      </c>
      <c r="I1302" cm="1">
        <f t="array" aca="1" ref="I1302" ca="1">[1]!s_west_instnum_np($B$1,YEAR($A1302)+1,$A1302,180)</f>
        <v>4</v>
      </c>
      <c r="J1302" cm="1">
        <f t="array" aca="1" ref="J1302" ca="1">[1]!s_west_stdnetprofit($B$1,YEAR($A1302)+1,$A1302,180,1000000)</f>
        <v>173.71312599999999</v>
      </c>
      <c r="K1302" cm="1">
        <f t="array" aca="1" ref="K1302" ca="1">[1]!s_west_mediannetprofit($B$1,YEAR($A1301)+1,$A1301,180,1000000)</f>
        <v>-308.5</v>
      </c>
      <c r="L1302" cm="1">
        <f t="array" aca="1" ref="L1302" ca="1">[1]!s_dq_close($B$1,$A1302,3)</f>
        <v>15.56</v>
      </c>
    </row>
    <row r="1303" spans="1:12">
      <c r="A1303" s="23">
        <f t="shared" ca="1" si="20"/>
        <v>44872</v>
      </c>
      <c r="B1303" cm="1">
        <f t="array" aca="1" ref="B1303" ca="1">[1]!s_west_netprofit($B$1,YEAR($A1303),$A1303,180,1000000)</f>
        <v>-281.5</v>
      </c>
      <c r="C1303" cm="1">
        <f t="array" aca="1" ref="C1303" ca="1">[1]!s_west_eps($B$1,YEAR($A1303),$A1303,180)</f>
        <v>-0.32550000000000001</v>
      </c>
      <c r="D1303" cm="1">
        <f t="array" aca="1" ref="D1303" ca="1">[1]!s_west_instnum_np($B$1,YEAR($A1303),$A1303,180)</f>
        <v>4</v>
      </c>
      <c r="E1303" cm="1">
        <f t="array" aca="1" ref="E1303" ca="1">[1]!s_west_stdnetprofit($B$1,YEAR($A1303),$A1303,180,1000000)</f>
        <v>136.47344100000001</v>
      </c>
      <c r="F1303" cm="1">
        <f t="array" aca="1" ref="F1303" ca="1">[1]!s_west_mediannetprofit($B$1,YEAR($A1303),$A1303,180,1000000)</f>
        <v>-332</v>
      </c>
      <c r="G1303" cm="1">
        <f t="array" aca="1" ref="G1303" ca="1">[1]!s_west_netprofit($B$1,YEAR($A1303)+1,$A1303,180,1000000)</f>
        <v>-239.75</v>
      </c>
      <c r="H1303" cm="1">
        <f t="array" aca="1" ref="H1303" ca="1">[1]!s_west_eps($B$1,YEAR($A1303)+1,$A1303,180)</f>
        <v>-0.27579999999999999</v>
      </c>
      <c r="I1303" cm="1">
        <f t="array" aca="1" ref="I1303" ca="1">[1]!s_west_instnum_np($B$1,YEAR($A1303)+1,$A1303,180)</f>
        <v>4</v>
      </c>
      <c r="J1303" cm="1">
        <f t="array" aca="1" ref="J1303" ca="1">[1]!s_west_stdnetprofit($B$1,YEAR($A1303)+1,$A1303,180,1000000)</f>
        <v>173.71312599999999</v>
      </c>
      <c r="K1303" cm="1">
        <f t="array" aca="1" ref="K1303" ca="1">[1]!s_west_mediannetprofit($B$1,YEAR($A1302)+1,$A1302,180,1000000)</f>
        <v>-308.5</v>
      </c>
      <c r="L1303" cm="1">
        <f t="array" aca="1" ref="L1303" ca="1">[1]!s_dq_close($B$1,$A1303,3)</f>
        <v>15.22</v>
      </c>
    </row>
    <row r="1304" spans="1:12">
      <c r="A1304" s="23">
        <f t="shared" ca="1" si="20"/>
        <v>44871</v>
      </c>
      <c r="B1304" cm="1">
        <f t="array" aca="1" ref="B1304" ca="1">[1]!s_west_netprofit($B$1,YEAR($A1304),$A1304,180,1000000)</f>
        <v>-281.5</v>
      </c>
      <c r="C1304" cm="1">
        <f t="array" aca="1" ref="C1304" ca="1">[1]!s_west_eps($B$1,YEAR($A1304),$A1304,180)</f>
        <v>-0.32550000000000001</v>
      </c>
      <c r="D1304" cm="1">
        <f t="array" aca="1" ref="D1304" ca="1">[1]!s_west_instnum_np($B$1,YEAR($A1304),$A1304,180)</f>
        <v>4</v>
      </c>
      <c r="E1304" cm="1">
        <f t="array" aca="1" ref="E1304" ca="1">[1]!s_west_stdnetprofit($B$1,YEAR($A1304),$A1304,180,1000000)</f>
        <v>136.47344100000001</v>
      </c>
      <c r="F1304" cm="1">
        <f t="array" aca="1" ref="F1304" ca="1">[1]!s_west_mediannetprofit($B$1,YEAR($A1304),$A1304,180,1000000)</f>
        <v>-332</v>
      </c>
      <c r="G1304" cm="1">
        <f t="array" aca="1" ref="G1304" ca="1">[1]!s_west_netprofit($B$1,YEAR($A1304)+1,$A1304,180,1000000)</f>
        <v>-239.75</v>
      </c>
      <c r="H1304" cm="1">
        <f t="array" aca="1" ref="H1304" ca="1">[1]!s_west_eps($B$1,YEAR($A1304)+1,$A1304,180)</f>
        <v>-0.27579999999999999</v>
      </c>
      <c r="I1304" cm="1">
        <f t="array" aca="1" ref="I1304" ca="1">[1]!s_west_instnum_np($B$1,YEAR($A1304)+1,$A1304,180)</f>
        <v>4</v>
      </c>
      <c r="J1304" cm="1">
        <f t="array" aca="1" ref="J1304" ca="1">[1]!s_west_stdnetprofit($B$1,YEAR($A1304)+1,$A1304,180,1000000)</f>
        <v>173.71312599999999</v>
      </c>
      <c r="K1304" cm="1">
        <f t="array" aca="1" ref="K1304" ca="1">[1]!s_west_mediannetprofit($B$1,YEAR($A1303)+1,$A1303,180,1000000)</f>
        <v>-308.5</v>
      </c>
      <c r="L1304" cm="1">
        <f t="array" aca="1" ref="L1304" ca="1">[1]!s_dq_close($B$1,$A1304,3)</f>
        <v>13.96</v>
      </c>
    </row>
    <row r="1305" spans="1:12">
      <c r="A1305" s="23">
        <f t="shared" ca="1" si="20"/>
        <v>44870</v>
      </c>
      <c r="B1305" cm="1">
        <f t="array" aca="1" ref="B1305" ca="1">[1]!s_west_netprofit($B$1,YEAR($A1305),$A1305,180,1000000)</f>
        <v>-281.5</v>
      </c>
      <c r="C1305" cm="1">
        <f t="array" aca="1" ref="C1305" ca="1">[1]!s_west_eps($B$1,YEAR($A1305),$A1305,180)</f>
        <v>-0.32550000000000001</v>
      </c>
      <c r="D1305" cm="1">
        <f t="array" aca="1" ref="D1305" ca="1">[1]!s_west_instnum_np($B$1,YEAR($A1305),$A1305,180)</f>
        <v>4</v>
      </c>
      <c r="E1305" cm="1">
        <f t="array" aca="1" ref="E1305" ca="1">[1]!s_west_stdnetprofit($B$1,YEAR($A1305),$A1305,180,1000000)</f>
        <v>136.47344100000001</v>
      </c>
      <c r="F1305" cm="1">
        <f t="array" aca="1" ref="F1305" ca="1">[1]!s_west_mediannetprofit($B$1,YEAR($A1305),$A1305,180,1000000)</f>
        <v>-332</v>
      </c>
      <c r="G1305" cm="1">
        <f t="array" aca="1" ref="G1305" ca="1">[1]!s_west_netprofit($B$1,YEAR($A1305)+1,$A1305,180,1000000)</f>
        <v>-239.75</v>
      </c>
      <c r="H1305" cm="1">
        <f t="array" aca="1" ref="H1305" ca="1">[1]!s_west_eps($B$1,YEAR($A1305)+1,$A1305,180)</f>
        <v>-0.27579999999999999</v>
      </c>
      <c r="I1305" cm="1">
        <f t="array" aca="1" ref="I1305" ca="1">[1]!s_west_instnum_np($B$1,YEAR($A1305)+1,$A1305,180)</f>
        <v>4</v>
      </c>
      <c r="J1305" cm="1">
        <f t="array" aca="1" ref="J1305" ca="1">[1]!s_west_stdnetprofit($B$1,YEAR($A1305)+1,$A1305,180,1000000)</f>
        <v>173.71312599999999</v>
      </c>
      <c r="K1305" cm="1">
        <f t="array" aca="1" ref="K1305" ca="1">[1]!s_west_mediannetprofit($B$1,YEAR($A1304)+1,$A1304,180,1000000)</f>
        <v>-308.5</v>
      </c>
      <c r="L1305" cm="1">
        <f t="array" aca="1" ref="L1305" ca="1">[1]!s_dq_close($B$1,$A1305,3)</f>
        <v>13.96</v>
      </c>
    </row>
    <row r="1306" spans="1:12">
      <c r="A1306" s="23">
        <f t="shared" ca="1" si="20"/>
        <v>44869</v>
      </c>
      <c r="B1306" cm="1">
        <f t="array" aca="1" ref="B1306" ca="1">[1]!s_west_netprofit($B$1,YEAR($A1306),$A1306,180,1000000)</f>
        <v>-281.5</v>
      </c>
      <c r="C1306" cm="1">
        <f t="array" aca="1" ref="C1306" ca="1">[1]!s_west_eps($B$1,YEAR($A1306),$A1306,180)</f>
        <v>-0.32550000000000001</v>
      </c>
      <c r="D1306" cm="1">
        <f t="array" aca="1" ref="D1306" ca="1">[1]!s_west_instnum_np($B$1,YEAR($A1306),$A1306,180)</f>
        <v>4</v>
      </c>
      <c r="E1306" cm="1">
        <f t="array" aca="1" ref="E1306" ca="1">[1]!s_west_stdnetprofit($B$1,YEAR($A1306),$A1306,180,1000000)</f>
        <v>136.47344100000001</v>
      </c>
      <c r="F1306" cm="1">
        <f t="array" aca="1" ref="F1306" ca="1">[1]!s_west_mediannetprofit($B$1,YEAR($A1306),$A1306,180,1000000)</f>
        <v>-332</v>
      </c>
      <c r="G1306" cm="1">
        <f t="array" aca="1" ref="G1306" ca="1">[1]!s_west_netprofit($B$1,YEAR($A1306)+1,$A1306,180,1000000)</f>
        <v>-239.75</v>
      </c>
      <c r="H1306" cm="1">
        <f t="array" aca="1" ref="H1306" ca="1">[1]!s_west_eps($B$1,YEAR($A1306)+1,$A1306,180)</f>
        <v>-0.27579999999999999</v>
      </c>
      <c r="I1306" cm="1">
        <f t="array" aca="1" ref="I1306" ca="1">[1]!s_west_instnum_np($B$1,YEAR($A1306)+1,$A1306,180)</f>
        <v>4</v>
      </c>
      <c r="J1306" cm="1">
        <f t="array" aca="1" ref="J1306" ca="1">[1]!s_west_stdnetprofit($B$1,YEAR($A1306)+1,$A1306,180,1000000)</f>
        <v>173.71312599999999</v>
      </c>
      <c r="K1306" cm="1">
        <f t="array" aca="1" ref="K1306" ca="1">[1]!s_west_mediannetprofit($B$1,YEAR($A1305)+1,$A1305,180,1000000)</f>
        <v>-308.5</v>
      </c>
      <c r="L1306" cm="1">
        <f t="array" aca="1" ref="L1306" ca="1">[1]!s_dq_close($B$1,$A1306,3)</f>
        <v>13.96</v>
      </c>
    </row>
    <row r="1307" spans="1:12">
      <c r="A1307" s="23">
        <f t="shared" ca="1" si="20"/>
        <v>44868</v>
      </c>
      <c r="B1307" cm="1">
        <f t="array" aca="1" ref="B1307" ca="1">[1]!s_west_netprofit($B$1,YEAR($A1307),$A1307,180,1000000)</f>
        <v>-281.5</v>
      </c>
      <c r="C1307" cm="1">
        <f t="array" aca="1" ref="C1307" ca="1">[1]!s_west_eps($B$1,YEAR($A1307),$A1307,180)</f>
        <v>-0.32550000000000001</v>
      </c>
      <c r="D1307" cm="1">
        <f t="array" aca="1" ref="D1307" ca="1">[1]!s_west_instnum_np($B$1,YEAR($A1307),$A1307,180)</f>
        <v>4</v>
      </c>
      <c r="E1307" cm="1">
        <f t="array" aca="1" ref="E1307" ca="1">[1]!s_west_stdnetprofit($B$1,YEAR($A1307),$A1307,180,1000000)</f>
        <v>136.47344100000001</v>
      </c>
      <c r="F1307" cm="1">
        <f t="array" aca="1" ref="F1307" ca="1">[1]!s_west_mediannetprofit($B$1,YEAR($A1307),$A1307,180,1000000)</f>
        <v>-332</v>
      </c>
      <c r="G1307" cm="1">
        <f t="array" aca="1" ref="G1307" ca="1">[1]!s_west_netprofit($B$1,YEAR($A1307)+1,$A1307,180,1000000)</f>
        <v>-239.75</v>
      </c>
      <c r="H1307" cm="1">
        <f t="array" aca="1" ref="H1307" ca="1">[1]!s_west_eps($B$1,YEAR($A1307)+1,$A1307,180)</f>
        <v>-0.27579999999999999</v>
      </c>
      <c r="I1307" cm="1">
        <f t="array" aca="1" ref="I1307" ca="1">[1]!s_west_instnum_np($B$1,YEAR($A1307)+1,$A1307,180)</f>
        <v>4</v>
      </c>
      <c r="J1307" cm="1">
        <f t="array" aca="1" ref="J1307" ca="1">[1]!s_west_stdnetprofit($B$1,YEAR($A1307)+1,$A1307,180,1000000)</f>
        <v>173.71312599999999</v>
      </c>
      <c r="K1307" cm="1">
        <f t="array" aca="1" ref="K1307" ca="1">[1]!s_west_mediannetprofit($B$1,YEAR($A1306)+1,$A1306,180,1000000)</f>
        <v>-308.5</v>
      </c>
      <c r="L1307" cm="1">
        <f t="array" aca="1" ref="L1307" ca="1">[1]!s_dq_close($B$1,$A1307,3)</f>
        <v>13.44</v>
      </c>
    </row>
    <row r="1308" spans="1:12">
      <c r="A1308" s="23">
        <f t="shared" ca="1" si="20"/>
        <v>44867</v>
      </c>
      <c r="B1308" cm="1">
        <f t="array" aca="1" ref="B1308" ca="1">[1]!s_west_netprofit($B$1,YEAR($A1308),$A1308,180,1000000)</f>
        <v>-281.5</v>
      </c>
      <c r="C1308" cm="1">
        <f t="array" aca="1" ref="C1308" ca="1">[1]!s_west_eps($B$1,YEAR($A1308),$A1308,180)</f>
        <v>-0.32550000000000001</v>
      </c>
      <c r="D1308" cm="1">
        <f t="array" aca="1" ref="D1308" ca="1">[1]!s_west_instnum_np($B$1,YEAR($A1308),$A1308,180)</f>
        <v>4</v>
      </c>
      <c r="E1308" cm="1">
        <f t="array" aca="1" ref="E1308" ca="1">[1]!s_west_stdnetprofit($B$1,YEAR($A1308),$A1308,180,1000000)</f>
        <v>136.47344100000001</v>
      </c>
      <c r="F1308" cm="1">
        <f t="array" aca="1" ref="F1308" ca="1">[1]!s_west_mediannetprofit($B$1,YEAR($A1308),$A1308,180,1000000)</f>
        <v>-332</v>
      </c>
      <c r="G1308" cm="1">
        <f t="array" aca="1" ref="G1308" ca="1">[1]!s_west_netprofit($B$1,YEAR($A1308)+1,$A1308,180,1000000)</f>
        <v>-239.75</v>
      </c>
      <c r="H1308" cm="1">
        <f t="array" aca="1" ref="H1308" ca="1">[1]!s_west_eps($B$1,YEAR($A1308)+1,$A1308,180)</f>
        <v>-0.27579999999999999</v>
      </c>
      <c r="I1308" cm="1">
        <f t="array" aca="1" ref="I1308" ca="1">[1]!s_west_instnum_np($B$1,YEAR($A1308)+1,$A1308,180)</f>
        <v>4</v>
      </c>
      <c r="J1308" cm="1">
        <f t="array" aca="1" ref="J1308" ca="1">[1]!s_west_stdnetprofit($B$1,YEAR($A1308)+1,$A1308,180,1000000)</f>
        <v>173.71312599999999</v>
      </c>
      <c r="K1308" cm="1">
        <f t="array" aca="1" ref="K1308" ca="1">[1]!s_west_mediannetprofit($B$1,YEAR($A1307)+1,$A1307,180,1000000)</f>
        <v>-308.5</v>
      </c>
      <c r="L1308" cm="1">
        <f t="array" aca="1" ref="L1308" ca="1">[1]!s_dq_close($B$1,$A1308,3)</f>
        <v>14.3</v>
      </c>
    </row>
    <row r="1309" spans="1:12">
      <c r="A1309" s="23">
        <f t="shared" ca="1" si="20"/>
        <v>44866</v>
      </c>
      <c r="B1309" cm="1">
        <f t="array" aca="1" ref="B1309" ca="1">[1]!s_west_netprofit($B$1,YEAR($A1309),$A1309,180,1000000)</f>
        <v>-281.5</v>
      </c>
      <c r="C1309" cm="1">
        <f t="array" aca="1" ref="C1309" ca="1">[1]!s_west_eps($B$1,YEAR($A1309),$A1309,180)</f>
        <v>-0.32550000000000001</v>
      </c>
      <c r="D1309" cm="1">
        <f t="array" aca="1" ref="D1309" ca="1">[1]!s_west_instnum_np($B$1,YEAR($A1309),$A1309,180)</f>
        <v>4</v>
      </c>
      <c r="E1309" cm="1">
        <f t="array" aca="1" ref="E1309" ca="1">[1]!s_west_stdnetprofit($B$1,YEAR($A1309),$A1309,180,1000000)</f>
        <v>136.47344100000001</v>
      </c>
      <c r="F1309" cm="1">
        <f t="array" aca="1" ref="F1309" ca="1">[1]!s_west_mediannetprofit($B$1,YEAR($A1309),$A1309,180,1000000)</f>
        <v>-332</v>
      </c>
      <c r="G1309" cm="1">
        <f t="array" aca="1" ref="G1309" ca="1">[1]!s_west_netprofit($B$1,YEAR($A1309)+1,$A1309,180,1000000)</f>
        <v>-239.75</v>
      </c>
      <c r="H1309" cm="1">
        <f t="array" aca="1" ref="H1309" ca="1">[1]!s_west_eps($B$1,YEAR($A1309)+1,$A1309,180)</f>
        <v>-0.27579999999999999</v>
      </c>
      <c r="I1309" cm="1">
        <f t="array" aca="1" ref="I1309" ca="1">[1]!s_west_instnum_np($B$1,YEAR($A1309)+1,$A1309,180)</f>
        <v>4</v>
      </c>
      <c r="J1309" cm="1">
        <f t="array" aca="1" ref="J1309" ca="1">[1]!s_west_stdnetprofit($B$1,YEAR($A1309)+1,$A1309,180,1000000)</f>
        <v>173.71312599999999</v>
      </c>
      <c r="K1309" cm="1">
        <f t="array" aca="1" ref="K1309" ca="1">[1]!s_west_mediannetprofit($B$1,YEAR($A1308)+1,$A1308,180,1000000)</f>
        <v>-308.5</v>
      </c>
      <c r="L1309" cm="1">
        <f t="array" aca="1" ref="L1309" ca="1">[1]!s_dq_close($B$1,$A1309,3)</f>
        <v>13.9</v>
      </c>
    </row>
    <row r="1310" spans="1:12">
      <c r="A1310" s="23">
        <f t="shared" ca="1" si="20"/>
        <v>44865</v>
      </c>
      <c r="B1310" cm="1">
        <f t="array" aca="1" ref="B1310" ca="1">[1]!s_west_netprofit($B$1,YEAR($A1310),$A1310,180,1000000)</f>
        <v>-281.5</v>
      </c>
      <c r="C1310" cm="1">
        <f t="array" aca="1" ref="C1310" ca="1">[1]!s_west_eps($B$1,YEAR($A1310),$A1310,180)</f>
        <v>-0.32550000000000001</v>
      </c>
      <c r="D1310" cm="1">
        <f t="array" aca="1" ref="D1310" ca="1">[1]!s_west_instnum_np($B$1,YEAR($A1310),$A1310,180)</f>
        <v>4</v>
      </c>
      <c r="E1310" cm="1">
        <f t="array" aca="1" ref="E1310" ca="1">[1]!s_west_stdnetprofit($B$1,YEAR($A1310),$A1310,180,1000000)</f>
        <v>136.47344100000001</v>
      </c>
      <c r="F1310" cm="1">
        <f t="array" aca="1" ref="F1310" ca="1">[1]!s_west_mediannetprofit($B$1,YEAR($A1310),$A1310,180,1000000)</f>
        <v>-332</v>
      </c>
      <c r="G1310" cm="1">
        <f t="array" aca="1" ref="G1310" ca="1">[1]!s_west_netprofit($B$1,YEAR($A1310)+1,$A1310,180,1000000)</f>
        <v>-239.75</v>
      </c>
      <c r="H1310" cm="1">
        <f t="array" aca="1" ref="H1310" ca="1">[1]!s_west_eps($B$1,YEAR($A1310)+1,$A1310,180)</f>
        <v>-0.27579999999999999</v>
      </c>
      <c r="I1310" cm="1">
        <f t="array" aca="1" ref="I1310" ca="1">[1]!s_west_instnum_np($B$1,YEAR($A1310)+1,$A1310,180)</f>
        <v>4</v>
      </c>
      <c r="J1310" cm="1">
        <f t="array" aca="1" ref="J1310" ca="1">[1]!s_west_stdnetprofit($B$1,YEAR($A1310)+1,$A1310,180,1000000)</f>
        <v>173.71312599999999</v>
      </c>
      <c r="K1310" cm="1">
        <f t="array" aca="1" ref="K1310" ca="1">[1]!s_west_mediannetprofit($B$1,YEAR($A1309)+1,$A1309,180,1000000)</f>
        <v>-308.5</v>
      </c>
      <c r="L1310" cm="1">
        <f t="array" aca="1" ref="L1310" ca="1">[1]!s_dq_close($B$1,$A1310,3)</f>
        <v>13.2</v>
      </c>
    </row>
    <row r="1311" spans="1:12">
      <c r="A1311" s="23">
        <f t="shared" ca="1" si="20"/>
        <v>44864</v>
      </c>
      <c r="B1311" cm="1">
        <f t="array" aca="1" ref="B1311" ca="1">[1]!s_west_netprofit($B$1,YEAR($A1311),$A1311,180,1000000)</f>
        <v>-281.5</v>
      </c>
      <c r="C1311" cm="1">
        <f t="array" aca="1" ref="C1311" ca="1">[1]!s_west_eps($B$1,YEAR($A1311),$A1311,180)</f>
        <v>-0.32550000000000001</v>
      </c>
      <c r="D1311" cm="1">
        <f t="array" aca="1" ref="D1311" ca="1">[1]!s_west_instnum_np($B$1,YEAR($A1311),$A1311,180)</f>
        <v>4</v>
      </c>
      <c r="E1311" cm="1">
        <f t="array" aca="1" ref="E1311" ca="1">[1]!s_west_stdnetprofit($B$1,YEAR($A1311),$A1311,180,1000000)</f>
        <v>136.47344100000001</v>
      </c>
      <c r="F1311" cm="1">
        <f t="array" aca="1" ref="F1311" ca="1">[1]!s_west_mediannetprofit($B$1,YEAR($A1311),$A1311,180,1000000)</f>
        <v>-332</v>
      </c>
      <c r="G1311" cm="1">
        <f t="array" aca="1" ref="G1311" ca="1">[1]!s_west_netprofit($B$1,YEAR($A1311)+1,$A1311,180,1000000)</f>
        <v>-239.75</v>
      </c>
      <c r="H1311" cm="1">
        <f t="array" aca="1" ref="H1311" ca="1">[1]!s_west_eps($B$1,YEAR($A1311)+1,$A1311,180)</f>
        <v>-0.27579999999999999</v>
      </c>
      <c r="I1311" cm="1">
        <f t="array" aca="1" ref="I1311" ca="1">[1]!s_west_instnum_np($B$1,YEAR($A1311)+1,$A1311,180)</f>
        <v>4</v>
      </c>
      <c r="J1311" cm="1">
        <f t="array" aca="1" ref="J1311" ca="1">[1]!s_west_stdnetprofit($B$1,YEAR($A1311)+1,$A1311,180,1000000)</f>
        <v>173.71312599999999</v>
      </c>
      <c r="K1311" cm="1">
        <f t="array" aca="1" ref="K1311" ca="1">[1]!s_west_mediannetprofit($B$1,YEAR($A1310)+1,$A1310,180,1000000)</f>
        <v>-308.5</v>
      </c>
      <c r="L1311" cm="1">
        <f t="array" aca="1" ref="L1311" ca="1">[1]!s_dq_close($B$1,$A1311,3)</f>
        <v>12.46</v>
      </c>
    </row>
    <row r="1312" spans="1:12">
      <c r="A1312" s="23">
        <f t="shared" ca="1" si="20"/>
        <v>44863</v>
      </c>
      <c r="B1312" cm="1">
        <f t="array" aca="1" ref="B1312" ca="1">[1]!s_west_netprofit($B$1,YEAR($A1312),$A1312,180,1000000)</f>
        <v>-283.77999999999997</v>
      </c>
      <c r="C1312" cm="1">
        <f t="array" aca="1" ref="C1312" ca="1">[1]!s_west_eps($B$1,YEAR($A1312),$A1312,180)</f>
        <v>-0.32819999999999999</v>
      </c>
      <c r="D1312" cm="1">
        <f t="array" aca="1" ref="D1312" ca="1">[1]!s_west_instnum_np($B$1,YEAR($A1312),$A1312,180)</f>
        <v>5</v>
      </c>
      <c r="E1312" cm="1">
        <f t="array" aca="1" ref="E1312" ca="1">[1]!s_west_stdnetprofit($B$1,YEAR($A1312),$A1312,180,1000000)</f>
        <v>118.299374</v>
      </c>
      <c r="F1312" cm="1">
        <f t="array" aca="1" ref="F1312" ca="1">[1]!s_west_mediannetprofit($B$1,YEAR($A1312),$A1312,180,1000000)</f>
        <v>-326</v>
      </c>
      <c r="G1312" cm="1">
        <f t="array" aca="1" ref="G1312" ca="1">[1]!s_west_netprofit($B$1,YEAR($A1312)+1,$A1312,180,1000000)</f>
        <v>-250.74</v>
      </c>
      <c r="H1312" cm="1">
        <f t="array" aca="1" ref="H1312" ca="1">[1]!s_west_eps($B$1,YEAR($A1312)+1,$A1312,180)</f>
        <v>-0.2888</v>
      </c>
      <c r="I1312" cm="1">
        <f t="array" aca="1" ref="I1312" ca="1">[1]!s_west_instnum_np($B$1,YEAR($A1312)+1,$A1312,180)</f>
        <v>5</v>
      </c>
      <c r="J1312" cm="1">
        <f t="array" aca="1" ref="J1312" ca="1">[1]!s_west_stdnetprofit($B$1,YEAR($A1312)+1,$A1312,180,1000000)</f>
        <v>152.43388100000001</v>
      </c>
      <c r="K1312" cm="1">
        <f t="array" aca="1" ref="K1312" ca="1">[1]!s_west_mediannetprofit($B$1,YEAR($A1311)+1,$A1311,180,1000000)</f>
        <v>-308.5</v>
      </c>
      <c r="L1312" cm="1">
        <f t="array" aca="1" ref="L1312" ca="1">[1]!s_dq_close($B$1,$A1312,3)</f>
        <v>12.46</v>
      </c>
    </row>
    <row r="1313" spans="1:12">
      <c r="A1313" s="23">
        <f t="shared" ca="1" si="20"/>
        <v>44862</v>
      </c>
      <c r="B1313" cm="1">
        <f t="array" aca="1" ref="B1313" ca="1">[1]!s_west_netprofit($B$1,YEAR($A1313),$A1313,180,1000000)</f>
        <v>-283.77999999999997</v>
      </c>
      <c r="C1313" cm="1">
        <f t="array" aca="1" ref="C1313" ca="1">[1]!s_west_eps($B$1,YEAR($A1313),$A1313,180)</f>
        <v>-0.32819999999999999</v>
      </c>
      <c r="D1313" cm="1">
        <f t="array" aca="1" ref="D1313" ca="1">[1]!s_west_instnum_np($B$1,YEAR($A1313),$A1313,180)</f>
        <v>5</v>
      </c>
      <c r="E1313" cm="1">
        <f t="array" aca="1" ref="E1313" ca="1">[1]!s_west_stdnetprofit($B$1,YEAR($A1313),$A1313,180,1000000)</f>
        <v>118.299374</v>
      </c>
      <c r="F1313" cm="1">
        <f t="array" aca="1" ref="F1313" ca="1">[1]!s_west_mediannetprofit($B$1,YEAR($A1313),$A1313,180,1000000)</f>
        <v>-326</v>
      </c>
      <c r="G1313" cm="1">
        <f t="array" aca="1" ref="G1313" ca="1">[1]!s_west_netprofit($B$1,YEAR($A1313)+1,$A1313,180,1000000)</f>
        <v>-250.74</v>
      </c>
      <c r="H1313" cm="1">
        <f t="array" aca="1" ref="H1313" ca="1">[1]!s_west_eps($B$1,YEAR($A1313)+1,$A1313,180)</f>
        <v>-0.2888</v>
      </c>
      <c r="I1313" cm="1">
        <f t="array" aca="1" ref="I1313" ca="1">[1]!s_west_instnum_np($B$1,YEAR($A1313)+1,$A1313,180)</f>
        <v>5</v>
      </c>
      <c r="J1313" cm="1">
        <f t="array" aca="1" ref="J1313" ca="1">[1]!s_west_stdnetprofit($B$1,YEAR($A1313)+1,$A1313,180,1000000)</f>
        <v>152.43388100000001</v>
      </c>
      <c r="K1313" cm="1">
        <f t="array" aca="1" ref="K1313" ca="1">[1]!s_west_mediannetprofit($B$1,YEAR($A1312)+1,$A1312,180,1000000)</f>
        <v>-299</v>
      </c>
      <c r="L1313" cm="1">
        <f t="array" aca="1" ref="L1313" ca="1">[1]!s_dq_close($B$1,$A1313,3)</f>
        <v>12.46</v>
      </c>
    </row>
    <row r="1314" spans="1:12">
      <c r="A1314" s="23">
        <f t="shared" ca="1" si="20"/>
        <v>44861</v>
      </c>
      <c r="B1314" cm="1">
        <f t="array" aca="1" ref="B1314" ca="1">[1]!s_west_netprofit($B$1,YEAR($A1314),$A1314,180,1000000)</f>
        <v>-283.77999999999997</v>
      </c>
      <c r="C1314" cm="1">
        <f t="array" aca="1" ref="C1314" ca="1">[1]!s_west_eps($B$1,YEAR($A1314),$A1314,180)</f>
        <v>-0.32819999999999999</v>
      </c>
      <c r="D1314" cm="1">
        <f t="array" aca="1" ref="D1314" ca="1">[1]!s_west_instnum_np($B$1,YEAR($A1314),$A1314,180)</f>
        <v>5</v>
      </c>
      <c r="E1314" cm="1">
        <f t="array" aca="1" ref="E1314" ca="1">[1]!s_west_stdnetprofit($B$1,YEAR($A1314),$A1314,180,1000000)</f>
        <v>118.299374</v>
      </c>
      <c r="F1314" cm="1">
        <f t="array" aca="1" ref="F1314" ca="1">[1]!s_west_mediannetprofit($B$1,YEAR($A1314),$A1314,180,1000000)</f>
        <v>-326</v>
      </c>
      <c r="G1314" cm="1">
        <f t="array" aca="1" ref="G1314" ca="1">[1]!s_west_netprofit($B$1,YEAR($A1314)+1,$A1314,180,1000000)</f>
        <v>-250.74</v>
      </c>
      <c r="H1314" cm="1">
        <f t="array" aca="1" ref="H1314" ca="1">[1]!s_west_eps($B$1,YEAR($A1314)+1,$A1314,180)</f>
        <v>-0.2888</v>
      </c>
      <c r="I1314" cm="1">
        <f t="array" aca="1" ref="I1314" ca="1">[1]!s_west_instnum_np($B$1,YEAR($A1314)+1,$A1314,180)</f>
        <v>5</v>
      </c>
      <c r="J1314" cm="1">
        <f t="array" aca="1" ref="J1314" ca="1">[1]!s_west_stdnetprofit($B$1,YEAR($A1314)+1,$A1314,180,1000000)</f>
        <v>152.43388100000001</v>
      </c>
      <c r="K1314" cm="1">
        <f t="array" aca="1" ref="K1314" ca="1">[1]!s_west_mediannetprofit($B$1,YEAR($A1313)+1,$A1313,180,1000000)</f>
        <v>-299</v>
      </c>
      <c r="L1314" cm="1">
        <f t="array" aca="1" ref="L1314" ca="1">[1]!s_dq_close($B$1,$A1314,3)</f>
        <v>12.8</v>
      </c>
    </row>
    <row r="1315" spans="1:12">
      <c r="A1315" s="23">
        <f t="shared" ca="1" si="20"/>
        <v>44860</v>
      </c>
      <c r="B1315" cm="1">
        <f t="array" aca="1" ref="B1315" ca="1">[1]!s_west_netprofit($B$1,YEAR($A1315),$A1315,180,1000000)</f>
        <v>-283.77999999999997</v>
      </c>
      <c r="C1315" cm="1">
        <f t="array" aca="1" ref="C1315" ca="1">[1]!s_west_eps($B$1,YEAR($A1315),$A1315,180)</f>
        <v>-0.32819999999999999</v>
      </c>
      <c r="D1315" cm="1">
        <f t="array" aca="1" ref="D1315" ca="1">[1]!s_west_instnum_np($B$1,YEAR($A1315),$A1315,180)</f>
        <v>5</v>
      </c>
      <c r="E1315" cm="1">
        <f t="array" aca="1" ref="E1315" ca="1">[1]!s_west_stdnetprofit($B$1,YEAR($A1315),$A1315,180,1000000)</f>
        <v>118.299374</v>
      </c>
      <c r="F1315" cm="1">
        <f t="array" aca="1" ref="F1315" ca="1">[1]!s_west_mediannetprofit($B$1,YEAR($A1315),$A1315,180,1000000)</f>
        <v>-326</v>
      </c>
      <c r="G1315" cm="1">
        <f t="array" aca="1" ref="G1315" ca="1">[1]!s_west_netprofit($B$1,YEAR($A1315)+1,$A1315,180,1000000)</f>
        <v>-250.74</v>
      </c>
      <c r="H1315" cm="1">
        <f t="array" aca="1" ref="H1315" ca="1">[1]!s_west_eps($B$1,YEAR($A1315)+1,$A1315,180)</f>
        <v>-0.2888</v>
      </c>
      <c r="I1315" cm="1">
        <f t="array" aca="1" ref="I1315" ca="1">[1]!s_west_instnum_np($B$1,YEAR($A1315)+1,$A1315,180)</f>
        <v>5</v>
      </c>
      <c r="J1315" cm="1">
        <f t="array" aca="1" ref="J1315" ca="1">[1]!s_west_stdnetprofit($B$1,YEAR($A1315)+1,$A1315,180,1000000)</f>
        <v>152.43388100000001</v>
      </c>
      <c r="K1315" cm="1">
        <f t="array" aca="1" ref="K1315" ca="1">[1]!s_west_mediannetprofit($B$1,YEAR($A1314)+1,$A1314,180,1000000)</f>
        <v>-299</v>
      </c>
      <c r="L1315" cm="1">
        <f t="array" aca="1" ref="L1315" ca="1">[1]!s_dq_close($B$1,$A1315,3)</f>
        <v>12.5</v>
      </c>
    </row>
    <row r="1316" spans="1:12">
      <c r="A1316" s="23">
        <f t="shared" ca="1" si="20"/>
        <v>44859</v>
      </c>
      <c r="B1316" cm="1">
        <f t="array" aca="1" ref="B1316" ca="1">[1]!s_west_netprofit($B$1,YEAR($A1316),$A1316,180,1000000)</f>
        <v>-283.77999999999997</v>
      </c>
      <c r="C1316" cm="1">
        <f t="array" aca="1" ref="C1316" ca="1">[1]!s_west_eps($B$1,YEAR($A1316),$A1316,180)</f>
        <v>-0.32819999999999999</v>
      </c>
      <c r="D1316" cm="1">
        <f t="array" aca="1" ref="D1316" ca="1">[1]!s_west_instnum_np($B$1,YEAR($A1316),$A1316,180)</f>
        <v>5</v>
      </c>
      <c r="E1316" cm="1">
        <f t="array" aca="1" ref="E1316" ca="1">[1]!s_west_stdnetprofit($B$1,YEAR($A1316),$A1316,180,1000000)</f>
        <v>118.299374</v>
      </c>
      <c r="F1316" cm="1">
        <f t="array" aca="1" ref="F1316" ca="1">[1]!s_west_mediannetprofit($B$1,YEAR($A1316),$A1316,180,1000000)</f>
        <v>-326</v>
      </c>
      <c r="G1316" cm="1">
        <f t="array" aca="1" ref="G1316" ca="1">[1]!s_west_netprofit($B$1,YEAR($A1316)+1,$A1316,180,1000000)</f>
        <v>-250.74</v>
      </c>
      <c r="H1316" cm="1">
        <f t="array" aca="1" ref="H1316" ca="1">[1]!s_west_eps($B$1,YEAR($A1316)+1,$A1316,180)</f>
        <v>-0.2888</v>
      </c>
      <c r="I1316" cm="1">
        <f t="array" aca="1" ref="I1316" ca="1">[1]!s_west_instnum_np($B$1,YEAR($A1316)+1,$A1316,180)</f>
        <v>5</v>
      </c>
      <c r="J1316" cm="1">
        <f t="array" aca="1" ref="J1316" ca="1">[1]!s_west_stdnetprofit($B$1,YEAR($A1316)+1,$A1316,180,1000000)</f>
        <v>152.43388100000001</v>
      </c>
      <c r="K1316" cm="1">
        <f t="array" aca="1" ref="K1316" ca="1">[1]!s_west_mediannetprofit($B$1,YEAR($A1315)+1,$A1315,180,1000000)</f>
        <v>-299</v>
      </c>
      <c r="L1316" cm="1">
        <f t="array" aca="1" ref="L1316" ca="1">[1]!s_dq_close($B$1,$A1316,3)</f>
        <v>12.1</v>
      </c>
    </row>
    <row r="1317" spans="1:12">
      <c r="A1317" s="23">
        <f t="shared" ca="1" si="20"/>
        <v>44858</v>
      </c>
      <c r="B1317" cm="1">
        <f t="array" aca="1" ref="B1317" ca="1">[1]!s_west_netprofit($B$1,YEAR($A1317),$A1317,180,1000000)</f>
        <v>-283.77999999999997</v>
      </c>
      <c r="C1317" cm="1">
        <f t="array" aca="1" ref="C1317" ca="1">[1]!s_west_eps($B$1,YEAR($A1317),$A1317,180)</f>
        <v>-0.32819999999999999</v>
      </c>
      <c r="D1317" cm="1">
        <f t="array" aca="1" ref="D1317" ca="1">[1]!s_west_instnum_np($B$1,YEAR($A1317),$A1317,180)</f>
        <v>5</v>
      </c>
      <c r="E1317" cm="1">
        <f t="array" aca="1" ref="E1317" ca="1">[1]!s_west_stdnetprofit($B$1,YEAR($A1317),$A1317,180,1000000)</f>
        <v>118.299374</v>
      </c>
      <c r="F1317" cm="1">
        <f t="array" aca="1" ref="F1317" ca="1">[1]!s_west_mediannetprofit($B$1,YEAR($A1317),$A1317,180,1000000)</f>
        <v>-326</v>
      </c>
      <c r="G1317" cm="1">
        <f t="array" aca="1" ref="G1317" ca="1">[1]!s_west_netprofit($B$1,YEAR($A1317)+1,$A1317,180,1000000)</f>
        <v>-250.74</v>
      </c>
      <c r="H1317" cm="1">
        <f t="array" aca="1" ref="H1317" ca="1">[1]!s_west_eps($B$1,YEAR($A1317)+1,$A1317,180)</f>
        <v>-0.2888</v>
      </c>
      <c r="I1317" cm="1">
        <f t="array" aca="1" ref="I1317" ca="1">[1]!s_west_instnum_np($B$1,YEAR($A1317)+1,$A1317,180)</f>
        <v>5</v>
      </c>
      <c r="J1317" cm="1">
        <f t="array" aca="1" ref="J1317" ca="1">[1]!s_west_stdnetprofit($B$1,YEAR($A1317)+1,$A1317,180,1000000)</f>
        <v>152.43388100000001</v>
      </c>
      <c r="K1317" cm="1">
        <f t="array" aca="1" ref="K1317" ca="1">[1]!s_west_mediannetprofit($B$1,YEAR($A1316)+1,$A1316,180,1000000)</f>
        <v>-299</v>
      </c>
      <c r="L1317" cm="1">
        <f t="array" aca="1" ref="L1317" ca="1">[1]!s_dq_close($B$1,$A1317,3)</f>
        <v>11.76</v>
      </c>
    </row>
    <row r="1318" spans="1:12">
      <c r="A1318" s="23">
        <f t="shared" ca="1" si="20"/>
        <v>44857</v>
      </c>
      <c r="B1318" cm="1">
        <f t="array" aca="1" ref="B1318" ca="1">[1]!s_west_netprofit($B$1,YEAR($A1318),$A1318,180,1000000)</f>
        <v>-283.77999999999997</v>
      </c>
      <c r="C1318" cm="1">
        <f t="array" aca="1" ref="C1318" ca="1">[1]!s_west_eps($B$1,YEAR($A1318),$A1318,180)</f>
        <v>-0.32819999999999999</v>
      </c>
      <c r="D1318" cm="1">
        <f t="array" aca="1" ref="D1318" ca="1">[1]!s_west_instnum_np($B$1,YEAR($A1318),$A1318,180)</f>
        <v>5</v>
      </c>
      <c r="E1318" cm="1">
        <f t="array" aca="1" ref="E1318" ca="1">[1]!s_west_stdnetprofit($B$1,YEAR($A1318),$A1318,180,1000000)</f>
        <v>118.299374</v>
      </c>
      <c r="F1318" cm="1">
        <f t="array" aca="1" ref="F1318" ca="1">[1]!s_west_mediannetprofit($B$1,YEAR($A1318),$A1318,180,1000000)</f>
        <v>-326</v>
      </c>
      <c r="G1318" cm="1">
        <f t="array" aca="1" ref="G1318" ca="1">[1]!s_west_netprofit($B$1,YEAR($A1318)+1,$A1318,180,1000000)</f>
        <v>-250.74</v>
      </c>
      <c r="H1318" cm="1">
        <f t="array" aca="1" ref="H1318" ca="1">[1]!s_west_eps($B$1,YEAR($A1318)+1,$A1318,180)</f>
        <v>-0.2888</v>
      </c>
      <c r="I1318" cm="1">
        <f t="array" aca="1" ref="I1318" ca="1">[1]!s_west_instnum_np($B$1,YEAR($A1318)+1,$A1318,180)</f>
        <v>5</v>
      </c>
      <c r="J1318" cm="1">
        <f t="array" aca="1" ref="J1318" ca="1">[1]!s_west_stdnetprofit($B$1,YEAR($A1318)+1,$A1318,180,1000000)</f>
        <v>152.43388100000001</v>
      </c>
      <c r="K1318" cm="1">
        <f t="array" aca="1" ref="K1318" ca="1">[1]!s_west_mediannetprofit($B$1,YEAR($A1317)+1,$A1317,180,1000000)</f>
        <v>-299</v>
      </c>
      <c r="L1318" cm="1">
        <f t="array" aca="1" ref="L1318" ca="1">[1]!s_dq_close($B$1,$A1318,3)</f>
        <v>13.38</v>
      </c>
    </row>
    <row r="1319" spans="1:12">
      <c r="A1319" s="23">
        <f t="shared" ca="1" si="20"/>
        <v>44856</v>
      </c>
      <c r="B1319" cm="1">
        <f t="array" aca="1" ref="B1319" ca="1">[1]!s_west_netprofit($B$1,YEAR($A1319),$A1319,180,1000000)</f>
        <v>-283.77999999999997</v>
      </c>
      <c r="C1319" cm="1">
        <f t="array" aca="1" ref="C1319" ca="1">[1]!s_west_eps($B$1,YEAR($A1319),$A1319,180)</f>
        <v>-0.32819999999999999</v>
      </c>
      <c r="D1319" cm="1">
        <f t="array" aca="1" ref="D1319" ca="1">[1]!s_west_instnum_np($B$1,YEAR($A1319),$A1319,180)</f>
        <v>5</v>
      </c>
      <c r="E1319" cm="1">
        <f t="array" aca="1" ref="E1319" ca="1">[1]!s_west_stdnetprofit($B$1,YEAR($A1319),$A1319,180,1000000)</f>
        <v>118.299374</v>
      </c>
      <c r="F1319" cm="1">
        <f t="array" aca="1" ref="F1319" ca="1">[1]!s_west_mediannetprofit($B$1,YEAR($A1319),$A1319,180,1000000)</f>
        <v>-326</v>
      </c>
      <c r="G1319" cm="1">
        <f t="array" aca="1" ref="G1319" ca="1">[1]!s_west_netprofit($B$1,YEAR($A1319)+1,$A1319,180,1000000)</f>
        <v>-250.74</v>
      </c>
      <c r="H1319" cm="1">
        <f t="array" aca="1" ref="H1319" ca="1">[1]!s_west_eps($B$1,YEAR($A1319)+1,$A1319,180)</f>
        <v>-0.2888</v>
      </c>
      <c r="I1319" cm="1">
        <f t="array" aca="1" ref="I1319" ca="1">[1]!s_west_instnum_np($B$1,YEAR($A1319)+1,$A1319,180)</f>
        <v>5</v>
      </c>
      <c r="J1319" cm="1">
        <f t="array" aca="1" ref="J1319" ca="1">[1]!s_west_stdnetprofit($B$1,YEAR($A1319)+1,$A1319,180,1000000)</f>
        <v>152.43388100000001</v>
      </c>
      <c r="K1319" cm="1">
        <f t="array" aca="1" ref="K1319" ca="1">[1]!s_west_mediannetprofit($B$1,YEAR($A1318)+1,$A1318,180,1000000)</f>
        <v>-299</v>
      </c>
      <c r="L1319" cm="1">
        <f t="array" aca="1" ref="L1319" ca="1">[1]!s_dq_close($B$1,$A1319,3)</f>
        <v>13.38</v>
      </c>
    </row>
    <row r="1320" spans="1:12">
      <c r="A1320" s="23">
        <f t="shared" ca="1" si="20"/>
        <v>44855</v>
      </c>
      <c r="B1320" cm="1">
        <f t="array" aca="1" ref="B1320" ca="1">[1]!s_west_netprofit($B$1,YEAR($A1320),$A1320,180,1000000)</f>
        <v>-283.77999999999997</v>
      </c>
      <c r="C1320" cm="1">
        <f t="array" aca="1" ref="C1320" ca="1">[1]!s_west_eps($B$1,YEAR($A1320),$A1320,180)</f>
        <v>-0.32819999999999999</v>
      </c>
      <c r="D1320" cm="1">
        <f t="array" aca="1" ref="D1320" ca="1">[1]!s_west_instnum_np($B$1,YEAR($A1320),$A1320,180)</f>
        <v>5</v>
      </c>
      <c r="E1320" cm="1">
        <f t="array" aca="1" ref="E1320" ca="1">[1]!s_west_stdnetprofit($B$1,YEAR($A1320),$A1320,180,1000000)</f>
        <v>118.299374</v>
      </c>
      <c r="F1320" cm="1">
        <f t="array" aca="1" ref="F1320" ca="1">[1]!s_west_mediannetprofit($B$1,YEAR($A1320),$A1320,180,1000000)</f>
        <v>-326</v>
      </c>
      <c r="G1320" cm="1">
        <f t="array" aca="1" ref="G1320" ca="1">[1]!s_west_netprofit($B$1,YEAR($A1320)+1,$A1320,180,1000000)</f>
        <v>-250.74</v>
      </c>
      <c r="H1320" cm="1">
        <f t="array" aca="1" ref="H1320" ca="1">[1]!s_west_eps($B$1,YEAR($A1320)+1,$A1320,180)</f>
        <v>-0.2888</v>
      </c>
      <c r="I1320" cm="1">
        <f t="array" aca="1" ref="I1320" ca="1">[1]!s_west_instnum_np($B$1,YEAR($A1320)+1,$A1320,180)</f>
        <v>5</v>
      </c>
      <c r="J1320" cm="1">
        <f t="array" aca="1" ref="J1320" ca="1">[1]!s_west_stdnetprofit($B$1,YEAR($A1320)+1,$A1320,180,1000000)</f>
        <v>152.43388100000001</v>
      </c>
      <c r="K1320" cm="1">
        <f t="array" aca="1" ref="K1320" ca="1">[1]!s_west_mediannetprofit($B$1,YEAR($A1319)+1,$A1319,180,1000000)</f>
        <v>-299</v>
      </c>
      <c r="L1320" cm="1">
        <f t="array" aca="1" ref="L1320" ca="1">[1]!s_dq_close($B$1,$A1320,3)</f>
        <v>13.38</v>
      </c>
    </row>
    <row r="1321" spans="1:12">
      <c r="A1321" s="23">
        <f t="shared" ca="1" si="20"/>
        <v>44854</v>
      </c>
      <c r="B1321" cm="1">
        <f t="array" aca="1" ref="B1321" ca="1">[1]!s_west_netprofit($B$1,YEAR($A1321),$A1321,180,1000000)</f>
        <v>-283.77999999999997</v>
      </c>
      <c r="C1321" cm="1">
        <f t="array" aca="1" ref="C1321" ca="1">[1]!s_west_eps($B$1,YEAR($A1321),$A1321,180)</f>
        <v>-0.32819999999999999</v>
      </c>
      <c r="D1321" cm="1">
        <f t="array" aca="1" ref="D1321" ca="1">[1]!s_west_instnum_np($B$1,YEAR($A1321),$A1321,180)</f>
        <v>5</v>
      </c>
      <c r="E1321" cm="1">
        <f t="array" aca="1" ref="E1321" ca="1">[1]!s_west_stdnetprofit($B$1,YEAR($A1321),$A1321,180,1000000)</f>
        <v>118.299374</v>
      </c>
      <c r="F1321" cm="1">
        <f t="array" aca="1" ref="F1321" ca="1">[1]!s_west_mediannetprofit($B$1,YEAR($A1321),$A1321,180,1000000)</f>
        <v>-326</v>
      </c>
      <c r="G1321" cm="1">
        <f t="array" aca="1" ref="G1321" ca="1">[1]!s_west_netprofit($B$1,YEAR($A1321)+1,$A1321,180,1000000)</f>
        <v>-250.74</v>
      </c>
      <c r="H1321" cm="1">
        <f t="array" aca="1" ref="H1321" ca="1">[1]!s_west_eps($B$1,YEAR($A1321)+1,$A1321,180)</f>
        <v>-0.2888</v>
      </c>
      <c r="I1321" cm="1">
        <f t="array" aca="1" ref="I1321" ca="1">[1]!s_west_instnum_np($B$1,YEAR($A1321)+1,$A1321,180)</f>
        <v>5</v>
      </c>
      <c r="J1321" cm="1">
        <f t="array" aca="1" ref="J1321" ca="1">[1]!s_west_stdnetprofit($B$1,YEAR($A1321)+1,$A1321,180,1000000)</f>
        <v>152.43388100000001</v>
      </c>
      <c r="K1321" cm="1">
        <f t="array" aca="1" ref="K1321" ca="1">[1]!s_west_mediannetprofit($B$1,YEAR($A1320)+1,$A1320,180,1000000)</f>
        <v>-299</v>
      </c>
      <c r="L1321" cm="1">
        <f t="array" aca="1" ref="L1321" ca="1">[1]!s_dq_close($B$1,$A1321,3)</f>
        <v>13</v>
      </c>
    </row>
    <row r="1322" spans="1:12">
      <c r="A1322" s="23">
        <f t="shared" ca="1" si="20"/>
        <v>44853</v>
      </c>
      <c r="B1322" cm="1">
        <f t="array" aca="1" ref="B1322" ca="1">[1]!s_west_netprofit($B$1,YEAR($A1322),$A1322,180,1000000)</f>
        <v>-283.77999999999997</v>
      </c>
      <c r="C1322" cm="1">
        <f t="array" aca="1" ref="C1322" ca="1">[1]!s_west_eps($B$1,YEAR($A1322),$A1322,180)</f>
        <v>-0.32819999999999999</v>
      </c>
      <c r="D1322" cm="1">
        <f t="array" aca="1" ref="D1322" ca="1">[1]!s_west_instnum_np($B$1,YEAR($A1322),$A1322,180)</f>
        <v>5</v>
      </c>
      <c r="E1322" cm="1">
        <f t="array" aca="1" ref="E1322" ca="1">[1]!s_west_stdnetprofit($B$1,YEAR($A1322),$A1322,180,1000000)</f>
        <v>118.299374</v>
      </c>
      <c r="F1322" cm="1">
        <f t="array" aca="1" ref="F1322" ca="1">[1]!s_west_mediannetprofit($B$1,YEAR($A1322),$A1322,180,1000000)</f>
        <v>-326</v>
      </c>
      <c r="G1322" cm="1">
        <f t="array" aca="1" ref="G1322" ca="1">[1]!s_west_netprofit($B$1,YEAR($A1322)+1,$A1322,180,1000000)</f>
        <v>-250.74</v>
      </c>
      <c r="H1322" cm="1">
        <f t="array" aca="1" ref="H1322" ca="1">[1]!s_west_eps($B$1,YEAR($A1322)+1,$A1322,180)</f>
        <v>-0.2888</v>
      </c>
      <c r="I1322" cm="1">
        <f t="array" aca="1" ref="I1322" ca="1">[1]!s_west_instnum_np($B$1,YEAR($A1322)+1,$A1322,180)</f>
        <v>5</v>
      </c>
      <c r="J1322" cm="1">
        <f t="array" aca="1" ref="J1322" ca="1">[1]!s_west_stdnetprofit($B$1,YEAR($A1322)+1,$A1322,180,1000000)</f>
        <v>152.43388100000001</v>
      </c>
      <c r="K1322" cm="1">
        <f t="array" aca="1" ref="K1322" ca="1">[1]!s_west_mediannetprofit($B$1,YEAR($A1321)+1,$A1321,180,1000000)</f>
        <v>-299</v>
      </c>
      <c r="L1322" cm="1">
        <f t="array" aca="1" ref="L1322" ca="1">[1]!s_dq_close($B$1,$A1322,3)</f>
        <v>13.5</v>
      </c>
    </row>
    <row r="1323" spans="1:12">
      <c r="A1323" s="23">
        <f t="shared" ca="1" si="20"/>
        <v>44852</v>
      </c>
      <c r="B1323" cm="1">
        <f t="array" aca="1" ref="B1323" ca="1">[1]!s_west_netprofit($B$1,YEAR($A1323),$A1323,180,1000000)</f>
        <v>-283.77999999999997</v>
      </c>
      <c r="C1323" cm="1">
        <f t="array" aca="1" ref="C1323" ca="1">[1]!s_west_eps($B$1,YEAR($A1323),$A1323,180)</f>
        <v>-0.32819999999999999</v>
      </c>
      <c r="D1323" cm="1">
        <f t="array" aca="1" ref="D1323" ca="1">[1]!s_west_instnum_np($B$1,YEAR($A1323),$A1323,180)</f>
        <v>5</v>
      </c>
      <c r="E1323" cm="1">
        <f t="array" aca="1" ref="E1323" ca="1">[1]!s_west_stdnetprofit($B$1,YEAR($A1323),$A1323,180,1000000)</f>
        <v>118.299374</v>
      </c>
      <c r="F1323" cm="1">
        <f t="array" aca="1" ref="F1323" ca="1">[1]!s_west_mediannetprofit($B$1,YEAR($A1323),$A1323,180,1000000)</f>
        <v>-326</v>
      </c>
      <c r="G1323" cm="1">
        <f t="array" aca="1" ref="G1323" ca="1">[1]!s_west_netprofit($B$1,YEAR($A1323)+1,$A1323,180,1000000)</f>
        <v>-250.74</v>
      </c>
      <c r="H1323" cm="1">
        <f t="array" aca="1" ref="H1323" ca="1">[1]!s_west_eps($B$1,YEAR($A1323)+1,$A1323,180)</f>
        <v>-0.2888</v>
      </c>
      <c r="I1323" cm="1">
        <f t="array" aca="1" ref="I1323" ca="1">[1]!s_west_instnum_np($B$1,YEAR($A1323)+1,$A1323,180)</f>
        <v>5</v>
      </c>
      <c r="J1323" cm="1">
        <f t="array" aca="1" ref="J1323" ca="1">[1]!s_west_stdnetprofit($B$1,YEAR($A1323)+1,$A1323,180,1000000)</f>
        <v>152.43388100000001</v>
      </c>
      <c r="K1323" cm="1">
        <f t="array" aca="1" ref="K1323" ca="1">[1]!s_west_mediannetprofit($B$1,YEAR($A1322)+1,$A1322,180,1000000)</f>
        <v>-299</v>
      </c>
      <c r="L1323" cm="1">
        <f t="array" aca="1" ref="L1323" ca="1">[1]!s_dq_close($B$1,$A1323,3)</f>
        <v>14.6</v>
      </c>
    </row>
    <row r="1324" spans="1:12">
      <c r="A1324" s="23">
        <f t="shared" ca="1" si="20"/>
        <v>44851</v>
      </c>
      <c r="B1324" cm="1">
        <f t="array" aca="1" ref="B1324" ca="1">[1]!s_west_netprofit($B$1,YEAR($A1324),$A1324,180,1000000)</f>
        <v>-283.77999999999997</v>
      </c>
      <c r="C1324" cm="1">
        <f t="array" aca="1" ref="C1324" ca="1">[1]!s_west_eps($B$1,YEAR($A1324),$A1324,180)</f>
        <v>-0.32819999999999999</v>
      </c>
      <c r="D1324" cm="1">
        <f t="array" aca="1" ref="D1324" ca="1">[1]!s_west_instnum_np($B$1,YEAR($A1324),$A1324,180)</f>
        <v>5</v>
      </c>
      <c r="E1324" cm="1">
        <f t="array" aca="1" ref="E1324" ca="1">[1]!s_west_stdnetprofit($B$1,YEAR($A1324),$A1324,180,1000000)</f>
        <v>118.299374</v>
      </c>
      <c r="F1324" cm="1">
        <f t="array" aca="1" ref="F1324" ca="1">[1]!s_west_mediannetprofit($B$1,YEAR($A1324),$A1324,180,1000000)</f>
        <v>-326</v>
      </c>
      <c r="G1324" cm="1">
        <f t="array" aca="1" ref="G1324" ca="1">[1]!s_west_netprofit($B$1,YEAR($A1324)+1,$A1324,180,1000000)</f>
        <v>-250.74</v>
      </c>
      <c r="H1324" cm="1">
        <f t="array" aca="1" ref="H1324" ca="1">[1]!s_west_eps($B$1,YEAR($A1324)+1,$A1324,180)</f>
        <v>-0.2888</v>
      </c>
      <c r="I1324" cm="1">
        <f t="array" aca="1" ref="I1324" ca="1">[1]!s_west_instnum_np($B$1,YEAR($A1324)+1,$A1324,180)</f>
        <v>5</v>
      </c>
      <c r="J1324" cm="1">
        <f t="array" aca="1" ref="J1324" ca="1">[1]!s_west_stdnetprofit($B$1,YEAR($A1324)+1,$A1324,180,1000000)</f>
        <v>152.43388100000001</v>
      </c>
      <c r="K1324" cm="1">
        <f t="array" aca="1" ref="K1324" ca="1">[1]!s_west_mediannetprofit($B$1,YEAR($A1323)+1,$A1323,180,1000000)</f>
        <v>-299</v>
      </c>
      <c r="L1324" cm="1">
        <f t="array" aca="1" ref="L1324" ca="1">[1]!s_dq_close($B$1,$A1324,3)</f>
        <v>13.44</v>
      </c>
    </row>
    <row r="1325" spans="1:12">
      <c r="A1325" s="23">
        <f t="shared" ca="1" si="20"/>
        <v>44850</v>
      </c>
      <c r="B1325" cm="1">
        <f t="array" aca="1" ref="B1325" ca="1">[1]!s_west_netprofit($B$1,YEAR($A1325),$A1325,180,1000000)</f>
        <v>-283.77999999999997</v>
      </c>
      <c r="C1325" cm="1">
        <f t="array" aca="1" ref="C1325" ca="1">[1]!s_west_eps($B$1,YEAR($A1325),$A1325,180)</f>
        <v>-0.32819999999999999</v>
      </c>
      <c r="D1325" cm="1">
        <f t="array" aca="1" ref="D1325" ca="1">[1]!s_west_instnum_np($B$1,YEAR($A1325),$A1325,180)</f>
        <v>5</v>
      </c>
      <c r="E1325" cm="1">
        <f t="array" aca="1" ref="E1325" ca="1">[1]!s_west_stdnetprofit($B$1,YEAR($A1325),$A1325,180,1000000)</f>
        <v>118.299374</v>
      </c>
      <c r="F1325" cm="1">
        <f t="array" aca="1" ref="F1325" ca="1">[1]!s_west_mediannetprofit($B$1,YEAR($A1325),$A1325,180,1000000)</f>
        <v>-326</v>
      </c>
      <c r="G1325" cm="1">
        <f t="array" aca="1" ref="G1325" ca="1">[1]!s_west_netprofit($B$1,YEAR($A1325)+1,$A1325,180,1000000)</f>
        <v>-250.74</v>
      </c>
      <c r="H1325" cm="1">
        <f t="array" aca="1" ref="H1325" ca="1">[1]!s_west_eps($B$1,YEAR($A1325)+1,$A1325,180)</f>
        <v>-0.2888</v>
      </c>
      <c r="I1325" cm="1">
        <f t="array" aca="1" ref="I1325" ca="1">[1]!s_west_instnum_np($B$1,YEAR($A1325)+1,$A1325,180)</f>
        <v>5</v>
      </c>
      <c r="J1325" cm="1">
        <f t="array" aca="1" ref="J1325" ca="1">[1]!s_west_stdnetprofit($B$1,YEAR($A1325)+1,$A1325,180,1000000)</f>
        <v>152.43388100000001</v>
      </c>
      <c r="K1325" cm="1">
        <f t="array" aca="1" ref="K1325" ca="1">[1]!s_west_mediannetprofit($B$1,YEAR($A1324)+1,$A1324,180,1000000)</f>
        <v>-299</v>
      </c>
      <c r="L1325" cm="1">
        <f t="array" aca="1" ref="L1325" ca="1">[1]!s_dq_close($B$1,$A1325,3)</f>
        <v>13.18</v>
      </c>
    </row>
    <row r="1326" spans="1:12">
      <c r="A1326" s="23">
        <f t="shared" ca="1" si="20"/>
        <v>44849</v>
      </c>
      <c r="B1326" cm="1">
        <f t="array" aca="1" ref="B1326" ca="1">[1]!s_west_netprofit($B$1,YEAR($A1326),$A1326,180,1000000)</f>
        <v>-283.77999999999997</v>
      </c>
      <c r="C1326" cm="1">
        <f t="array" aca="1" ref="C1326" ca="1">[1]!s_west_eps($B$1,YEAR($A1326),$A1326,180)</f>
        <v>-0.32819999999999999</v>
      </c>
      <c r="D1326" cm="1">
        <f t="array" aca="1" ref="D1326" ca="1">[1]!s_west_instnum_np($B$1,YEAR($A1326),$A1326,180)</f>
        <v>5</v>
      </c>
      <c r="E1326" cm="1">
        <f t="array" aca="1" ref="E1326" ca="1">[1]!s_west_stdnetprofit($B$1,YEAR($A1326),$A1326,180,1000000)</f>
        <v>118.299374</v>
      </c>
      <c r="F1326" cm="1">
        <f t="array" aca="1" ref="F1326" ca="1">[1]!s_west_mediannetprofit($B$1,YEAR($A1326),$A1326,180,1000000)</f>
        <v>-326</v>
      </c>
      <c r="G1326" cm="1">
        <f t="array" aca="1" ref="G1326" ca="1">[1]!s_west_netprofit($B$1,YEAR($A1326)+1,$A1326,180,1000000)</f>
        <v>-250.74</v>
      </c>
      <c r="H1326" cm="1">
        <f t="array" aca="1" ref="H1326" ca="1">[1]!s_west_eps($B$1,YEAR($A1326)+1,$A1326,180)</f>
        <v>-0.2888</v>
      </c>
      <c r="I1326" cm="1">
        <f t="array" aca="1" ref="I1326" ca="1">[1]!s_west_instnum_np($B$1,YEAR($A1326)+1,$A1326,180)</f>
        <v>5</v>
      </c>
      <c r="J1326" cm="1">
        <f t="array" aca="1" ref="J1326" ca="1">[1]!s_west_stdnetprofit($B$1,YEAR($A1326)+1,$A1326,180,1000000)</f>
        <v>152.43388100000001</v>
      </c>
      <c r="K1326" cm="1">
        <f t="array" aca="1" ref="K1326" ca="1">[1]!s_west_mediannetprofit($B$1,YEAR($A1325)+1,$A1325,180,1000000)</f>
        <v>-299</v>
      </c>
      <c r="L1326" cm="1">
        <f t="array" aca="1" ref="L1326" ca="1">[1]!s_dq_close($B$1,$A1326,3)</f>
        <v>13.18</v>
      </c>
    </row>
    <row r="1327" spans="1:12">
      <c r="A1327" s="23">
        <f t="shared" ca="1" si="20"/>
        <v>44848</v>
      </c>
      <c r="B1327" cm="1">
        <f t="array" aca="1" ref="B1327" ca="1">[1]!s_west_netprofit($B$1,YEAR($A1327),$A1327,180,1000000)</f>
        <v>-283.77999999999997</v>
      </c>
      <c r="C1327" cm="1">
        <f t="array" aca="1" ref="C1327" ca="1">[1]!s_west_eps($B$1,YEAR($A1327),$A1327,180)</f>
        <v>-0.32819999999999999</v>
      </c>
      <c r="D1327" cm="1">
        <f t="array" aca="1" ref="D1327" ca="1">[1]!s_west_instnum_np($B$1,YEAR($A1327),$A1327,180)</f>
        <v>5</v>
      </c>
      <c r="E1327" cm="1">
        <f t="array" aca="1" ref="E1327" ca="1">[1]!s_west_stdnetprofit($B$1,YEAR($A1327),$A1327,180,1000000)</f>
        <v>118.299374</v>
      </c>
      <c r="F1327" cm="1">
        <f t="array" aca="1" ref="F1327" ca="1">[1]!s_west_mediannetprofit($B$1,YEAR($A1327),$A1327,180,1000000)</f>
        <v>-326</v>
      </c>
      <c r="G1327" cm="1">
        <f t="array" aca="1" ref="G1327" ca="1">[1]!s_west_netprofit($B$1,YEAR($A1327)+1,$A1327,180,1000000)</f>
        <v>-250.74</v>
      </c>
      <c r="H1327" cm="1">
        <f t="array" aca="1" ref="H1327" ca="1">[1]!s_west_eps($B$1,YEAR($A1327)+1,$A1327,180)</f>
        <v>-0.2888</v>
      </c>
      <c r="I1327" cm="1">
        <f t="array" aca="1" ref="I1327" ca="1">[1]!s_west_instnum_np($B$1,YEAR($A1327)+1,$A1327,180)</f>
        <v>5</v>
      </c>
      <c r="J1327" cm="1">
        <f t="array" aca="1" ref="J1327" ca="1">[1]!s_west_stdnetprofit($B$1,YEAR($A1327)+1,$A1327,180,1000000)</f>
        <v>152.43388100000001</v>
      </c>
      <c r="K1327" cm="1">
        <f t="array" aca="1" ref="K1327" ca="1">[1]!s_west_mediannetprofit($B$1,YEAR($A1326)+1,$A1326,180,1000000)</f>
        <v>-299</v>
      </c>
      <c r="L1327" cm="1">
        <f t="array" aca="1" ref="L1327" ca="1">[1]!s_dq_close($B$1,$A1327,3)</f>
        <v>13.18</v>
      </c>
    </row>
    <row r="1328" spans="1:12">
      <c r="A1328" s="23">
        <f t="shared" ca="1" si="20"/>
        <v>44847</v>
      </c>
      <c r="B1328" cm="1">
        <f t="array" aca="1" ref="B1328" ca="1">[1]!s_west_netprofit($B$1,YEAR($A1328),$A1328,180,1000000)</f>
        <v>-283.77999999999997</v>
      </c>
      <c r="C1328" cm="1">
        <f t="array" aca="1" ref="C1328" ca="1">[1]!s_west_eps($B$1,YEAR($A1328),$A1328,180)</f>
        <v>-0.32819999999999999</v>
      </c>
      <c r="D1328" cm="1">
        <f t="array" aca="1" ref="D1328" ca="1">[1]!s_west_instnum_np($B$1,YEAR($A1328),$A1328,180)</f>
        <v>5</v>
      </c>
      <c r="E1328" cm="1">
        <f t="array" aca="1" ref="E1328" ca="1">[1]!s_west_stdnetprofit($B$1,YEAR($A1328),$A1328,180,1000000)</f>
        <v>118.299374</v>
      </c>
      <c r="F1328" cm="1">
        <f t="array" aca="1" ref="F1328" ca="1">[1]!s_west_mediannetprofit($B$1,YEAR($A1328),$A1328,180,1000000)</f>
        <v>-326</v>
      </c>
      <c r="G1328" cm="1">
        <f t="array" aca="1" ref="G1328" ca="1">[1]!s_west_netprofit($B$1,YEAR($A1328)+1,$A1328,180,1000000)</f>
        <v>-250.74</v>
      </c>
      <c r="H1328" cm="1">
        <f t="array" aca="1" ref="H1328" ca="1">[1]!s_west_eps($B$1,YEAR($A1328)+1,$A1328,180)</f>
        <v>-0.2888</v>
      </c>
      <c r="I1328" cm="1">
        <f t="array" aca="1" ref="I1328" ca="1">[1]!s_west_instnum_np($B$1,YEAR($A1328)+1,$A1328,180)</f>
        <v>5</v>
      </c>
      <c r="J1328" cm="1">
        <f t="array" aca="1" ref="J1328" ca="1">[1]!s_west_stdnetprofit($B$1,YEAR($A1328)+1,$A1328,180,1000000)</f>
        <v>152.43388100000001</v>
      </c>
      <c r="K1328" cm="1">
        <f t="array" aca="1" ref="K1328" ca="1">[1]!s_west_mediannetprofit($B$1,YEAR($A1327)+1,$A1327,180,1000000)</f>
        <v>-299</v>
      </c>
      <c r="L1328" cm="1">
        <f t="array" aca="1" ref="L1328" ca="1">[1]!s_dq_close($B$1,$A1328,3)</f>
        <v>12.62</v>
      </c>
    </row>
    <row r="1329" spans="1:12">
      <c r="A1329" s="23">
        <f t="shared" ca="1" si="20"/>
        <v>44846</v>
      </c>
      <c r="B1329" cm="1">
        <f t="array" aca="1" ref="B1329" ca="1">[1]!s_west_netprofit($B$1,YEAR($A1329),$A1329,180,1000000)</f>
        <v>-283.77999999999997</v>
      </c>
      <c r="C1329" cm="1">
        <f t="array" aca="1" ref="C1329" ca="1">[1]!s_west_eps($B$1,YEAR($A1329),$A1329,180)</f>
        <v>-0.32819999999999999</v>
      </c>
      <c r="D1329" cm="1">
        <f t="array" aca="1" ref="D1329" ca="1">[1]!s_west_instnum_np($B$1,YEAR($A1329),$A1329,180)</f>
        <v>5</v>
      </c>
      <c r="E1329" cm="1">
        <f t="array" aca="1" ref="E1329" ca="1">[1]!s_west_stdnetprofit($B$1,YEAR($A1329),$A1329,180,1000000)</f>
        <v>118.299374</v>
      </c>
      <c r="F1329" cm="1">
        <f t="array" aca="1" ref="F1329" ca="1">[1]!s_west_mediannetprofit($B$1,YEAR($A1329),$A1329,180,1000000)</f>
        <v>-326</v>
      </c>
      <c r="G1329" cm="1">
        <f t="array" aca="1" ref="G1329" ca="1">[1]!s_west_netprofit($B$1,YEAR($A1329)+1,$A1329,180,1000000)</f>
        <v>-250.74</v>
      </c>
      <c r="H1329" cm="1">
        <f t="array" aca="1" ref="H1329" ca="1">[1]!s_west_eps($B$1,YEAR($A1329)+1,$A1329,180)</f>
        <v>-0.2888</v>
      </c>
      <c r="I1329" cm="1">
        <f t="array" aca="1" ref="I1329" ca="1">[1]!s_west_instnum_np($B$1,YEAR($A1329)+1,$A1329,180)</f>
        <v>5</v>
      </c>
      <c r="J1329" cm="1">
        <f t="array" aca="1" ref="J1329" ca="1">[1]!s_west_stdnetprofit($B$1,YEAR($A1329)+1,$A1329,180,1000000)</f>
        <v>152.43388100000001</v>
      </c>
      <c r="K1329" cm="1">
        <f t="array" aca="1" ref="K1329" ca="1">[1]!s_west_mediannetprofit($B$1,YEAR($A1328)+1,$A1328,180,1000000)</f>
        <v>-299</v>
      </c>
      <c r="L1329" cm="1">
        <f t="array" aca="1" ref="L1329" ca="1">[1]!s_dq_close($B$1,$A1329,3)</f>
        <v>12.86</v>
      </c>
    </row>
    <row r="1330" spans="1:12">
      <c r="A1330" s="23">
        <f t="shared" ca="1" si="20"/>
        <v>44845</v>
      </c>
      <c r="B1330" cm="1">
        <f t="array" aca="1" ref="B1330" ca="1">[1]!s_west_netprofit($B$1,YEAR($A1330),$A1330,180,1000000)</f>
        <v>-283.77999999999997</v>
      </c>
      <c r="C1330" cm="1">
        <f t="array" aca="1" ref="C1330" ca="1">[1]!s_west_eps($B$1,YEAR($A1330),$A1330,180)</f>
        <v>-0.32819999999999999</v>
      </c>
      <c r="D1330" cm="1">
        <f t="array" aca="1" ref="D1330" ca="1">[1]!s_west_instnum_np($B$1,YEAR($A1330),$A1330,180)</f>
        <v>5</v>
      </c>
      <c r="E1330" cm="1">
        <f t="array" aca="1" ref="E1330" ca="1">[1]!s_west_stdnetprofit($B$1,YEAR($A1330),$A1330,180,1000000)</f>
        <v>118.299374</v>
      </c>
      <c r="F1330" cm="1">
        <f t="array" aca="1" ref="F1330" ca="1">[1]!s_west_mediannetprofit($B$1,YEAR($A1330),$A1330,180,1000000)</f>
        <v>-326</v>
      </c>
      <c r="G1330" cm="1">
        <f t="array" aca="1" ref="G1330" ca="1">[1]!s_west_netprofit($B$1,YEAR($A1330)+1,$A1330,180,1000000)</f>
        <v>-250.74</v>
      </c>
      <c r="H1330" cm="1">
        <f t="array" aca="1" ref="H1330" ca="1">[1]!s_west_eps($B$1,YEAR($A1330)+1,$A1330,180)</f>
        <v>-0.2888</v>
      </c>
      <c r="I1330" cm="1">
        <f t="array" aca="1" ref="I1330" ca="1">[1]!s_west_instnum_np($B$1,YEAR($A1330)+1,$A1330,180)</f>
        <v>5</v>
      </c>
      <c r="J1330" cm="1">
        <f t="array" aca="1" ref="J1330" ca="1">[1]!s_west_stdnetprofit($B$1,YEAR($A1330)+1,$A1330,180,1000000)</f>
        <v>152.43388100000001</v>
      </c>
      <c r="K1330" cm="1">
        <f t="array" aca="1" ref="K1330" ca="1">[1]!s_west_mediannetprofit($B$1,YEAR($A1329)+1,$A1329,180,1000000)</f>
        <v>-299</v>
      </c>
      <c r="L1330" cm="1">
        <f t="array" aca="1" ref="L1330" ca="1">[1]!s_dq_close($B$1,$A1330,3)</f>
        <v>13.14</v>
      </c>
    </row>
    <row r="1331" spans="1:12">
      <c r="A1331" s="23">
        <f t="shared" ca="1" si="20"/>
        <v>44844</v>
      </c>
      <c r="B1331" cm="1">
        <f t="array" aca="1" ref="B1331" ca="1">[1]!s_west_netprofit($B$1,YEAR($A1331),$A1331,180,1000000)</f>
        <v>-283.77999999999997</v>
      </c>
      <c r="C1331" cm="1">
        <f t="array" aca="1" ref="C1331" ca="1">[1]!s_west_eps($B$1,YEAR($A1331),$A1331,180)</f>
        <v>-0.32819999999999999</v>
      </c>
      <c r="D1331" cm="1">
        <f t="array" aca="1" ref="D1331" ca="1">[1]!s_west_instnum_np($B$1,YEAR($A1331),$A1331,180)</f>
        <v>5</v>
      </c>
      <c r="E1331" cm="1">
        <f t="array" aca="1" ref="E1331" ca="1">[1]!s_west_stdnetprofit($B$1,YEAR($A1331),$A1331,180,1000000)</f>
        <v>118.299374</v>
      </c>
      <c r="F1331" cm="1">
        <f t="array" aca="1" ref="F1331" ca="1">[1]!s_west_mediannetprofit($B$1,YEAR($A1331),$A1331,180,1000000)</f>
        <v>-326</v>
      </c>
      <c r="G1331" cm="1">
        <f t="array" aca="1" ref="G1331" ca="1">[1]!s_west_netprofit($B$1,YEAR($A1331)+1,$A1331,180,1000000)</f>
        <v>-250.74</v>
      </c>
      <c r="H1331" cm="1">
        <f t="array" aca="1" ref="H1331" ca="1">[1]!s_west_eps($B$1,YEAR($A1331)+1,$A1331,180)</f>
        <v>-0.2888</v>
      </c>
      <c r="I1331" cm="1">
        <f t="array" aca="1" ref="I1331" ca="1">[1]!s_west_instnum_np($B$1,YEAR($A1331)+1,$A1331,180)</f>
        <v>5</v>
      </c>
      <c r="J1331" cm="1">
        <f t="array" aca="1" ref="J1331" ca="1">[1]!s_west_stdnetprofit($B$1,YEAR($A1331)+1,$A1331,180,1000000)</f>
        <v>152.43388100000001</v>
      </c>
      <c r="K1331" cm="1">
        <f t="array" aca="1" ref="K1331" ca="1">[1]!s_west_mediannetprofit($B$1,YEAR($A1330)+1,$A1330,180,1000000)</f>
        <v>-299</v>
      </c>
      <c r="L1331" cm="1">
        <f t="array" aca="1" ref="L1331" ca="1">[1]!s_dq_close($B$1,$A1331,3)</f>
        <v>13.1</v>
      </c>
    </row>
    <row r="1332" spans="1:12">
      <c r="A1332" s="23">
        <f t="shared" ca="1" si="20"/>
        <v>44843</v>
      </c>
      <c r="B1332" cm="1">
        <f t="array" aca="1" ref="B1332" ca="1">[1]!s_west_netprofit($B$1,YEAR($A1332),$A1332,180,1000000)</f>
        <v>-283.77999999999997</v>
      </c>
      <c r="C1332" cm="1">
        <f t="array" aca="1" ref="C1332" ca="1">[1]!s_west_eps($B$1,YEAR($A1332),$A1332,180)</f>
        <v>-0.32819999999999999</v>
      </c>
      <c r="D1332" cm="1">
        <f t="array" aca="1" ref="D1332" ca="1">[1]!s_west_instnum_np($B$1,YEAR($A1332),$A1332,180)</f>
        <v>5</v>
      </c>
      <c r="E1332" cm="1">
        <f t="array" aca="1" ref="E1332" ca="1">[1]!s_west_stdnetprofit($B$1,YEAR($A1332),$A1332,180,1000000)</f>
        <v>118.299374</v>
      </c>
      <c r="F1332" cm="1">
        <f t="array" aca="1" ref="F1332" ca="1">[1]!s_west_mediannetprofit($B$1,YEAR($A1332),$A1332,180,1000000)</f>
        <v>-326</v>
      </c>
      <c r="G1332" cm="1">
        <f t="array" aca="1" ref="G1332" ca="1">[1]!s_west_netprofit($B$1,YEAR($A1332)+1,$A1332,180,1000000)</f>
        <v>-250.74</v>
      </c>
      <c r="H1332" cm="1">
        <f t="array" aca="1" ref="H1332" ca="1">[1]!s_west_eps($B$1,YEAR($A1332)+1,$A1332,180)</f>
        <v>-0.2888</v>
      </c>
      <c r="I1332" cm="1">
        <f t="array" aca="1" ref="I1332" ca="1">[1]!s_west_instnum_np($B$1,YEAR($A1332)+1,$A1332,180)</f>
        <v>5</v>
      </c>
      <c r="J1332" cm="1">
        <f t="array" aca="1" ref="J1332" ca="1">[1]!s_west_stdnetprofit($B$1,YEAR($A1332)+1,$A1332,180,1000000)</f>
        <v>152.43388100000001</v>
      </c>
      <c r="K1332" cm="1">
        <f t="array" aca="1" ref="K1332" ca="1">[1]!s_west_mediannetprofit($B$1,YEAR($A1331)+1,$A1331,180,1000000)</f>
        <v>-299</v>
      </c>
      <c r="L1332" cm="1">
        <f t="array" aca="1" ref="L1332" ca="1">[1]!s_dq_close($B$1,$A1332,3)</f>
        <v>13.62</v>
      </c>
    </row>
    <row r="1333" spans="1:12">
      <c r="A1333" s="23">
        <f t="shared" ca="1" si="20"/>
        <v>44842</v>
      </c>
      <c r="B1333" cm="1">
        <f t="array" aca="1" ref="B1333" ca="1">[1]!s_west_netprofit($B$1,YEAR($A1333),$A1333,180,1000000)</f>
        <v>-283.77999999999997</v>
      </c>
      <c r="C1333" cm="1">
        <f t="array" aca="1" ref="C1333" ca="1">[1]!s_west_eps($B$1,YEAR($A1333),$A1333,180)</f>
        <v>-0.32819999999999999</v>
      </c>
      <c r="D1333" cm="1">
        <f t="array" aca="1" ref="D1333" ca="1">[1]!s_west_instnum_np($B$1,YEAR($A1333),$A1333,180)</f>
        <v>5</v>
      </c>
      <c r="E1333" cm="1">
        <f t="array" aca="1" ref="E1333" ca="1">[1]!s_west_stdnetprofit($B$1,YEAR($A1333),$A1333,180,1000000)</f>
        <v>118.299374</v>
      </c>
      <c r="F1333" cm="1">
        <f t="array" aca="1" ref="F1333" ca="1">[1]!s_west_mediannetprofit($B$1,YEAR($A1333),$A1333,180,1000000)</f>
        <v>-326</v>
      </c>
      <c r="G1333" cm="1">
        <f t="array" aca="1" ref="G1333" ca="1">[1]!s_west_netprofit($B$1,YEAR($A1333)+1,$A1333,180,1000000)</f>
        <v>-250.74</v>
      </c>
      <c r="H1333" cm="1">
        <f t="array" aca="1" ref="H1333" ca="1">[1]!s_west_eps($B$1,YEAR($A1333)+1,$A1333,180)</f>
        <v>-0.2888</v>
      </c>
      <c r="I1333" cm="1">
        <f t="array" aca="1" ref="I1333" ca="1">[1]!s_west_instnum_np($B$1,YEAR($A1333)+1,$A1333,180)</f>
        <v>5</v>
      </c>
      <c r="J1333" cm="1">
        <f t="array" aca="1" ref="J1333" ca="1">[1]!s_west_stdnetprofit($B$1,YEAR($A1333)+1,$A1333,180,1000000)</f>
        <v>152.43388100000001</v>
      </c>
      <c r="K1333" cm="1">
        <f t="array" aca="1" ref="K1333" ca="1">[1]!s_west_mediannetprofit($B$1,YEAR($A1332)+1,$A1332,180,1000000)</f>
        <v>-299</v>
      </c>
      <c r="L1333" cm="1">
        <f t="array" aca="1" ref="L1333" ca="1">[1]!s_dq_close($B$1,$A1333,3)</f>
        <v>13.62</v>
      </c>
    </row>
    <row r="1334" spans="1:12">
      <c r="A1334" s="23">
        <f t="shared" ca="1" si="20"/>
        <v>44841</v>
      </c>
      <c r="B1334" cm="1">
        <f t="array" aca="1" ref="B1334" ca="1">[1]!s_west_netprofit($B$1,YEAR($A1334),$A1334,180,1000000)</f>
        <v>-283.77999999999997</v>
      </c>
      <c r="C1334" cm="1">
        <f t="array" aca="1" ref="C1334" ca="1">[1]!s_west_eps($B$1,YEAR($A1334),$A1334,180)</f>
        <v>-0.32819999999999999</v>
      </c>
      <c r="D1334" cm="1">
        <f t="array" aca="1" ref="D1334" ca="1">[1]!s_west_instnum_np($B$1,YEAR($A1334),$A1334,180)</f>
        <v>5</v>
      </c>
      <c r="E1334" cm="1">
        <f t="array" aca="1" ref="E1334" ca="1">[1]!s_west_stdnetprofit($B$1,YEAR($A1334),$A1334,180,1000000)</f>
        <v>118.299374</v>
      </c>
      <c r="F1334" cm="1">
        <f t="array" aca="1" ref="F1334" ca="1">[1]!s_west_mediannetprofit($B$1,YEAR($A1334),$A1334,180,1000000)</f>
        <v>-326</v>
      </c>
      <c r="G1334" cm="1">
        <f t="array" aca="1" ref="G1334" ca="1">[1]!s_west_netprofit($B$1,YEAR($A1334)+1,$A1334,180,1000000)</f>
        <v>-250.74</v>
      </c>
      <c r="H1334" cm="1">
        <f t="array" aca="1" ref="H1334" ca="1">[1]!s_west_eps($B$1,YEAR($A1334)+1,$A1334,180)</f>
        <v>-0.2888</v>
      </c>
      <c r="I1334" cm="1">
        <f t="array" aca="1" ref="I1334" ca="1">[1]!s_west_instnum_np($B$1,YEAR($A1334)+1,$A1334,180)</f>
        <v>5</v>
      </c>
      <c r="J1334" cm="1">
        <f t="array" aca="1" ref="J1334" ca="1">[1]!s_west_stdnetprofit($B$1,YEAR($A1334)+1,$A1334,180,1000000)</f>
        <v>152.43388100000001</v>
      </c>
      <c r="K1334" cm="1">
        <f t="array" aca="1" ref="K1334" ca="1">[1]!s_west_mediannetprofit($B$1,YEAR($A1333)+1,$A1333,180,1000000)</f>
        <v>-299</v>
      </c>
      <c r="L1334" cm="1">
        <f t="array" aca="1" ref="L1334" ca="1">[1]!s_dq_close($B$1,$A1334,3)</f>
        <v>13.62</v>
      </c>
    </row>
    <row r="1335" spans="1:12">
      <c r="A1335" s="23">
        <f t="shared" ca="1" si="20"/>
        <v>44840</v>
      </c>
      <c r="B1335" cm="1">
        <f t="array" aca="1" ref="B1335" ca="1">[1]!s_west_netprofit($B$1,YEAR($A1335),$A1335,180,1000000)</f>
        <v>-283.77999999999997</v>
      </c>
      <c r="C1335" cm="1">
        <f t="array" aca="1" ref="C1335" ca="1">[1]!s_west_eps($B$1,YEAR($A1335),$A1335,180)</f>
        <v>-0.32819999999999999</v>
      </c>
      <c r="D1335" cm="1">
        <f t="array" aca="1" ref="D1335" ca="1">[1]!s_west_instnum_np($B$1,YEAR($A1335),$A1335,180)</f>
        <v>5</v>
      </c>
      <c r="E1335" cm="1">
        <f t="array" aca="1" ref="E1335" ca="1">[1]!s_west_stdnetprofit($B$1,YEAR($A1335),$A1335,180,1000000)</f>
        <v>118.299374</v>
      </c>
      <c r="F1335" cm="1">
        <f t="array" aca="1" ref="F1335" ca="1">[1]!s_west_mediannetprofit($B$1,YEAR($A1335),$A1335,180,1000000)</f>
        <v>-326</v>
      </c>
      <c r="G1335" cm="1">
        <f t="array" aca="1" ref="G1335" ca="1">[1]!s_west_netprofit($B$1,YEAR($A1335)+1,$A1335,180,1000000)</f>
        <v>-250.74</v>
      </c>
      <c r="H1335" cm="1">
        <f t="array" aca="1" ref="H1335" ca="1">[1]!s_west_eps($B$1,YEAR($A1335)+1,$A1335,180)</f>
        <v>-0.2888</v>
      </c>
      <c r="I1335" cm="1">
        <f t="array" aca="1" ref="I1335" ca="1">[1]!s_west_instnum_np($B$1,YEAR($A1335)+1,$A1335,180)</f>
        <v>5</v>
      </c>
      <c r="J1335" cm="1">
        <f t="array" aca="1" ref="J1335" ca="1">[1]!s_west_stdnetprofit($B$1,YEAR($A1335)+1,$A1335,180,1000000)</f>
        <v>152.43388100000001</v>
      </c>
      <c r="K1335" cm="1">
        <f t="array" aca="1" ref="K1335" ca="1">[1]!s_west_mediannetprofit($B$1,YEAR($A1334)+1,$A1334,180,1000000)</f>
        <v>-299</v>
      </c>
      <c r="L1335" cm="1">
        <f t="array" aca="1" ref="L1335" ca="1">[1]!s_dq_close($B$1,$A1335,3)</f>
        <v>13.98</v>
      </c>
    </row>
    <row r="1336" spans="1:12">
      <c r="A1336" s="23">
        <f t="shared" ca="1" si="20"/>
        <v>44839</v>
      </c>
      <c r="B1336" cm="1">
        <f t="array" aca="1" ref="B1336" ca="1">[1]!s_west_netprofit($B$1,YEAR($A1336),$A1336,180,1000000)</f>
        <v>-283.77999999999997</v>
      </c>
      <c r="C1336" cm="1">
        <f t="array" aca="1" ref="C1336" ca="1">[1]!s_west_eps($B$1,YEAR($A1336),$A1336,180)</f>
        <v>-0.32819999999999999</v>
      </c>
      <c r="D1336" cm="1">
        <f t="array" aca="1" ref="D1336" ca="1">[1]!s_west_instnum_np($B$1,YEAR($A1336),$A1336,180)</f>
        <v>5</v>
      </c>
      <c r="E1336" cm="1">
        <f t="array" aca="1" ref="E1336" ca="1">[1]!s_west_stdnetprofit($B$1,YEAR($A1336),$A1336,180,1000000)</f>
        <v>118.299374</v>
      </c>
      <c r="F1336" cm="1">
        <f t="array" aca="1" ref="F1336" ca="1">[1]!s_west_mediannetprofit($B$1,YEAR($A1336),$A1336,180,1000000)</f>
        <v>-326</v>
      </c>
      <c r="G1336" cm="1">
        <f t="array" aca="1" ref="G1336" ca="1">[1]!s_west_netprofit($B$1,YEAR($A1336)+1,$A1336,180,1000000)</f>
        <v>-250.74</v>
      </c>
      <c r="H1336" cm="1">
        <f t="array" aca="1" ref="H1336" ca="1">[1]!s_west_eps($B$1,YEAR($A1336)+1,$A1336,180)</f>
        <v>-0.2888</v>
      </c>
      <c r="I1336" cm="1">
        <f t="array" aca="1" ref="I1336" ca="1">[1]!s_west_instnum_np($B$1,YEAR($A1336)+1,$A1336,180)</f>
        <v>5</v>
      </c>
      <c r="J1336" cm="1">
        <f t="array" aca="1" ref="J1336" ca="1">[1]!s_west_stdnetprofit($B$1,YEAR($A1336)+1,$A1336,180,1000000)</f>
        <v>152.43388100000001</v>
      </c>
      <c r="K1336" cm="1">
        <f t="array" aca="1" ref="K1336" ca="1">[1]!s_west_mediannetprofit($B$1,YEAR($A1335)+1,$A1335,180,1000000)</f>
        <v>-299</v>
      </c>
      <c r="L1336" cm="1">
        <f t="array" aca="1" ref="L1336" ca="1">[1]!s_dq_close($B$1,$A1336,3)</f>
        <v>14.3</v>
      </c>
    </row>
    <row r="1337" spans="1:12">
      <c r="A1337" s="23">
        <f t="shared" ca="1" si="20"/>
        <v>44838</v>
      </c>
      <c r="B1337" cm="1">
        <f t="array" aca="1" ref="B1337" ca="1">[1]!s_west_netprofit($B$1,YEAR($A1337),$A1337,180,1000000)</f>
        <v>-283.77999999999997</v>
      </c>
      <c r="C1337" cm="1">
        <f t="array" aca="1" ref="C1337" ca="1">[1]!s_west_eps($B$1,YEAR($A1337),$A1337,180)</f>
        <v>-0.32819999999999999</v>
      </c>
      <c r="D1337" cm="1">
        <f t="array" aca="1" ref="D1337" ca="1">[1]!s_west_instnum_np($B$1,YEAR($A1337),$A1337,180)</f>
        <v>5</v>
      </c>
      <c r="E1337" cm="1">
        <f t="array" aca="1" ref="E1337" ca="1">[1]!s_west_stdnetprofit($B$1,YEAR($A1337),$A1337,180,1000000)</f>
        <v>118.299374</v>
      </c>
      <c r="F1337" cm="1">
        <f t="array" aca="1" ref="F1337" ca="1">[1]!s_west_mediannetprofit($B$1,YEAR($A1337),$A1337,180,1000000)</f>
        <v>-326</v>
      </c>
      <c r="G1337" cm="1">
        <f t="array" aca="1" ref="G1337" ca="1">[1]!s_west_netprofit($B$1,YEAR($A1337)+1,$A1337,180,1000000)</f>
        <v>-250.74</v>
      </c>
      <c r="H1337" cm="1">
        <f t="array" aca="1" ref="H1337" ca="1">[1]!s_west_eps($B$1,YEAR($A1337)+1,$A1337,180)</f>
        <v>-0.2888</v>
      </c>
      <c r="I1337" cm="1">
        <f t="array" aca="1" ref="I1337" ca="1">[1]!s_west_instnum_np($B$1,YEAR($A1337)+1,$A1337,180)</f>
        <v>5</v>
      </c>
      <c r="J1337" cm="1">
        <f t="array" aca="1" ref="J1337" ca="1">[1]!s_west_stdnetprofit($B$1,YEAR($A1337)+1,$A1337,180,1000000)</f>
        <v>152.43388100000001</v>
      </c>
      <c r="K1337" cm="1">
        <f t="array" aca="1" ref="K1337" ca="1">[1]!s_west_mediannetprofit($B$1,YEAR($A1336)+1,$A1336,180,1000000)</f>
        <v>-299</v>
      </c>
      <c r="L1337" cm="1">
        <f t="array" aca="1" ref="L1337" ca="1">[1]!s_dq_close($B$1,$A1337,3)</f>
        <v>13.58</v>
      </c>
    </row>
    <row r="1338" spans="1:12">
      <c r="A1338" s="23">
        <f t="shared" ca="1" si="20"/>
        <v>44837</v>
      </c>
      <c r="B1338" cm="1">
        <f t="array" aca="1" ref="B1338" ca="1">[1]!s_west_netprofit($B$1,YEAR($A1338),$A1338,180,1000000)</f>
        <v>-283.77999999999997</v>
      </c>
      <c r="C1338" cm="1">
        <f t="array" aca="1" ref="C1338" ca="1">[1]!s_west_eps($B$1,YEAR($A1338),$A1338,180)</f>
        <v>-0.32819999999999999</v>
      </c>
      <c r="D1338" cm="1">
        <f t="array" aca="1" ref="D1338" ca="1">[1]!s_west_instnum_np($B$1,YEAR($A1338),$A1338,180)</f>
        <v>5</v>
      </c>
      <c r="E1338" cm="1">
        <f t="array" aca="1" ref="E1338" ca="1">[1]!s_west_stdnetprofit($B$1,YEAR($A1338),$A1338,180,1000000)</f>
        <v>118.299374</v>
      </c>
      <c r="F1338" cm="1">
        <f t="array" aca="1" ref="F1338" ca="1">[1]!s_west_mediannetprofit($B$1,YEAR($A1338),$A1338,180,1000000)</f>
        <v>-326</v>
      </c>
      <c r="G1338" cm="1">
        <f t="array" aca="1" ref="G1338" ca="1">[1]!s_west_netprofit($B$1,YEAR($A1338)+1,$A1338,180,1000000)</f>
        <v>-250.74</v>
      </c>
      <c r="H1338" cm="1">
        <f t="array" aca="1" ref="H1338" ca="1">[1]!s_west_eps($B$1,YEAR($A1338)+1,$A1338,180)</f>
        <v>-0.2888</v>
      </c>
      <c r="I1338" cm="1">
        <f t="array" aca="1" ref="I1338" ca="1">[1]!s_west_instnum_np($B$1,YEAR($A1338)+1,$A1338,180)</f>
        <v>5</v>
      </c>
      <c r="J1338" cm="1">
        <f t="array" aca="1" ref="J1338" ca="1">[1]!s_west_stdnetprofit($B$1,YEAR($A1338)+1,$A1338,180,1000000)</f>
        <v>152.43388100000001</v>
      </c>
      <c r="K1338" cm="1">
        <f t="array" aca="1" ref="K1338" ca="1">[1]!s_west_mediannetprofit($B$1,YEAR($A1337)+1,$A1337,180,1000000)</f>
        <v>-299</v>
      </c>
      <c r="L1338" cm="1">
        <f t="array" aca="1" ref="L1338" ca="1">[1]!s_dq_close($B$1,$A1338,3)</f>
        <v>13.58</v>
      </c>
    </row>
    <row r="1339" spans="1:12">
      <c r="A1339" s="23">
        <f t="shared" ca="1" si="20"/>
        <v>44836</v>
      </c>
      <c r="B1339" cm="1">
        <f t="array" aca="1" ref="B1339" ca="1">[1]!s_west_netprofit($B$1,YEAR($A1339),$A1339,180,1000000)</f>
        <v>-283.77999999999997</v>
      </c>
      <c r="C1339" cm="1">
        <f t="array" aca="1" ref="C1339" ca="1">[1]!s_west_eps($B$1,YEAR($A1339),$A1339,180)</f>
        <v>-0.32819999999999999</v>
      </c>
      <c r="D1339" cm="1">
        <f t="array" aca="1" ref="D1339" ca="1">[1]!s_west_instnum_np($B$1,YEAR($A1339),$A1339,180)</f>
        <v>5</v>
      </c>
      <c r="E1339" cm="1">
        <f t="array" aca="1" ref="E1339" ca="1">[1]!s_west_stdnetprofit($B$1,YEAR($A1339),$A1339,180,1000000)</f>
        <v>118.299374</v>
      </c>
      <c r="F1339" cm="1">
        <f t="array" aca="1" ref="F1339" ca="1">[1]!s_west_mediannetprofit($B$1,YEAR($A1339),$A1339,180,1000000)</f>
        <v>-326</v>
      </c>
      <c r="G1339" cm="1">
        <f t="array" aca="1" ref="G1339" ca="1">[1]!s_west_netprofit($B$1,YEAR($A1339)+1,$A1339,180,1000000)</f>
        <v>-250.74</v>
      </c>
      <c r="H1339" cm="1">
        <f t="array" aca="1" ref="H1339" ca="1">[1]!s_west_eps($B$1,YEAR($A1339)+1,$A1339,180)</f>
        <v>-0.2888</v>
      </c>
      <c r="I1339" cm="1">
        <f t="array" aca="1" ref="I1339" ca="1">[1]!s_west_instnum_np($B$1,YEAR($A1339)+1,$A1339,180)</f>
        <v>5</v>
      </c>
      <c r="J1339" cm="1">
        <f t="array" aca="1" ref="J1339" ca="1">[1]!s_west_stdnetprofit($B$1,YEAR($A1339)+1,$A1339,180,1000000)</f>
        <v>152.43388100000001</v>
      </c>
      <c r="K1339" cm="1">
        <f t="array" aca="1" ref="K1339" ca="1">[1]!s_west_mediannetprofit($B$1,YEAR($A1338)+1,$A1338,180,1000000)</f>
        <v>-299</v>
      </c>
      <c r="L1339" cm="1">
        <f t="array" aca="1" ref="L1339" ca="1">[1]!s_dq_close($B$1,$A1339,3)</f>
        <v>13.22</v>
      </c>
    </row>
    <row r="1340" spans="1:12">
      <c r="A1340" s="23">
        <f t="shared" ca="1" si="20"/>
        <v>44835</v>
      </c>
      <c r="B1340" cm="1">
        <f t="array" aca="1" ref="B1340" ca="1">[1]!s_west_netprofit($B$1,YEAR($A1340),$A1340,180,1000000)</f>
        <v>-283.77999999999997</v>
      </c>
      <c r="C1340" cm="1">
        <f t="array" aca="1" ref="C1340" ca="1">[1]!s_west_eps($B$1,YEAR($A1340),$A1340,180)</f>
        <v>-0.32819999999999999</v>
      </c>
      <c r="D1340" cm="1">
        <f t="array" aca="1" ref="D1340" ca="1">[1]!s_west_instnum_np($B$1,YEAR($A1340),$A1340,180)</f>
        <v>5</v>
      </c>
      <c r="E1340" cm="1">
        <f t="array" aca="1" ref="E1340" ca="1">[1]!s_west_stdnetprofit($B$1,YEAR($A1340),$A1340,180,1000000)</f>
        <v>118.299374</v>
      </c>
      <c r="F1340" cm="1">
        <f t="array" aca="1" ref="F1340" ca="1">[1]!s_west_mediannetprofit($B$1,YEAR($A1340),$A1340,180,1000000)</f>
        <v>-326</v>
      </c>
      <c r="G1340" cm="1">
        <f t="array" aca="1" ref="G1340" ca="1">[1]!s_west_netprofit($B$1,YEAR($A1340)+1,$A1340,180,1000000)</f>
        <v>-250.74</v>
      </c>
      <c r="H1340" cm="1">
        <f t="array" aca="1" ref="H1340" ca="1">[1]!s_west_eps($B$1,YEAR($A1340)+1,$A1340,180)</f>
        <v>-0.2888</v>
      </c>
      <c r="I1340" cm="1">
        <f t="array" aca="1" ref="I1340" ca="1">[1]!s_west_instnum_np($B$1,YEAR($A1340)+1,$A1340,180)</f>
        <v>5</v>
      </c>
      <c r="J1340" cm="1">
        <f t="array" aca="1" ref="J1340" ca="1">[1]!s_west_stdnetprofit($B$1,YEAR($A1340)+1,$A1340,180,1000000)</f>
        <v>152.43388100000001</v>
      </c>
      <c r="K1340" cm="1">
        <f t="array" aca="1" ref="K1340" ca="1">[1]!s_west_mediannetprofit($B$1,YEAR($A1339)+1,$A1339,180,1000000)</f>
        <v>-299</v>
      </c>
      <c r="L1340" cm="1">
        <f t="array" aca="1" ref="L1340" ca="1">[1]!s_dq_close($B$1,$A1340,3)</f>
        <v>13.22</v>
      </c>
    </row>
    <row r="1341" spans="1:12">
      <c r="A1341" s="23">
        <f t="shared" ca="1" si="20"/>
        <v>44834</v>
      </c>
      <c r="B1341" cm="1">
        <f t="array" aca="1" ref="B1341" ca="1">[1]!s_west_netprofit($B$1,YEAR($A1341),$A1341,180,1000000)</f>
        <v>-283.77999999999997</v>
      </c>
      <c r="C1341" cm="1">
        <f t="array" aca="1" ref="C1341" ca="1">[1]!s_west_eps($B$1,YEAR($A1341),$A1341,180)</f>
        <v>-0.32819999999999999</v>
      </c>
      <c r="D1341" cm="1">
        <f t="array" aca="1" ref="D1341" ca="1">[1]!s_west_instnum_np($B$1,YEAR($A1341),$A1341,180)</f>
        <v>5</v>
      </c>
      <c r="E1341" cm="1">
        <f t="array" aca="1" ref="E1341" ca="1">[1]!s_west_stdnetprofit($B$1,YEAR($A1341),$A1341,180,1000000)</f>
        <v>118.299374</v>
      </c>
      <c r="F1341" cm="1">
        <f t="array" aca="1" ref="F1341" ca="1">[1]!s_west_mediannetprofit($B$1,YEAR($A1341),$A1341,180,1000000)</f>
        <v>-326</v>
      </c>
      <c r="G1341" cm="1">
        <f t="array" aca="1" ref="G1341" ca="1">[1]!s_west_netprofit($B$1,YEAR($A1341)+1,$A1341,180,1000000)</f>
        <v>-250.74</v>
      </c>
      <c r="H1341" cm="1">
        <f t="array" aca="1" ref="H1341" ca="1">[1]!s_west_eps($B$1,YEAR($A1341)+1,$A1341,180)</f>
        <v>-0.2888</v>
      </c>
      <c r="I1341" cm="1">
        <f t="array" aca="1" ref="I1341" ca="1">[1]!s_west_instnum_np($B$1,YEAR($A1341)+1,$A1341,180)</f>
        <v>5</v>
      </c>
      <c r="J1341" cm="1">
        <f t="array" aca="1" ref="J1341" ca="1">[1]!s_west_stdnetprofit($B$1,YEAR($A1341)+1,$A1341,180,1000000)</f>
        <v>152.43388100000001</v>
      </c>
      <c r="K1341" cm="1">
        <f t="array" aca="1" ref="K1341" ca="1">[1]!s_west_mediannetprofit($B$1,YEAR($A1340)+1,$A1340,180,1000000)</f>
        <v>-299</v>
      </c>
      <c r="L1341" cm="1">
        <f t="array" aca="1" ref="L1341" ca="1">[1]!s_dq_close($B$1,$A1341,3)</f>
        <v>13.22</v>
      </c>
    </row>
    <row r="1342" spans="1:12">
      <c r="A1342" s="23">
        <f t="shared" ca="1" si="20"/>
        <v>44833</v>
      </c>
      <c r="B1342" cm="1">
        <f t="array" aca="1" ref="B1342" ca="1">[1]!s_west_netprofit($B$1,YEAR($A1342),$A1342,180,1000000)</f>
        <v>-283.77999999999997</v>
      </c>
      <c r="C1342" cm="1">
        <f t="array" aca="1" ref="C1342" ca="1">[1]!s_west_eps($B$1,YEAR($A1342),$A1342,180)</f>
        <v>-0.32819999999999999</v>
      </c>
      <c r="D1342" cm="1">
        <f t="array" aca="1" ref="D1342" ca="1">[1]!s_west_instnum_np($B$1,YEAR($A1342),$A1342,180)</f>
        <v>5</v>
      </c>
      <c r="E1342" cm="1">
        <f t="array" aca="1" ref="E1342" ca="1">[1]!s_west_stdnetprofit($B$1,YEAR($A1342),$A1342,180,1000000)</f>
        <v>118.299374</v>
      </c>
      <c r="F1342" cm="1">
        <f t="array" aca="1" ref="F1342" ca="1">[1]!s_west_mediannetprofit($B$1,YEAR($A1342),$A1342,180,1000000)</f>
        <v>-326</v>
      </c>
      <c r="G1342" cm="1">
        <f t="array" aca="1" ref="G1342" ca="1">[1]!s_west_netprofit($B$1,YEAR($A1342)+1,$A1342,180,1000000)</f>
        <v>-250.74</v>
      </c>
      <c r="H1342" cm="1">
        <f t="array" aca="1" ref="H1342" ca="1">[1]!s_west_eps($B$1,YEAR($A1342)+1,$A1342,180)</f>
        <v>-0.2888</v>
      </c>
      <c r="I1342" cm="1">
        <f t="array" aca="1" ref="I1342" ca="1">[1]!s_west_instnum_np($B$1,YEAR($A1342)+1,$A1342,180)</f>
        <v>5</v>
      </c>
      <c r="J1342" cm="1">
        <f t="array" aca="1" ref="J1342" ca="1">[1]!s_west_stdnetprofit($B$1,YEAR($A1342)+1,$A1342,180,1000000)</f>
        <v>152.43388100000001</v>
      </c>
      <c r="K1342" cm="1">
        <f t="array" aca="1" ref="K1342" ca="1">[1]!s_west_mediannetprofit($B$1,YEAR($A1341)+1,$A1341,180,1000000)</f>
        <v>-299</v>
      </c>
      <c r="L1342" cm="1">
        <f t="array" aca="1" ref="L1342" ca="1">[1]!s_dq_close($B$1,$A1342,3)</f>
        <v>13.8</v>
      </c>
    </row>
    <row r="1343" spans="1:12">
      <c r="A1343" s="23">
        <f t="shared" ca="1" si="20"/>
        <v>44832</v>
      </c>
      <c r="B1343" cm="1">
        <f t="array" aca="1" ref="B1343" ca="1">[1]!s_west_netprofit($B$1,YEAR($A1343),$A1343,180,1000000)</f>
        <v>-283.77999999999997</v>
      </c>
      <c r="C1343" cm="1">
        <f t="array" aca="1" ref="C1343" ca="1">[1]!s_west_eps($B$1,YEAR($A1343),$A1343,180)</f>
        <v>-0.32819999999999999</v>
      </c>
      <c r="D1343" cm="1">
        <f t="array" aca="1" ref="D1343" ca="1">[1]!s_west_instnum_np($B$1,YEAR($A1343),$A1343,180)</f>
        <v>5</v>
      </c>
      <c r="E1343" cm="1">
        <f t="array" aca="1" ref="E1343" ca="1">[1]!s_west_stdnetprofit($B$1,YEAR($A1343),$A1343,180,1000000)</f>
        <v>118.299374</v>
      </c>
      <c r="F1343" cm="1">
        <f t="array" aca="1" ref="F1343" ca="1">[1]!s_west_mediannetprofit($B$1,YEAR($A1343),$A1343,180,1000000)</f>
        <v>-326</v>
      </c>
      <c r="G1343" cm="1">
        <f t="array" aca="1" ref="G1343" ca="1">[1]!s_west_netprofit($B$1,YEAR($A1343)+1,$A1343,180,1000000)</f>
        <v>-250.74</v>
      </c>
      <c r="H1343" cm="1">
        <f t="array" aca="1" ref="H1343" ca="1">[1]!s_west_eps($B$1,YEAR($A1343)+1,$A1343,180)</f>
        <v>-0.2888</v>
      </c>
      <c r="I1343" cm="1">
        <f t="array" aca="1" ref="I1343" ca="1">[1]!s_west_instnum_np($B$1,YEAR($A1343)+1,$A1343,180)</f>
        <v>5</v>
      </c>
      <c r="J1343" cm="1">
        <f t="array" aca="1" ref="J1343" ca="1">[1]!s_west_stdnetprofit($B$1,YEAR($A1343)+1,$A1343,180,1000000)</f>
        <v>152.43388100000001</v>
      </c>
      <c r="K1343" cm="1">
        <f t="array" aca="1" ref="K1343" ca="1">[1]!s_west_mediannetprofit($B$1,YEAR($A1342)+1,$A1342,180,1000000)</f>
        <v>-299</v>
      </c>
      <c r="L1343" cm="1">
        <f t="array" aca="1" ref="L1343" ca="1">[1]!s_dq_close($B$1,$A1343,3)</f>
        <v>13.52</v>
      </c>
    </row>
    <row r="1344" spans="1:12">
      <c r="A1344" s="23">
        <f t="shared" ca="1" si="20"/>
        <v>44831</v>
      </c>
      <c r="B1344" cm="1">
        <f t="array" aca="1" ref="B1344" ca="1">[1]!s_west_netprofit($B$1,YEAR($A1344),$A1344,180,1000000)</f>
        <v>-283.77999999999997</v>
      </c>
      <c r="C1344" cm="1">
        <f t="array" aca="1" ref="C1344" ca="1">[1]!s_west_eps($B$1,YEAR($A1344),$A1344,180)</f>
        <v>-0.32819999999999999</v>
      </c>
      <c r="D1344" cm="1">
        <f t="array" aca="1" ref="D1344" ca="1">[1]!s_west_instnum_np($B$1,YEAR($A1344),$A1344,180)</f>
        <v>5</v>
      </c>
      <c r="E1344" cm="1">
        <f t="array" aca="1" ref="E1344" ca="1">[1]!s_west_stdnetprofit($B$1,YEAR($A1344),$A1344,180,1000000)</f>
        <v>118.299374</v>
      </c>
      <c r="F1344" cm="1">
        <f t="array" aca="1" ref="F1344" ca="1">[1]!s_west_mediannetprofit($B$1,YEAR($A1344),$A1344,180,1000000)</f>
        <v>-326</v>
      </c>
      <c r="G1344" cm="1">
        <f t="array" aca="1" ref="G1344" ca="1">[1]!s_west_netprofit($B$1,YEAR($A1344)+1,$A1344,180,1000000)</f>
        <v>-250.74</v>
      </c>
      <c r="H1344" cm="1">
        <f t="array" aca="1" ref="H1344" ca="1">[1]!s_west_eps($B$1,YEAR($A1344)+1,$A1344,180)</f>
        <v>-0.2888</v>
      </c>
      <c r="I1344" cm="1">
        <f t="array" aca="1" ref="I1344" ca="1">[1]!s_west_instnum_np($B$1,YEAR($A1344)+1,$A1344,180)</f>
        <v>5</v>
      </c>
      <c r="J1344" cm="1">
        <f t="array" aca="1" ref="J1344" ca="1">[1]!s_west_stdnetprofit($B$1,YEAR($A1344)+1,$A1344,180,1000000)</f>
        <v>152.43388100000001</v>
      </c>
      <c r="K1344" cm="1">
        <f t="array" aca="1" ref="K1344" ca="1">[1]!s_west_mediannetprofit($B$1,YEAR($A1343)+1,$A1343,180,1000000)</f>
        <v>-299</v>
      </c>
      <c r="L1344" cm="1">
        <f t="array" aca="1" ref="L1344" ca="1">[1]!s_dq_close($B$1,$A1344,3)</f>
        <v>14.3</v>
      </c>
    </row>
    <row r="1345" spans="1:12">
      <c r="A1345" s="23">
        <f t="shared" ca="1" si="20"/>
        <v>44830</v>
      </c>
      <c r="B1345" cm="1">
        <f t="array" aca="1" ref="B1345" ca="1">[1]!s_west_netprofit($B$1,YEAR($A1345),$A1345,180,1000000)</f>
        <v>-283.77999999999997</v>
      </c>
      <c r="C1345" cm="1">
        <f t="array" aca="1" ref="C1345" ca="1">[1]!s_west_eps($B$1,YEAR($A1345),$A1345,180)</f>
        <v>-0.32819999999999999</v>
      </c>
      <c r="D1345" cm="1">
        <f t="array" aca="1" ref="D1345" ca="1">[1]!s_west_instnum_np($B$1,YEAR($A1345),$A1345,180)</f>
        <v>5</v>
      </c>
      <c r="E1345" cm="1">
        <f t="array" aca="1" ref="E1345" ca="1">[1]!s_west_stdnetprofit($B$1,YEAR($A1345),$A1345,180,1000000)</f>
        <v>118.299374</v>
      </c>
      <c r="F1345" cm="1">
        <f t="array" aca="1" ref="F1345" ca="1">[1]!s_west_mediannetprofit($B$1,YEAR($A1345),$A1345,180,1000000)</f>
        <v>-326</v>
      </c>
      <c r="G1345" cm="1">
        <f t="array" aca="1" ref="G1345" ca="1">[1]!s_west_netprofit($B$1,YEAR($A1345)+1,$A1345,180,1000000)</f>
        <v>-250.74</v>
      </c>
      <c r="H1345" cm="1">
        <f t="array" aca="1" ref="H1345" ca="1">[1]!s_west_eps($B$1,YEAR($A1345)+1,$A1345,180)</f>
        <v>-0.2888</v>
      </c>
      <c r="I1345" cm="1">
        <f t="array" aca="1" ref="I1345" ca="1">[1]!s_west_instnum_np($B$1,YEAR($A1345)+1,$A1345,180)</f>
        <v>5</v>
      </c>
      <c r="J1345" cm="1">
        <f t="array" aca="1" ref="J1345" ca="1">[1]!s_west_stdnetprofit($B$1,YEAR($A1345)+1,$A1345,180,1000000)</f>
        <v>152.43388100000001</v>
      </c>
      <c r="K1345" cm="1">
        <f t="array" aca="1" ref="K1345" ca="1">[1]!s_west_mediannetprofit($B$1,YEAR($A1344)+1,$A1344,180,1000000)</f>
        <v>-299</v>
      </c>
      <c r="L1345" cm="1">
        <f t="array" aca="1" ref="L1345" ca="1">[1]!s_dq_close($B$1,$A1345,3)</f>
        <v>13.62</v>
      </c>
    </row>
    <row r="1346" spans="1:12">
      <c r="A1346" s="23">
        <f t="shared" ca="1" si="20"/>
        <v>44829</v>
      </c>
      <c r="B1346" cm="1">
        <f t="array" aca="1" ref="B1346" ca="1">[1]!s_west_netprofit($B$1,YEAR($A1346),$A1346,180,1000000)</f>
        <v>-283.77999999999997</v>
      </c>
      <c r="C1346" cm="1">
        <f t="array" aca="1" ref="C1346" ca="1">[1]!s_west_eps($B$1,YEAR($A1346),$A1346,180)</f>
        <v>-0.32819999999999999</v>
      </c>
      <c r="D1346" cm="1">
        <f t="array" aca="1" ref="D1346" ca="1">[1]!s_west_instnum_np($B$1,YEAR($A1346),$A1346,180)</f>
        <v>5</v>
      </c>
      <c r="E1346" cm="1">
        <f t="array" aca="1" ref="E1346" ca="1">[1]!s_west_stdnetprofit($B$1,YEAR($A1346),$A1346,180,1000000)</f>
        <v>118.299374</v>
      </c>
      <c r="F1346" cm="1">
        <f t="array" aca="1" ref="F1346" ca="1">[1]!s_west_mediannetprofit($B$1,YEAR($A1346),$A1346,180,1000000)</f>
        <v>-326</v>
      </c>
      <c r="G1346" cm="1">
        <f t="array" aca="1" ref="G1346" ca="1">[1]!s_west_netprofit($B$1,YEAR($A1346)+1,$A1346,180,1000000)</f>
        <v>-250.74</v>
      </c>
      <c r="H1346" cm="1">
        <f t="array" aca="1" ref="H1346" ca="1">[1]!s_west_eps($B$1,YEAR($A1346)+1,$A1346,180)</f>
        <v>-0.2888</v>
      </c>
      <c r="I1346" cm="1">
        <f t="array" aca="1" ref="I1346" ca="1">[1]!s_west_instnum_np($B$1,YEAR($A1346)+1,$A1346,180)</f>
        <v>5</v>
      </c>
      <c r="J1346" cm="1">
        <f t="array" aca="1" ref="J1346" ca="1">[1]!s_west_stdnetprofit($B$1,YEAR($A1346)+1,$A1346,180,1000000)</f>
        <v>152.43388100000001</v>
      </c>
      <c r="K1346" cm="1">
        <f t="array" aca="1" ref="K1346" ca="1">[1]!s_west_mediannetprofit($B$1,YEAR($A1345)+1,$A1345,180,1000000)</f>
        <v>-299</v>
      </c>
      <c r="L1346" cm="1">
        <f t="array" aca="1" ref="L1346" ca="1">[1]!s_dq_close($B$1,$A1346,3)</f>
        <v>13.8</v>
      </c>
    </row>
    <row r="1347" spans="1:12">
      <c r="A1347" s="23">
        <f t="shared" ca="1" si="20"/>
        <v>44828</v>
      </c>
      <c r="B1347" cm="1">
        <f t="array" aca="1" ref="B1347" ca="1">[1]!s_west_netprofit($B$1,YEAR($A1347),$A1347,180,1000000)</f>
        <v>-283.77999999999997</v>
      </c>
      <c r="C1347" cm="1">
        <f t="array" aca="1" ref="C1347" ca="1">[1]!s_west_eps($B$1,YEAR($A1347),$A1347,180)</f>
        <v>-0.32819999999999999</v>
      </c>
      <c r="D1347" cm="1">
        <f t="array" aca="1" ref="D1347" ca="1">[1]!s_west_instnum_np($B$1,YEAR($A1347),$A1347,180)</f>
        <v>5</v>
      </c>
      <c r="E1347" cm="1">
        <f t="array" aca="1" ref="E1347" ca="1">[1]!s_west_stdnetprofit($B$1,YEAR($A1347),$A1347,180,1000000)</f>
        <v>118.299374</v>
      </c>
      <c r="F1347" cm="1">
        <f t="array" aca="1" ref="F1347" ca="1">[1]!s_west_mediannetprofit($B$1,YEAR($A1347),$A1347,180,1000000)</f>
        <v>-326</v>
      </c>
      <c r="G1347" cm="1">
        <f t="array" aca="1" ref="G1347" ca="1">[1]!s_west_netprofit($B$1,YEAR($A1347)+1,$A1347,180,1000000)</f>
        <v>-250.74</v>
      </c>
      <c r="H1347" cm="1">
        <f t="array" aca="1" ref="H1347" ca="1">[1]!s_west_eps($B$1,YEAR($A1347)+1,$A1347,180)</f>
        <v>-0.2888</v>
      </c>
      <c r="I1347" cm="1">
        <f t="array" aca="1" ref="I1347" ca="1">[1]!s_west_instnum_np($B$1,YEAR($A1347)+1,$A1347,180)</f>
        <v>5</v>
      </c>
      <c r="J1347" cm="1">
        <f t="array" aca="1" ref="J1347" ca="1">[1]!s_west_stdnetprofit($B$1,YEAR($A1347)+1,$A1347,180,1000000)</f>
        <v>152.43388100000001</v>
      </c>
      <c r="K1347" cm="1">
        <f t="array" aca="1" ref="K1347" ca="1">[1]!s_west_mediannetprofit($B$1,YEAR($A1346)+1,$A1346,180,1000000)</f>
        <v>-299</v>
      </c>
      <c r="L1347" cm="1">
        <f t="array" aca="1" ref="L1347" ca="1">[1]!s_dq_close($B$1,$A1347,3)</f>
        <v>13.8</v>
      </c>
    </row>
    <row r="1348" spans="1:12">
      <c r="A1348" s="23">
        <f t="shared" ca="1" si="20"/>
        <v>44827</v>
      </c>
      <c r="B1348" cm="1">
        <f t="array" aca="1" ref="B1348" ca="1">[1]!s_west_netprofit($B$1,YEAR($A1348),$A1348,180,1000000)</f>
        <v>-283.77999999999997</v>
      </c>
      <c r="C1348" cm="1">
        <f t="array" aca="1" ref="C1348" ca="1">[1]!s_west_eps($B$1,YEAR($A1348),$A1348,180)</f>
        <v>-0.32819999999999999</v>
      </c>
      <c r="D1348" cm="1">
        <f t="array" aca="1" ref="D1348" ca="1">[1]!s_west_instnum_np($B$1,YEAR($A1348),$A1348,180)</f>
        <v>5</v>
      </c>
      <c r="E1348" cm="1">
        <f t="array" aca="1" ref="E1348" ca="1">[1]!s_west_stdnetprofit($B$1,YEAR($A1348),$A1348,180,1000000)</f>
        <v>118.299374</v>
      </c>
      <c r="F1348" cm="1">
        <f t="array" aca="1" ref="F1348" ca="1">[1]!s_west_mediannetprofit($B$1,YEAR($A1348),$A1348,180,1000000)</f>
        <v>-326</v>
      </c>
      <c r="G1348" cm="1">
        <f t="array" aca="1" ref="G1348" ca="1">[1]!s_west_netprofit($B$1,YEAR($A1348)+1,$A1348,180,1000000)</f>
        <v>-250.74</v>
      </c>
      <c r="H1348" cm="1">
        <f t="array" aca="1" ref="H1348" ca="1">[1]!s_west_eps($B$1,YEAR($A1348)+1,$A1348,180)</f>
        <v>-0.2888</v>
      </c>
      <c r="I1348" cm="1">
        <f t="array" aca="1" ref="I1348" ca="1">[1]!s_west_instnum_np($B$1,YEAR($A1348)+1,$A1348,180)</f>
        <v>5</v>
      </c>
      <c r="J1348" cm="1">
        <f t="array" aca="1" ref="J1348" ca="1">[1]!s_west_stdnetprofit($B$1,YEAR($A1348)+1,$A1348,180,1000000)</f>
        <v>152.43388100000001</v>
      </c>
      <c r="K1348" cm="1">
        <f t="array" aca="1" ref="K1348" ca="1">[1]!s_west_mediannetprofit($B$1,YEAR($A1347)+1,$A1347,180,1000000)</f>
        <v>-299</v>
      </c>
      <c r="L1348" cm="1">
        <f t="array" aca="1" ref="L1348" ca="1">[1]!s_dq_close($B$1,$A1348,3)</f>
        <v>13.8</v>
      </c>
    </row>
    <row r="1349" spans="1:12">
      <c r="A1349" s="23">
        <f t="shared" ca="1" si="20"/>
        <v>44826</v>
      </c>
      <c r="B1349" cm="1">
        <f t="array" aca="1" ref="B1349" ca="1">[1]!s_west_netprofit($B$1,YEAR($A1349),$A1349,180,1000000)</f>
        <v>-283.77999999999997</v>
      </c>
      <c r="C1349" cm="1">
        <f t="array" aca="1" ref="C1349" ca="1">[1]!s_west_eps($B$1,YEAR($A1349),$A1349,180)</f>
        <v>-0.32819999999999999</v>
      </c>
      <c r="D1349" cm="1">
        <f t="array" aca="1" ref="D1349" ca="1">[1]!s_west_instnum_np($B$1,YEAR($A1349),$A1349,180)</f>
        <v>5</v>
      </c>
      <c r="E1349" cm="1">
        <f t="array" aca="1" ref="E1349" ca="1">[1]!s_west_stdnetprofit($B$1,YEAR($A1349),$A1349,180,1000000)</f>
        <v>118.299374</v>
      </c>
      <c r="F1349" cm="1">
        <f t="array" aca="1" ref="F1349" ca="1">[1]!s_west_mediannetprofit($B$1,YEAR($A1349),$A1349,180,1000000)</f>
        <v>-326</v>
      </c>
      <c r="G1349" cm="1">
        <f t="array" aca="1" ref="G1349" ca="1">[1]!s_west_netprofit($B$1,YEAR($A1349)+1,$A1349,180,1000000)</f>
        <v>-250.74</v>
      </c>
      <c r="H1349" cm="1">
        <f t="array" aca="1" ref="H1349" ca="1">[1]!s_west_eps($B$1,YEAR($A1349)+1,$A1349,180)</f>
        <v>-0.2888</v>
      </c>
      <c r="I1349" cm="1">
        <f t="array" aca="1" ref="I1349" ca="1">[1]!s_west_instnum_np($B$1,YEAR($A1349)+1,$A1349,180)</f>
        <v>5</v>
      </c>
      <c r="J1349" cm="1">
        <f t="array" aca="1" ref="J1349" ca="1">[1]!s_west_stdnetprofit($B$1,YEAR($A1349)+1,$A1349,180,1000000)</f>
        <v>152.43388100000001</v>
      </c>
      <c r="K1349" cm="1">
        <f t="array" aca="1" ref="K1349" ca="1">[1]!s_west_mediannetprofit($B$1,YEAR($A1348)+1,$A1348,180,1000000)</f>
        <v>-299</v>
      </c>
      <c r="L1349" cm="1">
        <f t="array" aca="1" ref="L1349" ca="1">[1]!s_dq_close($B$1,$A1349,3)</f>
        <v>15</v>
      </c>
    </row>
    <row r="1350" spans="1:12">
      <c r="A1350" s="23">
        <f t="shared" ca="1" si="20"/>
        <v>44825</v>
      </c>
      <c r="B1350" cm="1">
        <f t="array" aca="1" ref="B1350" ca="1">[1]!s_west_netprofit($B$1,YEAR($A1350),$A1350,180,1000000)</f>
        <v>-283.77999999999997</v>
      </c>
      <c r="C1350" cm="1">
        <f t="array" aca="1" ref="C1350" ca="1">[1]!s_west_eps($B$1,YEAR($A1350),$A1350,180)</f>
        <v>-0.32819999999999999</v>
      </c>
      <c r="D1350" cm="1">
        <f t="array" aca="1" ref="D1350" ca="1">[1]!s_west_instnum_np($B$1,YEAR($A1350),$A1350,180)</f>
        <v>5</v>
      </c>
      <c r="E1350" cm="1">
        <f t="array" aca="1" ref="E1350" ca="1">[1]!s_west_stdnetprofit($B$1,YEAR($A1350),$A1350,180,1000000)</f>
        <v>118.299374</v>
      </c>
      <c r="F1350" cm="1">
        <f t="array" aca="1" ref="F1350" ca="1">[1]!s_west_mediannetprofit($B$1,YEAR($A1350),$A1350,180,1000000)</f>
        <v>-326</v>
      </c>
      <c r="G1350" cm="1">
        <f t="array" aca="1" ref="G1350" ca="1">[1]!s_west_netprofit($B$1,YEAR($A1350)+1,$A1350,180,1000000)</f>
        <v>-250.74</v>
      </c>
      <c r="H1350" cm="1">
        <f t="array" aca="1" ref="H1350" ca="1">[1]!s_west_eps($B$1,YEAR($A1350)+1,$A1350,180)</f>
        <v>-0.2888</v>
      </c>
      <c r="I1350" cm="1">
        <f t="array" aca="1" ref="I1350" ca="1">[1]!s_west_instnum_np($B$1,YEAR($A1350)+1,$A1350,180)</f>
        <v>5</v>
      </c>
      <c r="J1350" cm="1">
        <f t="array" aca="1" ref="J1350" ca="1">[1]!s_west_stdnetprofit($B$1,YEAR($A1350)+1,$A1350,180,1000000)</f>
        <v>152.43388100000001</v>
      </c>
      <c r="K1350" cm="1">
        <f t="array" aca="1" ref="K1350" ca="1">[1]!s_west_mediannetprofit($B$1,YEAR($A1349)+1,$A1349,180,1000000)</f>
        <v>-299</v>
      </c>
      <c r="L1350" cm="1">
        <f t="array" aca="1" ref="L1350" ca="1">[1]!s_dq_close($B$1,$A1350,3)</f>
        <v>16.2</v>
      </c>
    </row>
    <row r="1351" spans="1:12">
      <c r="A1351" s="23">
        <f t="shared" ca="1" si="20"/>
        <v>44824</v>
      </c>
      <c r="B1351" cm="1">
        <f t="array" aca="1" ref="B1351" ca="1">[1]!s_west_netprofit($B$1,YEAR($A1351),$A1351,180,1000000)</f>
        <v>-283.77999999999997</v>
      </c>
      <c r="C1351" cm="1">
        <f t="array" aca="1" ref="C1351" ca="1">[1]!s_west_eps($B$1,YEAR($A1351),$A1351,180)</f>
        <v>-0.32819999999999999</v>
      </c>
      <c r="D1351" cm="1">
        <f t="array" aca="1" ref="D1351" ca="1">[1]!s_west_instnum_np($B$1,YEAR($A1351),$A1351,180)</f>
        <v>5</v>
      </c>
      <c r="E1351" cm="1">
        <f t="array" aca="1" ref="E1351" ca="1">[1]!s_west_stdnetprofit($B$1,YEAR($A1351),$A1351,180,1000000)</f>
        <v>118.299374</v>
      </c>
      <c r="F1351" cm="1">
        <f t="array" aca="1" ref="F1351" ca="1">[1]!s_west_mediannetprofit($B$1,YEAR($A1351),$A1351,180,1000000)</f>
        <v>-326</v>
      </c>
      <c r="G1351" cm="1">
        <f t="array" aca="1" ref="G1351" ca="1">[1]!s_west_netprofit($B$1,YEAR($A1351)+1,$A1351,180,1000000)</f>
        <v>-250.74</v>
      </c>
      <c r="H1351" cm="1">
        <f t="array" aca="1" ref="H1351" ca="1">[1]!s_west_eps($B$1,YEAR($A1351)+1,$A1351,180)</f>
        <v>-0.2888</v>
      </c>
      <c r="I1351" cm="1">
        <f t="array" aca="1" ref="I1351" ca="1">[1]!s_west_instnum_np($B$1,YEAR($A1351)+1,$A1351,180)</f>
        <v>5</v>
      </c>
      <c r="J1351" cm="1">
        <f t="array" aca="1" ref="J1351" ca="1">[1]!s_west_stdnetprofit($B$1,YEAR($A1351)+1,$A1351,180,1000000)</f>
        <v>152.43388100000001</v>
      </c>
      <c r="K1351" cm="1">
        <f t="array" aca="1" ref="K1351" ca="1">[1]!s_west_mediannetprofit($B$1,YEAR($A1350)+1,$A1350,180,1000000)</f>
        <v>-299</v>
      </c>
      <c r="L1351" cm="1">
        <f t="array" aca="1" ref="L1351" ca="1">[1]!s_dq_close($B$1,$A1351,3)</f>
        <v>17</v>
      </c>
    </row>
    <row r="1352" spans="1:12">
      <c r="A1352" s="23">
        <f t="shared" ca="1" si="20"/>
        <v>44823</v>
      </c>
      <c r="B1352" cm="1">
        <f t="array" aca="1" ref="B1352" ca="1">[1]!s_west_netprofit($B$1,YEAR($A1352),$A1352,180,1000000)</f>
        <v>-283.77999999999997</v>
      </c>
      <c r="C1352" cm="1">
        <f t="array" aca="1" ref="C1352" ca="1">[1]!s_west_eps($B$1,YEAR($A1352),$A1352,180)</f>
        <v>-0.32819999999999999</v>
      </c>
      <c r="D1352" cm="1">
        <f t="array" aca="1" ref="D1352" ca="1">[1]!s_west_instnum_np($B$1,YEAR($A1352),$A1352,180)</f>
        <v>5</v>
      </c>
      <c r="E1352" cm="1">
        <f t="array" aca="1" ref="E1352" ca="1">[1]!s_west_stdnetprofit($B$1,YEAR($A1352),$A1352,180,1000000)</f>
        <v>118.299374</v>
      </c>
      <c r="F1352" cm="1">
        <f t="array" aca="1" ref="F1352" ca="1">[1]!s_west_mediannetprofit($B$1,YEAR($A1352),$A1352,180,1000000)</f>
        <v>-326</v>
      </c>
      <c r="G1352" cm="1">
        <f t="array" aca="1" ref="G1352" ca="1">[1]!s_west_netprofit($B$1,YEAR($A1352)+1,$A1352,180,1000000)</f>
        <v>-250.74</v>
      </c>
      <c r="H1352" cm="1">
        <f t="array" aca="1" ref="H1352" ca="1">[1]!s_west_eps($B$1,YEAR($A1352)+1,$A1352,180)</f>
        <v>-0.2888</v>
      </c>
      <c r="I1352" cm="1">
        <f t="array" aca="1" ref="I1352" ca="1">[1]!s_west_instnum_np($B$1,YEAR($A1352)+1,$A1352,180)</f>
        <v>5</v>
      </c>
      <c r="J1352" cm="1">
        <f t="array" aca="1" ref="J1352" ca="1">[1]!s_west_stdnetprofit($B$1,YEAR($A1352)+1,$A1352,180,1000000)</f>
        <v>152.43388100000001</v>
      </c>
      <c r="K1352" cm="1">
        <f t="array" aca="1" ref="K1352" ca="1">[1]!s_west_mediannetprofit($B$1,YEAR($A1351)+1,$A1351,180,1000000)</f>
        <v>-299</v>
      </c>
      <c r="L1352" cm="1">
        <f t="array" aca="1" ref="L1352" ca="1">[1]!s_dq_close($B$1,$A1352,3)</f>
        <v>18.3</v>
      </c>
    </row>
    <row r="1353" spans="1:12">
      <c r="A1353" s="23">
        <f t="shared" ca="1" si="20"/>
        <v>44822</v>
      </c>
      <c r="B1353" cm="1">
        <f t="array" aca="1" ref="B1353" ca="1">[1]!s_west_netprofit($B$1,YEAR($A1353),$A1353,180,1000000)</f>
        <v>-283.77999999999997</v>
      </c>
      <c r="C1353" cm="1">
        <f t="array" aca="1" ref="C1353" ca="1">[1]!s_west_eps($B$1,YEAR($A1353),$A1353,180)</f>
        <v>-0.32819999999999999</v>
      </c>
      <c r="D1353" cm="1">
        <f t="array" aca="1" ref="D1353" ca="1">[1]!s_west_instnum_np($B$1,YEAR($A1353),$A1353,180)</f>
        <v>5</v>
      </c>
      <c r="E1353" cm="1">
        <f t="array" aca="1" ref="E1353" ca="1">[1]!s_west_stdnetprofit($B$1,YEAR($A1353),$A1353,180,1000000)</f>
        <v>118.299374</v>
      </c>
      <c r="F1353" cm="1">
        <f t="array" aca="1" ref="F1353" ca="1">[1]!s_west_mediannetprofit($B$1,YEAR($A1353),$A1353,180,1000000)</f>
        <v>-326</v>
      </c>
      <c r="G1353" cm="1">
        <f t="array" aca="1" ref="G1353" ca="1">[1]!s_west_netprofit($B$1,YEAR($A1353)+1,$A1353,180,1000000)</f>
        <v>-250.74</v>
      </c>
      <c r="H1353" cm="1">
        <f t="array" aca="1" ref="H1353" ca="1">[1]!s_west_eps($B$1,YEAR($A1353)+1,$A1353,180)</f>
        <v>-0.2888</v>
      </c>
      <c r="I1353" cm="1">
        <f t="array" aca="1" ref="I1353" ca="1">[1]!s_west_instnum_np($B$1,YEAR($A1353)+1,$A1353,180)</f>
        <v>5</v>
      </c>
      <c r="J1353" cm="1">
        <f t="array" aca="1" ref="J1353" ca="1">[1]!s_west_stdnetprofit($B$1,YEAR($A1353)+1,$A1353,180,1000000)</f>
        <v>152.43388100000001</v>
      </c>
      <c r="K1353" cm="1">
        <f t="array" aca="1" ref="K1353" ca="1">[1]!s_west_mediannetprofit($B$1,YEAR($A1352)+1,$A1352,180,1000000)</f>
        <v>-299</v>
      </c>
      <c r="L1353" cm="1">
        <f t="array" aca="1" ref="L1353" ca="1">[1]!s_dq_close($B$1,$A1353,3)</f>
        <v>18.7</v>
      </c>
    </row>
    <row r="1354" spans="1:12">
      <c r="A1354" s="23">
        <f t="shared" ca="1" si="20"/>
        <v>44821</v>
      </c>
      <c r="B1354" cm="1">
        <f t="array" aca="1" ref="B1354" ca="1">[1]!s_west_netprofit($B$1,YEAR($A1354),$A1354,180,1000000)</f>
        <v>-283.77999999999997</v>
      </c>
      <c r="C1354" cm="1">
        <f t="array" aca="1" ref="C1354" ca="1">[1]!s_west_eps($B$1,YEAR($A1354),$A1354,180)</f>
        <v>-0.32819999999999999</v>
      </c>
      <c r="D1354" cm="1">
        <f t="array" aca="1" ref="D1354" ca="1">[1]!s_west_instnum_np($B$1,YEAR($A1354),$A1354,180)</f>
        <v>5</v>
      </c>
      <c r="E1354" cm="1">
        <f t="array" aca="1" ref="E1354" ca="1">[1]!s_west_stdnetprofit($B$1,YEAR($A1354),$A1354,180,1000000)</f>
        <v>118.299374</v>
      </c>
      <c r="F1354" cm="1">
        <f t="array" aca="1" ref="F1354" ca="1">[1]!s_west_mediannetprofit($B$1,YEAR($A1354),$A1354,180,1000000)</f>
        <v>-326</v>
      </c>
      <c r="G1354" cm="1">
        <f t="array" aca="1" ref="G1354" ca="1">[1]!s_west_netprofit($B$1,YEAR($A1354)+1,$A1354,180,1000000)</f>
        <v>-250.74</v>
      </c>
      <c r="H1354" cm="1">
        <f t="array" aca="1" ref="H1354" ca="1">[1]!s_west_eps($B$1,YEAR($A1354)+1,$A1354,180)</f>
        <v>-0.2888</v>
      </c>
      <c r="I1354" cm="1">
        <f t="array" aca="1" ref="I1354" ca="1">[1]!s_west_instnum_np($B$1,YEAR($A1354)+1,$A1354,180)</f>
        <v>5</v>
      </c>
      <c r="J1354" cm="1">
        <f t="array" aca="1" ref="J1354" ca="1">[1]!s_west_stdnetprofit($B$1,YEAR($A1354)+1,$A1354,180,1000000)</f>
        <v>152.43388100000001</v>
      </c>
      <c r="K1354" cm="1">
        <f t="array" aca="1" ref="K1354" ca="1">[1]!s_west_mediannetprofit($B$1,YEAR($A1353)+1,$A1353,180,1000000)</f>
        <v>-299</v>
      </c>
      <c r="L1354" cm="1">
        <f t="array" aca="1" ref="L1354" ca="1">[1]!s_dq_close($B$1,$A1354,3)</f>
        <v>18.7</v>
      </c>
    </row>
    <row r="1355" spans="1:12">
      <c r="A1355" s="23">
        <f t="shared" ca="1" si="20"/>
        <v>44820</v>
      </c>
      <c r="B1355" cm="1">
        <f t="array" aca="1" ref="B1355" ca="1">[1]!s_west_netprofit($B$1,YEAR($A1355),$A1355,180,1000000)</f>
        <v>-283.77999999999997</v>
      </c>
      <c r="C1355" cm="1">
        <f t="array" aca="1" ref="C1355" ca="1">[1]!s_west_eps($B$1,YEAR($A1355),$A1355,180)</f>
        <v>-0.32819999999999999</v>
      </c>
      <c r="D1355" cm="1">
        <f t="array" aca="1" ref="D1355" ca="1">[1]!s_west_instnum_np($B$1,YEAR($A1355),$A1355,180)</f>
        <v>5</v>
      </c>
      <c r="E1355" cm="1">
        <f t="array" aca="1" ref="E1355" ca="1">[1]!s_west_stdnetprofit($B$1,YEAR($A1355),$A1355,180,1000000)</f>
        <v>118.299374</v>
      </c>
      <c r="F1355" cm="1">
        <f t="array" aca="1" ref="F1355" ca="1">[1]!s_west_mediannetprofit($B$1,YEAR($A1355),$A1355,180,1000000)</f>
        <v>-326</v>
      </c>
      <c r="G1355" cm="1">
        <f t="array" aca="1" ref="G1355" ca="1">[1]!s_west_netprofit($B$1,YEAR($A1355)+1,$A1355,180,1000000)</f>
        <v>-250.74</v>
      </c>
      <c r="H1355" cm="1">
        <f t="array" aca="1" ref="H1355" ca="1">[1]!s_west_eps($B$1,YEAR($A1355)+1,$A1355,180)</f>
        <v>-0.2888</v>
      </c>
      <c r="I1355" cm="1">
        <f t="array" aca="1" ref="I1355" ca="1">[1]!s_west_instnum_np($B$1,YEAR($A1355)+1,$A1355,180)</f>
        <v>5</v>
      </c>
      <c r="J1355" cm="1">
        <f t="array" aca="1" ref="J1355" ca="1">[1]!s_west_stdnetprofit($B$1,YEAR($A1355)+1,$A1355,180,1000000)</f>
        <v>152.43388100000001</v>
      </c>
      <c r="K1355" cm="1">
        <f t="array" aca="1" ref="K1355" ca="1">[1]!s_west_mediannetprofit($B$1,YEAR($A1354)+1,$A1354,180,1000000)</f>
        <v>-299</v>
      </c>
      <c r="L1355" cm="1">
        <f t="array" aca="1" ref="L1355" ca="1">[1]!s_dq_close($B$1,$A1355,3)</f>
        <v>18.7</v>
      </c>
    </row>
    <row r="1356" spans="1:12">
      <c r="A1356" s="23">
        <f t="shared" ca="1" si="20"/>
        <v>44819</v>
      </c>
      <c r="B1356" cm="1">
        <f t="array" aca="1" ref="B1356" ca="1">[1]!s_west_netprofit($B$1,YEAR($A1356),$A1356,180,1000000)</f>
        <v>-283.77999999999997</v>
      </c>
      <c r="C1356" cm="1">
        <f t="array" aca="1" ref="C1356" ca="1">[1]!s_west_eps($B$1,YEAR($A1356),$A1356,180)</f>
        <v>-0.32819999999999999</v>
      </c>
      <c r="D1356" cm="1">
        <f t="array" aca="1" ref="D1356" ca="1">[1]!s_west_instnum_np($B$1,YEAR($A1356),$A1356,180)</f>
        <v>5</v>
      </c>
      <c r="E1356" cm="1">
        <f t="array" aca="1" ref="E1356" ca="1">[1]!s_west_stdnetprofit($B$1,YEAR($A1356),$A1356,180,1000000)</f>
        <v>118.299374</v>
      </c>
      <c r="F1356" cm="1">
        <f t="array" aca="1" ref="F1356" ca="1">[1]!s_west_mediannetprofit($B$1,YEAR($A1356),$A1356,180,1000000)</f>
        <v>-326</v>
      </c>
      <c r="G1356" cm="1">
        <f t="array" aca="1" ref="G1356" ca="1">[1]!s_west_netprofit($B$1,YEAR($A1356)+1,$A1356,180,1000000)</f>
        <v>-250.74</v>
      </c>
      <c r="H1356" cm="1">
        <f t="array" aca="1" ref="H1356" ca="1">[1]!s_west_eps($B$1,YEAR($A1356)+1,$A1356,180)</f>
        <v>-0.2888</v>
      </c>
      <c r="I1356" cm="1">
        <f t="array" aca="1" ref="I1356" ca="1">[1]!s_west_instnum_np($B$1,YEAR($A1356)+1,$A1356,180)</f>
        <v>5</v>
      </c>
      <c r="J1356" cm="1">
        <f t="array" aca="1" ref="J1356" ca="1">[1]!s_west_stdnetprofit($B$1,YEAR($A1356)+1,$A1356,180,1000000)</f>
        <v>152.43388100000001</v>
      </c>
      <c r="K1356" cm="1">
        <f t="array" aca="1" ref="K1356" ca="1">[1]!s_west_mediannetprofit($B$1,YEAR($A1355)+1,$A1355,180,1000000)</f>
        <v>-299</v>
      </c>
      <c r="L1356" cm="1">
        <f t="array" aca="1" ref="L1356" ca="1">[1]!s_dq_close($B$1,$A1356,3)</f>
        <v>19.440000000000001</v>
      </c>
    </row>
    <row r="1357" spans="1:12">
      <c r="A1357" s="23">
        <f t="shared" ref="A1357:A1364" ca="1" si="21">A1356-1</f>
        <v>44818</v>
      </c>
      <c r="B1357" cm="1">
        <f t="array" aca="1" ref="B1357" ca="1">[1]!s_west_netprofit($B$1,YEAR($A1357),$A1357,180,1000000)</f>
        <v>-283.77999999999997</v>
      </c>
      <c r="C1357" cm="1">
        <f t="array" aca="1" ref="C1357" ca="1">[1]!s_west_eps($B$1,YEAR($A1357),$A1357,180)</f>
        <v>-0.32819999999999999</v>
      </c>
      <c r="D1357" cm="1">
        <f t="array" aca="1" ref="D1357" ca="1">[1]!s_west_instnum_np($B$1,YEAR($A1357),$A1357,180)</f>
        <v>5</v>
      </c>
      <c r="E1357" cm="1">
        <f t="array" aca="1" ref="E1357" ca="1">[1]!s_west_stdnetprofit($B$1,YEAR($A1357),$A1357,180,1000000)</f>
        <v>118.299374</v>
      </c>
      <c r="F1357" cm="1">
        <f t="array" aca="1" ref="F1357" ca="1">[1]!s_west_mediannetprofit($B$1,YEAR($A1357),$A1357,180,1000000)</f>
        <v>-326</v>
      </c>
      <c r="G1357" cm="1">
        <f t="array" aca="1" ref="G1357" ca="1">[1]!s_west_netprofit($B$1,YEAR($A1357)+1,$A1357,180,1000000)</f>
        <v>-250.74</v>
      </c>
      <c r="H1357" cm="1">
        <f t="array" aca="1" ref="H1357" ca="1">[1]!s_west_eps($B$1,YEAR($A1357)+1,$A1357,180)</f>
        <v>-0.2888</v>
      </c>
      <c r="I1357" cm="1">
        <f t="array" aca="1" ref="I1357" ca="1">[1]!s_west_instnum_np($B$1,YEAR($A1357)+1,$A1357,180)</f>
        <v>5</v>
      </c>
      <c r="J1357" cm="1">
        <f t="array" aca="1" ref="J1357" ca="1">[1]!s_west_stdnetprofit($B$1,YEAR($A1357)+1,$A1357,180,1000000)</f>
        <v>152.43388100000001</v>
      </c>
      <c r="K1357" cm="1">
        <f t="array" aca="1" ref="K1357" ca="1">[1]!s_west_mediannetprofit($B$1,YEAR($A1356)+1,$A1356,180,1000000)</f>
        <v>-299</v>
      </c>
      <c r="L1357" cm="1">
        <f t="array" aca="1" ref="L1357" ca="1">[1]!s_dq_close($B$1,$A1357,3)</f>
        <v>19.66</v>
      </c>
    </row>
    <row r="1358" spans="1:12">
      <c r="A1358" s="23">
        <f t="shared" ca="1" si="21"/>
        <v>44817</v>
      </c>
      <c r="B1358" cm="1">
        <f t="array" aca="1" ref="B1358" ca="1">[1]!s_west_netprofit($B$1,YEAR($A1358),$A1358,180,1000000)</f>
        <v>-283.77999999999997</v>
      </c>
      <c r="C1358" cm="1">
        <f t="array" aca="1" ref="C1358" ca="1">[1]!s_west_eps($B$1,YEAR($A1358),$A1358,180)</f>
        <v>-0.32819999999999999</v>
      </c>
      <c r="D1358" cm="1">
        <f t="array" aca="1" ref="D1358" ca="1">[1]!s_west_instnum_np($B$1,YEAR($A1358),$A1358,180)</f>
        <v>5</v>
      </c>
      <c r="E1358" cm="1">
        <f t="array" aca="1" ref="E1358" ca="1">[1]!s_west_stdnetprofit($B$1,YEAR($A1358),$A1358,180,1000000)</f>
        <v>118.299374</v>
      </c>
      <c r="F1358" cm="1">
        <f t="array" aca="1" ref="F1358" ca="1">[1]!s_west_mediannetprofit($B$1,YEAR($A1358),$A1358,180,1000000)</f>
        <v>-326</v>
      </c>
      <c r="G1358" cm="1">
        <f t="array" aca="1" ref="G1358" ca="1">[1]!s_west_netprofit($B$1,YEAR($A1358)+1,$A1358,180,1000000)</f>
        <v>-250.74</v>
      </c>
      <c r="H1358" cm="1">
        <f t="array" aca="1" ref="H1358" ca="1">[1]!s_west_eps($B$1,YEAR($A1358)+1,$A1358,180)</f>
        <v>-0.2888</v>
      </c>
      <c r="I1358" cm="1">
        <f t="array" aca="1" ref="I1358" ca="1">[1]!s_west_instnum_np($B$1,YEAR($A1358)+1,$A1358,180)</f>
        <v>5</v>
      </c>
      <c r="J1358" cm="1">
        <f t="array" aca="1" ref="J1358" ca="1">[1]!s_west_stdnetprofit($B$1,YEAR($A1358)+1,$A1358,180,1000000)</f>
        <v>152.43388100000001</v>
      </c>
      <c r="K1358" cm="1">
        <f t="array" aca="1" ref="K1358" ca="1">[1]!s_west_mediannetprofit($B$1,YEAR($A1357)+1,$A1357,180,1000000)</f>
        <v>-299</v>
      </c>
      <c r="L1358" cm="1">
        <f t="array" aca="1" ref="L1358" ca="1">[1]!s_dq_close($B$1,$A1358,3)</f>
        <v>20.5</v>
      </c>
    </row>
    <row r="1359" spans="1:12">
      <c r="A1359" s="23">
        <f t="shared" ca="1" si="21"/>
        <v>44816</v>
      </c>
      <c r="B1359" cm="1">
        <f t="array" aca="1" ref="B1359" ca="1">[1]!s_west_netprofit($B$1,YEAR($A1359),$A1359,180,1000000)</f>
        <v>-283.77999999999997</v>
      </c>
      <c r="C1359" cm="1">
        <f t="array" aca="1" ref="C1359" ca="1">[1]!s_west_eps($B$1,YEAR($A1359),$A1359,180)</f>
        <v>-0.32819999999999999</v>
      </c>
      <c r="D1359" cm="1">
        <f t="array" aca="1" ref="D1359" ca="1">[1]!s_west_instnum_np($B$1,YEAR($A1359),$A1359,180)</f>
        <v>5</v>
      </c>
      <c r="E1359" cm="1">
        <f t="array" aca="1" ref="E1359" ca="1">[1]!s_west_stdnetprofit($B$1,YEAR($A1359),$A1359,180,1000000)</f>
        <v>118.299374</v>
      </c>
      <c r="F1359" cm="1">
        <f t="array" aca="1" ref="F1359" ca="1">[1]!s_west_mediannetprofit($B$1,YEAR($A1359),$A1359,180,1000000)</f>
        <v>-326</v>
      </c>
      <c r="G1359" cm="1">
        <f t="array" aca="1" ref="G1359" ca="1">[1]!s_west_netprofit($B$1,YEAR($A1359)+1,$A1359,180,1000000)</f>
        <v>-250.74</v>
      </c>
      <c r="H1359" cm="1">
        <f t="array" aca="1" ref="H1359" ca="1">[1]!s_west_eps($B$1,YEAR($A1359)+1,$A1359,180)</f>
        <v>-0.2888</v>
      </c>
      <c r="I1359" cm="1">
        <f t="array" aca="1" ref="I1359" ca="1">[1]!s_west_instnum_np($B$1,YEAR($A1359)+1,$A1359,180)</f>
        <v>5</v>
      </c>
      <c r="J1359" cm="1">
        <f t="array" aca="1" ref="J1359" ca="1">[1]!s_west_stdnetprofit($B$1,YEAR($A1359)+1,$A1359,180,1000000)</f>
        <v>152.43388100000001</v>
      </c>
      <c r="K1359" cm="1">
        <f t="array" aca="1" ref="K1359" ca="1">[1]!s_west_mediannetprofit($B$1,YEAR($A1358)+1,$A1358,180,1000000)</f>
        <v>-299</v>
      </c>
      <c r="L1359" cm="1">
        <f t="array" aca="1" ref="L1359" ca="1">[1]!s_dq_close($B$1,$A1359,3)</f>
        <v>20.399999999999999</v>
      </c>
    </row>
    <row r="1360" spans="1:12">
      <c r="A1360" s="23">
        <f t="shared" ca="1" si="21"/>
        <v>44815</v>
      </c>
      <c r="B1360" cm="1">
        <f t="array" aca="1" ref="B1360" ca="1">[1]!s_west_netprofit($B$1,YEAR($A1360),$A1360,180,1000000)</f>
        <v>-283.77999999999997</v>
      </c>
      <c r="C1360" cm="1">
        <f t="array" aca="1" ref="C1360" ca="1">[1]!s_west_eps($B$1,YEAR($A1360),$A1360,180)</f>
        <v>-0.32819999999999999</v>
      </c>
      <c r="D1360" cm="1">
        <f t="array" aca="1" ref="D1360" ca="1">[1]!s_west_instnum_np($B$1,YEAR($A1360),$A1360,180)</f>
        <v>5</v>
      </c>
      <c r="E1360" cm="1">
        <f t="array" aca="1" ref="E1360" ca="1">[1]!s_west_stdnetprofit($B$1,YEAR($A1360),$A1360,180,1000000)</f>
        <v>118.299374</v>
      </c>
      <c r="F1360" cm="1">
        <f t="array" aca="1" ref="F1360" ca="1">[1]!s_west_mediannetprofit($B$1,YEAR($A1360),$A1360,180,1000000)</f>
        <v>-326</v>
      </c>
      <c r="G1360" cm="1">
        <f t="array" aca="1" ref="G1360" ca="1">[1]!s_west_netprofit($B$1,YEAR($A1360)+1,$A1360,180,1000000)</f>
        <v>-250.74</v>
      </c>
      <c r="H1360" cm="1">
        <f t="array" aca="1" ref="H1360" ca="1">[1]!s_west_eps($B$1,YEAR($A1360)+1,$A1360,180)</f>
        <v>-0.2888</v>
      </c>
      <c r="I1360" cm="1">
        <f t="array" aca="1" ref="I1360" ca="1">[1]!s_west_instnum_np($B$1,YEAR($A1360)+1,$A1360,180)</f>
        <v>5</v>
      </c>
      <c r="J1360" cm="1">
        <f t="array" aca="1" ref="J1360" ca="1">[1]!s_west_stdnetprofit($B$1,YEAR($A1360)+1,$A1360,180,1000000)</f>
        <v>152.43388100000001</v>
      </c>
      <c r="K1360" cm="1">
        <f t="array" aca="1" ref="K1360" ca="1">[1]!s_west_mediannetprofit($B$1,YEAR($A1359)+1,$A1359,180,1000000)</f>
        <v>-299</v>
      </c>
      <c r="L1360" cm="1">
        <f t="array" aca="1" ref="L1360" ca="1">[1]!s_dq_close($B$1,$A1360,3)</f>
        <v>20.399999999999999</v>
      </c>
    </row>
    <row r="1361" spans="1:12">
      <c r="A1361" s="23">
        <f t="shared" ca="1" si="21"/>
        <v>44814</v>
      </c>
      <c r="B1361" cm="1">
        <f t="array" aca="1" ref="B1361" ca="1">[1]!s_west_netprofit($B$1,YEAR($A1361),$A1361,180,1000000)</f>
        <v>-283.77999999999997</v>
      </c>
      <c r="C1361" cm="1">
        <f t="array" aca="1" ref="C1361" ca="1">[1]!s_west_eps($B$1,YEAR($A1361),$A1361,180)</f>
        <v>-0.32819999999999999</v>
      </c>
      <c r="D1361" cm="1">
        <f t="array" aca="1" ref="D1361" ca="1">[1]!s_west_instnum_np($B$1,YEAR($A1361),$A1361,180)</f>
        <v>5</v>
      </c>
      <c r="E1361" cm="1">
        <f t="array" aca="1" ref="E1361" ca="1">[1]!s_west_stdnetprofit($B$1,YEAR($A1361),$A1361,180,1000000)</f>
        <v>118.299374</v>
      </c>
      <c r="F1361" cm="1">
        <f t="array" aca="1" ref="F1361" ca="1">[1]!s_west_mediannetprofit($B$1,YEAR($A1361),$A1361,180,1000000)</f>
        <v>-326</v>
      </c>
      <c r="G1361" cm="1">
        <f t="array" aca="1" ref="G1361" ca="1">[1]!s_west_netprofit($B$1,YEAR($A1361)+1,$A1361,180,1000000)</f>
        <v>-250.74</v>
      </c>
      <c r="H1361" cm="1">
        <f t="array" aca="1" ref="H1361" ca="1">[1]!s_west_eps($B$1,YEAR($A1361)+1,$A1361,180)</f>
        <v>-0.2888</v>
      </c>
      <c r="I1361" cm="1">
        <f t="array" aca="1" ref="I1361" ca="1">[1]!s_west_instnum_np($B$1,YEAR($A1361)+1,$A1361,180)</f>
        <v>5</v>
      </c>
      <c r="J1361" cm="1">
        <f t="array" aca="1" ref="J1361" ca="1">[1]!s_west_stdnetprofit($B$1,YEAR($A1361)+1,$A1361,180,1000000)</f>
        <v>152.43388100000001</v>
      </c>
      <c r="K1361" cm="1">
        <f t="array" aca="1" ref="K1361" ca="1">[1]!s_west_mediannetprofit($B$1,YEAR($A1360)+1,$A1360,180,1000000)</f>
        <v>-299</v>
      </c>
      <c r="L1361" cm="1">
        <f t="array" aca="1" ref="L1361" ca="1">[1]!s_dq_close($B$1,$A1361,3)</f>
        <v>20.399999999999999</v>
      </c>
    </row>
    <row r="1362" spans="1:12">
      <c r="A1362" s="23">
        <f t="shared" ca="1" si="21"/>
        <v>44813</v>
      </c>
      <c r="B1362" cm="1">
        <f t="array" aca="1" ref="B1362" ca="1">[1]!s_west_netprofit($B$1,YEAR($A1362),$A1362,180,1000000)</f>
        <v>-283.77999999999997</v>
      </c>
      <c r="C1362" cm="1">
        <f t="array" aca="1" ref="C1362" ca="1">[1]!s_west_eps($B$1,YEAR($A1362),$A1362,180)</f>
        <v>-0.32819999999999999</v>
      </c>
      <c r="D1362" cm="1">
        <f t="array" aca="1" ref="D1362" ca="1">[1]!s_west_instnum_np($B$1,YEAR($A1362),$A1362,180)</f>
        <v>5</v>
      </c>
      <c r="E1362" cm="1">
        <f t="array" aca="1" ref="E1362" ca="1">[1]!s_west_stdnetprofit($B$1,YEAR($A1362),$A1362,180,1000000)</f>
        <v>118.299374</v>
      </c>
      <c r="F1362" cm="1">
        <f t="array" aca="1" ref="F1362" ca="1">[1]!s_west_mediannetprofit($B$1,YEAR($A1362),$A1362,180,1000000)</f>
        <v>-326</v>
      </c>
      <c r="G1362" cm="1">
        <f t="array" aca="1" ref="G1362" ca="1">[1]!s_west_netprofit($B$1,YEAR($A1362)+1,$A1362,180,1000000)</f>
        <v>-250.74</v>
      </c>
      <c r="H1362" cm="1">
        <f t="array" aca="1" ref="H1362" ca="1">[1]!s_west_eps($B$1,YEAR($A1362)+1,$A1362,180)</f>
        <v>-0.2888</v>
      </c>
      <c r="I1362" cm="1">
        <f t="array" aca="1" ref="I1362" ca="1">[1]!s_west_instnum_np($B$1,YEAR($A1362)+1,$A1362,180)</f>
        <v>5</v>
      </c>
      <c r="J1362" cm="1">
        <f t="array" aca="1" ref="J1362" ca="1">[1]!s_west_stdnetprofit($B$1,YEAR($A1362)+1,$A1362,180,1000000)</f>
        <v>152.43388100000001</v>
      </c>
      <c r="K1362" cm="1">
        <f t="array" aca="1" ref="K1362" ca="1">[1]!s_west_mediannetprofit($B$1,YEAR($A1361)+1,$A1361,180,1000000)</f>
        <v>-299</v>
      </c>
      <c r="L1362" cm="1">
        <f t="array" aca="1" ref="L1362" ca="1">[1]!s_dq_close($B$1,$A1362,3)</f>
        <v>20.399999999999999</v>
      </c>
    </row>
    <row r="1363" spans="1:12">
      <c r="A1363" s="23">
        <f t="shared" ca="1" si="21"/>
        <v>44812</v>
      </c>
      <c r="B1363" s="34" cm="1">
        <f t="array" aca="1" ref="B1363" ca="1">[1]!s_west_netprofit($B$1,YEAR($A1363),$A1363,180,1000000)</f>
        <v>-283.77999999999997</v>
      </c>
      <c r="C1363" cm="1">
        <f t="array" aca="1" ref="C1363" ca="1">[1]!s_west_eps($B$1,YEAR($A1363),$A1363,180)</f>
        <v>-0.32819999999999999</v>
      </c>
      <c r="D1363" cm="1">
        <f t="array" aca="1" ref="D1363" ca="1">[1]!s_west_instnum_np($B$1,YEAR($A1363),$A1363,180)</f>
        <v>5</v>
      </c>
      <c r="E1363" cm="1">
        <f t="array" aca="1" ref="E1363" ca="1">[1]!s_west_stdnetprofit($B$1,YEAR($A1363),$A1363,180,1000000)</f>
        <v>118.299374</v>
      </c>
      <c r="F1363" cm="1">
        <f t="array" aca="1" ref="F1363" ca="1">[1]!s_west_mediannetprofit($B$1,YEAR($A1363),$A1363,180,1000000)</f>
        <v>-326</v>
      </c>
      <c r="G1363" cm="1">
        <f t="array" aca="1" ref="G1363" ca="1">[1]!s_west_netprofit($B$1,YEAR($A1363)+1,$A1363,180,1000000)</f>
        <v>-250.74</v>
      </c>
      <c r="H1363" cm="1">
        <f t="array" aca="1" ref="H1363" ca="1">[1]!s_west_eps($B$1,YEAR($A1363)+1,$A1363,180)</f>
        <v>-0.2888</v>
      </c>
      <c r="I1363" cm="1">
        <f t="array" aca="1" ref="I1363" ca="1">[1]!s_west_instnum_np($B$1,YEAR($A1363)+1,$A1363,180)</f>
        <v>5</v>
      </c>
      <c r="J1363" cm="1">
        <f t="array" aca="1" ref="J1363" ca="1">[1]!s_west_stdnetprofit($B$1,YEAR($A1363)+1,$A1363,180,1000000)</f>
        <v>152.43388100000001</v>
      </c>
      <c r="K1363" cm="1">
        <f t="array" aca="1" ref="K1363" ca="1">[1]!s_west_mediannetprofit($B$1,YEAR($A1362)+1,$A1362,180,1000000)</f>
        <v>-299</v>
      </c>
      <c r="L1363" cm="1">
        <f t="array" aca="1" ref="L1363" ca="1">[1]!s_dq_close($B$1,$A1363,3)</f>
        <v>19.52</v>
      </c>
    </row>
    <row r="1364" spans="1:12">
      <c r="A1364" s="23">
        <f t="shared" ca="1" si="21"/>
        <v>44811</v>
      </c>
      <c r="B1364" cm="1">
        <f t="array" aca="1" ref="B1364" ca="1">[1]!s_west_netprofit($B$1,YEAR($A1364),$A1364,180,1000000)</f>
        <v>-283.77999999999997</v>
      </c>
      <c r="C1364" cm="1">
        <f t="array" aca="1" ref="C1364" ca="1">[1]!s_west_eps($B$1,YEAR($A1364),$A1364,180)</f>
        <v>-0.32819999999999999</v>
      </c>
      <c r="D1364" cm="1">
        <f t="array" aca="1" ref="D1364" ca="1">[1]!s_west_instnum_np($B$1,YEAR($A1364),$A1364,180)</f>
        <v>5</v>
      </c>
      <c r="E1364" cm="1">
        <f t="array" aca="1" ref="E1364" ca="1">[1]!s_west_stdnetprofit($B$1,YEAR($A1364),$A1364,180,1000000)</f>
        <v>118.299374</v>
      </c>
      <c r="F1364" cm="1">
        <f t="array" aca="1" ref="F1364" ca="1">[1]!s_west_mediannetprofit($B$1,YEAR($A1364),$A1364,180,1000000)</f>
        <v>-326</v>
      </c>
      <c r="G1364" cm="1">
        <f t="array" aca="1" ref="G1364" ca="1">[1]!s_west_netprofit($B$1,YEAR($A1364)+1,$A1364,180,1000000)</f>
        <v>-250.74</v>
      </c>
      <c r="H1364" cm="1">
        <f t="array" aca="1" ref="H1364" ca="1">[1]!s_west_eps($B$1,YEAR($A1364)+1,$A1364,180)</f>
        <v>-0.2888</v>
      </c>
      <c r="I1364" cm="1">
        <f t="array" aca="1" ref="I1364" ca="1">[1]!s_west_instnum_np($B$1,YEAR($A1364)+1,$A1364,180)</f>
        <v>5</v>
      </c>
      <c r="J1364" cm="1">
        <f t="array" aca="1" ref="J1364" ca="1">[1]!s_west_stdnetprofit($B$1,YEAR($A1364)+1,$A1364,180,1000000)</f>
        <v>152.43388100000001</v>
      </c>
      <c r="K1364" cm="1">
        <f t="array" aca="1" ref="K1364" ca="1">[1]!s_west_mediannetprofit($B$1,YEAR($A1363)+1,$A1363,180,1000000)</f>
        <v>-299</v>
      </c>
      <c r="L1364" cm="1">
        <f t="array" aca="1" ref="L1364" ca="1">[1]!s_dq_close($B$1,$A1364,3)</f>
        <v>19.02</v>
      </c>
    </row>
    <row r="1365" spans="1:12">
      <c r="K1365" cm="1">
        <f t="array" aca="1" ref="K1365" ca="1">[1]!s_west_mediannetprofit($B$1,YEAR($A1364)+1,$A1364,180,1000000)</f>
        <v>-299</v>
      </c>
      <c r="L1365" cm="1">
        <f t="array" ref="L1365">[1]!s_dq_close($B$1,$A1365,3)</f>
        <v>18.87</v>
      </c>
    </row>
  </sheetData>
  <phoneticPr fontId="7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11B51-6758-5048-AE51-396AC7C6AABA}">
  <dimension ref="A1:F1364"/>
  <sheetViews>
    <sheetView workbookViewId="0">
      <selection activeCell="F11" sqref="F11:F1364"/>
    </sheetView>
  </sheetViews>
  <sheetFormatPr baseColWidth="10" defaultRowHeight="14"/>
  <cols>
    <col min="1" max="1" width="14.6640625" customWidth="1"/>
  </cols>
  <sheetData>
    <row r="1" spans="1:6" ht="15">
      <c r="A1" t="str">
        <f>[1]!S_INFO_NAME($B$1)</f>
        <v>和黄医药</v>
      </c>
      <c r="B1" s="24" t="s">
        <v>11</v>
      </c>
      <c r="C1" t="s">
        <v>10</v>
      </c>
      <c r="D1" s="23">
        <f ca="1">TODAY()</f>
        <v>46164</v>
      </c>
    </row>
    <row r="10" spans="1:6" ht="18">
      <c r="B10" s="29" t="s">
        <v>13</v>
      </c>
      <c r="C10" s="30" t="s">
        <v>14</v>
      </c>
      <c r="D10" s="30" t="s">
        <v>15</v>
      </c>
      <c r="E10" s="30" t="s">
        <v>16</v>
      </c>
      <c r="F10" s="30" t="s">
        <v>17</v>
      </c>
    </row>
    <row r="11" spans="1:6" ht="15">
      <c r="A11" s="28">
        <f ca="1">TODAY()-IF(WEEKDAY(TODAY(),2)=6,1,IF(WEEKDAY(TODAY(),2)=7,2,0))</f>
        <v>46164</v>
      </c>
      <c r="B11" cm="1">
        <f t="array" aca="1" ref="B11" ca="1">[1]!s_dq_close($B$1,$A11,3)</f>
        <v>18.87</v>
      </c>
      <c r="C11" cm="1">
        <f t="array" aca="1" ref="C11" ca="1">[1]!s_dq_volume($B$1,$A11)</f>
        <v>0</v>
      </c>
      <c r="D11" cm="1">
        <f t="array" aca="1" ref="D11" ca="1">[1]!s_dq_amount($B$1,$A11)</f>
        <v>0</v>
      </c>
      <c r="E11" cm="1">
        <f t="array" aca="1" ref="E11" ca="1">[1]!s_dq_turn($B$1,$A11)</f>
        <v>0</v>
      </c>
      <c r="F11" cm="1">
        <f t="array" aca="1" ref="F11" ca="1">[1]!s_val_pe_ttm($B$1,$A11)</f>
        <v>0</v>
      </c>
    </row>
    <row r="12" spans="1:6">
      <c r="A12" s="23">
        <f ca="1">A11-1</f>
        <v>46163</v>
      </c>
      <c r="B12" cm="1">
        <f t="array" aca="1" ref="B12" ca="1">[1]!s_dq_close($B$1,$A12,3)</f>
        <v>18.87</v>
      </c>
      <c r="C12" cm="1">
        <f t="array" aca="1" ref="C12" ca="1">[1]!s_dq_volume($B$1,$A12)</f>
        <v>2842743</v>
      </c>
      <c r="D12" cm="1">
        <f t="array" aca="1" ref="D12" ca="1">[1]!s_dq_amount($B$1,$A12)</f>
        <v>54159598</v>
      </c>
      <c r="E12" cm="1">
        <f t="array" aca="1" ref="E12" ca="1">[1]!s_dq_turn($B$1,$A12)</f>
        <v>0.32587739904361501</v>
      </c>
      <c r="F12" cm="1">
        <f t="array" aca="1" ref="F12" ca="1">[1]!s_val_pe_ttm($B$1,$A12)</f>
        <v>4.6295404434204102</v>
      </c>
    </row>
    <row r="13" spans="1:6">
      <c r="A13" s="23">
        <f t="shared" ref="A13:A76" ca="1" si="0">A12-1</f>
        <v>46162</v>
      </c>
      <c r="B13" cm="1">
        <f t="array" aca="1" ref="B13" ca="1">[1]!s_dq_close($B$1,$A13,3)</f>
        <v>18.82</v>
      </c>
      <c r="C13" cm="1">
        <f t="array" aca="1" ref="C13" ca="1">[1]!s_dq_volume($B$1,$A13)</f>
        <v>4144851</v>
      </c>
      <c r="D13" cm="1">
        <f t="array" aca="1" ref="D13" ca="1">[1]!s_dq_amount($B$1,$A13)</f>
        <v>77660395</v>
      </c>
      <c r="E13" cm="1">
        <f t="array" aca="1" ref="E13" ca="1">[1]!s_dq_turn($B$1,$A13)</f>
        <v>0.47514434590229498</v>
      </c>
      <c r="F13" cm="1">
        <f t="array" aca="1" ref="F13" ca="1">[1]!s_val_pe_ttm($B$1,$A13)</f>
        <v>4.6172738075256303</v>
      </c>
    </row>
    <row r="14" spans="1:6">
      <c r="A14" s="23">
        <f t="shared" ca="1" si="0"/>
        <v>46161</v>
      </c>
      <c r="B14" cm="1">
        <f t="array" aca="1" ref="B14" ca="1">[1]!s_dq_close($B$1,$A14,3)</f>
        <v>19</v>
      </c>
      <c r="C14" cm="1">
        <f t="array" aca="1" ref="C14" ca="1">[1]!s_dq_volume($B$1,$A14)</f>
        <v>4616815</v>
      </c>
      <c r="D14" cm="1">
        <f t="array" aca="1" ref="D14" ca="1">[1]!s_dq_amount($B$1,$A14)</f>
        <v>88021526</v>
      </c>
      <c r="E14" cm="1">
        <f t="array" aca="1" ref="E14" ca="1">[1]!s_dq_turn($B$1,$A14)</f>
        <v>0.52924786520116296</v>
      </c>
      <c r="F14" cm="1">
        <f t="array" aca="1" ref="F14" ca="1">[1]!s_val_pe_ttm($B$1,$A14)</f>
        <v>4.6614346504211399</v>
      </c>
    </row>
    <row r="15" spans="1:6">
      <c r="A15" s="23">
        <f t="shared" ca="1" si="0"/>
        <v>46160</v>
      </c>
      <c r="B15" cm="1">
        <f t="array" aca="1" ref="B15" ca="1">[1]!s_dq_close($B$1,$A15,3)</f>
        <v>19.13</v>
      </c>
      <c r="C15" cm="1">
        <f t="array" aca="1" ref="C15" ca="1">[1]!s_dq_volume($B$1,$A15)</f>
        <v>6026200</v>
      </c>
      <c r="D15" cm="1">
        <f t="array" aca="1" ref="D15" ca="1">[1]!s_dq_amount($B$1,$A15)</f>
        <v>115843455</v>
      </c>
      <c r="E15" cm="1">
        <f t="array" aca="1" ref="E15" ca="1">[1]!s_dq_turn($B$1,$A15)</f>
        <v>0.69081249417081803</v>
      </c>
      <c r="F15" cm="1">
        <f t="array" aca="1" ref="F15" ca="1">[1]!s_val_pe_ttm($B$1,$A15)</f>
        <v>4.6933288574218803</v>
      </c>
    </row>
    <row r="16" spans="1:6">
      <c r="A16" s="23">
        <f t="shared" ca="1" si="0"/>
        <v>46159</v>
      </c>
      <c r="B16" cm="1">
        <f t="array" aca="1" ref="B16" ca="1">[1]!s_dq_close($B$1,$A16,3)</f>
        <v>19.89</v>
      </c>
      <c r="C16" cm="1">
        <f t="array" aca="1" ref="C16" ca="1">[1]!s_dq_volume($B$1,$A16)</f>
        <v>0</v>
      </c>
      <c r="D16" cm="1">
        <f t="array" aca="1" ref="D16" ca="1">[1]!s_dq_amount($B$1,$A16)</f>
        <v>0</v>
      </c>
      <c r="E16" cm="1">
        <f t="array" aca="1" ref="E16" ca="1">[1]!s_dq_turn($B$1,$A16)</f>
        <v>0</v>
      </c>
      <c r="F16" cm="1">
        <f t="array" aca="1" ref="F16" ca="1">[1]!s_val_pe_ttm($B$1,$A16)</f>
        <v>4.8797860145568803</v>
      </c>
    </row>
    <row r="17" spans="1:6">
      <c r="A17" s="23">
        <f t="shared" ca="1" si="0"/>
        <v>46158</v>
      </c>
      <c r="B17" cm="1">
        <f t="array" aca="1" ref="B17" ca="1">[1]!s_dq_close($B$1,$A17,3)</f>
        <v>19.89</v>
      </c>
      <c r="C17" cm="1">
        <f t="array" aca="1" ref="C17" ca="1">[1]!s_dq_volume($B$1,$A17)</f>
        <v>0</v>
      </c>
      <c r="D17" cm="1">
        <f t="array" aca="1" ref="D17" ca="1">[1]!s_dq_amount($B$1,$A17)</f>
        <v>0</v>
      </c>
      <c r="E17" cm="1">
        <f t="array" aca="1" ref="E17" ca="1">[1]!s_dq_turn($B$1,$A17)</f>
        <v>0</v>
      </c>
      <c r="F17" cm="1">
        <f t="array" aca="1" ref="F17" ca="1">[1]!s_val_pe_ttm($B$1,$A17)</f>
        <v>4.8797860145568803</v>
      </c>
    </row>
    <row r="18" spans="1:6">
      <c r="A18" s="23">
        <f t="shared" ca="1" si="0"/>
        <v>46157</v>
      </c>
      <c r="B18" cm="1">
        <f t="array" aca="1" ref="B18" ca="1">[1]!s_dq_close($B$1,$A18,3)</f>
        <v>19.89</v>
      </c>
      <c r="C18" cm="1">
        <f t="array" aca="1" ref="C18" ca="1">[1]!s_dq_volume($B$1,$A18)</f>
        <v>5544635</v>
      </c>
      <c r="D18" cm="1">
        <f t="array" aca="1" ref="D18" ca="1">[1]!s_dq_amount($B$1,$A18)</f>
        <v>110292125</v>
      </c>
      <c r="E18" cm="1">
        <f t="array" aca="1" ref="E18" ca="1">[1]!s_dq_turn($B$1,$A18)</f>
        <v>0.63560836573907498</v>
      </c>
      <c r="F18" cm="1">
        <f t="array" aca="1" ref="F18" ca="1">[1]!s_val_pe_ttm($B$1,$A18)</f>
        <v>4.8797860145568803</v>
      </c>
    </row>
    <row r="19" spans="1:6">
      <c r="A19" s="23">
        <f t="shared" ca="1" si="0"/>
        <v>46156</v>
      </c>
      <c r="B19" cm="1">
        <f t="array" aca="1" ref="B19" ca="1">[1]!s_dq_close($B$1,$A19,3)</f>
        <v>19.93</v>
      </c>
      <c r="C19" cm="1">
        <f t="array" aca="1" ref="C19" ca="1">[1]!s_dq_volume($B$1,$A19)</f>
        <v>3104700</v>
      </c>
      <c r="D19" cm="1">
        <f t="array" aca="1" ref="D19" ca="1">[1]!s_dq_amount($B$1,$A19)</f>
        <v>61750033</v>
      </c>
      <c r="E19" cm="1">
        <f t="array" aca="1" ref="E19" ca="1">[1]!s_dq_turn($B$1,$A19)</f>
        <v>0.35590679875413</v>
      </c>
      <c r="F19" cm="1">
        <f t="array" aca="1" ref="F19" ca="1">[1]!s_val_pe_ttm($B$1,$A19)</f>
        <v>4.8895998001098597</v>
      </c>
    </row>
    <row r="20" spans="1:6">
      <c r="A20" s="23">
        <f t="shared" ca="1" si="0"/>
        <v>46155</v>
      </c>
      <c r="B20" cm="1">
        <f t="array" aca="1" ref="B20" ca="1">[1]!s_dq_close($B$1,$A20,3)</f>
        <v>19.84</v>
      </c>
      <c r="C20" cm="1">
        <f t="array" aca="1" ref="C20" ca="1">[1]!s_dq_volume($B$1,$A20)</f>
        <v>7949458</v>
      </c>
      <c r="D20" cm="1">
        <f t="array" aca="1" ref="D20" ca="1">[1]!s_dq_amount($B$1,$A20)</f>
        <v>157097210</v>
      </c>
      <c r="E20" cm="1">
        <f t="array" aca="1" ref="E20" ca="1">[1]!s_dq_turn($B$1,$A20)</f>
        <v>0.91128487409746795</v>
      </c>
      <c r="F20" cm="1">
        <f t="array" aca="1" ref="F20" ca="1">[1]!s_val_pe_ttm($B$1,$A20)</f>
        <v>4.8675193786621103</v>
      </c>
    </row>
    <row r="21" spans="1:6">
      <c r="A21" s="23">
        <f t="shared" ca="1" si="0"/>
        <v>46154</v>
      </c>
      <c r="B21" cm="1">
        <f t="array" aca="1" ref="B21" ca="1">[1]!s_dq_close($B$1,$A21,3)</f>
        <v>20.100000000000001</v>
      </c>
      <c r="C21" cm="1">
        <f t="array" aca="1" ref="C21" ca="1">[1]!s_dq_volume($B$1,$A21)</f>
        <v>5884501</v>
      </c>
      <c r="D21" cm="1">
        <f t="array" aca="1" ref="D21" ca="1">[1]!s_dq_amount($B$1,$A21)</f>
        <v>118726251</v>
      </c>
      <c r="E21" cm="1">
        <f t="array" aca="1" ref="E21" ca="1">[1]!s_dq_turn($B$1,$A21)</f>
        <v>0.67456885147533696</v>
      </c>
      <c r="F21" cm="1">
        <f t="array" aca="1" ref="F21" ca="1">[1]!s_val_pe_ttm($B$1,$A21)</f>
        <v>4.9313073158264196</v>
      </c>
    </row>
    <row r="22" spans="1:6">
      <c r="A22" s="23">
        <f t="shared" ca="1" si="0"/>
        <v>46153</v>
      </c>
      <c r="B22" cm="1">
        <f t="array" aca="1" ref="B22" ca="1">[1]!s_dq_close($B$1,$A22,3)</f>
        <v>20.32</v>
      </c>
      <c r="C22" cm="1">
        <f t="array" aca="1" ref="C22" ca="1">[1]!s_dq_volume($B$1,$A22)</f>
        <v>11720027</v>
      </c>
      <c r="D22" cm="1">
        <f t="array" aca="1" ref="D22" ca="1">[1]!s_dq_amount($B$1,$A22)</f>
        <v>241271884</v>
      </c>
      <c r="E22" cm="1">
        <f t="array" aca="1" ref="E22" ca="1">[1]!s_dq_turn($B$1,$A22)</f>
        <v>1.34352346148806</v>
      </c>
      <c r="F22" cm="1">
        <f t="array" aca="1" ref="F22" ca="1">[1]!s_val_pe_ttm($B$1,$A22)</f>
        <v>4.9852819442748997</v>
      </c>
    </row>
    <row r="23" spans="1:6">
      <c r="A23" s="23">
        <f t="shared" ca="1" si="0"/>
        <v>46152</v>
      </c>
      <c r="B23" cm="1">
        <f t="array" aca="1" ref="B23" ca="1">[1]!s_dq_close($B$1,$A23,3)</f>
        <v>21</v>
      </c>
      <c r="C23" cm="1">
        <f t="array" aca="1" ref="C23" ca="1">[1]!s_dq_volume($B$1,$A23)</f>
        <v>0</v>
      </c>
      <c r="D23" cm="1">
        <f t="array" aca="1" ref="D23" ca="1">[1]!s_dq_amount($B$1,$A23)</f>
        <v>0</v>
      </c>
      <c r="E23" cm="1">
        <f t="array" aca="1" ref="E23" ca="1">[1]!s_dq_turn($B$1,$A23)</f>
        <v>0</v>
      </c>
      <c r="F23" cm="1">
        <f t="array" aca="1" ref="F23" ca="1">[1]!s_val_pe_ttm($B$1,$A23)</f>
        <v>5.1521120071411097</v>
      </c>
    </row>
    <row r="24" spans="1:6">
      <c r="A24" s="23">
        <f t="shared" ca="1" si="0"/>
        <v>46151</v>
      </c>
      <c r="B24" cm="1">
        <f t="array" aca="1" ref="B24" ca="1">[1]!s_dq_close($B$1,$A24,3)</f>
        <v>21</v>
      </c>
      <c r="C24" cm="1">
        <f t="array" aca="1" ref="C24" ca="1">[1]!s_dq_volume($B$1,$A24)</f>
        <v>0</v>
      </c>
      <c r="D24" cm="1">
        <f t="array" aca="1" ref="D24" ca="1">[1]!s_dq_amount($B$1,$A24)</f>
        <v>0</v>
      </c>
      <c r="E24" cm="1">
        <f t="array" aca="1" ref="E24" ca="1">[1]!s_dq_turn($B$1,$A24)</f>
        <v>0</v>
      </c>
      <c r="F24" cm="1">
        <f t="array" aca="1" ref="F24" ca="1">[1]!s_val_pe_ttm($B$1,$A24)</f>
        <v>5.1521120071411097</v>
      </c>
    </row>
    <row r="25" spans="1:6">
      <c r="A25" s="23">
        <f t="shared" ca="1" si="0"/>
        <v>46150</v>
      </c>
      <c r="B25" cm="1">
        <f t="array" aca="1" ref="B25" ca="1">[1]!s_dq_close($B$1,$A25,3)</f>
        <v>21</v>
      </c>
      <c r="C25" cm="1">
        <f t="array" aca="1" ref="C25" ca="1">[1]!s_dq_volume($B$1,$A25)</f>
        <v>4660345</v>
      </c>
      <c r="D25" cm="1">
        <f t="array" aca="1" ref="D25" ca="1">[1]!s_dq_amount($B$1,$A25)</f>
        <v>97939844</v>
      </c>
      <c r="E25" cm="1">
        <f t="array" aca="1" ref="E25" ca="1">[1]!s_dq_turn($B$1,$A25)</f>
        <v>0.53423791994067604</v>
      </c>
      <c r="F25" cm="1">
        <f t="array" aca="1" ref="F25" ca="1">[1]!s_val_pe_ttm($B$1,$A25)</f>
        <v>5.1521120071411097</v>
      </c>
    </row>
    <row r="26" spans="1:6">
      <c r="A26" s="23">
        <f t="shared" ca="1" si="0"/>
        <v>46149</v>
      </c>
      <c r="B26" cm="1">
        <f t="array" aca="1" ref="B26" ca="1">[1]!s_dq_close($B$1,$A26,3)</f>
        <v>21.26</v>
      </c>
      <c r="C26" cm="1">
        <f t="array" aca="1" ref="C26" ca="1">[1]!s_dq_volume($B$1,$A26)</f>
        <v>4807160</v>
      </c>
      <c r="D26" cm="1">
        <f t="array" aca="1" ref="D26" ca="1">[1]!s_dq_amount($B$1,$A26)</f>
        <v>101684458</v>
      </c>
      <c r="E26" cm="1">
        <f t="array" aca="1" ref="E26" ca="1">[1]!s_dq_turn($B$1,$A26)</f>
        <v>0.55106803449573405</v>
      </c>
      <c r="F26" cm="1">
        <f t="array" aca="1" ref="F26" ca="1">[1]!s_val_pe_ttm($B$1,$A26)</f>
        <v>5.2158999443054199</v>
      </c>
    </row>
    <row r="27" spans="1:6">
      <c r="A27" s="23">
        <f t="shared" ca="1" si="0"/>
        <v>46148</v>
      </c>
      <c r="B27" cm="1">
        <f t="array" aca="1" ref="B27" ca="1">[1]!s_dq_close($B$1,$A27,3)</f>
        <v>20.78</v>
      </c>
      <c r="C27" cm="1">
        <f t="array" aca="1" ref="C27" ca="1">[1]!s_dq_volume($B$1,$A27)</f>
        <v>4041051</v>
      </c>
      <c r="D27" cm="1">
        <f t="array" aca="1" ref="D27" ca="1">[1]!s_dq_amount($B$1,$A27)</f>
        <v>84118533</v>
      </c>
      <c r="E27" cm="1">
        <f t="array" aca="1" ref="E27" ca="1">[1]!s_dq_turn($B$1,$A27)</f>
        <v>0.46324524914232501</v>
      </c>
      <c r="F27" cm="1">
        <f t="array" aca="1" ref="F27" ca="1">[1]!s_val_pe_ttm($B$1,$A27)</f>
        <v>5.0981373786926296</v>
      </c>
    </row>
    <row r="28" spans="1:6">
      <c r="A28" s="23">
        <f t="shared" ca="1" si="0"/>
        <v>46147</v>
      </c>
      <c r="B28" cm="1">
        <f t="array" aca="1" ref="B28" ca="1">[1]!s_dq_close($B$1,$A28,3)</f>
        <v>20.78</v>
      </c>
      <c r="C28" cm="1">
        <f t="array" aca="1" ref="C28" ca="1">[1]!s_dq_volume($B$1,$A28)</f>
        <v>2365000</v>
      </c>
      <c r="D28" cm="1">
        <f t="array" aca="1" ref="D28" ca="1">[1]!s_dq_amount($B$1,$A28)</f>
        <v>49069560</v>
      </c>
      <c r="E28" cm="1">
        <f t="array" aca="1" ref="E28" ca="1">[1]!s_dq_turn($B$1,$A28)</f>
        <v>0.27111140498390102</v>
      </c>
      <c r="F28" cm="1">
        <f t="array" aca="1" ref="F28" ca="1">[1]!s_val_pe_ttm($B$1,$A28)</f>
        <v>5.0981373786926296</v>
      </c>
    </row>
    <row r="29" spans="1:6">
      <c r="A29" s="23">
        <f t="shared" ca="1" si="0"/>
        <v>46146</v>
      </c>
      <c r="B29" cm="1">
        <f t="array" aca="1" ref="B29" ca="1">[1]!s_dq_close($B$1,$A29,3)</f>
        <v>21.04</v>
      </c>
      <c r="C29" cm="1">
        <f t="array" aca="1" ref="C29" ca="1">[1]!s_dq_volume($B$1,$A29)</f>
        <v>1998000</v>
      </c>
      <c r="D29" cm="1">
        <f t="array" aca="1" ref="D29" ca="1">[1]!s_dq_amount($B$1,$A29)</f>
        <v>41997005</v>
      </c>
      <c r="E29" cm="1">
        <f t="array" aca="1" ref="E29" ca="1">[1]!s_dq_turn($B$1,$A29)</f>
        <v>0.22904041740289</v>
      </c>
      <c r="F29" cm="1">
        <f t="array" aca="1" ref="F29" ca="1">[1]!s_val_pe_ttm($B$1,$A29)</f>
        <v>5.1618814468383798</v>
      </c>
    </row>
    <row r="30" spans="1:6">
      <c r="A30" s="23">
        <f t="shared" ca="1" si="0"/>
        <v>46145</v>
      </c>
      <c r="B30" cm="1">
        <f t="array" aca="1" ref="B30" ca="1">[1]!s_dq_close($B$1,$A30,3)</f>
        <v>21.14</v>
      </c>
      <c r="C30" cm="1">
        <f t="array" aca="1" ref="C30" ca="1">[1]!s_dq_volume($B$1,$A30)</f>
        <v>0</v>
      </c>
      <c r="D30" cm="1">
        <f t="array" aca="1" ref="D30" ca="1">[1]!s_dq_amount($B$1,$A30)</f>
        <v>0</v>
      </c>
      <c r="E30" cm="1">
        <f t="array" aca="1" ref="E30" ca="1">[1]!s_dq_turn($B$1,$A30)</f>
        <v>0</v>
      </c>
      <c r="F30" cm="1">
        <f t="array" aca="1" ref="F30" ca="1">[1]!s_val_pe_ttm($B$1,$A30)</f>
        <v>5.1864147186279297</v>
      </c>
    </row>
    <row r="31" spans="1:6">
      <c r="A31" s="23">
        <f t="shared" ca="1" si="0"/>
        <v>46144</v>
      </c>
      <c r="B31" cm="1">
        <f t="array" aca="1" ref="B31" ca="1">[1]!s_dq_close($B$1,$A31,3)</f>
        <v>21.14</v>
      </c>
      <c r="C31" cm="1">
        <f t="array" aca="1" ref="C31" ca="1">[1]!s_dq_volume($B$1,$A31)</f>
        <v>0</v>
      </c>
      <c r="D31" cm="1">
        <f t="array" aca="1" ref="D31" ca="1">[1]!s_dq_amount($B$1,$A31)</f>
        <v>0</v>
      </c>
      <c r="E31" cm="1">
        <f t="array" aca="1" ref="E31" ca="1">[1]!s_dq_turn($B$1,$A31)</f>
        <v>0</v>
      </c>
      <c r="F31" cm="1">
        <f t="array" aca="1" ref="F31" ca="1">[1]!s_val_pe_ttm($B$1,$A31)</f>
        <v>5.1864147186279297</v>
      </c>
    </row>
    <row r="32" spans="1:6">
      <c r="A32" s="23">
        <f t="shared" ca="1" si="0"/>
        <v>46143</v>
      </c>
      <c r="B32" cm="1">
        <f t="array" aca="1" ref="B32" ca="1">[1]!s_dq_close($B$1,$A32,3)</f>
        <v>21.14</v>
      </c>
      <c r="C32" cm="1">
        <f t="array" aca="1" ref="C32" ca="1">[1]!s_dq_volume($B$1,$A32)</f>
        <v>0</v>
      </c>
      <c r="D32" cm="1">
        <f t="array" aca="1" ref="D32" ca="1">[1]!s_dq_amount($B$1,$A32)</f>
        <v>0</v>
      </c>
      <c r="E32" cm="1">
        <f t="array" aca="1" ref="E32" ca="1">[1]!s_dq_turn($B$1,$A32)</f>
        <v>0</v>
      </c>
      <c r="F32" cm="1">
        <f t="array" aca="1" ref="F32" ca="1">[1]!s_val_pe_ttm($B$1,$A32)</f>
        <v>5.1864147186279297</v>
      </c>
    </row>
    <row r="33" spans="1:6">
      <c r="A33" s="23">
        <f t="shared" ca="1" si="0"/>
        <v>46142</v>
      </c>
      <c r="B33" cm="1">
        <f t="array" aca="1" ref="B33" ca="1">[1]!s_dq_close($B$1,$A33,3)</f>
        <v>21.14</v>
      </c>
      <c r="C33" cm="1">
        <f t="array" aca="1" ref="C33" ca="1">[1]!s_dq_volume($B$1,$A33)</f>
        <v>3500430</v>
      </c>
      <c r="D33" cm="1">
        <f t="array" aca="1" ref="D33" ca="1">[1]!s_dq_amount($B$1,$A33)</f>
        <v>74207641</v>
      </c>
      <c r="E33" cm="1">
        <f t="array" aca="1" ref="E33" ca="1">[1]!s_dq_turn($B$1,$A33)</f>
        <v>0.40127124539018899</v>
      </c>
      <c r="F33" cm="1">
        <f t="array" aca="1" ref="F33" ca="1">[1]!s_val_pe_ttm($B$1,$A33)</f>
        <v>5.1864147186279297</v>
      </c>
    </row>
    <row r="34" spans="1:6">
      <c r="A34" s="23">
        <f t="shared" ca="1" si="0"/>
        <v>46141</v>
      </c>
      <c r="B34" cm="1">
        <f t="array" aca="1" ref="B34" ca="1">[1]!s_dq_close($B$1,$A34,3)</f>
        <v>21.3</v>
      </c>
      <c r="C34" cm="1">
        <f t="array" aca="1" ref="C34" ca="1">[1]!s_dq_volume($B$1,$A34)</f>
        <v>2598450</v>
      </c>
      <c r="D34" cm="1">
        <f t="array" aca="1" ref="D34" ca="1">[1]!s_dq_amount($B$1,$A34)</f>
        <v>55277952</v>
      </c>
      <c r="E34" cm="1">
        <f t="array" aca="1" ref="E34" ca="1">[1]!s_dq_turn($B$1,$A34)</f>
        <v>0.29787547022757299</v>
      </c>
      <c r="F34" cm="1">
        <f t="array" aca="1" ref="F34" ca="1">[1]!s_val_pe_ttm($B$1,$A34)</f>
        <v>5.22566890716553</v>
      </c>
    </row>
    <row r="35" spans="1:6">
      <c r="A35" s="23">
        <f t="shared" ca="1" si="0"/>
        <v>46140</v>
      </c>
      <c r="B35" cm="1">
        <f t="array" aca="1" ref="B35" ca="1">[1]!s_dq_close($B$1,$A35,3)</f>
        <v>21.2</v>
      </c>
      <c r="C35" cm="1">
        <f t="array" aca="1" ref="C35" ca="1">[1]!s_dq_volume($B$1,$A35)</f>
        <v>4071500</v>
      </c>
      <c r="D35" cm="1">
        <f t="array" aca="1" ref="D35" ca="1">[1]!s_dq_amount($B$1,$A35)</f>
        <v>86475560</v>
      </c>
      <c r="E35" cm="1">
        <f t="array" aca="1" ref="E35" ca="1">[1]!s_dq_turn($B$1,$A35)</f>
        <v>0.46673977834153602</v>
      </c>
      <c r="F35" cm="1">
        <f t="array" aca="1" ref="F35" ca="1">[1]!s_val_pe_ttm($B$1,$A35)</f>
        <v>5.2011351585388201</v>
      </c>
    </row>
    <row r="36" spans="1:6">
      <c r="A36" s="23">
        <f t="shared" ca="1" si="0"/>
        <v>46139</v>
      </c>
      <c r="B36" cm="1">
        <f t="array" aca="1" ref="B36" ca="1">[1]!s_dq_close($B$1,$A36,3)</f>
        <v>21.28</v>
      </c>
      <c r="C36" cm="1">
        <f t="array" aca="1" ref="C36" ca="1">[1]!s_dq_volume($B$1,$A36)</f>
        <v>5177500</v>
      </c>
      <c r="D36" cm="1">
        <f t="array" aca="1" ref="D36" ca="1">[1]!s_dq_amount($B$1,$A36)</f>
        <v>110270480</v>
      </c>
      <c r="E36" cm="1">
        <f t="array" aca="1" ref="E36" ca="1">[1]!s_dq_turn($B$1,$A36)</f>
        <v>0.59352700536984004</v>
      </c>
      <c r="F36" cm="1">
        <f t="array" aca="1" ref="F36" ca="1">[1]!s_val_pe_ttm($B$1,$A36)</f>
        <v>5.2207617759704599</v>
      </c>
    </row>
    <row r="37" spans="1:6">
      <c r="A37" s="23">
        <f t="shared" ca="1" si="0"/>
        <v>46138</v>
      </c>
      <c r="B37" cm="1">
        <f t="array" aca="1" ref="B37" ca="1">[1]!s_dq_close($B$1,$A37,3)</f>
        <v>21.88</v>
      </c>
      <c r="C37" cm="1">
        <f t="array" aca="1" ref="C37" ca="1">[1]!s_dq_volume($B$1,$A37)</f>
        <v>0</v>
      </c>
      <c r="D37" cm="1">
        <f t="array" aca="1" ref="D37" ca="1">[1]!s_dq_amount($B$1,$A37)</f>
        <v>0</v>
      </c>
      <c r="E37" cm="1">
        <f t="array" aca="1" ref="E37" ca="1">[1]!s_dq_turn($B$1,$A37)</f>
        <v>0</v>
      </c>
      <c r="F37" cm="1">
        <f t="array" aca="1" ref="F37" ca="1">[1]!s_val_pe_ttm($B$1,$A37)</f>
        <v>5.3679637908935502</v>
      </c>
    </row>
    <row r="38" spans="1:6">
      <c r="A38" s="23">
        <f t="shared" ca="1" si="0"/>
        <v>46137</v>
      </c>
      <c r="B38" cm="1">
        <f t="array" aca="1" ref="B38" ca="1">[1]!s_dq_close($B$1,$A38,3)</f>
        <v>21.88</v>
      </c>
      <c r="C38" cm="1">
        <f t="array" aca="1" ref="C38" ca="1">[1]!s_dq_volume($B$1,$A38)</f>
        <v>0</v>
      </c>
      <c r="D38" cm="1">
        <f t="array" aca="1" ref="D38" ca="1">[1]!s_dq_amount($B$1,$A38)</f>
        <v>0</v>
      </c>
      <c r="E38" cm="1">
        <f t="array" aca="1" ref="E38" ca="1">[1]!s_dq_turn($B$1,$A38)</f>
        <v>0</v>
      </c>
      <c r="F38" cm="1">
        <f t="array" aca="1" ref="F38" ca="1">[1]!s_val_pe_ttm($B$1,$A38)</f>
        <v>5.3679637908935502</v>
      </c>
    </row>
    <row r="39" spans="1:6">
      <c r="A39" s="23">
        <f t="shared" ca="1" si="0"/>
        <v>46136</v>
      </c>
      <c r="B39" cm="1">
        <f t="array" aca="1" ref="B39" ca="1">[1]!s_dq_close($B$1,$A39,3)</f>
        <v>21.88</v>
      </c>
      <c r="C39" cm="1">
        <f t="array" aca="1" ref="C39" ca="1">[1]!s_dq_volume($B$1,$A39)</f>
        <v>4931186</v>
      </c>
      <c r="D39" cm="1">
        <f t="array" aca="1" ref="D39" ca="1">[1]!s_dq_amount($B$1,$A39)</f>
        <v>106795338</v>
      </c>
      <c r="E39" cm="1">
        <f t="array" aca="1" ref="E39" ca="1">[1]!s_dq_turn($B$1,$A39)</f>
        <v>0.56529059575117002</v>
      </c>
      <c r="F39" cm="1">
        <f t="array" aca="1" ref="F39" ca="1">[1]!s_val_pe_ttm($B$1,$A39)</f>
        <v>5.3679637908935502</v>
      </c>
    </row>
    <row r="40" spans="1:6">
      <c r="A40" s="23">
        <f t="shared" ca="1" si="0"/>
        <v>46135</v>
      </c>
      <c r="B40" cm="1">
        <f t="array" aca="1" ref="B40" ca="1">[1]!s_dq_close($B$1,$A40,3)</f>
        <v>21.92</v>
      </c>
      <c r="C40" cm="1">
        <f t="array" aca="1" ref="C40" ca="1">[1]!s_dq_volume($B$1,$A40)</f>
        <v>8887500</v>
      </c>
      <c r="D40" cm="1">
        <f t="array" aca="1" ref="D40" ca="1">[1]!s_dq_amount($B$1,$A40)</f>
        <v>196368666</v>
      </c>
      <c r="E40" cm="1">
        <f t="array" aca="1" ref="E40" ca="1">[1]!s_dq_turn($B$1,$A40)</f>
        <v>1.0188259314774399</v>
      </c>
      <c r="F40" cm="1">
        <f t="array" aca="1" ref="F40" ca="1">[1]!s_val_pe_ttm($B$1,$A40)</f>
        <v>5.3777775764465297</v>
      </c>
    </row>
    <row r="41" spans="1:6">
      <c r="A41" s="23">
        <f t="shared" ca="1" si="0"/>
        <v>46134</v>
      </c>
      <c r="B41" cm="1">
        <f t="array" aca="1" ref="B41" ca="1">[1]!s_dq_close($B$1,$A41,3)</f>
        <v>22.74</v>
      </c>
      <c r="C41" cm="1">
        <f t="array" aca="1" ref="C41" ca="1">[1]!s_dq_volume($B$1,$A41)</f>
        <v>6746500</v>
      </c>
      <c r="D41" cm="1">
        <f t="array" aca="1" ref="D41" ca="1">[1]!s_dq_amount($B$1,$A41)</f>
        <v>153745087</v>
      </c>
      <c r="E41" cm="1">
        <f t="array" aca="1" ref="E41" ca="1">[1]!s_dq_turn($B$1,$A41)</f>
        <v>0.77339062128974001</v>
      </c>
      <c r="F41" cm="1">
        <f t="array" aca="1" ref="F41" ca="1">[1]!s_val_pe_ttm($B$1,$A41)</f>
        <v>5.5789532661437997</v>
      </c>
    </row>
    <row r="42" spans="1:6">
      <c r="A42" s="23">
        <f t="shared" ca="1" si="0"/>
        <v>46133</v>
      </c>
      <c r="B42" cm="1">
        <f t="array" aca="1" ref="B42" ca="1">[1]!s_dq_close($B$1,$A42,3)</f>
        <v>23.6</v>
      </c>
      <c r="C42" cm="1">
        <f t="array" aca="1" ref="C42" ca="1">[1]!s_dq_volume($B$1,$A42)</f>
        <v>4259191</v>
      </c>
      <c r="D42" cm="1">
        <f t="array" aca="1" ref="D42" ca="1">[1]!s_dq_amount($B$1,$A42)</f>
        <v>100315470</v>
      </c>
      <c r="E42" cm="1">
        <f t="array" aca="1" ref="E42" ca="1">[1]!s_dq_turn($B$1,$A42)</f>
        <v>0.48825589174856099</v>
      </c>
      <c r="F42" cm="1">
        <f t="array" aca="1" ref="F42" ca="1">[1]!s_val_pe_ttm($B$1,$A42)</f>
        <v>5.7899427413940403</v>
      </c>
    </row>
    <row r="43" spans="1:6">
      <c r="A43" s="23">
        <f t="shared" ca="1" si="0"/>
        <v>46132</v>
      </c>
      <c r="B43" cm="1">
        <f t="array" aca="1" ref="B43" ca="1">[1]!s_dq_close($B$1,$A43,3)</f>
        <v>23.92</v>
      </c>
      <c r="C43" cm="1">
        <f t="array" aca="1" ref="C43" ca="1">[1]!s_dq_volume($B$1,$A43)</f>
        <v>3825566</v>
      </c>
      <c r="D43" cm="1">
        <f t="array" aca="1" ref="D43" ca="1">[1]!s_dq_amount($B$1,$A43)</f>
        <v>92216352</v>
      </c>
      <c r="E43" cm="1">
        <f t="array" aca="1" ref="E43" ca="1">[1]!s_dq_turn($B$1,$A43)</f>
        <v>0.43854693033793901</v>
      </c>
      <c r="F43" cm="1">
        <f t="array" aca="1" ref="F43" ca="1">[1]!s_val_pe_ttm($B$1,$A43)</f>
        <v>5.8684506416320801</v>
      </c>
    </row>
    <row r="44" spans="1:6">
      <c r="A44" s="23">
        <f t="shared" ca="1" si="0"/>
        <v>46131</v>
      </c>
      <c r="B44" cm="1">
        <f t="array" aca="1" ref="B44" ca="1">[1]!s_dq_close($B$1,$A44,3)</f>
        <v>24.72</v>
      </c>
      <c r="C44" cm="1">
        <f t="array" aca="1" ref="C44" ca="1">[1]!s_dq_volume($B$1,$A44)</f>
        <v>0</v>
      </c>
      <c r="D44" cm="1">
        <f t="array" aca="1" ref="D44" ca="1">[1]!s_dq_amount($B$1,$A44)</f>
        <v>0</v>
      </c>
      <c r="E44" cm="1">
        <f t="array" aca="1" ref="E44" ca="1">[1]!s_dq_turn($B$1,$A44)</f>
        <v>0</v>
      </c>
      <c r="F44" cm="1">
        <f t="array" aca="1" ref="F44" ca="1">[1]!s_val_pe_ttm($B$1,$A44)</f>
        <v>6.06471967697144</v>
      </c>
    </row>
    <row r="45" spans="1:6">
      <c r="A45" s="23">
        <f t="shared" ca="1" si="0"/>
        <v>46130</v>
      </c>
      <c r="B45" cm="1">
        <f t="array" aca="1" ref="B45" ca="1">[1]!s_dq_close($B$1,$A45,3)</f>
        <v>24.72</v>
      </c>
      <c r="C45" cm="1">
        <f t="array" aca="1" ref="C45" ca="1">[1]!s_dq_volume($B$1,$A45)</f>
        <v>0</v>
      </c>
      <c r="D45" cm="1">
        <f t="array" aca="1" ref="D45" ca="1">[1]!s_dq_amount($B$1,$A45)</f>
        <v>0</v>
      </c>
      <c r="E45" cm="1">
        <f t="array" aca="1" ref="E45" ca="1">[1]!s_dq_turn($B$1,$A45)</f>
        <v>0</v>
      </c>
      <c r="F45" cm="1">
        <f t="array" aca="1" ref="F45" ca="1">[1]!s_val_pe_ttm($B$1,$A45)</f>
        <v>6.06471967697144</v>
      </c>
    </row>
    <row r="46" spans="1:6">
      <c r="A46" s="23">
        <f t="shared" ca="1" si="0"/>
        <v>46129</v>
      </c>
      <c r="B46" cm="1">
        <f t="array" aca="1" ref="B46" ca="1">[1]!s_dq_close($B$1,$A46,3)</f>
        <v>24.72</v>
      </c>
      <c r="C46" cm="1">
        <f t="array" aca="1" ref="C46" ca="1">[1]!s_dq_volume($B$1,$A46)</f>
        <v>4013600</v>
      </c>
      <c r="D46" cm="1">
        <f t="array" aca="1" ref="D46" ca="1">[1]!s_dq_amount($B$1,$A46)</f>
        <v>98385310</v>
      </c>
      <c r="E46" cm="1">
        <f t="array" aca="1" ref="E46" ca="1">[1]!s_dq_turn($B$1,$A46)</f>
        <v>0.46010236383435799</v>
      </c>
      <c r="F46" cm="1">
        <f t="array" aca="1" ref="F46" ca="1">[1]!s_val_pe_ttm($B$1,$A46)</f>
        <v>6.06471967697144</v>
      </c>
    </row>
    <row r="47" spans="1:6">
      <c r="A47" s="23">
        <f t="shared" ca="1" si="0"/>
        <v>46128</v>
      </c>
      <c r="B47" cm="1">
        <f t="array" aca="1" ref="B47" ca="1">[1]!s_dq_close($B$1,$A47,3)</f>
        <v>24.5</v>
      </c>
      <c r="C47" cm="1">
        <f t="array" aca="1" ref="C47" ca="1">[1]!s_dq_volume($B$1,$A47)</f>
        <v>4309993</v>
      </c>
      <c r="D47" cm="1">
        <f t="array" aca="1" ref="D47" ca="1">[1]!s_dq_amount($B$1,$A47)</f>
        <v>104604970</v>
      </c>
      <c r="E47" cm="1">
        <f t="array" aca="1" ref="E47" ca="1">[1]!s_dq_turn($B$1,$A47)</f>
        <v>0.49407962114050702</v>
      </c>
      <c r="F47" cm="1">
        <f t="array" aca="1" ref="F47" ca="1">[1]!s_val_pe_ttm($B$1,$A47)</f>
        <v>6.0107455253601101</v>
      </c>
    </row>
    <row r="48" spans="1:6">
      <c r="A48" s="23">
        <f t="shared" ca="1" si="0"/>
        <v>46127</v>
      </c>
      <c r="B48" cm="1">
        <f t="array" aca="1" ref="B48" ca="1">[1]!s_dq_close($B$1,$A48,3)</f>
        <v>24.3</v>
      </c>
      <c r="C48" cm="1">
        <f t="array" aca="1" ref="C48" ca="1">[1]!s_dq_volume($B$1,$A48)</f>
        <v>7758460</v>
      </c>
      <c r="D48" cm="1">
        <f t="array" aca="1" ref="D48" ca="1">[1]!s_dq_amount($B$1,$A48)</f>
        <v>187612694</v>
      </c>
      <c r="E48" cm="1">
        <f t="array" aca="1" ref="E48" ca="1">[1]!s_dq_turn($B$1,$A48)</f>
        <v>0.88939749494576403</v>
      </c>
      <c r="F48" cm="1">
        <f t="array" aca="1" ref="F48" ca="1">[1]!s_val_pe_ttm($B$1,$A48)</f>
        <v>5.9616785049438503</v>
      </c>
    </row>
    <row r="49" spans="1:6">
      <c r="A49" s="23">
        <f t="shared" ca="1" si="0"/>
        <v>46126</v>
      </c>
      <c r="B49" cm="1">
        <f t="array" aca="1" ref="B49" ca="1">[1]!s_dq_close($B$1,$A49,3)</f>
        <v>23.64</v>
      </c>
      <c r="C49" cm="1">
        <f t="array" aca="1" ref="C49" ca="1">[1]!s_dq_volume($B$1,$A49)</f>
        <v>3857500</v>
      </c>
      <c r="D49" cm="1">
        <f t="array" aca="1" ref="D49" ca="1">[1]!s_dq_amount($B$1,$A49)</f>
        <v>90917160</v>
      </c>
      <c r="E49" cm="1">
        <f t="array" aca="1" ref="E49" ca="1">[1]!s_dq_turn($B$1,$A49)</f>
        <v>0.44220771090568001</v>
      </c>
      <c r="F49" cm="1">
        <f t="array" aca="1" ref="F49" ca="1">[1]!s_val_pe_ttm($B$1,$A49)</f>
        <v>5.7997560501098597</v>
      </c>
    </row>
    <row r="50" spans="1:6">
      <c r="A50" s="23">
        <f t="shared" ca="1" si="0"/>
        <v>46125</v>
      </c>
      <c r="B50" cm="1">
        <f t="array" aca="1" ref="B50" ca="1">[1]!s_dq_close($B$1,$A50,3)</f>
        <v>23.56</v>
      </c>
      <c r="C50" cm="1">
        <f t="array" aca="1" ref="C50" ca="1">[1]!s_dq_volume($B$1,$A50)</f>
        <v>3932000</v>
      </c>
      <c r="D50" cm="1">
        <f t="array" aca="1" ref="D50" ca="1">[1]!s_dq_amount($B$1,$A50)</f>
        <v>91383650</v>
      </c>
      <c r="E50" cm="1">
        <f t="array" aca="1" ref="E50" ca="1">[1]!s_dq_turn($B$1,$A50)</f>
        <v>0.45074808017657397</v>
      </c>
      <c r="F50" cm="1">
        <f t="array" aca="1" ref="F50" ca="1">[1]!s_val_pe_ttm($B$1,$A50)</f>
        <v>5.78012943267822</v>
      </c>
    </row>
    <row r="51" spans="1:6">
      <c r="A51" s="23">
        <f t="shared" ca="1" si="0"/>
        <v>46124</v>
      </c>
      <c r="B51" cm="1">
        <f t="array" aca="1" ref="B51" ca="1">[1]!s_dq_close($B$1,$A51,3)</f>
        <v>23.52</v>
      </c>
      <c r="C51" cm="1">
        <f t="array" aca="1" ref="C51" ca="1">[1]!s_dq_volume($B$1,$A51)</f>
        <v>0</v>
      </c>
      <c r="D51" cm="1">
        <f t="array" aca="1" ref="D51" ca="1">[1]!s_dq_amount($B$1,$A51)</f>
        <v>0</v>
      </c>
      <c r="E51" cm="1">
        <f t="array" aca="1" ref="E51" ca="1">[1]!s_dq_turn($B$1,$A51)</f>
        <v>0</v>
      </c>
      <c r="F51" cm="1">
        <f t="array" aca="1" ref="F51" ca="1">[1]!s_val_pe_ttm($B$1,$A51)</f>
        <v>5.7703156471252397</v>
      </c>
    </row>
    <row r="52" spans="1:6">
      <c r="A52" s="23">
        <f t="shared" ca="1" si="0"/>
        <v>46123</v>
      </c>
      <c r="B52" cm="1">
        <f t="array" aca="1" ref="B52" ca="1">[1]!s_dq_close($B$1,$A52,3)</f>
        <v>23.52</v>
      </c>
      <c r="C52" cm="1">
        <f t="array" aca="1" ref="C52" ca="1">[1]!s_dq_volume($B$1,$A52)</f>
        <v>0</v>
      </c>
      <c r="D52" cm="1">
        <f t="array" aca="1" ref="D52" ca="1">[1]!s_dq_amount($B$1,$A52)</f>
        <v>0</v>
      </c>
      <c r="E52" cm="1">
        <f t="array" aca="1" ref="E52" ca="1">[1]!s_dq_turn($B$1,$A52)</f>
        <v>0</v>
      </c>
      <c r="F52" cm="1">
        <f t="array" aca="1" ref="F52" ca="1">[1]!s_val_pe_ttm($B$1,$A52)</f>
        <v>5.7703156471252397</v>
      </c>
    </row>
    <row r="53" spans="1:6">
      <c r="A53" s="23">
        <f t="shared" ca="1" si="0"/>
        <v>46122</v>
      </c>
      <c r="B53" cm="1">
        <f t="array" aca="1" ref="B53" ca="1">[1]!s_dq_close($B$1,$A53,3)</f>
        <v>23.52</v>
      </c>
      <c r="C53" cm="1">
        <f t="array" aca="1" ref="C53" ca="1">[1]!s_dq_volume($B$1,$A53)</f>
        <v>3957072</v>
      </c>
      <c r="D53" cm="1">
        <f t="array" aca="1" ref="D53" ca="1">[1]!s_dq_amount($B$1,$A53)</f>
        <v>93143600</v>
      </c>
      <c r="E53" cm="1">
        <f t="array" aca="1" ref="E53" ca="1">[1]!s_dq_turn($B$1,$A53)</f>
        <v>0.45362222968476001</v>
      </c>
      <c r="F53" cm="1">
        <f t="array" aca="1" ref="F53" ca="1">[1]!s_val_pe_ttm($B$1,$A53)</f>
        <v>5.7703156471252397</v>
      </c>
    </row>
    <row r="54" spans="1:6">
      <c r="A54" s="23">
        <f t="shared" ca="1" si="0"/>
        <v>46121</v>
      </c>
      <c r="B54" cm="1">
        <f t="array" aca="1" ref="B54" ca="1">[1]!s_dq_close($B$1,$A54,3)</f>
        <v>23.6</v>
      </c>
      <c r="C54" cm="1">
        <f t="array" aca="1" ref="C54" ca="1">[1]!s_dq_volume($B$1,$A54)</f>
        <v>4725362</v>
      </c>
      <c r="D54" cm="1">
        <f t="array" aca="1" ref="D54" ca="1">[1]!s_dq_amount($B$1,$A54)</f>
        <v>111350472</v>
      </c>
      <c r="E54" cm="1">
        <f t="array" aca="1" ref="E54" ca="1">[1]!s_dq_turn($B$1,$A54)</f>
        <v>0.54169579085435804</v>
      </c>
      <c r="F54" cm="1">
        <f t="array" aca="1" ref="F54" ca="1">[1]!s_val_pe_ttm($B$1,$A54)</f>
        <v>5.7899427413940403</v>
      </c>
    </row>
    <row r="55" spans="1:6">
      <c r="A55" s="23">
        <f t="shared" ca="1" si="0"/>
        <v>46120</v>
      </c>
      <c r="B55" cm="1">
        <f t="array" aca="1" ref="B55" ca="1">[1]!s_dq_close($B$1,$A55,3)</f>
        <v>23.26</v>
      </c>
      <c r="C55" cm="1">
        <f t="array" aca="1" ref="C55" ca="1">[1]!s_dq_volume($B$1,$A55)</f>
        <v>6035729</v>
      </c>
      <c r="D55" cm="1">
        <f t="array" aca="1" ref="D55" ca="1">[1]!s_dq_amount($B$1,$A55)</f>
        <v>140334692</v>
      </c>
      <c r="E55" cm="1">
        <f t="array" aca="1" ref="E55" ca="1">[1]!s_dq_turn($B$1,$A55)</f>
        <v>0.691910798376417</v>
      </c>
      <c r="F55" cm="1">
        <f t="array" aca="1" ref="F55" ca="1">[1]!s_val_pe_ttm($B$1,$A55)</f>
        <v>5.7065281867981001</v>
      </c>
    </row>
    <row r="56" spans="1:6">
      <c r="A56" s="23">
        <f t="shared" ca="1" si="0"/>
        <v>46119</v>
      </c>
      <c r="B56" cm="1">
        <f t="array" aca="1" ref="B56" ca="1">[1]!s_dq_close($B$1,$A56,3)</f>
        <v>23.56</v>
      </c>
      <c r="C56" cm="1">
        <f t="array" aca="1" ref="C56" ca="1">[1]!s_dq_volume($B$1,$A56)</f>
        <v>0</v>
      </c>
      <c r="D56" cm="1">
        <f t="array" aca="1" ref="D56" ca="1">[1]!s_dq_amount($B$1,$A56)</f>
        <v>0</v>
      </c>
      <c r="E56" cm="1">
        <f t="array" aca="1" ref="E56" ca="1">[1]!s_dq_turn($B$1,$A56)</f>
        <v>0</v>
      </c>
      <c r="F56" cm="1">
        <f t="array" aca="1" ref="F56" ca="1">[1]!s_val_pe_ttm($B$1,$A56)</f>
        <v>5.78012943267822</v>
      </c>
    </row>
    <row r="57" spans="1:6">
      <c r="A57" s="23">
        <f t="shared" ca="1" si="0"/>
        <v>46118</v>
      </c>
      <c r="B57" cm="1">
        <f t="array" aca="1" ref="B57" ca="1">[1]!s_dq_close($B$1,$A57,3)</f>
        <v>23.56</v>
      </c>
      <c r="C57" cm="1">
        <f t="array" aca="1" ref="C57" ca="1">[1]!s_dq_volume($B$1,$A57)</f>
        <v>0</v>
      </c>
      <c r="D57" cm="1">
        <f t="array" aca="1" ref="D57" ca="1">[1]!s_dq_amount($B$1,$A57)</f>
        <v>0</v>
      </c>
      <c r="E57" cm="1">
        <f t="array" aca="1" ref="E57" ca="1">[1]!s_dq_turn($B$1,$A57)</f>
        <v>0</v>
      </c>
      <c r="F57" cm="1">
        <f t="array" aca="1" ref="F57" ca="1">[1]!s_val_pe_ttm($B$1,$A57)</f>
        <v>5.78012943267822</v>
      </c>
    </row>
    <row r="58" spans="1:6">
      <c r="A58" s="23">
        <f t="shared" ca="1" si="0"/>
        <v>46117</v>
      </c>
      <c r="B58" cm="1">
        <f t="array" aca="1" ref="B58" ca="1">[1]!s_dq_close($B$1,$A58,3)</f>
        <v>23.56</v>
      </c>
      <c r="C58" cm="1">
        <f t="array" aca="1" ref="C58" ca="1">[1]!s_dq_volume($B$1,$A58)</f>
        <v>0</v>
      </c>
      <c r="D58" cm="1">
        <f t="array" aca="1" ref="D58" ca="1">[1]!s_dq_amount($B$1,$A58)</f>
        <v>0</v>
      </c>
      <c r="E58" cm="1">
        <f t="array" aca="1" ref="E58" ca="1">[1]!s_dq_turn($B$1,$A58)</f>
        <v>0</v>
      </c>
      <c r="F58" cm="1">
        <f t="array" aca="1" ref="F58" ca="1">[1]!s_val_pe_ttm($B$1,$A58)</f>
        <v>5.78012943267822</v>
      </c>
    </row>
    <row r="59" spans="1:6">
      <c r="A59" s="23">
        <f t="shared" ca="1" si="0"/>
        <v>46116</v>
      </c>
      <c r="B59" cm="1">
        <f t="array" aca="1" ref="B59" ca="1">[1]!s_dq_close($B$1,$A59,3)</f>
        <v>23.56</v>
      </c>
      <c r="C59" cm="1">
        <f t="array" aca="1" ref="C59" ca="1">[1]!s_dq_volume($B$1,$A59)</f>
        <v>0</v>
      </c>
      <c r="D59" cm="1">
        <f t="array" aca="1" ref="D59" ca="1">[1]!s_dq_amount($B$1,$A59)</f>
        <v>0</v>
      </c>
      <c r="E59" cm="1">
        <f t="array" aca="1" ref="E59" ca="1">[1]!s_dq_turn($B$1,$A59)</f>
        <v>0</v>
      </c>
      <c r="F59" cm="1">
        <f t="array" aca="1" ref="F59" ca="1">[1]!s_val_pe_ttm($B$1,$A59)</f>
        <v>5.78012943267822</v>
      </c>
    </row>
    <row r="60" spans="1:6">
      <c r="A60" s="23">
        <f t="shared" ca="1" si="0"/>
        <v>46115</v>
      </c>
      <c r="B60" cm="1">
        <f t="array" aca="1" ref="B60" ca="1">[1]!s_dq_close($B$1,$A60,3)</f>
        <v>23.56</v>
      </c>
      <c r="C60" cm="1">
        <f t="array" aca="1" ref="C60" ca="1">[1]!s_dq_volume($B$1,$A60)</f>
        <v>0</v>
      </c>
      <c r="D60" cm="1">
        <f t="array" aca="1" ref="D60" ca="1">[1]!s_dq_amount($B$1,$A60)</f>
        <v>0</v>
      </c>
      <c r="E60" cm="1">
        <f t="array" aca="1" ref="E60" ca="1">[1]!s_dq_turn($B$1,$A60)</f>
        <v>0</v>
      </c>
      <c r="F60" cm="1">
        <f t="array" aca="1" ref="F60" ca="1">[1]!s_val_pe_ttm($B$1,$A60)</f>
        <v>5.78012943267822</v>
      </c>
    </row>
    <row r="61" spans="1:6">
      <c r="A61" s="23">
        <f t="shared" ca="1" si="0"/>
        <v>46114</v>
      </c>
      <c r="B61" cm="1">
        <f t="array" aca="1" ref="B61" ca="1">[1]!s_dq_close($B$1,$A61,3)</f>
        <v>23.56</v>
      </c>
      <c r="C61" cm="1">
        <f t="array" aca="1" ref="C61" ca="1">[1]!s_dq_volume($B$1,$A61)</f>
        <v>7219000</v>
      </c>
      <c r="D61" cm="1">
        <f t="array" aca="1" ref="D61" ca="1">[1]!s_dq_amount($B$1,$A61)</f>
        <v>169759850</v>
      </c>
      <c r="E61" cm="1">
        <f t="array" aca="1" ref="E61" ca="1">[1]!s_dq_turn($B$1,$A61)</f>
        <v>0.82755605055816095</v>
      </c>
      <c r="F61" cm="1">
        <f t="array" aca="1" ref="F61" ca="1">[1]!s_val_pe_ttm($B$1,$A61)</f>
        <v>5.78012943267822</v>
      </c>
    </row>
    <row r="62" spans="1:6">
      <c r="A62" s="23">
        <f t="shared" ca="1" si="0"/>
        <v>46113</v>
      </c>
      <c r="B62" cm="1">
        <f t="array" aca="1" ref="B62" ca="1">[1]!s_dq_close($B$1,$A62,3)</f>
        <v>23.88</v>
      </c>
      <c r="C62" cm="1">
        <f t="array" aca="1" ref="C62" ca="1">[1]!s_dq_volume($B$1,$A62)</f>
        <v>10149000</v>
      </c>
      <c r="D62" cm="1">
        <f t="array" aca="1" ref="D62" ca="1">[1]!s_dq_amount($B$1,$A62)</f>
        <v>240115568</v>
      </c>
      <c r="E62" cm="1">
        <f t="array" aca="1" ref="E62" ca="1">[1]!s_dq_turn($B$1,$A62)</f>
        <v>1.1634390299369399</v>
      </c>
      <c r="F62" cm="1">
        <f t="array" aca="1" ref="F62" ca="1">[1]!s_val_pe_ttm($B$1,$A62)</f>
        <v>5.8586368560790998</v>
      </c>
    </row>
    <row r="63" spans="1:6">
      <c r="A63" s="23">
        <f t="shared" ca="1" si="0"/>
        <v>46112</v>
      </c>
      <c r="B63" cm="1">
        <f t="array" aca="1" ref="B63" ca="1">[1]!s_dq_close($B$1,$A63,3)</f>
        <v>22.68</v>
      </c>
      <c r="C63" cm="1">
        <f t="array" aca="1" ref="C63" ca="1">[1]!s_dq_volume($B$1,$A63)</f>
        <v>3135000</v>
      </c>
      <c r="D63" cm="1">
        <f t="array" aca="1" ref="D63" ca="1">[1]!s_dq_amount($B$1,$A63)</f>
        <v>71498563</v>
      </c>
      <c r="E63" cm="1">
        <f t="array" aca="1" ref="E63" ca="1">[1]!s_dq_turn($B$1,$A63)</f>
        <v>0.35938332435238002</v>
      </c>
      <c r="F63" cm="1">
        <f t="array" aca="1" ref="F63" ca="1">[1]!s_val_pe_ttm($B$1,$A63)</f>
        <v>5.5642333030700701</v>
      </c>
    </row>
    <row r="64" spans="1:6">
      <c r="A64" s="23">
        <f t="shared" ca="1" si="0"/>
        <v>46111</v>
      </c>
      <c r="B64" cm="1">
        <f t="array" aca="1" ref="B64" ca="1">[1]!s_dq_close($B$1,$A64,3)</f>
        <v>22.96</v>
      </c>
      <c r="C64" cm="1">
        <f t="array" aca="1" ref="C64" ca="1">[1]!s_dq_volume($B$1,$A64)</f>
        <v>9115440</v>
      </c>
      <c r="D64" cm="1">
        <f t="array" aca="1" ref="D64" ca="1">[1]!s_dq_amount($B$1,$A64)</f>
        <v>207344877</v>
      </c>
      <c r="E64" cm="1">
        <f t="array" aca="1" ref="E64" ca="1">[1]!s_dq_turn($B$1,$A64)</f>
        <v>1.0449560223715</v>
      </c>
      <c r="F64" cm="1">
        <f t="array" aca="1" ref="F64" ca="1">[1]!s_val_pe_ttm($B$1,$A64)</f>
        <v>5.6329274177551296</v>
      </c>
    </row>
    <row r="65" spans="1:6">
      <c r="A65" s="23">
        <f t="shared" ca="1" si="0"/>
        <v>46110</v>
      </c>
      <c r="B65" cm="1">
        <f t="array" aca="1" ref="B65" ca="1">[1]!s_dq_close($B$1,$A65,3)</f>
        <v>21.88</v>
      </c>
      <c r="C65" cm="1">
        <f t="array" aca="1" ref="C65" ca="1">[1]!s_dq_volume($B$1,$A65)</f>
        <v>0</v>
      </c>
      <c r="D65" cm="1">
        <f t="array" aca="1" ref="D65" ca="1">[1]!s_dq_amount($B$1,$A65)</f>
        <v>0</v>
      </c>
      <c r="E65" cm="1">
        <f t="array" aca="1" ref="E65" ca="1">[1]!s_dq_turn($B$1,$A65)</f>
        <v>0</v>
      </c>
      <c r="F65" cm="1">
        <f t="array" aca="1" ref="F65" ca="1">[1]!s_val_pe_ttm($B$1,$A65)</f>
        <v>5.3679637908935502</v>
      </c>
    </row>
    <row r="66" spans="1:6">
      <c r="A66" s="23">
        <f t="shared" ca="1" si="0"/>
        <v>46109</v>
      </c>
      <c r="B66" cm="1">
        <f t="array" aca="1" ref="B66" ca="1">[1]!s_dq_close($B$1,$A66,3)</f>
        <v>21.88</v>
      </c>
      <c r="C66" cm="1">
        <f t="array" aca="1" ref="C66" ca="1">[1]!s_dq_volume($B$1,$A66)</f>
        <v>0</v>
      </c>
      <c r="D66" cm="1">
        <f t="array" aca="1" ref="D66" ca="1">[1]!s_dq_amount($B$1,$A66)</f>
        <v>0</v>
      </c>
      <c r="E66" cm="1">
        <f t="array" aca="1" ref="E66" ca="1">[1]!s_dq_turn($B$1,$A66)</f>
        <v>0</v>
      </c>
      <c r="F66" cm="1">
        <f t="array" aca="1" ref="F66" ca="1">[1]!s_val_pe_ttm($B$1,$A66)</f>
        <v>5.3679637908935502</v>
      </c>
    </row>
    <row r="67" spans="1:6">
      <c r="A67" s="23">
        <f t="shared" ca="1" si="0"/>
        <v>46108</v>
      </c>
      <c r="B67" cm="1">
        <f t="array" aca="1" ref="B67" ca="1">[1]!s_dq_close($B$1,$A67,3)</f>
        <v>21.88</v>
      </c>
      <c r="C67" cm="1">
        <f t="array" aca="1" ref="C67" ca="1">[1]!s_dq_volume($B$1,$A67)</f>
        <v>4892000</v>
      </c>
      <c r="D67" cm="1">
        <f t="array" aca="1" ref="D67" ca="1">[1]!s_dq_amount($B$1,$A67)</f>
        <v>106512850</v>
      </c>
      <c r="E67" cm="1">
        <f t="array" aca="1" ref="E67" ca="1">[1]!s_dq_turn($B$1,$A67)</f>
        <v>0.56079847615050904</v>
      </c>
      <c r="F67" cm="1">
        <f t="array" aca="1" ref="F67" ca="1">[1]!s_val_pe_ttm($B$1,$A67)</f>
        <v>5.3679637908935502</v>
      </c>
    </row>
    <row r="68" spans="1:6">
      <c r="A68" s="23">
        <f t="shared" ca="1" si="0"/>
        <v>46107</v>
      </c>
      <c r="B68" cm="1">
        <f t="array" aca="1" ref="B68" ca="1">[1]!s_dq_close($B$1,$A68,3)</f>
        <v>21.52</v>
      </c>
      <c r="C68" cm="1">
        <f t="array" aca="1" ref="C68" ca="1">[1]!s_dq_volume($B$1,$A68)</f>
        <v>3232500</v>
      </c>
      <c r="D68" cm="1">
        <f t="array" aca="1" ref="D68" ca="1">[1]!s_dq_amount($B$1,$A68)</f>
        <v>69658869</v>
      </c>
      <c r="E68" cm="1">
        <f t="array" aca="1" ref="E68" ca="1">[1]!s_dq_turn($B$1,$A68)</f>
        <v>0.37056031769348302</v>
      </c>
      <c r="F68" cm="1">
        <f t="array" aca="1" ref="F68" ca="1">[1]!s_val_pe_ttm($B$1,$A68)</f>
        <v>5.2796425819396999</v>
      </c>
    </row>
    <row r="69" spans="1:6">
      <c r="A69" s="23">
        <f t="shared" ca="1" si="0"/>
        <v>46106</v>
      </c>
      <c r="B69" cm="1">
        <f t="array" aca="1" ref="B69" ca="1">[1]!s_dq_close($B$1,$A69,3)</f>
        <v>22</v>
      </c>
      <c r="C69" cm="1">
        <f t="array" aca="1" ref="C69" ca="1">[1]!s_dq_volume($B$1,$A69)</f>
        <v>2861000</v>
      </c>
      <c r="D69" cm="1">
        <f t="array" aca="1" ref="D69" ca="1">[1]!s_dq_amount($B$1,$A69)</f>
        <v>62711000</v>
      </c>
      <c r="E69" cm="1">
        <f t="array" aca="1" ref="E69" ca="1">[1]!s_dq_turn($B$1,$A69)</f>
        <v>0.32797310716815298</v>
      </c>
      <c r="F69" cm="1">
        <f t="array" aca="1" ref="F69" ca="1">[1]!s_val_pe_ttm($B$1,$A69)</f>
        <v>5.3974041938781703</v>
      </c>
    </row>
    <row r="70" spans="1:6">
      <c r="A70" s="23">
        <f t="shared" ca="1" si="0"/>
        <v>46105</v>
      </c>
      <c r="B70" cm="1">
        <f t="array" aca="1" ref="B70" ca="1">[1]!s_dq_close($B$1,$A70,3)</f>
        <v>21.82</v>
      </c>
      <c r="C70" cm="1">
        <f t="array" aca="1" ref="C70" ca="1">[1]!s_dq_volume($B$1,$A70)</f>
        <v>4211500</v>
      </c>
      <c r="D70" cm="1">
        <f t="array" aca="1" ref="D70" ca="1">[1]!s_dq_amount($B$1,$A70)</f>
        <v>91976710</v>
      </c>
      <c r="E70" cm="1">
        <f t="array" aca="1" ref="E70" ca="1">[1]!s_dq_turn($B$1,$A70)</f>
        <v>0.48278879442106898</v>
      </c>
      <c r="F70" cm="1">
        <f t="array" aca="1" ref="F70" ca="1">[1]!s_val_pe_ttm($B$1,$A70)</f>
        <v>5.3532438278198198</v>
      </c>
    </row>
    <row r="71" spans="1:6">
      <c r="A71" s="23">
        <f t="shared" ca="1" si="0"/>
        <v>46104</v>
      </c>
      <c r="B71" cm="1">
        <f t="array" aca="1" ref="B71" ca="1">[1]!s_dq_close($B$1,$A71,3)</f>
        <v>21.7</v>
      </c>
      <c r="C71" cm="1">
        <f t="array" aca="1" ref="C71" ca="1">[1]!s_dq_volume($B$1,$A71)</f>
        <v>8114020</v>
      </c>
      <c r="D71" cm="1">
        <f t="array" aca="1" ref="D71" ca="1">[1]!s_dq_amount($B$1,$A71)</f>
        <v>172595158</v>
      </c>
      <c r="E71" cm="1">
        <f t="array" aca="1" ref="E71" ca="1">[1]!s_dq_turn($B$1,$A71)</f>
        <v>0.93015741035460997</v>
      </c>
      <c r="F71" cm="1">
        <f t="array" aca="1" ref="F71" ca="1">[1]!s_val_pe_ttm($B$1,$A71)</f>
        <v>5.3238034248352104</v>
      </c>
    </row>
    <row r="72" spans="1:6">
      <c r="A72" s="23">
        <f t="shared" ca="1" si="0"/>
        <v>46103</v>
      </c>
      <c r="B72" cm="1">
        <f t="array" aca="1" ref="B72" ca="1">[1]!s_dq_close($B$1,$A72,3)</f>
        <v>21.98</v>
      </c>
      <c r="C72" cm="1">
        <f t="array" aca="1" ref="C72" ca="1">[1]!s_dq_volume($B$1,$A72)</f>
        <v>0</v>
      </c>
      <c r="D72" cm="1">
        <f t="array" aca="1" ref="D72" ca="1">[1]!s_dq_amount($B$1,$A72)</f>
        <v>0</v>
      </c>
      <c r="E72" cm="1">
        <f t="array" aca="1" ref="E72" ca="1">[1]!s_dq_turn($B$1,$A72)</f>
        <v>0</v>
      </c>
      <c r="F72" cm="1">
        <f t="array" aca="1" ref="F72" ca="1">[1]!s_val_pe_ttm($B$1,$A72)</f>
        <v>5.3924975395202601</v>
      </c>
    </row>
    <row r="73" spans="1:6">
      <c r="A73" s="23">
        <f t="shared" ca="1" si="0"/>
        <v>46102</v>
      </c>
      <c r="B73" cm="1">
        <f t="array" aca="1" ref="B73" ca="1">[1]!s_dq_close($B$1,$A73,3)</f>
        <v>21.98</v>
      </c>
      <c r="C73" cm="1">
        <f t="array" aca="1" ref="C73" ca="1">[1]!s_dq_volume($B$1,$A73)</f>
        <v>0</v>
      </c>
      <c r="D73" cm="1">
        <f t="array" aca="1" ref="D73" ca="1">[1]!s_dq_amount($B$1,$A73)</f>
        <v>0</v>
      </c>
      <c r="E73" cm="1">
        <f t="array" aca="1" ref="E73" ca="1">[1]!s_dq_turn($B$1,$A73)</f>
        <v>0</v>
      </c>
      <c r="F73" cm="1">
        <f t="array" aca="1" ref="F73" ca="1">[1]!s_val_pe_ttm($B$1,$A73)</f>
        <v>5.3924975395202601</v>
      </c>
    </row>
    <row r="74" spans="1:6">
      <c r="A74" s="23">
        <f t="shared" ca="1" si="0"/>
        <v>46101</v>
      </c>
      <c r="B74" cm="1">
        <f t="array" aca="1" ref="B74" ca="1">[1]!s_dq_close($B$1,$A74,3)</f>
        <v>21.98</v>
      </c>
      <c r="C74" cm="1">
        <f t="array" aca="1" ref="C74" ca="1">[1]!s_dq_volume($B$1,$A74)</f>
        <v>3925500</v>
      </c>
      <c r="D74" cm="1">
        <f t="array" aca="1" ref="D74" ca="1">[1]!s_dq_amount($B$1,$A74)</f>
        <v>86640040</v>
      </c>
      <c r="E74" cm="1">
        <f t="array" aca="1" ref="E74" ca="1">[1]!s_dq_turn($B$1,$A74)</f>
        <v>0.450002947287167</v>
      </c>
      <c r="F74" cm="1">
        <f t="array" aca="1" ref="F74" ca="1">[1]!s_val_pe_ttm($B$1,$A74)</f>
        <v>5.3924975395202601</v>
      </c>
    </row>
    <row r="75" spans="1:6">
      <c r="A75" s="23">
        <f t="shared" ca="1" si="0"/>
        <v>46100</v>
      </c>
      <c r="B75" cm="1">
        <f t="array" aca="1" ref="B75" ca="1">[1]!s_dq_close($B$1,$A75,3)</f>
        <v>21.98</v>
      </c>
      <c r="C75" cm="1">
        <f t="array" aca="1" ref="C75" ca="1">[1]!s_dq_volume($B$1,$A75)</f>
        <v>2556600</v>
      </c>
      <c r="D75" cm="1">
        <f t="array" aca="1" ref="D75" ca="1">[1]!s_dq_amount($B$1,$A75)</f>
        <v>56292510</v>
      </c>
      <c r="E75" cm="1">
        <f t="array" aca="1" ref="E75" ca="1">[1]!s_dq_turn($B$1,$A75)</f>
        <v>0.29307796077808501</v>
      </c>
      <c r="F75" cm="1">
        <f t="array" aca="1" ref="F75" ca="1">[1]!s_val_pe_ttm($B$1,$A75)</f>
        <v>5.3924975395202601</v>
      </c>
    </row>
    <row r="76" spans="1:6">
      <c r="A76" s="23">
        <f t="shared" ca="1" si="0"/>
        <v>46099</v>
      </c>
      <c r="B76" cm="1">
        <f t="array" aca="1" ref="B76" ca="1">[1]!s_dq_close($B$1,$A76,3)</f>
        <v>22.42</v>
      </c>
      <c r="C76" cm="1">
        <f t="array" aca="1" ref="C76" ca="1">[1]!s_dq_volume($B$1,$A76)</f>
        <v>1834442</v>
      </c>
      <c r="D76" cm="1">
        <f t="array" aca="1" ref="D76" ca="1">[1]!s_dq_amount($B$1,$A76)</f>
        <v>41013405</v>
      </c>
      <c r="E76" cm="1">
        <f t="array" aca="1" ref="E76" ca="1">[1]!s_dq_turn($B$1,$A76)</f>
        <v>0.210292779678351</v>
      </c>
      <c r="F76" cm="1">
        <f t="array" aca="1" ref="F76" ca="1">[1]!s_val_pe_ttm($B$1,$A76)</f>
        <v>5.5004458427429199</v>
      </c>
    </row>
    <row r="77" spans="1:6">
      <c r="A77" s="23">
        <f t="shared" ref="A77:A140" ca="1" si="1">A76-1</f>
        <v>46098</v>
      </c>
      <c r="B77" cm="1">
        <f t="array" aca="1" ref="B77" ca="1">[1]!s_dq_close($B$1,$A77,3)</f>
        <v>22.44</v>
      </c>
      <c r="C77" cm="1">
        <f t="array" aca="1" ref="C77" ca="1">[1]!s_dq_volume($B$1,$A77)</f>
        <v>4393000</v>
      </c>
      <c r="D77" cm="1">
        <f t="array" aca="1" ref="D77" ca="1">[1]!s_dq_amount($B$1,$A77)</f>
        <v>99438280</v>
      </c>
      <c r="E77" cm="1">
        <f t="array" aca="1" ref="E77" ca="1">[1]!s_dq_turn($B$1,$A77)</f>
        <v>0.503595197409891</v>
      </c>
      <c r="F77" cm="1">
        <f t="array" aca="1" ref="F77" ca="1">[1]!s_val_pe_ttm($B$1,$A77)</f>
        <v>5.5053524971008301</v>
      </c>
    </row>
    <row r="78" spans="1:6">
      <c r="A78" s="23">
        <f t="shared" ca="1" si="1"/>
        <v>46097</v>
      </c>
      <c r="B78" cm="1">
        <f t="array" aca="1" ref="B78" ca="1">[1]!s_dq_close($B$1,$A78,3)</f>
        <v>22.44</v>
      </c>
      <c r="C78" cm="1">
        <f t="array" aca="1" ref="C78" ca="1">[1]!s_dq_volume($B$1,$A78)</f>
        <v>2280125</v>
      </c>
      <c r="D78" cm="1">
        <f t="array" aca="1" ref="D78" ca="1">[1]!s_dq_amount($B$1,$A78)</f>
        <v>50947255</v>
      </c>
      <c r="E78" cm="1">
        <f t="array" aca="1" ref="E78" ca="1">[1]!s_dq_turn($B$1,$A78)</f>
        <v>0.26138401991673699</v>
      </c>
      <c r="F78" cm="1">
        <f t="array" aca="1" ref="F78" ca="1">[1]!s_val_pe_ttm($B$1,$A78)</f>
        <v>5.5053524971008301</v>
      </c>
    </row>
    <row r="79" spans="1:6">
      <c r="A79" s="23">
        <f t="shared" ca="1" si="1"/>
        <v>46096</v>
      </c>
      <c r="B79" cm="1">
        <f t="array" aca="1" ref="B79" ca="1">[1]!s_dq_close($B$1,$A79,3)</f>
        <v>22.08</v>
      </c>
      <c r="C79" cm="1">
        <f t="array" aca="1" ref="C79" ca="1">[1]!s_dq_volume($B$1,$A79)</f>
        <v>0</v>
      </c>
      <c r="D79" cm="1">
        <f t="array" aca="1" ref="D79" ca="1">[1]!s_dq_amount($B$1,$A79)</f>
        <v>0</v>
      </c>
      <c r="E79" cm="1">
        <f t="array" aca="1" ref="E79" ca="1">[1]!s_dq_turn($B$1,$A79)</f>
        <v>0</v>
      </c>
      <c r="F79" cm="1">
        <f t="array" aca="1" ref="F79" ca="1">[1]!s_val_pe_ttm($B$1,$A79)</f>
        <v>5.41703128814697</v>
      </c>
    </row>
    <row r="80" spans="1:6">
      <c r="A80" s="23">
        <f t="shared" ca="1" si="1"/>
        <v>46095</v>
      </c>
      <c r="B80" cm="1">
        <f t="array" aca="1" ref="B80" ca="1">[1]!s_dq_close($B$1,$A80,3)</f>
        <v>22.08</v>
      </c>
      <c r="C80" cm="1">
        <f t="array" aca="1" ref="C80" ca="1">[1]!s_dq_volume($B$1,$A80)</f>
        <v>0</v>
      </c>
      <c r="D80" cm="1">
        <f t="array" aca="1" ref="D80" ca="1">[1]!s_dq_amount($B$1,$A80)</f>
        <v>0</v>
      </c>
      <c r="E80" cm="1">
        <f t="array" aca="1" ref="E80" ca="1">[1]!s_dq_turn($B$1,$A80)</f>
        <v>0</v>
      </c>
      <c r="F80" cm="1">
        <f t="array" aca="1" ref="F80" ca="1">[1]!s_val_pe_ttm($B$1,$A80)</f>
        <v>5.41703128814697</v>
      </c>
    </row>
    <row r="81" spans="1:6">
      <c r="A81" s="23">
        <f t="shared" ca="1" si="1"/>
        <v>46094</v>
      </c>
      <c r="B81" cm="1">
        <f t="array" aca="1" ref="B81" ca="1">[1]!s_dq_close($B$1,$A81,3)</f>
        <v>22.08</v>
      </c>
      <c r="C81" cm="1">
        <f t="array" aca="1" ref="C81" ca="1">[1]!s_dq_volume($B$1,$A81)</f>
        <v>3364000</v>
      </c>
      <c r="D81" cm="1">
        <f t="array" aca="1" ref="D81" ca="1">[1]!s_dq_amount($B$1,$A81)</f>
        <v>74478630</v>
      </c>
      <c r="E81" cm="1">
        <f t="array" aca="1" ref="E81" ca="1">[1]!s_dq_turn($B$1,$A81)</f>
        <v>0.38563492922532899</v>
      </c>
      <c r="F81" cm="1">
        <f t="array" aca="1" ref="F81" ca="1">[1]!s_val_pe_ttm($B$1,$A81)</f>
        <v>5.41703128814697</v>
      </c>
    </row>
    <row r="82" spans="1:6">
      <c r="A82" s="23">
        <f t="shared" ca="1" si="1"/>
        <v>46093</v>
      </c>
      <c r="B82" cm="1">
        <f t="array" aca="1" ref="B82" ca="1">[1]!s_dq_close($B$1,$A82,3)</f>
        <v>22.52</v>
      </c>
      <c r="C82" cm="1">
        <f t="array" aca="1" ref="C82" ca="1">[1]!s_dq_volume($B$1,$A82)</f>
        <v>3471000</v>
      </c>
      <c r="D82" cm="1">
        <f t="array" aca="1" ref="D82" ca="1">[1]!s_dq_amount($B$1,$A82)</f>
        <v>78095005</v>
      </c>
      <c r="E82" cm="1">
        <f t="array" aca="1" ref="E82" ca="1">[1]!s_dq_turn($B$1,$A82)</f>
        <v>0.397900962943257</v>
      </c>
      <c r="F82" cm="1">
        <f t="array" aca="1" ref="F82" ca="1">[1]!s_val_pe_ttm($B$1,$A82)</f>
        <v>5.5249791145324698</v>
      </c>
    </row>
    <row r="83" spans="1:6">
      <c r="A83" s="23">
        <f t="shared" ca="1" si="1"/>
        <v>46092</v>
      </c>
      <c r="B83" cm="1">
        <f t="array" aca="1" ref="B83" ca="1">[1]!s_dq_close($B$1,$A83,3)</f>
        <v>22.8</v>
      </c>
      <c r="C83" cm="1">
        <f t="array" aca="1" ref="C83" ca="1">[1]!s_dq_volume($B$1,$A83)</f>
        <v>7755130</v>
      </c>
      <c r="D83" cm="1">
        <f t="array" aca="1" ref="D83" ca="1">[1]!s_dq_amount($B$1,$A83)</f>
        <v>174989327</v>
      </c>
      <c r="E83" cm="1">
        <f t="array" aca="1" ref="E83" ca="1">[1]!s_dq_turn($B$1,$A83)</f>
        <v>0.88901575763472895</v>
      </c>
      <c r="F83" cm="1">
        <f t="array" aca="1" ref="F83" ca="1">[1]!s_val_pe_ttm($B$1,$A83)</f>
        <v>5.5936737060546902</v>
      </c>
    </row>
    <row r="84" spans="1:6">
      <c r="A84" s="23">
        <f t="shared" ca="1" si="1"/>
        <v>46091</v>
      </c>
      <c r="B84" cm="1">
        <f t="array" aca="1" ref="B84" ca="1">[1]!s_dq_close($B$1,$A84,3)</f>
        <v>21.98</v>
      </c>
      <c r="C84" cm="1">
        <f t="array" aca="1" ref="C84" ca="1">[1]!s_dq_volume($B$1,$A84)</f>
        <v>5304687</v>
      </c>
      <c r="D84" cm="1">
        <f t="array" aca="1" ref="D84" ca="1">[1]!s_dq_amount($B$1,$A84)</f>
        <v>116762795</v>
      </c>
      <c r="E84" cm="1">
        <f t="array" aca="1" ref="E84" ca="1">[1]!s_dq_turn($B$1,$A84)</f>
        <v>0.60810719257060797</v>
      </c>
      <c r="F84" cm="1">
        <f t="array" aca="1" ref="F84" ca="1">[1]!s_val_pe_ttm($B$1,$A84)</f>
        <v>5.3924975395202601</v>
      </c>
    </row>
    <row r="85" spans="1:6">
      <c r="A85" s="23">
        <f t="shared" ca="1" si="1"/>
        <v>46090</v>
      </c>
      <c r="B85" cm="1">
        <f t="array" aca="1" ref="B85" ca="1">[1]!s_dq_close($B$1,$A85,3)</f>
        <v>22.12</v>
      </c>
      <c r="C85" cm="1">
        <f t="array" aca="1" ref="C85" ca="1">[1]!s_dq_volume($B$1,$A85)</f>
        <v>5802954</v>
      </c>
      <c r="D85" cm="1">
        <f t="array" aca="1" ref="D85" ca="1">[1]!s_dq_amount($B$1,$A85)</f>
        <v>127424189</v>
      </c>
      <c r="E85" cm="1">
        <f t="array" aca="1" ref="E85" ca="1">[1]!s_dq_turn($B$1,$A85)</f>
        <v>0.66522644324846703</v>
      </c>
      <c r="F85" cm="1">
        <f t="array" aca="1" ref="F85" ca="1">[1]!s_val_pe_ttm($B$1,$A85)</f>
        <v>5.4268445968627903</v>
      </c>
    </row>
    <row r="86" spans="1:6">
      <c r="A86" s="23">
        <f t="shared" ca="1" si="1"/>
        <v>46089</v>
      </c>
      <c r="B86" cm="1">
        <f t="array" aca="1" ref="B86" ca="1">[1]!s_dq_close($B$1,$A86,3)</f>
        <v>22.18</v>
      </c>
      <c r="C86" cm="1">
        <f t="array" aca="1" ref="C86" ca="1">[1]!s_dq_volume($B$1,$A86)</f>
        <v>0</v>
      </c>
      <c r="D86" cm="1">
        <f t="array" aca="1" ref="D86" ca="1">[1]!s_dq_amount($B$1,$A86)</f>
        <v>0</v>
      </c>
      <c r="E86" cm="1">
        <f t="array" aca="1" ref="E86" ca="1">[1]!s_dq_turn($B$1,$A86)</f>
        <v>0</v>
      </c>
      <c r="F86" cm="1">
        <f t="array" aca="1" ref="F86" ca="1">[1]!s_val_pe_ttm($B$1,$A86)</f>
        <v>5.4415650367736799</v>
      </c>
    </row>
    <row r="87" spans="1:6">
      <c r="A87" s="23">
        <f t="shared" ca="1" si="1"/>
        <v>46088</v>
      </c>
      <c r="B87" cm="1">
        <f t="array" aca="1" ref="B87" ca="1">[1]!s_dq_close($B$1,$A87,3)</f>
        <v>22.18</v>
      </c>
      <c r="C87" cm="1">
        <f t="array" aca="1" ref="C87" ca="1">[1]!s_dq_volume($B$1,$A87)</f>
        <v>0</v>
      </c>
      <c r="D87" cm="1">
        <f t="array" aca="1" ref="D87" ca="1">[1]!s_dq_amount($B$1,$A87)</f>
        <v>0</v>
      </c>
      <c r="E87" cm="1">
        <f t="array" aca="1" ref="E87" ca="1">[1]!s_dq_turn($B$1,$A87)</f>
        <v>0</v>
      </c>
      <c r="F87" cm="1">
        <f t="array" aca="1" ref="F87" ca="1">[1]!s_val_pe_ttm($B$1,$A87)</f>
        <v>5.4415650367736799</v>
      </c>
    </row>
    <row r="88" spans="1:6">
      <c r="A88" s="23">
        <f t="shared" ca="1" si="1"/>
        <v>46087</v>
      </c>
      <c r="B88" cm="1">
        <f t="array" aca="1" ref="B88" ca="1">[1]!s_dq_close($B$1,$A88,3)</f>
        <v>22.18</v>
      </c>
      <c r="C88" cm="1">
        <f t="array" aca="1" ref="C88" ca="1">[1]!s_dq_volume($B$1,$A88)</f>
        <v>11294788</v>
      </c>
      <c r="D88" cm="1">
        <f t="array" aca="1" ref="D88" ca="1">[1]!s_dq_amount($B$1,$A88)</f>
        <v>253386047</v>
      </c>
      <c r="E88" cm="1">
        <f t="array" aca="1" ref="E88" ca="1">[1]!s_dq_turn($B$1,$A88)</f>
        <v>1.2947873873350499</v>
      </c>
      <c r="F88" cm="1">
        <f t="array" aca="1" ref="F88" ca="1">[1]!s_val_pe_ttm($B$1,$A88)</f>
        <v>5.4415650367736799</v>
      </c>
    </row>
    <row r="89" spans="1:6">
      <c r="A89" s="23">
        <f t="shared" ca="1" si="1"/>
        <v>46086</v>
      </c>
      <c r="B89" cm="1">
        <f t="array" aca="1" ref="B89" ca="1">[1]!s_dq_close($B$1,$A89,3)</f>
        <v>21.06</v>
      </c>
      <c r="C89" cm="1">
        <f t="array" aca="1" ref="C89" ca="1">[1]!s_dq_volume($B$1,$A89)</f>
        <v>3391250</v>
      </c>
      <c r="D89" cm="1">
        <f t="array" aca="1" ref="D89" ca="1">[1]!s_dq_amount($B$1,$A89)</f>
        <v>71789745</v>
      </c>
      <c r="E89" cm="1">
        <f t="array" aca="1" ref="E89" ca="1">[1]!s_dq_turn($B$1,$A89)</f>
        <v>0.388758755569381</v>
      </c>
      <c r="F89" cm="1">
        <f t="array" aca="1" ref="F89" ca="1">[1]!s_val_pe_ttm($B$1,$A89)</f>
        <v>5.0564208030700701</v>
      </c>
    </row>
    <row r="90" spans="1:6">
      <c r="A90" s="23">
        <f t="shared" ca="1" si="1"/>
        <v>46085</v>
      </c>
      <c r="B90" cm="1">
        <f t="array" aca="1" ref="B90" ca="1">[1]!s_dq_close($B$1,$A90,3)</f>
        <v>20.84</v>
      </c>
      <c r="C90" cm="1">
        <f t="array" aca="1" ref="C90" ca="1">[1]!s_dq_volume($B$1,$A90)</f>
        <v>6004607</v>
      </c>
      <c r="D90" cm="1">
        <f t="array" aca="1" ref="D90" ca="1">[1]!s_dq_amount($B$1,$A90)</f>
        <v>123800145</v>
      </c>
      <c r="E90" cm="1">
        <f t="array" aca="1" ref="E90" ca="1">[1]!s_dq_turn($B$1,$A90)</f>
        <v>0.68834310210193705</v>
      </c>
      <c r="F90" cm="1">
        <f t="array" aca="1" ref="F90" ca="1">[1]!s_val_pe_ttm($B$1,$A90)</f>
        <v>4.9603595733642596</v>
      </c>
    </row>
    <row r="91" spans="1:6">
      <c r="A91" s="23">
        <f t="shared" ca="1" si="1"/>
        <v>46084</v>
      </c>
      <c r="B91" cm="1">
        <f t="array" aca="1" ref="B91" ca="1">[1]!s_dq_close($B$1,$A91,3)</f>
        <v>21.18</v>
      </c>
      <c r="C91" cm="1">
        <f t="array" aca="1" ref="C91" ca="1">[1]!s_dq_volume($B$1,$A91)</f>
        <v>5775000</v>
      </c>
      <c r="D91" cm="1">
        <f t="array" aca="1" ref="D91" ca="1">[1]!s_dq_amount($B$1,$A91)</f>
        <v>122227070</v>
      </c>
      <c r="E91" cm="1">
        <f t="array" aca="1" ref="E91" ca="1">[1]!s_dq_turn($B$1,$A91)</f>
        <v>0.66202191328070104</v>
      </c>
      <c r="F91" cm="1">
        <f t="array" aca="1" ref="F91" ca="1">[1]!s_val_pe_ttm($B$1,$A91)</f>
        <v>5.0412864685058603</v>
      </c>
    </row>
    <row r="92" spans="1:6">
      <c r="A92" s="23">
        <f t="shared" ca="1" si="1"/>
        <v>46083</v>
      </c>
      <c r="B92" cm="1">
        <f t="array" aca="1" ref="B92" ca="1">[1]!s_dq_close($B$1,$A92,3)</f>
        <v>21.9</v>
      </c>
      <c r="C92" cm="1">
        <f t="array" aca="1" ref="C92" ca="1">[1]!s_dq_volume($B$1,$A92)</f>
        <v>5391119</v>
      </c>
      <c r="D92" cm="1">
        <f t="array" aca="1" ref="D92" ca="1">[1]!s_dq_amount($B$1,$A92)</f>
        <v>117662976</v>
      </c>
      <c r="E92" cm="1">
        <f t="array" aca="1" ref="E92" ca="1">[1]!s_dq_turn($B$1,$A92)</f>
        <v>0.61801539655479398</v>
      </c>
      <c r="F92" cm="1">
        <f t="array" aca="1" ref="F92" ca="1">[1]!s_val_pe_ttm($B$1,$A92)</f>
        <v>5.2126617431640598</v>
      </c>
    </row>
    <row r="93" spans="1:6">
      <c r="A93" s="23">
        <f t="shared" ca="1" si="1"/>
        <v>46082</v>
      </c>
      <c r="B93" cm="1">
        <f t="array" aca="1" ref="B93" ca="1">[1]!s_dq_close($B$1,$A93,3)</f>
        <v>22.7</v>
      </c>
      <c r="C93" cm="1">
        <f t="array" aca="1" ref="C93" ca="1">[1]!s_dq_volume($B$1,$A93)</f>
        <v>0</v>
      </c>
      <c r="D93" cm="1">
        <f t="array" aca="1" ref="D93" ca="1">[1]!s_dq_amount($B$1,$A93)</f>
        <v>0</v>
      </c>
      <c r="E93" cm="1">
        <f t="array" aca="1" ref="E93" ca="1">[1]!s_dq_turn($B$1,$A93)</f>
        <v>0</v>
      </c>
      <c r="F93" cm="1">
        <f t="array" aca="1" ref="F93" ca="1">[1]!s_val_pe_ttm($B$1,$A93)</f>
        <v>5.4030785560607901</v>
      </c>
    </row>
    <row r="94" spans="1:6">
      <c r="A94" s="23">
        <f t="shared" ca="1" si="1"/>
        <v>46081</v>
      </c>
      <c r="B94" cm="1">
        <f t="array" aca="1" ref="B94" ca="1">[1]!s_dq_close($B$1,$A94,3)</f>
        <v>22.7</v>
      </c>
      <c r="C94" cm="1">
        <f t="array" aca="1" ref="C94" ca="1">[1]!s_dq_volume($B$1,$A94)</f>
        <v>0</v>
      </c>
      <c r="D94" cm="1">
        <f t="array" aca="1" ref="D94" ca="1">[1]!s_dq_amount($B$1,$A94)</f>
        <v>0</v>
      </c>
      <c r="E94" cm="1">
        <f t="array" aca="1" ref="E94" ca="1">[1]!s_dq_turn($B$1,$A94)</f>
        <v>0</v>
      </c>
      <c r="F94" cm="1">
        <f t="array" aca="1" ref="F94" ca="1">[1]!s_val_pe_ttm($B$1,$A94)</f>
        <v>5.4030785560607901</v>
      </c>
    </row>
    <row r="95" spans="1:6">
      <c r="A95" s="23">
        <f t="shared" ca="1" si="1"/>
        <v>46080</v>
      </c>
      <c r="B95" cm="1">
        <f t="array" aca="1" ref="B95" ca="1">[1]!s_dq_close($B$1,$A95,3)</f>
        <v>22.7</v>
      </c>
      <c r="C95" cm="1">
        <f t="array" aca="1" ref="C95" ca="1">[1]!s_dq_volume($B$1,$A95)</f>
        <v>3263500</v>
      </c>
      <c r="D95" cm="1">
        <f t="array" aca="1" ref="D95" ca="1">[1]!s_dq_amount($B$1,$A95)</f>
        <v>73801474</v>
      </c>
      <c r="E95" cm="1">
        <f t="array" aca="1" ref="E95" ca="1">[1]!s_dq_turn($B$1,$A95)</f>
        <v>0.37411402839680802</v>
      </c>
      <c r="F95" cm="1">
        <f t="array" aca="1" ref="F95" ca="1">[1]!s_val_pe_ttm($B$1,$A95)</f>
        <v>5.4030785560607901</v>
      </c>
    </row>
    <row r="96" spans="1:6">
      <c r="A96" s="23">
        <f t="shared" ca="1" si="1"/>
        <v>46079</v>
      </c>
      <c r="B96" cm="1">
        <f t="array" aca="1" ref="B96" ca="1">[1]!s_dq_close($B$1,$A96,3)</f>
        <v>22.56</v>
      </c>
      <c r="C96" cm="1">
        <f t="array" aca="1" ref="C96" ca="1">[1]!s_dq_volume($B$1,$A96)</f>
        <v>4534500</v>
      </c>
      <c r="D96" cm="1">
        <f t="array" aca="1" ref="D96" ca="1">[1]!s_dq_amount($B$1,$A96)</f>
        <v>103146655</v>
      </c>
      <c r="E96" cm="1">
        <f t="array" aca="1" ref="E96" ca="1">[1]!s_dq_turn($B$1,$A96)</f>
        <v>0.51981616723313195</v>
      </c>
      <c r="F96" cm="1">
        <f t="array" aca="1" ref="F96" ca="1">[1]!s_val_pe_ttm($B$1,$A96)</f>
        <v>5.3697557449340803</v>
      </c>
    </row>
    <row r="97" spans="1:6">
      <c r="A97" s="23">
        <f t="shared" ca="1" si="1"/>
        <v>46078</v>
      </c>
      <c r="B97" cm="1">
        <f t="array" aca="1" ref="B97" ca="1">[1]!s_dq_close($B$1,$A97,3)</f>
        <v>23.3</v>
      </c>
      <c r="C97" cm="1">
        <f t="array" aca="1" ref="C97" ca="1">[1]!s_dq_volume($B$1,$A97)</f>
        <v>1181500</v>
      </c>
      <c r="D97" cm="1">
        <f t="array" aca="1" ref="D97" ca="1">[1]!s_dq_amount($B$1,$A97)</f>
        <v>27580070</v>
      </c>
      <c r="E97" cm="1">
        <f t="array" aca="1" ref="E97" ca="1">[1]!s_dq_turn($B$1,$A97)</f>
        <v>0.135442232128337</v>
      </c>
      <c r="F97" cm="1">
        <f t="array" aca="1" ref="F97" ca="1">[1]!s_val_pe_ttm($B$1,$A97)</f>
        <v>5.5458912849426296</v>
      </c>
    </row>
    <row r="98" spans="1:6">
      <c r="A98" s="23">
        <f t="shared" ca="1" si="1"/>
        <v>46077</v>
      </c>
      <c r="B98" cm="1">
        <f t="array" aca="1" ref="B98" ca="1">[1]!s_dq_close($B$1,$A98,3)</f>
        <v>23.22</v>
      </c>
      <c r="C98" cm="1">
        <f t="array" aca="1" ref="C98" ca="1">[1]!s_dq_volume($B$1,$A98)</f>
        <v>2569000</v>
      </c>
      <c r="D98" cm="1">
        <f t="array" aca="1" ref="D98" ca="1">[1]!s_dq_amount($B$1,$A98)</f>
        <v>59560130</v>
      </c>
      <c r="E98" cm="1">
        <f t="array" aca="1" ref="E98" ca="1">[1]!s_dq_turn($B$1,$A98)</f>
        <v>0.294499445059415</v>
      </c>
      <c r="F98" cm="1">
        <f t="array" aca="1" ref="F98" ca="1">[1]!s_val_pe_ttm($B$1,$A98)</f>
        <v>5.5268497467040998</v>
      </c>
    </row>
    <row r="99" spans="1:6">
      <c r="A99" s="23">
        <f t="shared" ca="1" si="1"/>
        <v>46076</v>
      </c>
      <c r="B99" cm="1">
        <f t="array" aca="1" ref="B99" ca="1">[1]!s_dq_close($B$1,$A99,3)</f>
        <v>23.78</v>
      </c>
      <c r="C99" cm="1">
        <f t="array" aca="1" ref="C99" ca="1">[1]!s_dq_volume($B$1,$A99)</f>
        <v>1355128</v>
      </c>
      <c r="D99" cm="1">
        <f t="array" aca="1" ref="D99" ca="1">[1]!s_dq_amount($B$1,$A99)</f>
        <v>32363086</v>
      </c>
      <c r="E99" cm="1">
        <f t="array" aca="1" ref="E99" ca="1">[1]!s_dq_turn($B$1,$A99)</f>
        <v>0.155346221870173</v>
      </c>
      <c r="F99" cm="1">
        <f t="array" aca="1" ref="F99" ca="1">[1]!s_val_pe_ttm($B$1,$A99)</f>
        <v>5.6601414680481001</v>
      </c>
    </row>
    <row r="100" spans="1:6">
      <c r="A100" s="23">
        <f t="shared" ca="1" si="1"/>
        <v>46075</v>
      </c>
      <c r="B100" cm="1">
        <f t="array" aca="1" ref="B100" ca="1">[1]!s_dq_close($B$1,$A100,3)</f>
        <v>23.46</v>
      </c>
      <c r="C100" cm="1">
        <f t="array" aca="1" ref="C100" ca="1">[1]!s_dq_volume($B$1,$A100)</f>
        <v>0</v>
      </c>
      <c r="D100" cm="1">
        <f t="array" aca="1" ref="D100" ca="1">[1]!s_dq_amount($B$1,$A100)</f>
        <v>0</v>
      </c>
      <c r="E100" cm="1">
        <f t="array" aca="1" ref="E100" ca="1">[1]!s_dq_turn($B$1,$A100)</f>
        <v>0</v>
      </c>
      <c r="F100" cm="1">
        <f t="array" aca="1" ref="F100" ca="1">[1]!s_val_pe_ttm($B$1,$A100)</f>
        <v>5.5839743614196804</v>
      </c>
    </row>
    <row r="101" spans="1:6">
      <c r="A101" s="23">
        <f t="shared" ca="1" si="1"/>
        <v>46074</v>
      </c>
      <c r="B101" cm="1">
        <f t="array" aca="1" ref="B101" ca="1">[1]!s_dq_close($B$1,$A101,3)</f>
        <v>23.46</v>
      </c>
      <c r="C101" cm="1">
        <f t="array" aca="1" ref="C101" ca="1">[1]!s_dq_volume($B$1,$A101)</f>
        <v>0</v>
      </c>
      <c r="D101" cm="1">
        <f t="array" aca="1" ref="D101" ca="1">[1]!s_dq_amount($B$1,$A101)</f>
        <v>0</v>
      </c>
      <c r="E101" cm="1">
        <f t="array" aca="1" ref="E101" ca="1">[1]!s_dq_turn($B$1,$A101)</f>
        <v>0</v>
      </c>
      <c r="F101" cm="1">
        <f t="array" aca="1" ref="F101" ca="1">[1]!s_val_pe_ttm($B$1,$A101)</f>
        <v>5.5839743614196804</v>
      </c>
    </row>
    <row r="102" spans="1:6">
      <c r="A102" s="23">
        <f t="shared" ca="1" si="1"/>
        <v>46073</v>
      </c>
      <c r="B102" cm="1">
        <f t="array" aca="1" ref="B102" ca="1">[1]!s_dq_close($B$1,$A102,3)</f>
        <v>23.46</v>
      </c>
      <c r="C102" cm="1">
        <f t="array" aca="1" ref="C102" ca="1">[1]!s_dq_volume($B$1,$A102)</f>
        <v>1137167</v>
      </c>
      <c r="D102" cm="1">
        <f t="array" aca="1" ref="D102" ca="1">[1]!s_dq_amount($B$1,$A102)</f>
        <v>26753624</v>
      </c>
      <c r="E102" cm="1">
        <f t="array" aca="1" ref="E102" ca="1">[1]!s_dq_turn($B$1,$A102)</f>
        <v>0.13036008191509499</v>
      </c>
      <c r="F102" cm="1">
        <f t="array" aca="1" ref="F102" ca="1">[1]!s_val_pe_ttm($B$1,$A102)</f>
        <v>5.5839743614196804</v>
      </c>
    </row>
    <row r="103" spans="1:6">
      <c r="A103" s="23">
        <f t="shared" ca="1" si="1"/>
        <v>46072</v>
      </c>
      <c r="B103" cm="1">
        <f t="array" aca="1" ref="B103" ca="1">[1]!s_dq_close($B$1,$A103,3)</f>
        <v>23.28</v>
      </c>
      <c r="C103" cm="1">
        <f t="array" aca="1" ref="C103" ca="1">[1]!s_dq_volume($B$1,$A103)</f>
        <v>0</v>
      </c>
      <c r="D103" cm="1">
        <f t="array" aca="1" ref="D103" ca="1">[1]!s_dq_amount($B$1,$A103)</f>
        <v>0</v>
      </c>
      <c r="E103" cm="1">
        <f t="array" aca="1" ref="E103" ca="1">[1]!s_dq_turn($B$1,$A103)</f>
        <v>0</v>
      </c>
      <c r="F103" cm="1">
        <f t="array" aca="1" ref="F103" ca="1">[1]!s_val_pe_ttm($B$1,$A103)</f>
        <v>5.5411310195922896</v>
      </c>
    </row>
    <row r="104" spans="1:6">
      <c r="A104" s="23">
        <f t="shared" ca="1" si="1"/>
        <v>46071</v>
      </c>
      <c r="B104" cm="1">
        <f t="array" aca="1" ref="B104" ca="1">[1]!s_dq_close($B$1,$A104,3)</f>
        <v>23.28</v>
      </c>
      <c r="C104" cm="1">
        <f t="array" aca="1" ref="C104" ca="1">[1]!s_dq_volume($B$1,$A104)</f>
        <v>0</v>
      </c>
      <c r="D104" cm="1">
        <f t="array" aca="1" ref="D104" ca="1">[1]!s_dq_amount($B$1,$A104)</f>
        <v>0</v>
      </c>
      <c r="E104" cm="1">
        <f t="array" aca="1" ref="E104" ca="1">[1]!s_dq_turn($B$1,$A104)</f>
        <v>0</v>
      </c>
      <c r="F104" cm="1">
        <f t="array" aca="1" ref="F104" ca="1">[1]!s_val_pe_ttm($B$1,$A104)</f>
        <v>5.5411310195922896</v>
      </c>
    </row>
    <row r="105" spans="1:6">
      <c r="A105" s="23">
        <f t="shared" ca="1" si="1"/>
        <v>46070</v>
      </c>
      <c r="B105" cm="1">
        <f t="array" aca="1" ref="B105" ca="1">[1]!s_dq_close($B$1,$A105,3)</f>
        <v>23.28</v>
      </c>
      <c r="C105" cm="1">
        <f t="array" aca="1" ref="C105" ca="1">[1]!s_dq_volume($B$1,$A105)</f>
        <v>0</v>
      </c>
      <c r="D105" cm="1">
        <f t="array" aca="1" ref="D105" ca="1">[1]!s_dq_amount($B$1,$A105)</f>
        <v>0</v>
      </c>
      <c r="E105" cm="1">
        <f t="array" aca="1" ref="E105" ca="1">[1]!s_dq_turn($B$1,$A105)</f>
        <v>0</v>
      </c>
      <c r="F105" cm="1">
        <f t="array" aca="1" ref="F105" ca="1">[1]!s_val_pe_ttm($B$1,$A105)</f>
        <v>5.5411310195922896</v>
      </c>
    </row>
    <row r="106" spans="1:6">
      <c r="A106" s="23">
        <f t="shared" ca="1" si="1"/>
        <v>46069</v>
      </c>
      <c r="B106" cm="1">
        <f t="array" aca="1" ref="B106" ca="1">[1]!s_dq_close($B$1,$A106,3)</f>
        <v>23.28</v>
      </c>
      <c r="C106" cm="1">
        <f t="array" aca="1" ref="C106" ca="1">[1]!s_dq_volume($B$1,$A106)</f>
        <v>433355</v>
      </c>
      <c r="D106" cm="1">
        <f t="array" aca="1" ref="D106" ca="1">[1]!s_dq_amount($B$1,$A106)</f>
        <v>10066966</v>
      </c>
      <c r="E106" cm="1">
        <f t="array" aca="1" ref="E106" ca="1">[1]!s_dq_turn($B$1,$A106)</f>
        <v>4.9678009736754597E-2</v>
      </c>
      <c r="F106" cm="1">
        <f t="array" aca="1" ref="F106" ca="1">[1]!s_val_pe_ttm($B$1,$A106)</f>
        <v>5.5411310195922896</v>
      </c>
    </row>
    <row r="107" spans="1:6">
      <c r="A107" s="23">
        <f t="shared" ca="1" si="1"/>
        <v>46068</v>
      </c>
      <c r="B107" cm="1">
        <f t="array" aca="1" ref="B107" ca="1">[1]!s_dq_close($B$1,$A107,3)</f>
        <v>23.26</v>
      </c>
      <c r="C107" cm="1">
        <f t="array" aca="1" ref="C107" ca="1">[1]!s_dq_volume($B$1,$A107)</f>
        <v>0</v>
      </c>
      <c r="D107" cm="1">
        <f t="array" aca="1" ref="D107" ca="1">[1]!s_dq_amount($B$1,$A107)</f>
        <v>0</v>
      </c>
      <c r="E107" cm="1">
        <f t="array" aca="1" ref="E107" ca="1">[1]!s_dq_turn($B$1,$A107)</f>
        <v>0</v>
      </c>
      <c r="F107" cm="1">
        <f t="array" aca="1" ref="F107" ca="1">[1]!s_val_pe_ttm($B$1,$A107)</f>
        <v>5.5363702774047896</v>
      </c>
    </row>
    <row r="108" spans="1:6">
      <c r="A108" s="23">
        <f t="shared" ca="1" si="1"/>
        <v>46067</v>
      </c>
      <c r="B108" cm="1">
        <f t="array" aca="1" ref="B108" ca="1">[1]!s_dq_close($B$1,$A108,3)</f>
        <v>23.26</v>
      </c>
      <c r="C108" cm="1">
        <f t="array" aca="1" ref="C108" ca="1">[1]!s_dq_volume($B$1,$A108)</f>
        <v>0</v>
      </c>
      <c r="D108" cm="1">
        <f t="array" aca="1" ref="D108" ca="1">[1]!s_dq_amount($B$1,$A108)</f>
        <v>0</v>
      </c>
      <c r="E108" cm="1">
        <f t="array" aca="1" ref="E108" ca="1">[1]!s_dq_turn($B$1,$A108)</f>
        <v>0</v>
      </c>
      <c r="F108" cm="1">
        <f t="array" aca="1" ref="F108" ca="1">[1]!s_val_pe_ttm($B$1,$A108)</f>
        <v>5.5363702774047896</v>
      </c>
    </row>
    <row r="109" spans="1:6">
      <c r="A109" s="23">
        <f t="shared" ca="1" si="1"/>
        <v>46066</v>
      </c>
      <c r="B109" cm="1">
        <f t="array" aca="1" ref="B109" ca="1">[1]!s_dq_close($B$1,$A109,3)</f>
        <v>23.26</v>
      </c>
      <c r="C109" cm="1">
        <f t="array" aca="1" ref="C109" ca="1">[1]!s_dq_volume($B$1,$A109)</f>
        <v>2416000</v>
      </c>
      <c r="D109" cm="1">
        <f t="array" aca="1" ref="D109" ca="1">[1]!s_dq_amount($B$1,$A109)</f>
        <v>55732760</v>
      </c>
      <c r="E109" cm="1">
        <f t="array" aca="1" ref="E109" ca="1">[1]!s_dq_turn($B$1,$A109)</f>
        <v>0.27696016320106898</v>
      </c>
      <c r="F109" cm="1">
        <f t="array" aca="1" ref="F109" ca="1">[1]!s_val_pe_ttm($B$1,$A109)</f>
        <v>5.5363702774047896</v>
      </c>
    </row>
    <row r="110" spans="1:6">
      <c r="A110" s="23">
        <f t="shared" ca="1" si="1"/>
        <v>46065</v>
      </c>
      <c r="B110" cm="1">
        <f t="array" aca="1" ref="B110" ca="1">[1]!s_dq_close($B$1,$A110,3)</f>
        <v>23.18</v>
      </c>
      <c r="C110" cm="1">
        <f t="array" aca="1" ref="C110" ca="1">[1]!s_dq_volume($B$1,$A110)</f>
        <v>2703000</v>
      </c>
      <c r="D110" cm="1">
        <f t="array" aca="1" ref="D110" ca="1">[1]!s_dq_amount($B$1,$A110)</f>
        <v>62722646</v>
      </c>
      <c r="E110" cm="1">
        <f t="array" aca="1" ref="E110" ca="1">[1]!s_dq_turn($B$1,$A110)</f>
        <v>0.30986064616411002</v>
      </c>
      <c r="F110" cm="1">
        <f t="array" aca="1" ref="F110" ca="1">[1]!s_val_pe_ttm($B$1,$A110)</f>
        <v>5.5173287391662598</v>
      </c>
    </row>
    <row r="111" spans="1:6">
      <c r="A111" s="23">
        <f t="shared" ca="1" si="1"/>
        <v>46064</v>
      </c>
      <c r="B111" cm="1">
        <f t="array" aca="1" ref="B111" ca="1">[1]!s_dq_close($B$1,$A111,3)</f>
        <v>23.56</v>
      </c>
      <c r="C111" cm="1">
        <f t="array" aca="1" ref="C111" ca="1">[1]!s_dq_volume($B$1,$A111)</f>
        <v>2879500</v>
      </c>
      <c r="D111" cm="1">
        <f t="array" aca="1" ref="D111" ca="1">[1]!s_dq_amount($B$1,$A111)</f>
        <v>67769100</v>
      </c>
      <c r="E111" cm="1">
        <f t="array" aca="1" ref="E111" ca="1">[1]!s_dq_turn($B$1,$A111)</f>
        <v>0.330093870007234</v>
      </c>
      <c r="F111" cm="1">
        <f t="array" aca="1" ref="F111" ca="1">[1]!s_val_pe_ttm($B$1,$A111)</f>
        <v>5.6077766418456996</v>
      </c>
    </row>
    <row r="112" spans="1:6">
      <c r="A112" s="23">
        <f t="shared" ca="1" si="1"/>
        <v>46063</v>
      </c>
      <c r="B112" cm="1">
        <f t="array" aca="1" ref="B112" ca="1">[1]!s_dq_close($B$1,$A112,3)</f>
        <v>23.54</v>
      </c>
      <c r="C112" cm="1">
        <f t="array" aca="1" ref="C112" ca="1">[1]!s_dq_volume($B$1,$A112)</f>
        <v>3918082</v>
      </c>
      <c r="D112" cm="1">
        <f t="array" aca="1" ref="D112" ca="1">[1]!s_dq_amount($B$1,$A112)</f>
        <v>92909195</v>
      </c>
      <c r="E112" cm="1">
        <f t="array" aca="1" ref="E112" ca="1">[1]!s_dq_turn($B$1,$A112)</f>
        <v>0.44915257870661002</v>
      </c>
      <c r="F112" cm="1">
        <f t="array" aca="1" ref="F112" ca="1">[1]!s_val_pe_ttm($B$1,$A112)</f>
        <v>5.6030163764953604</v>
      </c>
    </row>
    <row r="113" spans="1:6">
      <c r="A113" s="23">
        <f t="shared" ca="1" si="1"/>
        <v>46062</v>
      </c>
      <c r="B113" cm="1">
        <f t="array" aca="1" ref="B113" ca="1">[1]!s_dq_close($B$1,$A113,3)</f>
        <v>23.68</v>
      </c>
      <c r="C113" cm="1">
        <f t="array" aca="1" ref="C113" ca="1">[1]!s_dq_volume($B$1,$A113)</f>
        <v>2897500</v>
      </c>
      <c r="D113" cm="1">
        <f t="array" aca="1" ref="D113" ca="1">[1]!s_dq_amount($B$1,$A113)</f>
        <v>68544970</v>
      </c>
      <c r="E113" cm="1">
        <f t="array" aca="1" ref="E113" ca="1">[1]!s_dq_turn($B$1,$A113)</f>
        <v>0.332157314931745</v>
      </c>
      <c r="F113" cm="1">
        <f t="array" aca="1" ref="F113" ca="1">[1]!s_val_pe_ttm($B$1,$A113)</f>
        <v>5.6363391876220703</v>
      </c>
    </row>
    <row r="114" spans="1:6">
      <c r="A114" s="23">
        <f t="shared" ca="1" si="1"/>
        <v>46061</v>
      </c>
      <c r="B114" cm="1">
        <f t="array" aca="1" ref="B114" ca="1">[1]!s_dq_close($B$1,$A114,3)</f>
        <v>23.38</v>
      </c>
      <c r="C114" cm="1">
        <f t="array" aca="1" ref="C114" ca="1">[1]!s_dq_volume($B$1,$A114)</f>
        <v>0</v>
      </c>
      <c r="D114" cm="1">
        <f t="array" aca="1" ref="D114" ca="1">[1]!s_dq_amount($B$1,$A114)</f>
        <v>0</v>
      </c>
      <c r="E114" cm="1">
        <f t="array" aca="1" ref="E114" ca="1">[1]!s_dq_turn($B$1,$A114)</f>
        <v>0</v>
      </c>
      <c r="F114" cm="1">
        <f t="array" aca="1" ref="F114" ca="1">[1]!s_val_pe_ttm($B$1,$A114)</f>
        <v>5.5649328231811497</v>
      </c>
    </row>
    <row r="115" spans="1:6">
      <c r="A115" s="23">
        <f t="shared" ca="1" si="1"/>
        <v>46060</v>
      </c>
      <c r="B115" cm="1">
        <f t="array" aca="1" ref="B115" ca="1">[1]!s_dq_close($B$1,$A115,3)</f>
        <v>23.38</v>
      </c>
      <c r="C115" cm="1">
        <f t="array" aca="1" ref="C115" ca="1">[1]!s_dq_volume($B$1,$A115)</f>
        <v>0</v>
      </c>
      <c r="D115" cm="1">
        <f t="array" aca="1" ref="D115" ca="1">[1]!s_dq_amount($B$1,$A115)</f>
        <v>0</v>
      </c>
      <c r="E115" cm="1">
        <f t="array" aca="1" ref="E115" ca="1">[1]!s_dq_turn($B$1,$A115)</f>
        <v>0</v>
      </c>
      <c r="F115" cm="1">
        <f t="array" aca="1" ref="F115" ca="1">[1]!s_val_pe_ttm($B$1,$A115)</f>
        <v>5.5649328231811497</v>
      </c>
    </row>
    <row r="116" spans="1:6">
      <c r="A116" s="23">
        <f t="shared" ca="1" si="1"/>
        <v>46059</v>
      </c>
      <c r="B116" cm="1">
        <f t="array" aca="1" ref="B116" ca="1">[1]!s_dq_close($B$1,$A116,3)</f>
        <v>23.38</v>
      </c>
      <c r="C116" cm="1">
        <f t="array" aca="1" ref="C116" ca="1">[1]!s_dq_volume($B$1,$A116)</f>
        <v>3277193</v>
      </c>
      <c r="D116" cm="1">
        <f t="array" aca="1" ref="D116" ca="1">[1]!s_dq_amount($B$1,$A116)</f>
        <v>76096395</v>
      </c>
      <c r="E116" cm="1">
        <f t="array" aca="1" ref="E116" ca="1">[1]!s_dq_turn($B$1,$A116)</f>
        <v>0.375683736805215</v>
      </c>
      <c r="F116" cm="1">
        <f t="array" aca="1" ref="F116" ca="1">[1]!s_val_pe_ttm($B$1,$A116)</f>
        <v>5.5649328231811497</v>
      </c>
    </row>
    <row r="117" spans="1:6">
      <c r="A117" s="23">
        <f t="shared" ca="1" si="1"/>
        <v>46058</v>
      </c>
      <c r="B117" cm="1">
        <f t="array" aca="1" ref="B117" ca="1">[1]!s_dq_close($B$1,$A117,3)</f>
        <v>23.08</v>
      </c>
      <c r="C117" cm="1">
        <f t="array" aca="1" ref="C117" ca="1">[1]!s_dq_volume($B$1,$A117)</f>
        <v>3482000</v>
      </c>
      <c r="D117" cm="1">
        <f t="array" aca="1" ref="D117" ca="1">[1]!s_dq_amount($B$1,$A117)</f>
        <v>80098670</v>
      </c>
      <c r="E117" cm="1">
        <f t="array" aca="1" ref="E117" ca="1">[1]!s_dq_turn($B$1,$A117)</f>
        <v>0.39916195706379198</v>
      </c>
      <c r="F117" cm="1">
        <f t="array" aca="1" ref="F117" ca="1">[1]!s_val_pe_ttm($B$1,$A117)</f>
        <v>5.4935264587402299</v>
      </c>
    </row>
    <row r="118" spans="1:6">
      <c r="A118" s="23">
        <f t="shared" ca="1" si="1"/>
        <v>46057</v>
      </c>
      <c r="B118" cm="1">
        <f t="array" aca="1" ref="B118" ca="1">[1]!s_dq_close($B$1,$A118,3)</f>
        <v>22.94</v>
      </c>
      <c r="C118" cm="1">
        <f t="array" aca="1" ref="C118" ca="1">[1]!s_dq_volume($B$1,$A118)</f>
        <v>2379500</v>
      </c>
      <c r="D118" cm="1">
        <f t="array" aca="1" ref="D118" ca="1">[1]!s_dq_amount($B$1,$A118)</f>
        <v>54210740</v>
      </c>
      <c r="E118" cm="1">
        <f t="array" aca="1" ref="E118" ca="1">[1]!s_dq_turn($B$1,$A118)</f>
        <v>0.27277595543747701</v>
      </c>
      <c r="F118" cm="1">
        <f t="array" aca="1" ref="F118" ca="1">[1]!s_val_pe_ttm($B$1,$A118)</f>
        <v>5.4602036476135298</v>
      </c>
    </row>
    <row r="119" spans="1:6">
      <c r="A119" s="23">
        <f t="shared" ca="1" si="1"/>
        <v>46056</v>
      </c>
      <c r="B119" cm="1">
        <f t="array" aca="1" ref="B119" ca="1">[1]!s_dq_close($B$1,$A119,3)</f>
        <v>22.88</v>
      </c>
      <c r="C119" cm="1">
        <f t="array" aca="1" ref="C119" ca="1">[1]!s_dq_volume($B$1,$A119)</f>
        <v>2839500</v>
      </c>
      <c r="D119" cm="1">
        <f t="array" aca="1" ref="D119" ca="1">[1]!s_dq_amount($B$1,$A119)</f>
        <v>64472300</v>
      </c>
      <c r="E119" cm="1">
        <f t="array" aca="1" ref="E119" ca="1">[1]!s_dq_turn($B$1,$A119)</f>
        <v>0.32550843684165398</v>
      </c>
      <c r="F119" cm="1">
        <f t="array" aca="1" ref="F119" ca="1">[1]!s_val_pe_ttm($B$1,$A119)</f>
        <v>5.44592237472534</v>
      </c>
    </row>
    <row r="120" spans="1:6">
      <c r="A120" s="23">
        <f t="shared" ca="1" si="1"/>
        <v>46055</v>
      </c>
      <c r="B120" cm="1">
        <f t="array" aca="1" ref="B120" ca="1">[1]!s_dq_close($B$1,$A120,3)</f>
        <v>22.58</v>
      </c>
      <c r="C120" cm="1">
        <f t="array" aca="1" ref="C120" ca="1">[1]!s_dq_volume($B$1,$A120)</f>
        <v>7716700</v>
      </c>
      <c r="D120" cm="1">
        <f t="array" aca="1" ref="D120" ca="1">[1]!s_dq_amount($B$1,$A120)</f>
        <v>173118594</v>
      </c>
      <c r="E120" cm="1">
        <f t="array" aca="1" ref="E120" ca="1">[1]!s_dq_turn($B$1,$A120)</f>
        <v>0.88461030272089702</v>
      </c>
      <c r="F120" cm="1">
        <f t="array" aca="1" ref="F120" ca="1">[1]!s_val_pe_ttm($B$1,$A120)</f>
        <v>5.3745160102844203</v>
      </c>
    </row>
    <row r="121" spans="1:6">
      <c r="A121" s="23">
        <f t="shared" ca="1" si="1"/>
        <v>46054</v>
      </c>
      <c r="B121" cm="1">
        <f t="array" aca="1" ref="B121" ca="1">[1]!s_dq_close($B$1,$A121,3)</f>
        <v>23.38</v>
      </c>
      <c r="C121" cm="1">
        <f t="array" aca="1" ref="C121" ca="1">[1]!s_dq_volume($B$1,$A121)</f>
        <v>0</v>
      </c>
      <c r="D121" cm="1">
        <f t="array" aca="1" ref="D121" ca="1">[1]!s_dq_amount($B$1,$A121)</f>
        <v>0</v>
      </c>
      <c r="E121" cm="1">
        <f t="array" aca="1" ref="E121" ca="1">[1]!s_dq_turn($B$1,$A121)</f>
        <v>0</v>
      </c>
      <c r="F121" cm="1">
        <f t="array" aca="1" ref="F121" ca="1">[1]!s_val_pe_ttm($B$1,$A121)</f>
        <v>5.5649328231811497</v>
      </c>
    </row>
    <row r="122" spans="1:6">
      <c r="A122" s="23">
        <f t="shared" ca="1" si="1"/>
        <v>46053</v>
      </c>
      <c r="B122" cm="1">
        <f t="array" aca="1" ref="B122" ca="1">[1]!s_dq_close($B$1,$A122,3)</f>
        <v>23.38</v>
      </c>
      <c r="C122" cm="1">
        <f t="array" aca="1" ref="C122" ca="1">[1]!s_dq_volume($B$1,$A122)</f>
        <v>0</v>
      </c>
      <c r="D122" cm="1">
        <f t="array" aca="1" ref="D122" ca="1">[1]!s_dq_amount($B$1,$A122)</f>
        <v>0</v>
      </c>
      <c r="E122" cm="1">
        <f t="array" aca="1" ref="E122" ca="1">[1]!s_dq_turn($B$1,$A122)</f>
        <v>0</v>
      </c>
      <c r="F122" cm="1">
        <f t="array" aca="1" ref="F122" ca="1">[1]!s_val_pe_ttm($B$1,$A122)</f>
        <v>5.5649328231811497</v>
      </c>
    </row>
    <row r="123" spans="1:6">
      <c r="A123" s="23">
        <f t="shared" ca="1" si="1"/>
        <v>46052</v>
      </c>
      <c r="B123" cm="1">
        <f t="array" aca="1" ref="B123" ca="1">[1]!s_dq_close($B$1,$A123,3)</f>
        <v>23.38</v>
      </c>
      <c r="C123" cm="1">
        <f t="array" aca="1" ref="C123" ca="1">[1]!s_dq_volume($B$1,$A123)</f>
        <v>7074163</v>
      </c>
      <c r="D123" cm="1">
        <f t="array" aca="1" ref="D123" ca="1">[1]!s_dq_amount($B$1,$A123)</f>
        <v>166284651</v>
      </c>
      <c r="E123" cm="1">
        <f t="array" aca="1" ref="E123" ca="1">[1]!s_dq_turn($B$1,$A123)</f>
        <v>0.810952540973081</v>
      </c>
      <c r="F123" cm="1">
        <f t="array" aca="1" ref="F123" ca="1">[1]!s_val_pe_ttm($B$1,$A123)</f>
        <v>5.5649328231811497</v>
      </c>
    </row>
    <row r="124" spans="1:6">
      <c r="A124" s="23">
        <f t="shared" ca="1" si="1"/>
        <v>46051</v>
      </c>
      <c r="B124" cm="1">
        <f t="array" aca="1" ref="B124" ca="1">[1]!s_dq_close($B$1,$A124,3)</f>
        <v>23.96</v>
      </c>
      <c r="C124" cm="1">
        <f t="array" aca="1" ref="C124" ca="1">[1]!s_dq_volume($B$1,$A124)</f>
        <v>2729860</v>
      </c>
      <c r="D124" cm="1">
        <f t="array" aca="1" ref="D124" ca="1">[1]!s_dq_amount($B$1,$A124)</f>
        <v>66003266</v>
      </c>
      <c r="E124" cm="1">
        <f t="array" aca="1" ref="E124" ca="1">[1]!s_dq_turn($B$1,$A124)</f>
        <v>0.31293976453479699</v>
      </c>
      <c r="F124" cm="1">
        <f t="array" aca="1" ref="F124" ca="1">[1]!s_val_pe_ttm($B$1,$A124)</f>
        <v>5.70298528671265</v>
      </c>
    </row>
    <row r="125" spans="1:6">
      <c r="A125" s="23">
        <f t="shared" ca="1" si="1"/>
        <v>46050</v>
      </c>
      <c r="B125" cm="1">
        <f t="array" aca="1" ref="B125" ca="1">[1]!s_dq_close($B$1,$A125,3)</f>
        <v>24.1</v>
      </c>
      <c r="C125" cm="1">
        <f t="array" aca="1" ref="C125" ca="1">[1]!s_dq_volume($B$1,$A125)</f>
        <v>4336000</v>
      </c>
      <c r="D125" cm="1">
        <f t="array" aca="1" ref="D125" ca="1">[1]!s_dq_amount($B$1,$A125)</f>
        <v>103907565</v>
      </c>
      <c r="E125" cm="1">
        <f t="array" aca="1" ref="E125" ca="1">[1]!s_dq_turn($B$1,$A125)</f>
        <v>0.497060955148938</v>
      </c>
      <c r="F125" cm="1">
        <f t="array" aca="1" ref="F125" ca="1">[1]!s_val_pe_ttm($B$1,$A125)</f>
        <v>5.7363080978393599</v>
      </c>
    </row>
    <row r="126" spans="1:6">
      <c r="A126" s="23">
        <f t="shared" ca="1" si="1"/>
        <v>46049</v>
      </c>
      <c r="B126" cm="1">
        <f t="array" aca="1" ref="B126" ca="1">[1]!s_dq_close($B$1,$A126,3)</f>
        <v>24</v>
      </c>
      <c r="C126" cm="1">
        <f t="array" aca="1" ref="C126" ca="1">[1]!s_dq_volume($B$1,$A126)</f>
        <v>6093000</v>
      </c>
      <c r="D126" cm="1">
        <f t="array" aca="1" ref="D126" ca="1">[1]!s_dq_amount($B$1,$A126)</f>
        <v>147325909</v>
      </c>
      <c r="E126" cm="1">
        <f t="array" aca="1" ref="E126" ca="1">[1]!s_dq_turn($B$1,$A126)</f>
        <v>0.69847610694706697</v>
      </c>
      <c r="F126" cm="1">
        <f t="array" aca="1" ref="F126" ca="1">[1]!s_val_pe_ttm($B$1,$A126)</f>
        <v>5.7125058174133301</v>
      </c>
    </row>
    <row r="127" spans="1:6">
      <c r="A127" s="23">
        <f t="shared" ca="1" si="1"/>
        <v>46048</v>
      </c>
      <c r="B127" cm="1">
        <f t="array" aca="1" ref="B127" ca="1">[1]!s_dq_close($B$1,$A127,3)</f>
        <v>24.58</v>
      </c>
      <c r="C127" cm="1">
        <f t="array" aca="1" ref="C127" ca="1">[1]!s_dq_volume($B$1,$A127)</f>
        <v>3777400</v>
      </c>
      <c r="D127" cm="1">
        <f t="array" aca="1" ref="D127" ca="1">[1]!s_dq_amount($B$1,$A127)</f>
        <v>92998304</v>
      </c>
      <c r="E127" cm="1">
        <f t="array" aca="1" ref="E127" ca="1">[1]!s_dq_turn($B$1,$A127)</f>
        <v>0.43302538099160498</v>
      </c>
      <c r="F127" cm="1">
        <f t="array" aca="1" ref="F127" ca="1">[1]!s_val_pe_ttm($B$1,$A127)</f>
        <v>5.8505582809448198</v>
      </c>
    </row>
    <row r="128" spans="1:6">
      <c r="A128" s="23">
        <f t="shared" ca="1" si="1"/>
        <v>46047</v>
      </c>
      <c r="B128" cm="1">
        <f t="array" aca="1" ref="B128" ca="1">[1]!s_dq_close($B$1,$A128,3)</f>
        <v>24.32</v>
      </c>
      <c r="C128" cm="1">
        <f t="array" aca="1" ref="C128" ca="1">[1]!s_dq_volume($B$1,$A128)</f>
        <v>0</v>
      </c>
      <c r="D128" cm="1">
        <f t="array" aca="1" ref="D128" ca="1">[1]!s_dq_amount($B$1,$A128)</f>
        <v>0</v>
      </c>
      <c r="E128" cm="1">
        <f t="array" aca="1" ref="E128" ca="1">[1]!s_dq_turn($B$1,$A128)</f>
        <v>0</v>
      </c>
      <c r="F128" cm="1">
        <f t="array" aca="1" ref="F128" ca="1">[1]!s_val_pe_ttm($B$1,$A128)</f>
        <v>5.7886729240417498</v>
      </c>
    </row>
    <row r="129" spans="1:6">
      <c r="A129" s="23">
        <f t="shared" ca="1" si="1"/>
        <v>46046</v>
      </c>
      <c r="B129" cm="1">
        <f t="array" aca="1" ref="B129" ca="1">[1]!s_dq_close($B$1,$A129,3)</f>
        <v>24.32</v>
      </c>
      <c r="C129" cm="1">
        <f t="array" aca="1" ref="C129" ca="1">[1]!s_dq_volume($B$1,$A129)</f>
        <v>0</v>
      </c>
      <c r="D129" cm="1">
        <f t="array" aca="1" ref="D129" ca="1">[1]!s_dq_amount($B$1,$A129)</f>
        <v>0</v>
      </c>
      <c r="E129" cm="1">
        <f t="array" aca="1" ref="E129" ca="1">[1]!s_dq_turn($B$1,$A129)</f>
        <v>0</v>
      </c>
      <c r="F129" cm="1">
        <f t="array" aca="1" ref="F129" ca="1">[1]!s_val_pe_ttm($B$1,$A129)</f>
        <v>5.7886729240417498</v>
      </c>
    </row>
    <row r="130" spans="1:6">
      <c r="A130" s="23">
        <f t="shared" ca="1" si="1"/>
        <v>46045</v>
      </c>
      <c r="B130" cm="1">
        <f t="array" aca="1" ref="B130" ca="1">[1]!s_dq_close($B$1,$A130,3)</f>
        <v>24.32</v>
      </c>
      <c r="C130" cm="1">
        <f t="array" aca="1" ref="C130" ca="1">[1]!s_dq_volume($B$1,$A130)</f>
        <v>2922330</v>
      </c>
      <c r="D130" cm="1">
        <f t="array" aca="1" ref="D130" ca="1">[1]!s_dq_amount($B$1,$A130)</f>
        <v>71124965</v>
      </c>
      <c r="E130" cm="1">
        <f t="array" aca="1" ref="E130" ca="1">[1]!s_dq_turn($B$1,$A130)</f>
        <v>0.33500372256928002</v>
      </c>
      <c r="F130" cm="1">
        <f t="array" aca="1" ref="F130" ca="1">[1]!s_val_pe_ttm($B$1,$A130)</f>
        <v>5.7886729240417498</v>
      </c>
    </row>
    <row r="131" spans="1:6">
      <c r="A131" s="23">
        <f t="shared" ca="1" si="1"/>
        <v>46044</v>
      </c>
      <c r="B131" cm="1">
        <f t="array" aca="1" ref="B131" ca="1">[1]!s_dq_close($B$1,$A131,3)</f>
        <v>24.48</v>
      </c>
      <c r="C131" cm="1">
        <f t="array" aca="1" ref="C131" ca="1">[1]!s_dq_volume($B$1,$A131)</f>
        <v>2914000</v>
      </c>
      <c r="D131" cm="1">
        <f t="array" aca="1" ref="D131" ca="1">[1]!s_dq_amount($B$1,$A131)</f>
        <v>71382110</v>
      </c>
      <c r="E131" cm="1">
        <f t="array" aca="1" ref="E131" ca="1">[1]!s_dq_turn($B$1,$A131)</f>
        <v>0.334048806112548</v>
      </c>
      <c r="F131" cm="1">
        <f t="array" aca="1" ref="F131" ca="1">[1]!s_val_pe_ttm($B$1,$A131)</f>
        <v>5.8267560005187997</v>
      </c>
    </row>
    <row r="132" spans="1:6">
      <c r="A132" s="23">
        <f t="shared" ca="1" si="1"/>
        <v>46043</v>
      </c>
      <c r="B132" cm="1">
        <f t="array" aca="1" ref="B132" ca="1">[1]!s_dq_close($B$1,$A132,3)</f>
        <v>24.68</v>
      </c>
      <c r="C132" cm="1">
        <f t="array" aca="1" ref="C132" ca="1">[1]!s_dq_volume($B$1,$A132)</f>
        <v>4204000</v>
      </c>
      <c r="D132" cm="1">
        <f t="array" aca="1" ref="D132" ca="1">[1]!s_dq_amount($B$1,$A132)</f>
        <v>103392890</v>
      </c>
      <c r="E132" cm="1">
        <f t="array" aca="1" ref="E132" ca="1">[1]!s_dq_turn($B$1,$A132)</f>
        <v>0.481929025702522</v>
      </c>
      <c r="F132" cm="1">
        <f t="array" aca="1" ref="F132" ca="1">[1]!s_val_pe_ttm($B$1,$A132)</f>
        <v>5.8743600845336896</v>
      </c>
    </row>
    <row r="133" spans="1:6">
      <c r="A133" s="23">
        <f t="shared" ca="1" si="1"/>
        <v>46042</v>
      </c>
      <c r="B133" cm="1">
        <f t="array" aca="1" ref="B133" ca="1">[1]!s_dq_close($B$1,$A133,3)</f>
        <v>24.6</v>
      </c>
      <c r="C133" cm="1">
        <f t="array" aca="1" ref="C133" ca="1">[1]!s_dq_volume($B$1,$A133)</f>
        <v>3616850</v>
      </c>
      <c r="D133" cm="1">
        <f t="array" aca="1" ref="D133" ca="1">[1]!s_dq_amount($B$1,$A133)</f>
        <v>88910158</v>
      </c>
      <c r="E133" cm="1">
        <f t="array" aca="1" ref="E133" ca="1">[1]!s_dq_turn($B$1,$A133)</f>
        <v>0.41462059862325601</v>
      </c>
      <c r="F133" cm="1">
        <f t="array" aca="1" ref="F133" ca="1">[1]!s_val_pe_ttm($B$1,$A133)</f>
        <v>5.8553185462951696</v>
      </c>
    </row>
    <row r="134" spans="1:6">
      <c r="A134" s="23">
        <f t="shared" ca="1" si="1"/>
        <v>46041</v>
      </c>
      <c r="B134" cm="1">
        <f t="array" aca="1" ref="B134" ca="1">[1]!s_dq_close($B$1,$A134,3)</f>
        <v>24.76</v>
      </c>
      <c r="C134" cm="1">
        <f t="array" aca="1" ref="C134" ca="1">[1]!s_dq_volume($B$1,$A134)</f>
        <v>6515739</v>
      </c>
      <c r="D134" cm="1">
        <f t="array" aca="1" ref="D134" ca="1">[1]!s_dq_amount($B$1,$A134)</f>
        <v>161042219</v>
      </c>
      <c r="E134" cm="1">
        <f t="array" aca="1" ref="E134" ca="1">[1]!s_dq_turn($B$1,$A134)</f>
        <v>0.746937142721676</v>
      </c>
      <c r="F134" cm="1">
        <f t="array" aca="1" ref="F134" ca="1">[1]!s_val_pe_ttm($B$1,$A134)</f>
        <v>5.8934020996093803</v>
      </c>
    </row>
    <row r="135" spans="1:6">
      <c r="A135" s="23">
        <f t="shared" ca="1" si="1"/>
        <v>46040</v>
      </c>
      <c r="B135" cm="1">
        <f t="array" aca="1" ref="B135" ca="1">[1]!s_dq_close($B$1,$A135,3)</f>
        <v>25.44</v>
      </c>
      <c r="C135" cm="1">
        <f t="array" aca="1" ref="C135" ca="1">[1]!s_dq_volume($B$1,$A135)</f>
        <v>0</v>
      </c>
      <c r="D135" cm="1">
        <f t="array" aca="1" ref="D135" ca="1">[1]!s_dq_amount($B$1,$A135)</f>
        <v>0</v>
      </c>
      <c r="E135" cm="1">
        <f t="array" aca="1" ref="E135" ca="1">[1]!s_dq_turn($B$1,$A135)</f>
        <v>0</v>
      </c>
      <c r="F135" cm="1">
        <f t="array" aca="1" ref="F135" ca="1">[1]!s_val_pe_ttm($B$1,$A135)</f>
        <v>6.0552563667297399</v>
      </c>
    </row>
    <row r="136" spans="1:6">
      <c r="A136" s="23">
        <f t="shared" ca="1" si="1"/>
        <v>46039</v>
      </c>
      <c r="B136" cm="1">
        <f t="array" aca="1" ref="B136" ca="1">[1]!s_dq_close($B$1,$A136,3)</f>
        <v>25.44</v>
      </c>
      <c r="C136" cm="1">
        <f t="array" aca="1" ref="C136" ca="1">[1]!s_dq_volume($B$1,$A136)</f>
        <v>0</v>
      </c>
      <c r="D136" cm="1">
        <f t="array" aca="1" ref="D136" ca="1">[1]!s_dq_amount($B$1,$A136)</f>
        <v>0</v>
      </c>
      <c r="E136" cm="1">
        <f t="array" aca="1" ref="E136" ca="1">[1]!s_dq_turn($B$1,$A136)</f>
        <v>0</v>
      </c>
      <c r="F136" cm="1">
        <f t="array" aca="1" ref="F136" ca="1">[1]!s_val_pe_ttm($B$1,$A136)</f>
        <v>6.0552563667297399</v>
      </c>
    </row>
    <row r="137" spans="1:6">
      <c r="A137" s="23">
        <f t="shared" ca="1" si="1"/>
        <v>46038</v>
      </c>
      <c r="B137" cm="1">
        <f t="array" aca="1" ref="B137" ca="1">[1]!s_dq_close($B$1,$A137,3)</f>
        <v>25.44</v>
      </c>
      <c r="C137" cm="1">
        <f t="array" aca="1" ref="C137" ca="1">[1]!s_dq_volume($B$1,$A137)</f>
        <v>18341000</v>
      </c>
      <c r="D137" cm="1">
        <f t="array" aca="1" ref="D137" ca="1">[1]!s_dq_amount($B$1,$A137)</f>
        <v>459185975</v>
      </c>
      <c r="E137" cm="1">
        <f t="array" aca="1" ref="E137" ca="1">[1]!s_dq_turn($B$1,$A137)</f>
        <v>2.1025357422478499</v>
      </c>
      <c r="F137" cm="1">
        <f t="array" aca="1" ref="F137" ca="1">[1]!s_val_pe_ttm($B$1,$A137)</f>
        <v>6.0552563667297399</v>
      </c>
    </row>
    <row r="138" spans="1:6">
      <c r="A138" s="23">
        <f t="shared" ca="1" si="1"/>
        <v>46037</v>
      </c>
      <c r="B138" cm="1">
        <f t="array" aca="1" ref="B138" ca="1">[1]!s_dq_close($B$1,$A138,3)</f>
        <v>23.92</v>
      </c>
      <c r="C138" cm="1">
        <f t="array" aca="1" ref="C138" ca="1">[1]!s_dq_volume($B$1,$A138)</f>
        <v>7637152</v>
      </c>
      <c r="D138" cm="1">
        <f t="array" aca="1" ref="D138" ca="1">[1]!s_dq_amount($B$1,$A138)</f>
        <v>183159469</v>
      </c>
      <c r="E138" cm="1">
        <f t="array" aca="1" ref="E138" ca="1">[1]!s_dq_turn($B$1,$A138)</f>
        <v>0.87549125178450704</v>
      </c>
      <c r="F138" cm="1">
        <f t="array" aca="1" ref="F138" ca="1">[1]!s_val_pe_ttm($B$1,$A138)</f>
        <v>5.6934642791748002</v>
      </c>
    </row>
    <row r="139" spans="1:6">
      <c r="A139" s="23">
        <f t="shared" ca="1" si="1"/>
        <v>46036</v>
      </c>
      <c r="B139" cm="1">
        <f t="array" aca="1" ref="B139" ca="1">[1]!s_dq_close($B$1,$A139,3)</f>
        <v>23.42</v>
      </c>
      <c r="C139" cm="1">
        <f t="array" aca="1" ref="C139" ca="1">[1]!s_dq_volume($B$1,$A139)</f>
        <v>4879184</v>
      </c>
      <c r="D139" cm="1">
        <f t="array" aca="1" ref="D139" ca="1">[1]!s_dq_amount($B$1,$A139)</f>
        <v>114768641</v>
      </c>
      <c r="E139" cm="1">
        <f t="array" aca="1" ref="E139" ca="1">[1]!s_dq_turn($B$1,$A139)</f>
        <v>0.55932930336425701</v>
      </c>
      <c r="F139" cm="1">
        <f t="array" aca="1" ref="F139" ca="1">[1]!s_val_pe_ttm($B$1,$A139)</f>
        <v>5.5744538307189897</v>
      </c>
    </row>
    <row r="140" spans="1:6">
      <c r="A140" s="23">
        <f t="shared" ca="1" si="1"/>
        <v>46035</v>
      </c>
      <c r="B140" cm="1">
        <f t="array" aca="1" ref="B140" ca="1">[1]!s_dq_close($B$1,$A140,3)</f>
        <v>23.5</v>
      </c>
      <c r="C140" cm="1">
        <f t="array" aca="1" ref="C140" ca="1">[1]!s_dq_volume($B$1,$A140)</f>
        <v>7530500</v>
      </c>
      <c r="D140" cm="1">
        <f t="array" aca="1" ref="D140" ca="1">[1]!s_dq_amount($B$1,$A140)</f>
        <v>177081420</v>
      </c>
      <c r="E140" cm="1">
        <f t="array" aca="1" ref="E140" ca="1">[1]!s_dq_turn($B$1,$A140)</f>
        <v>0.86326511133511996</v>
      </c>
      <c r="F140" cm="1">
        <f t="array" aca="1" ref="F140" ca="1">[1]!s_val_pe_ttm($B$1,$A140)</f>
        <v>5.5934953689575204</v>
      </c>
    </row>
    <row r="141" spans="1:6">
      <c r="A141" s="23">
        <f t="shared" ref="A141:A204" ca="1" si="2">A140-1</f>
        <v>46034</v>
      </c>
      <c r="B141" cm="1">
        <f t="array" aca="1" ref="B141" ca="1">[1]!s_dq_close($B$1,$A141,3)</f>
        <v>23.08</v>
      </c>
      <c r="C141" cm="1">
        <f t="array" aca="1" ref="C141" ca="1">[1]!s_dq_volume($B$1,$A141)</f>
        <v>5282750</v>
      </c>
      <c r="D141" cm="1">
        <f t="array" aca="1" ref="D141" ca="1">[1]!s_dq_amount($B$1,$A141)</f>
        <v>121658530</v>
      </c>
      <c r="E141" cm="1">
        <f t="array" aca="1" ref="E141" ca="1">[1]!s_dq_turn($B$1,$A141)</f>
        <v>0.60559242638677402</v>
      </c>
      <c r="F141" cm="1">
        <f t="array" aca="1" ref="F141" ca="1">[1]!s_val_pe_ttm($B$1,$A141)</f>
        <v>5.4935264587402299</v>
      </c>
    </row>
    <row r="142" spans="1:6">
      <c r="A142" s="23">
        <f t="shared" ca="1" si="2"/>
        <v>46033</v>
      </c>
      <c r="B142" cm="1">
        <f t="array" aca="1" ref="B142" ca="1">[1]!s_dq_close($B$1,$A142,3)</f>
        <v>23.24</v>
      </c>
      <c r="C142" cm="1">
        <f t="array" aca="1" ref="C142" ca="1">[1]!s_dq_volume($B$1,$A142)</f>
        <v>0</v>
      </c>
      <c r="D142" cm="1">
        <f t="array" aca="1" ref="D142" ca="1">[1]!s_dq_amount($B$1,$A142)</f>
        <v>0</v>
      </c>
      <c r="E142" cm="1">
        <f t="array" aca="1" ref="E142" ca="1">[1]!s_dq_turn($B$1,$A142)</f>
        <v>0</v>
      </c>
      <c r="F142" cm="1">
        <f t="array" aca="1" ref="F142" ca="1">[1]!s_val_pe_ttm($B$1,$A142)</f>
        <v>5.5316100120544398</v>
      </c>
    </row>
    <row r="143" spans="1:6">
      <c r="A143" s="23">
        <f t="shared" ca="1" si="2"/>
        <v>46032</v>
      </c>
      <c r="B143" cm="1">
        <f t="array" aca="1" ref="B143" ca="1">[1]!s_dq_close($B$1,$A143,3)</f>
        <v>23.24</v>
      </c>
      <c r="C143" cm="1">
        <f t="array" aca="1" ref="C143" ca="1">[1]!s_dq_volume($B$1,$A143)</f>
        <v>0</v>
      </c>
      <c r="D143" cm="1">
        <f t="array" aca="1" ref="D143" ca="1">[1]!s_dq_amount($B$1,$A143)</f>
        <v>0</v>
      </c>
      <c r="E143" cm="1">
        <f t="array" aca="1" ref="E143" ca="1">[1]!s_dq_turn($B$1,$A143)</f>
        <v>0</v>
      </c>
      <c r="F143" cm="1">
        <f t="array" aca="1" ref="F143" ca="1">[1]!s_val_pe_ttm($B$1,$A143)</f>
        <v>5.5316100120544398</v>
      </c>
    </row>
    <row r="144" spans="1:6">
      <c r="A144" s="23">
        <f t="shared" ca="1" si="2"/>
        <v>46031</v>
      </c>
      <c r="B144" cm="1">
        <f t="array" aca="1" ref="B144" ca="1">[1]!s_dq_close($B$1,$A144,3)</f>
        <v>23.24</v>
      </c>
      <c r="C144" cm="1">
        <f t="array" aca="1" ref="C144" ca="1">[1]!s_dq_volume($B$1,$A144)</f>
        <v>4250084</v>
      </c>
      <c r="D144" cm="1">
        <f t="array" aca="1" ref="D144" ca="1">[1]!s_dq_amount($B$1,$A144)</f>
        <v>98497558</v>
      </c>
      <c r="E144" cm="1">
        <f t="array" aca="1" ref="E144" ca="1">[1]!s_dq_turn($B$1,$A144)</f>
        <v>0.48721190325258801</v>
      </c>
      <c r="F144" cm="1">
        <f t="array" aca="1" ref="F144" ca="1">[1]!s_val_pe_ttm($B$1,$A144)</f>
        <v>5.5316100120544398</v>
      </c>
    </row>
    <row r="145" spans="1:6">
      <c r="A145" s="23">
        <f t="shared" ca="1" si="2"/>
        <v>46030</v>
      </c>
      <c r="B145" cm="1">
        <f t="array" aca="1" ref="B145" ca="1">[1]!s_dq_close($B$1,$A145,3)</f>
        <v>23.24</v>
      </c>
      <c r="C145" cm="1">
        <f t="array" aca="1" ref="C145" ca="1">[1]!s_dq_volume($B$1,$A145)</f>
        <v>9345678</v>
      </c>
      <c r="D145" cm="1">
        <f t="array" aca="1" ref="D145" ca="1">[1]!s_dq_amount($B$1,$A145)</f>
        <v>216959634</v>
      </c>
      <c r="E145" cm="1">
        <f t="array" aca="1" ref="E145" ca="1">[1]!s_dq_turn($B$1,$A145)</f>
        <v>1.0713495464009299</v>
      </c>
      <c r="F145" cm="1">
        <f t="array" aca="1" ref="F145" ca="1">[1]!s_val_pe_ttm($B$1,$A145)</f>
        <v>5.5316100120544398</v>
      </c>
    </row>
    <row r="146" spans="1:6">
      <c r="A146" s="23">
        <f t="shared" ca="1" si="2"/>
        <v>46029</v>
      </c>
      <c r="B146" cm="1">
        <f t="array" aca="1" ref="B146" ca="1">[1]!s_dq_close($B$1,$A146,3)</f>
        <v>22.46</v>
      </c>
      <c r="C146" cm="1">
        <f t="array" aca="1" ref="C146" ca="1">[1]!s_dq_volume($B$1,$A146)</f>
        <v>15451590</v>
      </c>
      <c r="D146" cm="1">
        <f t="array" aca="1" ref="D146" ca="1">[1]!s_dq_amount($B$1,$A146)</f>
        <v>344023272</v>
      </c>
      <c r="E146" cm="1">
        <f t="array" aca="1" ref="E146" ca="1">[1]!s_dq_turn($B$1,$A146)</f>
        <v>1.7713058311738401</v>
      </c>
      <c r="F146" cm="1">
        <f t="array" aca="1" ref="F146" ca="1">[1]!s_val_pe_ttm($B$1,$A146)</f>
        <v>5.3459534645080602</v>
      </c>
    </row>
    <row r="147" spans="1:6">
      <c r="A147" s="23">
        <f t="shared" ca="1" si="2"/>
        <v>46028</v>
      </c>
      <c r="B147" cm="1">
        <f t="array" aca="1" ref="B147" ca="1">[1]!s_dq_close($B$1,$A147,3)</f>
        <v>21.3</v>
      </c>
      <c r="C147" cm="1">
        <f t="array" aca="1" ref="C147" ca="1">[1]!s_dq_volume($B$1,$A147)</f>
        <v>4409095</v>
      </c>
      <c r="D147" cm="1">
        <f t="array" aca="1" ref="D147" ca="1">[1]!s_dq_amount($B$1,$A147)</f>
        <v>93491565</v>
      </c>
      <c r="E147" cm="1">
        <f t="array" aca="1" ref="E147" ca="1">[1]!s_dq_turn($B$1,$A147)</f>
        <v>0.50544026107989104</v>
      </c>
      <c r="F147" cm="1">
        <f t="array" aca="1" ref="F147" ca="1">[1]!s_val_pe_ttm($B$1,$A147)</f>
        <v>5.0698490142822301</v>
      </c>
    </row>
    <row r="148" spans="1:6">
      <c r="A148" s="23">
        <f t="shared" ca="1" si="2"/>
        <v>46027</v>
      </c>
      <c r="B148" cm="1">
        <f t="array" aca="1" ref="B148" ca="1">[1]!s_dq_close($B$1,$A148,3)</f>
        <v>21.18</v>
      </c>
      <c r="C148" cm="1">
        <f t="array" aca="1" ref="C148" ca="1">[1]!s_dq_volume($B$1,$A148)</f>
        <v>7047000</v>
      </c>
      <c r="D148" cm="1">
        <f t="array" aca="1" ref="D148" ca="1">[1]!s_dq_amount($B$1,$A148)</f>
        <v>149453605</v>
      </c>
      <c r="E148" cm="1">
        <f t="array" aca="1" ref="E148" ca="1">[1]!s_dq_turn($B$1,$A148)</f>
        <v>0.80783868794616398</v>
      </c>
      <c r="F148" cm="1">
        <f t="array" aca="1" ref="F148" ca="1">[1]!s_val_pe_ttm($B$1,$A148)</f>
        <v>5.0412864685058603</v>
      </c>
    </row>
    <row r="149" spans="1:6">
      <c r="A149" s="23">
        <f t="shared" ca="1" si="2"/>
        <v>46026</v>
      </c>
      <c r="B149" cm="1">
        <f t="array" aca="1" ref="B149" ca="1">[1]!s_dq_close($B$1,$A149,3)</f>
        <v>20.94</v>
      </c>
      <c r="C149" cm="1">
        <f t="array" aca="1" ref="C149" ca="1">[1]!s_dq_volume($B$1,$A149)</f>
        <v>0</v>
      </c>
      <c r="D149" cm="1">
        <f t="array" aca="1" ref="D149" ca="1">[1]!s_dq_amount($B$1,$A149)</f>
        <v>0</v>
      </c>
      <c r="E149" cm="1">
        <f t="array" aca="1" ref="E149" ca="1">[1]!s_dq_turn($B$1,$A149)</f>
        <v>0</v>
      </c>
      <c r="F149" cm="1">
        <f t="array" aca="1" ref="F149" ca="1">[1]!s_val_pe_ttm($B$1,$A149)</f>
        <v>4.9841613769531197</v>
      </c>
    </row>
    <row r="150" spans="1:6">
      <c r="A150" s="23">
        <f t="shared" ca="1" si="2"/>
        <v>46025</v>
      </c>
      <c r="B150" cm="1">
        <f t="array" aca="1" ref="B150" ca="1">[1]!s_dq_close($B$1,$A150,3)</f>
        <v>20.94</v>
      </c>
      <c r="C150" cm="1">
        <f t="array" aca="1" ref="C150" ca="1">[1]!s_dq_volume($B$1,$A150)</f>
        <v>0</v>
      </c>
      <c r="D150" cm="1">
        <f t="array" aca="1" ref="D150" ca="1">[1]!s_dq_amount($B$1,$A150)</f>
        <v>0</v>
      </c>
      <c r="E150" cm="1">
        <f t="array" aca="1" ref="E150" ca="1">[1]!s_dq_turn($B$1,$A150)</f>
        <v>0</v>
      </c>
      <c r="F150" cm="1">
        <f t="array" aca="1" ref="F150" ca="1">[1]!s_val_pe_ttm($B$1,$A150)</f>
        <v>4.9841613769531197</v>
      </c>
    </row>
    <row r="151" spans="1:6">
      <c r="A151" s="23">
        <f t="shared" ca="1" si="2"/>
        <v>46024</v>
      </c>
      <c r="B151" cm="1">
        <f t="array" aca="1" ref="B151" ca="1">[1]!s_dq_close($B$1,$A151,3)</f>
        <v>20.94</v>
      </c>
      <c r="C151" cm="1">
        <f t="array" aca="1" ref="C151" ca="1">[1]!s_dq_volume($B$1,$A151)</f>
        <v>1868500</v>
      </c>
      <c r="D151" cm="1">
        <f t="array" aca="1" ref="D151" ca="1">[1]!s_dq_amount($B$1,$A151)</f>
        <v>39033309</v>
      </c>
      <c r="E151" cm="1">
        <f t="array" aca="1" ref="E151" ca="1">[1]!s_dq_turn($B$1,$A151)</f>
        <v>0.21419704674718401</v>
      </c>
      <c r="F151" cm="1">
        <f t="array" aca="1" ref="F151" ca="1">[1]!s_val_pe_ttm($B$1,$A151)</f>
        <v>4.9832592010498002</v>
      </c>
    </row>
    <row r="152" spans="1:6">
      <c r="A152" s="23">
        <f t="shared" ca="1" si="2"/>
        <v>46023</v>
      </c>
      <c r="B152" cm="1">
        <f t="array" aca="1" ref="B152" ca="1">[1]!s_dq_close($B$1,$A152,3)</f>
        <v>20.62</v>
      </c>
      <c r="C152" cm="1">
        <f t="array" aca="1" ref="C152" ca="1">[1]!s_dq_volume($B$1,$A152)</f>
        <v>0</v>
      </c>
      <c r="D152" cm="1">
        <f t="array" aca="1" ref="D152" ca="1">[1]!s_dq_amount($B$1,$A152)</f>
        <v>0</v>
      </c>
      <c r="E152" cm="1">
        <f t="array" aca="1" ref="E152" ca="1">[1]!s_dq_turn($B$1,$A152)</f>
        <v>0</v>
      </c>
      <c r="F152" cm="1">
        <f t="array" aca="1" ref="F152" ca="1">[1]!s_val_pe_ttm($B$1,$A152)</f>
        <v>4.9071059226989702</v>
      </c>
    </row>
    <row r="153" spans="1:6">
      <c r="A153" s="23">
        <f t="shared" ca="1" si="2"/>
        <v>46022</v>
      </c>
      <c r="B153" cm="1">
        <f t="array" aca="1" ref="B153" ca="1">[1]!s_dq_close($B$1,$A153,3)</f>
        <v>20.62</v>
      </c>
      <c r="C153" cm="1">
        <f t="array" aca="1" ref="C153" ca="1">[1]!s_dq_volume($B$1,$A153)</f>
        <v>3798500</v>
      </c>
      <c r="D153" cm="1">
        <f t="array" aca="1" ref="D153" ca="1">[1]!s_dq_amount($B$1,$A153)</f>
        <v>78745468</v>
      </c>
      <c r="E153" cm="1">
        <f t="array" aca="1" ref="E153" ca="1">[1]!s_dq_turn($B$1,$A153)</f>
        <v>0.43544419698644898</v>
      </c>
      <c r="F153" cm="1">
        <f t="array" aca="1" ref="F153" ca="1">[1]!s_val_pe_ttm($B$1,$A153)</f>
        <v>4.9071059226989702</v>
      </c>
    </row>
    <row r="154" spans="1:6">
      <c r="A154" s="23">
        <f t="shared" ca="1" si="2"/>
        <v>46021</v>
      </c>
      <c r="B154" cm="1">
        <f t="array" aca="1" ref="B154" ca="1">[1]!s_dq_close($B$1,$A154,3)</f>
        <v>20.46</v>
      </c>
      <c r="C154" cm="1">
        <f t="array" aca="1" ref="C154" ca="1">[1]!s_dq_volume($B$1,$A154)</f>
        <v>4631000</v>
      </c>
      <c r="D154" cm="1">
        <f t="array" aca="1" ref="D154" ca="1">[1]!s_dq_amount($B$1,$A154)</f>
        <v>93883330</v>
      </c>
      <c r="E154" cm="1">
        <f t="array" aca="1" ref="E154" ca="1">[1]!s_dq_turn($B$1,$A154)</f>
        <v>0.530974666890216</v>
      </c>
      <c r="F154" cm="1">
        <f t="array" aca="1" ref="F154" ca="1">[1]!s_val_pe_ttm($B$1,$A154)</f>
        <v>4.8690295219421396</v>
      </c>
    </row>
    <row r="155" spans="1:6">
      <c r="A155" s="23">
        <f t="shared" ca="1" si="2"/>
        <v>46020</v>
      </c>
      <c r="B155" cm="1">
        <f t="array" aca="1" ref="B155" ca="1">[1]!s_dq_close($B$1,$A155,3)</f>
        <v>20.54</v>
      </c>
      <c r="C155" cm="1">
        <f t="array" aca="1" ref="C155" ca="1">[1]!s_dq_volume($B$1,$A155)</f>
        <v>3311000</v>
      </c>
      <c r="D155" cm="1">
        <f t="array" aca="1" ref="D155" ca="1">[1]!s_dq_amount($B$1,$A155)</f>
        <v>68058990</v>
      </c>
      <c r="E155" cm="1">
        <f t="array" aca="1" ref="E155" ca="1">[1]!s_dq_turn($B$1,$A155)</f>
        <v>0.37962796848920499</v>
      </c>
      <c r="F155" cm="1">
        <f t="array" aca="1" ref="F155" ca="1">[1]!s_val_pe_ttm($B$1,$A155)</f>
        <v>4.8880677223205602</v>
      </c>
    </row>
    <row r="156" spans="1:6">
      <c r="A156" s="23">
        <f t="shared" ca="1" si="2"/>
        <v>46019</v>
      </c>
      <c r="B156" cm="1">
        <f t="array" aca="1" ref="B156" ca="1">[1]!s_dq_close($B$1,$A156,3)</f>
        <v>20.72</v>
      </c>
      <c r="C156" cm="1">
        <f t="array" aca="1" ref="C156" ca="1">[1]!s_dq_volume($B$1,$A156)</f>
        <v>0</v>
      </c>
      <c r="D156" cm="1">
        <f t="array" aca="1" ref="D156" ca="1">[1]!s_dq_amount($B$1,$A156)</f>
        <v>0</v>
      </c>
      <c r="E156" cm="1">
        <f t="array" aca="1" ref="E156" ca="1">[1]!s_dq_turn($B$1,$A156)</f>
        <v>0</v>
      </c>
      <c r="F156" cm="1">
        <f t="array" aca="1" ref="F156" ca="1">[1]!s_val_pe_ttm($B$1,$A156)</f>
        <v>4.9309039115905797</v>
      </c>
    </row>
    <row r="157" spans="1:6">
      <c r="A157" s="23">
        <f t="shared" ca="1" si="2"/>
        <v>46018</v>
      </c>
      <c r="B157" cm="1">
        <f t="array" aca="1" ref="B157" ca="1">[1]!s_dq_close($B$1,$A157,3)</f>
        <v>20.72</v>
      </c>
      <c r="C157" cm="1">
        <f t="array" aca="1" ref="C157" ca="1">[1]!s_dq_volume($B$1,$A157)</f>
        <v>0</v>
      </c>
      <c r="D157" cm="1">
        <f t="array" aca="1" ref="D157" ca="1">[1]!s_dq_amount($B$1,$A157)</f>
        <v>0</v>
      </c>
      <c r="E157" cm="1">
        <f t="array" aca="1" ref="E157" ca="1">[1]!s_dq_turn($B$1,$A157)</f>
        <v>0</v>
      </c>
      <c r="F157" cm="1">
        <f t="array" aca="1" ref="F157" ca="1">[1]!s_val_pe_ttm($B$1,$A157)</f>
        <v>4.9309039115905797</v>
      </c>
    </row>
    <row r="158" spans="1:6">
      <c r="A158" s="23">
        <f t="shared" ca="1" si="2"/>
        <v>46017</v>
      </c>
      <c r="B158" cm="1">
        <f t="array" aca="1" ref="B158" ca="1">[1]!s_dq_close($B$1,$A158,3)</f>
        <v>20.72</v>
      </c>
      <c r="C158" cm="1">
        <f t="array" aca="1" ref="C158" ca="1">[1]!s_dq_volume($B$1,$A158)</f>
        <v>0</v>
      </c>
      <c r="D158" cm="1">
        <f t="array" aca="1" ref="D158" ca="1">[1]!s_dq_amount($B$1,$A158)</f>
        <v>0</v>
      </c>
      <c r="E158" cm="1">
        <f t="array" aca="1" ref="E158" ca="1">[1]!s_dq_turn($B$1,$A158)</f>
        <v>0</v>
      </c>
      <c r="F158" cm="1">
        <f t="array" aca="1" ref="F158" ca="1">[1]!s_val_pe_ttm($B$1,$A158)</f>
        <v>4.9309039115905797</v>
      </c>
    </row>
    <row r="159" spans="1:6">
      <c r="A159" s="23">
        <f t="shared" ca="1" si="2"/>
        <v>46016</v>
      </c>
      <c r="B159" cm="1">
        <f t="array" aca="1" ref="B159" ca="1">[1]!s_dq_close($B$1,$A159,3)</f>
        <v>20.72</v>
      </c>
      <c r="C159" cm="1">
        <f t="array" aca="1" ref="C159" ca="1">[1]!s_dq_volume($B$1,$A159)</f>
        <v>0</v>
      </c>
      <c r="D159" cm="1">
        <f t="array" aca="1" ref="D159" ca="1">[1]!s_dq_amount($B$1,$A159)</f>
        <v>0</v>
      </c>
      <c r="E159" cm="1">
        <f t="array" aca="1" ref="E159" ca="1">[1]!s_dq_turn($B$1,$A159)</f>
        <v>0</v>
      </c>
      <c r="F159" cm="1">
        <f t="array" aca="1" ref="F159" ca="1">[1]!s_val_pe_ttm($B$1,$A159)</f>
        <v>4.9309039115905797</v>
      </c>
    </row>
    <row r="160" spans="1:6">
      <c r="A160" s="23">
        <f t="shared" ca="1" si="2"/>
        <v>46015</v>
      </c>
      <c r="B160" cm="1">
        <f t="array" aca="1" ref="B160" ca="1">[1]!s_dq_close($B$1,$A160,3)</f>
        <v>20.72</v>
      </c>
      <c r="C160" cm="1">
        <f t="array" aca="1" ref="C160" ca="1">[1]!s_dq_volume($B$1,$A160)</f>
        <v>1197353</v>
      </c>
      <c r="D160" cm="1">
        <f t="array" aca="1" ref="D160" ca="1">[1]!s_dq_amount($B$1,$A160)</f>
        <v>24834569</v>
      </c>
      <c r="E160" cm="1">
        <f t="array" aca="1" ref="E160" ca="1">[1]!s_dq_turn($B$1,$A160)</f>
        <v>0.13728441164435401</v>
      </c>
      <c r="F160" cm="1">
        <f t="array" aca="1" ref="F160" ca="1">[1]!s_val_pe_ttm($B$1,$A160)</f>
        <v>4.9309039115905797</v>
      </c>
    </row>
    <row r="161" spans="1:6">
      <c r="A161" s="23">
        <f t="shared" ca="1" si="2"/>
        <v>46014</v>
      </c>
      <c r="B161" cm="1">
        <f t="array" aca="1" ref="B161" ca="1">[1]!s_dq_close($B$1,$A161,3)</f>
        <v>20.68</v>
      </c>
      <c r="C161" cm="1">
        <f t="array" aca="1" ref="C161" ca="1">[1]!s_dq_volume($B$1,$A161)</f>
        <v>2858500</v>
      </c>
      <c r="D161" cm="1">
        <f t="array" aca="1" ref="D161" ca="1">[1]!s_dq_amount($B$1,$A161)</f>
        <v>59240210</v>
      </c>
      <c r="E161" cm="1">
        <f t="array" aca="1" ref="E161" ca="1">[1]!s_dq_turn($B$1,$A161)</f>
        <v>0.32774586165097902</v>
      </c>
      <c r="F161" cm="1">
        <f t="array" aca="1" ref="F161" ca="1">[1]!s_val_pe_ttm($B$1,$A161)</f>
        <v>4.9213848114013699</v>
      </c>
    </row>
    <row r="162" spans="1:6">
      <c r="A162" s="23">
        <f t="shared" ca="1" si="2"/>
        <v>46013</v>
      </c>
      <c r="B162" cm="1">
        <f t="array" aca="1" ref="B162" ca="1">[1]!s_dq_close($B$1,$A162,3)</f>
        <v>20.66</v>
      </c>
      <c r="C162" cm="1">
        <f t="array" aca="1" ref="C162" ca="1">[1]!s_dq_volume($B$1,$A162)</f>
        <v>2718500</v>
      </c>
      <c r="D162" cm="1">
        <f t="array" aca="1" ref="D162" ca="1">[1]!s_dq_amount($B$1,$A162)</f>
        <v>56300932</v>
      </c>
      <c r="E162" cm="1">
        <f t="array" aca="1" ref="E162" ca="1">[1]!s_dq_turn($B$1,$A162)</f>
        <v>0.31169393909329601</v>
      </c>
      <c r="F162" cm="1">
        <f t="array" aca="1" ref="F162" ca="1">[1]!s_val_pe_ttm($B$1,$A162)</f>
        <v>4.91662502288818</v>
      </c>
    </row>
    <row r="163" spans="1:6">
      <c r="A163" s="23">
        <f t="shared" ca="1" si="2"/>
        <v>46012</v>
      </c>
      <c r="B163" cm="1">
        <f t="array" aca="1" ref="B163" ca="1">[1]!s_dq_close($B$1,$A163,3)</f>
        <v>20.8</v>
      </c>
      <c r="C163" cm="1">
        <f t="array" aca="1" ref="C163" ca="1">[1]!s_dq_volume($B$1,$A163)</f>
        <v>0</v>
      </c>
      <c r="D163" cm="1">
        <f t="array" aca="1" ref="D163" ca="1">[1]!s_dq_amount($B$1,$A163)</f>
        <v>0</v>
      </c>
      <c r="E163" cm="1">
        <f t="array" aca="1" ref="E163" ca="1">[1]!s_dq_turn($B$1,$A163)</f>
        <v>0</v>
      </c>
      <c r="F163" cm="1">
        <f t="array" aca="1" ref="F163" ca="1">[1]!s_val_pe_ttm($B$1,$A163)</f>
        <v>4.9499421119689897</v>
      </c>
    </row>
    <row r="164" spans="1:6">
      <c r="A164" s="23">
        <f t="shared" ca="1" si="2"/>
        <v>46011</v>
      </c>
      <c r="B164" cm="1">
        <f t="array" aca="1" ref="B164" ca="1">[1]!s_dq_close($B$1,$A164,3)</f>
        <v>20.8</v>
      </c>
      <c r="C164" cm="1">
        <f t="array" aca="1" ref="C164" ca="1">[1]!s_dq_volume($B$1,$A164)</f>
        <v>0</v>
      </c>
      <c r="D164" cm="1">
        <f t="array" aca="1" ref="D164" ca="1">[1]!s_dq_amount($B$1,$A164)</f>
        <v>0</v>
      </c>
      <c r="E164" cm="1">
        <f t="array" aca="1" ref="E164" ca="1">[1]!s_dq_turn($B$1,$A164)</f>
        <v>0</v>
      </c>
      <c r="F164" cm="1">
        <f t="array" aca="1" ref="F164" ca="1">[1]!s_val_pe_ttm($B$1,$A164)</f>
        <v>4.9499421119689897</v>
      </c>
    </row>
    <row r="165" spans="1:6">
      <c r="A165" s="23">
        <f t="shared" ca="1" si="2"/>
        <v>46010</v>
      </c>
      <c r="B165" cm="1">
        <f t="array" aca="1" ref="B165" ca="1">[1]!s_dq_close($B$1,$A165,3)</f>
        <v>20.8</v>
      </c>
      <c r="C165" cm="1">
        <f t="array" aca="1" ref="C165" ca="1">[1]!s_dq_volume($B$1,$A165)</f>
        <v>3641000</v>
      </c>
      <c r="D165" cm="1">
        <f t="array" aca="1" ref="D165" ca="1">[1]!s_dq_amount($B$1,$A165)</f>
        <v>75782610</v>
      </c>
      <c r="E165" cm="1">
        <f t="array" aca="1" ref="E165" ca="1">[1]!s_dq_turn($B$1,$A165)</f>
        <v>0.41746464308945802</v>
      </c>
      <c r="F165" cm="1">
        <f t="array" aca="1" ref="F165" ca="1">[1]!s_val_pe_ttm($B$1,$A165)</f>
        <v>4.9499421119689897</v>
      </c>
    </row>
    <row r="166" spans="1:6">
      <c r="A166" s="23">
        <f t="shared" ca="1" si="2"/>
        <v>46009</v>
      </c>
      <c r="B166" cm="1">
        <f t="array" aca="1" ref="B166" ca="1">[1]!s_dq_close($B$1,$A166,3)</f>
        <v>20.72</v>
      </c>
      <c r="C166" cm="1">
        <f t="array" aca="1" ref="C166" ca="1">[1]!s_dq_volume($B$1,$A166)</f>
        <v>3381500</v>
      </c>
      <c r="D166" cm="1">
        <f t="array" aca="1" ref="D166" ca="1">[1]!s_dq_amount($B$1,$A166)</f>
        <v>69781070</v>
      </c>
      <c r="E166" cm="1">
        <f t="array" aca="1" ref="E166" ca="1">[1]!s_dq_turn($B$1,$A166)</f>
        <v>0.38771125806289503</v>
      </c>
      <c r="F166" cm="1">
        <f t="array" aca="1" ref="F166" ca="1">[1]!s_val_pe_ttm($B$1,$A166)</f>
        <v>4.9309039115905797</v>
      </c>
    </row>
    <row r="167" spans="1:6">
      <c r="A167" s="23">
        <f t="shared" ca="1" si="2"/>
        <v>46008</v>
      </c>
      <c r="B167" cm="1">
        <f t="array" aca="1" ref="B167" ca="1">[1]!s_dq_close($B$1,$A167,3)</f>
        <v>20.54</v>
      </c>
      <c r="C167" cm="1">
        <f t="array" aca="1" ref="C167" ca="1">[1]!s_dq_volume($B$1,$A167)</f>
        <v>2919020</v>
      </c>
      <c r="D167" cm="1">
        <f t="array" aca="1" ref="D167" ca="1">[1]!s_dq_amount($B$1,$A167)</f>
        <v>59784500</v>
      </c>
      <c r="E167" cm="1">
        <f t="array" aca="1" ref="E167" ca="1">[1]!s_dq_turn($B$1,$A167)</f>
        <v>0.33468487845948602</v>
      </c>
      <c r="F167" cm="1">
        <f t="array" aca="1" ref="F167" ca="1">[1]!s_val_pe_ttm($B$1,$A167)</f>
        <v>4.8880677223205602</v>
      </c>
    </row>
    <row r="168" spans="1:6">
      <c r="A168" s="23">
        <f t="shared" ca="1" si="2"/>
        <v>46007</v>
      </c>
      <c r="B168" cm="1">
        <f t="array" aca="1" ref="B168" ca="1">[1]!s_dq_close($B$1,$A168,3)</f>
        <v>20.3</v>
      </c>
      <c r="C168" cm="1">
        <f t="array" aca="1" ref="C168" ca="1">[1]!s_dq_volume($B$1,$A168)</f>
        <v>7097000</v>
      </c>
      <c r="D168" cm="1">
        <f t="array" aca="1" ref="D168" ca="1">[1]!s_dq_amount($B$1,$A168)</f>
        <v>143624333</v>
      </c>
      <c r="E168" cm="1">
        <f t="array" aca="1" ref="E168" ca="1">[1]!s_dq_turn($B$1,$A168)</f>
        <v>0.81371781708483404</v>
      </c>
      <c r="F168" cm="1">
        <f t="array" aca="1" ref="F168" ca="1">[1]!s_val_pe_ttm($B$1,$A168)</f>
        <v>4.8309531211853001</v>
      </c>
    </row>
    <row r="169" spans="1:6">
      <c r="A169" s="23">
        <f t="shared" ca="1" si="2"/>
        <v>46006</v>
      </c>
      <c r="B169" cm="1">
        <f t="array" aca="1" ref="B169" ca="1">[1]!s_dq_close($B$1,$A169,3)</f>
        <v>20.82</v>
      </c>
      <c r="C169" cm="1">
        <f t="array" aca="1" ref="C169" ca="1">[1]!s_dq_volume($B$1,$A169)</f>
        <v>6149800</v>
      </c>
      <c r="D169" cm="1">
        <f t="array" aca="1" ref="D169" ca="1">[1]!s_dq_amount($B$1,$A169)</f>
        <v>128849401</v>
      </c>
      <c r="E169" cm="1">
        <f t="array" aca="1" ref="E169" ca="1">[1]!s_dq_turn($B$1,$A169)</f>
        <v>0.70511509532313799</v>
      </c>
      <c r="F169" cm="1">
        <f t="array" aca="1" ref="F169" ca="1">[1]!s_val_pe_ttm($B$1,$A169)</f>
        <v>4.9547014236450204</v>
      </c>
    </row>
    <row r="170" spans="1:6">
      <c r="A170" s="23">
        <f t="shared" ca="1" si="2"/>
        <v>46005</v>
      </c>
      <c r="B170" cm="1">
        <f t="array" aca="1" ref="B170" ca="1">[1]!s_dq_close($B$1,$A170,3)</f>
        <v>21.48</v>
      </c>
      <c r="C170" cm="1">
        <f t="array" aca="1" ref="C170" ca="1">[1]!s_dq_volume($B$1,$A170)</f>
        <v>0</v>
      </c>
      <c r="D170" cm="1">
        <f t="array" aca="1" ref="D170" ca="1">[1]!s_dq_amount($B$1,$A170)</f>
        <v>0</v>
      </c>
      <c r="E170" cm="1">
        <f t="array" aca="1" ref="E170" ca="1">[1]!s_dq_turn($B$1,$A170)</f>
        <v>0</v>
      </c>
      <c r="F170" cm="1">
        <f t="array" aca="1" ref="F170" ca="1">[1]!s_val_pe_ttm($B$1,$A170)</f>
        <v>5.1117672920227104</v>
      </c>
    </row>
    <row r="171" spans="1:6">
      <c r="A171" s="23">
        <f t="shared" ca="1" si="2"/>
        <v>46004</v>
      </c>
      <c r="B171" cm="1">
        <f t="array" aca="1" ref="B171" ca="1">[1]!s_dq_close($B$1,$A171,3)</f>
        <v>21.48</v>
      </c>
      <c r="C171" cm="1">
        <f t="array" aca="1" ref="C171" ca="1">[1]!s_dq_volume($B$1,$A171)</f>
        <v>0</v>
      </c>
      <c r="D171" cm="1">
        <f t="array" aca="1" ref="D171" ca="1">[1]!s_dq_amount($B$1,$A171)</f>
        <v>0</v>
      </c>
      <c r="E171" cm="1">
        <f t="array" aca="1" ref="E171" ca="1">[1]!s_dq_turn($B$1,$A171)</f>
        <v>0</v>
      </c>
      <c r="F171" cm="1">
        <f t="array" aca="1" ref="F171" ca="1">[1]!s_val_pe_ttm($B$1,$A171)</f>
        <v>5.1117672920227104</v>
      </c>
    </row>
    <row r="172" spans="1:6">
      <c r="A172" s="23">
        <f t="shared" ca="1" si="2"/>
        <v>46003</v>
      </c>
      <c r="B172" cm="1">
        <f t="array" aca="1" ref="B172" ca="1">[1]!s_dq_close($B$1,$A172,3)</f>
        <v>21.48</v>
      </c>
      <c r="C172" cm="1">
        <f t="array" aca="1" ref="C172" ca="1">[1]!s_dq_volume($B$1,$A172)</f>
        <v>6843000</v>
      </c>
      <c r="D172" cm="1">
        <f t="array" aca="1" ref="D172" ca="1">[1]!s_dq_amount($B$1,$A172)</f>
        <v>145150845</v>
      </c>
      <c r="E172" cm="1">
        <f t="array" aca="1" ref="E172" ca="1">[1]!s_dq_turn($B$1,$A172)</f>
        <v>0.78459504330160901</v>
      </c>
      <c r="F172" cm="1">
        <f t="array" aca="1" ref="F172" ca="1">[1]!s_val_pe_ttm($B$1,$A172)</f>
        <v>5.1117672920227104</v>
      </c>
    </row>
    <row r="173" spans="1:6">
      <c r="A173" s="23">
        <f t="shared" ca="1" si="2"/>
        <v>46002</v>
      </c>
      <c r="B173" cm="1">
        <f t="array" aca="1" ref="B173" ca="1">[1]!s_dq_close($B$1,$A173,3)</f>
        <v>21.06</v>
      </c>
      <c r="C173" cm="1">
        <f t="array" aca="1" ref="C173" ca="1">[1]!s_dq_volume($B$1,$A173)</f>
        <v>5712962</v>
      </c>
      <c r="D173" cm="1">
        <f t="array" aca="1" ref="D173" ca="1">[1]!s_dq_amount($B$1,$A173)</f>
        <v>121029584</v>
      </c>
      <c r="E173" cm="1">
        <f t="array" aca="1" ref="E173" ca="1">[1]!s_dq_turn($B$1,$A173)</f>
        <v>0.65502873999275801</v>
      </c>
      <c r="F173" cm="1">
        <f t="array" aca="1" ref="F173" ca="1">[1]!s_val_pe_ttm($B$1,$A173)</f>
        <v>5.0118165016174299</v>
      </c>
    </row>
    <row r="174" spans="1:6">
      <c r="A174" s="23">
        <f t="shared" ca="1" si="2"/>
        <v>46001</v>
      </c>
      <c r="B174" cm="1">
        <f t="array" aca="1" ref="B174" ca="1">[1]!s_dq_close($B$1,$A174,3)</f>
        <v>21.42</v>
      </c>
      <c r="C174" cm="1">
        <f t="array" aca="1" ref="C174" ca="1">[1]!s_dq_volume($B$1,$A174)</f>
        <v>4951558</v>
      </c>
      <c r="D174" cm="1">
        <f t="array" aca="1" ref="D174" ca="1">[1]!s_dq_amount($B$1,$A174)</f>
        <v>105852676</v>
      </c>
      <c r="E174" cm="1">
        <f t="array" aca="1" ref="E174" ca="1">[1]!s_dq_turn($B$1,$A174)</f>
        <v>0.56772875397054301</v>
      </c>
      <c r="F174" cm="1">
        <f t="array" aca="1" ref="F174" ca="1">[1]!s_val_pe_ttm($B$1,$A174)</f>
        <v>5.0974884033203098</v>
      </c>
    </row>
    <row r="175" spans="1:6">
      <c r="A175" s="23">
        <f t="shared" ca="1" si="2"/>
        <v>46000</v>
      </c>
      <c r="B175" cm="1">
        <f t="array" aca="1" ref="B175" ca="1">[1]!s_dq_close($B$1,$A175,3)</f>
        <v>21.66</v>
      </c>
      <c r="C175" cm="1">
        <f t="array" aca="1" ref="C175" ca="1">[1]!s_dq_volume($B$1,$A175)</f>
        <v>6133189</v>
      </c>
      <c r="D175" cm="1">
        <f t="array" aca="1" ref="D175" ca="1">[1]!s_dq_amount($B$1,$A175)</f>
        <v>132447868</v>
      </c>
      <c r="E175" cm="1">
        <f t="array" aca="1" ref="E175" ca="1">[1]!s_dq_turn($B$1,$A175)</f>
        <v>0.70321053471166906</v>
      </c>
      <c r="F175" cm="1">
        <f t="array" aca="1" ref="F175" ca="1">[1]!s_val_pe_ttm($B$1,$A175)</f>
        <v>5.15460300445557</v>
      </c>
    </row>
    <row r="176" spans="1:6">
      <c r="A176" s="23">
        <f t="shared" ca="1" si="2"/>
        <v>45999</v>
      </c>
      <c r="B176" cm="1">
        <f t="array" aca="1" ref="B176" ca="1">[1]!s_dq_close($B$1,$A176,3)</f>
        <v>21.96</v>
      </c>
      <c r="C176" cm="1">
        <f t="array" aca="1" ref="C176" ca="1">[1]!s_dq_volume($B$1,$A176)</f>
        <v>3733082</v>
      </c>
      <c r="D176" cm="1">
        <f t="array" aca="1" ref="D176" ca="1">[1]!s_dq_amount($B$1,$A176)</f>
        <v>82422502</v>
      </c>
      <c r="E176" cm="1">
        <f t="array" aca="1" ref="E176" ca="1">[1]!s_dq_turn($B$1,$A176)</f>
        <v>0.42802245118200499</v>
      </c>
      <c r="F176" cm="1">
        <f t="array" aca="1" ref="F176" ca="1">[1]!s_val_pe_ttm($B$1,$A176)</f>
        <v>5.2259964942932102</v>
      </c>
    </row>
    <row r="177" spans="1:6">
      <c r="A177" s="23">
        <f t="shared" ca="1" si="2"/>
        <v>45998</v>
      </c>
      <c r="B177" cm="1">
        <f t="array" aca="1" ref="B177" ca="1">[1]!s_dq_close($B$1,$A177,3)</f>
        <v>22</v>
      </c>
      <c r="C177" cm="1">
        <f t="array" aca="1" ref="C177" ca="1">[1]!s_dq_volume($B$1,$A177)</f>
        <v>0</v>
      </c>
      <c r="D177" cm="1">
        <f t="array" aca="1" ref="D177" ca="1">[1]!s_dq_amount($B$1,$A177)</f>
        <v>0</v>
      </c>
      <c r="E177" cm="1">
        <f t="array" aca="1" ref="E177" ca="1">[1]!s_dq_turn($B$1,$A177)</f>
        <v>0</v>
      </c>
      <c r="F177" cm="1">
        <f t="array" aca="1" ref="F177" ca="1">[1]!s_val_pe_ttm($B$1,$A177)</f>
        <v>5.2355155944824201</v>
      </c>
    </row>
    <row r="178" spans="1:6">
      <c r="A178" s="23">
        <f t="shared" ca="1" si="2"/>
        <v>45997</v>
      </c>
      <c r="B178" cm="1">
        <f t="array" aca="1" ref="B178" ca="1">[1]!s_dq_close($B$1,$A178,3)</f>
        <v>22</v>
      </c>
      <c r="C178" cm="1">
        <f t="array" aca="1" ref="C178" ca="1">[1]!s_dq_volume($B$1,$A178)</f>
        <v>0</v>
      </c>
      <c r="D178" cm="1">
        <f t="array" aca="1" ref="D178" ca="1">[1]!s_dq_amount($B$1,$A178)</f>
        <v>0</v>
      </c>
      <c r="E178" cm="1">
        <f t="array" aca="1" ref="E178" ca="1">[1]!s_dq_turn($B$1,$A178)</f>
        <v>0</v>
      </c>
      <c r="F178" cm="1">
        <f t="array" aca="1" ref="F178" ca="1">[1]!s_val_pe_ttm($B$1,$A178)</f>
        <v>5.2355155944824201</v>
      </c>
    </row>
    <row r="179" spans="1:6">
      <c r="A179" s="23">
        <f t="shared" ca="1" si="2"/>
        <v>45996</v>
      </c>
      <c r="B179" cm="1">
        <f t="array" aca="1" ref="B179" ca="1">[1]!s_dq_close($B$1,$A179,3)</f>
        <v>22</v>
      </c>
      <c r="C179" cm="1">
        <f t="array" aca="1" ref="C179" ca="1">[1]!s_dq_volume($B$1,$A179)</f>
        <v>3854453</v>
      </c>
      <c r="D179" cm="1">
        <f t="array" aca="1" ref="D179" ca="1">[1]!s_dq_amount($B$1,$A179)</f>
        <v>84727655</v>
      </c>
      <c r="E179" cm="1">
        <f t="array" aca="1" ref="E179" ca="1">[1]!s_dq_turn($B$1,$A179)</f>
        <v>0.441938436130209</v>
      </c>
      <c r="F179" cm="1">
        <f t="array" aca="1" ref="F179" ca="1">[1]!s_val_pe_ttm($B$1,$A179)</f>
        <v>5.2355155944824201</v>
      </c>
    </row>
    <row r="180" spans="1:6">
      <c r="A180" s="23">
        <f t="shared" ca="1" si="2"/>
        <v>45995</v>
      </c>
      <c r="B180" cm="1">
        <f t="array" aca="1" ref="B180" ca="1">[1]!s_dq_close($B$1,$A180,3)</f>
        <v>22.24</v>
      </c>
      <c r="C180" cm="1">
        <f t="array" aca="1" ref="C180" ca="1">[1]!s_dq_volume($B$1,$A180)</f>
        <v>3125500</v>
      </c>
      <c r="D180" cm="1">
        <f t="array" aca="1" ref="D180" ca="1">[1]!s_dq_amount($B$1,$A180)</f>
        <v>69074766</v>
      </c>
      <c r="E180" cm="1">
        <f t="array" aca="1" ref="E180" ca="1">[1]!s_dq_turn($B$1,$A180)</f>
        <v>0.35835917110027499</v>
      </c>
      <c r="F180" cm="1">
        <f t="array" aca="1" ref="F180" ca="1">[1]!s_val_pe_ttm($B$1,$A180)</f>
        <v>5.2926301956176802</v>
      </c>
    </row>
    <row r="181" spans="1:6">
      <c r="A181" s="23">
        <f t="shared" ca="1" si="2"/>
        <v>45994</v>
      </c>
      <c r="B181" cm="1">
        <f t="array" aca="1" ref="B181" ca="1">[1]!s_dq_close($B$1,$A181,3)</f>
        <v>22.1</v>
      </c>
      <c r="C181" cm="1">
        <f t="array" aca="1" ref="C181" ca="1">[1]!s_dq_volume($B$1,$A181)</f>
        <v>4246500</v>
      </c>
      <c r="D181" cm="1">
        <f t="array" aca="1" ref="D181" ca="1">[1]!s_dq_amount($B$1,$A181)</f>
        <v>93965617</v>
      </c>
      <c r="E181" cm="1">
        <f t="array" aca="1" ref="E181" ca="1">[1]!s_dq_turn($B$1,$A181)</f>
        <v>0.48688920815143699</v>
      </c>
      <c r="F181" cm="1">
        <f t="array" aca="1" ref="F181" ca="1">[1]!s_val_pe_ttm($B$1,$A181)</f>
        <v>5.2593135833740199</v>
      </c>
    </row>
    <row r="182" spans="1:6">
      <c r="A182" s="23">
        <f t="shared" ca="1" si="2"/>
        <v>45993</v>
      </c>
      <c r="B182" cm="1">
        <f t="array" aca="1" ref="B182" ca="1">[1]!s_dq_close($B$1,$A182,3)</f>
        <v>22.48</v>
      </c>
      <c r="C182" cm="1">
        <f t="array" aca="1" ref="C182" ca="1">[1]!s_dq_volume($B$1,$A182)</f>
        <v>2743937</v>
      </c>
      <c r="D182" cm="1">
        <f t="array" aca="1" ref="D182" ca="1">[1]!s_dq_amount($B$1,$A182)</f>
        <v>61463220</v>
      </c>
      <c r="E182" cm="1">
        <f t="array" aca="1" ref="E182" ca="1">[1]!s_dq_turn($B$1,$A182)</f>
        <v>0.31461045876543697</v>
      </c>
      <c r="F182" cm="1">
        <f t="array" aca="1" ref="F182" ca="1">[1]!s_val_pe_ttm($B$1,$A182)</f>
        <v>5.3497452735900897</v>
      </c>
    </row>
    <row r="183" spans="1:6">
      <c r="A183" s="23">
        <f t="shared" ca="1" si="2"/>
        <v>45992</v>
      </c>
      <c r="B183" cm="1">
        <f t="array" aca="1" ref="B183" ca="1">[1]!s_dq_close($B$1,$A183,3)</f>
        <v>22.68</v>
      </c>
      <c r="C183" cm="1">
        <f t="array" aca="1" ref="C183" ca="1">[1]!s_dq_volume($B$1,$A183)</f>
        <v>3475500</v>
      </c>
      <c r="D183" cm="1">
        <f t="array" aca="1" ref="D183" ca="1">[1]!s_dq_amount($B$1,$A183)</f>
        <v>78755568</v>
      </c>
      <c r="E183" cm="1">
        <f t="array" aca="1" ref="E183" ca="1">[1]!s_dq_turn($B$1,$A183)</f>
        <v>0.39848897749448198</v>
      </c>
      <c r="F183" cm="1">
        <f t="array" aca="1" ref="F183" ca="1">[1]!s_val_pe_ttm($B$1,$A183)</f>
        <v>5.3972125053405797</v>
      </c>
    </row>
    <row r="184" spans="1:6">
      <c r="A184" s="23">
        <f t="shared" ca="1" si="2"/>
        <v>45991</v>
      </c>
      <c r="B184" cm="1">
        <f t="array" aca="1" ref="B184" ca="1">[1]!s_dq_close($B$1,$A184,3)</f>
        <v>22.48</v>
      </c>
      <c r="C184" cm="1">
        <f t="array" aca="1" ref="C184" ca="1">[1]!s_dq_volume($B$1,$A184)</f>
        <v>0</v>
      </c>
      <c r="D184" cm="1">
        <f t="array" aca="1" ref="D184" ca="1">[1]!s_dq_amount($B$1,$A184)</f>
        <v>0</v>
      </c>
      <c r="E184" cm="1">
        <f t="array" aca="1" ref="E184" ca="1">[1]!s_dq_turn($B$1,$A184)</f>
        <v>0</v>
      </c>
      <c r="F184" cm="1">
        <f t="array" aca="1" ref="F184" ca="1">[1]!s_val_pe_ttm($B$1,$A184)</f>
        <v>5.3496184349060103</v>
      </c>
    </row>
    <row r="185" spans="1:6">
      <c r="A185" s="23">
        <f t="shared" ca="1" si="2"/>
        <v>45990</v>
      </c>
      <c r="B185" cm="1">
        <f t="array" aca="1" ref="B185" ca="1">[1]!s_dq_close($B$1,$A185,3)</f>
        <v>22.48</v>
      </c>
      <c r="C185" cm="1">
        <f t="array" aca="1" ref="C185" ca="1">[1]!s_dq_volume($B$1,$A185)</f>
        <v>0</v>
      </c>
      <c r="D185" cm="1">
        <f t="array" aca="1" ref="D185" ca="1">[1]!s_dq_amount($B$1,$A185)</f>
        <v>0</v>
      </c>
      <c r="E185" cm="1">
        <f t="array" aca="1" ref="E185" ca="1">[1]!s_dq_turn($B$1,$A185)</f>
        <v>0</v>
      </c>
      <c r="F185" cm="1">
        <f t="array" aca="1" ref="F185" ca="1">[1]!s_val_pe_ttm($B$1,$A185)</f>
        <v>5.3496184349060103</v>
      </c>
    </row>
    <row r="186" spans="1:6">
      <c r="A186" s="23">
        <f t="shared" ca="1" si="2"/>
        <v>45989</v>
      </c>
      <c r="B186" cm="1">
        <f t="array" aca="1" ref="B186" ca="1">[1]!s_dq_close($B$1,$A186,3)</f>
        <v>22.48</v>
      </c>
      <c r="C186" cm="1">
        <f t="array" aca="1" ref="C186" ca="1">[1]!s_dq_volume($B$1,$A186)</f>
        <v>2172150</v>
      </c>
      <c r="D186" cm="1">
        <f t="array" aca="1" ref="D186" ca="1">[1]!s_dq_amount($B$1,$A186)</f>
        <v>48866947</v>
      </c>
      <c r="E186" cm="1">
        <f t="array" aca="1" ref="E186" ca="1">[1]!s_dq_turn($B$1,$A186)</f>
        <v>0.24905721527547001</v>
      </c>
      <c r="F186" cm="1">
        <f t="array" aca="1" ref="F186" ca="1">[1]!s_val_pe_ttm($B$1,$A186)</f>
        <v>5.3496184349060103</v>
      </c>
    </row>
    <row r="187" spans="1:6">
      <c r="A187" s="23">
        <f t="shared" ca="1" si="2"/>
        <v>45988</v>
      </c>
      <c r="B187" cm="1">
        <f t="array" aca="1" ref="B187" ca="1">[1]!s_dq_close($B$1,$A187,3)</f>
        <v>22.48</v>
      </c>
      <c r="C187" cm="1">
        <f t="array" aca="1" ref="C187" ca="1">[1]!s_dq_volume($B$1,$A187)</f>
        <v>3462000</v>
      </c>
      <c r="D187" cm="1">
        <f t="array" aca="1" ref="D187" ca="1">[1]!s_dq_amount($B$1,$A187)</f>
        <v>77639468</v>
      </c>
      <c r="E187" cm="1">
        <f t="array" aca="1" ref="E187" ca="1">[1]!s_dq_turn($B$1,$A187)</f>
        <v>0.39695052334492498</v>
      </c>
      <c r="F187" cm="1">
        <f t="array" aca="1" ref="F187" ca="1">[1]!s_val_pe_ttm($B$1,$A187)</f>
        <v>5.3496184349060103</v>
      </c>
    </row>
    <row r="188" spans="1:6">
      <c r="A188" s="23">
        <f t="shared" ca="1" si="2"/>
        <v>45987</v>
      </c>
      <c r="B188" cm="1">
        <f t="array" aca="1" ref="B188" ca="1">[1]!s_dq_close($B$1,$A188,3)</f>
        <v>22.38</v>
      </c>
      <c r="C188" cm="1">
        <f t="array" aca="1" ref="C188" ca="1">[1]!s_dq_volume($B$1,$A188)</f>
        <v>3649440</v>
      </c>
      <c r="D188" cm="1">
        <f t="array" aca="1" ref="D188" ca="1">[1]!s_dq_amount($B$1,$A188)</f>
        <v>82232118</v>
      </c>
      <c r="E188" cm="1">
        <f t="array" aca="1" ref="E188" ca="1">[1]!s_dq_turn($B$1,$A188)</f>
        <v>0.41844226398495099</v>
      </c>
      <c r="F188" cm="1">
        <f t="array" aca="1" ref="F188" ca="1">[1]!s_val_pe_ttm($B$1,$A188)</f>
        <v>5.3258209228515598</v>
      </c>
    </row>
    <row r="189" spans="1:6">
      <c r="A189" s="23">
        <f t="shared" ca="1" si="2"/>
        <v>45986</v>
      </c>
      <c r="B189" cm="1">
        <f t="array" aca="1" ref="B189" ca="1">[1]!s_dq_close($B$1,$A189,3)</f>
        <v>22.28</v>
      </c>
      <c r="C189" cm="1">
        <f t="array" aca="1" ref="C189" ca="1">[1]!s_dq_volume($B$1,$A189)</f>
        <v>3021575</v>
      </c>
      <c r="D189" cm="1">
        <f t="array" aca="1" ref="D189" ca="1">[1]!s_dq_amount($B$1,$A189)</f>
        <v>67966878</v>
      </c>
      <c r="E189" cm="1">
        <f t="array" aca="1" ref="E189" ca="1">[1]!s_dq_turn($B$1,$A189)</f>
        <v>0.346451697740017</v>
      </c>
      <c r="F189" cm="1">
        <f t="array" aca="1" ref="F189" ca="1">[1]!s_val_pe_ttm($B$1,$A189)</f>
        <v>5.30202388763428</v>
      </c>
    </row>
    <row r="190" spans="1:6">
      <c r="A190" s="23">
        <f t="shared" ca="1" si="2"/>
        <v>45985</v>
      </c>
      <c r="B190" cm="1">
        <f t="array" aca="1" ref="B190" ca="1">[1]!s_dq_close($B$1,$A190,3)</f>
        <v>22.3</v>
      </c>
      <c r="C190" cm="1">
        <f t="array" aca="1" ref="C190" ca="1">[1]!s_dq_volume($B$1,$A190)</f>
        <v>4909500</v>
      </c>
      <c r="D190" cm="1">
        <f t="array" aca="1" ref="D190" ca="1">[1]!s_dq_amount($B$1,$A190)</f>
        <v>109197730</v>
      </c>
      <c r="E190" cm="1">
        <f t="array" aca="1" ref="E190" ca="1">[1]!s_dq_turn($B$1,$A190)</f>
        <v>0.56291987127726995</v>
      </c>
      <c r="F190" cm="1">
        <f t="array" aca="1" ref="F190" ca="1">[1]!s_val_pe_ttm($B$1,$A190)</f>
        <v>5.3067831993103001</v>
      </c>
    </row>
    <row r="191" spans="1:6">
      <c r="A191" s="23">
        <f t="shared" ca="1" si="2"/>
        <v>45984</v>
      </c>
      <c r="B191" cm="1">
        <f t="array" aca="1" ref="B191" ca="1">[1]!s_dq_close($B$1,$A191,3)</f>
        <v>21.92</v>
      </c>
      <c r="C191" cm="1">
        <f t="array" aca="1" ref="C191" ca="1">[1]!s_dq_volume($B$1,$A191)</f>
        <v>0</v>
      </c>
      <c r="D191" cm="1">
        <f t="array" aca="1" ref="D191" ca="1">[1]!s_dq_amount($B$1,$A191)</f>
        <v>0</v>
      </c>
      <c r="E191" cm="1">
        <f t="array" aca="1" ref="E191" ca="1">[1]!s_dq_turn($B$1,$A191)</f>
        <v>0</v>
      </c>
      <c r="F191" cm="1">
        <f t="array" aca="1" ref="F191" ca="1">[1]!s_val_pe_ttm($B$1,$A191)</f>
        <v>5.2163538932800302</v>
      </c>
    </row>
    <row r="192" spans="1:6">
      <c r="A192" s="23">
        <f t="shared" ca="1" si="2"/>
        <v>45983</v>
      </c>
      <c r="B192" cm="1">
        <f t="array" aca="1" ref="B192" ca="1">[1]!s_dq_close($B$1,$A192,3)</f>
        <v>21.92</v>
      </c>
      <c r="C192" cm="1">
        <f t="array" aca="1" ref="C192" ca="1">[1]!s_dq_volume($B$1,$A192)</f>
        <v>0</v>
      </c>
      <c r="D192" cm="1">
        <f t="array" aca="1" ref="D192" ca="1">[1]!s_dq_amount($B$1,$A192)</f>
        <v>0</v>
      </c>
      <c r="E192" cm="1">
        <f t="array" aca="1" ref="E192" ca="1">[1]!s_dq_turn($B$1,$A192)</f>
        <v>0</v>
      </c>
      <c r="F192" cm="1">
        <f t="array" aca="1" ref="F192" ca="1">[1]!s_val_pe_ttm($B$1,$A192)</f>
        <v>5.2163538932800302</v>
      </c>
    </row>
    <row r="193" spans="1:6">
      <c r="A193" s="23">
        <f t="shared" ca="1" si="2"/>
        <v>45982</v>
      </c>
      <c r="B193" cm="1">
        <f t="array" aca="1" ref="B193" ca="1">[1]!s_dq_close($B$1,$A193,3)</f>
        <v>21.92</v>
      </c>
      <c r="C193" cm="1">
        <f t="array" aca="1" ref="C193" ca="1">[1]!s_dq_volume($B$1,$A193)</f>
        <v>10531476</v>
      </c>
      <c r="D193" cm="1">
        <f t="array" aca="1" ref="D193" ca="1">[1]!s_dq_amount($B$1,$A193)</f>
        <v>231061911</v>
      </c>
      <c r="E193" cm="1">
        <f t="array" aca="1" ref="E193" ca="1">[1]!s_dq_turn($B$1,$A193)</f>
        <v>1.2075317474854199</v>
      </c>
      <c r="F193" cm="1">
        <f t="array" aca="1" ref="F193" ca="1">[1]!s_val_pe_ttm($B$1,$A193)</f>
        <v>5.2163538932800302</v>
      </c>
    </row>
    <row r="194" spans="1:6">
      <c r="A194" s="23">
        <f t="shared" ca="1" si="2"/>
        <v>45981</v>
      </c>
      <c r="B194" cm="1">
        <f t="array" aca="1" ref="B194" ca="1">[1]!s_dq_close($B$1,$A194,3)</f>
        <v>22.82</v>
      </c>
      <c r="C194" cm="1">
        <f t="array" aca="1" ref="C194" ca="1">[1]!s_dq_volume($B$1,$A194)</f>
        <v>3024000</v>
      </c>
      <c r="D194" cm="1">
        <f t="array" aca="1" ref="D194" ca="1">[1]!s_dq_amount($B$1,$A194)</f>
        <v>68944495</v>
      </c>
      <c r="E194" cm="1">
        <f t="array" aca="1" ref="E194" ca="1">[1]!s_dq_turn($B$1,$A194)</f>
        <v>0.346729746561251</v>
      </c>
      <c r="F194" cm="1">
        <f t="array" aca="1" ref="F194" ca="1">[1]!s_val_pe_ttm($B$1,$A194)</f>
        <v>5.4305286407470703</v>
      </c>
    </row>
    <row r="195" spans="1:6">
      <c r="A195" s="23">
        <f t="shared" ca="1" si="2"/>
        <v>45980</v>
      </c>
      <c r="B195" cm="1">
        <f t="array" aca="1" ref="B195" ca="1">[1]!s_dq_close($B$1,$A195,3)</f>
        <v>22.94</v>
      </c>
      <c r="C195" cm="1">
        <f t="array" aca="1" ref="C195" ca="1">[1]!s_dq_volume($B$1,$A195)</f>
        <v>3320000</v>
      </c>
      <c r="D195" cm="1">
        <f t="array" aca="1" ref="D195" ca="1">[1]!s_dq_amount($B$1,$A195)</f>
        <v>75946675</v>
      </c>
      <c r="E195" cm="1">
        <f t="array" aca="1" ref="E195" ca="1">[1]!s_dq_turn($B$1,$A195)</f>
        <v>0.38066890164793499</v>
      </c>
      <c r="F195" cm="1">
        <f t="array" aca="1" ref="F195" ca="1">[1]!s_val_pe_ttm($B$1,$A195)</f>
        <v>5.45908546447754</v>
      </c>
    </row>
    <row r="196" spans="1:6">
      <c r="A196" s="23">
        <f t="shared" ca="1" si="2"/>
        <v>45979</v>
      </c>
      <c r="B196" cm="1">
        <f t="array" aca="1" ref="B196" ca="1">[1]!s_dq_close($B$1,$A196,3)</f>
        <v>23</v>
      </c>
      <c r="C196" cm="1">
        <f t="array" aca="1" ref="C196" ca="1">[1]!s_dq_volume($B$1,$A196)</f>
        <v>4566500</v>
      </c>
      <c r="D196" cm="1">
        <f t="array" aca="1" ref="D196" ca="1">[1]!s_dq_amount($B$1,$A196)</f>
        <v>105101775</v>
      </c>
      <c r="E196" cm="1">
        <f t="array" aca="1" ref="E196" ca="1">[1]!s_dq_turn($B$1,$A196)</f>
        <v>0.52359172872749804</v>
      </c>
      <c r="F196" cm="1">
        <f t="array" aca="1" ref="F196" ca="1">[1]!s_val_pe_ttm($B$1,$A196)</f>
        <v>5.4733638763427699</v>
      </c>
    </row>
    <row r="197" spans="1:6">
      <c r="A197" s="23">
        <f t="shared" ca="1" si="2"/>
        <v>45978</v>
      </c>
      <c r="B197" cm="1">
        <f t="array" aca="1" ref="B197" ca="1">[1]!s_dq_close($B$1,$A197,3)</f>
        <v>23.3</v>
      </c>
      <c r="C197" cm="1">
        <f t="array" aca="1" ref="C197" ca="1">[1]!s_dq_volume($B$1,$A197)</f>
        <v>4899100</v>
      </c>
      <c r="D197" cm="1">
        <f t="array" aca="1" ref="D197" ca="1">[1]!s_dq_amount($B$1,$A197)</f>
        <v>114171972</v>
      </c>
      <c r="E197" cm="1">
        <f t="array" aca="1" ref="E197" ca="1">[1]!s_dq_turn($B$1,$A197)</f>
        <v>0.56172741447692698</v>
      </c>
      <c r="F197" cm="1">
        <f t="array" aca="1" ref="F197" ca="1">[1]!s_val_pe_ttm($B$1,$A197)</f>
        <v>5.5447554588317898</v>
      </c>
    </row>
    <row r="198" spans="1:6">
      <c r="A198" s="23">
        <f t="shared" ca="1" si="2"/>
        <v>45977</v>
      </c>
      <c r="B198" cm="1">
        <f t="array" aca="1" ref="B198" ca="1">[1]!s_dq_close($B$1,$A198,3)</f>
        <v>23.78</v>
      </c>
      <c r="C198" cm="1">
        <f t="array" aca="1" ref="C198" ca="1">[1]!s_dq_volume($B$1,$A198)</f>
        <v>0</v>
      </c>
      <c r="D198" cm="1">
        <f t="array" aca="1" ref="D198" ca="1">[1]!s_dq_amount($B$1,$A198)</f>
        <v>0</v>
      </c>
      <c r="E198" cm="1">
        <f t="array" aca="1" ref="E198" ca="1">[1]!s_dq_turn($B$1,$A198)</f>
        <v>0</v>
      </c>
      <c r="F198" cm="1">
        <f t="array" aca="1" ref="F198" ca="1">[1]!s_val_pe_ttm($B$1,$A198)</f>
        <v>5.6589822769165004</v>
      </c>
    </row>
    <row r="199" spans="1:6">
      <c r="A199" s="23">
        <f t="shared" ca="1" si="2"/>
        <v>45976</v>
      </c>
      <c r="B199" cm="1">
        <f t="array" aca="1" ref="B199" ca="1">[1]!s_dq_close($B$1,$A199,3)</f>
        <v>23.78</v>
      </c>
      <c r="C199" cm="1">
        <f t="array" aca="1" ref="C199" ca="1">[1]!s_dq_volume($B$1,$A199)</f>
        <v>0</v>
      </c>
      <c r="D199" cm="1">
        <f t="array" aca="1" ref="D199" ca="1">[1]!s_dq_amount($B$1,$A199)</f>
        <v>0</v>
      </c>
      <c r="E199" cm="1">
        <f t="array" aca="1" ref="E199" ca="1">[1]!s_dq_turn($B$1,$A199)</f>
        <v>0</v>
      </c>
      <c r="F199" cm="1">
        <f t="array" aca="1" ref="F199" ca="1">[1]!s_val_pe_ttm($B$1,$A199)</f>
        <v>5.6589822769165004</v>
      </c>
    </row>
    <row r="200" spans="1:6">
      <c r="A200" s="23">
        <f t="shared" ca="1" si="2"/>
        <v>45975</v>
      </c>
      <c r="B200" cm="1">
        <f t="array" aca="1" ref="B200" ca="1">[1]!s_dq_close($B$1,$A200,3)</f>
        <v>23.78</v>
      </c>
      <c r="C200" cm="1">
        <f t="array" aca="1" ref="C200" ca="1">[1]!s_dq_volume($B$1,$A200)</f>
        <v>5510500</v>
      </c>
      <c r="D200" cm="1">
        <f t="array" aca="1" ref="D200" ca="1">[1]!s_dq_amount($B$1,$A200)</f>
        <v>131825736</v>
      </c>
      <c r="E200" cm="1">
        <f t="array" aca="1" ref="E200" ca="1">[1]!s_dq_turn($B$1,$A200)</f>
        <v>0.63183011522016397</v>
      </c>
      <c r="F200" cm="1">
        <f t="array" aca="1" ref="F200" ca="1">[1]!s_val_pe_ttm($B$1,$A200)</f>
        <v>5.6589822769165004</v>
      </c>
    </row>
    <row r="201" spans="1:6">
      <c r="A201" s="23">
        <f t="shared" ca="1" si="2"/>
        <v>45974</v>
      </c>
      <c r="B201" cm="1">
        <f t="array" aca="1" ref="B201" ca="1">[1]!s_dq_close($B$1,$A201,3)</f>
        <v>24.2</v>
      </c>
      <c r="C201" cm="1">
        <f t="array" aca="1" ref="C201" ca="1">[1]!s_dq_volume($B$1,$A201)</f>
        <v>7278000</v>
      </c>
      <c r="D201" cm="1">
        <f t="array" aca="1" ref="D201" ca="1">[1]!s_dq_amount($B$1,$A201)</f>
        <v>175396225</v>
      </c>
      <c r="E201" cm="1">
        <f t="array" aca="1" ref="E201" ca="1">[1]!s_dq_turn($B$1,$A201)</f>
        <v>0.83449044162459896</v>
      </c>
      <c r="F201" cm="1">
        <f t="array" aca="1" ref="F201" ca="1">[1]!s_val_pe_ttm($B$1,$A201)</f>
        <v>5.7589306831359899</v>
      </c>
    </row>
    <row r="202" spans="1:6">
      <c r="A202" s="23">
        <f t="shared" ca="1" si="2"/>
        <v>45973</v>
      </c>
      <c r="B202" cm="1">
        <f t="array" aca="1" ref="B202" ca="1">[1]!s_dq_close($B$1,$A202,3)</f>
        <v>23.76</v>
      </c>
      <c r="C202" cm="1">
        <f t="array" aca="1" ref="C202" ca="1">[1]!s_dq_volume($B$1,$A202)</f>
        <v>4612652</v>
      </c>
      <c r="D202" cm="1">
        <f t="array" aca="1" ref="D202" ca="1">[1]!s_dq_amount($B$1,$A202)</f>
        <v>109889600</v>
      </c>
      <c r="E202" cm="1">
        <f t="array" aca="1" ref="E202" ca="1">[1]!s_dq_turn($B$1,$A202)</f>
        <v>0.52888348509763505</v>
      </c>
      <c r="F202" cm="1">
        <f t="array" aca="1" ref="F202" ca="1">[1]!s_val_pe_ttm($B$1,$A202)</f>
        <v>5.6542229652404803</v>
      </c>
    </row>
    <row r="203" spans="1:6">
      <c r="A203" s="23">
        <f t="shared" ca="1" si="2"/>
        <v>45972</v>
      </c>
      <c r="B203" cm="1">
        <f t="array" aca="1" ref="B203" ca="1">[1]!s_dq_close($B$1,$A203,3)</f>
        <v>23.72</v>
      </c>
      <c r="C203" cm="1">
        <f t="array" aca="1" ref="C203" ca="1">[1]!s_dq_volume($B$1,$A203)</f>
        <v>3479975</v>
      </c>
      <c r="D203" cm="1">
        <f t="array" aca="1" ref="D203" ca="1">[1]!s_dq_amount($B$1,$A203)</f>
        <v>81984028</v>
      </c>
      <c r="E203" cm="1">
        <f t="array" aca="1" ref="E203" ca="1">[1]!s_dq_turn($B$1,$A203)</f>
        <v>0.39901152440128701</v>
      </c>
      <c r="F203" cm="1">
        <f t="array" aca="1" ref="F203" ca="1">[1]!s_val_pe_ttm($B$1,$A203)</f>
        <v>5.6447038650512704</v>
      </c>
    </row>
    <row r="204" spans="1:6">
      <c r="A204" s="23">
        <f t="shared" ca="1" si="2"/>
        <v>45971</v>
      </c>
      <c r="B204" cm="1">
        <f t="array" aca="1" ref="B204" ca="1">[1]!s_dq_close($B$1,$A204,3)</f>
        <v>23.78</v>
      </c>
      <c r="C204" cm="1">
        <f t="array" aca="1" ref="C204" ca="1">[1]!s_dq_volume($B$1,$A204)</f>
        <v>5994500</v>
      </c>
      <c r="D204" cm="1">
        <f t="array" aca="1" ref="D204" ca="1">[1]!s_dq_amount($B$1,$A204)</f>
        <v>140291660</v>
      </c>
      <c r="E204" cm="1">
        <f t="array" aca="1" ref="E204" ca="1">[1]!s_dq_turn($B$1,$A204)</f>
        <v>0.68732522015919995</v>
      </c>
      <c r="F204" cm="1">
        <f t="array" aca="1" ref="F204" ca="1">[1]!s_val_pe_ttm($B$1,$A204)</f>
        <v>5.6589822769165004</v>
      </c>
    </row>
    <row r="205" spans="1:6">
      <c r="A205" s="23">
        <f t="shared" ref="A205:A268" ca="1" si="3">A204-1</f>
        <v>45970</v>
      </c>
      <c r="B205" cm="1">
        <f t="array" aca="1" ref="B205" ca="1">[1]!s_dq_close($B$1,$A205,3)</f>
        <v>23.62</v>
      </c>
      <c r="C205" cm="1">
        <f t="array" aca="1" ref="C205" ca="1">[1]!s_dq_volume($B$1,$A205)</f>
        <v>0</v>
      </c>
      <c r="D205" cm="1">
        <f t="array" aca="1" ref="D205" ca="1">[1]!s_dq_amount($B$1,$A205)</f>
        <v>0</v>
      </c>
      <c r="E205" cm="1">
        <f t="array" aca="1" ref="E205" ca="1">[1]!s_dq_turn($B$1,$A205)</f>
        <v>0</v>
      </c>
      <c r="F205" cm="1">
        <f t="array" aca="1" ref="F205" ca="1">[1]!s_val_pe_ttm($B$1,$A205)</f>
        <v>5.6209068298339799</v>
      </c>
    </row>
    <row r="206" spans="1:6">
      <c r="A206" s="23">
        <f t="shared" ca="1" si="3"/>
        <v>45969</v>
      </c>
      <c r="B206" cm="1">
        <f t="array" aca="1" ref="B206" ca="1">[1]!s_dq_close($B$1,$A206,3)</f>
        <v>23.62</v>
      </c>
      <c r="C206" cm="1">
        <f t="array" aca="1" ref="C206" ca="1">[1]!s_dq_volume($B$1,$A206)</f>
        <v>0</v>
      </c>
      <c r="D206" cm="1">
        <f t="array" aca="1" ref="D206" ca="1">[1]!s_dq_amount($B$1,$A206)</f>
        <v>0</v>
      </c>
      <c r="E206" cm="1">
        <f t="array" aca="1" ref="E206" ca="1">[1]!s_dq_turn($B$1,$A206)</f>
        <v>0</v>
      </c>
      <c r="F206" cm="1">
        <f t="array" aca="1" ref="F206" ca="1">[1]!s_val_pe_ttm($B$1,$A206)</f>
        <v>5.6209068298339799</v>
      </c>
    </row>
    <row r="207" spans="1:6">
      <c r="A207" s="23">
        <f t="shared" ca="1" si="3"/>
        <v>45968</v>
      </c>
      <c r="B207" cm="1">
        <f t="array" aca="1" ref="B207" ca="1">[1]!s_dq_close($B$1,$A207,3)</f>
        <v>23.62</v>
      </c>
      <c r="C207" cm="1">
        <f t="array" aca="1" ref="C207" ca="1">[1]!s_dq_volume($B$1,$A207)</f>
        <v>5264194</v>
      </c>
      <c r="D207" cm="1">
        <f t="array" aca="1" ref="D207" ca="1">[1]!s_dq_amount($B$1,$A207)</f>
        <v>124989169</v>
      </c>
      <c r="E207" cm="1">
        <f t="array" aca="1" ref="E207" ca="1">[1]!s_dq_turn($B$1,$A207)</f>
        <v>0.60358883977158095</v>
      </c>
      <c r="F207" cm="1">
        <f t="array" aca="1" ref="F207" ca="1">[1]!s_val_pe_ttm($B$1,$A207)</f>
        <v>5.6209068298339799</v>
      </c>
    </row>
    <row r="208" spans="1:6">
      <c r="A208" s="23">
        <f t="shared" ca="1" si="3"/>
        <v>45967</v>
      </c>
      <c r="B208" cm="1">
        <f t="array" aca="1" ref="B208" ca="1">[1]!s_dq_close($B$1,$A208,3)</f>
        <v>24.22</v>
      </c>
      <c r="C208" cm="1">
        <f t="array" aca="1" ref="C208" ca="1">[1]!s_dq_volume($B$1,$A208)</f>
        <v>4156100</v>
      </c>
      <c r="D208" cm="1">
        <f t="array" aca="1" ref="D208" ca="1">[1]!s_dq_amount($B$1,$A208)</f>
        <v>100751840</v>
      </c>
      <c r="E208" cm="1">
        <f t="array" aca="1" ref="E208" ca="1">[1]!s_dq_turn($B$1,$A208)</f>
        <v>0.47653554883704202</v>
      </c>
      <c r="F208" cm="1">
        <f t="array" aca="1" ref="F208" ca="1">[1]!s_val_pe_ttm($B$1,$A208)</f>
        <v>5.7636899948120099</v>
      </c>
    </row>
    <row r="209" spans="1:6">
      <c r="A209" s="23">
        <f t="shared" ca="1" si="3"/>
        <v>45966</v>
      </c>
      <c r="B209" cm="1">
        <f t="array" aca="1" ref="B209" ca="1">[1]!s_dq_close($B$1,$A209,3)</f>
        <v>24.06</v>
      </c>
      <c r="C209" cm="1">
        <f t="array" aca="1" ref="C209" ca="1">[1]!s_dq_volume($B$1,$A209)</f>
        <v>6719535</v>
      </c>
      <c r="D209" cm="1">
        <f t="array" aca="1" ref="D209" ca="1">[1]!s_dq_amount($B$1,$A209)</f>
        <v>162174456</v>
      </c>
      <c r="E209" cm="1">
        <f t="array" aca="1" ref="E209" ca="1">[1]!s_dq_turn($B$1,$A209)</f>
        <v>0.77045723133579902</v>
      </c>
      <c r="F209" cm="1">
        <f t="array" aca="1" ref="F209" ca="1">[1]!s_val_pe_ttm($B$1,$A209)</f>
        <v>5.7256145477294904</v>
      </c>
    </row>
    <row r="210" spans="1:6">
      <c r="A210" s="23">
        <f t="shared" ca="1" si="3"/>
        <v>45965</v>
      </c>
      <c r="B210" cm="1">
        <f t="array" aca="1" ref="B210" ca="1">[1]!s_dq_close($B$1,$A210,3)</f>
        <v>24.3</v>
      </c>
      <c r="C210" cm="1">
        <f t="array" aca="1" ref="C210" ca="1">[1]!s_dq_volume($B$1,$A210)</f>
        <v>9163203</v>
      </c>
      <c r="D210" cm="1">
        <f t="array" aca="1" ref="D210" ca="1">[1]!s_dq_amount($B$1,$A210)</f>
        <v>222854465</v>
      </c>
      <c r="E210" cm="1">
        <f t="array" aca="1" ref="E210" ca="1">[1]!s_dq_turn($B$1,$A210)</f>
        <v>1.0506465125262201</v>
      </c>
      <c r="F210" cm="1">
        <f t="array" aca="1" ref="F210" ca="1">[1]!s_val_pe_ttm($B$1,$A210)</f>
        <v>5.7827277183532697</v>
      </c>
    </row>
    <row r="211" spans="1:6">
      <c r="A211" s="23">
        <f t="shared" ca="1" si="3"/>
        <v>45964</v>
      </c>
      <c r="B211" cm="1">
        <f t="array" aca="1" ref="B211" ca="1">[1]!s_dq_close($B$1,$A211,3)</f>
        <v>23.76</v>
      </c>
      <c r="C211" cm="1">
        <f t="array" aca="1" ref="C211" ca="1">[1]!s_dq_volume($B$1,$A211)</f>
        <v>9425500</v>
      </c>
      <c r="D211" cm="1">
        <f t="array" aca="1" ref="D211" ca="1">[1]!s_dq_amount($B$1,$A211)</f>
        <v>223371624</v>
      </c>
      <c r="E211" cm="1">
        <f t="array" aca="1" ref="E211" ca="1">[1]!s_dq_turn($B$1,$A211)</f>
        <v>1.08072130496464</v>
      </c>
      <c r="F211" cm="1">
        <f t="array" aca="1" ref="F211" ca="1">[1]!s_val_pe_ttm($B$1,$A211)</f>
        <v>5.6542229652404803</v>
      </c>
    </row>
    <row r="212" spans="1:6">
      <c r="A212" s="23">
        <f t="shared" ca="1" si="3"/>
        <v>45963</v>
      </c>
      <c r="B212" cm="1">
        <f t="array" aca="1" ref="B212" ca="1">[1]!s_dq_close($B$1,$A212,3)</f>
        <v>23.26</v>
      </c>
      <c r="C212" cm="1">
        <f t="array" aca="1" ref="C212" ca="1">[1]!s_dq_volume($B$1,$A212)</f>
        <v>0</v>
      </c>
      <c r="D212" cm="1">
        <f t="array" aca="1" ref="D212" ca="1">[1]!s_dq_amount($B$1,$A212)</f>
        <v>0</v>
      </c>
      <c r="E212" cm="1">
        <f t="array" aca="1" ref="E212" ca="1">[1]!s_dq_turn($B$1,$A212)</f>
        <v>0</v>
      </c>
      <c r="F212" cm="1">
        <f t="array" aca="1" ref="F212" ca="1">[1]!s_val_pe_ttm($B$1,$A212)</f>
        <v>5.5352368354797399</v>
      </c>
    </row>
    <row r="213" spans="1:6">
      <c r="A213" s="23">
        <f t="shared" ca="1" si="3"/>
        <v>45962</v>
      </c>
      <c r="B213" cm="1">
        <f t="array" aca="1" ref="B213" ca="1">[1]!s_dq_close($B$1,$A213,3)</f>
        <v>23.26</v>
      </c>
      <c r="C213" cm="1">
        <f t="array" aca="1" ref="C213" ca="1">[1]!s_dq_volume($B$1,$A213)</f>
        <v>0</v>
      </c>
      <c r="D213" cm="1">
        <f t="array" aca="1" ref="D213" ca="1">[1]!s_dq_amount($B$1,$A213)</f>
        <v>0</v>
      </c>
      <c r="E213" cm="1">
        <f t="array" aca="1" ref="E213" ca="1">[1]!s_dq_turn($B$1,$A213)</f>
        <v>0</v>
      </c>
      <c r="F213" cm="1">
        <f t="array" aca="1" ref="F213" ca="1">[1]!s_val_pe_ttm($B$1,$A213)</f>
        <v>5.5352368354797399</v>
      </c>
    </row>
    <row r="214" spans="1:6">
      <c r="A214" s="23">
        <f t="shared" ca="1" si="3"/>
        <v>45961</v>
      </c>
      <c r="B214" cm="1">
        <f t="array" aca="1" ref="B214" ca="1">[1]!s_dq_close($B$1,$A214,3)</f>
        <v>23.26</v>
      </c>
      <c r="C214" cm="1">
        <f t="array" aca="1" ref="C214" ca="1">[1]!s_dq_volume($B$1,$A214)</f>
        <v>5405324</v>
      </c>
      <c r="D214" cm="1">
        <f t="array" aca="1" ref="D214" ca="1">[1]!s_dq_amount($B$1,$A214)</f>
        <v>125725124</v>
      </c>
      <c r="E214" cm="1">
        <f t="array" aca="1" ref="E214" ca="1">[1]!s_dq_turn($B$1,$A214)</f>
        <v>0.61977070787084898</v>
      </c>
      <c r="F214" cm="1">
        <f t="array" aca="1" ref="F214" ca="1">[1]!s_val_pe_ttm($B$1,$A214)</f>
        <v>5.5352368354797399</v>
      </c>
    </row>
    <row r="215" spans="1:6">
      <c r="A215" s="23">
        <f t="shared" ca="1" si="3"/>
        <v>45960</v>
      </c>
      <c r="B215" cm="1">
        <f t="array" aca="1" ref="B215" ca="1">[1]!s_dq_close($B$1,$A215,3)</f>
        <v>22.88</v>
      </c>
      <c r="C215" cm="1">
        <f t="array" aca="1" ref="C215" ca="1">[1]!s_dq_volume($B$1,$A215)</f>
        <v>7108494</v>
      </c>
      <c r="D215" cm="1">
        <f t="array" aca="1" ref="D215" ca="1">[1]!s_dq_amount($B$1,$A215)</f>
        <v>162369704</v>
      </c>
      <c r="E215" cm="1">
        <f t="array" aca="1" ref="E215" ca="1">[1]!s_dq_turn($B$1,$A215)</f>
        <v>0.81505500100931705</v>
      </c>
      <c r="F215" cm="1">
        <f t="array" aca="1" ref="F215" ca="1">[1]!s_val_pe_ttm($B$1,$A215)</f>
        <v>5.4448070526123002</v>
      </c>
    </row>
    <row r="216" spans="1:6">
      <c r="A216" s="23">
        <f t="shared" ca="1" si="3"/>
        <v>45959</v>
      </c>
      <c r="B216" cm="1">
        <f t="array" aca="1" ref="B216" ca="1">[1]!s_dq_close($B$1,$A216,3)</f>
        <v>23.06</v>
      </c>
      <c r="C216" cm="1">
        <f t="array" aca="1" ref="C216" ca="1">[1]!s_dq_volume($B$1,$A216)</f>
        <v>0</v>
      </c>
      <c r="D216" cm="1">
        <f t="array" aca="1" ref="D216" ca="1">[1]!s_dq_amount($B$1,$A216)</f>
        <v>0</v>
      </c>
      <c r="E216" cm="1">
        <f t="array" aca="1" ref="E216" ca="1">[1]!s_dq_turn($B$1,$A216)</f>
        <v>0</v>
      </c>
      <c r="F216" cm="1">
        <f t="array" aca="1" ref="F216" ca="1">[1]!s_val_pe_ttm($B$1,$A216)</f>
        <v>5.4876422882080096</v>
      </c>
    </row>
    <row r="217" spans="1:6">
      <c r="A217" s="23">
        <f t="shared" ca="1" si="3"/>
        <v>45958</v>
      </c>
      <c r="B217" cm="1">
        <f t="array" aca="1" ref="B217" ca="1">[1]!s_dq_close($B$1,$A217,3)</f>
        <v>23.06</v>
      </c>
      <c r="C217" cm="1">
        <f t="array" aca="1" ref="C217" ca="1">[1]!s_dq_volume($B$1,$A217)</f>
        <v>5174425</v>
      </c>
      <c r="D217" cm="1">
        <f t="array" aca="1" ref="D217" ca="1">[1]!s_dq_amount($B$1,$A217)</f>
        <v>119495058</v>
      </c>
      <c r="E217" cm="1">
        <f t="array" aca="1" ref="E217" ca="1">[1]!s_dq_turn($B$1,$A217)</f>
        <v>0.59329598837638997</v>
      </c>
      <c r="F217" cm="1">
        <f t="array" aca="1" ref="F217" ca="1">[1]!s_val_pe_ttm($B$1,$A217)</f>
        <v>5.4876422882080096</v>
      </c>
    </row>
    <row r="218" spans="1:6">
      <c r="A218" s="23">
        <f t="shared" ca="1" si="3"/>
        <v>45957</v>
      </c>
      <c r="B218" cm="1">
        <f t="array" aca="1" ref="B218" ca="1">[1]!s_dq_close($B$1,$A218,3)</f>
        <v>23.42</v>
      </c>
      <c r="C218" cm="1">
        <f t="array" aca="1" ref="C218" ca="1">[1]!s_dq_volume($B$1,$A218)</f>
        <v>3742160</v>
      </c>
      <c r="D218" cm="1">
        <f t="array" aca="1" ref="D218" ca="1">[1]!s_dq_amount($B$1,$A218)</f>
        <v>87935196</v>
      </c>
      <c r="E218" cm="1">
        <f t="array" aca="1" ref="E218" ca="1">[1]!s_dq_turn($B$1,$A218)</f>
        <v>0.42907347499723902</v>
      </c>
      <c r="F218" cm="1">
        <f t="array" aca="1" ref="F218" ca="1">[1]!s_val_pe_ttm($B$1,$A218)</f>
        <v>5.5733122825622603</v>
      </c>
    </row>
    <row r="219" spans="1:6">
      <c r="A219" s="23">
        <f t="shared" ca="1" si="3"/>
        <v>45956</v>
      </c>
      <c r="B219" cm="1">
        <f t="array" aca="1" ref="B219" ca="1">[1]!s_dq_close($B$1,$A219,3)</f>
        <v>23.22</v>
      </c>
      <c r="C219" cm="1">
        <f t="array" aca="1" ref="C219" ca="1">[1]!s_dq_volume($B$1,$A219)</f>
        <v>0</v>
      </c>
      <c r="D219" cm="1">
        <f t="array" aca="1" ref="D219" ca="1">[1]!s_dq_amount($B$1,$A219)</f>
        <v>0</v>
      </c>
      <c r="E219" cm="1">
        <f t="array" aca="1" ref="E219" ca="1">[1]!s_dq_turn($B$1,$A219)</f>
        <v>0</v>
      </c>
      <c r="F219" cm="1">
        <f t="array" aca="1" ref="F219" ca="1">[1]!s_val_pe_ttm($B$1,$A219)</f>
        <v>5.52571773529053</v>
      </c>
    </row>
    <row r="220" spans="1:6">
      <c r="A220" s="23">
        <f t="shared" ca="1" si="3"/>
        <v>45955</v>
      </c>
      <c r="B220" cm="1">
        <f t="array" aca="1" ref="B220" ca="1">[1]!s_dq_close($B$1,$A220,3)</f>
        <v>23.22</v>
      </c>
      <c r="C220" cm="1">
        <f t="array" aca="1" ref="C220" ca="1">[1]!s_dq_volume($B$1,$A220)</f>
        <v>0</v>
      </c>
      <c r="D220" cm="1">
        <f t="array" aca="1" ref="D220" ca="1">[1]!s_dq_amount($B$1,$A220)</f>
        <v>0</v>
      </c>
      <c r="E220" cm="1">
        <f t="array" aca="1" ref="E220" ca="1">[1]!s_dq_turn($B$1,$A220)</f>
        <v>0</v>
      </c>
      <c r="F220" cm="1">
        <f t="array" aca="1" ref="F220" ca="1">[1]!s_val_pe_ttm($B$1,$A220)</f>
        <v>5.52571773529053</v>
      </c>
    </row>
    <row r="221" spans="1:6">
      <c r="A221" s="23">
        <f t="shared" ca="1" si="3"/>
        <v>45954</v>
      </c>
      <c r="B221" cm="1">
        <f t="array" aca="1" ref="B221" ca="1">[1]!s_dq_close($B$1,$A221,3)</f>
        <v>23.22</v>
      </c>
      <c r="C221" cm="1">
        <f t="array" aca="1" ref="C221" ca="1">[1]!s_dq_volume($B$1,$A221)</f>
        <v>3984500</v>
      </c>
      <c r="D221" cm="1">
        <f t="array" aca="1" ref="D221" ca="1">[1]!s_dq_amount($B$1,$A221)</f>
        <v>92977101</v>
      </c>
      <c r="E221" cm="1">
        <f t="array" aca="1" ref="E221" ca="1">[1]!s_dq_turn($B$1,$A221)</f>
        <v>0.45686001163138401</v>
      </c>
      <c r="F221" cm="1">
        <f t="array" aca="1" ref="F221" ca="1">[1]!s_val_pe_ttm($B$1,$A221)</f>
        <v>5.52571773529053</v>
      </c>
    </row>
    <row r="222" spans="1:6">
      <c r="A222" s="23">
        <f t="shared" ca="1" si="3"/>
        <v>45953</v>
      </c>
      <c r="B222" cm="1">
        <f t="array" aca="1" ref="B222" ca="1">[1]!s_dq_close($B$1,$A222,3)</f>
        <v>23.42</v>
      </c>
      <c r="C222" cm="1">
        <f t="array" aca="1" ref="C222" ca="1">[1]!s_dq_volume($B$1,$A222)</f>
        <v>8045694</v>
      </c>
      <c r="D222" cm="1">
        <f t="array" aca="1" ref="D222" ca="1">[1]!s_dq_amount($B$1,$A222)</f>
        <v>187886047</v>
      </c>
      <c r="E222" cm="1">
        <f t="array" aca="1" ref="E222" ca="1">[1]!s_dq_turn($B$1,$A222)</f>
        <v>0.922513704209451</v>
      </c>
      <c r="F222" cm="1">
        <f t="array" aca="1" ref="F222" ca="1">[1]!s_val_pe_ttm($B$1,$A222)</f>
        <v>5.5733122825622603</v>
      </c>
    </row>
    <row r="223" spans="1:6">
      <c r="A223" s="23">
        <f t="shared" ca="1" si="3"/>
        <v>45952</v>
      </c>
      <c r="B223" cm="1">
        <f t="array" aca="1" ref="B223" ca="1">[1]!s_dq_close($B$1,$A223,3)</f>
        <v>23.82</v>
      </c>
      <c r="C223" cm="1">
        <f t="array" aca="1" ref="C223" ca="1">[1]!s_dq_volume($B$1,$A223)</f>
        <v>4178531</v>
      </c>
      <c r="D223" cm="1">
        <f t="array" aca="1" ref="D223" ca="1">[1]!s_dq_amount($B$1,$A223)</f>
        <v>99864768</v>
      </c>
      <c r="E223" cm="1">
        <f t="array" aca="1" ref="E223" ca="1">[1]!s_dq_turn($B$1,$A223)</f>
        <v>0.479107471768628</v>
      </c>
      <c r="F223" cm="1">
        <f t="array" aca="1" ref="F223" ca="1">[1]!s_val_pe_ttm($B$1,$A223)</f>
        <v>5.6685013771057102</v>
      </c>
    </row>
    <row r="224" spans="1:6">
      <c r="A224" s="23">
        <f t="shared" ca="1" si="3"/>
        <v>45951</v>
      </c>
      <c r="B224" cm="1">
        <f t="array" aca="1" ref="B224" ca="1">[1]!s_dq_close($B$1,$A224,3)</f>
        <v>24</v>
      </c>
      <c r="C224" cm="1">
        <f t="array" aca="1" ref="C224" ca="1">[1]!s_dq_volume($B$1,$A224)</f>
        <v>3949500</v>
      </c>
      <c r="D224" cm="1">
        <f t="array" aca="1" ref="D224" ca="1">[1]!s_dq_amount($B$1,$A224)</f>
        <v>94992740</v>
      </c>
      <c r="E224" cm="1">
        <f t="array" aca="1" ref="E224" ca="1">[1]!s_dq_turn($B$1,$A224)</f>
        <v>0.452846935860999</v>
      </c>
      <c r="F224" cm="1">
        <f t="array" aca="1" ref="F224" ca="1">[1]!s_val_pe_ttm($B$1,$A224)</f>
        <v>5.7113361358642596</v>
      </c>
    </row>
    <row r="225" spans="1:6">
      <c r="A225" s="23">
        <f t="shared" ca="1" si="3"/>
        <v>45950</v>
      </c>
      <c r="B225" cm="1">
        <f t="array" aca="1" ref="B225" ca="1">[1]!s_dq_close($B$1,$A225,3)</f>
        <v>23.8</v>
      </c>
      <c r="C225" cm="1">
        <f t="array" aca="1" ref="C225" ca="1">[1]!s_dq_volume($B$1,$A225)</f>
        <v>4865000</v>
      </c>
      <c r="D225" cm="1">
        <f t="array" aca="1" ref="D225" ca="1">[1]!s_dq_amount($B$1,$A225)</f>
        <v>115700685</v>
      </c>
      <c r="E225" cm="1">
        <f t="array" aca="1" ref="E225" ca="1">[1]!s_dq_turn($B$1,$A225)</f>
        <v>0.55781753208349405</v>
      </c>
      <c r="F225" cm="1">
        <f t="array" aca="1" ref="F225" ca="1">[1]!s_val_pe_ttm($B$1,$A225)</f>
        <v>5.6637415885925302</v>
      </c>
    </row>
    <row r="226" spans="1:6">
      <c r="A226" s="23">
        <f t="shared" ca="1" si="3"/>
        <v>45949</v>
      </c>
      <c r="B226" cm="1">
        <f t="array" aca="1" ref="B226" ca="1">[1]!s_dq_close($B$1,$A226,3)</f>
        <v>23.76</v>
      </c>
      <c r="C226" cm="1">
        <f t="array" aca="1" ref="C226" ca="1">[1]!s_dq_volume($B$1,$A226)</f>
        <v>0</v>
      </c>
      <c r="D226" cm="1">
        <f t="array" aca="1" ref="D226" ca="1">[1]!s_dq_amount($B$1,$A226)</f>
        <v>0</v>
      </c>
      <c r="E226" cm="1">
        <f t="array" aca="1" ref="E226" ca="1">[1]!s_dq_turn($B$1,$A226)</f>
        <v>0</v>
      </c>
      <c r="F226" cm="1">
        <f t="array" aca="1" ref="F226" ca="1">[1]!s_val_pe_ttm($B$1,$A226)</f>
        <v>5.6542229652404803</v>
      </c>
    </row>
    <row r="227" spans="1:6">
      <c r="A227" s="23">
        <f t="shared" ca="1" si="3"/>
        <v>45948</v>
      </c>
      <c r="B227" cm="1">
        <f t="array" aca="1" ref="B227" ca="1">[1]!s_dq_close($B$1,$A227,3)</f>
        <v>23.76</v>
      </c>
      <c r="C227" cm="1">
        <f t="array" aca="1" ref="C227" ca="1">[1]!s_dq_volume($B$1,$A227)</f>
        <v>0</v>
      </c>
      <c r="D227" cm="1">
        <f t="array" aca="1" ref="D227" ca="1">[1]!s_dq_amount($B$1,$A227)</f>
        <v>0</v>
      </c>
      <c r="E227" cm="1">
        <f t="array" aca="1" ref="E227" ca="1">[1]!s_dq_turn($B$1,$A227)</f>
        <v>0</v>
      </c>
      <c r="F227" cm="1">
        <f t="array" aca="1" ref="F227" ca="1">[1]!s_val_pe_ttm($B$1,$A227)</f>
        <v>5.6542229652404803</v>
      </c>
    </row>
    <row r="228" spans="1:6">
      <c r="A228" s="23">
        <f t="shared" ca="1" si="3"/>
        <v>45947</v>
      </c>
      <c r="B228" cm="1">
        <f t="array" aca="1" ref="B228" ca="1">[1]!s_dq_close($B$1,$A228,3)</f>
        <v>23.76</v>
      </c>
      <c r="C228" cm="1">
        <f t="array" aca="1" ref="C228" ca="1">[1]!s_dq_volume($B$1,$A228)</f>
        <v>5144600</v>
      </c>
      <c r="D228" cm="1">
        <f t="array" aca="1" ref="D228" ca="1">[1]!s_dq_amount($B$1,$A228)</f>
        <v>123258985</v>
      </c>
      <c r="E228" cm="1">
        <f t="array" aca="1" ref="E228" ca="1">[1]!s_dq_turn($B$1,$A228)</f>
        <v>0.58987627452348301</v>
      </c>
      <c r="F228" cm="1">
        <f t="array" aca="1" ref="F228" ca="1">[1]!s_val_pe_ttm($B$1,$A228)</f>
        <v>5.6542229652404803</v>
      </c>
    </row>
    <row r="229" spans="1:6">
      <c r="A229" s="23">
        <f t="shared" ca="1" si="3"/>
        <v>45946</v>
      </c>
      <c r="B229" cm="1">
        <f t="array" aca="1" ref="B229" ca="1">[1]!s_dq_close($B$1,$A229,3)</f>
        <v>24.46</v>
      </c>
      <c r="C229" cm="1">
        <f t="array" aca="1" ref="C229" ca="1">[1]!s_dq_volume($B$1,$A229)</f>
        <v>4763000</v>
      </c>
      <c r="D229" cm="1">
        <f t="array" aca="1" ref="D229" ca="1">[1]!s_dq_amount($B$1,$A229)</f>
        <v>116492235</v>
      </c>
      <c r="E229" cm="1">
        <f t="array" aca="1" ref="E229" ca="1">[1]!s_dq_turn($B$1,$A229)</f>
        <v>0.54612228269551599</v>
      </c>
      <c r="F229" cm="1">
        <f t="array" aca="1" ref="F229" ca="1">[1]!s_val_pe_ttm($B$1,$A229)</f>
        <v>5.8208036422729501</v>
      </c>
    </row>
    <row r="230" spans="1:6">
      <c r="A230" s="23">
        <f t="shared" ca="1" si="3"/>
        <v>45945</v>
      </c>
      <c r="B230" cm="1">
        <f t="array" aca="1" ref="B230" ca="1">[1]!s_dq_close($B$1,$A230,3)</f>
        <v>24.2</v>
      </c>
      <c r="C230" cm="1">
        <f t="array" aca="1" ref="C230" ca="1">[1]!s_dq_volume($B$1,$A230)</f>
        <v>5219500</v>
      </c>
      <c r="D230" cm="1">
        <f t="array" aca="1" ref="D230" ca="1">[1]!s_dq_amount($B$1,$A230)</f>
        <v>124981230</v>
      </c>
      <c r="E230" cm="1">
        <f t="array" aca="1" ref="E230" ca="1">[1]!s_dq_turn($B$1,$A230)</f>
        <v>0.59846425667210701</v>
      </c>
      <c r="F230" cm="1">
        <f t="array" aca="1" ref="F230" ca="1">[1]!s_val_pe_ttm($B$1,$A230)</f>
        <v>5.7589306831359899</v>
      </c>
    </row>
    <row r="231" spans="1:6">
      <c r="A231" s="23">
        <f t="shared" ca="1" si="3"/>
        <v>45944</v>
      </c>
      <c r="B231" cm="1">
        <f t="array" aca="1" ref="B231" ca="1">[1]!s_dq_close($B$1,$A231,3)</f>
        <v>23.66</v>
      </c>
      <c r="C231" cm="1">
        <f t="array" aca="1" ref="C231" ca="1">[1]!s_dq_volume($B$1,$A231)</f>
        <v>7491000</v>
      </c>
      <c r="D231" cm="1">
        <f t="array" aca="1" ref="D231" ca="1">[1]!s_dq_amount($B$1,$A231)</f>
        <v>178827498</v>
      </c>
      <c r="E231" cm="1">
        <f t="array" aca="1" ref="E231" ca="1">[1]!s_dq_turn($B$1,$A231)</f>
        <v>0.858912874170084</v>
      </c>
      <c r="F231" cm="1">
        <f t="array" aca="1" ref="F231" ca="1">[1]!s_val_pe_ttm($B$1,$A231)</f>
        <v>5.6304254531860396</v>
      </c>
    </row>
    <row r="232" spans="1:6">
      <c r="A232" s="23">
        <f t="shared" ca="1" si="3"/>
        <v>45943</v>
      </c>
      <c r="B232" cm="1">
        <f t="array" aca="1" ref="B232" ca="1">[1]!s_dq_close($B$1,$A232,3)</f>
        <v>24.28</v>
      </c>
      <c r="C232" cm="1">
        <f t="array" aca="1" ref="C232" ca="1">[1]!s_dq_volume($B$1,$A232)</f>
        <v>10646570</v>
      </c>
      <c r="D232" cm="1">
        <f t="array" aca="1" ref="D232" ca="1">[1]!s_dq_amount($B$1,$A232)</f>
        <v>254832231</v>
      </c>
      <c r="E232" cm="1">
        <f t="array" aca="1" ref="E232" ca="1">[1]!s_dq_turn($B$1,$A232)</f>
        <v>1.2207283458487499</v>
      </c>
      <c r="F232" cm="1">
        <f t="array" aca="1" ref="F232" ca="1">[1]!s_val_pe_ttm($B$1,$A232)</f>
        <v>5.7779684066772496</v>
      </c>
    </row>
    <row r="233" spans="1:6">
      <c r="A233" s="23">
        <f t="shared" ca="1" si="3"/>
        <v>45942</v>
      </c>
      <c r="B233" cm="1">
        <f t="array" aca="1" ref="B233" ca="1">[1]!s_dq_close($B$1,$A233,3)</f>
        <v>24.74</v>
      </c>
      <c r="C233" cm="1">
        <f t="array" aca="1" ref="C233" ca="1">[1]!s_dq_volume($B$1,$A233)</f>
        <v>0</v>
      </c>
      <c r="D233" cm="1">
        <f t="array" aca="1" ref="D233" ca="1">[1]!s_dq_amount($B$1,$A233)</f>
        <v>0</v>
      </c>
      <c r="E233" cm="1">
        <f t="array" aca="1" ref="E233" ca="1">[1]!s_dq_turn($B$1,$A233)</f>
        <v>0</v>
      </c>
      <c r="F233" cm="1">
        <f t="array" aca="1" ref="F233" ca="1">[1]!s_val_pe_ttm($B$1,$A233)</f>
        <v>5.8874359130859402</v>
      </c>
    </row>
    <row r="234" spans="1:6">
      <c r="A234" s="23">
        <f t="shared" ca="1" si="3"/>
        <v>45941</v>
      </c>
      <c r="B234" cm="1">
        <f t="array" aca="1" ref="B234" ca="1">[1]!s_dq_close($B$1,$A234,3)</f>
        <v>24.74</v>
      </c>
      <c r="C234" cm="1">
        <f t="array" aca="1" ref="C234" ca="1">[1]!s_dq_volume($B$1,$A234)</f>
        <v>0</v>
      </c>
      <c r="D234" cm="1">
        <f t="array" aca="1" ref="D234" ca="1">[1]!s_dq_amount($B$1,$A234)</f>
        <v>0</v>
      </c>
      <c r="E234" cm="1">
        <f t="array" aca="1" ref="E234" ca="1">[1]!s_dq_turn($B$1,$A234)</f>
        <v>0</v>
      </c>
      <c r="F234" cm="1">
        <f t="array" aca="1" ref="F234" ca="1">[1]!s_val_pe_ttm($B$1,$A234)</f>
        <v>5.8874359130859402</v>
      </c>
    </row>
    <row r="235" spans="1:6">
      <c r="A235" s="23">
        <f t="shared" ca="1" si="3"/>
        <v>45940</v>
      </c>
      <c r="B235" cm="1">
        <f t="array" aca="1" ref="B235" ca="1">[1]!s_dq_close($B$1,$A235,3)</f>
        <v>24.74</v>
      </c>
      <c r="C235" cm="1">
        <f t="array" aca="1" ref="C235" ca="1">[1]!s_dq_volume($B$1,$A235)</f>
        <v>9093000</v>
      </c>
      <c r="D235" cm="1">
        <f t="array" aca="1" ref="D235" ca="1">[1]!s_dq_amount($B$1,$A235)</f>
        <v>228337312</v>
      </c>
      <c r="E235" cm="1">
        <f t="array" aca="1" ref="E235" ca="1">[1]!s_dq_turn($B$1,$A235)</f>
        <v>1.04259708514598</v>
      </c>
      <c r="F235" cm="1">
        <f t="array" aca="1" ref="F235" ca="1">[1]!s_val_pe_ttm($B$1,$A235)</f>
        <v>5.8874359130859402</v>
      </c>
    </row>
    <row r="236" spans="1:6">
      <c r="A236" s="23">
        <f t="shared" ca="1" si="3"/>
        <v>45939</v>
      </c>
      <c r="B236" cm="1">
        <f t="array" aca="1" ref="B236" ca="1">[1]!s_dq_close($B$1,$A236,3)</f>
        <v>25.4</v>
      </c>
      <c r="C236" cm="1">
        <f t="array" aca="1" ref="C236" ca="1">[1]!s_dq_volume($B$1,$A236)</f>
        <v>6386616</v>
      </c>
      <c r="D236" cm="1">
        <f t="array" aca="1" ref="D236" ca="1">[1]!s_dq_amount($B$1,$A236)</f>
        <v>162174323</v>
      </c>
      <c r="E236" cm="1">
        <f t="array" aca="1" ref="E236" ca="1">[1]!s_dq_turn($B$1,$A236)</f>
        <v>0.73228496926720599</v>
      </c>
      <c r="F236" cm="1">
        <f t="array" aca="1" ref="F236" ca="1">[1]!s_val_pe_ttm($B$1,$A236)</f>
        <v>6.0444974899292001</v>
      </c>
    </row>
    <row r="237" spans="1:6">
      <c r="A237" s="23">
        <f t="shared" ca="1" si="3"/>
        <v>45938</v>
      </c>
      <c r="B237" cm="1">
        <f t="array" aca="1" ref="B237" ca="1">[1]!s_dq_close($B$1,$A237,3)</f>
        <v>25.74</v>
      </c>
      <c r="C237" cm="1">
        <f t="array" aca="1" ref="C237" ca="1">[1]!s_dq_volume($B$1,$A237)</f>
        <v>2165322</v>
      </c>
      <c r="D237" cm="1">
        <f t="array" aca="1" ref="D237" ca="1">[1]!s_dq_amount($B$1,$A237)</f>
        <v>55243141</v>
      </c>
      <c r="E237" cm="1">
        <f t="array" aca="1" ref="E237" ca="1">[1]!s_dq_turn($B$1,$A237)</f>
        <v>0.24827432152232201</v>
      </c>
      <c r="F237" cm="1">
        <f t="array" aca="1" ref="F237" ca="1">[1]!s_val_pe_ttm($B$1,$A237)</f>
        <v>6.1254081726074201</v>
      </c>
    </row>
    <row r="238" spans="1:6">
      <c r="A238" s="23">
        <f t="shared" ca="1" si="3"/>
        <v>45937</v>
      </c>
      <c r="B238" cm="1">
        <f t="array" aca="1" ref="B238" ca="1">[1]!s_dq_close($B$1,$A238,3)</f>
        <v>25.76</v>
      </c>
      <c r="C238" cm="1">
        <f t="array" aca="1" ref="C238" ca="1">[1]!s_dq_volume($B$1,$A238)</f>
        <v>0</v>
      </c>
      <c r="D238" cm="1">
        <f t="array" aca="1" ref="D238" ca="1">[1]!s_dq_amount($B$1,$A238)</f>
        <v>0</v>
      </c>
      <c r="E238" cm="1">
        <f t="array" aca="1" ref="E238" ca="1">[1]!s_dq_turn($B$1,$A238)</f>
        <v>0</v>
      </c>
      <c r="F238" cm="1">
        <f t="array" aca="1" ref="F238" ca="1">[1]!s_val_pe_ttm($B$1,$A238)</f>
        <v>6.1301674842834499</v>
      </c>
    </row>
    <row r="239" spans="1:6">
      <c r="A239" s="23">
        <f t="shared" ca="1" si="3"/>
        <v>45936</v>
      </c>
      <c r="B239" cm="1">
        <f t="array" aca="1" ref="B239" ca="1">[1]!s_dq_close($B$1,$A239,3)</f>
        <v>25.76</v>
      </c>
      <c r="C239" cm="1">
        <f t="array" aca="1" ref="C239" ca="1">[1]!s_dq_volume($B$1,$A239)</f>
        <v>1885500</v>
      </c>
      <c r="D239" cm="1">
        <f t="array" aca="1" ref="D239" ca="1">[1]!s_dq_amount($B$1,$A239)</f>
        <v>48249097</v>
      </c>
      <c r="E239" cm="1">
        <f t="array" aca="1" ref="E239" ca="1">[1]!s_dq_turn($B$1,$A239)</f>
        <v>0.21619012471601801</v>
      </c>
      <c r="F239" cm="1">
        <f t="array" aca="1" ref="F239" ca="1">[1]!s_val_pe_ttm($B$1,$A239)</f>
        <v>6.1301674842834499</v>
      </c>
    </row>
    <row r="240" spans="1:6">
      <c r="A240" s="23">
        <f t="shared" ca="1" si="3"/>
        <v>45935</v>
      </c>
      <c r="B240" cm="1">
        <f t="array" aca="1" ref="B240" ca="1">[1]!s_dq_close($B$1,$A240,3)</f>
        <v>25.64</v>
      </c>
      <c r="C240" cm="1">
        <f t="array" aca="1" ref="C240" ca="1">[1]!s_dq_volume($B$1,$A240)</f>
        <v>0</v>
      </c>
      <c r="D240" cm="1">
        <f t="array" aca="1" ref="D240" ca="1">[1]!s_dq_amount($B$1,$A240)</f>
        <v>0</v>
      </c>
      <c r="E240" cm="1">
        <f t="array" aca="1" ref="E240" ca="1">[1]!s_dq_turn($B$1,$A240)</f>
        <v>0</v>
      </c>
      <c r="F240" cm="1">
        <f t="array" aca="1" ref="F240" ca="1">[1]!s_val_pe_ttm($B$1,$A240)</f>
        <v>6.1016106605529803</v>
      </c>
    </row>
    <row r="241" spans="1:6">
      <c r="A241" s="23">
        <f t="shared" ca="1" si="3"/>
        <v>45934</v>
      </c>
      <c r="B241" cm="1">
        <f t="array" aca="1" ref="B241" ca="1">[1]!s_dq_close($B$1,$A241,3)</f>
        <v>25.64</v>
      </c>
      <c r="C241" cm="1">
        <f t="array" aca="1" ref="C241" ca="1">[1]!s_dq_volume($B$1,$A241)</f>
        <v>0</v>
      </c>
      <c r="D241" cm="1">
        <f t="array" aca="1" ref="D241" ca="1">[1]!s_dq_amount($B$1,$A241)</f>
        <v>0</v>
      </c>
      <c r="E241" cm="1">
        <f t="array" aca="1" ref="E241" ca="1">[1]!s_dq_turn($B$1,$A241)</f>
        <v>0</v>
      </c>
      <c r="F241" cm="1">
        <f t="array" aca="1" ref="F241" ca="1">[1]!s_val_pe_ttm($B$1,$A241)</f>
        <v>6.1016106605529803</v>
      </c>
    </row>
    <row r="242" spans="1:6">
      <c r="A242" s="23">
        <f t="shared" ca="1" si="3"/>
        <v>45933</v>
      </c>
      <c r="B242" cm="1">
        <f t="array" aca="1" ref="B242" ca="1">[1]!s_dq_close($B$1,$A242,3)</f>
        <v>25.64</v>
      </c>
      <c r="C242" cm="1">
        <f t="array" aca="1" ref="C242" ca="1">[1]!s_dq_volume($B$1,$A242)</f>
        <v>1789000</v>
      </c>
      <c r="D242" cm="1">
        <f t="array" aca="1" ref="D242" ca="1">[1]!s_dq_amount($B$1,$A242)</f>
        <v>45652165</v>
      </c>
      <c r="E242" cm="1">
        <f t="array" aca="1" ref="E242" ca="1">[1]!s_dq_turn($B$1,$A242)</f>
        <v>0.205125501520529</v>
      </c>
      <c r="F242" cm="1">
        <f t="array" aca="1" ref="F242" ca="1">[1]!s_val_pe_ttm($B$1,$A242)</f>
        <v>6.1016106605529803</v>
      </c>
    </row>
    <row r="243" spans="1:6">
      <c r="A243" s="23">
        <f t="shared" ca="1" si="3"/>
        <v>45932</v>
      </c>
      <c r="B243" cm="1">
        <f t="array" aca="1" ref="B243" ca="1">[1]!s_dq_close($B$1,$A243,3)</f>
        <v>25.8</v>
      </c>
      <c r="C243" cm="1">
        <f t="array" aca="1" ref="C243" ca="1">[1]!s_dq_volume($B$1,$A243)</f>
        <v>3321827</v>
      </c>
      <c r="D243" cm="1">
        <f t="array" aca="1" ref="D243" ca="1">[1]!s_dq_amount($B$1,$A243)</f>
        <v>85212277</v>
      </c>
      <c r="E243" cm="1">
        <f t="array" aca="1" ref="E243" ca="1">[1]!s_dq_turn($B$1,$A243)</f>
        <v>0.38087838420314901</v>
      </c>
      <c r="F243" cm="1">
        <f t="array" aca="1" ref="F243" ca="1">[1]!s_val_pe_ttm($B$1,$A243)</f>
        <v>6.1394224166870099</v>
      </c>
    </row>
    <row r="244" spans="1:6">
      <c r="A244" s="23">
        <f t="shared" ca="1" si="3"/>
        <v>45931</v>
      </c>
      <c r="B244" cm="1">
        <f t="array" aca="1" ref="B244" ca="1">[1]!s_dq_close($B$1,$A244,3)</f>
        <v>25.12</v>
      </c>
      <c r="C244" cm="1">
        <f t="array" aca="1" ref="C244" ca="1">[1]!s_dq_volume($B$1,$A244)</f>
        <v>0</v>
      </c>
      <c r="D244" cm="1">
        <f t="array" aca="1" ref="D244" ca="1">[1]!s_dq_amount($B$1,$A244)</f>
        <v>0</v>
      </c>
      <c r="E244" cm="1">
        <f t="array" aca="1" ref="E244" ca="1">[1]!s_dq_turn($B$1,$A244)</f>
        <v>0</v>
      </c>
      <c r="F244" cm="1">
        <f t="array" aca="1" ref="F244" ca="1">[1]!s_val_pe_ttm($B$1,$A244)</f>
        <v>5.9776082038879403</v>
      </c>
    </row>
    <row r="245" spans="1:6">
      <c r="A245" s="23">
        <f t="shared" ca="1" si="3"/>
        <v>45930</v>
      </c>
      <c r="B245" cm="1">
        <f t="array" aca="1" ref="B245" ca="1">[1]!s_dq_close($B$1,$A245,3)</f>
        <v>25.12</v>
      </c>
      <c r="C245" cm="1">
        <f t="array" aca="1" ref="C245" ca="1">[1]!s_dq_volume($B$1,$A245)</f>
        <v>7955750</v>
      </c>
      <c r="D245" cm="1">
        <f t="array" aca="1" ref="D245" ca="1">[1]!s_dq_amount($B$1,$A245)</f>
        <v>197897102</v>
      </c>
      <c r="E245" cm="1">
        <f t="array" aca="1" ref="E245" ca="1">[1]!s_dq_turn($B$1,$A245)</f>
        <v>0.912200787435408</v>
      </c>
      <c r="F245" cm="1">
        <f t="array" aca="1" ref="F245" ca="1">[1]!s_val_pe_ttm($B$1,$A245)</f>
        <v>5.9776082038879403</v>
      </c>
    </row>
    <row r="246" spans="1:6">
      <c r="A246" s="23">
        <f t="shared" ca="1" si="3"/>
        <v>45929</v>
      </c>
      <c r="B246" cm="1">
        <f t="array" aca="1" ref="B246" ca="1">[1]!s_dq_close($B$1,$A246,3)</f>
        <v>24.6</v>
      </c>
      <c r="C246" cm="1">
        <f t="array" aca="1" ref="C246" ca="1">[1]!s_dq_volume($B$1,$A246)</f>
        <v>5371281</v>
      </c>
      <c r="D246" cm="1">
        <f t="array" aca="1" ref="D246" ca="1">[1]!s_dq_amount($B$1,$A246)</f>
        <v>131833628</v>
      </c>
      <c r="E246" cm="1">
        <f t="array" aca="1" ref="E246" ca="1">[1]!s_dq_turn($B$1,$A246)</f>
        <v>0.61589386044882499</v>
      </c>
      <c r="F246" cm="1">
        <f t="array" aca="1" ref="F246" ca="1">[1]!s_val_pe_ttm($B$1,$A246)</f>
        <v>5.8538675308227504</v>
      </c>
    </row>
    <row r="247" spans="1:6">
      <c r="A247" s="23">
        <f t="shared" ca="1" si="3"/>
        <v>45928</v>
      </c>
      <c r="B247" cm="1">
        <f t="array" aca="1" ref="B247" ca="1">[1]!s_dq_close($B$1,$A247,3)</f>
        <v>24.54</v>
      </c>
      <c r="C247" cm="1">
        <f t="array" aca="1" ref="C247" ca="1">[1]!s_dq_volume($B$1,$A247)</f>
        <v>0</v>
      </c>
      <c r="D247" cm="1">
        <f t="array" aca="1" ref="D247" ca="1">[1]!s_dq_amount($B$1,$A247)</f>
        <v>0</v>
      </c>
      <c r="E247" cm="1">
        <f t="array" aca="1" ref="E247" ca="1">[1]!s_dq_turn($B$1,$A247)</f>
        <v>0</v>
      </c>
      <c r="F247" cm="1">
        <f t="array" aca="1" ref="F247" ca="1">[1]!s_val_pe_ttm($B$1,$A247)</f>
        <v>5.8395900726318404</v>
      </c>
    </row>
    <row r="248" spans="1:6">
      <c r="A248" s="23">
        <f t="shared" ca="1" si="3"/>
        <v>45927</v>
      </c>
      <c r="B248" cm="1">
        <f t="array" aca="1" ref="B248" ca="1">[1]!s_dq_close($B$1,$A248,3)</f>
        <v>24.54</v>
      </c>
      <c r="C248" cm="1">
        <f t="array" aca="1" ref="C248" ca="1">[1]!s_dq_volume($B$1,$A248)</f>
        <v>0</v>
      </c>
      <c r="D248" cm="1">
        <f t="array" aca="1" ref="D248" ca="1">[1]!s_dq_amount($B$1,$A248)</f>
        <v>0</v>
      </c>
      <c r="E248" cm="1">
        <f t="array" aca="1" ref="E248" ca="1">[1]!s_dq_turn($B$1,$A248)</f>
        <v>0</v>
      </c>
      <c r="F248" cm="1">
        <f t="array" aca="1" ref="F248" ca="1">[1]!s_val_pe_ttm($B$1,$A248)</f>
        <v>5.8395900726318404</v>
      </c>
    </row>
    <row r="249" spans="1:6">
      <c r="A249" s="23">
        <f t="shared" ca="1" si="3"/>
        <v>45926</v>
      </c>
      <c r="B249" cm="1">
        <f t="array" aca="1" ref="B249" ca="1">[1]!s_dq_close($B$1,$A249,3)</f>
        <v>24.54</v>
      </c>
      <c r="C249" cm="1">
        <f t="array" aca="1" ref="C249" ca="1">[1]!s_dq_volume($B$1,$A249)</f>
        <v>5329900</v>
      </c>
      <c r="D249" cm="1">
        <f t="array" aca="1" ref="D249" ca="1">[1]!s_dq_amount($B$1,$A249)</f>
        <v>131125123</v>
      </c>
      <c r="E249" cm="1">
        <f t="array" aca="1" ref="E249" ca="1">[1]!s_dq_turn($B$1,$A249)</f>
        <v>0.61114893948132598</v>
      </c>
      <c r="F249" cm="1">
        <f t="array" aca="1" ref="F249" ca="1">[1]!s_val_pe_ttm($B$1,$A249)</f>
        <v>5.8395900726318404</v>
      </c>
    </row>
    <row r="250" spans="1:6">
      <c r="A250" s="23">
        <f t="shared" ca="1" si="3"/>
        <v>45925</v>
      </c>
      <c r="B250" cm="1">
        <f t="array" aca="1" ref="B250" ca="1">[1]!s_dq_close($B$1,$A250,3)</f>
        <v>24.94</v>
      </c>
      <c r="C250" cm="1">
        <f t="array" aca="1" ref="C250" ca="1">[1]!s_dq_volume($B$1,$A250)</f>
        <v>5572500</v>
      </c>
      <c r="D250" cm="1">
        <f t="array" aca="1" ref="D250" ca="1">[1]!s_dq_amount($B$1,$A250)</f>
        <v>138896140</v>
      </c>
      <c r="E250" cm="1">
        <f t="array" aca="1" ref="E250" ca="1">[1]!s_dq_turn($B$1,$A250)</f>
        <v>0.63896648441053105</v>
      </c>
      <c r="F250" cm="1">
        <f t="array" aca="1" ref="F250" ca="1">[1]!s_val_pe_ttm($B$1,$A250)</f>
        <v>5.93477487564087</v>
      </c>
    </row>
    <row r="251" spans="1:6">
      <c r="A251" s="23">
        <f t="shared" ca="1" si="3"/>
        <v>45924</v>
      </c>
      <c r="B251" cm="1">
        <f t="array" aca="1" ref="B251" ca="1">[1]!s_dq_close($B$1,$A251,3)</f>
        <v>25.08</v>
      </c>
      <c r="C251" cm="1">
        <f t="array" aca="1" ref="C251" ca="1">[1]!s_dq_volume($B$1,$A251)</f>
        <v>6255500</v>
      </c>
      <c r="D251" cm="1">
        <f t="array" aca="1" ref="D251" ca="1">[1]!s_dq_amount($B$1,$A251)</f>
        <v>157565320</v>
      </c>
      <c r="E251" cm="1">
        <f t="array" aca="1" ref="E251" ca="1">[1]!s_dq_turn($B$1,$A251)</f>
        <v>0.71728216118978505</v>
      </c>
      <c r="F251" cm="1">
        <f t="array" aca="1" ref="F251" ca="1">[1]!s_val_pe_ttm($B$1,$A251)</f>
        <v>5.9680895805358896</v>
      </c>
    </row>
    <row r="252" spans="1:6">
      <c r="A252" s="23">
        <f t="shared" ca="1" si="3"/>
        <v>45923</v>
      </c>
      <c r="B252" cm="1">
        <f t="array" aca="1" ref="B252" ca="1">[1]!s_dq_close($B$1,$A252,3)</f>
        <v>25.24</v>
      </c>
      <c r="C252" cm="1">
        <f t="array" aca="1" ref="C252" ca="1">[1]!s_dq_volume($B$1,$A252)</f>
        <v>11375700</v>
      </c>
      <c r="D252" cm="1">
        <f t="array" aca="1" ref="D252" ca="1">[1]!s_dq_amount($B$1,$A252)</f>
        <v>288363690</v>
      </c>
      <c r="E252" cm="1">
        <f t="array" aca="1" ref="E252" ca="1">[1]!s_dq_turn($B$1,$A252)</f>
        <v>1.3043860092793</v>
      </c>
      <c r="F252" cm="1">
        <f t="array" aca="1" ref="F252" ca="1">[1]!s_val_pe_ttm($B$1,$A252)</f>
        <v>6.00616359710693</v>
      </c>
    </row>
    <row r="253" spans="1:6">
      <c r="A253" s="23">
        <f t="shared" ca="1" si="3"/>
        <v>45922</v>
      </c>
      <c r="B253" cm="1">
        <f t="array" aca="1" ref="B253" ca="1">[1]!s_dq_close($B$1,$A253,3)</f>
        <v>26.44</v>
      </c>
      <c r="C253" cm="1">
        <f t="array" aca="1" ref="C253" ca="1">[1]!s_dq_volume($B$1,$A253)</f>
        <v>5482738</v>
      </c>
      <c r="D253" cm="1">
        <f t="array" aca="1" ref="D253" ca="1">[1]!s_dq_amount($B$1,$A253)</f>
        <v>144502621</v>
      </c>
      <c r="E253" cm="1">
        <f t="array" aca="1" ref="E253" ca="1">[1]!s_dq_turn($B$1,$A253)</f>
        <v>0.62867399278672498</v>
      </c>
      <c r="F253" cm="1">
        <f t="array" aca="1" ref="F253" ca="1">[1]!s_val_pe_ttm($B$1,$A253)</f>
        <v>6.2917180061340297</v>
      </c>
    </row>
    <row r="254" spans="1:6">
      <c r="A254" s="23">
        <f t="shared" ca="1" si="3"/>
        <v>45921</v>
      </c>
      <c r="B254" cm="1">
        <f t="array" aca="1" ref="B254" ca="1">[1]!s_dq_close($B$1,$A254,3)</f>
        <v>26.76</v>
      </c>
      <c r="C254" cm="1">
        <f t="array" aca="1" ref="C254" ca="1">[1]!s_dq_volume($B$1,$A254)</f>
        <v>0</v>
      </c>
      <c r="D254" cm="1">
        <f t="array" aca="1" ref="D254" ca="1">[1]!s_dq_amount($B$1,$A254)</f>
        <v>0</v>
      </c>
      <c r="E254" cm="1">
        <f t="array" aca="1" ref="E254" ca="1">[1]!s_dq_turn($B$1,$A254)</f>
        <v>0</v>
      </c>
      <c r="F254" cm="1">
        <f t="array" aca="1" ref="F254" ca="1">[1]!s_val_pe_ttm($B$1,$A254)</f>
        <v>6.3678660392761204</v>
      </c>
    </row>
    <row r="255" spans="1:6">
      <c r="A255" s="23">
        <f t="shared" ca="1" si="3"/>
        <v>45920</v>
      </c>
      <c r="B255" cm="1">
        <f t="array" aca="1" ref="B255" ca="1">[1]!s_dq_close($B$1,$A255,3)</f>
        <v>26.76</v>
      </c>
      <c r="C255" cm="1">
        <f t="array" aca="1" ref="C255" ca="1">[1]!s_dq_volume($B$1,$A255)</f>
        <v>0</v>
      </c>
      <c r="D255" cm="1">
        <f t="array" aca="1" ref="D255" ca="1">[1]!s_dq_amount($B$1,$A255)</f>
        <v>0</v>
      </c>
      <c r="E255" cm="1">
        <f t="array" aca="1" ref="E255" ca="1">[1]!s_dq_turn($B$1,$A255)</f>
        <v>0</v>
      </c>
      <c r="F255" cm="1">
        <f t="array" aca="1" ref="F255" ca="1">[1]!s_val_pe_ttm($B$1,$A255)</f>
        <v>6.3678660392761204</v>
      </c>
    </row>
    <row r="256" spans="1:6">
      <c r="A256" s="23">
        <f t="shared" ca="1" si="3"/>
        <v>45919</v>
      </c>
      <c r="B256" cm="1">
        <f t="array" aca="1" ref="B256" ca="1">[1]!s_dq_close($B$1,$A256,3)</f>
        <v>26.76</v>
      </c>
      <c r="C256" cm="1">
        <f t="array" aca="1" ref="C256" ca="1">[1]!s_dq_volume($B$1,$A256)</f>
        <v>9967700</v>
      </c>
      <c r="D256" cm="1">
        <f t="array" aca="1" ref="D256" ca="1">[1]!s_dq_amount($B$1,$A256)</f>
        <v>266386476</v>
      </c>
      <c r="E256" cm="1">
        <f t="array" aca="1" ref="E256" ca="1">[1]!s_dq_turn($B$1,$A256)</f>
        <v>1.1429387575879499</v>
      </c>
      <c r="F256" cm="1">
        <f t="array" aca="1" ref="F256" ca="1">[1]!s_val_pe_ttm($B$1,$A256)</f>
        <v>6.3678660392761204</v>
      </c>
    </row>
    <row r="257" spans="1:6">
      <c r="A257" s="23">
        <f t="shared" ca="1" si="3"/>
        <v>45918</v>
      </c>
      <c r="B257" cm="1">
        <f t="array" aca="1" ref="B257" ca="1">[1]!s_dq_close($B$1,$A257,3)</f>
        <v>27.38</v>
      </c>
      <c r="C257" cm="1">
        <f t="array" aca="1" ref="C257" ca="1">[1]!s_dq_volume($B$1,$A257)</f>
        <v>10220000</v>
      </c>
      <c r="D257" cm="1">
        <f t="array" aca="1" ref="D257" ca="1">[1]!s_dq_amount($B$1,$A257)</f>
        <v>281078367</v>
      </c>
      <c r="E257" cm="1">
        <f t="array" aca="1" ref="E257" ca="1">[1]!s_dq_turn($B$1,$A257)</f>
        <v>1.1718685456573601</v>
      </c>
      <c r="F257" cm="1">
        <f t="array" aca="1" ref="F257" ca="1">[1]!s_val_pe_ttm($B$1,$A257)</f>
        <v>6.51540231704712</v>
      </c>
    </row>
    <row r="258" spans="1:6">
      <c r="A258" s="23">
        <f t="shared" ca="1" si="3"/>
        <v>45917</v>
      </c>
      <c r="B258" cm="1">
        <f t="array" aca="1" ref="B258" ca="1">[1]!s_dq_close($B$1,$A258,3)</f>
        <v>27.6</v>
      </c>
      <c r="C258" cm="1">
        <f t="array" aca="1" ref="C258" ca="1">[1]!s_dq_volume($B$1,$A258)</f>
        <v>10488500</v>
      </c>
      <c r="D258" cm="1">
        <f t="array" aca="1" ref="D258" ca="1">[1]!s_dq_amount($B$1,$A258)</f>
        <v>284609225</v>
      </c>
      <c r="E258" cm="1">
        <f t="array" aca="1" ref="E258" ca="1">[1]!s_dq_turn($B$1,$A258)</f>
        <v>1.20265589443515</v>
      </c>
      <c r="F258" cm="1">
        <f t="array" aca="1" ref="F258" ca="1">[1]!s_val_pe_ttm($B$1,$A258)</f>
        <v>6.5677542686462402</v>
      </c>
    </row>
    <row r="259" spans="1:6">
      <c r="A259" s="23">
        <f t="shared" ca="1" si="3"/>
        <v>45916</v>
      </c>
      <c r="B259" cm="1">
        <f t="array" aca="1" ref="B259" ca="1">[1]!s_dq_close($B$1,$A259,3)</f>
        <v>26.92</v>
      </c>
      <c r="C259" cm="1">
        <f t="array" aca="1" ref="C259" ca="1">[1]!s_dq_volume($B$1,$A259)</f>
        <v>9045076</v>
      </c>
      <c r="D259" cm="1">
        <f t="array" aca="1" ref="D259" ca="1">[1]!s_dq_amount($B$1,$A259)</f>
        <v>243947772</v>
      </c>
      <c r="E259" cm="1">
        <f t="array" aca="1" ref="E259" ca="1">[1]!s_dq_turn($B$1,$A259)</f>
        <v>1.0371467766614699</v>
      </c>
      <c r="F259" cm="1">
        <f t="array" aca="1" ref="F259" ca="1">[1]!s_val_pe_ttm($B$1,$A259)</f>
        <v>6.4059400558471697</v>
      </c>
    </row>
    <row r="260" spans="1:6">
      <c r="A260" s="23">
        <f t="shared" ca="1" si="3"/>
        <v>45915</v>
      </c>
      <c r="B260" cm="1">
        <f t="array" aca="1" ref="B260" ca="1">[1]!s_dq_close($B$1,$A260,3)</f>
        <v>27.68</v>
      </c>
      <c r="C260" cm="1">
        <f t="array" aca="1" ref="C260" ca="1">[1]!s_dq_volume($B$1,$A260)</f>
        <v>11522834</v>
      </c>
      <c r="D260" cm="1">
        <f t="array" aca="1" ref="D260" ca="1">[1]!s_dq_amount($B$1,$A260)</f>
        <v>320907254</v>
      </c>
      <c r="E260" cm="1">
        <f t="array" aca="1" ref="E260" ca="1">[1]!s_dq_turn($B$1,$A260)</f>
        <v>1.32125701775256</v>
      </c>
      <c r="F260" cm="1">
        <f t="array" aca="1" ref="F260" ca="1">[1]!s_val_pe_ttm($B$1,$A260)</f>
        <v>6.58679103851318</v>
      </c>
    </row>
    <row r="261" spans="1:6">
      <c r="A261" s="23">
        <f t="shared" ca="1" si="3"/>
        <v>45914</v>
      </c>
      <c r="B261" cm="1">
        <f t="array" aca="1" ref="B261" ca="1">[1]!s_dq_close($B$1,$A261,3)</f>
        <v>28</v>
      </c>
      <c r="C261" cm="1">
        <f t="array" aca="1" ref="C261" ca="1">[1]!s_dq_volume($B$1,$A261)</f>
        <v>0</v>
      </c>
      <c r="D261" cm="1">
        <f t="array" aca="1" ref="D261" ca="1">[1]!s_dq_amount($B$1,$A261)</f>
        <v>0</v>
      </c>
      <c r="E261" cm="1">
        <f t="array" aca="1" ref="E261" ca="1">[1]!s_dq_turn($B$1,$A261)</f>
        <v>0</v>
      </c>
      <c r="F261" cm="1">
        <f t="array" aca="1" ref="F261" ca="1">[1]!s_val_pe_ttm($B$1,$A261)</f>
        <v>6.6629390716552699</v>
      </c>
    </row>
    <row r="262" spans="1:6">
      <c r="A262" s="23">
        <f t="shared" ca="1" si="3"/>
        <v>45913</v>
      </c>
      <c r="B262" cm="1">
        <f t="array" aca="1" ref="B262" ca="1">[1]!s_dq_close($B$1,$A262,3)</f>
        <v>28</v>
      </c>
      <c r="C262" cm="1">
        <f t="array" aca="1" ref="C262" ca="1">[1]!s_dq_volume($B$1,$A262)</f>
        <v>0</v>
      </c>
      <c r="D262" cm="1">
        <f t="array" aca="1" ref="D262" ca="1">[1]!s_dq_amount($B$1,$A262)</f>
        <v>0</v>
      </c>
      <c r="E262" cm="1">
        <f t="array" aca="1" ref="E262" ca="1">[1]!s_dq_turn($B$1,$A262)</f>
        <v>0</v>
      </c>
      <c r="F262" cm="1">
        <f t="array" aca="1" ref="F262" ca="1">[1]!s_val_pe_ttm($B$1,$A262)</f>
        <v>6.6629390716552699</v>
      </c>
    </row>
    <row r="263" spans="1:6">
      <c r="A263" s="23">
        <f t="shared" ca="1" si="3"/>
        <v>45912</v>
      </c>
      <c r="B263" cm="1">
        <f t="array" aca="1" ref="B263" ca="1">[1]!s_dq_close($B$1,$A263,3)</f>
        <v>28</v>
      </c>
      <c r="C263" cm="1">
        <f t="array" aca="1" ref="C263" ca="1">[1]!s_dq_volume($B$1,$A263)</f>
        <v>27799110</v>
      </c>
      <c r="D263" cm="1">
        <f t="array" aca="1" ref="D263" ca="1">[1]!s_dq_amount($B$1,$A263)</f>
        <v>754710452</v>
      </c>
      <c r="E263" cm="1">
        <f t="array" aca="1" ref="E263" ca="1">[1]!s_dq_turn($B$1,$A263)</f>
        <v>3.18756385579931</v>
      </c>
      <c r="F263" cm="1">
        <f t="array" aca="1" ref="F263" ca="1">[1]!s_val_pe_ttm($B$1,$A263)</f>
        <v>6.6629390716552699</v>
      </c>
    </row>
    <row r="264" spans="1:6">
      <c r="A264" s="23">
        <f t="shared" ca="1" si="3"/>
        <v>45911</v>
      </c>
      <c r="B264" cm="1">
        <f t="array" aca="1" ref="B264" ca="1">[1]!s_dq_close($B$1,$A264,3)</f>
        <v>25.18</v>
      </c>
      <c r="C264" cm="1">
        <f t="array" aca="1" ref="C264" ca="1">[1]!s_dq_volume($B$1,$A264)</f>
        <v>14510000</v>
      </c>
      <c r="D264" cm="1">
        <f t="array" aca="1" ref="D264" ca="1">[1]!s_dq_amount($B$1,$A264)</f>
        <v>362929225</v>
      </c>
      <c r="E264" cm="1">
        <f t="array" aca="1" ref="E264" ca="1">[1]!s_dq_turn($B$1,$A264)</f>
        <v>1.6637781406544301</v>
      </c>
      <c r="F264" cm="1">
        <f t="array" aca="1" ref="F264" ca="1">[1]!s_val_pe_ttm($B$1,$A264)</f>
        <v>5.9918856620788601</v>
      </c>
    </row>
    <row r="265" spans="1:6">
      <c r="A265" s="23">
        <f t="shared" ca="1" si="3"/>
        <v>45910</v>
      </c>
      <c r="B265" cm="1">
        <f t="array" aca="1" ref="B265" ca="1">[1]!s_dq_close($B$1,$A265,3)</f>
        <v>25.08</v>
      </c>
      <c r="C265" cm="1">
        <f t="array" aca="1" ref="C265" ca="1">[1]!s_dq_volume($B$1,$A265)</f>
        <v>6586138</v>
      </c>
      <c r="D265" cm="1">
        <f t="array" aca="1" ref="D265" ca="1">[1]!s_dq_amount($B$1,$A265)</f>
        <v>166473820</v>
      </c>
      <c r="E265" cm="1">
        <f t="array" aca="1" ref="E265" ca="1">[1]!s_dq_turn($B$1,$A265)</f>
        <v>0.755194516590867</v>
      </c>
      <c r="F265" cm="1">
        <f t="array" aca="1" ref="F265" ca="1">[1]!s_val_pe_ttm($B$1,$A265)</f>
        <v>5.9680895805358896</v>
      </c>
    </row>
    <row r="266" spans="1:6">
      <c r="A266" s="23">
        <f t="shared" ca="1" si="3"/>
        <v>45909</v>
      </c>
      <c r="B266" cm="1">
        <f t="array" aca="1" ref="B266" ca="1">[1]!s_dq_close($B$1,$A266,3)</f>
        <v>25.2</v>
      </c>
      <c r="C266" cm="1">
        <f t="array" aca="1" ref="C266" ca="1">[1]!s_dq_volume($B$1,$A266)</f>
        <v>7142277</v>
      </c>
      <c r="D266" cm="1">
        <f t="array" aca="1" ref="D266" ca="1">[1]!s_dq_amount($B$1,$A266)</f>
        <v>180288364</v>
      </c>
      <c r="E266" cm="1">
        <f t="array" aca="1" ref="E266" ca="1">[1]!s_dq_turn($B$1,$A266)</f>
        <v>0.81896377305988199</v>
      </c>
      <c r="F266" cm="1">
        <f t="array" aca="1" ref="F266" ca="1">[1]!s_val_pe_ttm($B$1,$A266)</f>
        <v>5.9966449737548801</v>
      </c>
    </row>
    <row r="267" spans="1:6">
      <c r="A267" s="23">
        <f t="shared" ca="1" si="3"/>
        <v>45908</v>
      </c>
      <c r="B267" cm="1">
        <f t="array" aca="1" ref="B267" ca="1">[1]!s_dq_close($B$1,$A267,3)</f>
        <v>25.36</v>
      </c>
      <c r="C267" cm="1">
        <f t="array" aca="1" ref="C267" ca="1">[1]!s_dq_volume($B$1,$A267)</f>
        <v>9352050</v>
      </c>
      <c r="D267" cm="1">
        <f t="array" aca="1" ref="D267" ca="1">[1]!s_dq_amount($B$1,$A267)</f>
        <v>235117515</v>
      </c>
      <c r="E267" cm="1">
        <f t="array" aca="1" ref="E267" ca="1">[1]!s_dq_turn($B$1,$A267)</f>
        <v>1.07234571745743</v>
      </c>
      <c r="F267" cm="1">
        <f t="array" aca="1" ref="F267" ca="1">[1]!s_val_pe_ttm($B$1,$A267)</f>
        <v>6.0347189903259304</v>
      </c>
    </row>
    <row r="268" spans="1:6">
      <c r="A268" s="23">
        <f t="shared" ca="1" si="3"/>
        <v>45907</v>
      </c>
      <c r="B268" cm="1">
        <f t="array" aca="1" ref="B268" ca="1">[1]!s_dq_close($B$1,$A268,3)</f>
        <v>25.02</v>
      </c>
      <c r="C268" cm="1">
        <f t="array" aca="1" ref="C268" ca="1">[1]!s_dq_volume($B$1,$A268)</f>
        <v>0</v>
      </c>
      <c r="D268" cm="1">
        <f t="array" aca="1" ref="D268" ca="1">[1]!s_dq_amount($B$1,$A268)</f>
        <v>0</v>
      </c>
      <c r="E268" cm="1">
        <f t="array" aca="1" ref="E268" ca="1">[1]!s_dq_turn($B$1,$A268)</f>
        <v>0</v>
      </c>
      <c r="F268" cm="1">
        <f t="array" aca="1" ref="F268" ca="1">[1]!s_val_pe_ttm($B$1,$A268)</f>
        <v>5.9538116455078098</v>
      </c>
    </row>
    <row r="269" spans="1:6">
      <c r="A269" s="23">
        <f t="shared" ref="A269:A332" ca="1" si="4">A268-1</f>
        <v>45906</v>
      </c>
      <c r="B269" cm="1">
        <f t="array" aca="1" ref="B269" ca="1">[1]!s_dq_close($B$1,$A269,3)</f>
        <v>25.02</v>
      </c>
      <c r="C269" cm="1">
        <f t="array" aca="1" ref="C269" ca="1">[1]!s_dq_volume($B$1,$A269)</f>
        <v>0</v>
      </c>
      <c r="D269" cm="1">
        <f t="array" aca="1" ref="D269" ca="1">[1]!s_dq_amount($B$1,$A269)</f>
        <v>0</v>
      </c>
      <c r="E269" cm="1">
        <f t="array" aca="1" ref="E269" ca="1">[1]!s_dq_turn($B$1,$A269)</f>
        <v>0</v>
      </c>
      <c r="F269" cm="1">
        <f t="array" aca="1" ref="F269" ca="1">[1]!s_val_pe_ttm($B$1,$A269)</f>
        <v>5.9538116455078098</v>
      </c>
    </row>
    <row r="270" spans="1:6">
      <c r="A270" s="23">
        <f t="shared" ca="1" si="4"/>
        <v>45905</v>
      </c>
      <c r="B270" cm="1">
        <f t="array" aca="1" ref="B270" ca="1">[1]!s_dq_close($B$1,$A270,3)</f>
        <v>25.02</v>
      </c>
      <c r="C270" cm="1">
        <f t="array" aca="1" ref="C270" ca="1">[1]!s_dq_volume($B$1,$A270)</f>
        <v>16982718</v>
      </c>
      <c r="D270" cm="1">
        <f t="array" aca="1" ref="D270" ca="1">[1]!s_dq_amount($B$1,$A270)</f>
        <v>420281139</v>
      </c>
      <c r="E270" cm="1">
        <f t="array" aca="1" ref="E270" ca="1">[1]!s_dq_turn($B$1,$A270)</f>
        <v>1.9473104739695699</v>
      </c>
      <c r="F270" cm="1">
        <f t="array" aca="1" ref="F270" ca="1">[1]!s_val_pe_ttm($B$1,$A270)</f>
        <v>5.9538116455078098</v>
      </c>
    </row>
    <row r="271" spans="1:6">
      <c r="A271" s="23">
        <f t="shared" ca="1" si="4"/>
        <v>45904</v>
      </c>
      <c r="B271" cm="1">
        <f t="array" aca="1" ref="B271" ca="1">[1]!s_dq_close($B$1,$A271,3)</f>
        <v>23.4</v>
      </c>
      <c r="C271" cm="1">
        <f t="array" aca="1" ref="C271" ca="1">[1]!s_dq_volume($B$1,$A271)</f>
        <v>9562236</v>
      </c>
      <c r="D271" cm="1">
        <f t="array" aca="1" ref="D271" ca="1">[1]!s_dq_amount($B$1,$A271)</f>
        <v>225896206</v>
      </c>
      <c r="E271" cm="1">
        <f t="array" aca="1" ref="E271" ca="1">[1]!s_dq_turn($B$1,$A271)</f>
        <v>1.09644653567049</v>
      </c>
      <c r="F271" cm="1">
        <f t="array" aca="1" ref="F271" ca="1">[1]!s_val_pe_ttm($B$1,$A271)</f>
        <v>5.5683131217956499</v>
      </c>
    </row>
    <row r="272" spans="1:6">
      <c r="A272" s="23">
        <f t="shared" ca="1" si="4"/>
        <v>45903</v>
      </c>
      <c r="B272" cm="1">
        <f t="array" aca="1" ref="B272" ca="1">[1]!s_dq_close($B$1,$A272,3)</f>
        <v>24.34</v>
      </c>
      <c r="C272" cm="1">
        <f t="array" aca="1" ref="C272" ca="1">[1]!s_dq_volume($B$1,$A272)</f>
        <v>7141500</v>
      </c>
      <c r="D272" cm="1">
        <f t="array" aca="1" ref="D272" ca="1">[1]!s_dq_amount($B$1,$A272)</f>
        <v>173977241</v>
      </c>
      <c r="E272" cm="1">
        <f t="array" aca="1" ref="E272" ca="1">[1]!s_dq_turn($B$1,$A272)</f>
        <v>0.81887467894442401</v>
      </c>
      <c r="F272" cm="1">
        <f t="array" aca="1" ref="F272" ca="1">[1]!s_val_pe_ttm($B$1,$A272)</f>
        <v>5.7919974327087402</v>
      </c>
    </row>
    <row r="273" spans="1:6">
      <c r="A273" s="23">
        <f t="shared" ca="1" si="4"/>
        <v>45902</v>
      </c>
      <c r="B273" cm="1">
        <f t="array" aca="1" ref="B273" ca="1">[1]!s_dq_close($B$1,$A273,3)</f>
        <v>24.32</v>
      </c>
      <c r="C273" cm="1">
        <f t="array" aca="1" ref="C273" ca="1">[1]!s_dq_volume($B$1,$A273)</f>
        <v>8281550</v>
      </c>
      <c r="D273" cm="1">
        <f t="array" aca="1" ref="D273" ca="1">[1]!s_dq_amount($B$1,$A273)</f>
        <v>200996943</v>
      </c>
      <c r="E273" cm="1">
        <f t="array" aca="1" ref="E273" ca="1">[1]!s_dq_turn($B$1,$A273)</f>
        <v>0.94959764719067397</v>
      </c>
      <c r="F273" cm="1">
        <f t="array" aca="1" ref="F273" ca="1">[1]!s_val_pe_ttm($B$1,$A273)</f>
        <v>5.7872381210327104</v>
      </c>
    </row>
    <row r="274" spans="1:6">
      <c r="A274" s="23">
        <f t="shared" ca="1" si="4"/>
        <v>45901</v>
      </c>
      <c r="B274" cm="1">
        <f t="array" aca="1" ref="B274" ca="1">[1]!s_dq_close($B$1,$A274,3)</f>
        <v>24.46</v>
      </c>
      <c r="C274" cm="1">
        <f t="array" aca="1" ref="C274" ca="1">[1]!s_dq_volume($B$1,$A274)</f>
        <v>11760750</v>
      </c>
      <c r="D274" cm="1">
        <f t="array" aca="1" ref="D274" ca="1">[1]!s_dq_amount($B$1,$A274)</f>
        <v>284520365</v>
      </c>
      <c r="E274" cm="1">
        <f t="array" aca="1" ref="E274" ca="1">[1]!s_dq_turn($B$1,$A274)</f>
        <v>1.34853747537571</v>
      </c>
      <c r="F274" cm="1">
        <f t="array" aca="1" ref="F274" ca="1">[1]!s_val_pe_ttm($B$1,$A274)</f>
        <v>5.8205528259277299</v>
      </c>
    </row>
    <row r="275" spans="1:6">
      <c r="A275" s="23">
        <f t="shared" ca="1" si="4"/>
        <v>45900</v>
      </c>
      <c r="B275" cm="1">
        <f t="array" aca="1" ref="B275" ca="1">[1]!s_dq_close($B$1,$A275,3)</f>
        <v>23.7</v>
      </c>
      <c r="C275" cm="1">
        <f t="array" aca="1" ref="C275" ca="1">[1]!s_dq_volume($B$1,$A275)</f>
        <v>0</v>
      </c>
      <c r="D275" cm="1">
        <f t="array" aca="1" ref="D275" ca="1">[1]!s_dq_amount($B$1,$A275)</f>
        <v>0</v>
      </c>
      <c r="E275" cm="1">
        <f t="array" aca="1" ref="E275" ca="1">[1]!s_dq_turn($B$1,$A275)</f>
        <v>0</v>
      </c>
      <c r="F275" cm="1">
        <f t="array" aca="1" ref="F275" ca="1">[1]!s_val_pe_ttm($B$1,$A275)</f>
        <v>5.6397018432617196</v>
      </c>
    </row>
    <row r="276" spans="1:6">
      <c r="A276" s="23">
        <f t="shared" ca="1" si="4"/>
        <v>45899</v>
      </c>
      <c r="B276" cm="1">
        <f t="array" aca="1" ref="B276" ca="1">[1]!s_dq_close($B$1,$A276,3)</f>
        <v>23.7</v>
      </c>
      <c r="C276" cm="1">
        <f t="array" aca="1" ref="C276" ca="1">[1]!s_dq_volume($B$1,$A276)</f>
        <v>0</v>
      </c>
      <c r="D276" cm="1">
        <f t="array" aca="1" ref="D276" ca="1">[1]!s_dq_amount($B$1,$A276)</f>
        <v>0</v>
      </c>
      <c r="E276" cm="1">
        <f t="array" aca="1" ref="E276" ca="1">[1]!s_dq_turn($B$1,$A276)</f>
        <v>0</v>
      </c>
      <c r="F276" cm="1">
        <f t="array" aca="1" ref="F276" ca="1">[1]!s_val_pe_ttm($B$1,$A276)</f>
        <v>5.6397018432617196</v>
      </c>
    </row>
    <row r="277" spans="1:6">
      <c r="A277" s="23">
        <f t="shared" ca="1" si="4"/>
        <v>45898</v>
      </c>
      <c r="B277" cm="1">
        <f t="array" aca="1" ref="B277" ca="1">[1]!s_dq_close($B$1,$A277,3)</f>
        <v>23.7</v>
      </c>
      <c r="C277" cm="1">
        <f t="array" aca="1" ref="C277" ca="1">[1]!s_dq_volume($B$1,$A277)</f>
        <v>11142300</v>
      </c>
      <c r="D277" cm="1">
        <f t="array" aca="1" ref="D277" ca="1">[1]!s_dq_amount($B$1,$A277)</f>
        <v>263904567</v>
      </c>
      <c r="E277" cm="1">
        <f t="array" aca="1" ref="E277" ca="1">[1]!s_dq_turn($B$1,$A277)</f>
        <v>1.27762337536966</v>
      </c>
      <c r="F277" cm="1">
        <f t="array" aca="1" ref="F277" ca="1">[1]!s_val_pe_ttm($B$1,$A277)</f>
        <v>5.6397018432617196</v>
      </c>
    </row>
    <row r="278" spans="1:6">
      <c r="A278" s="23">
        <f t="shared" ca="1" si="4"/>
        <v>45897</v>
      </c>
      <c r="B278" cm="1">
        <f t="array" aca="1" ref="B278" ca="1">[1]!s_dq_close($B$1,$A278,3)</f>
        <v>23.38</v>
      </c>
      <c r="C278" cm="1">
        <f t="array" aca="1" ref="C278" ca="1">[1]!s_dq_volume($B$1,$A278)</f>
        <v>13614000</v>
      </c>
      <c r="D278" cm="1">
        <f t="array" aca="1" ref="D278" ca="1">[1]!s_dq_amount($B$1,$A278)</f>
        <v>317033940</v>
      </c>
      <c r="E278" cm="1">
        <f t="array" aca="1" ref="E278" ca="1">[1]!s_dq_turn($B$1,$A278)</f>
        <v>1.56103898048721</v>
      </c>
      <c r="F278" cm="1">
        <f t="array" aca="1" ref="F278" ca="1">[1]!s_val_pe_ttm($B$1,$A278)</f>
        <v>5.5635538101196298</v>
      </c>
    </row>
    <row r="279" spans="1:6">
      <c r="A279" s="23">
        <f t="shared" ca="1" si="4"/>
        <v>45896</v>
      </c>
      <c r="B279" cm="1">
        <f t="array" aca="1" ref="B279" ca="1">[1]!s_dq_close($B$1,$A279,3)</f>
        <v>23.84</v>
      </c>
      <c r="C279" cm="1">
        <f t="array" aca="1" ref="C279" ca="1">[1]!s_dq_volume($B$1,$A279)</f>
        <v>15633723</v>
      </c>
      <c r="D279" cm="1">
        <f t="array" aca="1" ref="D279" ca="1">[1]!s_dq_amount($B$1,$A279)</f>
        <v>378267683</v>
      </c>
      <c r="E279" cm="1">
        <f t="array" aca="1" ref="E279" ca="1">[1]!s_dq_turn($B$1,$A279)</f>
        <v>1.7926289858336599</v>
      </c>
      <c r="F279" cm="1">
        <f t="array" aca="1" ref="F279" ca="1">[1]!s_val_pe_ttm($B$1,$A279)</f>
        <v>5.6730165481567401</v>
      </c>
    </row>
    <row r="280" spans="1:6">
      <c r="A280" s="23">
        <f t="shared" ca="1" si="4"/>
        <v>45895</v>
      </c>
      <c r="B280" cm="1">
        <f t="array" aca="1" ref="B280" ca="1">[1]!s_dq_close($B$1,$A280,3)</f>
        <v>24.88</v>
      </c>
      <c r="C280" cm="1">
        <f t="array" aca="1" ref="C280" ca="1">[1]!s_dq_volume($B$1,$A280)</f>
        <v>10144500</v>
      </c>
      <c r="D280" cm="1">
        <f t="array" aca="1" ref="D280" ca="1">[1]!s_dq_amount($B$1,$A280)</f>
        <v>251880170</v>
      </c>
      <c r="E280" cm="1">
        <f t="array" aca="1" ref="E280" ca="1">[1]!s_dq_turn($B$1,$A280)</f>
        <v>1.16321139544237</v>
      </c>
      <c r="F280" cm="1">
        <f t="array" aca="1" ref="F280" ca="1">[1]!s_val_pe_ttm($B$1,$A280)</f>
        <v>5.9204969406127903</v>
      </c>
    </row>
    <row r="281" spans="1:6">
      <c r="A281" s="23">
        <f t="shared" ca="1" si="4"/>
        <v>45894</v>
      </c>
      <c r="B281" cm="1">
        <f t="array" aca="1" ref="B281" ca="1">[1]!s_dq_close($B$1,$A281,3)</f>
        <v>25.24</v>
      </c>
      <c r="C281" cm="1">
        <f t="array" aca="1" ref="C281" ca="1">[1]!s_dq_volume($B$1,$A281)</f>
        <v>10630000</v>
      </c>
      <c r="D281" cm="1">
        <f t="array" aca="1" ref="D281" ca="1">[1]!s_dq_amount($B$1,$A281)</f>
        <v>268214281</v>
      </c>
      <c r="E281" cm="1">
        <f t="array" aca="1" ref="E281" ca="1">[1]!s_dq_turn($B$1,$A281)</f>
        <v>1.21888088457316</v>
      </c>
      <c r="F281" cm="1">
        <f t="array" aca="1" ref="F281" ca="1">[1]!s_val_pe_ttm($B$1,$A281)</f>
        <v>6.00616359710693</v>
      </c>
    </row>
    <row r="282" spans="1:6">
      <c r="A282" s="23">
        <f t="shared" ca="1" si="4"/>
        <v>45893</v>
      </c>
      <c r="B282" cm="1">
        <f t="array" aca="1" ref="B282" ca="1">[1]!s_dq_close($B$1,$A282,3)</f>
        <v>25.4</v>
      </c>
      <c r="C282" cm="1">
        <f t="array" aca="1" ref="C282" ca="1">[1]!s_dq_volume($B$1,$A282)</f>
        <v>0</v>
      </c>
      <c r="D282" cm="1">
        <f t="array" aca="1" ref="D282" ca="1">[1]!s_dq_amount($B$1,$A282)</f>
        <v>0</v>
      </c>
      <c r="E282" cm="1">
        <f t="array" aca="1" ref="E282" ca="1">[1]!s_dq_turn($B$1,$A282)</f>
        <v>0</v>
      </c>
      <c r="F282" cm="1">
        <f t="array" aca="1" ref="F282" ca="1">[1]!s_val_pe_ttm($B$1,$A282)</f>
        <v>6.0442376136779803</v>
      </c>
    </row>
    <row r="283" spans="1:6">
      <c r="A283" s="23">
        <f t="shared" ca="1" si="4"/>
        <v>45892</v>
      </c>
      <c r="B283" cm="1">
        <f t="array" aca="1" ref="B283" ca="1">[1]!s_dq_close($B$1,$A283,3)</f>
        <v>25.4</v>
      </c>
      <c r="C283" cm="1">
        <f t="array" aca="1" ref="C283" ca="1">[1]!s_dq_volume($B$1,$A283)</f>
        <v>0</v>
      </c>
      <c r="D283" cm="1">
        <f t="array" aca="1" ref="D283" ca="1">[1]!s_dq_amount($B$1,$A283)</f>
        <v>0</v>
      </c>
      <c r="E283" cm="1">
        <f t="array" aca="1" ref="E283" ca="1">[1]!s_dq_turn($B$1,$A283)</f>
        <v>0</v>
      </c>
      <c r="F283" cm="1">
        <f t="array" aca="1" ref="F283" ca="1">[1]!s_val_pe_ttm($B$1,$A283)</f>
        <v>6.0442376136779803</v>
      </c>
    </row>
    <row r="284" spans="1:6">
      <c r="A284" s="23">
        <f t="shared" ca="1" si="4"/>
        <v>45891</v>
      </c>
      <c r="B284" cm="1">
        <f t="array" aca="1" ref="B284" ca="1">[1]!s_dq_close($B$1,$A284,3)</f>
        <v>25.4</v>
      </c>
      <c r="C284" cm="1">
        <f t="array" aca="1" ref="C284" ca="1">[1]!s_dq_volume($B$1,$A284)</f>
        <v>7452627</v>
      </c>
      <c r="D284" cm="1">
        <f t="array" aca="1" ref="D284" ca="1">[1]!s_dq_amount($B$1,$A284)</f>
        <v>188272373</v>
      </c>
      <c r="E284" cm="1">
        <f t="array" aca="1" ref="E284" ca="1">[1]!s_dq_turn($B$1,$A284)</f>
        <v>0.85454982033432003</v>
      </c>
      <c r="F284" cm="1">
        <f t="array" aca="1" ref="F284" ca="1">[1]!s_val_pe_ttm($B$1,$A284)</f>
        <v>6.0442376136779803</v>
      </c>
    </row>
    <row r="285" spans="1:6">
      <c r="A285" s="23">
        <f t="shared" ca="1" si="4"/>
        <v>45890</v>
      </c>
      <c r="B285" cm="1">
        <f t="array" aca="1" ref="B285" ca="1">[1]!s_dq_close($B$1,$A285,3)</f>
        <v>25.56</v>
      </c>
      <c r="C285" cm="1">
        <f t="array" aca="1" ref="C285" ca="1">[1]!s_dq_volume($B$1,$A285)</f>
        <v>7488474</v>
      </c>
      <c r="D285" cm="1">
        <f t="array" aca="1" ref="D285" ca="1">[1]!s_dq_amount($B$1,$A285)</f>
        <v>188963541</v>
      </c>
      <c r="E285" cm="1">
        <f t="array" aca="1" ref="E285" ca="1">[1]!s_dq_turn($B$1,$A285)</f>
        <v>0.85866018939069799</v>
      </c>
      <c r="F285" cm="1">
        <f t="array" aca="1" ref="F285" ca="1">[1]!s_val_pe_ttm($B$1,$A285)</f>
        <v>6.0823111534118697</v>
      </c>
    </row>
    <row r="286" spans="1:6">
      <c r="A286" s="23">
        <f t="shared" ca="1" si="4"/>
        <v>45889</v>
      </c>
      <c r="B286" cm="1">
        <f t="array" aca="1" ref="B286" ca="1">[1]!s_dq_close($B$1,$A286,3)</f>
        <v>25.24</v>
      </c>
      <c r="C286" cm="1">
        <f t="array" aca="1" ref="C286" ca="1">[1]!s_dq_volume($B$1,$A286)</f>
        <v>13245453</v>
      </c>
      <c r="D286" cm="1">
        <f t="array" aca="1" ref="D286" ca="1">[1]!s_dq_amount($B$1,$A286)</f>
        <v>331676957</v>
      </c>
      <c r="E286" cm="1">
        <f t="array" aca="1" ref="E286" ca="1">[1]!s_dq_turn($B$1,$A286)</f>
        <v>1.51877981836427</v>
      </c>
      <c r="F286" cm="1">
        <f t="array" aca="1" ref="F286" ca="1">[1]!s_val_pe_ttm($B$1,$A286)</f>
        <v>6.00616359710693</v>
      </c>
    </row>
    <row r="287" spans="1:6">
      <c r="A287" s="23">
        <f t="shared" ca="1" si="4"/>
        <v>45888</v>
      </c>
      <c r="B287" cm="1">
        <f t="array" aca="1" ref="B287" ca="1">[1]!s_dq_close($B$1,$A287,3)</f>
        <v>25.9</v>
      </c>
      <c r="C287" cm="1">
        <f t="array" aca="1" ref="C287" ca="1">[1]!s_dq_volume($B$1,$A287)</f>
        <v>11366500</v>
      </c>
      <c r="D287" cm="1">
        <f t="array" aca="1" ref="D287" ca="1">[1]!s_dq_amount($B$1,$A287)</f>
        <v>292274870</v>
      </c>
      <c r="E287" cm="1">
        <f t="array" aca="1" ref="E287" ca="1">[1]!s_dq_turn($B$1,$A287)</f>
        <v>1.3033310982597199</v>
      </c>
      <c r="F287" cm="1">
        <f t="array" aca="1" ref="F287" ca="1">[1]!s_val_pe_ttm($B$1,$A287)</f>
        <v>6.1632184982299796</v>
      </c>
    </row>
    <row r="288" spans="1:6">
      <c r="A288" s="23">
        <f t="shared" ca="1" si="4"/>
        <v>45887</v>
      </c>
      <c r="B288" cm="1">
        <f t="array" aca="1" ref="B288" ca="1">[1]!s_dq_close($B$1,$A288,3)</f>
        <v>25.92</v>
      </c>
      <c r="C288" cm="1">
        <f t="array" aca="1" ref="C288" ca="1">[1]!s_dq_volume($B$1,$A288)</f>
        <v>11103252</v>
      </c>
      <c r="D288" cm="1">
        <f t="array" aca="1" ref="D288" ca="1">[1]!s_dq_amount($B$1,$A288)</f>
        <v>288602310</v>
      </c>
      <c r="E288" cm="1">
        <f t="array" aca="1" ref="E288" ca="1">[1]!s_dq_turn($B$1,$A288)</f>
        <v>1.2731459660770199</v>
      </c>
      <c r="F288" cm="1">
        <f t="array" aca="1" ref="F288" ca="1">[1]!s_val_pe_ttm($B$1,$A288)</f>
        <v>6.1679778099060103</v>
      </c>
    </row>
    <row r="289" spans="1:6">
      <c r="A289" s="23">
        <f t="shared" ca="1" si="4"/>
        <v>45886</v>
      </c>
      <c r="B289" cm="1">
        <f t="array" aca="1" ref="B289" ca="1">[1]!s_dq_close($B$1,$A289,3)</f>
        <v>25.7</v>
      </c>
      <c r="C289" cm="1">
        <f t="array" aca="1" ref="C289" ca="1">[1]!s_dq_volume($B$1,$A289)</f>
        <v>0</v>
      </c>
      <c r="D289" cm="1">
        <f t="array" aca="1" ref="D289" ca="1">[1]!s_dq_amount($B$1,$A289)</f>
        <v>0</v>
      </c>
      <c r="E289" cm="1">
        <f t="array" aca="1" ref="E289" ca="1">[1]!s_dq_turn($B$1,$A289)</f>
        <v>0</v>
      </c>
      <c r="F289" cm="1">
        <f t="array" aca="1" ref="F289" ca="1">[1]!s_val_pe_ttm($B$1,$A289)</f>
        <v>6.1156258583068803</v>
      </c>
    </row>
    <row r="290" spans="1:6">
      <c r="A290" s="23">
        <f t="shared" ca="1" si="4"/>
        <v>45885</v>
      </c>
      <c r="B290" cm="1">
        <f t="array" aca="1" ref="B290" ca="1">[1]!s_dq_close($B$1,$A290,3)</f>
        <v>25.7</v>
      </c>
      <c r="C290" cm="1">
        <f t="array" aca="1" ref="C290" ca="1">[1]!s_dq_volume($B$1,$A290)</f>
        <v>0</v>
      </c>
      <c r="D290" cm="1">
        <f t="array" aca="1" ref="D290" ca="1">[1]!s_dq_amount($B$1,$A290)</f>
        <v>0</v>
      </c>
      <c r="E290" cm="1">
        <f t="array" aca="1" ref="E290" ca="1">[1]!s_dq_turn($B$1,$A290)</f>
        <v>0</v>
      </c>
      <c r="F290" cm="1">
        <f t="array" aca="1" ref="F290" ca="1">[1]!s_val_pe_ttm($B$1,$A290)</f>
        <v>6.1156258583068803</v>
      </c>
    </row>
    <row r="291" spans="1:6">
      <c r="A291" s="23">
        <f t="shared" ca="1" si="4"/>
        <v>45884</v>
      </c>
      <c r="B291" cm="1">
        <f t="array" aca="1" ref="B291" ca="1">[1]!s_dq_close($B$1,$A291,3)</f>
        <v>25.7</v>
      </c>
      <c r="C291" cm="1">
        <f t="array" aca="1" ref="C291" ca="1">[1]!s_dq_volume($B$1,$A291)</f>
        <v>13032302</v>
      </c>
      <c r="D291" cm="1">
        <f t="array" aca="1" ref="D291" ca="1">[1]!s_dq_amount($B$1,$A291)</f>
        <v>330311661</v>
      </c>
      <c r="E291" cm="1">
        <f t="array" aca="1" ref="E291" ca="1">[1]!s_dq_turn($B$1,$A291)</f>
        <v>1.49433902067588</v>
      </c>
      <c r="F291" cm="1">
        <f t="array" aca="1" ref="F291" ca="1">[1]!s_val_pe_ttm($B$1,$A291)</f>
        <v>6.1156258583068803</v>
      </c>
    </row>
    <row r="292" spans="1:6">
      <c r="A292" s="23">
        <f t="shared" ca="1" si="4"/>
        <v>45883</v>
      </c>
      <c r="B292" cm="1">
        <f t="array" aca="1" ref="B292" ca="1">[1]!s_dq_close($B$1,$A292,3)</f>
        <v>25.2</v>
      </c>
      <c r="C292" cm="1">
        <f t="array" aca="1" ref="C292" ca="1">[1]!s_dq_volume($B$1,$A292)</f>
        <v>10768200</v>
      </c>
      <c r="D292" cm="1">
        <f t="array" aca="1" ref="D292" ca="1">[1]!s_dq_amount($B$1,$A292)</f>
        <v>272262277</v>
      </c>
      <c r="E292" cm="1">
        <f t="array" aca="1" ref="E292" ca="1">[1]!s_dq_turn($B$1,$A292)</f>
        <v>1.2347274827150201</v>
      </c>
      <c r="F292" cm="1">
        <f t="array" aca="1" ref="F292" ca="1">[1]!s_val_pe_ttm($B$1,$A292)</f>
        <v>5.9966449737548801</v>
      </c>
    </row>
    <row r="293" spans="1:6">
      <c r="A293" s="23">
        <f t="shared" ca="1" si="4"/>
        <v>45882</v>
      </c>
      <c r="B293" cm="1">
        <f t="array" aca="1" ref="B293" ca="1">[1]!s_dq_close($B$1,$A293,3)</f>
        <v>24.98</v>
      </c>
      <c r="C293" cm="1">
        <f t="array" aca="1" ref="C293" ca="1">[1]!s_dq_volume($B$1,$A293)</f>
        <v>19453618</v>
      </c>
      <c r="D293" cm="1">
        <f t="array" aca="1" ref="D293" ca="1">[1]!s_dq_amount($B$1,$A293)</f>
        <v>481849158</v>
      </c>
      <c r="E293" cm="1">
        <f t="array" aca="1" ref="E293" ca="1">[1]!s_dq_turn($B$1,$A293)</f>
        <v>2.2306343476941102</v>
      </c>
      <c r="F293" cm="1">
        <f t="array" aca="1" ref="F293" ca="1">[1]!s_val_pe_ttm($B$1,$A293)</f>
        <v>5.9442934989929199</v>
      </c>
    </row>
    <row r="294" spans="1:6">
      <c r="A294" s="23">
        <f t="shared" ca="1" si="4"/>
        <v>45881</v>
      </c>
      <c r="B294" cm="1">
        <f t="array" aca="1" ref="B294" ca="1">[1]!s_dq_close($B$1,$A294,3)</f>
        <v>24.06</v>
      </c>
      <c r="C294" cm="1">
        <f t="array" aca="1" ref="C294" ca="1">[1]!s_dq_volume($B$1,$A294)</f>
        <v>13750500</v>
      </c>
      <c r="D294" cm="1">
        <f t="array" aca="1" ref="D294" ca="1">[1]!s_dq_amount($B$1,$A294)</f>
        <v>330011809</v>
      </c>
      <c r="E294" cm="1">
        <f t="array" aca="1" ref="E294" ca="1">[1]!s_dq_turn($B$1,$A294)</f>
        <v>1.5766906494189299</v>
      </c>
      <c r="F294" cm="1">
        <f t="array" aca="1" ref="F294" ca="1">[1]!s_val_pe_ttm($B$1,$A294)</f>
        <v>5.7253680229187003</v>
      </c>
    </row>
    <row r="295" spans="1:6">
      <c r="A295" s="23">
        <f t="shared" ca="1" si="4"/>
        <v>45880</v>
      </c>
      <c r="B295" cm="1">
        <f t="array" aca="1" ref="B295" ca="1">[1]!s_dq_close($B$1,$A295,3)</f>
        <v>24.16</v>
      </c>
      <c r="C295" cm="1">
        <f t="array" aca="1" ref="C295" ca="1">[1]!s_dq_volume($B$1,$A295)</f>
        <v>22678290</v>
      </c>
      <c r="D295" cm="1">
        <f t="array" aca="1" ref="D295" ca="1">[1]!s_dq_amount($B$1,$A295)</f>
        <v>540298114</v>
      </c>
      <c r="E295" cm="1">
        <f t="array" aca="1" ref="E295" ca="1">[1]!s_dq_turn($B$1,$A295)</f>
        <v>2.60038891588021</v>
      </c>
      <c r="F295" cm="1">
        <f t="array" aca="1" ref="F295" ca="1">[1]!s_val_pe_ttm($B$1,$A295)</f>
        <v>5.7491645812988299</v>
      </c>
    </row>
    <row r="296" spans="1:6">
      <c r="A296" s="23">
        <f t="shared" ca="1" si="4"/>
        <v>45879</v>
      </c>
      <c r="B296" cm="1">
        <f t="array" aca="1" ref="B296" ca="1">[1]!s_dq_close($B$1,$A296,3)</f>
        <v>23.54</v>
      </c>
      <c r="C296" cm="1">
        <f t="array" aca="1" ref="C296" ca="1">[1]!s_dq_volume($B$1,$A296)</f>
        <v>0</v>
      </c>
      <c r="D296" cm="1">
        <f t="array" aca="1" ref="D296" ca="1">[1]!s_dq_amount($B$1,$A296)</f>
        <v>0</v>
      </c>
      <c r="E296" cm="1">
        <f t="array" aca="1" ref="E296" ca="1">[1]!s_dq_turn($B$1,$A296)</f>
        <v>0</v>
      </c>
      <c r="F296" cm="1">
        <f t="array" aca="1" ref="F296" ca="1">[1]!s_val_pe_ttm($B$1,$A296)</f>
        <v>5.6016278266906703</v>
      </c>
    </row>
    <row r="297" spans="1:6">
      <c r="A297" s="23">
        <f t="shared" ca="1" si="4"/>
        <v>45878</v>
      </c>
      <c r="B297" cm="1">
        <f t="array" aca="1" ref="B297" ca="1">[1]!s_dq_close($B$1,$A297,3)</f>
        <v>23.54</v>
      </c>
      <c r="C297" cm="1">
        <f t="array" aca="1" ref="C297" ca="1">[1]!s_dq_volume($B$1,$A297)</f>
        <v>0</v>
      </c>
      <c r="D297" cm="1">
        <f t="array" aca="1" ref="D297" ca="1">[1]!s_dq_amount($B$1,$A297)</f>
        <v>0</v>
      </c>
      <c r="E297" cm="1">
        <f t="array" aca="1" ref="E297" ca="1">[1]!s_dq_turn($B$1,$A297)</f>
        <v>0</v>
      </c>
      <c r="F297" cm="1">
        <f t="array" aca="1" ref="F297" ca="1">[1]!s_val_pe_ttm($B$1,$A297)</f>
        <v>5.6016278266906703</v>
      </c>
    </row>
    <row r="298" spans="1:6">
      <c r="A298" s="23">
        <f t="shared" ca="1" si="4"/>
        <v>45877</v>
      </c>
      <c r="B298" cm="1">
        <f t="array" aca="1" ref="B298" ca="1">[1]!s_dq_close($B$1,$A298,3)</f>
        <v>23.54</v>
      </c>
      <c r="C298" cm="1">
        <f t="array" aca="1" ref="C298" ca="1">[1]!s_dq_volume($B$1,$A298)</f>
        <v>70287042</v>
      </c>
      <c r="D298" cm="1">
        <f t="array" aca="1" ref="D298" ca="1">[1]!s_dq_amount($B$1,$A298)</f>
        <v>1689958545</v>
      </c>
      <c r="E298" cm="1">
        <f t="array" aca="1" ref="E298" ca="1">[1]!s_dq_turn($B$1,$A298)</f>
        <v>8.0594103412032894</v>
      </c>
      <c r="F298" cm="1">
        <f t="array" aca="1" ref="F298" ca="1">[1]!s_val_pe_ttm($B$1,$A298)</f>
        <v>5.6016278266906703</v>
      </c>
    </row>
    <row r="299" spans="1:6">
      <c r="A299" s="23">
        <f t="shared" ca="1" si="4"/>
        <v>45876</v>
      </c>
      <c r="B299" cm="1">
        <f t="array" aca="1" ref="B299" ca="1">[1]!s_dq_close($B$1,$A299,3)</f>
        <v>28.02</v>
      </c>
      <c r="C299" cm="1">
        <f t="array" aca="1" ref="C299" ca="1">[1]!s_dq_volume($B$1,$A299)</f>
        <v>7630275</v>
      </c>
      <c r="D299" cm="1">
        <f t="array" aca="1" ref="D299" ca="1">[1]!s_dq_amount($B$1,$A299)</f>
        <v>213442311</v>
      </c>
      <c r="E299" cm="1">
        <f t="array" aca="1" ref="E299" ca="1">[1]!s_dq_turn($B$1,$A299)</f>
        <v>0.87491969346533205</v>
      </c>
      <c r="F299" cm="1">
        <f t="array" aca="1" ref="F299" ca="1">[1]!s_val_pe_ttm($B$1,$A299)</f>
        <v>82.510223388671903</v>
      </c>
    </row>
    <row r="300" spans="1:6">
      <c r="A300" s="23">
        <f t="shared" ca="1" si="4"/>
        <v>45875</v>
      </c>
      <c r="B300" cm="1">
        <f t="array" aca="1" ref="B300" ca="1">[1]!s_dq_close($B$1,$A300,3)</f>
        <v>28.6</v>
      </c>
      <c r="C300" cm="1">
        <f t="array" aca="1" ref="C300" ca="1">[1]!s_dq_volume($B$1,$A300)</f>
        <v>6011842</v>
      </c>
      <c r="D300" cm="1">
        <f t="array" aca="1" ref="D300" ca="1">[1]!s_dq_amount($B$1,$A300)</f>
        <v>171498787</v>
      </c>
      <c r="E300" cm="1">
        <f t="array" aca="1" ref="E300" ca="1">[1]!s_dq_turn($B$1,$A300)</f>
        <v>0.68934330149332901</v>
      </c>
      <c r="F300" cm="1">
        <f t="array" aca="1" ref="F300" ca="1">[1]!s_val_pe_ttm($B$1,$A300)</f>
        <v>85.164825439453097</v>
      </c>
    </row>
    <row r="301" spans="1:6">
      <c r="A301" s="23">
        <f t="shared" ca="1" si="4"/>
        <v>45874</v>
      </c>
      <c r="B301" cm="1">
        <f t="array" aca="1" ref="B301" ca="1">[1]!s_dq_close($B$1,$A301,3)</f>
        <v>28.46</v>
      </c>
      <c r="C301" cm="1">
        <f t="array" aca="1" ref="C301" ca="1">[1]!s_dq_volume($B$1,$A301)</f>
        <v>7087980</v>
      </c>
      <c r="D301" cm="1">
        <f t="array" aca="1" ref="D301" ca="1">[1]!s_dq_amount($B$1,$A301)</f>
        <v>198372546</v>
      </c>
      <c r="E301" cm="1">
        <f t="array" aca="1" ref="E301" ca="1">[1]!s_dq_turn($B$1,$A301)</f>
        <v>0.81273784875229305</v>
      </c>
      <c r="F301" cm="1">
        <f t="array" aca="1" ref="F301" ca="1">[1]!s_val_pe_ttm($B$1,$A301)</f>
        <v>84.747932434082003</v>
      </c>
    </row>
    <row r="302" spans="1:6">
      <c r="A302" s="23">
        <f t="shared" ca="1" si="4"/>
        <v>45873</v>
      </c>
      <c r="B302" cm="1">
        <f t="array" aca="1" ref="B302" ca="1">[1]!s_dq_close($B$1,$A302,3)</f>
        <v>27.28</v>
      </c>
      <c r="C302" cm="1">
        <f t="array" aca="1" ref="C302" ca="1">[1]!s_dq_volume($B$1,$A302)</f>
        <v>5703300</v>
      </c>
      <c r="D302" cm="1">
        <f t="array" aca="1" ref="D302" ca="1">[1]!s_dq_amount($B$1,$A302)</f>
        <v>153986456</v>
      </c>
      <c r="E302" cm="1">
        <f t="array" aca="1" ref="E302" ca="1">[1]!s_dq_turn($B$1,$A302)</f>
        <v>0.65396456716708495</v>
      </c>
      <c r="F302" cm="1">
        <f t="array" aca="1" ref="F302" ca="1">[1]!s_val_pe_ttm($B$1,$A302)</f>
        <v>81.234138488769503</v>
      </c>
    </row>
    <row r="303" spans="1:6">
      <c r="A303" s="23">
        <f t="shared" ca="1" si="4"/>
        <v>45872</v>
      </c>
      <c r="B303" cm="1">
        <f t="array" aca="1" ref="B303" ca="1">[1]!s_dq_close($B$1,$A303,3)</f>
        <v>27.3</v>
      </c>
      <c r="C303" cm="1">
        <f t="array" aca="1" ref="C303" ca="1">[1]!s_dq_volume($B$1,$A303)</f>
        <v>0</v>
      </c>
      <c r="D303" cm="1">
        <f t="array" aca="1" ref="D303" ca="1">[1]!s_dq_amount($B$1,$A303)</f>
        <v>0</v>
      </c>
      <c r="E303" cm="1">
        <f t="array" aca="1" ref="E303" ca="1">[1]!s_dq_turn($B$1,$A303)</f>
        <v>0</v>
      </c>
      <c r="F303" cm="1">
        <f t="array" aca="1" ref="F303" ca="1">[1]!s_val_pe_ttm($B$1,$A303)</f>
        <v>81.293693542480497</v>
      </c>
    </row>
    <row r="304" spans="1:6">
      <c r="A304" s="23">
        <f t="shared" ca="1" si="4"/>
        <v>45871</v>
      </c>
      <c r="B304" cm="1">
        <f t="array" aca="1" ref="B304" ca="1">[1]!s_dq_close($B$1,$A304,3)</f>
        <v>27.3</v>
      </c>
      <c r="C304" cm="1">
        <f t="array" aca="1" ref="C304" ca="1">[1]!s_dq_volume($B$1,$A304)</f>
        <v>0</v>
      </c>
      <c r="D304" cm="1">
        <f t="array" aca="1" ref="D304" ca="1">[1]!s_dq_amount($B$1,$A304)</f>
        <v>0</v>
      </c>
      <c r="E304" cm="1">
        <f t="array" aca="1" ref="E304" ca="1">[1]!s_dq_turn($B$1,$A304)</f>
        <v>0</v>
      </c>
      <c r="F304" cm="1">
        <f t="array" aca="1" ref="F304" ca="1">[1]!s_val_pe_ttm($B$1,$A304)</f>
        <v>81.293693542480497</v>
      </c>
    </row>
    <row r="305" spans="1:6">
      <c r="A305" s="23">
        <f t="shared" ca="1" si="4"/>
        <v>45870</v>
      </c>
      <c r="B305" cm="1">
        <f t="array" aca="1" ref="B305" ca="1">[1]!s_dq_close($B$1,$A305,3)</f>
        <v>27.3</v>
      </c>
      <c r="C305" cm="1">
        <f t="array" aca="1" ref="C305" ca="1">[1]!s_dq_volume($B$1,$A305)</f>
        <v>7798580</v>
      </c>
      <c r="D305" cm="1">
        <f t="array" aca="1" ref="D305" ca="1">[1]!s_dq_amount($B$1,$A305)</f>
        <v>217030631</v>
      </c>
      <c r="E305" cm="1">
        <f t="array" aca="1" ref="E305" ca="1">[1]!s_dq_turn($B$1,$A305)</f>
        <v>0.89421825859026904</v>
      </c>
      <c r="F305" cm="1">
        <f t="array" aca="1" ref="F305" ca="1">[1]!s_val_pe_ttm($B$1,$A305)</f>
        <v>81.293693542480497</v>
      </c>
    </row>
    <row r="306" spans="1:6">
      <c r="A306" s="23">
        <f t="shared" ca="1" si="4"/>
        <v>45869</v>
      </c>
      <c r="B306" cm="1">
        <f t="array" aca="1" ref="B306" ca="1">[1]!s_dq_close($B$1,$A306,3)</f>
        <v>28.2</v>
      </c>
      <c r="C306" cm="1">
        <f t="array" aca="1" ref="C306" ca="1">[1]!s_dq_volume($B$1,$A306)</f>
        <v>10760256</v>
      </c>
      <c r="D306" cm="1">
        <f t="array" aca="1" ref="D306" ca="1">[1]!s_dq_amount($B$1,$A306)</f>
        <v>307428298</v>
      </c>
      <c r="E306" cm="1">
        <f t="array" aca="1" ref="E306" ca="1">[1]!s_dq_turn($B$1,$A306)</f>
        <v>1.23381658998247</v>
      </c>
      <c r="F306" cm="1">
        <f t="array" aca="1" ref="F306" ca="1">[1]!s_val_pe_ttm($B$1,$A306)</f>
        <v>83.973709106445298</v>
      </c>
    </row>
    <row r="307" spans="1:6">
      <c r="A307" s="23">
        <f t="shared" ca="1" si="4"/>
        <v>45868</v>
      </c>
      <c r="B307" cm="1">
        <f t="array" aca="1" ref="B307" ca="1">[1]!s_dq_close($B$1,$A307,3)</f>
        <v>29.35</v>
      </c>
      <c r="C307" cm="1">
        <f t="array" aca="1" ref="C307" ca="1">[1]!s_dq_volume($B$1,$A307)</f>
        <v>14678000</v>
      </c>
      <c r="D307" cm="1">
        <f t="array" aca="1" ref="D307" ca="1">[1]!s_dq_amount($B$1,$A307)</f>
        <v>433600421</v>
      </c>
      <c r="E307" cm="1">
        <f t="array" aca="1" ref="E307" ca="1">[1]!s_dq_turn($B$1,$A307)</f>
        <v>1.6830417331857801</v>
      </c>
      <c r="F307" cm="1">
        <f t="array" aca="1" ref="F307" ca="1">[1]!s_val_pe_ttm($B$1,$A307)</f>
        <v>87.398162841796903</v>
      </c>
    </row>
    <row r="308" spans="1:6">
      <c r="A308" s="23">
        <f t="shared" ca="1" si="4"/>
        <v>45867</v>
      </c>
      <c r="B308" cm="1">
        <f t="array" aca="1" ref="B308" ca="1">[1]!s_dq_close($B$1,$A308,3)</f>
        <v>30.55</v>
      </c>
      <c r="C308" cm="1">
        <f t="array" aca="1" ref="C308" ca="1">[1]!s_dq_volume($B$1,$A308)</f>
        <v>16362795</v>
      </c>
      <c r="D308" cm="1">
        <f t="array" aca="1" ref="D308" ca="1">[1]!s_dq_amount($B$1,$A308)</f>
        <v>487568721</v>
      </c>
      <c r="E308" cm="1">
        <f t="array" aca="1" ref="E308" ca="1">[1]!s_dq_turn($B$1,$A308)</f>
        <v>1.8762274735361499</v>
      </c>
      <c r="F308" cm="1">
        <f t="array" aca="1" ref="F308" ca="1">[1]!s_val_pe_ttm($B$1,$A308)</f>
        <v>90.971511840820298</v>
      </c>
    </row>
    <row r="309" spans="1:6">
      <c r="A309" s="23">
        <f t="shared" ca="1" si="4"/>
        <v>45866</v>
      </c>
      <c r="B309" cm="1">
        <f t="array" aca="1" ref="B309" ca="1">[1]!s_dq_close($B$1,$A309,3)</f>
        <v>28.45</v>
      </c>
      <c r="C309" cm="1">
        <f t="array" aca="1" ref="C309" ca="1">[1]!s_dq_volume($B$1,$A309)</f>
        <v>5963510</v>
      </c>
      <c r="D309" cm="1">
        <f t="array" aca="1" ref="D309" ca="1">[1]!s_dq_amount($B$1,$A309)</f>
        <v>167269238</v>
      </c>
      <c r="E309" cm="1">
        <f t="array" aca="1" ref="E309" ca="1">[1]!s_dq_turn($B$1,$A309)</f>
        <v>0.68380134938484405</v>
      </c>
      <c r="F309" cm="1">
        <f t="array" aca="1" ref="F309" ca="1">[1]!s_val_pe_ttm($B$1,$A309)</f>
        <v>84.718154907226605</v>
      </c>
    </row>
    <row r="310" spans="1:6">
      <c r="A310" s="23">
        <f t="shared" ca="1" si="4"/>
        <v>45865</v>
      </c>
      <c r="B310" cm="1">
        <f t="array" aca="1" ref="B310" ca="1">[1]!s_dq_close($B$1,$A310,3)</f>
        <v>28</v>
      </c>
      <c r="C310" cm="1">
        <f t="array" aca="1" ref="C310" ca="1">[1]!s_dq_volume($B$1,$A310)</f>
        <v>0</v>
      </c>
      <c r="D310" cm="1">
        <f t="array" aca="1" ref="D310" ca="1">[1]!s_dq_amount($B$1,$A310)</f>
        <v>0</v>
      </c>
      <c r="E310" cm="1">
        <f t="array" aca="1" ref="E310" ca="1">[1]!s_dq_turn($B$1,$A310)</f>
        <v>0</v>
      </c>
      <c r="F310" cm="1">
        <f t="array" aca="1" ref="F310" ca="1">[1]!s_val_pe_ttm($B$1,$A310)</f>
        <v>83.378150939941406</v>
      </c>
    </row>
    <row r="311" spans="1:6">
      <c r="A311" s="23">
        <f t="shared" ca="1" si="4"/>
        <v>45864</v>
      </c>
      <c r="B311" cm="1">
        <f t="array" aca="1" ref="B311" ca="1">[1]!s_dq_close($B$1,$A311,3)</f>
        <v>28</v>
      </c>
      <c r="C311" cm="1">
        <f t="array" aca="1" ref="C311" ca="1">[1]!s_dq_volume($B$1,$A311)</f>
        <v>0</v>
      </c>
      <c r="D311" cm="1">
        <f t="array" aca="1" ref="D311" ca="1">[1]!s_dq_amount($B$1,$A311)</f>
        <v>0</v>
      </c>
      <c r="E311" cm="1">
        <f t="array" aca="1" ref="E311" ca="1">[1]!s_dq_turn($B$1,$A311)</f>
        <v>0</v>
      </c>
      <c r="F311" cm="1">
        <f t="array" aca="1" ref="F311" ca="1">[1]!s_val_pe_ttm($B$1,$A311)</f>
        <v>83.378150939941406</v>
      </c>
    </row>
    <row r="312" spans="1:6">
      <c r="A312" s="23">
        <f t="shared" ca="1" si="4"/>
        <v>45863</v>
      </c>
      <c r="B312" cm="1">
        <f t="array" aca="1" ref="B312" ca="1">[1]!s_dq_close($B$1,$A312,3)</f>
        <v>28</v>
      </c>
      <c r="C312" cm="1">
        <f t="array" aca="1" ref="C312" ca="1">[1]!s_dq_volume($B$1,$A312)</f>
        <v>7684500</v>
      </c>
      <c r="D312" cm="1">
        <f t="array" aca="1" ref="D312" ca="1">[1]!s_dq_amount($B$1,$A312)</f>
        <v>215158155</v>
      </c>
      <c r="E312" cm="1">
        <f t="array" aca="1" ref="E312" ca="1">[1]!s_dq_turn($B$1,$A312)</f>
        <v>0.88113736194754999</v>
      </c>
      <c r="F312" cm="1">
        <f t="array" aca="1" ref="F312" ca="1">[1]!s_val_pe_ttm($B$1,$A312)</f>
        <v>83.378150939941406</v>
      </c>
    </row>
    <row r="313" spans="1:6">
      <c r="A313" s="23">
        <f t="shared" ca="1" si="4"/>
        <v>45862</v>
      </c>
      <c r="B313" cm="1">
        <f t="array" aca="1" ref="B313" ca="1">[1]!s_dq_close($B$1,$A313,3)</f>
        <v>28.05</v>
      </c>
      <c r="C313" cm="1">
        <f t="array" aca="1" ref="C313" ca="1">[1]!s_dq_volume($B$1,$A313)</f>
        <v>4967000</v>
      </c>
      <c r="D313" cm="1">
        <f t="array" aca="1" ref="D313" ca="1">[1]!s_dq_amount($B$1,$A313)</f>
        <v>138543036</v>
      </c>
      <c r="E313" cm="1">
        <f t="array" aca="1" ref="E313" ca="1">[1]!s_dq_turn($B$1,$A313)</f>
        <v>0.56953728632877598</v>
      </c>
      <c r="F313" cm="1">
        <f t="array" aca="1" ref="F313" ca="1">[1]!s_val_pe_ttm($B$1,$A313)</f>
        <v>83.527038574218807</v>
      </c>
    </row>
    <row r="314" spans="1:6">
      <c r="A314" s="23">
        <f t="shared" ca="1" si="4"/>
        <v>45861</v>
      </c>
      <c r="B314" cm="1">
        <f t="array" aca="1" ref="B314" ca="1">[1]!s_dq_close($B$1,$A314,3)</f>
        <v>27.6</v>
      </c>
      <c r="C314" cm="1">
        <f t="array" aca="1" ref="C314" ca="1">[1]!s_dq_volume($B$1,$A314)</f>
        <v>7700520</v>
      </c>
      <c r="D314" cm="1">
        <f t="array" aca="1" ref="D314" ca="1">[1]!s_dq_amount($B$1,$A314)</f>
        <v>214165601</v>
      </c>
      <c r="E314" cm="1">
        <f t="array" aca="1" ref="E314" ca="1">[1]!s_dq_turn($B$1,$A314)</f>
        <v>0.88297428309250403</v>
      </c>
      <c r="F314" cm="1">
        <f t="array" aca="1" ref="F314" ca="1">[1]!s_val_pe_ttm($B$1,$A314)</f>
        <v>82.187034606933594</v>
      </c>
    </row>
    <row r="315" spans="1:6">
      <c r="A315" s="23">
        <f t="shared" ca="1" si="4"/>
        <v>45860</v>
      </c>
      <c r="B315" cm="1">
        <f t="array" aca="1" ref="B315" ca="1">[1]!s_dq_close($B$1,$A315,3)</f>
        <v>27.8</v>
      </c>
      <c r="C315" cm="1">
        <f t="array" aca="1" ref="C315" ca="1">[1]!s_dq_volume($B$1,$A315)</f>
        <v>11954600</v>
      </c>
      <c r="D315" cm="1">
        <f t="array" aca="1" ref="D315" ca="1">[1]!s_dq_amount($B$1,$A315)</f>
        <v>340197978</v>
      </c>
      <c r="E315" cm="1">
        <f t="array" aca="1" ref="E315" ca="1">[1]!s_dq_turn($B$1,$A315)</f>
        <v>1.3707651385435899</v>
      </c>
      <c r="F315" cm="1">
        <f t="array" aca="1" ref="F315" ca="1">[1]!s_val_pe_ttm($B$1,$A315)</f>
        <v>82.7825927734375</v>
      </c>
    </row>
    <row r="316" spans="1:6">
      <c r="A316" s="23">
        <f t="shared" ca="1" si="4"/>
        <v>45859</v>
      </c>
      <c r="B316" cm="1">
        <f t="array" aca="1" ref="B316" ca="1">[1]!s_dq_close($B$1,$A316,3)</f>
        <v>28.2</v>
      </c>
      <c r="C316" cm="1">
        <f t="array" aca="1" ref="C316" ca="1">[1]!s_dq_volume($B$1,$A316)</f>
        <v>9882612</v>
      </c>
      <c r="D316" cm="1">
        <f t="array" aca="1" ref="D316" ca="1">[1]!s_dq_amount($B$1,$A316)</f>
        <v>280502229</v>
      </c>
      <c r="E316" cm="1">
        <f t="array" aca="1" ref="E316" ca="1">[1]!s_dq_turn($B$1,$A316)</f>
        <v>1.1331822066277799</v>
      </c>
      <c r="F316" cm="1">
        <f t="array" aca="1" ref="F316" ca="1">[1]!s_val_pe_ttm($B$1,$A316)</f>
        <v>83.973709106445298</v>
      </c>
    </row>
    <row r="317" spans="1:6">
      <c r="A317" s="23">
        <f t="shared" ca="1" si="4"/>
        <v>45858</v>
      </c>
      <c r="B317" cm="1">
        <f t="array" aca="1" ref="B317" ca="1">[1]!s_dq_close($B$1,$A317,3)</f>
        <v>27.9</v>
      </c>
      <c r="C317" cm="1">
        <f t="array" aca="1" ref="C317" ca="1">[1]!s_dq_volume($B$1,$A317)</f>
        <v>0</v>
      </c>
      <c r="D317" cm="1">
        <f t="array" aca="1" ref="D317" ca="1">[1]!s_dq_amount($B$1,$A317)</f>
        <v>0</v>
      </c>
      <c r="E317" cm="1">
        <f t="array" aca="1" ref="E317" ca="1">[1]!s_dq_turn($B$1,$A317)</f>
        <v>0</v>
      </c>
      <c r="F317" cm="1">
        <f t="array" aca="1" ref="F317" ca="1">[1]!s_val_pe_ttm($B$1,$A317)</f>
        <v>83.080368041992202</v>
      </c>
    </row>
    <row r="318" spans="1:6">
      <c r="A318" s="23">
        <f t="shared" ca="1" si="4"/>
        <v>45857</v>
      </c>
      <c r="B318" cm="1">
        <f t="array" aca="1" ref="B318" ca="1">[1]!s_dq_close($B$1,$A318,3)</f>
        <v>27.9</v>
      </c>
      <c r="C318" cm="1">
        <f t="array" aca="1" ref="C318" ca="1">[1]!s_dq_volume($B$1,$A318)</f>
        <v>0</v>
      </c>
      <c r="D318" cm="1">
        <f t="array" aca="1" ref="D318" ca="1">[1]!s_dq_amount($B$1,$A318)</f>
        <v>0</v>
      </c>
      <c r="E318" cm="1">
        <f t="array" aca="1" ref="E318" ca="1">[1]!s_dq_turn($B$1,$A318)</f>
        <v>0</v>
      </c>
      <c r="F318" cm="1">
        <f t="array" aca="1" ref="F318" ca="1">[1]!s_val_pe_ttm($B$1,$A318)</f>
        <v>83.080368041992202</v>
      </c>
    </row>
    <row r="319" spans="1:6">
      <c r="A319" s="23">
        <f t="shared" ca="1" si="4"/>
        <v>45856</v>
      </c>
      <c r="B319" cm="1">
        <f t="array" aca="1" ref="B319" ca="1">[1]!s_dq_close($B$1,$A319,3)</f>
        <v>27.9</v>
      </c>
      <c r="C319" cm="1">
        <f t="array" aca="1" ref="C319" ca="1">[1]!s_dq_volume($B$1,$A319)</f>
        <v>10959146</v>
      </c>
      <c r="D319" cm="1">
        <f t="array" aca="1" ref="D319" ca="1">[1]!s_dq_amount($B$1,$A319)</f>
        <v>304593136</v>
      </c>
      <c r="E319" cm="1">
        <f t="array" aca="1" ref="E319" ca="1">[1]!s_dq_turn($B$1,$A319)</f>
        <v>1.25662216092629</v>
      </c>
      <c r="F319" cm="1">
        <f t="array" aca="1" ref="F319" ca="1">[1]!s_val_pe_ttm($B$1,$A319)</f>
        <v>83.080368041992202</v>
      </c>
    </row>
    <row r="320" spans="1:6">
      <c r="A320" s="23">
        <f t="shared" ca="1" si="4"/>
        <v>45855</v>
      </c>
      <c r="B320" cm="1">
        <f t="array" aca="1" ref="B320" ca="1">[1]!s_dq_close($B$1,$A320,3)</f>
        <v>27.5</v>
      </c>
      <c r="C320" cm="1">
        <f t="array" aca="1" ref="C320" ca="1">[1]!s_dq_volume($B$1,$A320)</f>
        <v>13248632</v>
      </c>
      <c r="D320" cm="1">
        <f t="array" aca="1" ref="D320" ca="1">[1]!s_dq_amount($B$1,$A320)</f>
        <v>363780614</v>
      </c>
      <c r="E320" cm="1">
        <f t="array" aca="1" ref="E320" ca="1">[1]!s_dq_turn($B$1,$A320)</f>
        <v>1.5191443359872301</v>
      </c>
      <c r="F320" cm="1">
        <f t="array" aca="1" ref="F320" ca="1">[1]!s_val_pe_ttm($B$1,$A320)</f>
        <v>81.889251708984403</v>
      </c>
    </row>
    <row r="321" spans="1:6">
      <c r="A321" s="23">
        <f t="shared" ca="1" si="4"/>
        <v>45854</v>
      </c>
      <c r="B321" cm="1">
        <f t="array" aca="1" ref="B321" ca="1">[1]!s_dq_close($B$1,$A321,3)</f>
        <v>26.9</v>
      </c>
      <c r="C321" cm="1">
        <f t="array" aca="1" ref="C321" ca="1">[1]!s_dq_volume($B$1,$A321)</f>
        <v>9198138</v>
      </c>
      <c r="D321" cm="1">
        <f t="array" aca="1" ref="D321" ca="1">[1]!s_dq_amount($B$1,$A321)</f>
        <v>244435905</v>
      </c>
      <c r="E321" cm="1">
        <f t="array" aca="1" ref="E321" ca="1">[1]!s_dq_turn($B$1,$A321)</f>
        <v>1.05469751475692</v>
      </c>
      <c r="F321" cm="1">
        <f t="array" aca="1" ref="F321" ca="1">[1]!s_val_pe_ttm($B$1,$A321)</f>
        <v>80.102577209472699</v>
      </c>
    </row>
    <row r="322" spans="1:6">
      <c r="A322" s="23">
        <f t="shared" ca="1" si="4"/>
        <v>45853</v>
      </c>
      <c r="B322" cm="1">
        <f t="array" aca="1" ref="B322" ca="1">[1]!s_dq_close($B$1,$A322,3)</f>
        <v>26.05</v>
      </c>
      <c r="C322" cm="1">
        <f t="array" aca="1" ref="C322" ca="1">[1]!s_dq_volume($B$1,$A322)</f>
        <v>4927950</v>
      </c>
      <c r="D322" cm="1">
        <f t="array" aca="1" ref="D322" ca="1">[1]!s_dq_amount($B$1,$A322)</f>
        <v>127473045</v>
      </c>
      <c r="E322" cm="1">
        <f t="array" aca="1" ref="E322" ca="1">[1]!s_dq_turn($B$1,$A322)</f>
        <v>0.56505964770764905</v>
      </c>
      <c r="F322" cm="1">
        <f t="array" aca="1" ref="F322" ca="1">[1]!s_val_pe_ttm($B$1,$A322)</f>
        <v>77.571456909179702</v>
      </c>
    </row>
    <row r="323" spans="1:6">
      <c r="A323" s="23">
        <f t="shared" ca="1" si="4"/>
        <v>45852</v>
      </c>
      <c r="B323" cm="1">
        <f t="array" aca="1" ref="B323" ca="1">[1]!s_dq_close($B$1,$A323,3)</f>
        <v>25.65</v>
      </c>
      <c r="C323" cm="1">
        <f t="array" aca="1" ref="C323" ca="1">[1]!s_dq_volume($B$1,$A323)</f>
        <v>3672150</v>
      </c>
      <c r="D323" cm="1">
        <f t="array" aca="1" ref="D323" ca="1">[1]!s_dq_amount($B$1,$A323)</f>
        <v>93738889</v>
      </c>
      <c r="E323" cm="1">
        <f t="array" aca="1" ref="E323" ca="1">[1]!s_dq_turn($B$1,$A323)</f>
        <v>0.42106429353577901</v>
      </c>
      <c r="F323" cm="1">
        <f t="array" aca="1" ref="F323" ca="1">[1]!s_val_pe_ttm($B$1,$A323)</f>
        <v>76.380340576171903</v>
      </c>
    </row>
    <row r="324" spans="1:6">
      <c r="A324" s="23">
        <f t="shared" ca="1" si="4"/>
        <v>45851</v>
      </c>
      <c r="B324" cm="1">
        <f t="array" aca="1" ref="B324" ca="1">[1]!s_dq_close($B$1,$A324,3)</f>
        <v>25.55</v>
      </c>
      <c r="C324" cm="1">
        <f t="array" aca="1" ref="C324" ca="1">[1]!s_dq_volume($B$1,$A324)</f>
        <v>0</v>
      </c>
      <c r="D324" cm="1">
        <f t="array" aca="1" ref="D324" ca="1">[1]!s_dq_amount($B$1,$A324)</f>
        <v>0</v>
      </c>
      <c r="E324" cm="1">
        <f t="array" aca="1" ref="E324" ca="1">[1]!s_dq_turn($B$1,$A324)</f>
        <v>0</v>
      </c>
      <c r="F324" cm="1">
        <f t="array" aca="1" ref="F324" ca="1">[1]!s_val_pe_ttm($B$1,$A324)</f>
        <v>76.082557678222699</v>
      </c>
    </row>
    <row r="325" spans="1:6">
      <c r="A325" s="23">
        <f t="shared" ca="1" si="4"/>
        <v>45850</v>
      </c>
      <c r="B325" cm="1">
        <f t="array" aca="1" ref="B325" ca="1">[1]!s_dq_close($B$1,$A325,3)</f>
        <v>25.55</v>
      </c>
      <c r="C325" cm="1">
        <f t="array" aca="1" ref="C325" ca="1">[1]!s_dq_volume($B$1,$A325)</f>
        <v>0</v>
      </c>
      <c r="D325" cm="1">
        <f t="array" aca="1" ref="D325" ca="1">[1]!s_dq_amount($B$1,$A325)</f>
        <v>0</v>
      </c>
      <c r="E325" cm="1">
        <f t="array" aca="1" ref="E325" ca="1">[1]!s_dq_turn($B$1,$A325)</f>
        <v>0</v>
      </c>
      <c r="F325" cm="1">
        <f t="array" aca="1" ref="F325" ca="1">[1]!s_val_pe_ttm($B$1,$A325)</f>
        <v>76.082557678222699</v>
      </c>
    </row>
    <row r="326" spans="1:6">
      <c r="A326" s="23">
        <f t="shared" ca="1" si="4"/>
        <v>45849</v>
      </c>
      <c r="B326" cm="1">
        <f t="array" aca="1" ref="B326" ca="1">[1]!s_dq_close($B$1,$A326,3)</f>
        <v>25.55</v>
      </c>
      <c r="C326" cm="1">
        <f t="array" aca="1" ref="C326" ca="1">[1]!s_dq_volume($B$1,$A326)</f>
        <v>6424870</v>
      </c>
      <c r="D326" cm="1">
        <f t="array" aca="1" ref="D326" ca="1">[1]!s_dq_amount($B$1,$A326)</f>
        <v>164891042</v>
      </c>
      <c r="E326" cm="1">
        <f t="array" aca="1" ref="E326" ca="1">[1]!s_dq_turn($B$1,$A326)</f>
        <v>0.73670284373166195</v>
      </c>
      <c r="F326" cm="1">
        <f t="array" aca="1" ref="F326" ca="1">[1]!s_val_pe_ttm($B$1,$A326)</f>
        <v>76.082557678222699</v>
      </c>
    </row>
    <row r="327" spans="1:6">
      <c r="A327" s="23">
        <f t="shared" ca="1" si="4"/>
        <v>45848</v>
      </c>
      <c r="B327" cm="1">
        <f t="array" aca="1" ref="B327" ca="1">[1]!s_dq_close($B$1,$A327,3)</f>
        <v>25.45</v>
      </c>
      <c r="C327" cm="1">
        <f t="array" aca="1" ref="C327" ca="1">[1]!s_dq_volume($B$1,$A327)</f>
        <v>4569500</v>
      </c>
      <c r="D327" cm="1">
        <f t="array" aca="1" ref="D327" ca="1">[1]!s_dq_amount($B$1,$A327)</f>
        <v>116757934</v>
      </c>
      <c r="E327" cm="1">
        <f t="array" aca="1" ref="E327" ca="1">[1]!s_dq_turn($B$1,$A327)</f>
        <v>0.52395825042869804</v>
      </c>
      <c r="F327" cm="1">
        <f t="array" aca="1" ref="F327" ca="1">[1]!s_val_pe_ttm($B$1,$A327)</f>
        <v>75.784782409667997</v>
      </c>
    </row>
    <row r="328" spans="1:6">
      <c r="A328" s="23">
        <f t="shared" ca="1" si="4"/>
        <v>45847</v>
      </c>
      <c r="B328" cm="1">
        <f t="array" aca="1" ref="B328" ca="1">[1]!s_dq_close($B$1,$A328,3)</f>
        <v>25.65</v>
      </c>
      <c r="C328" cm="1">
        <f t="array" aca="1" ref="C328" ca="1">[1]!s_dq_volume($B$1,$A328)</f>
        <v>9278077</v>
      </c>
      <c r="D328" cm="1">
        <f t="array" aca="1" ref="D328" ca="1">[1]!s_dq_amount($B$1,$A328)</f>
        <v>237909743</v>
      </c>
      <c r="E328" cm="1">
        <f t="array" aca="1" ref="E328" ca="1">[1]!s_dq_turn($B$1,$A328)</f>
        <v>1.06386365953884</v>
      </c>
      <c r="F328" cm="1">
        <f t="array" aca="1" ref="F328" ca="1">[1]!s_val_pe_ttm($B$1,$A328)</f>
        <v>76.380340576171903</v>
      </c>
    </row>
    <row r="329" spans="1:6">
      <c r="A329" s="23">
        <f t="shared" ca="1" si="4"/>
        <v>45846</v>
      </c>
      <c r="B329" cm="1">
        <f t="array" aca="1" ref="B329" ca="1">[1]!s_dq_close($B$1,$A329,3)</f>
        <v>25.2</v>
      </c>
      <c r="C329" cm="1">
        <f t="array" aca="1" ref="C329" ca="1">[1]!s_dq_volume($B$1,$A329)</f>
        <v>6955953</v>
      </c>
      <c r="D329" cm="1">
        <f t="array" aca="1" ref="D329" ca="1">[1]!s_dq_amount($B$1,$A329)</f>
        <v>174371180</v>
      </c>
      <c r="E329" cm="1">
        <f t="array" aca="1" ref="E329" ca="1">[1]!s_dq_turn($B$1,$A329)</f>
        <v>0.79759907297171495</v>
      </c>
      <c r="F329" cm="1">
        <f t="array" aca="1" ref="F329" ca="1">[1]!s_val_pe_ttm($B$1,$A329)</f>
        <v>75.040336608886705</v>
      </c>
    </row>
    <row r="330" spans="1:6">
      <c r="A330" s="23">
        <f t="shared" ca="1" si="4"/>
        <v>45845</v>
      </c>
      <c r="B330" cm="1">
        <f t="array" aca="1" ref="B330" ca="1">[1]!s_dq_close($B$1,$A330,3)</f>
        <v>24.5</v>
      </c>
      <c r="C330" cm="1">
        <f t="array" aca="1" ref="C330" ca="1">[1]!s_dq_volume($B$1,$A330)</f>
        <v>3905500</v>
      </c>
      <c r="D330" cm="1">
        <f t="array" aca="1" ref="D330" ca="1">[1]!s_dq_amount($B$1,$A330)</f>
        <v>95855950</v>
      </c>
      <c r="E330" cm="1">
        <f t="array" aca="1" ref="E330" ca="1">[1]!s_dq_turn($B$1,$A330)</f>
        <v>0.44782119423334699</v>
      </c>
      <c r="F330" cm="1">
        <f t="array" aca="1" ref="F330" ca="1">[1]!s_val_pe_ttm($B$1,$A330)</f>
        <v>72.955879211425795</v>
      </c>
    </row>
    <row r="331" spans="1:6">
      <c r="A331" s="23">
        <f t="shared" ca="1" si="4"/>
        <v>45844</v>
      </c>
      <c r="B331" cm="1">
        <f t="array" aca="1" ref="B331" ca="1">[1]!s_dq_close($B$1,$A331,3)</f>
        <v>24.95</v>
      </c>
      <c r="C331" cm="1">
        <f t="array" aca="1" ref="C331" ca="1">[1]!s_dq_volume($B$1,$A331)</f>
        <v>0</v>
      </c>
      <c r="D331" cm="1">
        <f t="array" aca="1" ref="D331" ca="1">[1]!s_dq_amount($B$1,$A331)</f>
        <v>0</v>
      </c>
      <c r="E331" cm="1">
        <f t="array" aca="1" ref="E331" ca="1">[1]!s_dq_turn($B$1,$A331)</f>
        <v>0</v>
      </c>
      <c r="F331" cm="1">
        <f t="array" aca="1" ref="F331" ca="1">[1]!s_val_pe_ttm($B$1,$A331)</f>
        <v>74.295883178710895</v>
      </c>
    </row>
    <row r="332" spans="1:6">
      <c r="A332" s="23">
        <f t="shared" ca="1" si="4"/>
        <v>45843</v>
      </c>
      <c r="B332" cm="1">
        <f t="array" aca="1" ref="B332" ca="1">[1]!s_dq_close($B$1,$A332,3)</f>
        <v>24.95</v>
      </c>
      <c r="C332" cm="1">
        <f t="array" aca="1" ref="C332" ca="1">[1]!s_dq_volume($B$1,$A332)</f>
        <v>0</v>
      </c>
      <c r="D332" cm="1">
        <f t="array" aca="1" ref="D332" ca="1">[1]!s_dq_amount($B$1,$A332)</f>
        <v>0</v>
      </c>
      <c r="E332" cm="1">
        <f t="array" aca="1" ref="E332" ca="1">[1]!s_dq_turn($B$1,$A332)</f>
        <v>0</v>
      </c>
      <c r="F332" cm="1">
        <f t="array" aca="1" ref="F332" ca="1">[1]!s_val_pe_ttm($B$1,$A332)</f>
        <v>74.295883178710895</v>
      </c>
    </row>
    <row r="333" spans="1:6">
      <c r="A333" s="23">
        <f t="shared" ref="A333:A396" ca="1" si="5">A332-1</f>
        <v>45842</v>
      </c>
      <c r="B333" cm="1">
        <f t="array" aca="1" ref="B333" ca="1">[1]!s_dq_close($B$1,$A333,3)</f>
        <v>24.95</v>
      </c>
      <c r="C333" cm="1">
        <f t="array" aca="1" ref="C333" ca="1">[1]!s_dq_volume($B$1,$A333)</f>
        <v>5509000</v>
      </c>
      <c r="D333" cm="1">
        <f t="array" aca="1" ref="D333" ca="1">[1]!s_dq_amount($B$1,$A333)</f>
        <v>137130150</v>
      </c>
      <c r="E333" cm="1">
        <f t="array" aca="1" ref="E333" ca="1">[1]!s_dq_turn($B$1,$A333)</f>
        <v>0.63168530509064402</v>
      </c>
      <c r="F333" cm="1">
        <f t="array" aca="1" ref="F333" ca="1">[1]!s_val_pe_ttm($B$1,$A333)</f>
        <v>74.295883178710895</v>
      </c>
    </row>
    <row r="334" spans="1:6">
      <c r="A334" s="23">
        <f t="shared" ca="1" si="5"/>
        <v>45841</v>
      </c>
      <c r="B334" cm="1">
        <f t="array" aca="1" ref="B334" ca="1">[1]!s_dq_close($B$1,$A334,3)</f>
        <v>25.2</v>
      </c>
      <c r="C334" cm="1">
        <f t="array" aca="1" ref="C334" ca="1">[1]!s_dq_volume($B$1,$A334)</f>
        <v>7240800</v>
      </c>
      <c r="D334" cm="1">
        <f t="array" aca="1" ref="D334" ca="1">[1]!s_dq_amount($B$1,$A334)</f>
        <v>183705167</v>
      </c>
      <c r="E334" cm="1">
        <f t="array" aca="1" ref="E334" ca="1">[1]!s_dq_turn($B$1,$A334)</f>
        <v>0.83026083810134998</v>
      </c>
      <c r="F334" cm="1">
        <f t="array" aca="1" ref="F334" ca="1">[1]!s_val_pe_ttm($B$1,$A334)</f>
        <v>75.040336608886705</v>
      </c>
    </row>
    <row r="335" spans="1:6">
      <c r="A335" s="23">
        <f t="shared" ca="1" si="5"/>
        <v>45840</v>
      </c>
      <c r="B335" cm="1">
        <f t="array" aca="1" ref="B335" ca="1">[1]!s_dq_close($B$1,$A335,3)</f>
        <v>24.9</v>
      </c>
      <c r="C335" cm="1">
        <f t="array" aca="1" ref="C335" ca="1">[1]!s_dq_volume($B$1,$A335)</f>
        <v>11477824</v>
      </c>
      <c r="D335" cm="1">
        <f t="array" aca="1" ref="D335" ca="1">[1]!s_dq_amount($B$1,$A335)</f>
        <v>284417962</v>
      </c>
      <c r="E335" cm="1">
        <f t="array" aca="1" ref="E335" ca="1">[1]!s_dq_turn($B$1,$A335)</f>
        <v>1.3160959802535299</v>
      </c>
      <c r="F335" cm="1">
        <f t="array" aca="1" ref="F335" ca="1">[1]!s_val_pe_ttm($B$1,$A335)</f>
        <v>74.104454040527301</v>
      </c>
    </row>
    <row r="336" spans="1:6">
      <c r="A336" s="23">
        <f t="shared" ca="1" si="5"/>
        <v>45839</v>
      </c>
      <c r="B336" cm="1">
        <f t="array" aca="1" ref="B336" ca="1">[1]!s_dq_close($B$1,$A336,3)</f>
        <v>23.55</v>
      </c>
      <c r="C336" cm="1">
        <f t="array" aca="1" ref="C336" ca="1">[1]!s_dq_volume($B$1,$A336)</f>
        <v>0</v>
      </c>
      <c r="D336" cm="1">
        <f t="array" aca="1" ref="D336" ca="1">[1]!s_dq_amount($B$1,$A336)</f>
        <v>0</v>
      </c>
      <c r="E336" cm="1">
        <f t="array" aca="1" ref="E336" ca="1">[1]!s_dq_turn($B$1,$A336)</f>
        <v>0</v>
      </c>
      <c r="F336" cm="1">
        <f t="array" aca="1" ref="F336" ca="1">[1]!s_val_pe_ttm($B$1,$A336)</f>
        <v>70.086746215820298</v>
      </c>
    </row>
    <row r="337" spans="1:6">
      <c r="A337" s="23">
        <f t="shared" ca="1" si="5"/>
        <v>45838</v>
      </c>
      <c r="B337" cm="1">
        <f t="array" aca="1" ref="B337" ca="1">[1]!s_dq_close($B$1,$A337,3)</f>
        <v>23.55</v>
      </c>
      <c r="C337" cm="1">
        <f t="array" aca="1" ref="C337" ca="1">[1]!s_dq_volume($B$1,$A337)</f>
        <v>5160036</v>
      </c>
      <c r="D337" cm="1">
        <f t="array" aca="1" ref="D337" ca="1">[1]!s_dq_amount($B$1,$A337)</f>
        <v>121351529</v>
      </c>
      <c r="E337" cm="1">
        <f t="array" aca="1" ref="E337" ca="1">[1]!s_dq_turn($B$1,$A337)</f>
        <v>0.59167161280426706</v>
      </c>
      <c r="F337" cm="1">
        <f t="array" aca="1" ref="F337" ca="1">[1]!s_val_pe_ttm($B$1,$A337)</f>
        <v>70.086746215820298</v>
      </c>
    </row>
    <row r="338" spans="1:6">
      <c r="A338" s="23">
        <f t="shared" ca="1" si="5"/>
        <v>45837</v>
      </c>
      <c r="B338" cm="1">
        <f t="array" aca="1" ref="B338" ca="1">[1]!s_dq_close($B$1,$A338,3)</f>
        <v>23.75</v>
      </c>
      <c r="C338" cm="1">
        <f t="array" aca="1" ref="C338" ca="1">[1]!s_dq_volume($B$1,$A338)</f>
        <v>0</v>
      </c>
      <c r="D338" cm="1">
        <f t="array" aca="1" ref="D338" ca="1">[1]!s_dq_amount($B$1,$A338)</f>
        <v>0</v>
      </c>
      <c r="E338" cm="1">
        <f t="array" aca="1" ref="E338" ca="1">[1]!s_dq_turn($B$1,$A338)</f>
        <v>0</v>
      </c>
      <c r="F338" cm="1">
        <f t="array" aca="1" ref="F338" ca="1">[1]!s_val_pe_ttm($B$1,$A338)</f>
        <v>70.681961059570298</v>
      </c>
    </row>
    <row r="339" spans="1:6">
      <c r="A339" s="23">
        <f t="shared" ca="1" si="5"/>
        <v>45836</v>
      </c>
      <c r="B339" cm="1">
        <f t="array" aca="1" ref="B339" ca="1">[1]!s_dq_close($B$1,$A339,3)</f>
        <v>23.75</v>
      </c>
      <c r="C339" cm="1">
        <f t="array" aca="1" ref="C339" ca="1">[1]!s_dq_volume($B$1,$A339)</f>
        <v>0</v>
      </c>
      <c r="D339" cm="1">
        <f t="array" aca="1" ref="D339" ca="1">[1]!s_dq_amount($B$1,$A339)</f>
        <v>0</v>
      </c>
      <c r="E339" cm="1">
        <f t="array" aca="1" ref="E339" ca="1">[1]!s_dq_turn($B$1,$A339)</f>
        <v>0</v>
      </c>
      <c r="F339" cm="1">
        <f t="array" aca="1" ref="F339" ca="1">[1]!s_val_pe_ttm($B$1,$A339)</f>
        <v>70.681961059570298</v>
      </c>
    </row>
    <row r="340" spans="1:6">
      <c r="A340" s="23">
        <f t="shared" ca="1" si="5"/>
        <v>45835</v>
      </c>
      <c r="B340" cm="1">
        <f t="array" aca="1" ref="B340" ca="1">[1]!s_dq_close($B$1,$A340,3)</f>
        <v>23.75</v>
      </c>
      <c r="C340" cm="1">
        <f t="array" aca="1" ref="C340" ca="1">[1]!s_dq_volume($B$1,$A340)</f>
        <v>5231500</v>
      </c>
      <c r="D340" cm="1">
        <f t="array" aca="1" ref="D340" ca="1">[1]!s_dq_amount($B$1,$A340)</f>
        <v>124158837</v>
      </c>
      <c r="E340" cm="1">
        <f t="array" aca="1" ref="E340" ca="1">[1]!s_dq_turn($B$1,$A340)</f>
        <v>0.600210349548155</v>
      </c>
      <c r="F340" cm="1">
        <f t="array" aca="1" ref="F340" ca="1">[1]!s_val_pe_ttm($B$1,$A340)</f>
        <v>70.681961059570298</v>
      </c>
    </row>
    <row r="341" spans="1:6">
      <c r="A341" s="23">
        <f t="shared" ca="1" si="5"/>
        <v>45834</v>
      </c>
      <c r="B341" cm="1">
        <f t="array" aca="1" ref="B341" ca="1">[1]!s_dq_close($B$1,$A341,3)</f>
        <v>24.2</v>
      </c>
      <c r="C341" cm="1">
        <f t="array" aca="1" ref="C341" ca="1">[1]!s_dq_volume($B$1,$A341)</f>
        <v>7054000</v>
      </c>
      <c r="D341" cm="1">
        <f t="array" aca="1" ref="D341" ca="1">[1]!s_dq_amount($B$1,$A341)</f>
        <v>168909837</v>
      </c>
      <c r="E341" cm="1">
        <f t="array" aca="1" ref="E341" ca="1">[1]!s_dq_turn($B$1,$A341)</f>
        <v>0.80930589806225495</v>
      </c>
      <c r="F341" cm="1">
        <f t="array" aca="1" ref="F341" ca="1">[1]!s_val_pe_ttm($B$1,$A341)</f>
        <v>72.021194458007798</v>
      </c>
    </row>
    <row r="342" spans="1:6">
      <c r="A342" s="23">
        <f t="shared" ca="1" si="5"/>
        <v>45833</v>
      </c>
      <c r="B342" cm="1">
        <f t="array" aca="1" ref="B342" ca="1">[1]!s_dq_close($B$1,$A342,3)</f>
        <v>24.7</v>
      </c>
      <c r="C342" cm="1">
        <f t="array" aca="1" ref="C342" ca="1">[1]!s_dq_volume($B$1,$A342)</f>
        <v>7265000</v>
      </c>
      <c r="D342" cm="1">
        <f t="array" aca="1" ref="D342" ca="1">[1]!s_dq_amount($B$1,$A342)</f>
        <v>180145065</v>
      </c>
      <c r="E342" cm="1">
        <f t="array" aca="1" ref="E342" ca="1">[1]!s_dq_turn($B$1,$A342)</f>
        <v>0.83351394236210397</v>
      </c>
      <c r="F342" cm="1">
        <f t="array" aca="1" ref="F342" ca="1">[1]!s_val_pe_ttm($B$1,$A342)</f>
        <v>73.509239196777301</v>
      </c>
    </row>
    <row r="343" spans="1:6">
      <c r="A343" s="23">
        <f t="shared" ca="1" si="5"/>
        <v>45832</v>
      </c>
      <c r="B343" cm="1">
        <f t="array" aca="1" ref="B343" ca="1">[1]!s_dq_close($B$1,$A343,3)</f>
        <v>25.1</v>
      </c>
      <c r="C343" cm="1">
        <f t="array" aca="1" ref="C343" ca="1">[1]!s_dq_volume($B$1,$A343)</f>
        <v>7831399</v>
      </c>
      <c r="D343" cm="1">
        <f t="array" aca="1" ref="D343" ca="1">[1]!s_dq_amount($B$1,$A343)</f>
        <v>193785455</v>
      </c>
      <c r="E343" cm="1">
        <f t="array" aca="1" ref="E343" ca="1">[1]!s_dq_turn($B$1,$A343)</f>
        <v>0.89849693801798203</v>
      </c>
      <c r="F343" cm="1">
        <f t="array" aca="1" ref="F343" ca="1">[1]!s_val_pe_ttm($B$1,$A343)</f>
        <v>74.699668884277301</v>
      </c>
    </row>
    <row r="344" spans="1:6">
      <c r="A344" s="23">
        <f t="shared" ca="1" si="5"/>
        <v>45831</v>
      </c>
      <c r="B344" cm="1">
        <f t="array" aca="1" ref="B344" ca="1">[1]!s_dq_close($B$1,$A344,3)</f>
        <v>24.15</v>
      </c>
      <c r="C344" cm="1">
        <f t="array" aca="1" ref="C344" ca="1">[1]!s_dq_volume($B$1,$A344)</f>
        <v>9012381</v>
      </c>
      <c r="D344" cm="1">
        <f t="array" aca="1" ref="D344" ca="1">[1]!s_dq_amount($B$1,$A344)</f>
        <v>213686923</v>
      </c>
      <c r="E344" cm="1">
        <f t="array" aca="1" ref="E344" ca="1">[1]!s_dq_turn($B$1,$A344)</f>
        <v>1.0339910829152501</v>
      </c>
      <c r="F344" cm="1">
        <f t="array" aca="1" ref="F344" ca="1">[1]!s_val_pe_ttm($B$1,$A344)</f>
        <v>71.872390747070298</v>
      </c>
    </row>
    <row r="345" spans="1:6">
      <c r="A345" s="23">
        <f t="shared" ca="1" si="5"/>
        <v>45830</v>
      </c>
      <c r="B345" cm="1">
        <f t="array" aca="1" ref="B345" ca="1">[1]!s_dq_close($B$1,$A345,3)</f>
        <v>23.65</v>
      </c>
      <c r="C345" cm="1">
        <f t="array" aca="1" ref="C345" ca="1">[1]!s_dq_volume($B$1,$A345)</f>
        <v>0</v>
      </c>
      <c r="D345" cm="1">
        <f t="array" aca="1" ref="D345" ca="1">[1]!s_dq_amount($B$1,$A345)</f>
        <v>0</v>
      </c>
      <c r="E345" cm="1">
        <f t="array" aca="1" ref="E345" ca="1">[1]!s_dq_turn($B$1,$A345)</f>
        <v>0</v>
      </c>
      <c r="F345" cm="1">
        <f t="array" aca="1" ref="F345" ca="1">[1]!s_val_pe_ttm($B$1,$A345)</f>
        <v>70.384353637695298</v>
      </c>
    </row>
    <row r="346" spans="1:6">
      <c r="A346" s="23">
        <f t="shared" ca="1" si="5"/>
        <v>45829</v>
      </c>
      <c r="B346" cm="1">
        <f t="array" aca="1" ref="B346" ca="1">[1]!s_dq_close($B$1,$A346,3)</f>
        <v>23.65</v>
      </c>
      <c r="C346" cm="1">
        <f t="array" aca="1" ref="C346" ca="1">[1]!s_dq_volume($B$1,$A346)</f>
        <v>0</v>
      </c>
      <c r="D346" cm="1">
        <f t="array" aca="1" ref="D346" ca="1">[1]!s_dq_amount($B$1,$A346)</f>
        <v>0</v>
      </c>
      <c r="E346" cm="1">
        <f t="array" aca="1" ref="E346" ca="1">[1]!s_dq_turn($B$1,$A346)</f>
        <v>0</v>
      </c>
      <c r="F346" cm="1">
        <f t="array" aca="1" ref="F346" ca="1">[1]!s_val_pe_ttm($B$1,$A346)</f>
        <v>70.384353637695298</v>
      </c>
    </row>
    <row r="347" spans="1:6">
      <c r="A347" s="23">
        <f t="shared" ca="1" si="5"/>
        <v>45828</v>
      </c>
      <c r="B347" cm="1">
        <f t="array" aca="1" ref="B347" ca="1">[1]!s_dq_close($B$1,$A347,3)</f>
        <v>23.65</v>
      </c>
      <c r="C347" cm="1">
        <f t="array" aca="1" ref="C347" ca="1">[1]!s_dq_volume($B$1,$A347)</f>
        <v>6771400</v>
      </c>
      <c r="D347" cm="1">
        <f t="array" aca="1" ref="D347" ca="1">[1]!s_dq_amount($B$1,$A347)</f>
        <v>159282277</v>
      </c>
      <c r="E347" cm="1">
        <f t="array" aca="1" ref="E347" ca="1">[1]!s_dq_turn($B$1,$A347)</f>
        <v>0.77688318090994501</v>
      </c>
      <c r="F347" cm="1">
        <f t="array" aca="1" ref="F347" ca="1">[1]!s_val_pe_ttm($B$1,$A347)</f>
        <v>70.384353637695298</v>
      </c>
    </row>
    <row r="348" spans="1:6">
      <c r="A348" s="23">
        <f t="shared" ca="1" si="5"/>
        <v>45827</v>
      </c>
      <c r="B348" cm="1">
        <f t="array" aca="1" ref="B348" ca="1">[1]!s_dq_close($B$1,$A348,3)</f>
        <v>23.75</v>
      </c>
      <c r="C348" cm="1">
        <f t="array" aca="1" ref="C348" ca="1">[1]!s_dq_volume($B$1,$A348)</f>
        <v>9751000</v>
      </c>
      <c r="D348" cm="1">
        <f t="array" aca="1" ref="D348" ca="1">[1]!s_dq_amount($B$1,$A348)</f>
        <v>234413305</v>
      </c>
      <c r="E348" cm="1">
        <f t="array" aca="1" ref="E348" ca="1">[1]!s_dq_turn($B$1,$A348)</f>
        <v>1.11873289084279</v>
      </c>
      <c r="F348" cm="1">
        <f t="array" aca="1" ref="F348" ca="1">[1]!s_val_pe_ttm($B$1,$A348)</f>
        <v>70.681961059570298</v>
      </c>
    </row>
    <row r="349" spans="1:6">
      <c r="A349" s="23">
        <f t="shared" ca="1" si="5"/>
        <v>45826</v>
      </c>
      <c r="B349" cm="1">
        <f t="array" aca="1" ref="B349" ca="1">[1]!s_dq_close($B$1,$A349,3)</f>
        <v>24.55</v>
      </c>
      <c r="C349" cm="1">
        <f t="array" aca="1" ref="C349" ca="1">[1]!s_dq_volume($B$1,$A349)</f>
        <v>10746339</v>
      </c>
      <c r="D349" cm="1">
        <f t="array" aca="1" ref="D349" ca="1">[1]!s_dq_amount($B$1,$A349)</f>
        <v>264521527</v>
      </c>
      <c r="E349" cm="1">
        <f t="array" aca="1" ref="E349" ca="1">[1]!s_dq_turn($B$1,$A349)</f>
        <v>1.2329282017687</v>
      </c>
      <c r="F349" cm="1">
        <f t="array" aca="1" ref="F349" ca="1">[1]!s_val_pe_ttm($B$1,$A349)</f>
        <v>73.062828063964801</v>
      </c>
    </row>
    <row r="350" spans="1:6">
      <c r="A350" s="23">
        <f t="shared" ca="1" si="5"/>
        <v>45825</v>
      </c>
      <c r="B350" cm="1">
        <f t="array" aca="1" ref="B350" ca="1">[1]!s_dq_close($B$1,$A350,3)</f>
        <v>24.95</v>
      </c>
      <c r="C350" cm="1">
        <f t="array" aca="1" ref="C350" ca="1">[1]!s_dq_volume($B$1,$A350)</f>
        <v>17266624</v>
      </c>
      <c r="D350" cm="1">
        <f t="array" aca="1" ref="D350" ca="1">[1]!s_dq_amount($B$1,$A350)</f>
        <v>435215158</v>
      </c>
      <c r="E350" cm="1">
        <f t="array" aca="1" ref="E350" ca="1">[1]!s_dq_turn($B$1,$A350)</f>
        <v>1.98100094171013</v>
      </c>
      <c r="F350" cm="1">
        <f t="array" aca="1" ref="F350" ca="1">[1]!s_val_pe_ttm($B$1,$A350)</f>
        <v>74.253257751464801</v>
      </c>
    </row>
    <row r="351" spans="1:6">
      <c r="A351" s="23">
        <f t="shared" ca="1" si="5"/>
        <v>45824</v>
      </c>
      <c r="B351" cm="1">
        <f t="array" aca="1" ref="B351" ca="1">[1]!s_dq_close($B$1,$A351,3)</f>
        <v>26.4</v>
      </c>
      <c r="C351" cm="1">
        <f t="array" aca="1" ref="C351" ca="1">[1]!s_dq_volume($B$1,$A351)</f>
        <v>14640965</v>
      </c>
      <c r="D351" cm="1">
        <f t="array" aca="1" ref="D351" ca="1">[1]!s_dq_amount($B$1,$A351)</f>
        <v>385723882</v>
      </c>
      <c r="E351" cm="1">
        <f t="array" aca="1" ref="E351" ca="1">[1]!s_dq_turn($B$1,$A351)</f>
        <v>1.6797589066945</v>
      </c>
      <c r="F351" cm="1">
        <f t="array" aca="1" ref="F351" ca="1">[1]!s_val_pe_ttm($B$1,$A351)</f>
        <v>78.568580627441406</v>
      </c>
    </row>
    <row r="352" spans="1:6">
      <c r="A352" s="23">
        <f t="shared" ca="1" si="5"/>
        <v>45823</v>
      </c>
      <c r="B352" cm="1">
        <f t="array" aca="1" ref="B352" ca="1">[1]!s_dq_close($B$1,$A352,3)</f>
        <v>27.2</v>
      </c>
      <c r="C352" cm="1">
        <f t="array" aca="1" ref="C352" ca="1">[1]!s_dq_volume($B$1,$A352)</f>
        <v>0</v>
      </c>
      <c r="D352" cm="1">
        <f t="array" aca="1" ref="D352" ca="1">[1]!s_dq_amount($B$1,$A352)</f>
        <v>0</v>
      </c>
      <c r="E352" cm="1">
        <f t="array" aca="1" ref="E352" ca="1">[1]!s_dq_turn($B$1,$A352)</f>
        <v>0</v>
      </c>
      <c r="F352" cm="1">
        <f t="array" aca="1" ref="F352" ca="1">[1]!s_val_pe_ttm($B$1,$A352)</f>
        <v>80.949447631835895</v>
      </c>
    </row>
    <row r="353" spans="1:6">
      <c r="A353" s="23">
        <f t="shared" ca="1" si="5"/>
        <v>45822</v>
      </c>
      <c r="B353" cm="1">
        <f t="array" aca="1" ref="B353" ca="1">[1]!s_dq_close($B$1,$A353,3)</f>
        <v>27.2</v>
      </c>
      <c r="C353" cm="1">
        <f t="array" aca="1" ref="C353" ca="1">[1]!s_dq_volume($B$1,$A353)</f>
        <v>0</v>
      </c>
      <c r="D353" cm="1">
        <f t="array" aca="1" ref="D353" ca="1">[1]!s_dq_amount($B$1,$A353)</f>
        <v>0</v>
      </c>
      <c r="E353" cm="1">
        <f t="array" aca="1" ref="E353" ca="1">[1]!s_dq_turn($B$1,$A353)</f>
        <v>0</v>
      </c>
      <c r="F353" cm="1">
        <f t="array" aca="1" ref="F353" ca="1">[1]!s_val_pe_ttm($B$1,$A353)</f>
        <v>80.949447631835895</v>
      </c>
    </row>
    <row r="354" spans="1:6">
      <c r="A354" s="23">
        <f t="shared" ca="1" si="5"/>
        <v>45821</v>
      </c>
      <c r="B354" cm="1">
        <f t="array" aca="1" ref="B354" ca="1">[1]!s_dq_close($B$1,$A354,3)</f>
        <v>27.2</v>
      </c>
      <c r="C354" cm="1">
        <f t="array" aca="1" ref="C354" ca="1">[1]!s_dq_volume($B$1,$A354)</f>
        <v>19038988</v>
      </c>
      <c r="D354" cm="1">
        <f t="array" aca="1" ref="D354" ca="1">[1]!s_dq_amount($B$1,$A354)</f>
        <v>519878782</v>
      </c>
      <c r="E354" cm="1">
        <f t="array" aca="1" ref="E354" ca="1">[1]!s_dq_turn($B$1,$A354)</f>
        <v>2.18434438354643</v>
      </c>
      <c r="F354" cm="1">
        <f t="array" aca="1" ref="F354" ca="1">[1]!s_val_pe_ttm($B$1,$A354)</f>
        <v>80.949447631835895</v>
      </c>
    </row>
    <row r="355" spans="1:6">
      <c r="A355" s="23">
        <f t="shared" ca="1" si="5"/>
        <v>45820</v>
      </c>
      <c r="B355" cm="1">
        <f t="array" aca="1" ref="B355" ca="1">[1]!s_dq_close($B$1,$A355,3)</f>
        <v>28.15</v>
      </c>
      <c r="C355" cm="1">
        <f t="array" aca="1" ref="C355" ca="1">[1]!s_dq_volume($B$1,$A355)</f>
        <v>18977580</v>
      </c>
      <c r="D355" cm="1">
        <f t="array" aca="1" ref="D355" ca="1">[1]!s_dq_amount($B$1,$A355)</f>
        <v>526743624</v>
      </c>
      <c r="E355" cm="1">
        <f t="array" aca="1" ref="E355" ca="1">[1]!s_dq_turn($B$1,$A355)</f>
        <v>2.1772990395447001</v>
      </c>
      <c r="F355" cm="1">
        <f t="array" aca="1" ref="F355" ca="1">[1]!s_val_pe_ttm($B$1,$A355)</f>
        <v>83.776725769042997</v>
      </c>
    </row>
    <row r="356" spans="1:6">
      <c r="A356" s="23">
        <f t="shared" ca="1" si="5"/>
        <v>45819</v>
      </c>
      <c r="B356" cm="1">
        <f t="array" aca="1" ref="B356" ca="1">[1]!s_dq_close($B$1,$A356,3)</f>
        <v>27.2</v>
      </c>
      <c r="C356" cm="1">
        <f t="array" aca="1" ref="C356" ca="1">[1]!s_dq_volume($B$1,$A356)</f>
        <v>19454500</v>
      </c>
      <c r="D356" cm="1">
        <f t="array" aca="1" ref="D356" ca="1">[1]!s_dq_amount($B$1,$A356)</f>
        <v>527882400</v>
      </c>
      <c r="E356" cm="1">
        <f t="array" aca="1" ref="E356" ca="1">[1]!s_dq_turn($B$1,$A356)</f>
        <v>2.2320161034664201</v>
      </c>
      <c r="F356" cm="1">
        <f t="array" aca="1" ref="F356" ca="1">[1]!s_val_pe_ttm($B$1,$A356)</f>
        <v>80.949447631835895</v>
      </c>
    </row>
    <row r="357" spans="1:6">
      <c r="A357" s="23">
        <f t="shared" ca="1" si="5"/>
        <v>45818</v>
      </c>
      <c r="B357" cm="1">
        <f t="array" aca="1" ref="B357" ca="1">[1]!s_dq_close($B$1,$A357,3)</f>
        <v>26.15</v>
      </c>
      <c r="C357" cm="1">
        <f t="array" aca="1" ref="C357" ca="1">[1]!s_dq_volume($B$1,$A357)</f>
        <v>19933077</v>
      </c>
      <c r="D357" cm="1">
        <f t="array" aca="1" ref="D357" ca="1">[1]!s_dq_amount($B$1,$A357)</f>
        <v>517774165</v>
      </c>
      <c r="E357" cm="1">
        <f t="array" aca="1" ref="E357" ca="1">[1]!s_dq_turn($B$1,$A357)</f>
        <v>2.28692327511044</v>
      </c>
      <c r="F357" cm="1">
        <f t="array" aca="1" ref="F357" ca="1">[1]!s_val_pe_ttm($B$1,$A357)</f>
        <v>77.824554443359403</v>
      </c>
    </row>
    <row r="358" spans="1:6">
      <c r="A358" s="23">
        <f t="shared" ca="1" si="5"/>
        <v>45817</v>
      </c>
      <c r="B358" cm="1">
        <f t="array" aca="1" ref="B358" ca="1">[1]!s_dq_close($B$1,$A358,3)</f>
        <v>25.5</v>
      </c>
      <c r="C358" cm="1">
        <f t="array" aca="1" ref="C358" ca="1">[1]!s_dq_volume($B$1,$A358)</f>
        <v>14848704</v>
      </c>
      <c r="D358" cm="1">
        <f t="array" aca="1" ref="D358" ca="1">[1]!s_dq_amount($B$1,$A358)</f>
        <v>370840392</v>
      </c>
      <c r="E358" cm="1">
        <f t="array" aca="1" ref="E358" ca="1">[1]!s_dq_turn($B$1,$A358)</f>
        <v>1.70359281624335</v>
      </c>
      <c r="F358" cm="1">
        <f t="array" aca="1" ref="F358" ca="1">[1]!s_val_pe_ttm($B$1,$A358)</f>
        <v>75.890106201171903</v>
      </c>
    </row>
    <row r="359" spans="1:6">
      <c r="A359" s="23">
        <f t="shared" ca="1" si="5"/>
        <v>45816</v>
      </c>
      <c r="B359" cm="1">
        <f t="array" aca="1" ref="B359" ca="1">[1]!s_dq_close($B$1,$A359,3)</f>
        <v>24.1</v>
      </c>
      <c r="C359" cm="1">
        <f t="array" aca="1" ref="C359" ca="1">[1]!s_dq_volume($B$1,$A359)</f>
        <v>0</v>
      </c>
      <c r="D359" cm="1">
        <f t="array" aca="1" ref="D359" ca="1">[1]!s_dq_amount($B$1,$A359)</f>
        <v>0</v>
      </c>
      <c r="E359" cm="1">
        <f t="array" aca="1" ref="E359" ca="1">[1]!s_dq_turn($B$1,$A359)</f>
        <v>0</v>
      </c>
      <c r="F359" cm="1">
        <f t="array" aca="1" ref="F359" ca="1">[1]!s_val_pe_ttm($B$1,$A359)</f>
        <v>71.723587036132798</v>
      </c>
    </row>
    <row r="360" spans="1:6">
      <c r="A360" s="23">
        <f t="shared" ca="1" si="5"/>
        <v>45815</v>
      </c>
      <c r="B360" cm="1">
        <f t="array" aca="1" ref="B360" ca="1">[1]!s_dq_close($B$1,$A360,3)</f>
        <v>24.1</v>
      </c>
      <c r="C360" cm="1">
        <f t="array" aca="1" ref="C360" ca="1">[1]!s_dq_volume($B$1,$A360)</f>
        <v>0</v>
      </c>
      <c r="D360" cm="1">
        <f t="array" aca="1" ref="D360" ca="1">[1]!s_dq_amount($B$1,$A360)</f>
        <v>0</v>
      </c>
      <c r="E360" cm="1">
        <f t="array" aca="1" ref="E360" ca="1">[1]!s_dq_turn($B$1,$A360)</f>
        <v>0</v>
      </c>
      <c r="F360" cm="1">
        <f t="array" aca="1" ref="F360" ca="1">[1]!s_val_pe_ttm($B$1,$A360)</f>
        <v>71.723587036132798</v>
      </c>
    </row>
    <row r="361" spans="1:6">
      <c r="A361" s="23">
        <f t="shared" ca="1" si="5"/>
        <v>45814</v>
      </c>
      <c r="B361" cm="1">
        <f t="array" aca="1" ref="B361" ca="1">[1]!s_dq_close($B$1,$A361,3)</f>
        <v>24.1</v>
      </c>
      <c r="C361" cm="1">
        <f t="array" aca="1" ref="C361" ca="1">[1]!s_dq_volume($B$1,$A361)</f>
        <v>7840707</v>
      </c>
      <c r="D361" cm="1">
        <f t="array" aca="1" ref="D361" ca="1">[1]!s_dq_amount($B$1,$A361)</f>
        <v>186405158</v>
      </c>
      <c r="E361" cm="1">
        <f t="array" aca="1" ref="E361" ca="1">[1]!s_dq_turn($B$1,$A361)</f>
        <v>0.899564845488801</v>
      </c>
      <c r="F361" cm="1">
        <f t="array" aca="1" ref="F361" ca="1">[1]!s_val_pe_ttm($B$1,$A361)</f>
        <v>71.723587036132798</v>
      </c>
    </row>
    <row r="362" spans="1:6">
      <c r="A362" s="23">
        <f t="shared" ca="1" si="5"/>
        <v>45813</v>
      </c>
      <c r="B362" cm="1">
        <f t="array" aca="1" ref="B362" ca="1">[1]!s_dq_close($B$1,$A362,3)</f>
        <v>23.95</v>
      </c>
      <c r="C362" cm="1">
        <f t="array" aca="1" ref="C362" ca="1">[1]!s_dq_volume($B$1,$A362)</f>
        <v>16906360</v>
      </c>
      <c r="D362" cm="1">
        <f t="array" aca="1" ref="D362" ca="1">[1]!s_dq_amount($B$1,$A362)</f>
        <v>416252040</v>
      </c>
      <c r="E362" cm="1">
        <f t="array" aca="1" ref="E362" ca="1">[1]!s_dq_turn($B$1,$A362)</f>
        <v>1.93966782857439</v>
      </c>
      <c r="F362" cm="1">
        <f t="array" aca="1" ref="F362" ca="1">[1]!s_val_pe_ttm($B$1,$A362)</f>
        <v>71.277175903320298</v>
      </c>
    </row>
    <row r="363" spans="1:6">
      <c r="A363" s="23">
        <f t="shared" ca="1" si="5"/>
        <v>45812</v>
      </c>
      <c r="B363" cm="1">
        <f t="array" aca="1" ref="B363" ca="1">[1]!s_dq_close($B$1,$A363,3)</f>
        <v>23.7</v>
      </c>
      <c r="C363" cm="1">
        <f t="array" aca="1" ref="C363" ca="1">[1]!s_dq_volume($B$1,$A363)</f>
        <v>10722000</v>
      </c>
      <c r="D363" cm="1">
        <f t="array" aca="1" ref="D363" ca="1">[1]!s_dq_amount($B$1,$A363)</f>
        <v>253126943</v>
      </c>
      <c r="E363" cm="1">
        <f t="array" aca="1" ref="E363" ca="1">[1]!s_dq_turn($B$1,$A363)</f>
        <v>1.23013578664921</v>
      </c>
      <c r="F363" cm="1">
        <f t="array" aca="1" ref="F363" ca="1">[1]!s_val_pe_ttm($B$1,$A363)</f>
        <v>70.533157348632798</v>
      </c>
    </row>
    <row r="364" spans="1:6">
      <c r="A364" s="23">
        <f t="shared" ca="1" si="5"/>
        <v>45811</v>
      </c>
      <c r="B364" cm="1">
        <f t="array" aca="1" ref="B364" ca="1">[1]!s_dq_close($B$1,$A364,3)</f>
        <v>23.2</v>
      </c>
      <c r="C364" cm="1">
        <f t="array" aca="1" ref="C364" ca="1">[1]!s_dq_volume($B$1,$A364)</f>
        <v>14051156</v>
      </c>
      <c r="D364" cm="1">
        <f t="array" aca="1" ref="D364" ca="1">[1]!s_dq_amount($B$1,$A364)</f>
        <v>322080771</v>
      </c>
      <c r="E364" cm="1">
        <f t="array" aca="1" ref="E364" ca="1">[1]!s_dq_turn($B$1,$A364)</f>
        <v>1.6120900801520901</v>
      </c>
      <c r="F364" cm="1">
        <f t="array" aca="1" ref="F364" ca="1">[1]!s_val_pe_ttm($B$1,$A364)</f>
        <v>69.045112609863295</v>
      </c>
    </row>
    <row r="365" spans="1:6">
      <c r="A365" s="23">
        <f t="shared" ca="1" si="5"/>
        <v>45810</v>
      </c>
      <c r="B365" cm="1">
        <f t="array" aca="1" ref="B365" ca="1">[1]!s_dq_close($B$1,$A365,3)</f>
        <v>21.6</v>
      </c>
      <c r="C365" cm="1">
        <f t="array" aca="1" ref="C365" ca="1">[1]!s_dq_volume($B$1,$A365)</f>
        <v>1890000</v>
      </c>
      <c r="D365" cm="1">
        <f t="array" aca="1" ref="D365" ca="1">[1]!s_dq_amount($B$1,$A365)</f>
        <v>40326865</v>
      </c>
      <c r="E365" cm="1">
        <f t="array" aca="1" ref="E365" ca="1">[1]!s_dq_turn($B$1,$A365)</f>
        <v>0.21683982808869601</v>
      </c>
      <c r="F365" cm="1">
        <f t="array" aca="1" ref="F365" ca="1">[1]!s_val_pe_ttm($B$1,$A365)</f>
        <v>64.282646179199205</v>
      </c>
    </row>
    <row r="366" spans="1:6">
      <c r="A366" s="23">
        <f t="shared" ca="1" si="5"/>
        <v>45809</v>
      </c>
      <c r="B366" cm="1">
        <f t="array" aca="1" ref="B366" ca="1">[1]!s_dq_close($B$1,$A366,3)</f>
        <v>22.45</v>
      </c>
      <c r="C366" cm="1">
        <f t="array" aca="1" ref="C366" ca="1">[1]!s_dq_volume($B$1,$A366)</f>
        <v>0</v>
      </c>
      <c r="D366" cm="1">
        <f t="array" aca="1" ref="D366" ca="1">[1]!s_dq_amount($B$1,$A366)</f>
        <v>0</v>
      </c>
      <c r="E366" cm="1">
        <f t="array" aca="1" ref="E366" ca="1">[1]!s_dq_turn($B$1,$A366)</f>
        <v>0</v>
      </c>
      <c r="F366" cm="1">
        <f t="array" aca="1" ref="F366" ca="1">[1]!s_val_pe_ttm($B$1,$A366)</f>
        <v>66.812286376953097</v>
      </c>
    </row>
    <row r="367" spans="1:6">
      <c r="A367" s="23">
        <f t="shared" ca="1" si="5"/>
        <v>45808</v>
      </c>
      <c r="B367" cm="1">
        <f t="array" aca="1" ref="B367" ca="1">[1]!s_dq_close($B$1,$A367,3)</f>
        <v>22.45</v>
      </c>
      <c r="C367" cm="1">
        <f t="array" aca="1" ref="C367" ca="1">[1]!s_dq_volume($B$1,$A367)</f>
        <v>0</v>
      </c>
      <c r="D367" cm="1">
        <f t="array" aca="1" ref="D367" ca="1">[1]!s_dq_amount($B$1,$A367)</f>
        <v>0</v>
      </c>
      <c r="E367" cm="1">
        <f t="array" aca="1" ref="E367" ca="1">[1]!s_dq_turn($B$1,$A367)</f>
        <v>0</v>
      </c>
      <c r="F367" cm="1">
        <f t="array" aca="1" ref="F367" ca="1">[1]!s_val_pe_ttm($B$1,$A367)</f>
        <v>66.812286376953097</v>
      </c>
    </row>
    <row r="368" spans="1:6">
      <c r="A368" s="23">
        <f t="shared" ca="1" si="5"/>
        <v>45807</v>
      </c>
      <c r="B368" cm="1">
        <f t="array" aca="1" ref="B368" ca="1">[1]!s_dq_close($B$1,$A368,3)</f>
        <v>22.45</v>
      </c>
      <c r="C368" cm="1">
        <f t="array" aca="1" ref="C368" ca="1">[1]!s_dq_volume($B$1,$A368)</f>
        <v>10863038</v>
      </c>
      <c r="D368" cm="1">
        <f t="array" aca="1" ref="D368" ca="1">[1]!s_dq_amount($B$1,$A368)</f>
        <v>240859162</v>
      </c>
      <c r="E368" cm="1">
        <f t="array" aca="1" ref="E368" ca="1">[1]!s_dq_turn($B$1,$A368)</f>
        <v>1.24633138511603</v>
      </c>
      <c r="F368" cm="1">
        <f t="array" aca="1" ref="F368" ca="1">[1]!s_val_pe_ttm($B$1,$A368)</f>
        <v>66.812286376953097</v>
      </c>
    </row>
    <row r="369" spans="1:6">
      <c r="A369" s="23">
        <f t="shared" ca="1" si="5"/>
        <v>45806</v>
      </c>
      <c r="B369" cm="1">
        <f t="array" aca="1" ref="B369" ca="1">[1]!s_dq_close($B$1,$A369,3)</f>
        <v>21.95</v>
      </c>
      <c r="C369" cm="1">
        <f t="array" aca="1" ref="C369" ca="1">[1]!s_dq_volume($B$1,$A369)</f>
        <v>6339000</v>
      </c>
      <c r="D369" cm="1">
        <f t="array" aca="1" ref="D369" ca="1">[1]!s_dq_amount($B$1,$A369)</f>
        <v>137125575</v>
      </c>
      <c r="E369" cm="1">
        <f t="array" aca="1" ref="E369" ca="1">[1]!s_dq_turn($B$1,$A369)</f>
        <v>0.72728224371953099</v>
      </c>
      <c r="F369" cm="1">
        <f t="array" aca="1" ref="F369" ca="1">[1]!s_val_pe_ttm($B$1,$A369)</f>
        <v>65.324264526367202</v>
      </c>
    </row>
    <row r="370" spans="1:6">
      <c r="A370" s="23">
        <f t="shared" ca="1" si="5"/>
        <v>45805</v>
      </c>
      <c r="B370" cm="1">
        <f t="array" aca="1" ref="B370" ca="1">[1]!s_dq_close($B$1,$A370,3)</f>
        <v>21.05</v>
      </c>
      <c r="C370" cm="1">
        <f t="array" aca="1" ref="C370" ca="1">[1]!s_dq_volume($B$1,$A370)</f>
        <v>2630000</v>
      </c>
      <c r="D370" cm="1">
        <f t="array" aca="1" ref="D370" ca="1">[1]!s_dq_amount($B$1,$A370)</f>
        <v>55168655</v>
      </c>
      <c r="E370" cm="1">
        <f t="array" aca="1" ref="E370" ca="1">[1]!s_dq_turn($B$1,$A370)</f>
        <v>0.30174354014550703</v>
      </c>
      <c r="F370" cm="1">
        <f t="array" aca="1" ref="F370" ca="1">[1]!s_val_pe_ttm($B$1,$A370)</f>
        <v>62.645816802978501</v>
      </c>
    </row>
    <row r="371" spans="1:6">
      <c r="A371" s="23">
        <f t="shared" ca="1" si="5"/>
        <v>45804</v>
      </c>
      <c r="B371" cm="1">
        <f t="array" aca="1" ref="B371" ca="1">[1]!s_dq_close($B$1,$A371,3)</f>
        <v>21.35</v>
      </c>
      <c r="C371" cm="1">
        <f t="array" aca="1" ref="C371" ca="1">[1]!s_dq_volume($B$1,$A371)</f>
        <v>4019326</v>
      </c>
      <c r="D371" cm="1">
        <f t="array" aca="1" ref="D371" ca="1">[1]!s_dq_amount($B$1,$A371)</f>
        <v>84818594</v>
      </c>
      <c r="E371" cm="1">
        <f t="array" aca="1" ref="E371" ca="1">[1]!s_dq_turn($B$1,$A371)</f>
        <v>0.46114283507181703</v>
      </c>
      <c r="F371" cm="1">
        <f t="array" aca="1" ref="F371" ca="1">[1]!s_val_pe_ttm($B$1,$A371)</f>
        <v>63.538631439208999</v>
      </c>
    </row>
    <row r="372" spans="1:6">
      <c r="A372" s="23">
        <f t="shared" ca="1" si="5"/>
        <v>45803</v>
      </c>
      <c r="B372" cm="1">
        <f t="array" aca="1" ref="B372" ca="1">[1]!s_dq_close($B$1,$A372,3)</f>
        <v>20.55</v>
      </c>
      <c r="C372" cm="1">
        <f t="array" aca="1" ref="C372" ca="1">[1]!s_dq_volume($B$1,$A372)</f>
        <v>6258895</v>
      </c>
      <c r="D372" cm="1">
        <f t="array" aca="1" ref="D372" ca="1">[1]!s_dq_amount($B$1,$A372)</f>
        <v>130044983</v>
      </c>
      <c r="E372" cm="1">
        <f t="array" aca="1" ref="E372" ca="1">[1]!s_dq_turn($B$1,$A372)</f>
        <v>0.71809168619734198</v>
      </c>
      <c r="F372" cm="1">
        <f t="array" aca="1" ref="F372" ca="1">[1]!s_val_pe_ttm($B$1,$A372)</f>
        <v>61.157794952392599</v>
      </c>
    </row>
    <row r="373" spans="1:6">
      <c r="A373" s="23">
        <f t="shared" ca="1" si="5"/>
        <v>45802</v>
      </c>
      <c r="B373" cm="1">
        <f t="array" aca="1" ref="B373" ca="1">[1]!s_dq_close($B$1,$A373,3)</f>
        <v>21.3</v>
      </c>
      <c r="C373" cm="1">
        <f t="array" aca="1" ref="C373" ca="1">[1]!s_dq_volume($B$1,$A373)</f>
        <v>0</v>
      </c>
      <c r="D373" cm="1">
        <f t="array" aca="1" ref="D373" ca="1">[1]!s_dq_amount($B$1,$A373)</f>
        <v>0</v>
      </c>
      <c r="E373" cm="1">
        <f t="array" aca="1" ref="E373" ca="1">[1]!s_dq_turn($B$1,$A373)</f>
        <v>0</v>
      </c>
      <c r="F373" cm="1">
        <f t="array" aca="1" ref="F373" ca="1">[1]!s_val_pe_ttm($B$1,$A373)</f>
        <v>63.3898315429688</v>
      </c>
    </row>
    <row r="374" spans="1:6">
      <c r="A374" s="23">
        <f t="shared" ca="1" si="5"/>
        <v>45801</v>
      </c>
      <c r="B374" cm="1">
        <f t="array" aca="1" ref="B374" ca="1">[1]!s_dq_close($B$1,$A374,3)</f>
        <v>21.3</v>
      </c>
      <c r="C374" cm="1">
        <f t="array" aca="1" ref="C374" ca="1">[1]!s_dq_volume($B$1,$A374)</f>
        <v>0</v>
      </c>
      <c r="D374" cm="1">
        <f t="array" aca="1" ref="D374" ca="1">[1]!s_dq_amount($B$1,$A374)</f>
        <v>0</v>
      </c>
      <c r="E374" cm="1">
        <f t="array" aca="1" ref="E374" ca="1">[1]!s_dq_turn($B$1,$A374)</f>
        <v>0</v>
      </c>
      <c r="F374" cm="1">
        <f t="array" aca="1" ref="F374" ca="1">[1]!s_val_pe_ttm($B$1,$A374)</f>
        <v>63.3898315429688</v>
      </c>
    </row>
    <row r="375" spans="1:6">
      <c r="A375" s="23">
        <f t="shared" ca="1" si="5"/>
        <v>45800</v>
      </c>
      <c r="B375" cm="1">
        <f t="array" aca="1" ref="B375" ca="1">[1]!s_dq_close($B$1,$A375,3)</f>
        <v>21.3</v>
      </c>
      <c r="C375" cm="1">
        <f t="array" aca="1" ref="C375" ca="1">[1]!s_dq_volume($B$1,$A375)</f>
        <v>11009641</v>
      </c>
      <c r="D375" cm="1">
        <f t="array" aca="1" ref="D375" ca="1">[1]!s_dq_amount($B$1,$A375)</f>
        <v>238936332</v>
      </c>
      <c r="E375" cm="1">
        <f t="array" aca="1" ref="E375" ca="1">[1]!s_dq_turn($B$1,$A375)</f>
        <v>1.2631513502171501</v>
      </c>
      <c r="F375" cm="1">
        <f t="array" aca="1" ref="F375" ca="1">[1]!s_val_pe_ttm($B$1,$A375)</f>
        <v>63.3898315429688</v>
      </c>
    </row>
    <row r="376" spans="1:6">
      <c r="A376" s="23">
        <f t="shared" ca="1" si="5"/>
        <v>45799</v>
      </c>
      <c r="B376" cm="1">
        <f t="array" aca="1" ref="B376" ca="1">[1]!s_dq_close($B$1,$A376,3)</f>
        <v>21.05</v>
      </c>
      <c r="C376" cm="1">
        <f t="array" aca="1" ref="C376" ca="1">[1]!s_dq_volume($B$1,$A376)</f>
        <v>4466133</v>
      </c>
      <c r="D376" cm="1">
        <f t="array" aca="1" ref="D376" ca="1">[1]!s_dq_amount($B$1,$A376)</f>
        <v>94025455</v>
      </c>
      <c r="E376" cm="1">
        <f t="array" aca="1" ref="E376" ca="1">[1]!s_dq_turn($B$1,$A376)</f>
        <v>0.51240562060101602</v>
      </c>
      <c r="F376" cm="1">
        <f t="array" aca="1" ref="F376" ca="1">[1]!s_val_pe_ttm($B$1,$A376)</f>
        <v>62.645816802978501</v>
      </c>
    </row>
    <row r="377" spans="1:6">
      <c r="A377" s="23">
        <f t="shared" ca="1" si="5"/>
        <v>45798</v>
      </c>
      <c r="B377" cm="1">
        <f t="array" aca="1" ref="B377" ca="1">[1]!s_dq_close($B$1,$A377,3)</f>
        <v>21.3</v>
      </c>
      <c r="C377" cm="1">
        <f t="array" aca="1" ref="C377" ca="1">[1]!s_dq_volume($B$1,$A377)</f>
        <v>9536000</v>
      </c>
      <c r="D377" cm="1">
        <f t="array" aca="1" ref="D377" ca="1">[1]!s_dq_amount($B$1,$A377)</f>
        <v>205483200</v>
      </c>
      <c r="E377" cm="1">
        <f t="array" aca="1" ref="E377" ca="1">[1]!s_dq_turn($B$1,$A377)</f>
        <v>1.09407847864165</v>
      </c>
      <c r="F377" cm="1">
        <f t="array" aca="1" ref="F377" ca="1">[1]!s_val_pe_ttm($B$1,$A377)</f>
        <v>63.3898315429688</v>
      </c>
    </row>
    <row r="378" spans="1:6">
      <c r="A378" s="23">
        <f t="shared" ca="1" si="5"/>
        <v>45797</v>
      </c>
      <c r="B378" cm="1">
        <f t="array" aca="1" ref="B378" ca="1">[1]!s_dq_close($B$1,$A378,3)</f>
        <v>21.2</v>
      </c>
      <c r="C378" cm="1">
        <f t="array" aca="1" ref="C378" ca="1">[1]!s_dq_volume($B$1,$A378)</f>
        <v>6964359</v>
      </c>
      <c r="D378" cm="1">
        <f t="array" aca="1" ref="D378" ca="1">[1]!s_dq_amount($B$1,$A378)</f>
        <v>150062092</v>
      </c>
      <c r="E378" cm="1">
        <f t="array" aca="1" ref="E378" ca="1">[1]!s_dq_turn($B$1,$A378)</f>
        <v>0.799030547340008</v>
      </c>
      <c r="F378" cm="1">
        <f t="array" aca="1" ref="F378" ca="1">[1]!s_val_pe_ttm($B$1,$A378)</f>
        <v>63.0922241210938</v>
      </c>
    </row>
    <row r="379" spans="1:6">
      <c r="A379" s="23">
        <f t="shared" ca="1" si="5"/>
        <v>45796</v>
      </c>
      <c r="B379" cm="1">
        <f t="array" aca="1" ref="B379" ca="1">[1]!s_dq_close($B$1,$A379,3)</f>
        <v>21.35</v>
      </c>
      <c r="C379" cm="1">
        <f t="array" aca="1" ref="C379" ca="1">[1]!s_dq_volume($B$1,$A379)</f>
        <v>4424000</v>
      </c>
      <c r="D379" cm="1">
        <f t="array" aca="1" ref="D379" ca="1">[1]!s_dq_amount($B$1,$A379)</f>
        <v>93253251</v>
      </c>
      <c r="E379" cm="1">
        <f t="array" aca="1" ref="E379" ca="1">[1]!s_dq_turn($B$1,$A379)</f>
        <v>0.50757164319533099</v>
      </c>
      <c r="F379" cm="1">
        <f t="array" aca="1" ref="F379" ca="1">[1]!s_val_pe_ttm($B$1,$A379)</f>
        <v>63.538631439208999</v>
      </c>
    </row>
    <row r="380" spans="1:6">
      <c r="A380" s="23">
        <f t="shared" ca="1" si="5"/>
        <v>45795</v>
      </c>
      <c r="B380" cm="1">
        <f t="array" aca="1" ref="B380" ca="1">[1]!s_dq_close($B$1,$A380,3)</f>
        <v>21.2</v>
      </c>
      <c r="C380" cm="1">
        <f t="array" aca="1" ref="C380" ca="1">[1]!s_dq_volume($B$1,$A380)</f>
        <v>0</v>
      </c>
      <c r="D380" cm="1">
        <f t="array" aca="1" ref="D380" ca="1">[1]!s_dq_amount($B$1,$A380)</f>
        <v>0</v>
      </c>
      <c r="E380" cm="1">
        <f t="array" aca="1" ref="E380" ca="1">[1]!s_dq_turn($B$1,$A380)</f>
        <v>0</v>
      </c>
      <c r="F380" cm="1">
        <f t="array" aca="1" ref="F380" ca="1">[1]!s_val_pe_ttm($B$1,$A380)</f>
        <v>63.0922241210938</v>
      </c>
    </row>
    <row r="381" spans="1:6">
      <c r="A381" s="23">
        <f t="shared" ca="1" si="5"/>
        <v>45794</v>
      </c>
      <c r="B381" cm="1">
        <f t="array" aca="1" ref="B381" ca="1">[1]!s_dq_close($B$1,$A381,3)</f>
        <v>21.2</v>
      </c>
      <c r="C381" cm="1">
        <f t="array" aca="1" ref="C381" ca="1">[1]!s_dq_volume($B$1,$A381)</f>
        <v>0</v>
      </c>
      <c r="D381" cm="1">
        <f t="array" aca="1" ref="D381" ca="1">[1]!s_dq_amount($B$1,$A381)</f>
        <v>0</v>
      </c>
      <c r="E381" cm="1">
        <f t="array" aca="1" ref="E381" ca="1">[1]!s_dq_turn($B$1,$A381)</f>
        <v>0</v>
      </c>
      <c r="F381" cm="1">
        <f t="array" aca="1" ref="F381" ca="1">[1]!s_val_pe_ttm($B$1,$A381)</f>
        <v>63.0922241210938</v>
      </c>
    </row>
    <row r="382" spans="1:6">
      <c r="A382" s="23">
        <f t="shared" ca="1" si="5"/>
        <v>45793</v>
      </c>
      <c r="B382" cm="1">
        <f t="array" aca="1" ref="B382" ca="1">[1]!s_dq_close($B$1,$A382,3)</f>
        <v>21.2</v>
      </c>
      <c r="C382" cm="1">
        <f t="array" aca="1" ref="C382" ca="1">[1]!s_dq_volume($B$1,$A382)</f>
        <v>4689537</v>
      </c>
      <c r="D382" cm="1">
        <f t="array" aca="1" ref="D382" ca="1">[1]!s_dq_amount($B$1,$A382)</f>
        <v>98868732</v>
      </c>
      <c r="E382" cm="1">
        <f t="array" aca="1" ref="E382" ca="1">[1]!s_dq_turn($B$1,$A382)</f>
        <v>0.53803707073130702</v>
      </c>
      <c r="F382" cm="1">
        <f t="array" aca="1" ref="F382" ca="1">[1]!s_val_pe_ttm($B$1,$A382)</f>
        <v>63.0922241210938</v>
      </c>
    </row>
    <row r="383" spans="1:6">
      <c r="A383" s="23">
        <f t="shared" ca="1" si="5"/>
        <v>45792</v>
      </c>
      <c r="B383" cm="1">
        <f t="array" aca="1" ref="B383" ca="1">[1]!s_dq_close($B$1,$A383,3)</f>
        <v>20.8</v>
      </c>
      <c r="C383" cm="1">
        <f t="array" aca="1" ref="C383" ca="1">[1]!s_dq_volume($B$1,$A383)</f>
        <v>3292500</v>
      </c>
      <c r="D383" cm="1">
        <f t="array" aca="1" ref="D383" ca="1">[1]!s_dq_amount($B$1,$A383)</f>
        <v>68724900</v>
      </c>
      <c r="E383" cm="1">
        <f t="array" aca="1" ref="E383" ca="1">[1]!s_dq_turn($B$1,$A383)</f>
        <v>0.37775308210231201</v>
      </c>
      <c r="F383" cm="1">
        <f t="array" aca="1" ref="F383" ca="1">[1]!s_val_pe_ttm($B$1,$A383)</f>
        <v>61.901805877685497</v>
      </c>
    </row>
    <row r="384" spans="1:6">
      <c r="A384" s="23">
        <f t="shared" ca="1" si="5"/>
        <v>45791</v>
      </c>
      <c r="B384" cm="1">
        <f t="array" aca="1" ref="B384" ca="1">[1]!s_dq_close($B$1,$A384,3)</f>
        <v>21.2</v>
      </c>
      <c r="C384" cm="1">
        <f t="array" aca="1" ref="C384" ca="1">[1]!s_dq_volume($B$1,$A384)</f>
        <v>5080721</v>
      </c>
      <c r="D384" cm="1">
        <f t="array" aca="1" ref="D384" ca="1">[1]!s_dq_amount($B$1,$A384)</f>
        <v>106775321</v>
      </c>
      <c r="E384" cm="1">
        <f t="array" aca="1" ref="E384" ca="1">[1]!s_dq_turn($B$1,$A384)</f>
        <v>0.58291815248350498</v>
      </c>
      <c r="F384" cm="1">
        <f t="array" aca="1" ref="F384" ca="1">[1]!s_val_pe_ttm($B$1,$A384)</f>
        <v>63.0922241210938</v>
      </c>
    </row>
    <row r="385" spans="1:6">
      <c r="A385" s="23">
        <f t="shared" ca="1" si="5"/>
        <v>45790</v>
      </c>
      <c r="B385" cm="1">
        <f t="array" aca="1" ref="B385" ca="1">[1]!s_dq_close($B$1,$A385,3)</f>
        <v>21.2</v>
      </c>
      <c r="C385" cm="1">
        <f t="array" aca="1" ref="C385" ca="1">[1]!s_dq_volume($B$1,$A385)</f>
        <v>7241500</v>
      </c>
      <c r="D385" cm="1">
        <f t="array" aca="1" ref="D385" ca="1">[1]!s_dq_amount($B$1,$A385)</f>
        <v>155669550</v>
      </c>
      <c r="E385" cm="1">
        <f t="array" aca="1" ref="E385" ca="1">[1]!s_dq_turn($B$1,$A385)</f>
        <v>0.83082731785691499</v>
      </c>
      <c r="F385" cm="1">
        <f t="array" aca="1" ref="F385" ca="1">[1]!s_val_pe_ttm($B$1,$A385)</f>
        <v>63.0922241210938</v>
      </c>
    </row>
    <row r="386" spans="1:6">
      <c r="A386" s="23">
        <f t="shared" ca="1" si="5"/>
        <v>45789</v>
      </c>
      <c r="B386" cm="1">
        <f t="array" aca="1" ref="B386" ca="1">[1]!s_dq_close($B$1,$A386,3)</f>
        <v>21.7</v>
      </c>
      <c r="C386" cm="1">
        <f t="array" aca="1" ref="C386" ca="1">[1]!s_dq_volume($B$1,$A386)</f>
        <v>14556500</v>
      </c>
      <c r="D386" cm="1">
        <f t="array" aca="1" ref="D386" ca="1">[1]!s_dq_amount($B$1,$A386)</f>
        <v>312341250</v>
      </c>
      <c r="E386" cm="1">
        <f t="array" aca="1" ref="E386" ca="1">[1]!s_dq_turn($B$1,$A386)</f>
        <v>1.67008739244413</v>
      </c>
      <c r="F386" cm="1">
        <f t="array" aca="1" ref="F386" ca="1">[1]!s_val_pe_ttm($B$1,$A386)</f>
        <v>64.580245971679702</v>
      </c>
    </row>
    <row r="387" spans="1:6">
      <c r="A387" s="23">
        <f t="shared" ca="1" si="5"/>
        <v>45788</v>
      </c>
      <c r="B387" cm="1">
        <f t="array" aca="1" ref="B387" ca="1">[1]!s_dq_close($B$1,$A387,3)</f>
        <v>22.5</v>
      </c>
      <c r="C387" cm="1">
        <f t="array" aca="1" ref="C387" ca="1">[1]!s_dq_volume($B$1,$A387)</f>
        <v>0</v>
      </c>
      <c r="D387" cm="1">
        <f t="array" aca="1" ref="D387" ca="1">[1]!s_dq_amount($B$1,$A387)</f>
        <v>0</v>
      </c>
      <c r="E387" cm="1">
        <f t="array" aca="1" ref="E387" ca="1">[1]!s_dq_turn($B$1,$A387)</f>
        <v>0</v>
      </c>
      <c r="F387" cm="1">
        <f t="array" aca="1" ref="F387" ca="1">[1]!s_val_pe_ttm($B$1,$A387)</f>
        <v>66.961090087890597</v>
      </c>
    </row>
    <row r="388" spans="1:6">
      <c r="A388" s="23">
        <f t="shared" ca="1" si="5"/>
        <v>45787</v>
      </c>
      <c r="B388" cm="1">
        <f t="array" aca="1" ref="B388" ca="1">[1]!s_dq_close($B$1,$A388,3)</f>
        <v>22.5</v>
      </c>
      <c r="C388" cm="1">
        <f t="array" aca="1" ref="C388" ca="1">[1]!s_dq_volume($B$1,$A388)</f>
        <v>0</v>
      </c>
      <c r="D388" cm="1">
        <f t="array" aca="1" ref="D388" ca="1">[1]!s_dq_amount($B$1,$A388)</f>
        <v>0</v>
      </c>
      <c r="E388" cm="1">
        <f t="array" aca="1" ref="E388" ca="1">[1]!s_dq_turn($B$1,$A388)</f>
        <v>0</v>
      </c>
      <c r="F388" cm="1">
        <f t="array" aca="1" ref="F388" ca="1">[1]!s_val_pe_ttm($B$1,$A388)</f>
        <v>66.961090087890597</v>
      </c>
    </row>
    <row r="389" spans="1:6">
      <c r="A389" s="23">
        <f t="shared" ca="1" si="5"/>
        <v>45786</v>
      </c>
      <c r="B389" cm="1">
        <f t="array" aca="1" ref="B389" ca="1">[1]!s_dq_close($B$1,$A389,3)</f>
        <v>22.5</v>
      </c>
      <c r="C389" cm="1">
        <f t="array" aca="1" ref="C389" ca="1">[1]!s_dq_volume($B$1,$A389)</f>
        <v>4752087</v>
      </c>
      <c r="D389" cm="1">
        <f t="array" aca="1" ref="D389" ca="1">[1]!s_dq_amount($B$1,$A389)</f>
        <v>106794503</v>
      </c>
      <c r="E389" cm="1">
        <f t="array" aca="1" ref="E389" ca="1">[1]!s_dq_turn($B$1,$A389)</f>
        <v>0.54521351880587099</v>
      </c>
      <c r="F389" cm="1">
        <f t="array" aca="1" ref="F389" ca="1">[1]!s_val_pe_ttm($B$1,$A389)</f>
        <v>66.961090087890597</v>
      </c>
    </row>
    <row r="390" spans="1:6">
      <c r="A390" s="23">
        <f t="shared" ca="1" si="5"/>
        <v>45785</v>
      </c>
      <c r="B390" cm="1">
        <f t="array" aca="1" ref="B390" ca="1">[1]!s_dq_close($B$1,$A390,3)</f>
        <v>22.65</v>
      </c>
      <c r="C390" cm="1">
        <f t="array" aca="1" ref="C390" ca="1">[1]!s_dq_volume($B$1,$A390)</f>
        <v>3730000</v>
      </c>
      <c r="D390" cm="1">
        <f t="array" aca="1" ref="D390" ca="1">[1]!s_dq_amount($B$1,$A390)</f>
        <v>84362411</v>
      </c>
      <c r="E390" cm="1">
        <f t="array" aca="1" ref="E390" ca="1">[1]!s_dq_turn($B$1,$A390)</f>
        <v>0.42794806263982499</v>
      </c>
      <c r="F390" cm="1">
        <f t="array" aca="1" ref="F390" ca="1">[1]!s_val_pe_ttm($B$1,$A390)</f>
        <v>67.407493591308594</v>
      </c>
    </row>
    <row r="391" spans="1:6">
      <c r="A391" s="23">
        <f t="shared" ca="1" si="5"/>
        <v>45784</v>
      </c>
      <c r="B391" cm="1">
        <f t="array" aca="1" ref="B391" ca="1">[1]!s_dq_close($B$1,$A391,3)</f>
        <v>22.7</v>
      </c>
      <c r="C391" cm="1">
        <f t="array" aca="1" ref="C391" ca="1">[1]!s_dq_volume($B$1,$A391)</f>
        <v>5528407</v>
      </c>
      <c r="D391" cm="1">
        <f t="array" aca="1" ref="D391" ca="1">[1]!s_dq_amount($B$1,$A391)</f>
        <v>127248981</v>
      </c>
      <c r="E391" cm="1">
        <f t="array" aca="1" ref="E391" ca="1">[1]!s_dq_turn($B$1,$A391)</f>
        <v>0.63428178689931503</v>
      </c>
      <c r="F391" cm="1">
        <f t="array" aca="1" ref="F391" ca="1">[1]!s_val_pe_ttm($B$1,$A391)</f>
        <v>67.556297302246094</v>
      </c>
    </row>
    <row r="392" spans="1:6">
      <c r="A392" s="23">
        <f t="shared" ca="1" si="5"/>
        <v>45783</v>
      </c>
      <c r="B392" cm="1">
        <f t="array" aca="1" ref="B392" ca="1">[1]!s_dq_close($B$1,$A392,3)</f>
        <v>23.4</v>
      </c>
      <c r="C392" cm="1">
        <f t="array" aca="1" ref="C392" ca="1">[1]!s_dq_volume($B$1,$A392)</f>
        <v>3928500</v>
      </c>
      <c r="D392" cm="1">
        <f t="array" aca="1" ref="D392" ca="1">[1]!s_dq_amount($B$1,$A392)</f>
        <v>91862275</v>
      </c>
      <c r="E392" cm="1">
        <f t="array" aca="1" ref="E392" ca="1">[1]!s_dq_turn($B$1,$A392)</f>
        <v>0.45072224238084502</v>
      </c>
      <c r="F392" cm="1">
        <f t="array" aca="1" ref="F392" ca="1">[1]!s_val_pe_ttm($B$1,$A392)</f>
        <v>69.639533996582003</v>
      </c>
    </row>
    <row r="393" spans="1:6">
      <c r="A393" s="23">
        <f t="shared" ca="1" si="5"/>
        <v>45782</v>
      </c>
      <c r="B393" cm="1">
        <f t="array" aca="1" ref="B393" ca="1">[1]!s_dq_close($B$1,$A393,3)</f>
        <v>24</v>
      </c>
      <c r="C393" cm="1">
        <f t="array" aca="1" ref="C393" ca="1">[1]!s_dq_volume($B$1,$A393)</f>
        <v>0</v>
      </c>
      <c r="D393" cm="1">
        <f t="array" aca="1" ref="D393" ca="1">[1]!s_dq_amount($B$1,$A393)</f>
        <v>0</v>
      </c>
      <c r="E393" cm="1">
        <f t="array" aca="1" ref="E393" ca="1">[1]!s_dq_turn($B$1,$A393)</f>
        <v>0</v>
      </c>
      <c r="F393" cm="1">
        <f t="array" aca="1" ref="F393" ca="1">[1]!s_val_pe_ttm($B$1,$A393)</f>
        <v>71.425163269042997</v>
      </c>
    </row>
    <row r="394" spans="1:6">
      <c r="A394" s="23">
        <f t="shared" ca="1" si="5"/>
        <v>45781</v>
      </c>
      <c r="B394" cm="1">
        <f t="array" aca="1" ref="B394" ca="1">[1]!s_dq_close($B$1,$A394,3)</f>
        <v>24</v>
      </c>
      <c r="C394" cm="1">
        <f t="array" aca="1" ref="C394" ca="1">[1]!s_dq_volume($B$1,$A394)</f>
        <v>0</v>
      </c>
      <c r="D394" cm="1">
        <f t="array" aca="1" ref="D394" ca="1">[1]!s_dq_amount($B$1,$A394)</f>
        <v>0</v>
      </c>
      <c r="E394" cm="1">
        <f t="array" aca="1" ref="E394" ca="1">[1]!s_dq_turn($B$1,$A394)</f>
        <v>0</v>
      </c>
      <c r="F394" cm="1">
        <f t="array" aca="1" ref="F394" ca="1">[1]!s_val_pe_ttm($B$1,$A394)</f>
        <v>71.425163269042997</v>
      </c>
    </row>
    <row r="395" spans="1:6">
      <c r="A395" s="23">
        <f t="shared" ca="1" si="5"/>
        <v>45780</v>
      </c>
      <c r="B395" cm="1">
        <f t="array" aca="1" ref="B395" ca="1">[1]!s_dq_close($B$1,$A395,3)</f>
        <v>24</v>
      </c>
      <c r="C395" cm="1">
        <f t="array" aca="1" ref="C395" ca="1">[1]!s_dq_volume($B$1,$A395)</f>
        <v>0</v>
      </c>
      <c r="D395" cm="1">
        <f t="array" aca="1" ref="D395" ca="1">[1]!s_dq_amount($B$1,$A395)</f>
        <v>0</v>
      </c>
      <c r="E395" cm="1">
        <f t="array" aca="1" ref="E395" ca="1">[1]!s_dq_turn($B$1,$A395)</f>
        <v>0</v>
      </c>
      <c r="F395" cm="1">
        <f t="array" aca="1" ref="F395" ca="1">[1]!s_val_pe_ttm($B$1,$A395)</f>
        <v>71.425163269042997</v>
      </c>
    </row>
    <row r="396" spans="1:6">
      <c r="A396" s="23">
        <f t="shared" ca="1" si="5"/>
        <v>45779</v>
      </c>
      <c r="B396" cm="1">
        <f t="array" aca="1" ref="B396" ca="1">[1]!s_dq_close($B$1,$A396,3)</f>
        <v>24</v>
      </c>
      <c r="C396" cm="1">
        <f t="array" aca="1" ref="C396" ca="1">[1]!s_dq_volume($B$1,$A396)</f>
        <v>1401000</v>
      </c>
      <c r="D396" cm="1">
        <f t="array" aca="1" ref="D396" ca="1">[1]!s_dq_amount($B$1,$A396)</f>
        <v>33154725</v>
      </c>
      <c r="E396" cm="1">
        <f t="array" aca="1" ref="E396" ca="1">[1]!s_dq_turn($B$1,$A396)</f>
        <v>0.16073866910412701</v>
      </c>
      <c r="F396" cm="1">
        <f t="array" aca="1" ref="F396" ca="1">[1]!s_val_pe_ttm($B$1,$A396)</f>
        <v>71.425163269042997</v>
      </c>
    </row>
    <row r="397" spans="1:6">
      <c r="A397" s="23">
        <f t="shared" ref="A397:A460" ca="1" si="6">A396-1</f>
        <v>45778</v>
      </c>
      <c r="B397" cm="1">
        <f t="array" aca="1" ref="B397" ca="1">[1]!s_dq_close($B$1,$A397,3)</f>
        <v>23.2</v>
      </c>
      <c r="C397" cm="1">
        <f t="array" aca="1" ref="C397" ca="1">[1]!s_dq_volume($B$1,$A397)</f>
        <v>0</v>
      </c>
      <c r="D397" cm="1">
        <f t="array" aca="1" ref="D397" ca="1">[1]!s_dq_amount($B$1,$A397)</f>
        <v>0</v>
      </c>
      <c r="E397" cm="1">
        <f t="array" aca="1" ref="E397" ca="1">[1]!s_dq_turn($B$1,$A397)</f>
        <v>0</v>
      </c>
      <c r="F397" cm="1">
        <f t="array" aca="1" ref="F397" ca="1">[1]!s_val_pe_ttm($B$1,$A397)</f>
        <v>69.044319152832003</v>
      </c>
    </row>
    <row r="398" spans="1:6">
      <c r="A398" s="23">
        <f t="shared" ca="1" si="6"/>
        <v>45777</v>
      </c>
      <c r="B398" cm="1">
        <f t="array" aca="1" ref="B398" ca="1">[1]!s_dq_close($B$1,$A398,3)</f>
        <v>23.2</v>
      </c>
      <c r="C398" cm="1">
        <f t="array" aca="1" ref="C398" ca="1">[1]!s_dq_volume($B$1,$A398)</f>
        <v>5495976</v>
      </c>
      <c r="D398" cm="1">
        <f t="array" aca="1" ref="D398" ca="1">[1]!s_dq_amount($B$1,$A398)</f>
        <v>127780117</v>
      </c>
      <c r="E398" cm="1">
        <f t="array" aca="1" ref="E398" ca="1">[1]!s_dq_turn($B$1,$A398)</f>
        <v>0.63056093338203101</v>
      </c>
      <c r="F398" cm="1">
        <f t="array" aca="1" ref="F398" ca="1">[1]!s_val_pe_ttm($B$1,$A398)</f>
        <v>69.044319152832003</v>
      </c>
    </row>
    <row r="399" spans="1:6">
      <c r="A399" s="23">
        <f t="shared" ca="1" si="6"/>
        <v>45776</v>
      </c>
      <c r="B399" cm="1">
        <f t="array" aca="1" ref="B399" ca="1">[1]!s_dq_close($B$1,$A399,3)</f>
        <v>23.5</v>
      </c>
      <c r="C399" cm="1">
        <f t="array" aca="1" ref="C399" ca="1">[1]!s_dq_volume($B$1,$A399)</f>
        <v>3050025</v>
      </c>
      <c r="D399" cm="1">
        <f t="array" aca="1" ref="D399" ca="1">[1]!s_dq_amount($B$1,$A399)</f>
        <v>72117380</v>
      </c>
      <c r="E399" cm="1">
        <f t="array" aca="1" ref="E399" ca="1">[1]!s_dq_turn($B$1,$A399)</f>
        <v>0.34993358974612099</v>
      </c>
      <c r="F399" cm="1">
        <f t="array" aca="1" ref="F399" ca="1">[1]!s_val_pe_ttm($B$1,$A399)</f>
        <v>69.9371337890625</v>
      </c>
    </row>
    <row r="400" spans="1:6">
      <c r="A400" s="23">
        <f t="shared" ca="1" si="6"/>
        <v>45775</v>
      </c>
      <c r="B400" cm="1">
        <f t="array" aca="1" ref="B400" ca="1">[1]!s_dq_close($B$1,$A400,3)</f>
        <v>23.35</v>
      </c>
      <c r="C400" cm="1">
        <f t="array" aca="1" ref="C400" ca="1">[1]!s_dq_volume($B$1,$A400)</f>
        <v>6045766</v>
      </c>
      <c r="D400" cm="1">
        <f t="array" aca="1" ref="D400" ca="1">[1]!s_dq_amount($B$1,$A400)</f>
        <v>140373238</v>
      </c>
      <c r="E400" cm="1">
        <f t="array" aca="1" ref="E400" ca="1">[1]!s_dq_turn($B$1,$A400)</f>
        <v>0.69363910103853199</v>
      </c>
      <c r="F400" cm="1">
        <f t="array" aca="1" ref="F400" ca="1">[1]!s_val_pe_ttm($B$1,$A400)</f>
        <v>69.490730285644503</v>
      </c>
    </row>
    <row r="401" spans="1:6">
      <c r="A401" s="23">
        <f t="shared" ca="1" si="6"/>
        <v>45774</v>
      </c>
      <c r="B401" cm="1">
        <f t="array" aca="1" ref="B401" ca="1">[1]!s_dq_close($B$1,$A401,3)</f>
        <v>23.4</v>
      </c>
      <c r="C401" cm="1">
        <f t="array" aca="1" ref="C401" ca="1">[1]!s_dq_volume($B$1,$A401)</f>
        <v>0</v>
      </c>
      <c r="D401" cm="1">
        <f t="array" aca="1" ref="D401" ca="1">[1]!s_dq_amount($B$1,$A401)</f>
        <v>0</v>
      </c>
      <c r="E401" cm="1">
        <f t="array" aca="1" ref="E401" ca="1">[1]!s_dq_turn($B$1,$A401)</f>
        <v>0</v>
      </c>
      <c r="F401" cm="1">
        <f t="array" aca="1" ref="F401" ca="1">[1]!s_val_pe_ttm($B$1,$A401)</f>
        <v>69.639533996582003</v>
      </c>
    </row>
    <row r="402" spans="1:6">
      <c r="A402" s="23">
        <f t="shared" ca="1" si="6"/>
        <v>45773</v>
      </c>
      <c r="B402" cm="1">
        <f t="array" aca="1" ref="B402" ca="1">[1]!s_dq_close($B$1,$A402,3)</f>
        <v>23.4</v>
      </c>
      <c r="C402" cm="1">
        <f t="array" aca="1" ref="C402" ca="1">[1]!s_dq_volume($B$1,$A402)</f>
        <v>0</v>
      </c>
      <c r="D402" cm="1">
        <f t="array" aca="1" ref="D402" ca="1">[1]!s_dq_amount($B$1,$A402)</f>
        <v>0</v>
      </c>
      <c r="E402" cm="1">
        <f t="array" aca="1" ref="E402" ca="1">[1]!s_dq_turn($B$1,$A402)</f>
        <v>0</v>
      </c>
      <c r="F402" cm="1">
        <f t="array" aca="1" ref="F402" ca="1">[1]!s_val_pe_ttm($B$1,$A402)</f>
        <v>69.639533996582003</v>
      </c>
    </row>
    <row r="403" spans="1:6">
      <c r="A403" s="23">
        <f t="shared" ca="1" si="6"/>
        <v>45772</v>
      </c>
      <c r="B403" cm="1">
        <f t="array" aca="1" ref="B403" ca="1">[1]!s_dq_close($B$1,$A403,3)</f>
        <v>23.4</v>
      </c>
      <c r="C403" cm="1">
        <f t="array" aca="1" ref="C403" ca="1">[1]!s_dq_volume($B$1,$A403)</f>
        <v>8248797</v>
      </c>
      <c r="D403" cm="1">
        <f t="array" aca="1" ref="D403" ca="1">[1]!s_dq_amount($B$1,$A403)</f>
        <v>197686937</v>
      </c>
      <c r="E403" cm="1">
        <f t="array" aca="1" ref="E403" ca="1">[1]!s_dq_turn($B$1,$A403)</f>
        <v>0.94639589685233205</v>
      </c>
      <c r="F403" cm="1">
        <f t="array" aca="1" ref="F403" ca="1">[1]!s_val_pe_ttm($B$1,$A403)</f>
        <v>69.639533996582003</v>
      </c>
    </row>
    <row r="404" spans="1:6">
      <c r="A404" s="23">
        <f t="shared" ca="1" si="6"/>
        <v>45771</v>
      </c>
      <c r="B404" cm="1">
        <f t="array" aca="1" ref="B404" ca="1">[1]!s_dq_close($B$1,$A404,3)</f>
        <v>24.85</v>
      </c>
      <c r="C404" cm="1">
        <f t="array" aca="1" ref="C404" ca="1">[1]!s_dq_volume($B$1,$A404)</f>
        <v>9885500</v>
      </c>
      <c r="D404" cm="1">
        <f t="array" aca="1" ref="D404" ca="1">[1]!s_dq_amount($B$1,$A404)</f>
        <v>247157400</v>
      </c>
      <c r="E404" cm="1">
        <f t="array" aca="1" ref="E404" ca="1">[1]!s_dq_turn($B$1,$A404)</f>
        <v>1.1341770973796199</v>
      </c>
      <c r="F404" cm="1">
        <f t="array" aca="1" ref="F404" ca="1">[1]!s_val_pe_ttm($B$1,$A404)</f>
        <v>73.954803466796903</v>
      </c>
    </row>
    <row r="405" spans="1:6">
      <c r="A405" s="23">
        <f t="shared" ca="1" si="6"/>
        <v>45770</v>
      </c>
      <c r="B405" cm="1">
        <f t="array" aca="1" ref="B405" ca="1">[1]!s_dq_close($B$1,$A405,3)</f>
        <v>24.25</v>
      </c>
      <c r="C405" cm="1">
        <f t="array" aca="1" ref="C405" ca="1">[1]!s_dq_volume($B$1,$A405)</f>
        <v>5934500</v>
      </c>
      <c r="D405" cm="1">
        <f t="array" aca="1" ref="D405" ca="1">[1]!s_dq_amount($B$1,$A405)</f>
        <v>145412900</v>
      </c>
      <c r="E405" cm="1">
        <f t="array" aca="1" ref="E405" ca="1">[1]!s_dq_turn($B$1,$A405)</f>
        <v>0.68087339885684695</v>
      </c>
      <c r="F405" cm="1">
        <f t="array" aca="1" ref="F405" ca="1">[1]!s_val_pe_ttm($B$1,$A405)</f>
        <v>72.169174194335895</v>
      </c>
    </row>
    <row r="406" spans="1:6">
      <c r="A406" s="23">
        <f t="shared" ca="1" si="6"/>
        <v>45769</v>
      </c>
      <c r="B406" cm="1">
        <f t="array" aca="1" ref="B406" ca="1">[1]!s_dq_close($B$1,$A406,3)</f>
        <v>24.7</v>
      </c>
      <c r="C406" cm="1">
        <f t="array" aca="1" ref="C406" ca="1">[1]!s_dq_volume($B$1,$A406)</f>
        <v>9916825</v>
      </c>
      <c r="D406" cm="1">
        <f t="array" aca="1" ref="D406" ca="1">[1]!s_dq_amount($B$1,$A406)</f>
        <v>238395975</v>
      </c>
      <c r="E406" cm="1">
        <f t="array" aca="1" ref="E406" ca="1">[1]!s_dq_turn($B$1,$A406)</f>
        <v>1.13777105798611</v>
      </c>
      <c r="F406" cm="1">
        <f t="array" aca="1" ref="F406" ca="1">[1]!s_val_pe_ttm($B$1,$A406)</f>
        <v>73.508392333984403</v>
      </c>
    </row>
    <row r="407" spans="1:6">
      <c r="A407" s="23">
        <f t="shared" ca="1" si="6"/>
        <v>45768</v>
      </c>
      <c r="B407" cm="1">
        <f t="array" aca="1" ref="B407" ca="1">[1]!s_dq_close($B$1,$A407,3)</f>
        <v>22.1</v>
      </c>
      <c r="C407" cm="1">
        <f t="array" aca="1" ref="C407" ca="1">[1]!s_dq_volume($B$1,$A407)</f>
        <v>0</v>
      </c>
      <c r="D407" cm="1">
        <f t="array" aca="1" ref="D407" ca="1">[1]!s_dq_amount($B$1,$A407)</f>
        <v>0</v>
      </c>
      <c r="E407" cm="1">
        <f t="array" aca="1" ref="E407" ca="1">[1]!s_dq_turn($B$1,$A407)</f>
        <v>0</v>
      </c>
      <c r="F407" cm="1">
        <f t="array" aca="1" ref="F407" ca="1">[1]!s_val_pe_ttm($B$1,$A407)</f>
        <v>65.770668029785199</v>
      </c>
    </row>
    <row r="408" spans="1:6">
      <c r="A408" s="23">
        <f t="shared" ca="1" si="6"/>
        <v>45767</v>
      </c>
      <c r="B408" cm="1">
        <f t="array" aca="1" ref="B408" ca="1">[1]!s_dq_close($B$1,$A408,3)</f>
        <v>22.1</v>
      </c>
      <c r="C408" cm="1">
        <f t="array" aca="1" ref="C408" ca="1">[1]!s_dq_volume($B$1,$A408)</f>
        <v>0</v>
      </c>
      <c r="D408" cm="1">
        <f t="array" aca="1" ref="D408" ca="1">[1]!s_dq_amount($B$1,$A408)</f>
        <v>0</v>
      </c>
      <c r="E408" cm="1">
        <f t="array" aca="1" ref="E408" ca="1">[1]!s_dq_turn($B$1,$A408)</f>
        <v>0</v>
      </c>
      <c r="F408" cm="1">
        <f t="array" aca="1" ref="F408" ca="1">[1]!s_val_pe_ttm($B$1,$A408)</f>
        <v>65.770668029785199</v>
      </c>
    </row>
    <row r="409" spans="1:6">
      <c r="A409" s="23">
        <f t="shared" ca="1" si="6"/>
        <v>45766</v>
      </c>
      <c r="B409" cm="1">
        <f t="array" aca="1" ref="B409" ca="1">[1]!s_dq_close($B$1,$A409,3)</f>
        <v>22.1</v>
      </c>
      <c r="C409" cm="1">
        <f t="array" aca="1" ref="C409" ca="1">[1]!s_dq_volume($B$1,$A409)</f>
        <v>0</v>
      </c>
      <c r="D409" cm="1">
        <f t="array" aca="1" ref="D409" ca="1">[1]!s_dq_amount($B$1,$A409)</f>
        <v>0</v>
      </c>
      <c r="E409" cm="1">
        <f t="array" aca="1" ref="E409" ca="1">[1]!s_dq_turn($B$1,$A409)</f>
        <v>0</v>
      </c>
      <c r="F409" cm="1">
        <f t="array" aca="1" ref="F409" ca="1">[1]!s_val_pe_ttm($B$1,$A409)</f>
        <v>65.770668029785199</v>
      </c>
    </row>
    <row r="410" spans="1:6">
      <c r="A410" s="23">
        <f t="shared" ca="1" si="6"/>
        <v>45765</v>
      </c>
      <c r="B410" cm="1">
        <f t="array" aca="1" ref="B410" ca="1">[1]!s_dq_close($B$1,$A410,3)</f>
        <v>22.1</v>
      </c>
      <c r="C410" cm="1">
        <f t="array" aca="1" ref="C410" ca="1">[1]!s_dq_volume($B$1,$A410)</f>
        <v>0</v>
      </c>
      <c r="D410" cm="1">
        <f t="array" aca="1" ref="D410" ca="1">[1]!s_dq_amount($B$1,$A410)</f>
        <v>0</v>
      </c>
      <c r="E410" cm="1">
        <f t="array" aca="1" ref="E410" ca="1">[1]!s_dq_turn($B$1,$A410)</f>
        <v>0</v>
      </c>
      <c r="F410" cm="1">
        <f t="array" aca="1" ref="F410" ca="1">[1]!s_val_pe_ttm($B$1,$A410)</f>
        <v>65.770668029785199</v>
      </c>
    </row>
    <row r="411" spans="1:6">
      <c r="A411" s="23">
        <f t="shared" ca="1" si="6"/>
        <v>45764</v>
      </c>
      <c r="B411" cm="1">
        <f t="array" aca="1" ref="B411" ca="1">[1]!s_dq_close($B$1,$A411,3)</f>
        <v>22.1</v>
      </c>
      <c r="C411" cm="1">
        <f t="array" aca="1" ref="C411" ca="1">[1]!s_dq_volume($B$1,$A411)</f>
        <v>4121200</v>
      </c>
      <c r="D411" cm="1">
        <f t="array" aca="1" ref="D411" ca="1">[1]!s_dq_amount($B$1,$A411)</f>
        <v>90852185</v>
      </c>
      <c r="E411" cm="1">
        <f t="array" aca="1" ref="E411" ca="1">[1]!s_dq_turn($B$1,$A411)</f>
        <v>0.47283098009416802</v>
      </c>
      <c r="F411" cm="1">
        <f t="array" aca="1" ref="F411" ca="1">[1]!s_val_pe_ttm($B$1,$A411)</f>
        <v>65.770668029785199</v>
      </c>
    </row>
    <row r="412" spans="1:6">
      <c r="A412" s="23">
        <f t="shared" ca="1" si="6"/>
        <v>45763</v>
      </c>
      <c r="B412" cm="1">
        <f t="array" aca="1" ref="B412" ca="1">[1]!s_dq_close($B$1,$A412,3)</f>
        <v>21.8</v>
      </c>
      <c r="C412" cm="1">
        <f t="array" aca="1" ref="C412" ca="1">[1]!s_dq_volume($B$1,$A412)</f>
        <v>5052434</v>
      </c>
      <c r="D412" cm="1">
        <f t="array" aca="1" ref="D412" ca="1">[1]!s_dq_amount($B$1,$A412)</f>
        <v>109103937</v>
      </c>
      <c r="E412" cm="1">
        <f t="array" aca="1" ref="E412" ca="1">[1]!s_dq_turn($B$1,$A412)</f>
        <v>0.579672745821872</v>
      </c>
      <c r="F412" cm="1">
        <f t="array" aca="1" ref="F412" ca="1">[1]!s_val_pe_ttm($B$1,$A412)</f>
        <v>64.877853393554702</v>
      </c>
    </row>
    <row r="413" spans="1:6">
      <c r="A413" s="23">
        <f t="shared" ca="1" si="6"/>
        <v>45762</v>
      </c>
      <c r="B413" cm="1">
        <f t="array" aca="1" ref="B413" ca="1">[1]!s_dq_close($B$1,$A413,3)</f>
        <v>22.55</v>
      </c>
      <c r="C413" cm="1">
        <f t="array" aca="1" ref="C413" ca="1">[1]!s_dq_volume($B$1,$A413)</f>
        <v>5588378</v>
      </c>
      <c r="D413" cm="1">
        <f t="array" aca="1" ref="D413" ca="1">[1]!s_dq_amount($B$1,$A413)</f>
        <v>126360204</v>
      </c>
      <c r="E413" cm="1">
        <f t="array" aca="1" ref="E413" ca="1">[1]!s_dq_turn($B$1,$A413)</f>
        <v>0.64116234273432204</v>
      </c>
      <c r="F413" cm="1">
        <f t="array" aca="1" ref="F413" ca="1">[1]!s_val_pe_ttm($B$1,$A413)</f>
        <v>67.109893798828097</v>
      </c>
    </row>
    <row r="414" spans="1:6">
      <c r="A414" s="23">
        <f t="shared" ca="1" si="6"/>
        <v>45761</v>
      </c>
      <c r="B414" cm="1">
        <f t="array" aca="1" ref="B414" ca="1">[1]!s_dq_close($B$1,$A414,3)</f>
        <v>23</v>
      </c>
      <c r="C414" cm="1">
        <f t="array" aca="1" ref="C414" ca="1">[1]!s_dq_volume($B$1,$A414)</f>
        <v>7544370</v>
      </c>
      <c r="D414" cm="1">
        <f t="array" aca="1" ref="D414" ca="1">[1]!s_dq_amount($B$1,$A414)</f>
        <v>171638995</v>
      </c>
      <c r="E414" cm="1">
        <f t="array" aca="1" ref="E414" ca="1">[1]!s_dq_turn($B$1,$A414)</f>
        <v>0.86557601215496405</v>
      </c>
      <c r="F414" cm="1">
        <f t="array" aca="1" ref="F414" ca="1">[1]!s_val_pe_ttm($B$1,$A414)</f>
        <v>68.449111938476605</v>
      </c>
    </row>
    <row r="415" spans="1:6">
      <c r="A415" s="23">
        <f t="shared" ca="1" si="6"/>
        <v>45760</v>
      </c>
      <c r="B415" cm="1">
        <f t="array" aca="1" ref="B415" ca="1">[1]!s_dq_close($B$1,$A415,3)</f>
        <v>21.5</v>
      </c>
      <c r="C415" cm="1">
        <f t="array" aca="1" ref="C415" ca="1">[1]!s_dq_volume($B$1,$A415)</f>
        <v>0</v>
      </c>
      <c r="D415" cm="1">
        <f t="array" aca="1" ref="D415" ca="1">[1]!s_dq_amount($B$1,$A415)</f>
        <v>0</v>
      </c>
      <c r="E415" cm="1">
        <f t="array" aca="1" ref="E415" ca="1">[1]!s_dq_turn($B$1,$A415)</f>
        <v>0</v>
      </c>
      <c r="F415" cm="1">
        <f t="array" aca="1" ref="F415" ca="1">[1]!s_val_pe_ttm($B$1,$A415)</f>
        <v>63.985038757324197</v>
      </c>
    </row>
    <row r="416" spans="1:6">
      <c r="A416" s="23">
        <f t="shared" ca="1" si="6"/>
        <v>45759</v>
      </c>
      <c r="B416" cm="1">
        <f t="array" aca="1" ref="B416" ca="1">[1]!s_dq_close($B$1,$A416,3)</f>
        <v>21.5</v>
      </c>
      <c r="C416" cm="1">
        <f t="array" aca="1" ref="C416" ca="1">[1]!s_dq_volume($B$1,$A416)</f>
        <v>0</v>
      </c>
      <c r="D416" cm="1">
        <f t="array" aca="1" ref="D416" ca="1">[1]!s_dq_amount($B$1,$A416)</f>
        <v>0</v>
      </c>
      <c r="E416" cm="1">
        <f t="array" aca="1" ref="E416" ca="1">[1]!s_dq_turn($B$1,$A416)</f>
        <v>0</v>
      </c>
      <c r="F416" cm="1">
        <f t="array" aca="1" ref="F416" ca="1">[1]!s_val_pe_ttm($B$1,$A416)</f>
        <v>63.985038757324197</v>
      </c>
    </row>
    <row r="417" spans="1:6">
      <c r="A417" s="23">
        <f t="shared" ca="1" si="6"/>
        <v>45758</v>
      </c>
      <c r="B417" cm="1">
        <f t="array" aca="1" ref="B417" ca="1">[1]!s_dq_close($B$1,$A417,3)</f>
        <v>21.5</v>
      </c>
      <c r="C417" cm="1">
        <f t="array" aca="1" ref="C417" ca="1">[1]!s_dq_volume($B$1,$A417)</f>
        <v>10892095</v>
      </c>
      <c r="D417" cm="1">
        <f t="array" aca="1" ref="D417" ca="1">[1]!s_dq_amount($B$1,$A417)</f>
        <v>230065148</v>
      </c>
      <c r="E417" cm="1">
        <f t="array" aca="1" ref="E417" ca="1">[1]!s_dq_turn($B$1,$A417)</f>
        <v>1.24966513494341</v>
      </c>
      <c r="F417" cm="1">
        <f t="array" aca="1" ref="F417" ca="1">[1]!s_val_pe_ttm($B$1,$A417)</f>
        <v>63.985038757324197</v>
      </c>
    </row>
    <row r="418" spans="1:6">
      <c r="A418" s="23">
        <f t="shared" ca="1" si="6"/>
        <v>45757</v>
      </c>
      <c r="B418" cm="1">
        <f t="array" aca="1" ref="B418" ca="1">[1]!s_dq_close($B$1,$A418,3)</f>
        <v>20.95</v>
      </c>
      <c r="C418" cm="1">
        <f t="array" aca="1" ref="C418" ca="1">[1]!s_dq_volume($B$1,$A418)</f>
        <v>12209726</v>
      </c>
      <c r="D418" cm="1">
        <f t="array" aca="1" ref="D418" ca="1">[1]!s_dq_amount($B$1,$A418)</f>
        <v>258597059</v>
      </c>
      <c r="E418" cm="1">
        <f t="array" aca="1" ref="E418" ca="1">[1]!s_dq_turn($B$1,$A418)</f>
        <v>1.40083876328769</v>
      </c>
      <c r="F418" cm="1">
        <f t="array" aca="1" ref="F418" ca="1">[1]!s_val_pe_ttm($B$1,$A418)</f>
        <v>62.348213195800803</v>
      </c>
    </row>
    <row r="419" spans="1:6">
      <c r="A419" s="23">
        <f t="shared" ca="1" si="6"/>
        <v>45756</v>
      </c>
      <c r="B419" cm="1">
        <f t="array" aca="1" ref="B419" ca="1">[1]!s_dq_close($B$1,$A419,3)</f>
        <v>20.5</v>
      </c>
      <c r="C419" cm="1">
        <f t="array" aca="1" ref="C419" ca="1">[1]!s_dq_volume($B$1,$A419)</f>
        <v>13437438</v>
      </c>
      <c r="D419" cm="1">
        <f t="array" aca="1" ref="D419" ca="1">[1]!s_dq_amount($B$1,$A419)</f>
        <v>264908028</v>
      </c>
      <c r="E419" cm="1">
        <f t="array" aca="1" ref="E419" ca="1">[1]!s_dq_turn($B$1,$A419)</f>
        <v>1.54169586030637</v>
      </c>
      <c r="F419" cm="1">
        <f t="array" aca="1" ref="F419" ca="1">[1]!s_val_pe_ttm($B$1,$A419)</f>
        <v>61.008991241455099</v>
      </c>
    </row>
    <row r="420" spans="1:6">
      <c r="A420" s="23">
        <f t="shared" ca="1" si="6"/>
        <v>45755</v>
      </c>
      <c r="B420" cm="1">
        <f t="array" aca="1" ref="B420" ca="1">[1]!s_dq_close($B$1,$A420,3)</f>
        <v>20</v>
      </c>
      <c r="C420" cm="1">
        <f t="array" aca="1" ref="C420" ca="1">[1]!s_dq_volume($B$1,$A420)</f>
        <v>12738955</v>
      </c>
      <c r="D420" cm="1">
        <f t="array" aca="1" ref="D420" ca="1">[1]!s_dq_amount($B$1,$A420)</f>
        <v>249354140</v>
      </c>
      <c r="E420" cm="1">
        <f t="array" aca="1" ref="E420" ca="1">[1]!s_dq_turn($B$1,$A420)</f>
        <v>1.46155793895601</v>
      </c>
      <c r="F420" cm="1">
        <f t="array" aca="1" ref="F420" ca="1">[1]!s_val_pe_ttm($B$1,$A420)</f>
        <v>59.520965576171903</v>
      </c>
    </row>
    <row r="421" spans="1:6">
      <c r="A421" s="23">
        <f t="shared" ca="1" si="6"/>
        <v>45754</v>
      </c>
      <c r="B421" cm="1">
        <f t="array" aca="1" ref="B421" ca="1">[1]!s_dq_close($B$1,$A421,3)</f>
        <v>19.079999999999998</v>
      </c>
      <c r="C421" cm="1">
        <f t="array" aca="1" ref="C421" ca="1">[1]!s_dq_volume($B$1,$A421)</f>
        <v>16236600</v>
      </c>
      <c r="D421" cm="1">
        <f t="array" aca="1" ref="D421" ca="1">[1]!s_dq_amount($B$1,$A421)</f>
        <v>324875226</v>
      </c>
      <c r="E421" cm="1">
        <f t="array" aca="1" ref="E421" ca="1">[1]!s_dq_turn($B$1,$A421)</f>
        <v>1.86284759084659</v>
      </c>
      <c r="F421" cm="1">
        <f t="array" aca="1" ref="F421" ca="1">[1]!s_val_pe_ttm($B$1,$A421)</f>
        <v>56.783000946044901</v>
      </c>
    </row>
    <row r="422" spans="1:6">
      <c r="A422" s="23">
        <f t="shared" ca="1" si="6"/>
        <v>45753</v>
      </c>
      <c r="B422" cm="1">
        <f t="array" aca="1" ref="B422" ca="1">[1]!s_dq_close($B$1,$A422,3)</f>
        <v>24.5</v>
      </c>
      <c r="C422" cm="1">
        <f t="array" aca="1" ref="C422" ca="1">[1]!s_dq_volume($B$1,$A422)</f>
        <v>0</v>
      </c>
      <c r="D422" cm="1">
        <f t="array" aca="1" ref="D422" ca="1">[1]!s_dq_amount($B$1,$A422)</f>
        <v>0</v>
      </c>
      <c r="E422" cm="1">
        <f t="array" aca="1" ref="E422" ca="1">[1]!s_dq_turn($B$1,$A422)</f>
        <v>0</v>
      </c>
      <c r="F422" cm="1">
        <f t="array" aca="1" ref="F422" ca="1">[1]!s_val_pe_ttm($B$1,$A422)</f>
        <v>72.913185119628906</v>
      </c>
    </row>
    <row r="423" spans="1:6">
      <c r="A423" s="23">
        <f t="shared" ca="1" si="6"/>
        <v>45752</v>
      </c>
      <c r="B423" cm="1">
        <f t="array" aca="1" ref="B423" ca="1">[1]!s_dq_close($B$1,$A423,3)</f>
        <v>24.5</v>
      </c>
      <c r="C423" cm="1">
        <f t="array" aca="1" ref="C423" ca="1">[1]!s_dq_volume($B$1,$A423)</f>
        <v>0</v>
      </c>
      <c r="D423" cm="1">
        <f t="array" aca="1" ref="D423" ca="1">[1]!s_dq_amount($B$1,$A423)</f>
        <v>0</v>
      </c>
      <c r="E423" cm="1">
        <f t="array" aca="1" ref="E423" ca="1">[1]!s_dq_turn($B$1,$A423)</f>
        <v>0</v>
      </c>
      <c r="F423" cm="1">
        <f t="array" aca="1" ref="F423" ca="1">[1]!s_val_pe_ttm($B$1,$A423)</f>
        <v>72.913185119628906</v>
      </c>
    </row>
    <row r="424" spans="1:6">
      <c r="A424" s="23">
        <f t="shared" ca="1" si="6"/>
        <v>45751</v>
      </c>
      <c r="B424" cm="1">
        <f t="array" aca="1" ref="B424" ca="1">[1]!s_dq_close($B$1,$A424,3)</f>
        <v>24.5</v>
      </c>
      <c r="C424" cm="1">
        <f t="array" aca="1" ref="C424" ca="1">[1]!s_dq_volume($B$1,$A424)</f>
        <v>0</v>
      </c>
      <c r="D424" cm="1">
        <f t="array" aca="1" ref="D424" ca="1">[1]!s_dq_amount($B$1,$A424)</f>
        <v>0</v>
      </c>
      <c r="E424" cm="1">
        <f t="array" aca="1" ref="E424" ca="1">[1]!s_dq_turn($B$1,$A424)</f>
        <v>0</v>
      </c>
      <c r="F424" cm="1">
        <f t="array" aca="1" ref="F424" ca="1">[1]!s_val_pe_ttm($B$1,$A424)</f>
        <v>72.913185119628906</v>
      </c>
    </row>
    <row r="425" spans="1:6">
      <c r="A425" s="23">
        <f t="shared" ca="1" si="6"/>
        <v>45750</v>
      </c>
      <c r="B425" cm="1">
        <f t="array" aca="1" ref="B425" ca="1">[1]!s_dq_close($B$1,$A425,3)</f>
        <v>24.5</v>
      </c>
      <c r="C425" cm="1">
        <f t="array" aca="1" ref="C425" ca="1">[1]!s_dq_volume($B$1,$A425)</f>
        <v>7469691</v>
      </c>
      <c r="D425" cm="1">
        <f t="array" aca="1" ref="D425" ca="1">[1]!s_dq_amount($B$1,$A425)</f>
        <v>183299909</v>
      </c>
      <c r="E425" cm="1">
        <f t="array" aca="1" ref="E425" ca="1">[1]!s_dq_turn($B$1,$A425)</f>
        <v>0.857007987122825</v>
      </c>
      <c r="F425" cm="1">
        <f t="array" aca="1" ref="F425" ca="1">[1]!s_val_pe_ttm($B$1,$A425)</f>
        <v>72.913185119628906</v>
      </c>
    </row>
    <row r="426" spans="1:6">
      <c r="A426" s="23">
        <f t="shared" ca="1" si="6"/>
        <v>45749</v>
      </c>
      <c r="B426" cm="1">
        <f t="array" aca="1" ref="B426" ca="1">[1]!s_dq_close($B$1,$A426,3)</f>
        <v>25.15</v>
      </c>
      <c r="C426" cm="1">
        <f t="array" aca="1" ref="C426" ca="1">[1]!s_dq_volume($B$1,$A426)</f>
        <v>7790340</v>
      </c>
      <c r="D426" cm="1">
        <f t="array" aca="1" ref="D426" ca="1">[1]!s_dq_amount($B$1,$A426)</f>
        <v>198482003</v>
      </c>
      <c r="E426" cm="1">
        <f t="array" aca="1" ref="E426" ca="1">[1]!s_dq_turn($B$1,$A426)</f>
        <v>0.89379649069853495</v>
      </c>
      <c r="F426" cm="1">
        <f t="array" aca="1" ref="F426" ca="1">[1]!s_val_pe_ttm($B$1,$A426)</f>
        <v>74.847618103027301</v>
      </c>
    </row>
    <row r="427" spans="1:6">
      <c r="A427" s="23">
        <f t="shared" ca="1" si="6"/>
        <v>45748</v>
      </c>
      <c r="B427" cm="1">
        <f t="array" aca="1" ref="B427" ca="1">[1]!s_dq_close($B$1,$A427,3)</f>
        <v>26.1</v>
      </c>
      <c r="C427" cm="1">
        <f t="array" aca="1" ref="C427" ca="1">[1]!s_dq_volume($B$1,$A427)</f>
        <v>13138902</v>
      </c>
      <c r="D427" cm="1">
        <f t="array" aca="1" ref="D427" ca="1">[1]!s_dq_amount($B$1,$A427)</f>
        <v>341278898</v>
      </c>
      <c r="E427" cm="1">
        <f t="array" aca="1" ref="E427" ca="1">[1]!s_dq_turn($B$1,$A427)</f>
        <v>1.5074444118269501</v>
      </c>
      <c r="F427" cm="1">
        <f t="array" aca="1" ref="F427" ca="1">[1]!s_val_pe_ttm($B$1,$A427)</f>
        <v>77.674865722656193</v>
      </c>
    </row>
    <row r="428" spans="1:6">
      <c r="A428" s="23">
        <f t="shared" ca="1" si="6"/>
        <v>45747</v>
      </c>
      <c r="B428" cm="1">
        <f t="array" aca="1" ref="B428" ca="1">[1]!s_dq_close($B$1,$A428,3)</f>
        <v>23.85</v>
      </c>
      <c r="C428" cm="1">
        <f t="array" aca="1" ref="C428" ca="1">[1]!s_dq_volume($B$1,$A428)</f>
        <v>6904936</v>
      </c>
      <c r="D428" cm="1">
        <f t="array" aca="1" ref="D428" ca="1">[1]!s_dq_amount($B$1,$A428)</f>
        <v>164836701</v>
      </c>
      <c r="E428" cm="1">
        <f t="array" aca="1" ref="E428" ca="1">[1]!s_dq_turn($B$1,$A428)</f>
        <v>0.79221286430348004</v>
      </c>
      <c r="F428" cm="1">
        <f t="array" aca="1" ref="F428" ca="1">[1]!s_val_pe_ttm($B$1,$A428)</f>
        <v>70.978752136230497</v>
      </c>
    </row>
    <row r="429" spans="1:6">
      <c r="A429" s="23">
        <f t="shared" ca="1" si="6"/>
        <v>45746</v>
      </c>
      <c r="B429" cm="1">
        <f t="array" aca="1" ref="B429" ca="1">[1]!s_dq_close($B$1,$A429,3)</f>
        <v>24.4</v>
      </c>
      <c r="C429" cm="1">
        <f t="array" aca="1" ref="C429" ca="1">[1]!s_dq_volume($B$1,$A429)</f>
        <v>0</v>
      </c>
      <c r="D429" cm="1">
        <f t="array" aca="1" ref="D429" ca="1">[1]!s_dq_amount($B$1,$A429)</f>
        <v>0</v>
      </c>
      <c r="E429" cm="1">
        <f t="array" aca="1" ref="E429" ca="1">[1]!s_dq_turn($B$1,$A429)</f>
        <v>0</v>
      </c>
      <c r="F429" cm="1">
        <f t="array" aca="1" ref="F429" ca="1">[1]!s_val_pe_ttm($B$1,$A429)</f>
        <v>72.615577697753906</v>
      </c>
    </row>
    <row r="430" spans="1:6">
      <c r="A430" s="23">
        <f t="shared" ca="1" si="6"/>
        <v>45745</v>
      </c>
      <c r="B430" cm="1">
        <f t="array" aca="1" ref="B430" ca="1">[1]!s_dq_close($B$1,$A430,3)</f>
        <v>24.4</v>
      </c>
      <c r="C430" cm="1">
        <f t="array" aca="1" ref="C430" ca="1">[1]!s_dq_volume($B$1,$A430)</f>
        <v>0</v>
      </c>
      <c r="D430" cm="1">
        <f t="array" aca="1" ref="D430" ca="1">[1]!s_dq_amount($B$1,$A430)</f>
        <v>0</v>
      </c>
      <c r="E430" cm="1">
        <f t="array" aca="1" ref="E430" ca="1">[1]!s_dq_turn($B$1,$A430)</f>
        <v>0</v>
      </c>
      <c r="F430" cm="1">
        <f t="array" aca="1" ref="F430" ca="1">[1]!s_val_pe_ttm($B$1,$A430)</f>
        <v>72.615577697753906</v>
      </c>
    </row>
    <row r="431" spans="1:6">
      <c r="A431" s="23">
        <f t="shared" ca="1" si="6"/>
        <v>45744</v>
      </c>
      <c r="B431" cm="1">
        <f t="array" aca="1" ref="B431" ca="1">[1]!s_dq_close($B$1,$A431,3)</f>
        <v>24.4</v>
      </c>
      <c r="C431" cm="1">
        <f t="array" aca="1" ref="C431" ca="1">[1]!s_dq_volume($B$1,$A431)</f>
        <v>12844500</v>
      </c>
      <c r="D431" cm="1">
        <f t="array" aca="1" ref="D431" ca="1">[1]!s_dq_amount($B$1,$A431)</f>
        <v>321089463</v>
      </c>
      <c r="E431" cm="1">
        <f t="array" aca="1" ref="E431" ca="1">[1]!s_dq_turn($B$1,$A431)</f>
        <v>1.4736672628893399</v>
      </c>
      <c r="F431" cm="1">
        <f t="array" aca="1" ref="F431" ca="1">[1]!s_val_pe_ttm($B$1,$A431)</f>
        <v>72.615577697753906</v>
      </c>
    </row>
    <row r="432" spans="1:6">
      <c r="A432" s="23">
        <f t="shared" ca="1" si="6"/>
        <v>45743</v>
      </c>
      <c r="B432" cm="1">
        <f t="array" aca="1" ref="B432" ca="1">[1]!s_dq_close($B$1,$A432,3)</f>
        <v>24.1</v>
      </c>
      <c r="C432" cm="1">
        <f t="array" aca="1" ref="C432" ca="1">[1]!s_dq_volume($B$1,$A432)</f>
        <v>14109500</v>
      </c>
      <c r="D432" cm="1">
        <f t="array" aca="1" ref="D432" ca="1">[1]!s_dq_amount($B$1,$A432)</f>
        <v>333104625</v>
      </c>
      <c r="E432" cm="1">
        <f t="array" aca="1" ref="E432" ca="1">[1]!s_dq_turn($B$1,$A432)</f>
        <v>1.6188024637578</v>
      </c>
      <c r="F432" cm="1">
        <f t="array" aca="1" ref="F432" ca="1">[1]!s_val_pe_ttm($B$1,$A432)</f>
        <v>71.722763061523395</v>
      </c>
    </row>
    <row r="433" spans="1:6">
      <c r="A433" s="23">
        <f t="shared" ca="1" si="6"/>
        <v>45742</v>
      </c>
      <c r="B433" cm="1">
        <f t="array" aca="1" ref="B433" ca="1">[1]!s_dq_close($B$1,$A433,3)</f>
        <v>22.55</v>
      </c>
      <c r="C433" cm="1">
        <f t="array" aca="1" ref="C433" ca="1">[1]!s_dq_volume($B$1,$A433)</f>
        <v>4222648</v>
      </c>
      <c r="D433" cm="1">
        <f t="array" aca="1" ref="D433" ca="1">[1]!s_dq_amount($B$1,$A433)</f>
        <v>95990105</v>
      </c>
      <c r="E433" cm="1">
        <f t="array" aca="1" ref="E433" ca="1">[1]!s_dq_turn($B$1,$A433)</f>
        <v>0.48447024954689899</v>
      </c>
      <c r="F433" cm="1">
        <f t="array" aca="1" ref="F433" ca="1">[1]!s_val_pe_ttm($B$1,$A433)</f>
        <v>67.109893798828097</v>
      </c>
    </row>
    <row r="434" spans="1:6">
      <c r="A434" s="23">
        <f t="shared" ca="1" si="6"/>
        <v>45741</v>
      </c>
      <c r="B434" cm="1">
        <f t="array" aca="1" ref="B434" ca="1">[1]!s_dq_close($B$1,$A434,3)</f>
        <v>23</v>
      </c>
      <c r="C434" cm="1">
        <f t="array" aca="1" ref="C434" ca="1">[1]!s_dq_volume($B$1,$A434)</f>
        <v>5247482</v>
      </c>
      <c r="D434" cm="1">
        <f t="array" aca="1" ref="D434" ca="1">[1]!s_dq_amount($B$1,$A434)</f>
        <v>121178528</v>
      </c>
      <c r="E434" cm="1">
        <f t="array" aca="1" ref="E434" ca="1">[1]!s_dq_turn($B$1,$A434)</f>
        <v>0.60205087282502801</v>
      </c>
      <c r="F434" cm="1">
        <f t="array" aca="1" ref="F434" ca="1">[1]!s_val_pe_ttm($B$1,$A434)</f>
        <v>68.449111938476605</v>
      </c>
    </row>
    <row r="435" spans="1:6">
      <c r="A435" s="23">
        <f t="shared" ca="1" si="6"/>
        <v>45740</v>
      </c>
      <c r="B435" cm="1">
        <f t="array" aca="1" ref="B435" ca="1">[1]!s_dq_close($B$1,$A435,3)</f>
        <v>23.95</v>
      </c>
      <c r="C435" cm="1">
        <f t="array" aca="1" ref="C435" ca="1">[1]!s_dq_volume($B$1,$A435)</f>
        <v>6685861</v>
      </c>
      <c r="D435" cm="1">
        <f t="array" aca="1" ref="D435" ca="1">[1]!s_dq_amount($B$1,$A435)</f>
        <v>160282334</v>
      </c>
      <c r="E435" cm="1">
        <f t="array" aca="1" ref="E435" ca="1">[1]!s_dq_turn($B$1,$A435)</f>
        <v>0.76707808633489605</v>
      </c>
      <c r="F435" cm="1">
        <f t="array" aca="1" ref="F435" ca="1">[1]!s_val_pe_ttm($B$1,$A435)</f>
        <v>71.276359558105497</v>
      </c>
    </row>
    <row r="436" spans="1:6">
      <c r="A436" s="23">
        <f t="shared" ca="1" si="6"/>
        <v>45739</v>
      </c>
      <c r="B436" cm="1">
        <f t="array" aca="1" ref="B436" ca="1">[1]!s_dq_close($B$1,$A436,3)</f>
        <v>24.35</v>
      </c>
      <c r="C436" cm="1">
        <f t="array" aca="1" ref="C436" ca="1">[1]!s_dq_volume($B$1,$A436)</f>
        <v>0</v>
      </c>
      <c r="D436" cm="1">
        <f t="array" aca="1" ref="D436" ca="1">[1]!s_dq_amount($B$1,$A436)</f>
        <v>0</v>
      </c>
      <c r="E436" cm="1">
        <f t="array" aca="1" ref="E436" ca="1">[1]!s_dq_turn($B$1,$A436)</f>
        <v>0</v>
      </c>
      <c r="F436" cm="1">
        <f t="array" aca="1" ref="F436" ca="1">[1]!s_val_pe_ttm($B$1,$A436)</f>
        <v>72.466773986816406</v>
      </c>
    </row>
    <row r="437" spans="1:6">
      <c r="A437" s="23">
        <f t="shared" ca="1" si="6"/>
        <v>45738</v>
      </c>
      <c r="B437" cm="1">
        <f t="array" aca="1" ref="B437" ca="1">[1]!s_dq_close($B$1,$A437,3)</f>
        <v>24.35</v>
      </c>
      <c r="C437" cm="1">
        <f t="array" aca="1" ref="C437" ca="1">[1]!s_dq_volume($B$1,$A437)</f>
        <v>0</v>
      </c>
      <c r="D437" cm="1">
        <f t="array" aca="1" ref="D437" ca="1">[1]!s_dq_amount($B$1,$A437)</f>
        <v>0</v>
      </c>
      <c r="E437" cm="1">
        <f t="array" aca="1" ref="E437" ca="1">[1]!s_dq_turn($B$1,$A437)</f>
        <v>0</v>
      </c>
      <c r="F437" cm="1">
        <f t="array" aca="1" ref="F437" ca="1">[1]!s_val_pe_ttm($B$1,$A437)</f>
        <v>72.466773986816406</v>
      </c>
    </row>
    <row r="438" spans="1:6">
      <c r="A438" s="23">
        <f t="shared" ca="1" si="6"/>
        <v>45737</v>
      </c>
      <c r="B438" cm="1">
        <f t="array" aca="1" ref="B438" ca="1">[1]!s_dq_close($B$1,$A438,3)</f>
        <v>24.35</v>
      </c>
      <c r="C438" cm="1">
        <f t="array" aca="1" ref="C438" ca="1">[1]!s_dq_volume($B$1,$A438)</f>
        <v>13571337</v>
      </c>
      <c r="D438" cm="1">
        <f t="array" aca="1" ref="D438" ca="1">[1]!s_dq_amount($B$1,$A438)</f>
        <v>329452684</v>
      </c>
      <c r="E438" cm="1">
        <f t="array" aca="1" ref="E438" ca="1">[1]!s_dq_turn($B$1,$A438)</f>
        <v>1.55705827790407</v>
      </c>
      <c r="F438" cm="1">
        <f t="array" aca="1" ref="F438" ca="1">[1]!s_val_pe_ttm($B$1,$A438)</f>
        <v>72.466773986816406</v>
      </c>
    </row>
    <row r="439" spans="1:6">
      <c r="A439" s="23">
        <f t="shared" ca="1" si="6"/>
        <v>45736</v>
      </c>
      <c r="B439" cm="1">
        <f t="array" aca="1" ref="B439" ca="1">[1]!s_dq_close($B$1,$A439,3)</f>
        <v>25.8</v>
      </c>
      <c r="C439" cm="1">
        <f t="array" aca="1" ref="C439" ca="1">[1]!s_dq_volume($B$1,$A439)</f>
        <v>16334638</v>
      </c>
      <c r="D439" cm="1">
        <f t="array" aca="1" ref="D439" ca="1">[1]!s_dq_amount($B$1,$A439)</f>
        <v>417395639</v>
      </c>
      <c r="E439" cm="1">
        <f t="array" aca="1" ref="E439" ca="1">[1]!s_dq_turn($B$1,$A439)</f>
        <v>1.87409562627959</v>
      </c>
      <c r="F439" cm="1">
        <f t="array" aca="1" ref="F439" ca="1">[1]!s_val_pe_ttm($B$1,$A439)</f>
        <v>76.782051086425795</v>
      </c>
    </row>
    <row r="440" spans="1:6">
      <c r="A440" s="23">
        <f t="shared" ca="1" si="6"/>
        <v>45735</v>
      </c>
      <c r="B440" cm="1">
        <f t="array" aca="1" ref="B440" ca="1">[1]!s_dq_close($B$1,$A440,3)</f>
        <v>23.9</v>
      </c>
      <c r="C440" cm="1">
        <f t="array" aca="1" ref="C440" ca="1">[1]!s_dq_volume($B$1,$A440)</f>
        <v>6393000</v>
      </c>
      <c r="D440" cm="1">
        <f t="array" aca="1" ref="D440" ca="1">[1]!s_dq_amount($B$1,$A440)</f>
        <v>151200830</v>
      </c>
      <c r="E440" cm="1">
        <f t="array" aca="1" ref="E440" ca="1">[1]!s_dq_turn($B$1,$A440)</f>
        <v>0.73347773846016096</v>
      </c>
      <c r="F440" cm="1">
        <f t="array" aca="1" ref="F440" ca="1">[1]!s_val_pe_ttm($B$1,$A440)</f>
        <v>71.127555847167997</v>
      </c>
    </row>
    <row r="441" spans="1:6">
      <c r="A441" s="23">
        <f t="shared" ca="1" si="6"/>
        <v>45734</v>
      </c>
      <c r="B441" cm="1">
        <f t="array" aca="1" ref="B441" ca="1">[1]!s_dq_close($B$1,$A441,3)</f>
        <v>23.3</v>
      </c>
      <c r="C441" cm="1">
        <f t="array" aca="1" ref="C441" ca="1">[1]!s_dq_volume($B$1,$A441)</f>
        <v>10294000</v>
      </c>
      <c r="D441" cm="1">
        <f t="array" aca="1" ref="D441" ca="1">[1]!s_dq_amount($B$1,$A441)</f>
        <v>239353517</v>
      </c>
      <c r="E441" cm="1">
        <f t="array" aca="1" ref="E441" ca="1">[1]!s_dq_turn($B$1,$A441)</f>
        <v>1.18104486777865</v>
      </c>
      <c r="F441" cm="1">
        <f t="array" aca="1" ref="F441" ca="1">[1]!s_val_pe_ttm($B$1,$A441)</f>
        <v>-61.966743469238303</v>
      </c>
    </row>
    <row r="442" spans="1:6">
      <c r="A442" s="23">
        <f t="shared" ca="1" si="6"/>
        <v>45733</v>
      </c>
      <c r="B442" cm="1">
        <f t="array" aca="1" ref="B442" ca="1">[1]!s_dq_close($B$1,$A442,3)</f>
        <v>23.2</v>
      </c>
      <c r="C442" cm="1">
        <f t="array" aca="1" ref="C442" ca="1">[1]!s_dq_volume($B$1,$A442)</f>
        <v>9626605</v>
      </c>
      <c r="D442" cm="1">
        <f t="array" aca="1" ref="D442" ca="1">[1]!s_dq_amount($B$1,$A442)</f>
        <v>223371413</v>
      </c>
      <c r="E442" cm="1">
        <f t="array" aca="1" ref="E442" ca="1">[1]!s_dq_turn($B$1,$A442)</f>
        <v>1.1044737156967399</v>
      </c>
      <c r="F442" cm="1">
        <f t="array" aca="1" ref="F442" ca="1">[1]!s_val_pe_ttm($B$1,$A442)</f>
        <v>-61.700794219970703</v>
      </c>
    </row>
    <row r="443" spans="1:6">
      <c r="A443" s="23">
        <f t="shared" ca="1" si="6"/>
        <v>45732</v>
      </c>
      <c r="B443" cm="1">
        <f t="array" aca="1" ref="B443" ca="1">[1]!s_dq_close($B$1,$A443,3)</f>
        <v>24.35</v>
      </c>
      <c r="C443" cm="1">
        <f t="array" aca="1" ref="C443" ca="1">[1]!s_dq_volume($B$1,$A443)</f>
        <v>0</v>
      </c>
      <c r="D443" cm="1">
        <f t="array" aca="1" ref="D443" ca="1">[1]!s_dq_amount($B$1,$A443)</f>
        <v>0</v>
      </c>
      <c r="E443" cm="1">
        <f t="array" aca="1" ref="E443" ca="1">[1]!s_dq_turn($B$1,$A443)</f>
        <v>0</v>
      </c>
      <c r="F443" cm="1">
        <f t="array" aca="1" ref="F443" ca="1">[1]!s_val_pe_ttm($B$1,$A443)</f>
        <v>-64.759239196777301</v>
      </c>
    </row>
    <row r="444" spans="1:6">
      <c r="A444" s="23">
        <f t="shared" ca="1" si="6"/>
        <v>45731</v>
      </c>
      <c r="B444" cm="1">
        <f t="array" aca="1" ref="B444" ca="1">[1]!s_dq_close($B$1,$A444,3)</f>
        <v>24.35</v>
      </c>
      <c r="C444" cm="1">
        <f t="array" aca="1" ref="C444" ca="1">[1]!s_dq_volume($B$1,$A444)</f>
        <v>0</v>
      </c>
      <c r="D444" cm="1">
        <f t="array" aca="1" ref="D444" ca="1">[1]!s_dq_amount($B$1,$A444)</f>
        <v>0</v>
      </c>
      <c r="E444" cm="1">
        <f t="array" aca="1" ref="E444" ca="1">[1]!s_dq_turn($B$1,$A444)</f>
        <v>0</v>
      </c>
      <c r="F444" cm="1">
        <f t="array" aca="1" ref="F444" ca="1">[1]!s_val_pe_ttm($B$1,$A444)</f>
        <v>-64.759239196777301</v>
      </c>
    </row>
    <row r="445" spans="1:6">
      <c r="A445" s="23">
        <f t="shared" ca="1" si="6"/>
        <v>45730</v>
      </c>
      <c r="B445" cm="1">
        <f t="array" aca="1" ref="B445" ca="1">[1]!s_dq_close($B$1,$A445,3)</f>
        <v>24.35</v>
      </c>
      <c r="C445" cm="1">
        <f t="array" aca="1" ref="C445" ca="1">[1]!s_dq_volume($B$1,$A445)</f>
        <v>4191590</v>
      </c>
      <c r="D445" cm="1">
        <f t="array" aca="1" ref="D445" ca="1">[1]!s_dq_amount($B$1,$A445)</f>
        <v>101681781</v>
      </c>
      <c r="E445" cm="1">
        <f t="array" aca="1" ref="E445" ca="1">[1]!s_dq_turn($B$1,$A445)</f>
        <v>0.48090692221996301</v>
      </c>
      <c r="F445" cm="1">
        <f t="array" aca="1" ref="F445" ca="1">[1]!s_val_pe_ttm($B$1,$A445)</f>
        <v>-64.759239196777301</v>
      </c>
    </row>
    <row r="446" spans="1:6">
      <c r="A446" s="23">
        <f t="shared" ca="1" si="6"/>
        <v>45729</v>
      </c>
      <c r="B446" cm="1">
        <f t="array" aca="1" ref="B446" ca="1">[1]!s_dq_close($B$1,$A446,3)</f>
        <v>24</v>
      </c>
      <c r="C446" cm="1">
        <f t="array" aca="1" ref="C446" ca="1">[1]!s_dq_volume($B$1,$A446)</f>
        <v>4047000</v>
      </c>
      <c r="D446" cm="1">
        <f t="array" aca="1" ref="D446" ca="1">[1]!s_dq_amount($B$1,$A446)</f>
        <v>97122856</v>
      </c>
      <c r="E446" cm="1">
        <f t="array" aca="1" ref="E446" ca="1">[1]!s_dq_turn($B$1,$A446)</f>
        <v>0.464317911395006</v>
      </c>
      <c r="F446" cm="1">
        <f t="array" aca="1" ref="F446" ca="1">[1]!s_val_pe_ttm($B$1,$A446)</f>
        <v>-63.828407287597699</v>
      </c>
    </row>
    <row r="447" spans="1:6">
      <c r="A447" s="23">
        <f t="shared" ca="1" si="6"/>
        <v>45728</v>
      </c>
      <c r="B447" cm="1">
        <f t="array" aca="1" ref="B447" ca="1">[1]!s_dq_close($B$1,$A447,3)</f>
        <v>24.25</v>
      </c>
      <c r="C447" cm="1">
        <f t="array" aca="1" ref="C447" ca="1">[1]!s_dq_volume($B$1,$A447)</f>
        <v>3730203</v>
      </c>
      <c r="D447" cm="1">
        <f t="array" aca="1" ref="D447" ca="1">[1]!s_dq_amount($B$1,$A447)</f>
        <v>91556496</v>
      </c>
      <c r="E447" cm="1">
        <f t="array" aca="1" ref="E447" ca="1">[1]!s_dq_turn($B$1,$A447)</f>
        <v>0.42797135311079398</v>
      </c>
      <c r="F447" cm="1">
        <f t="array" aca="1" ref="F447" ca="1">[1]!s_val_pe_ttm($B$1,$A447)</f>
        <v>-64.4932861328125</v>
      </c>
    </row>
    <row r="448" spans="1:6">
      <c r="A448" s="23">
        <f t="shared" ca="1" si="6"/>
        <v>45727</v>
      </c>
      <c r="B448" cm="1">
        <f t="array" aca="1" ref="B448" ca="1">[1]!s_dq_close($B$1,$A448,3)</f>
        <v>24.9</v>
      </c>
      <c r="C448" cm="1">
        <f t="array" aca="1" ref="C448" ca="1">[1]!s_dq_volume($B$1,$A448)</f>
        <v>3335161</v>
      </c>
      <c r="D448" cm="1">
        <f t="array" aca="1" ref="D448" ca="1">[1]!s_dq_amount($B$1,$A448)</f>
        <v>82350190</v>
      </c>
      <c r="E448" cm="1">
        <f t="array" aca="1" ref="E448" ca="1">[1]!s_dq_turn($B$1,$A448)</f>
        <v>0.38264763767879401</v>
      </c>
      <c r="F448" cm="1">
        <f t="array" aca="1" ref="F448" ca="1">[1]!s_val_pe_ttm($B$1,$A448)</f>
        <v>-66.221969604492202</v>
      </c>
    </row>
    <row r="449" spans="1:6">
      <c r="A449" s="23">
        <f t="shared" ca="1" si="6"/>
        <v>45726</v>
      </c>
      <c r="B449" cm="1">
        <f t="array" aca="1" ref="B449" ca="1">[1]!s_dq_close($B$1,$A449,3)</f>
        <v>24.75</v>
      </c>
      <c r="C449" cm="1">
        <f t="array" aca="1" ref="C449" ca="1">[1]!s_dq_volume($B$1,$A449)</f>
        <v>5658212</v>
      </c>
      <c r="D449" cm="1">
        <f t="array" aca="1" ref="D449" ca="1">[1]!s_dq_amount($B$1,$A449)</f>
        <v>140531069</v>
      </c>
      <c r="E449" cm="1">
        <f t="array" aca="1" ref="E449" ca="1">[1]!s_dq_turn($B$1,$A449)</f>
        <v>0.64917449421056606</v>
      </c>
      <c r="F449" cm="1">
        <f t="array" aca="1" ref="F449" ca="1">[1]!s_val_pe_ttm($B$1,$A449)</f>
        <v>-65.823043823242202</v>
      </c>
    </row>
    <row r="450" spans="1:6">
      <c r="A450" s="23">
        <f t="shared" ca="1" si="6"/>
        <v>45725</v>
      </c>
      <c r="B450" cm="1">
        <f t="array" aca="1" ref="B450" ca="1">[1]!s_dq_close($B$1,$A450,3)</f>
        <v>25.8</v>
      </c>
      <c r="C450" cm="1">
        <f t="array" aca="1" ref="C450" ca="1">[1]!s_dq_volume($B$1,$A450)</f>
        <v>0</v>
      </c>
      <c r="D450" cm="1">
        <f t="array" aca="1" ref="D450" ca="1">[1]!s_dq_amount($B$1,$A450)</f>
        <v>0</v>
      </c>
      <c r="E450" cm="1">
        <f t="array" aca="1" ref="E450" ca="1">[1]!s_dq_turn($B$1,$A450)</f>
        <v>0</v>
      </c>
      <c r="F450" cm="1">
        <f t="array" aca="1" ref="F450" ca="1">[1]!s_val_pe_ttm($B$1,$A450)</f>
        <v>-68.615539550781193</v>
      </c>
    </row>
    <row r="451" spans="1:6">
      <c r="A451" s="23">
        <f t="shared" ca="1" si="6"/>
        <v>45724</v>
      </c>
      <c r="B451" cm="1">
        <f t="array" aca="1" ref="B451" ca="1">[1]!s_dq_close($B$1,$A451,3)</f>
        <v>25.8</v>
      </c>
      <c r="C451" cm="1">
        <f t="array" aca="1" ref="C451" ca="1">[1]!s_dq_volume($B$1,$A451)</f>
        <v>0</v>
      </c>
      <c r="D451" cm="1">
        <f t="array" aca="1" ref="D451" ca="1">[1]!s_dq_amount($B$1,$A451)</f>
        <v>0</v>
      </c>
      <c r="E451" cm="1">
        <f t="array" aca="1" ref="E451" ca="1">[1]!s_dq_turn($B$1,$A451)</f>
        <v>0</v>
      </c>
      <c r="F451" cm="1">
        <f t="array" aca="1" ref="F451" ca="1">[1]!s_val_pe_ttm($B$1,$A451)</f>
        <v>-68.615539550781193</v>
      </c>
    </row>
    <row r="452" spans="1:6">
      <c r="A452" s="23">
        <f t="shared" ca="1" si="6"/>
        <v>45723</v>
      </c>
      <c r="B452" cm="1">
        <f t="array" aca="1" ref="B452" ca="1">[1]!s_dq_close($B$1,$A452,3)</f>
        <v>25.8</v>
      </c>
      <c r="C452" cm="1">
        <f t="array" aca="1" ref="C452" ca="1">[1]!s_dq_volume($B$1,$A452)</f>
        <v>6715000</v>
      </c>
      <c r="D452" cm="1">
        <f t="array" aca="1" ref="D452" ca="1">[1]!s_dq_amount($B$1,$A452)</f>
        <v>173889119</v>
      </c>
      <c r="E452" cm="1">
        <f t="array" aca="1" ref="E452" ca="1">[1]!s_dq_turn($B$1,$A452)</f>
        <v>0.77042124413577096</v>
      </c>
      <c r="F452" cm="1">
        <f t="array" aca="1" ref="F452" ca="1">[1]!s_val_pe_ttm($B$1,$A452)</f>
        <v>-68.615539550781193</v>
      </c>
    </row>
    <row r="453" spans="1:6">
      <c r="A453" s="23">
        <f t="shared" ca="1" si="6"/>
        <v>45722</v>
      </c>
      <c r="B453" cm="1">
        <f t="array" aca="1" ref="B453" ca="1">[1]!s_dq_close($B$1,$A453,3)</f>
        <v>25.4</v>
      </c>
      <c r="C453" cm="1">
        <f t="array" aca="1" ref="C453" ca="1">[1]!s_dq_volume($B$1,$A453)</f>
        <v>8037500</v>
      </c>
      <c r="D453" cm="1">
        <f t="array" aca="1" ref="D453" ca="1">[1]!s_dq_amount($B$1,$A453)</f>
        <v>204371625</v>
      </c>
      <c r="E453" cm="1">
        <f t="array" aca="1" ref="E453" ca="1">[1]!s_dq_turn($B$1,$A453)</f>
        <v>0.92215349958916704</v>
      </c>
      <c r="F453" cm="1">
        <f t="array" aca="1" ref="F453" ca="1">[1]!s_val_pe_ttm($B$1,$A453)</f>
        <v>-67.551727294921903</v>
      </c>
    </row>
    <row r="454" spans="1:6">
      <c r="A454" s="23">
        <f t="shared" ca="1" si="6"/>
        <v>45721</v>
      </c>
      <c r="B454" cm="1">
        <f t="array" aca="1" ref="B454" ca="1">[1]!s_dq_close($B$1,$A454,3)</f>
        <v>25.8</v>
      </c>
      <c r="C454" cm="1">
        <f t="array" aca="1" ref="C454" ca="1">[1]!s_dq_volume($B$1,$A454)</f>
        <v>3410786</v>
      </c>
      <c r="D454" cm="1">
        <f t="array" aca="1" ref="D454" ca="1">[1]!s_dq_amount($B$1,$A454)</f>
        <v>86519094</v>
      </c>
      <c r="E454" cm="1">
        <f t="array" aca="1" ref="E454" ca="1">[1]!s_dq_turn($B$1,$A454)</f>
        <v>0.39132419860027801</v>
      </c>
      <c r="F454" cm="1">
        <f t="array" aca="1" ref="F454" ca="1">[1]!s_val_pe_ttm($B$1,$A454)</f>
        <v>-68.615539550781193</v>
      </c>
    </row>
    <row r="455" spans="1:6">
      <c r="A455" s="23">
        <f t="shared" ca="1" si="6"/>
        <v>45720</v>
      </c>
      <c r="B455" cm="1">
        <f t="array" aca="1" ref="B455" ca="1">[1]!s_dq_close($B$1,$A455,3)</f>
        <v>25.1</v>
      </c>
      <c r="C455" cm="1">
        <f t="array" aca="1" ref="C455" ca="1">[1]!s_dq_volume($B$1,$A455)</f>
        <v>4401500</v>
      </c>
      <c r="D455" cm="1">
        <f t="array" aca="1" ref="D455" ca="1">[1]!s_dq_amount($B$1,$A455)</f>
        <v>109196027</v>
      </c>
      <c r="E455" cm="1">
        <f t="array" aca="1" ref="E455" ca="1">[1]!s_dq_turn($B$1,$A455)</f>
        <v>0.50499018705340204</v>
      </c>
      <c r="F455" cm="1">
        <f t="array" aca="1" ref="F455" ca="1">[1]!s_val_pe_ttm($B$1,$A455)</f>
        <v>-66.753875732421903</v>
      </c>
    </row>
    <row r="456" spans="1:6">
      <c r="A456" s="23">
        <f t="shared" ca="1" si="6"/>
        <v>45719</v>
      </c>
      <c r="B456" cm="1">
        <f t="array" aca="1" ref="B456" ca="1">[1]!s_dq_close($B$1,$A456,3)</f>
        <v>25.2</v>
      </c>
      <c r="C456" cm="1">
        <f t="array" aca="1" ref="C456" ca="1">[1]!s_dq_volume($B$1,$A456)</f>
        <v>5740632</v>
      </c>
      <c r="D456" cm="1">
        <f t="array" aca="1" ref="D456" ca="1">[1]!s_dq_amount($B$1,$A456)</f>
        <v>145278171</v>
      </c>
      <c r="E456" cm="1">
        <f t="array" aca="1" ref="E456" ca="1">[1]!s_dq_turn($B$1,$A456)</f>
        <v>0.65863065488691297</v>
      </c>
      <c r="F456" cm="1">
        <f t="array" aca="1" ref="F456" ca="1">[1]!s_val_pe_ttm($B$1,$A456)</f>
        <v>-67.019828796386705</v>
      </c>
    </row>
    <row r="457" spans="1:6">
      <c r="A457" s="23">
        <f t="shared" ca="1" si="6"/>
        <v>45718</v>
      </c>
      <c r="B457" cm="1">
        <f t="array" aca="1" ref="B457" ca="1">[1]!s_dq_close($B$1,$A457,3)</f>
        <v>25.75</v>
      </c>
      <c r="C457" cm="1">
        <f t="array" aca="1" ref="C457" ca="1">[1]!s_dq_volume($B$1,$A457)</f>
        <v>0</v>
      </c>
      <c r="D457" cm="1">
        <f t="array" aca="1" ref="D457" ca="1">[1]!s_dq_amount($B$1,$A457)</f>
        <v>0</v>
      </c>
      <c r="E457" cm="1">
        <f t="array" aca="1" ref="E457" ca="1">[1]!s_dq_turn($B$1,$A457)</f>
        <v>0</v>
      </c>
      <c r="F457" cm="1">
        <f t="array" aca="1" ref="F457" ca="1">[1]!s_val_pe_ttm($B$1,$A457)</f>
        <v>-68.482559204101605</v>
      </c>
    </row>
    <row r="458" spans="1:6">
      <c r="A458" s="23">
        <f t="shared" ca="1" si="6"/>
        <v>45717</v>
      </c>
      <c r="B458" cm="1">
        <f t="array" aca="1" ref="B458" ca="1">[1]!s_dq_close($B$1,$A458,3)</f>
        <v>25.75</v>
      </c>
      <c r="C458" cm="1">
        <f t="array" aca="1" ref="C458" ca="1">[1]!s_dq_volume($B$1,$A458)</f>
        <v>0</v>
      </c>
      <c r="D458" cm="1">
        <f t="array" aca="1" ref="D458" ca="1">[1]!s_dq_amount($B$1,$A458)</f>
        <v>0</v>
      </c>
      <c r="E458" cm="1">
        <f t="array" aca="1" ref="E458" ca="1">[1]!s_dq_turn($B$1,$A458)</f>
        <v>0</v>
      </c>
      <c r="F458" cm="1">
        <f t="array" aca="1" ref="F458" ca="1">[1]!s_val_pe_ttm($B$1,$A458)</f>
        <v>-68.482559204101605</v>
      </c>
    </row>
    <row r="459" spans="1:6">
      <c r="A459" s="23">
        <f t="shared" ca="1" si="6"/>
        <v>45716</v>
      </c>
      <c r="B459" cm="1">
        <f t="array" aca="1" ref="B459" ca="1">[1]!s_dq_close($B$1,$A459,3)</f>
        <v>25.75</v>
      </c>
      <c r="C459" cm="1">
        <f t="array" aca="1" ref="C459" ca="1">[1]!s_dq_volume($B$1,$A459)</f>
        <v>9462325</v>
      </c>
      <c r="D459" cm="1">
        <f t="array" aca="1" ref="D459" ca="1">[1]!s_dq_amount($B$1,$A459)</f>
        <v>245058462</v>
      </c>
      <c r="E459" cm="1">
        <f t="array" aca="1" ref="E459" ca="1">[1]!s_dq_turn($B$1,$A459)</f>
        <v>1.0856256439191401</v>
      </c>
      <c r="F459" cm="1">
        <f t="array" aca="1" ref="F459" ca="1">[1]!s_val_pe_ttm($B$1,$A459)</f>
        <v>-68.482559204101605</v>
      </c>
    </row>
    <row r="460" spans="1:6">
      <c r="A460" s="23">
        <f t="shared" ca="1" si="6"/>
        <v>45715</v>
      </c>
      <c r="B460" cm="1">
        <f t="array" aca="1" ref="B460" ca="1">[1]!s_dq_close($B$1,$A460,3)</f>
        <v>26.7</v>
      </c>
      <c r="C460" cm="1">
        <f t="array" aca="1" ref="C460" ca="1">[1]!s_dq_volume($B$1,$A460)</f>
        <v>10507606</v>
      </c>
      <c r="D460" cm="1">
        <f t="array" aca="1" ref="D460" ca="1">[1]!s_dq_amount($B$1,$A460)</f>
        <v>278954072</v>
      </c>
      <c r="E460" cm="1">
        <f t="array" aca="1" ref="E460" ca="1">[1]!s_dq_turn($B$1,$A460)</f>
        <v>1.20555217980767</v>
      </c>
      <c r="F460" cm="1">
        <f t="array" aca="1" ref="F460" ca="1">[1]!s_val_pe_ttm($B$1,$A460)</f>
        <v>-71.009101867675795</v>
      </c>
    </row>
    <row r="461" spans="1:6">
      <c r="A461" s="23">
        <f t="shared" ref="A461:A524" ca="1" si="7">A460-1</f>
        <v>45714</v>
      </c>
      <c r="B461" cm="1">
        <f t="array" aca="1" ref="B461" ca="1">[1]!s_dq_close($B$1,$A461,3)</f>
        <v>26.1</v>
      </c>
      <c r="C461" cm="1">
        <f t="array" aca="1" ref="C461" ca="1">[1]!s_dq_volume($B$1,$A461)</f>
        <v>10825094</v>
      </c>
      <c r="D461" cm="1">
        <f t="array" aca="1" ref="D461" ca="1">[1]!s_dq_amount($B$1,$A461)</f>
        <v>279598939</v>
      </c>
      <c r="E461" cm="1">
        <f t="array" aca="1" ref="E461" ca="1">[1]!s_dq_turn($B$1,$A461)</f>
        <v>1.24197801747828</v>
      </c>
      <c r="F461" cm="1">
        <f t="array" aca="1" ref="F461" ca="1">[1]!s_val_pe_ttm($B$1,$A461)</f>
        <v>-69.413391113281193</v>
      </c>
    </row>
    <row r="462" spans="1:6">
      <c r="A462" s="23">
        <f t="shared" ca="1" si="7"/>
        <v>45713</v>
      </c>
      <c r="B462" cm="1">
        <f t="array" aca="1" ref="B462" ca="1">[1]!s_dq_close($B$1,$A462,3)</f>
        <v>24.8</v>
      </c>
      <c r="C462" cm="1">
        <f t="array" aca="1" ref="C462" ca="1">[1]!s_dq_volume($B$1,$A462)</f>
        <v>9420500</v>
      </c>
      <c r="D462" cm="1">
        <f t="array" aca="1" ref="D462" ca="1">[1]!s_dq_amount($B$1,$A462)</f>
        <v>234801813</v>
      </c>
      <c r="E462" cm="1">
        <f t="array" aca="1" ref="E462" ca="1">[1]!s_dq_turn($B$1,$A462)</f>
        <v>1.0808270037797501</v>
      </c>
      <c r="F462" cm="1">
        <f t="array" aca="1" ref="F462" ca="1">[1]!s_val_pe_ttm($B$1,$A462)</f>
        <v>-65.956016540527301</v>
      </c>
    </row>
    <row r="463" spans="1:6">
      <c r="A463" s="23">
        <f t="shared" ca="1" si="7"/>
        <v>45712</v>
      </c>
      <c r="B463" cm="1">
        <f t="array" aca="1" ref="B463" ca="1">[1]!s_dq_close($B$1,$A463,3)</f>
        <v>24.8</v>
      </c>
      <c r="C463" cm="1">
        <f t="array" aca="1" ref="C463" ca="1">[1]!s_dq_volume($B$1,$A463)</f>
        <v>12209181</v>
      </c>
      <c r="D463" cm="1">
        <f t="array" aca="1" ref="D463" ca="1">[1]!s_dq_amount($B$1,$A463)</f>
        <v>302581084</v>
      </c>
      <c r="E463" cm="1">
        <f t="array" aca="1" ref="E463" ca="1">[1]!s_dq_turn($B$1,$A463)</f>
        <v>1.4007762346833701</v>
      </c>
      <c r="F463" cm="1">
        <f t="array" aca="1" ref="F463" ca="1">[1]!s_val_pe_ttm($B$1,$A463)</f>
        <v>-65.956016540527301</v>
      </c>
    </row>
    <row r="464" spans="1:6">
      <c r="A464" s="23">
        <f t="shared" ca="1" si="7"/>
        <v>45711</v>
      </c>
      <c r="B464" cm="1">
        <f t="array" aca="1" ref="B464" ca="1">[1]!s_dq_close($B$1,$A464,3)</f>
        <v>25.45</v>
      </c>
      <c r="C464" cm="1">
        <f t="array" aca="1" ref="C464" ca="1">[1]!s_dq_volume($B$1,$A464)</f>
        <v>0</v>
      </c>
      <c r="D464" cm="1">
        <f t="array" aca="1" ref="D464" ca="1">[1]!s_dq_amount($B$1,$A464)</f>
        <v>0</v>
      </c>
      <c r="E464" cm="1">
        <f t="array" aca="1" ref="E464" ca="1">[1]!s_dq_turn($B$1,$A464)</f>
        <v>0</v>
      </c>
      <c r="F464" cm="1">
        <f t="array" aca="1" ref="F464" ca="1">[1]!s_val_pe_ttm($B$1,$A464)</f>
        <v>-67.684707641601605</v>
      </c>
    </row>
    <row r="465" spans="1:6">
      <c r="A465" s="23">
        <f t="shared" ca="1" si="7"/>
        <v>45710</v>
      </c>
      <c r="B465" cm="1">
        <f t="array" aca="1" ref="B465" ca="1">[1]!s_dq_close($B$1,$A465,3)</f>
        <v>25.45</v>
      </c>
      <c r="C465" cm="1">
        <f t="array" aca="1" ref="C465" ca="1">[1]!s_dq_volume($B$1,$A465)</f>
        <v>0</v>
      </c>
      <c r="D465" cm="1">
        <f t="array" aca="1" ref="D465" ca="1">[1]!s_dq_amount($B$1,$A465)</f>
        <v>0</v>
      </c>
      <c r="E465" cm="1">
        <f t="array" aca="1" ref="E465" ca="1">[1]!s_dq_turn($B$1,$A465)</f>
        <v>0</v>
      </c>
      <c r="F465" cm="1">
        <f t="array" aca="1" ref="F465" ca="1">[1]!s_val_pe_ttm($B$1,$A465)</f>
        <v>-67.684707641601605</v>
      </c>
    </row>
    <row r="466" spans="1:6">
      <c r="A466" s="23">
        <f t="shared" ca="1" si="7"/>
        <v>45709</v>
      </c>
      <c r="B466" cm="1">
        <f t="array" aca="1" ref="B466" ca="1">[1]!s_dq_close($B$1,$A466,3)</f>
        <v>25.45</v>
      </c>
      <c r="C466" cm="1">
        <f t="array" aca="1" ref="C466" ca="1">[1]!s_dq_volume($B$1,$A466)</f>
        <v>14068700</v>
      </c>
      <c r="D466" cm="1">
        <f t="array" aca="1" ref="D466" ca="1">[1]!s_dq_amount($B$1,$A466)</f>
        <v>353311420</v>
      </c>
      <c r="E466" cm="1">
        <f t="array" aca="1" ref="E466" ca="1">[1]!s_dq_turn($B$1,$A466)</f>
        <v>1.6141214232871099</v>
      </c>
      <c r="F466" cm="1">
        <f t="array" aca="1" ref="F466" ca="1">[1]!s_val_pe_ttm($B$1,$A466)</f>
        <v>-67.684707641601605</v>
      </c>
    </row>
    <row r="467" spans="1:6">
      <c r="A467" s="23">
        <f t="shared" ca="1" si="7"/>
        <v>45708</v>
      </c>
      <c r="B467" cm="1">
        <f t="array" aca="1" ref="B467" ca="1">[1]!s_dq_close($B$1,$A467,3)</f>
        <v>23.8</v>
      </c>
      <c r="C467" cm="1">
        <f t="array" aca="1" ref="C467" ca="1">[1]!s_dq_volume($B$1,$A467)</f>
        <v>17384900</v>
      </c>
      <c r="D467" cm="1">
        <f t="array" aca="1" ref="D467" ca="1">[1]!s_dq_amount($B$1,$A467)</f>
        <v>415939321</v>
      </c>
      <c r="E467" cm="1">
        <f t="array" aca="1" ref="E467" ca="1">[1]!s_dq_turn($B$1,$A467)</f>
        <v>1.9945936391922501</v>
      </c>
      <c r="F467" cm="1">
        <f t="array" aca="1" ref="F467" ca="1">[1]!s_val_pe_ttm($B$1,$A467)</f>
        <v>-63.296504974365199</v>
      </c>
    </row>
    <row r="468" spans="1:6">
      <c r="A468" s="23">
        <f t="shared" ca="1" si="7"/>
        <v>45707</v>
      </c>
      <c r="B468" cm="1">
        <f t="array" aca="1" ref="B468" ca="1">[1]!s_dq_close($B$1,$A468,3)</f>
        <v>22.95</v>
      </c>
      <c r="C468" cm="1">
        <f t="array" aca="1" ref="C468" ca="1">[1]!s_dq_volume($B$1,$A468)</f>
        <v>10917076</v>
      </c>
      <c r="D468" cm="1">
        <f t="array" aca="1" ref="D468" ca="1">[1]!s_dq_amount($B$1,$A468)</f>
        <v>246025831</v>
      </c>
      <c r="E468" cm="1">
        <f t="array" aca="1" ref="E468" ca="1">[1]!s_dq_turn($B$1,$A468)</f>
        <v>1.2525312396492601</v>
      </c>
      <c r="F468" cm="1">
        <f t="array" aca="1" ref="F468" ca="1">[1]!s_val_pe_ttm($B$1,$A468)</f>
        <v>-61.035915374755902</v>
      </c>
    </row>
    <row r="469" spans="1:6">
      <c r="A469" s="23">
        <f t="shared" ca="1" si="7"/>
        <v>45706</v>
      </c>
      <c r="B469" cm="1">
        <f t="array" aca="1" ref="B469" ca="1">[1]!s_dq_close($B$1,$A469,3)</f>
        <v>21.5</v>
      </c>
      <c r="C469" cm="1">
        <f t="array" aca="1" ref="C469" ca="1">[1]!s_dq_volume($B$1,$A469)</f>
        <v>6783079</v>
      </c>
      <c r="D469" cm="1">
        <f t="array" aca="1" ref="D469" ca="1">[1]!s_dq_amount($B$1,$A469)</f>
        <v>143799674</v>
      </c>
      <c r="E469" cm="1">
        <f t="array" aca="1" ref="E469" ca="1">[1]!s_dq_turn($B$1,$A469)</f>
        <v>0.77823204203294405</v>
      </c>
      <c r="F469" cm="1">
        <f t="array" aca="1" ref="F469" ca="1">[1]!s_val_pe_ttm($B$1,$A469)</f>
        <v>-57.179615020752003</v>
      </c>
    </row>
    <row r="470" spans="1:6">
      <c r="A470" s="23">
        <f t="shared" ca="1" si="7"/>
        <v>45705</v>
      </c>
      <c r="B470" cm="1">
        <f t="array" aca="1" ref="B470" ca="1">[1]!s_dq_close($B$1,$A470,3)</f>
        <v>21.25</v>
      </c>
      <c r="C470" cm="1">
        <f t="array" aca="1" ref="C470" ca="1">[1]!s_dq_volume($B$1,$A470)</f>
        <v>7436135</v>
      </c>
      <c r="D470" cm="1">
        <f t="array" aca="1" ref="D470" ca="1">[1]!s_dq_amount($B$1,$A470)</f>
        <v>159586141</v>
      </c>
      <c r="E470" cm="1">
        <f t="array" aca="1" ref="E470" ca="1">[1]!s_dq_turn($B$1,$A470)</f>
        <v>0.85315806079844403</v>
      </c>
      <c r="F470" cm="1">
        <f t="array" aca="1" ref="F470" ca="1">[1]!s_val_pe_ttm($B$1,$A470)</f>
        <v>-56.514736175537102</v>
      </c>
    </row>
    <row r="471" spans="1:6">
      <c r="A471" s="23">
        <f t="shared" ca="1" si="7"/>
        <v>45704</v>
      </c>
      <c r="B471" cm="1">
        <f t="array" aca="1" ref="B471" ca="1">[1]!s_dq_close($B$1,$A471,3)</f>
        <v>21.3</v>
      </c>
      <c r="C471" cm="1">
        <f t="array" aca="1" ref="C471" ca="1">[1]!s_dq_volume($B$1,$A471)</f>
        <v>0</v>
      </c>
      <c r="D471" cm="1">
        <f t="array" aca="1" ref="D471" ca="1">[1]!s_dq_amount($B$1,$A471)</f>
        <v>0</v>
      </c>
      <c r="E471" cm="1">
        <f t="array" aca="1" ref="E471" ca="1">[1]!s_dq_turn($B$1,$A471)</f>
        <v>0</v>
      </c>
      <c r="F471" cm="1">
        <f t="array" aca="1" ref="F471" ca="1">[1]!s_val_pe_ttm($B$1,$A471)</f>
        <v>-56.647708892822301</v>
      </c>
    </row>
    <row r="472" spans="1:6">
      <c r="A472" s="23">
        <f t="shared" ca="1" si="7"/>
        <v>45703</v>
      </c>
      <c r="B472" cm="1">
        <f t="array" aca="1" ref="B472" ca="1">[1]!s_dq_close($B$1,$A472,3)</f>
        <v>21.3</v>
      </c>
      <c r="C472" cm="1">
        <f t="array" aca="1" ref="C472" ca="1">[1]!s_dq_volume($B$1,$A472)</f>
        <v>0</v>
      </c>
      <c r="D472" cm="1">
        <f t="array" aca="1" ref="D472" ca="1">[1]!s_dq_amount($B$1,$A472)</f>
        <v>0</v>
      </c>
      <c r="E472" cm="1">
        <f t="array" aca="1" ref="E472" ca="1">[1]!s_dq_turn($B$1,$A472)</f>
        <v>0</v>
      </c>
      <c r="F472" cm="1">
        <f t="array" aca="1" ref="F472" ca="1">[1]!s_val_pe_ttm($B$1,$A472)</f>
        <v>-56.647708892822301</v>
      </c>
    </row>
    <row r="473" spans="1:6">
      <c r="A473" s="23">
        <f t="shared" ca="1" si="7"/>
        <v>45702</v>
      </c>
      <c r="B473" cm="1">
        <f t="array" aca="1" ref="B473" ca="1">[1]!s_dq_close($B$1,$A473,3)</f>
        <v>21.3</v>
      </c>
      <c r="C473" cm="1">
        <f t="array" aca="1" ref="C473" ca="1">[1]!s_dq_volume($B$1,$A473)</f>
        <v>8699765</v>
      </c>
      <c r="D473" cm="1">
        <f t="array" aca="1" ref="D473" ca="1">[1]!s_dq_amount($B$1,$A473)</f>
        <v>182535018</v>
      </c>
      <c r="E473" cm="1">
        <f t="array" aca="1" ref="E473" ca="1">[1]!s_dq_turn($B$1,$A473)</f>
        <v>0.99813607967071205</v>
      </c>
      <c r="F473" cm="1">
        <f t="array" aca="1" ref="F473" ca="1">[1]!s_val_pe_ttm($B$1,$A473)</f>
        <v>-56.647708892822301</v>
      </c>
    </row>
    <row r="474" spans="1:6">
      <c r="A474" s="23">
        <f t="shared" ca="1" si="7"/>
        <v>45701</v>
      </c>
      <c r="B474" cm="1">
        <f t="array" aca="1" ref="B474" ca="1">[1]!s_dq_close($B$1,$A474,3)</f>
        <v>20.350000000000001</v>
      </c>
      <c r="C474" cm="1">
        <f t="array" aca="1" ref="C474" ca="1">[1]!s_dq_volume($B$1,$A474)</f>
        <v>6638000</v>
      </c>
      <c r="D474" cm="1">
        <f t="array" aca="1" ref="D474" ca="1">[1]!s_dq_amount($B$1,$A474)</f>
        <v>135960312</v>
      </c>
      <c r="E474" cm="1">
        <f t="array" aca="1" ref="E474" ca="1">[1]!s_dq_turn($B$1,$A474)</f>
        <v>0.76158692756116797</v>
      </c>
      <c r="F474" cm="1">
        <f t="array" aca="1" ref="F474" ca="1">[1]!s_val_pe_ttm($B$1,$A474)</f>
        <v>-54.121170043945298</v>
      </c>
    </row>
    <row r="475" spans="1:6">
      <c r="A475" s="23">
        <f t="shared" ca="1" si="7"/>
        <v>45700</v>
      </c>
      <c r="B475" cm="1">
        <f t="array" aca="1" ref="B475" ca="1">[1]!s_dq_close($B$1,$A475,3)</f>
        <v>20.25</v>
      </c>
      <c r="C475" cm="1">
        <f t="array" aca="1" ref="C475" ca="1">[1]!s_dq_volume($B$1,$A475)</f>
        <v>7415758</v>
      </c>
      <c r="D475" cm="1">
        <f t="array" aca="1" ref="D475" ca="1">[1]!s_dq_amount($B$1,$A475)</f>
        <v>150108216</v>
      </c>
      <c r="E475" cm="1">
        <f t="array" aca="1" ref="E475" ca="1">[1]!s_dq_turn($B$1,$A475)</f>
        <v>0.85082017938492804</v>
      </c>
      <c r="F475" cm="1">
        <f t="array" aca="1" ref="F475" ca="1">[1]!s_val_pe_ttm($B$1,$A475)</f>
        <v>-53.855216979980497</v>
      </c>
    </row>
    <row r="476" spans="1:6">
      <c r="A476" s="23">
        <f t="shared" ca="1" si="7"/>
        <v>45699</v>
      </c>
      <c r="B476" cm="1">
        <f t="array" aca="1" ref="B476" ca="1">[1]!s_dq_close($B$1,$A476,3)</f>
        <v>20.7</v>
      </c>
      <c r="C476" cm="1">
        <f t="array" aca="1" ref="C476" ca="1">[1]!s_dq_volume($B$1,$A476)</f>
        <v>3942204</v>
      </c>
      <c r="D476" cm="1">
        <f t="array" aca="1" ref="D476" ca="1">[1]!s_dq_amount($B$1,$A476)</f>
        <v>81879917</v>
      </c>
      <c r="E476" cm="1">
        <f t="array" aca="1" ref="E476" ca="1">[1]!s_dq_turn($B$1,$A476)</f>
        <v>0.45229452126835601</v>
      </c>
      <c r="F476" cm="1">
        <f t="array" aca="1" ref="F476" ca="1">[1]!s_val_pe_ttm($B$1,$A476)</f>
        <v>-55.052001953125</v>
      </c>
    </row>
    <row r="477" spans="1:6">
      <c r="A477" s="23">
        <f t="shared" ca="1" si="7"/>
        <v>45698</v>
      </c>
      <c r="B477" cm="1">
        <f t="array" aca="1" ref="B477" ca="1">[1]!s_dq_close($B$1,$A477,3)</f>
        <v>21</v>
      </c>
      <c r="C477" cm="1">
        <f t="array" aca="1" ref="C477" ca="1">[1]!s_dq_volume($B$1,$A477)</f>
        <v>6369895</v>
      </c>
      <c r="D477" cm="1">
        <f t="array" aca="1" ref="D477" ca="1">[1]!s_dq_amount($B$1,$A477)</f>
        <v>133005019</v>
      </c>
      <c r="E477" cm="1">
        <f t="array" aca="1" ref="E477" ca="1">[1]!s_dq_turn($B$1,$A477)</f>
        <v>0.73082686983085998</v>
      </c>
      <c r="F477" cm="1">
        <f t="array" aca="1" ref="F477" ca="1">[1]!s_val_pe_ttm($B$1,$A477)</f>
        <v>-55.849857330322301</v>
      </c>
    </row>
    <row r="478" spans="1:6">
      <c r="A478" s="23">
        <f t="shared" ca="1" si="7"/>
        <v>45697</v>
      </c>
      <c r="B478" cm="1">
        <f t="array" aca="1" ref="B478" ca="1">[1]!s_dq_close($B$1,$A478,3)</f>
        <v>20.95</v>
      </c>
      <c r="C478" cm="1">
        <f t="array" aca="1" ref="C478" ca="1">[1]!s_dq_volume($B$1,$A478)</f>
        <v>0</v>
      </c>
      <c r="D478" cm="1">
        <f t="array" aca="1" ref="D478" ca="1">[1]!s_dq_amount($B$1,$A478)</f>
        <v>0</v>
      </c>
      <c r="E478" cm="1">
        <f t="array" aca="1" ref="E478" ca="1">[1]!s_dq_turn($B$1,$A478)</f>
        <v>0</v>
      </c>
      <c r="F478" cm="1">
        <f t="array" aca="1" ref="F478" ca="1">[1]!s_val_pe_ttm($B$1,$A478)</f>
        <v>-55.716880798339801</v>
      </c>
    </row>
    <row r="479" spans="1:6">
      <c r="A479" s="23">
        <f t="shared" ca="1" si="7"/>
        <v>45696</v>
      </c>
      <c r="B479" cm="1">
        <f t="array" aca="1" ref="B479" ca="1">[1]!s_dq_close($B$1,$A479,3)</f>
        <v>20.95</v>
      </c>
      <c r="C479" cm="1">
        <f t="array" aca="1" ref="C479" ca="1">[1]!s_dq_volume($B$1,$A479)</f>
        <v>0</v>
      </c>
      <c r="D479" cm="1">
        <f t="array" aca="1" ref="D479" ca="1">[1]!s_dq_amount($B$1,$A479)</f>
        <v>0</v>
      </c>
      <c r="E479" cm="1">
        <f t="array" aca="1" ref="E479" ca="1">[1]!s_dq_turn($B$1,$A479)</f>
        <v>0</v>
      </c>
      <c r="F479" cm="1">
        <f t="array" aca="1" ref="F479" ca="1">[1]!s_val_pe_ttm($B$1,$A479)</f>
        <v>-55.716880798339801</v>
      </c>
    </row>
    <row r="480" spans="1:6">
      <c r="A480" s="23">
        <f t="shared" ca="1" si="7"/>
        <v>45695</v>
      </c>
      <c r="B480" cm="1">
        <f t="array" aca="1" ref="B480" ca="1">[1]!s_dq_close($B$1,$A480,3)</f>
        <v>20.95</v>
      </c>
      <c r="C480" cm="1">
        <f t="array" aca="1" ref="C480" ca="1">[1]!s_dq_volume($B$1,$A480)</f>
        <v>10548253</v>
      </c>
      <c r="D480" cm="1">
        <f t="array" aca="1" ref="D480" ca="1">[1]!s_dq_amount($B$1,$A480)</f>
        <v>223640681</v>
      </c>
      <c r="E480" cm="1">
        <f t="array" aca="1" ref="E480" ca="1">[1]!s_dq_turn($B$1,$A480)</f>
        <v>1.2102156663765999</v>
      </c>
      <c r="F480" cm="1">
        <f t="array" aca="1" ref="F480" ca="1">[1]!s_val_pe_ttm($B$1,$A480)</f>
        <v>-55.716880798339801</v>
      </c>
    </row>
    <row r="481" spans="1:6">
      <c r="A481" s="23">
        <f t="shared" ca="1" si="7"/>
        <v>45694</v>
      </c>
      <c r="B481" cm="1">
        <f t="array" aca="1" ref="B481" ca="1">[1]!s_dq_close($B$1,$A481,3)</f>
        <v>22.15</v>
      </c>
      <c r="C481" cm="1">
        <f t="array" aca="1" ref="C481" ca="1">[1]!s_dq_volume($B$1,$A481)</f>
        <v>3913626</v>
      </c>
      <c r="D481" cm="1">
        <f t="array" aca="1" ref="D481" ca="1">[1]!s_dq_amount($B$1,$A481)</f>
        <v>85387156</v>
      </c>
      <c r="E481" cm="1">
        <f t="array" aca="1" ref="E481" ca="1">[1]!s_dq_turn($B$1,$A481)</f>
        <v>0.44901572777395399</v>
      </c>
      <c r="F481" cm="1">
        <f t="array" aca="1" ref="F481" ca="1">[1]!s_val_pe_ttm($B$1,$A481)</f>
        <v>-58.908298492431598</v>
      </c>
    </row>
    <row r="482" spans="1:6">
      <c r="A482" s="23">
        <f t="shared" ca="1" si="7"/>
        <v>45693</v>
      </c>
      <c r="B482" cm="1">
        <f t="array" aca="1" ref="B482" ca="1">[1]!s_dq_close($B$1,$A482,3)</f>
        <v>21.45</v>
      </c>
      <c r="C482" cm="1">
        <f t="array" aca="1" ref="C482" ca="1">[1]!s_dq_volume($B$1,$A482)</f>
        <v>3349788</v>
      </c>
      <c r="D482" cm="1">
        <f t="array" aca="1" ref="D482" ca="1">[1]!s_dq_amount($B$1,$A482)</f>
        <v>71867476</v>
      </c>
      <c r="E482" cm="1">
        <f t="array" aca="1" ref="E482" ca="1">[1]!s_dq_turn($B$1,$A482)</f>
        <v>0.38432581363381602</v>
      </c>
      <c r="F482" cm="1">
        <f t="array" aca="1" ref="F482" ca="1">[1]!s_val_pe_ttm($B$1,$A482)</f>
        <v>-57.046638488769503</v>
      </c>
    </row>
    <row r="483" spans="1:6">
      <c r="A483" s="23">
        <f t="shared" ca="1" si="7"/>
        <v>45692</v>
      </c>
      <c r="B483" cm="1">
        <f t="array" aca="1" ref="B483" ca="1">[1]!s_dq_close($B$1,$A483,3)</f>
        <v>20.95</v>
      </c>
      <c r="C483" cm="1">
        <f t="array" aca="1" ref="C483" ca="1">[1]!s_dq_volume($B$1,$A483)</f>
        <v>1776500</v>
      </c>
      <c r="D483" cm="1">
        <f t="array" aca="1" ref="D483" ca="1">[1]!s_dq_amount($B$1,$A483)</f>
        <v>37165850</v>
      </c>
      <c r="E483" cm="1">
        <f t="array" aca="1" ref="E483" ca="1">[1]!s_dq_turn($B$1,$A483)</f>
        <v>0.203820303828324</v>
      </c>
      <c r="F483" cm="1">
        <f t="array" aca="1" ref="F483" ca="1">[1]!s_val_pe_ttm($B$1,$A483)</f>
        <v>-55.716880798339801</v>
      </c>
    </row>
    <row r="484" spans="1:6">
      <c r="A484" s="23">
        <f t="shared" ca="1" si="7"/>
        <v>45691</v>
      </c>
      <c r="B484" cm="1">
        <f t="array" aca="1" ref="B484" ca="1">[1]!s_dq_close($B$1,$A484,3)</f>
        <v>20.5</v>
      </c>
      <c r="C484" cm="1">
        <f t="array" aca="1" ref="C484" ca="1">[1]!s_dq_volume($B$1,$A484)</f>
        <v>1991902</v>
      </c>
      <c r="D484" cm="1">
        <f t="array" aca="1" ref="D484" ca="1">[1]!s_dq_amount($B$1,$A484)</f>
        <v>40487322</v>
      </c>
      <c r="E484" cm="1">
        <f t="array" aca="1" ref="E484" ca="1">[1]!s_dq_turn($B$1,$A484)</f>
        <v>0.228533673423162</v>
      </c>
      <c r="F484" cm="1">
        <f t="array" aca="1" ref="F484" ca="1">[1]!s_val_pe_ttm($B$1,$A484)</f>
        <v>-54.520095825195298</v>
      </c>
    </row>
    <row r="485" spans="1:6">
      <c r="A485" s="23">
        <f t="shared" ca="1" si="7"/>
        <v>45690</v>
      </c>
      <c r="B485" cm="1">
        <f t="array" aca="1" ref="B485" ca="1">[1]!s_dq_close($B$1,$A485,3)</f>
        <v>20.9</v>
      </c>
      <c r="C485" cm="1">
        <f t="array" aca="1" ref="C485" ca="1">[1]!s_dq_volume($B$1,$A485)</f>
        <v>0</v>
      </c>
      <c r="D485" cm="1">
        <f t="array" aca="1" ref="D485" ca="1">[1]!s_dq_amount($B$1,$A485)</f>
        <v>0</v>
      </c>
      <c r="E485" cm="1">
        <f t="array" aca="1" ref="E485" ca="1">[1]!s_dq_turn($B$1,$A485)</f>
        <v>0</v>
      </c>
      <c r="F485" cm="1">
        <f t="array" aca="1" ref="F485" ca="1">[1]!s_val_pe_ttm($B$1,$A485)</f>
        <v>-55.583904266357401</v>
      </c>
    </row>
    <row r="486" spans="1:6">
      <c r="A486" s="23">
        <f t="shared" ca="1" si="7"/>
        <v>45689</v>
      </c>
      <c r="B486" cm="1">
        <f t="array" aca="1" ref="B486" ca="1">[1]!s_dq_close($B$1,$A486,3)</f>
        <v>20.9</v>
      </c>
      <c r="C486" cm="1">
        <f t="array" aca="1" ref="C486" ca="1">[1]!s_dq_volume($B$1,$A486)</f>
        <v>0</v>
      </c>
      <c r="D486" cm="1">
        <f t="array" aca="1" ref="D486" ca="1">[1]!s_dq_amount($B$1,$A486)</f>
        <v>0</v>
      </c>
      <c r="E486" cm="1">
        <f t="array" aca="1" ref="E486" ca="1">[1]!s_dq_turn($B$1,$A486)</f>
        <v>0</v>
      </c>
      <c r="F486" cm="1">
        <f t="array" aca="1" ref="F486" ca="1">[1]!s_val_pe_ttm($B$1,$A486)</f>
        <v>-55.583904266357401</v>
      </c>
    </row>
    <row r="487" spans="1:6">
      <c r="A487" s="23">
        <f t="shared" ca="1" si="7"/>
        <v>45688</v>
      </c>
      <c r="B487" cm="1">
        <f t="array" aca="1" ref="B487" ca="1">[1]!s_dq_close($B$1,$A487,3)</f>
        <v>20.9</v>
      </c>
      <c r="C487" cm="1">
        <f t="array" aca="1" ref="C487" ca="1">[1]!s_dq_volume($B$1,$A487)</f>
        <v>0</v>
      </c>
      <c r="D487" cm="1">
        <f t="array" aca="1" ref="D487" ca="1">[1]!s_dq_amount($B$1,$A487)</f>
        <v>0</v>
      </c>
      <c r="E487" cm="1">
        <f t="array" aca="1" ref="E487" ca="1">[1]!s_dq_turn($B$1,$A487)</f>
        <v>0</v>
      </c>
      <c r="F487" cm="1">
        <f t="array" aca="1" ref="F487" ca="1">[1]!s_val_pe_ttm($B$1,$A487)</f>
        <v>-55.583904266357401</v>
      </c>
    </row>
    <row r="488" spans="1:6">
      <c r="A488" s="23">
        <f t="shared" ca="1" si="7"/>
        <v>45687</v>
      </c>
      <c r="B488" cm="1">
        <f t="array" aca="1" ref="B488" ca="1">[1]!s_dq_close($B$1,$A488,3)</f>
        <v>20.9</v>
      </c>
      <c r="C488" cm="1">
        <f t="array" aca="1" ref="C488" ca="1">[1]!s_dq_volume($B$1,$A488)</f>
        <v>0</v>
      </c>
      <c r="D488" cm="1">
        <f t="array" aca="1" ref="D488" ca="1">[1]!s_dq_amount($B$1,$A488)</f>
        <v>0</v>
      </c>
      <c r="E488" cm="1">
        <f t="array" aca="1" ref="E488" ca="1">[1]!s_dq_turn($B$1,$A488)</f>
        <v>0</v>
      </c>
      <c r="F488" cm="1">
        <f t="array" aca="1" ref="F488" ca="1">[1]!s_val_pe_ttm($B$1,$A488)</f>
        <v>-55.583904266357401</v>
      </c>
    </row>
    <row r="489" spans="1:6">
      <c r="A489" s="23">
        <f t="shared" ca="1" si="7"/>
        <v>45686</v>
      </c>
      <c r="B489" cm="1">
        <f t="array" aca="1" ref="B489" ca="1">[1]!s_dq_close($B$1,$A489,3)</f>
        <v>20.9</v>
      </c>
      <c r="C489" cm="1">
        <f t="array" aca="1" ref="C489" ca="1">[1]!s_dq_volume($B$1,$A489)</f>
        <v>0</v>
      </c>
      <c r="D489" cm="1">
        <f t="array" aca="1" ref="D489" ca="1">[1]!s_dq_amount($B$1,$A489)</f>
        <v>0</v>
      </c>
      <c r="E489" cm="1">
        <f t="array" aca="1" ref="E489" ca="1">[1]!s_dq_turn($B$1,$A489)</f>
        <v>0</v>
      </c>
      <c r="F489" cm="1">
        <f t="array" aca="1" ref="F489" ca="1">[1]!s_val_pe_ttm($B$1,$A489)</f>
        <v>-55.583904266357401</v>
      </c>
    </row>
    <row r="490" spans="1:6">
      <c r="A490" s="23">
        <f t="shared" ca="1" si="7"/>
        <v>45685</v>
      </c>
      <c r="B490" cm="1">
        <f t="array" aca="1" ref="B490" ca="1">[1]!s_dq_close($B$1,$A490,3)</f>
        <v>20.9</v>
      </c>
      <c r="C490" cm="1">
        <f t="array" aca="1" ref="C490" ca="1">[1]!s_dq_volume($B$1,$A490)</f>
        <v>312500</v>
      </c>
      <c r="D490" cm="1">
        <f t="array" aca="1" ref="D490" ca="1">[1]!s_dq_amount($B$1,$A490)</f>
        <v>6524925</v>
      </c>
      <c r="E490" cm="1">
        <f t="array" aca="1" ref="E490" ca="1">[1]!s_dq_turn($B$1,$A490)</f>
        <v>3.5853557526794998E-2</v>
      </c>
      <c r="F490" cm="1">
        <f t="array" aca="1" ref="F490" ca="1">[1]!s_val_pe_ttm($B$1,$A490)</f>
        <v>-55.583904266357401</v>
      </c>
    </row>
    <row r="491" spans="1:6">
      <c r="A491" s="23">
        <f t="shared" ca="1" si="7"/>
        <v>45684</v>
      </c>
      <c r="B491" cm="1">
        <f t="array" aca="1" ref="B491" ca="1">[1]!s_dq_close($B$1,$A491,3)</f>
        <v>21.2</v>
      </c>
      <c r="C491" cm="1">
        <f t="array" aca="1" ref="C491" ca="1">[1]!s_dq_volume($B$1,$A491)</f>
        <v>1943300</v>
      </c>
      <c r="D491" cm="1">
        <f t="array" aca="1" ref="D491" ca="1">[1]!s_dq_amount($B$1,$A491)</f>
        <v>41400600</v>
      </c>
      <c r="E491" cm="1">
        <f t="array" aca="1" ref="E491" ca="1">[1]!s_dq_turn($B$1,$A491)</f>
        <v>0.222957498693826</v>
      </c>
      <c r="F491" cm="1">
        <f t="array" aca="1" ref="F491" ca="1">[1]!s_val_pe_ttm($B$1,$A491)</f>
        <v>-56.381759643554702</v>
      </c>
    </row>
    <row r="492" spans="1:6">
      <c r="A492" s="23">
        <f t="shared" ca="1" si="7"/>
        <v>45683</v>
      </c>
      <c r="B492" cm="1">
        <f t="array" aca="1" ref="B492" ca="1">[1]!s_dq_close($B$1,$A492,3)</f>
        <v>20.95</v>
      </c>
      <c r="C492" cm="1">
        <f t="array" aca="1" ref="C492" ca="1">[1]!s_dq_volume($B$1,$A492)</f>
        <v>0</v>
      </c>
      <c r="D492" cm="1">
        <f t="array" aca="1" ref="D492" ca="1">[1]!s_dq_amount($B$1,$A492)</f>
        <v>0</v>
      </c>
      <c r="E492" cm="1">
        <f t="array" aca="1" ref="E492" ca="1">[1]!s_dq_turn($B$1,$A492)</f>
        <v>0</v>
      </c>
      <c r="F492" cm="1">
        <f t="array" aca="1" ref="F492" ca="1">[1]!s_val_pe_ttm($B$1,$A492)</f>
        <v>-55.716880798339801</v>
      </c>
    </row>
    <row r="493" spans="1:6">
      <c r="A493" s="23">
        <f t="shared" ca="1" si="7"/>
        <v>45682</v>
      </c>
      <c r="B493" cm="1">
        <f t="array" aca="1" ref="B493" ca="1">[1]!s_dq_close($B$1,$A493,3)</f>
        <v>20.95</v>
      </c>
      <c r="C493" cm="1">
        <f t="array" aca="1" ref="C493" ca="1">[1]!s_dq_volume($B$1,$A493)</f>
        <v>0</v>
      </c>
      <c r="D493" cm="1">
        <f t="array" aca="1" ref="D493" ca="1">[1]!s_dq_amount($B$1,$A493)</f>
        <v>0</v>
      </c>
      <c r="E493" cm="1">
        <f t="array" aca="1" ref="E493" ca="1">[1]!s_dq_turn($B$1,$A493)</f>
        <v>0</v>
      </c>
      <c r="F493" cm="1">
        <f t="array" aca="1" ref="F493" ca="1">[1]!s_val_pe_ttm($B$1,$A493)</f>
        <v>-55.716880798339801</v>
      </c>
    </row>
    <row r="494" spans="1:6">
      <c r="A494" s="23">
        <f t="shared" ca="1" si="7"/>
        <v>45681</v>
      </c>
      <c r="B494" cm="1">
        <f t="array" aca="1" ref="B494" ca="1">[1]!s_dq_close($B$1,$A494,3)</f>
        <v>20.95</v>
      </c>
      <c r="C494" cm="1">
        <f t="array" aca="1" ref="C494" ca="1">[1]!s_dq_volume($B$1,$A494)</f>
        <v>5422138</v>
      </c>
      <c r="D494" cm="1">
        <f t="array" aca="1" ref="D494" ca="1">[1]!s_dq_amount($B$1,$A494)</f>
        <v>113900466</v>
      </c>
      <c r="E494" cm="1">
        <f t="array" aca="1" ref="E494" ca="1">[1]!s_dq_turn($B$1,$A494)</f>
        <v>0.62208939744390801</v>
      </c>
      <c r="F494" cm="1">
        <f t="array" aca="1" ref="F494" ca="1">[1]!s_val_pe_ttm($B$1,$A494)</f>
        <v>-55.716880798339801</v>
      </c>
    </row>
    <row r="495" spans="1:6">
      <c r="A495" s="23">
        <f t="shared" ca="1" si="7"/>
        <v>45680</v>
      </c>
      <c r="B495" cm="1">
        <f t="array" aca="1" ref="B495" ca="1">[1]!s_dq_close($B$1,$A495,3)</f>
        <v>20.95</v>
      </c>
      <c r="C495" cm="1">
        <f t="array" aca="1" ref="C495" ca="1">[1]!s_dq_volume($B$1,$A495)</f>
        <v>4207969</v>
      </c>
      <c r="D495" cm="1">
        <f t="array" aca="1" ref="D495" ca="1">[1]!s_dq_amount($B$1,$A495)</f>
        <v>89365935</v>
      </c>
      <c r="E495" cm="1">
        <f t="array" aca="1" ref="E495" ca="1">[1]!s_dq_turn($B$1,$A495)</f>
        <v>0.48278610755990398</v>
      </c>
      <c r="F495" cm="1">
        <f t="array" aca="1" ref="F495" ca="1">[1]!s_val_pe_ttm($B$1,$A495)</f>
        <v>-55.716880798339801</v>
      </c>
    </row>
    <row r="496" spans="1:6">
      <c r="A496" s="23">
        <f t="shared" ca="1" si="7"/>
        <v>45679</v>
      </c>
      <c r="B496" cm="1">
        <f t="array" aca="1" ref="B496" ca="1">[1]!s_dq_close($B$1,$A496,3)</f>
        <v>21.8</v>
      </c>
      <c r="C496" cm="1">
        <f t="array" aca="1" ref="C496" ca="1">[1]!s_dq_volume($B$1,$A496)</f>
        <v>2579534</v>
      </c>
      <c r="D496" cm="1">
        <f t="array" aca="1" ref="D496" ca="1">[1]!s_dq_amount($B$1,$A496)</f>
        <v>55832901</v>
      </c>
      <c r="E496" cm="1">
        <f t="array" aca="1" ref="E496" ca="1">[1]!s_dq_turn($B$1,$A496)</f>
        <v>0.295953506116235</v>
      </c>
      <c r="F496" cm="1">
        <f t="array" aca="1" ref="F496" ca="1">[1]!s_val_pe_ttm($B$1,$A496)</f>
        <v>-57.977470397949197</v>
      </c>
    </row>
    <row r="497" spans="1:6">
      <c r="A497" s="23">
        <f t="shared" ca="1" si="7"/>
        <v>45678</v>
      </c>
      <c r="B497" cm="1">
        <f t="array" aca="1" ref="B497" ca="1">[1]!s_dq_close($B$1,$A497,3)</f>
        <v>21.65</v>
      </c>
      <c r="C497" cm="1">
        <f t="array" aca="1" ref="C497" ca="1">[1]!s_dq_volume($B$1,$A497)</f>
        <v>3220500</v>
      </c>
      <c r="D497" cm="1">
        <f t="array" aca="1" ref="D497" ca="1">[1]!s_dq_amount($B$1,$A497)</f>
        <v>69764500</v>
      </c>
      <c r="E497" cm="1">
        <f t="array" aca="1" ref="E497" ca="1">[1]!s_dq_turn($B$1,$A497)</f>
        <v>0.36949242244813801</v>
      </c>
      <c r="F497" cm="1">
        <f t="array" aca="1" ref="F497" ca="1">[1]!s_val_pe_ttm($B$1,$A497)</f>
        <v>-57.578540802002003</v>
      </c>
    </row>
    <row r="498" spans="1:6">
      <c r="A498" s="23">
        <f t="shared" ca="1" si="7"/>
        <v>45677</v>
      </c>
      <c r="B498" cm="1">
        <f t="array" aca="1" ref="B498" ca="1">[1]!s_dq_close($B$1,$A498,3)</f>
        <v>21.75</v>
      </c>
      <c r="C498" cm="1">
        <f t="array" aca="1" ref="C498" ca="1">[1]!s_dq_volume($B$1,$A498)</f>
        <v>6995000</v>
      </c>
      <c r="D498" cm="1">
        <f t="array" aca="1" ref="D498" ca="1">[1]!s_dq_amount($B$1,$A498)</f>
        <v>152567375</v>
      </c>
      <c r="E498" cm="1">
        <f t="array" aca="1" ref="E498" ca="1">[1]!s_dq_turn($B$1,$A498)</f>
        <v>0.802546031679779</v>
      </c>
      <c r="F498" cm="1">
        <f t="array" aca="1" ref="F498" ca="1">[1]!s_val_pe_ttm($B$1,$A498)</f>
        <v>-57.844493865966797</v>
      </c>
    </row>
    <row r="499" spans="1:6">
      <c r="A499" s="23">
        <f t="shared" ca="1" si="7"/>
        <v>45676</v>
      </c>
      <c r="B499" cm="1">
        <f t="array" aca="1" ref="B499" ca="1">[1]!s_dq_close($B$1,$A499,3)</f>
        <v>22</v>
      </c>
      <c r="C499" cm="1">
        <f t="array" aca="1" ref="C499" ca="1">[1]!s_dq_volume($B$1,$A499)</f>
        <v>0</v>
      </c>
      <c r="D499" cm="1">
        <f t="array" aca="1" ref="D499" ca="1">[1]!s_dq_amount($B$1,$A499)</f>
        <v>0</v>
      </c>
      <c r="E499" cm="1">
        <f t="array" aca="1" ref="E499" ca="1">[1]!s_dq_turn($B$1,$A499)</f>
        <v>0</v>
      </c>
      <c r="F499" cm="1">
        <f t="array" aca="1" ref="F499" ca="1">[1]!s_val_pe_ttm($B$1,$A499)</f>
        <v>-58.509372711181598</v>
      </c>
    </row>
    <row r="500" spans="1:6">
      <c r="A500" s="23">
        <f t="shared" ca="1" si="7"/>
        <v>45675</v>
      </c>
      <c r="B500" cm="1">
        <f t="array" aca="1" ref="B500" ca="1">[1]!s_dq_close($B$1,$A500,3)</f>
        <v>22</v>
      </c>
      <c r="C500" cm="1">
        <f t="array" aca="1" ref="C500" ca="1">[1]!s_dq_volume($B$1,$A500)</f>
        <v>0</v>
      </c>
      <c r="D500" cm="1">
        <f t="array" aca="1" ref="D500" ca="1">[1]!s_dq_amount($B$1,$A500)</f>
        <v>0</v>
      </c>
      <c r="E500" cm="1">
        <f t="array" aca="1" ref="E500" ca="1">[1]!s_dq_turn($B$1,$A500)</f>
        <v>0</v>
      </c>
      <c r="F500" cm="1">
        <f t="array" aca="1" ref="F500" ca="1">[1]!s_val_pe_ttm($B$1,$A500)</f>
        <v>-58.509372711181598</v>
      </c>
    </row>
    <row r="501" spans="1:6">
      <c r="A501" s="23">
        <f t="shared" ca="1" si="7"/>
        <v>45674</v>
      </c>
      <c r="B501" cm="1">
        <f t="array" aca="1" ref="B501" ca="1">[1]!s_dq_close($B$1,$A501,3)</f>
        <v>22</v>
      </c>
      <c r="C501" cm="1">
        <f t="array" aca="1" ref="C501" ca="1">[1]!s_dq_volume($B$1,$A501)</f>
        <v>10021500</v>
      </c>
      <c r="D501" cm="1">
        <f t="array" aca="1" ref="D501" ca="1">[1]!s_dq_amount($B$1,$A501)</f>
        <v>217313950</v>
      </c>
      <c r="E501" cm="1">
        <f t="array" aca="1" ref="E501" ca="1">[1]!s_dq_turn($B$1,$A501)</f>
        <v>1.14978056561528</v>
      </c>
      <c r="F501" cm="1">
        <f t="array" aca="1" ref="F501" ca="1">[1]!s_val_pe_ttm($B$1,$A501)</f>
        <v>-58.509372711181598</v>
      </c>
    </row>
    <row r="502" spans="1:6">
      <c r="A502" s="23">
        <f t="shared" ca="1" si="7"/>
        <v>45673</v>
      </c>
      <c r="B502" cm="1">
        <f t="array" aca="1" ref="B502" ca="1">[1]!s_dq_close($B$1,$A502,3)</f>
        <v>20.75</v>
      </c>
      <c r="C502" cm="1">
        <f t="array" aca="1" ref="C502" ca="1">[1]!s_dq_volume($B$1,$A502)</f>
        <v>8448500</v>
      </c>
      <c r="D502" cm="1">
        <f t="array" aca="1" ref="D502" ca="1">[1]!s_dq_amount($B$1,$A502)</f>
        <v>176902350</v>
      </c>
      <c r="E502" cm="1">
        <f t="array" aca="1" ref="E502" ca="1">[1]!s_dq_turn($B$1,$A502)</f>
        <v>0.96930809844840804</v>
      </c>
      <c r="F502" cm="1">
        <f t="array" aca="1" ref="F502" ca="1">[1]!s_val_pe_ttm($B$1,$A502)</f>
        <v>-55.184974670410199</v>
      </c>
    </row>
    <row r="503" spans="1:6">
      <c r="A503" s="23">
        <f t="shared" ca="1" si="7"/>
        <v>45672</v>
      </c>
      <c r="B503" cm="1">
        <f t="array" aca="1" ref="B503" ca="1">[1]!s_dq_close($B$1,$A503,3)</f>
        <v>21.25</v>
      </c>
      <c r="C503" cm="1">
        <f t="array" aca="1" ref="C503" ca="1">[1]!s_dq_volume($B$1,$A503)</f>
        <v>14363879</v>
      </c>
      <c r="D503" cm="1">
        <f t="array" aca="1" ref="D503" ca="1">[1]!s_dq_amount($B$1,$A503)</f>
        <v>313170004</v>
      </c>
      <c r="E503" cm="1">
        <f t="array" aca="1" ref="E503" ca="1">[1]!s_dq_turn($B$1,$A503)</f>
        <v>1.6479877185101499</v>
      </c>
      <c r="F503" cm="1">
        <f t="array" aca="1" ref="F503" ca="1">[1]!s_val_pe_ttm($B$1,$A503)</f>
        <v>-56.514736175537102</v>
      </c>
    </row>
    <row r="504" spans="1:6">
      <c r="A504" s="23">
        <f t="shared" ca="1" si="7"/>
        <v>45671</v>
      </c>
      <c r="B504" cm="1">
        <f t="array" aca="1" ref="B504" ca="1">[1]!s_dq_close($B$1,$A504,3)</f>
        <v>23.55</v>
      </c>
      <c r="C504" cm="1">
        <f t="array" aca="1" ref="C504" ca="1">[1]!s_dq_volume($B$1,$A504)</f>
        <v>2903851</v>
      </c>
      <c r="D504" cm="1">
        <f t="array" aca="1" ref="D504" ca="1">[1]!s_dq_amount($B$1,$A504)</f>
        <v>68017494</v>
      </c>
      <c r="E504" cm="1">
        <f t="array" aca="1" ref="E504" ca="1">[1]!s_dq_turn($B$1,$A504)</f>
        <v>0.33316284440877197</v>
      </c>
      <c r="F504" cm="1">
        <f t="array" aca="1" ref="F504" ca="1">[1]!s_val_pe_ttm($B$1,$A504)</f>
        <v>-62.631622314453097</v>
      </c>
    </row>
    <row r="505" spans="1:6">
      <c r="A505" s="23">
        <f t="shared" ca="1" si="7"/>
        <v>45670</v>
      </c>
      <c r="B505" cm="1">
        <f t="array" aca="1" ref="B505" ca="1">[1]!s_dq_close($B$1,$A505,3)</f>
        <v>22.95</v>
      </c>
      <c r="C505" cm="1">
        <f t="array" aca="1" ref="C505" ca="1">[1]!s_dq_volume($B$1,$A505)</f>
        <v>2731280</v>
      </c>
      <c r="D505" cm="1">
        <f t="array" aca="1" ref="D505" ca="1">[1]!s_dq_amount($B$1,$A505)</f>
        <v>62902775</v>
      </c>
      <c r="E505" cm="1">
        <f t="array" aca="1" ref="E505" ca="1">[1]!s_dq_turn($B$1,$A505)</f>
        <v>0.31336353472571099</v>
      </c>
      <c r="F505" cm="1">
        <f t="array" aca="1" ref="F505" ca="1">[1]!s_val_pe_ttm($B$1,$A505)</f>
        <v>-61.035915374755902</v>
      </c>
    </row>
    <row r="506" spans="1:6">
      <c r="A506" s="23">
        <f t="shared" ca="1" si="7"/>
        <v>45669</v>
      </c>
      <c r="B506" cm="1">
        <f t="array" aca="1" ref="B506" ca="1">[1]!s_dq_close($B$1,$A506,3)</f>
        <v>23.75</v>
      </c>
      <c r="C506" cm="1">
        <f t="array" aca="1" ref="C506" ca="1">[1]!s_dq_volume($B$1,$A506)</f>
        <v>0</v>
      </c>
      <c r="D506" cm="1">
        <f t="array" aca="1" ref="D506" ca="1">[1]!s_dq_amount($B$1,$A506)</f>
        <v>0</v>
      </c>
      <c r="E506" cm="1">
        <f t="array" aca="1" ref="E506" ca="1">[1]!s_dq_turn($B$1,$A506)</f>
        <v>0</v>
      </c>
      <c r="F506" cm="1">
        <f t="array" aca="1" ref="F506" ca="1">[1]!s_val_pe_ttm($B$1,$A506)</f>
        <v>-63.163528442382798</v>
      </c>
    </row>
    <row r="507" spans="1:6">
      <c r="A507" s="23">
        <f t="shared" ca="1" si="7"/>
        <v>45668</v>
      </c>
      <c r="B507" cm="1">
        <f t="array" aca="1" ref="B507" ca="1">[1]!s_dq_close($B$1,$A507,3)</f>
        <v>23.75</v>
      </c>
      <c r="C507" cm="1">
        <f t="array" aca="1" ref="C507" ca="1">[1]!s_dq_volume($B$1,$A507)</f>
        <v>0</v>
      </c>
      <c r="D507" cm="1">
        <f t="array" aca="1" ref="D507" ca="1">[1]!s_dq_amount($B$1,$A507)</f>
        <v>0</v>
      </c>
      <c r="E507" cm="1">
        <f t="array" aca="1" ref="E507" ca="1">[1]!s_dq_turn($B$1,$A507)</f>
        <v>0</v>
      </c>
      <c r="F507" cm="1">
        <f t="array" aca="1" ref="F507" ca="1">[1]!s_val_pe_ttm($B$1,$A507)</f>
        <v>-63.163528442382798</v>
      </c>
    </row>
    <row r="508" spans="1:6">
      <c r="A508" s="23">
        <f t="shared" ca="1" si="7"/>
        <v>45667</v>
      </c>
      <c r="B508" cm="1">
        <f t="array" aca="1" ref="B508" ca="1">[1]!s_dq_close($B$1,$A508,3)</f>
        <v>23.75</v>
      </c>
      <c r="C508" cm="1">
        <f t="array" aca="1" ref="C508" ca="1">[1]!s_dq_volume($B$1,$A508)</f>
        <v>2076500</v>
      </c>
      <c r="D508" cm="1">
        <f t="array" aca="1" ref="D508" ca="1">[1]!s_dq_amount($B$1,$A508)</f>
        <v>49718809</v>
      </c>
      <c r="E508" cm="1">
        <f t="array" aca="1" ref="E508" ca="1">[1]!s_dq_turn($B$1,$A508)</f>
        <v>0.23823971905404701</v>
      </c>
      <c r="F508" cm="1">
        <f t="array" aca="1" ref="F508" ca="1">[1]!s_val_pe_ttm($B$1,$A508)</f>
        <v>-63.163528442382798</v>
      </c>
    </row>
    <row r="509" spans="1:6">
      <c r="A509" s="23">
        <f t="shared" ca="1" si="7"/>
        <v>45666</v>
      </c>
      <c r="B509" cm="1">
        <f t="array" aca="1" ref="B509" ca="1">[1]!s_dq_close($B$1,$A509,3)</f>
        <v>24.35</v>
      </c>
      <c r="C509" cm="1">
        <f t="array" aca="1" ref="C509" ca="1">[1]!s_dq_volume($B$1,$A509)</f>
        <v>3109428</v>
      </c>
      <c r="D509" cm="1">
        <f t="array" aca="1" ref="D509" ca="1">[1]!s_dq_amount($B$1,$A509)</f>
        <v>76092250</v>
      </c>
      <c r="E509" cm="1">
        <f t="array" aca="1" ref="E509" ca="1">[1]!s_dq_turn($B$1,$A509)</f>
        <v>0.35674897815496698</v>
      </c>
      <c r="F509" cm="1">
        <f t="array" aca="1" ref="F509" ca="1">[1]!s_val_pe_ttm($B$1,$A509)</f>
        <v>-64.759239196777301</v>
      </c>
    </row>
    <row r="510" spans="1:6">
      <c r="A510" s="23">
        <f t="shared" ca="1" si="7"/>
        <v>45665</v>
      </c>
      <c r="B510" cm="1">
        <f t="array" aca="1" ref="B510" ca="1">[1]!s_dq_close($B$1,$A510,3)</f>
        <v>24.15</v>
      </c>
      <c r="C510" cm="1">
        <f t="array" aca="1" ref="C510" ca="1">[1]!s_dq_volume($B$1,$A510)</f>
        <v>4946652</v>
      </c>
      <c r="D510" cm="1">
        <f t="array" aca="1" ref="D510" ca="1">[1]!s_dq_amount($B$1,$A510)</f>
        <v>118412448</v>
      </c>
      <c r="E510" cm="1">
        <f t="array" aca="1" ref="E510" ca="1">[1]!s_dq_turn($B$1,$A510)</f>
        <v>0.56753623055051305</v>
      </c>
      <c r="F510" cm="1">
        <f t="array" aca="1" ref="F510" ca="1">[1]!s_val_pe_ttm($B$1,$A510)</f>
        <v>-64.227333068847699</v>
      </c>
    </row>
    <row r="511" spans="1:6">
      <c r="A511" s="23">
        <f t="shared" ca="1" si="7"/>
        <v>45664</v>
      </c>
      <c r="B511" cm="1">
        <f t="array" aca="1" ref="B511" ca="1">[1]!s_dq_close($B$1,$A511,3)</f>
        <v>24.1</v>
      </c>
      <c r="C511" cm="1">
        <f t="array" aca="1" ref="C511" ca="1">[1]!s_dq_volume($B$1,$A511)</f>
        <v>5551941</v>
      </c>
      <c r="D511" cm="1">
        <f t="array" aca="1" ref="D511" ca="1">[1]!s_dq_amount($B$1,$A511)</f>
        <v>133774560</v>
      </c>
      <c r="E511" cm="1">
        <f t="array" aca="1" ref="E511" ca="1">[1]!s_dq_turn($B$1,$A511)</f>
        <v>0.63698187529238903</v>
      </c>
      <c r="F511" cm="1">
        <f t="array" aca="1" ref="F511" ca="1">[1]!s_val_pe_ttm($B$1,$A511)</f>
        <v>-64.0943603515625</v>
      </c>
    </row>
    <row r="512" spans="1:6">
      <c r="A512" s="23">
        <f t="shared" ca="1" si="7"/>
        <v>45663</v>
      </c>
      <c r="B512" cm="1">
        <f t="array" aca="1" ref="B512" ca="1">[1]!s_dq_close($B$1,$A512,3)</f>
        <v>24.55</v>
      </c>
      <c r="C512" cm="1">
        <f t="array" aca="1" ref="C512" ca="1">[1]!s_dq_volume($B$1,$A512)</f>
        <v>10647040</v>
      </c>
      <c r="D512" cm="1">
        <f t="array" aca="1" ref="D512" ca="1">[1]!s_dq_amount($B$1,$A512)</f>
        <v>257434339</v>
      </c>
      <c r="E512" cm="1">
        <f t="array" aca="1" ref="E512" ca="1">[1]!s_dq_turn($B$1,$A512)</f>
        <v>1.22154963561628</v>
      </c>
      <c r="F512" cm="1">
        <f t="array" aca="1" ref="F512" ca="1">[1]!s_val_pe_ttm($B$1,$A512)</f>
        <v>-65.2911376953125</v>
      </c>
    </row>
    <row r="513" spans="1:6">
      <c r="A513" s="23">
        <f t="shared" ca="1" si="7"/>
        <v>45662</v>
      </c>
      <c r="B513" cm="1">
        <f t="array" aca="1" ref="B513" ca="1">[1]!s_dq_close($B$1,$A513,3)</f>
        <v>23.25</v>
      </c>
      <c r="C513" cm="1">
        <f t="array" aca="1" ref="C513" ca="1">[1]!s_dq_volume($B$1,$A513)</f>
        <v>0</v>
      </c>
      <c r="D513" cm="1">
        <f t="array" aca="1" ref="D513" ca="1">[1]!s_dq_amount($B$1,$A513)</f>
        <v>0</v>
      </c>
      <c r="E513" cm="1">
        <f t="array" aca="1" ref="E513" ca="1">[1]!s_dq_turn($B$1,$A513)</f>
        <v>0</v>
      </c>
      <c r="F513" cm="1">
        <f t="array" aca="1" ref="F513" ca="1">[1]!s_val_pe_ttm($B$1,$A513)</f>
        <v>-61.833766937255902</v>
      </c>
    </row>
    <row r="514" spans="1:6">
      <c r="A514" s="23">
        <f t="shared" ca="1" si="7"/>
        <v>45661</v>
      </c>
      <c r="B514" cm="1">
        <f t="array" aca="1" ref="B514" ca="1">[1]!s_dq_close($B$1,$A514,3)</f>
        <v>23.25</v>
      </c>
      <c r="C514" cm="1">
        <f t="array" aca="1" ref="C514" ca="1">[1]!s_dq_volume($B$1,$A514)</f>
        <v>0</v>
      </c>
      <c r="D514" cm="1">
        <f t="array" aca="1" ref="D514" ca="1">[1]!s_dq_amount($B$1,$A514)</f>
        <v>0</v>
      </c>
      <c r="E514" cm="1">
        <f t="array" aca="1" ref="E514" ca="1">[1]!s_dq_turn($B$1,$A514)</f>
        <v>0</v>
      </c>
      <c r="F514" cm="1">
        <f t="array" aca="1" ref="F514" ca="1">[1]!s_val_pe_ttm($B$1,$A514)</f>
        <v>-61.833766937255902</v>
      </c>
    </row>
    <row r="515" spans="1:6">
      <c r="A515" s="23">
        <f t="shared" ca="1" si="7"/>
        <v>45660</v>
      </c>
      <c r="B515" cm="1">
        <f t="array" aca="1" ref="B515" ca="1">[1]!s_dq_close($B$1,$A515,3)</f>
        <v>23.25</v>
      </c>
      <c r="C515" cm="1">
        <f t="array" aca="1" ref="C515" ca="1">[1]!s_dq_volume($B$1,$A515)</f>
        <v>8269500</v>
      </c>
      <c r="D515" cm="1">
        <f t="array" aca="1" ref="D515" ca="1">[1]!s_dq_amount($B$1,$A515)</f>
        <v>193325523</v>
      </c>
      <c r="E515" cm="1">
        <f t="array" aca="1" ref="E515" ca="1">[1]!s_dq_turn($B$1,$A515)</f>
        <v>0.94877118069706001</v>
      </c>
      <c r="F515" cm="1">
        <f t="array" aca="1" ref="F515" ca="1">[1]!s_val_pe_ttm($B$1,$A515)</f>
        <v>-61.833766937255902</v>
      </c>
    </row>
    <row r="516" spans="1:6">
      <c r="A516" s="23">
        <f t="shared" ca="1" si="7"/>
        <v>45659</v>
      </c>
      <c r="B516" cm="1">
        <f t="array" aca="1" ref="B516" ca="1">[1]!s_dq_close($B$1,$A516,3)</f>
        <v>23.4</v>
      </c>
      <c r="C516" cm="1">
        <f t="array" aca="1" ref="C516" ca="1">[1]!s_dq_volume($B$1,$A516)</f>
        <v>26730455</v>
      </c>
      <c r="D516" cm="1">
        <f t="array" aca="1" ref="D516" ca="1">[1]!s_dq_amount($B$1,$A516)</f>
        <v>639611258</v>
      </c>
      <c r="E516" cm="1">
        <f t="array" aca="1" ref="E516" ca="1">[1]!s_dq_turn($B$1,$A516)</f>
        <v>3.0668220993916999</v>
      </c>
      <c r="F516" cm="1">
        <f t="array" aca="1" ref="F516" ca="1">[1]!s_val_pe_ttm($B$1,$A516)</f>
        <v>-62.232696533203097</v>
      </c>
    </row>
    <row r="517" spans="1:6">
      <c r="A517" s="23">
        <f t="shared" ca="1" si="7"/>
        <v>45658</v>
      </c>
      <c r="B517" cm="1">
        <f t="array" aca="1" ref="B517" ca="1">[1]!s_dq_close($B$1,$A517,3)</f>
        <v>22.55</v>
      </c>
      <c r="C517" cm="1">
        <f t="array" aca="1" ref="C517" ca="1">[1]!s_dq_volume($B$1,$A517)</f>
        <v>0</v>
      </c>
      <c r="D517" cm="1">
        <f t="array" aca="1" ref="D517" ca="1">[1]!s_dq_amount($B$1,$A517)</f>
        <v>0</v>
      </c>
      <c r="E517" cm="1">
        <f t="array" aca="1" ref="E517" ca="1">[1]!s_dq_turn($B$1,$A517)</f>
        <v>0</v>
      </c>
      <c r="F517" cm="1">
        <f t="array" aca="1" ref="F517" ca="1">[1]!s_val_pe_ttm($B$1,$A517)</f>
        <v>-59.9721069335938</v>
      </c>
    </row>
    <row r="518" spans="1:6">
      <c r="A518" s="23">
        <f t="shared" ca="1" si="7"/>
        <v>45657</v>
      </c>
      <c r="B518" cm="1">
        <f t="array" aca="1" ref="B518" ca="1">[1]!s_dq_close($B$1,$A518,3)</f>
        <v>22.55</v>
      </c>
      <c r="C518" cm="1">
        <f t="array" aca="1" ref="C518" ca="1">[1]!s_dq_volume($B$1,$A518)</f>
        <v>3662165</v>
      </c>
      <c r="D518" cm="1">
        <f t="array" aca="1" ref="D518" ca="1">[1]!s_dq_amount($B$1,$A518)</f>
        <v>81378669</v>
      </c>
      <c r="E518" cm="1">
        <f t="array" aca="1" ref="E518" ca="1">[1]!s_dq_turn($B$1,$A518)</f>
        <v>0.42016525920036901</v>
      </c>
      <c r="F518" cm="1">
        <f t="array" aca="1" ref="F518" ca="1">[1]!s_val_pe_ttm($B$1,$A518)</f>
        <v>-59.9721069335938</v>
      </c>
    </row>
    <row r="519" spans="1:6">
      <c r="A519" s="23">
        <f t="shared" ca="1" si="7"/>
        <v>45656</v>
      </c>
      <c r="B519" cm="1">
        <f t="array" aca="1" ref="B519" ca="1">[1]!s_dq_close($B$1,$A519,3)</f>
        <v>22.75</v>
      </c>
      <c r="C519" cm="1">
        <f t="array" aca="1" ref="C519" ca="1">[1]!s_dq_volume($B$1,$A519)</f>
        <v>3398500</v>
      </c>
      <c r="D519" cm="1">
        <f t="array" aca="1" ref="D519" ca="1">[1]!s_dq_amount($B$1,$A519)</f>
        <v>76809300</v>
      </c>
      <c r="E519" cm="1">
        <f t="array" aca="1" ref="E519" ca="1">[1]!s_dq_turn($B$1,$A519)</f>
        <v>0.38991460881540102</v>
      </c>
      <c r="F519" cm="1">
        <f t="array" aca="1" ref="F519" ca="1">[1]!s_val_pe_ttm($B$1,$A519)</f>
        <v>-60.5040092468262</v>
      </c>
    </row>
    <row r="520" spans="1:6">
      <c r="A520" s="23">
        <f t="shared" ca="1" si="7"/>
        <v>45655</v>
      </c>
      <c r="B520" cm="1">
        <f t="array" aca="1" ref="B520" ca="1">[1]!s_dq_close($B$1,$A520,3)</f>
        <v>22.3</v>
      </c>
      <c r="C520" cm="1">
        <f t="array" aca="1" ref="C520" ca="1">[1]!s_dq_volume($B$1,$A520)</f>
        <v>0</v>
      </c>
      <c r="D520" cm="1">
        <f t="array" aca="1" ref="D520" ca="1">[1]!s_dq_amount($B$1,$A520)</f>
        <v>0</v>
      </c>
      <c r="E520" cm="1">
        <f t="array" aca="1" ref="E520" ca="1">[1]!s_dq_turn($B$1,$A520)</f>
        <v>0</v>
      </c>
      <c r="F520" cm="1">
        <f t="array" aca="1" ref="F520" ca="1">[1]!s_val_pe_ttm($B$1,$A520)</f>
        <v>-59.307228088378899</v>
      </c>
    </row>
    <row r="521" spans="1:6">
      <c r="A521" s="23">
        <f t="shared" ca="1" si="7"/>
        <v>45654</v>
      </c>
      <c r="B521" cm="1">
        <f t="array" aca="1" ref="B521" ca="1">[1]!s_dq_close($B$1,$A521,3)</f>
        <v>22.3</v>
      </c>
      <c r="C521" cm="1">
        <f t="array" aca="1" ref="C521" ca="1">[1]!s_dq_volume($B$1,$A521)</f>
        <v>0</v>
      </c>
      <c r="D521" cm="1">
        <f t="array" aca="1" ref="D521" ca="1">[1]!s_dq_amount($B$1,$A521)</f>
        <v>0</v>
      </c>
      <c r="E521" cm="1">
        <f t="array" aca="1" ref="E521" ca="1">[1]!s_dq_turn($B$1,$A521)</f>
        <v>0</v>
      </c>
      <c r="F521" cm="1">
        <f t="array" aca="1" ref="F521" ca="1">[1]!s_val_pe_ttm($B$1,$A521)</f>
        <v>-59.307228088378899</v>
      </c>
    </row>
    <row r="522" spans="1:6">
      <c r="A522" s="23">
        <f t="shared" ca="1" si="7"/>
        <v>45653</v>
      </c>
      <c r="B522" cm="1">
        <f t="array" aca="1" ref="B522" ca="1">[1]!s_dq_close($B$1,$A522,3)</f>
        <v>22.3</v>
      </c>
      <c r="C522" cm="1">
        <f t="array" aca="1" ref="C522" ca="1">[1]!s_dq_volume($B$1,$A522)</f>
        <v>2876370</v>
      </c>
      <c r="D522" cm="1">
        <f t="array" aca="1" ref="D522" ca="1">[1]!s_dq_amount($B$1,$A522)</f>
        <v>63679199</v>
      </c>
      <c r="E522" cm="1">
        <f t="array" aca="1" ref="E522" ca="1">[1]!s_dq_turn($B$1,$A522)</f>
        <v>0.33000991124271101</v>
      </c>
      <c r="F522" cm="1">
        <f t="array" aca="1" ref="F522" ca="1">[1]!s_val_pe_ttm($B$1,$A522)</f>
        <v>-59.307228088378899</v>
      </c>
    </row>
    <row r="523" spans="1:6">
      <c r="A523" s="23">
        <f t="shared" ca="1" si="7"/>
        <v>45652</v>
      </c>
      <c r="B523" cm="1">
        <f t="array" aca="1" ref="B523" ca="1">[1]!s_dq_close($B$1,$A523,3)</f>
        <v>22.4</v>
      </c>
      <c r="C523" cm="1">
        <f t="array" aca="1" ref="C523" ca="1">[1]!s_dq_volume($B$1,$A523)</f>
        <v>0</v>
      </c>
      <c r="D523" cm="1">
        <f t="array" aca="1" ref="D523" ca="1">[1]!s_dq_amount($B$1,$A523)</f>
        <v>0</v>
      </c>
      <c r="E523" cm="1">
        <f t="array" aca="1" ref="E523" ca="1">[1]!s_dq_turn($B$1,$A523)</f>
        <v>0</v>
      </c>
      <c r="F523" cm="1">
        <f t="array" aca="1" ref="F523" ca="1">[1]!s_val_pe_ttm($B$1,$A523)</f>
        <v>-59.5731811523438</v>
      </c>
    </row>
    <row r="524" spans="1:6">
      <c r="A524" s="23">
        <f t="shared" ca="1" si="7"/>
        <v>45651</v>
      </c>
      <c r="B524" cm="1">
        <f t="array" aca="1" ref="B524" ca="1">[1]!s_dq_close($B$1,$A524,3)</f>
        <v>22.4</v>
      </c>
      <c r="C524" cm="1">
        <f t="array" aca="1" ref="C524" ca="1">[1]!s_dq_volume($B$1,$A524)</f>
        <v>0</v>
      </c>
      <c r="D524" cm="1">
        <f t="array" aca="1" ref="D524" ca="1">[1]!s_dq_amount($B$1,$A524)</f>
        <v>0</v>
      </c>
      <c r="E524" cm="1">
        <f t="array" aca="1" ref="E524" ca="1">[1]!s_dq_turn($B$1,$A524)</f>
        <v>0</v>
      </c>
      <c r="F524" cm="1">
        <f t="array" aca="1" ref="F524" ca="1">[1]!s_val_pe_ttm($B$1,$A524)</f>
        <v>-59.5731811523438</v>
      </c>
    </row>
    <row r="525" spans="1:6">
      <c r="A525" s="23">
        <f t="shared" ref="A525:A588" ca="1" si="8">A524-1</f>
        <v>45650</v>
      </c>
      <c r="B525" cm="1">
        <f t="array" aca="1" ref="B525" ca="1">[1]!s_dq_close($B$1,$A525,3)</f>
        <v>22.4</v>
      </c>
      <c r="C525" cm="1">
        <f t="array" aca="1" ref="C525" ca="1">[1]!s_dq_volume($B$1,$A525)</f>
        <v>1412000</v>
      </c>
      <c r="D525" cm="1">
        <f t="array" aca="1" ref="D525" ca="1">[1]!s_dq_amount($B$1,$A525)</f>
        <v>31539350</v>
      </c>
      <c r="E525" cm="1">
        <f t="array" aca="1" ref="E525" ca="1">[1]!s_dq_turn($B$1,$A525)</f>
        <v>0.16200071432907001</v>
      </c>
      <c r="F525" cm="1">
        <f t="array" aca="1" ref="F525" ca="1">[1]!s_val_pe_ttm($B$1,$A525)</f>
        <v>-59.5731811523438</v>
      </c>
    </row>
    <row r="526" spans="1:6">
      <c r="A526" s="23">
        <f t="shared" ca="1" si="8"/>
        <v>45649</v>
      </c>
      <c r="B526" cm="1">
        <f t="array" aca="1" ref="B526" ca="1">[1]!s_dq_close($B$1,$A526,3)</f>
        <v>22.25</v>
      </c>
      <c r="C526" cm="1">
        <f t="array" aca="1" ref="C526" ca="1">[1]!s_dq_volume($B$1,$A526)</f>
        <v>2989000</v>
      </c>
      <c r="D526" cm="1">
        <f t="array" aca="1" ref="D526" ca="1">[1]!s_dq_amount($B$1,$A526)</f>
        <v>65913725</v>
      </c>
      <c r="E526" cm="1">
        <f t="array" aca="1" ref="E526" ca="1">[1]!s_dq_turn($B$1,$A526)</f>
        <v>0.34293210703228899</v>
      </c>
      <c r="F526" cm="1">
        <f t="array" aca="1" ref="F526" ca="1">[1]!s_val_pe_ttm($B$1,$A526)</f>
        <v>-59.174251556396499</v>
      </c>
    </row>
    <row r="527" spans="1:6">
      <c r="A527" s="23">
        <f t="shared" ca="1" si="8"/>
        <v>45648</v>
      </c>
      <c r="B527" cm="1">
        <f t="array" aca="1" ref="B527" ca="1">[1]!s_dq_close($B$1,$A527,3)</f>
        <v>22.15</v>
      </c>
      <c r="C527" cm="1">
        <f t="array" aca="1" ref="C527" ca="1">[1]!s_dq_volume($B$1,$A527)</f>
        <v>0</v>
      </c>
      <c r="D527" cm="1">
        <f t="array" aca="1" ref="D527" ca="1">[1]!s_dq_amount($B$1,$A527)</f>
        <v>0</v>
      </c>
      <c r="E527" cm="1">
        <f t="array" aca="1" ref="E527" ca="1">[1]!s_dq_turn($B$1,$A527)</f>
        <v>0</v>
      </c>
      <c r="F527" cm="1">
        <f t="array" aca="1" ref="F527" ca="1">[1]!s_val_pe_ttm($B$1,$A527)</f>
        <v>-58.908298492431598</v>
      </c>
    </row>
    <row r="528" spans="1:6">
      <c r="A528" s="23">
        <f t="shared" ca="1" si="8"/>
        <v>45647</v>
      </c>
      <c r="B528" cm="1">
        <f t="array" aca="1" ref="B528" ca="1">[1]!s_dq_close($B$1,$A528,3)</f>
        <v>22.15</v>
      </c>
      <c r="C528" cm="1">
        <f t="array" aca="1" ref="C528" ca="1">[1]!s_dq_volume($B$1,$A528)</f>
        <v>0</v>
      </c>
      <c r="D528" cm="1">
        <f t="array" aca="1" ref="D528" ca="1">[1]!s_dq_amount($B$1,$A528)</f>
        <v>0</v>
      </c>
      <c r="E528" cm="1">
        <f t="array" aca="1" ref="E528" ca="1">[1]!s_dq_turn($B$1,$A528)</f>
        <v>0</v>
      </c>
      <c r="F528" cm="1">
        <f t="array" aca="1" ref="F528" ca="1">[1]!s_val_pe_ttm($B$1,$A528)</f>
        <v>-58.908298492431598</v>
      </c>
    </row>
    <row r="529" spans="1:6">
      <c r="A529" s="23">
        <f t="shared" ca="1" si="8"/>
        <v>45646</v>
      </c>
      <c r="B529" cm="1">
        <f t="array" aca="1" ref="B529" ca="1">[1]!s_dq_close($B$1,$A529,3)</f>
        <v>22.15</v>
      </c>
      <c r="C529" cm="1">
        <f t="array" aca="1" ref="C529" ca="1">[1]!s_dq_volume($B$1,$A529)</f>
        <v>6993401</v>
      </c>
      <c r="D529" cm="1">
        <f t="array" aca="1" ref="D529" ca="1">[1]!s_dq_amount($B$1,$A529)</f>
        <v>154294616</v>
      </c>
      <c r="E529" cm="1">
        <f t="array" aca="1" ref="E529" ca="1">[1]!s_dq_turn($B$1,$A529)</f>
        <v>0.80236257619662599</v>
      </c>
      <c r="F529" cm="1">
        <f t="array" aca="1" ref="F529" ca="1">[1]!s_val_pe_ttm($B$1,$A529)</f>
        <v>-58.908298492431598</v>
      </c>
    </row>
    <row r="530" spans="1:6">
      <c r="A530" s="23">
        <f t="shared" ca="1" si="8"/>
        <v>45645</v>
      </c>
      <c r="B530" cm="1">
        <f t="array" aca="1" ref="B530" ca="1">[1]!s_dq_close($B$1,$A530,3)</f>
        <v>22.95</v>
      </c>
      <c r="C530" cm="1">
        <f t="array" aca="1" ref="C530" ca="1">[1]!s_dq_volume($B$1,$A530)</f>
        <v>4174384</v>
      </c>
      <c r="D530" cm="1">
        <f t="array" aca="1" ref="D530" ca="1">[1]!s_dq_amount($B$1,$A530)</f>
        <v>94796786</v>
      </c>
      <c r="E530" cm="1">
        <f t="array" aca="1" ref="E530" ca="1">[1]!s_dq_turn($B$1,$A530)</f>
        <v>0.47893285402538399</v>
      </c>
      <c r="F530" cm="1">
        <f t="array" aca="1" ref="F530" ca="1">[1]!s_val_pe_ttm($B$1,$A530)</f>
        <v>-61.035915374755902</v>
      </c>
    </row>
    <row r="531" spans="1:6">
      <c r="A531" s="23">
        <f t="shared" ca="1" si="8"/>
        <v>45644</v>
      </c>
      <c r="B531" cm="1">
        <f t="array" aca="1" ref="B531" ca="1">[1]!s_dq_close($B$1,$A531,3)</f>
        <v>23.05</v>
      </c>
      <c r="C531" cm="1">
        <f t="array" aca="1" ref="C531" ca="1">[1]!s_dq_volume($B$1,$A531)</f>
        <v>3929957</v>
      </c>
      <c r="D531" cm="1">
        <f t="array" aca="1" ref="D531" ca="1">[1]!s_dq_amount($B$1,$A531)</f>
        <v>90699202</v>
      </c>
      <c r="E531" cm="1">
        <f t="array" aca="1" ref="E531" ca="1">[1]!s_dq_turn($B$1,$A531)</f>
        <v>0.45088940600745803</v>
      </c>
      <c r="F531" cm="1">
        <f t="array" aca="1" ref="F531" ca="1">[1]!s_val_pe_ttm($B$1,$A531)</f>
        <v>-61.301864624023402</v>
      </c>
    </row>
    <row r="532" spans="1:6">
      <c r="A532" s="23">
        <f t="shared" ca="1" si="8"/>
        <v>45643</v>
      </c>
      <c r="B532" cm="1">
        <f t="array" aca="1" ref="B532" ca="1">[1]!s_dq_close($B$1,$A532,3)</f>
        <v>23.25</v>
      </c>
      <c r="C532" cm="1">
        <f t="array" aca="1" ref="C532" ca="1">[1]!s_dq_volume($B$1,$A532)</f>
        <v>3771000</v>
      </c>
      <c r="D532" cm="1">
        <f t="array" aca="1" ref="D532" ca="1">[1]!s_dq_amount($B$1,$A532)</f>
        <v>87398600</v>
      </c>
      <c r="E532" cm="1">
        <f t="array" aca="1" ref="E532" ca="1">[1]!s_dq_turn($B$1,$A532)</f>
        <v>0.43265204938733998</v>
      </c>
      <c r="F532" cm="1">
        <f t="array" aca="1" ref="F532" ca="1">[1]!s_val_pe_ttm($B$1,$A532)</f>
        <v>-61.833766937255902</v>
      </c>
    </row>
    <row r="533" spans="1:6">
      <c r="A533" s="23">
        <f t="shared" ca="1" si="8"/>
        <v>45642</v>
      </c>
      <c r="B533" cm="1">
        <f t="array" aca="1" ref="B533" ca="1">[1]!s_dq_close($B$1,$A533,3)</f>
        <v>23.45</v>
      </c>
      <c r="C533" cm="1">
        <f t="array" aca="1" ref="C533" ca="1">[1]!s_dq_volume($B$1,$A533)</f>
        <v>6559360</v>
      </c>
      <c r="D533" cm="1">
        <f t="array" aca="1" ref="D533" ca="1">[1]!s_dq_amount($B$1,$A533)</f>
        <v>154278595</v>
      </c>
      <c r="E533" cm="1">
        <f t="array" aca="1" ref="E533" ca="1">[1]!s_dq_turn($B$1,$A533)</f>
        <v>0.75256445151666596</v>
      </c>
      <c r="F533" cm="1">
        <f t="array" aca="1" ref="F533" ca="1">[1]!s_val_pe_ttm($B$1,$A533)</f>
        <v>-62.365673065185497</v>
      </c>
    </row>
    <row r="534" spans="1:6">
      <c r="A534" s="23">
        <f t="shared" ca="1" si="8"/>
        <v>45641</v>
      </c>
      <c r="B534" cm="1">
        <f t="array" aca="1" ref="B534" ca="1">[1]!s_dq_close($B$1,$A534,3)</f>
        <v>24.55</v>
      </c>
      <c r="C534" cm="1">
        <f t="array" aca="1" ref="C534" ca="1">[1]!s_dq_volume($B$1,$A534)</f>
        <v>0</v>
      </c>
      <c r="D534" cm="1">
        <f t="array" aca="1" ref="D534" ca="1">[1]!s_dq_amount($B$1,$A534)</f>
        <v>0</v>
      </c>
      <c r="E534" cm="1">
        <f t="array" aca="1" ref="E534" ca="1">[1]!s_dq_turn($B$1,$A534)</f>
        <v>0</v>
      </c>
      <c r="F534" cm="1">
        <f t="array" aca="1" ref="F534" ca="1">[1]!s_val_pe_ttm($B$1,$A534)</f>
        <v>-65.2911376953125</v>
      </c>
    </row>
    <row r="535" spans="1:6">
      <c r="A535" s="23">
        <f t="shared" ca="1" si="8"/>
        <v>45640</v>
      </c>
      <c r="B535" cm="1">
        <f t="array" aca="1" ref="B535" ca="1">[1]!s_dq_close($B$1,$A535,3)</f>
        <v>24.55</v>
      </c>
      <c r="C535" cm="1">
        <f t="array" aca="1" ref="C535" ca="1">[1]!s_dq_volume($B$1,$A535)</f>
        <v>0</v>
      </c>
      <c r="D535" cm="1">
        <f t="array" aca="1" ref="D535" ca="1">[1]!s_dq_amount($B$1,$A535)</f>
        <v>0</v>
      </c>
      <c r="E535" cm="1">
        <f t="array" aca="1" ref="E535" ca="1">[1]!s_dq_turn($B$1,$A535)</f>
        <v>0</v>
      </c>
      <c r="F535" cm="1">
        <f t="array" aca="1" ref="F535" ca="1">[1]!s_val_pe_ttm($B$1,$A535)</f>
        <v>-65.2911376953125</v>
      </c>
    </row>
    <row r="536" spans="1:6">
      <c r="A536" s="23">
        <f t="shared" ca="1" si="8"/>
        <v>45639</v>
      </c>
      <c r="B536" cm="1">
        <f t="array" aca="1" ref="B536" ca="1">[1]!s_dq_close($B$1,$A536,3)</f>
        <v>24.55</v>
      </c>
      <c r="C536" cm="1">
        <f t="array" aca="1" ref="C536" ca="1">[1]!s_dq_volume($B$1,$A536)</f>
        <v>4822629</v>
      </c>
      <c r="D536" cm="1">
        <f t="array" aca="1" ref="D536" ca="1">[1]!s_dq_amount($B$1,$A536)</f>
        <v>119124178</v>
      </c>
      <c r="E536" cm="1">
        <f t="array" aca="1" ref="E536" ca="1">[1]!s_dq_turn($B$1,$A536)</f>
        <v>0.55330690010204697</v>
      </c>
      <c r="F536" cm="1">
        <f t="array" aca="1" ref="F536" ca="1">[1]!s_val_pe_ttm($B$1,$A536)</f>
        <v>-65.2911376953125</v>
      </c>
    </row>
    <row r="537" spans="1:6">
      <c r="A537" s="23">
        <f t="shared" ca="1" si="8"/>
        <v>45638</v>
      </c>
      <c r="B537" cm="1">
        <f t="array" aca="1" ref="B537" ca="1">[1]!s_dq_close($B$1,$A537,3)</f>
        <v>25.3</v>
      </c>
      <c r="C537" cm="1">
        <f t="array" aca="1" ref="C537" ca="1">[1]!s_dq_volume($B$1,$A537)</f>
        <v>5774206</v>
      </c>
      <c r="D537" cm="1">
        <f t="array" aca="1" ref="D537" ca="1">[1]!s_dq_amount($B$1,$A537)</f>
        <v>145193299</v>
      </c>
      <c r="E537" cm="1">
        <f t="array" aca="1" ref="E537" ca="1">[1]!s_dq_turn($B$1,$A537)</f>
        <v>0.66248264637620702</v>
      </c>
      <c r="F537" cm="1">
        <f t="array" aca="1" ref="F537" ca="1">[1]!s_val_pe_ttm($B$1,$A537)</f>
        <v>-67.285781860351605</v>
      </c>
    </row>
    <row r="538" spans="1:6">
      <c r="A538" s="23">
        <f t="shared" ca="1" si="8"/>
        <v>45637</v>
      </c>
      <c r="B538" cm="1">
        <f t="array" aca="1" ref="B538" ca="1">[1]!s_dq_close($B$1,$A538,3)</f>
        <v>25.6</v>
      </c>
      <c r="C538" cm="1">
        <f t="array" aca="1" ref="C538" ca="1">[1]!s_dq_volume($B$1,$A538)</f>
        <v>4181128</v>
      </c>
      <c r="D538" cm="1">
        <f t="array" aca="1" ref="D538" ca="1">[1]!s_dq_amount($B$1,$A538)</f>
        <v>108628138</v>
      </c>
      <c r="E538" cm="1">
        <f t="array" aca="1" ref="E538" ca="1">[1]!s_dq_turn($B$1,$A538)</f>
        <v>0.47970660247965802</v>
      </c>
      <c r="F538" cm="1">
        <f t="array" aca="1" ref="F538" ca="1">[1]!s_val_pe_ttm($B$1,$A538)</f>
        <v>-68.083633422851605</v>
      </c>
    </row>
    <row r="539" spans="1:6">
      <c r="A539" s="23">
        <f t="shared" ca="1" si="8"/>
        <v>45636</v>
      </c>
      <c r="B539" cm="1">
        <f t="array" aca="1" ref="B539" ca="1">[1]!s_dq_close($B$1,$A539,3)</f>
        <v>26.6</v>
      </c>
      <c r="C539" cm="1">
        <f t="array" aca="1" ref="C539" ca="1">[1]!s_dq_volume($B$1,$A539)</f>
        <v>3937705</v>
      </c>
      <c r="D539" cm="1">
        <f t="array" aca="1" ref="D539" ca="1">[1]!s_dq_amount($B$1,$A539)</f>
        <v>105198696</v>
      </c>
      <c r="E539" cm="1">
        <f t="array" aca="1" ref="E539" ca="1">[1]!s_dq_turn($B$1,$A539)</f>
        <v>0.45177834477135398</v>
      </c>
      <c r="F539" cm="1">
        <f t="array" aca="1" ref="F539" ca="1">[1]!s_val_pe_ttm($B$1,$A539)</f>
        <v>-70.743148803710895</v>
      </c>
    </row>
    <row r="540" spans="1:6">
      <c r="A540" s="23">
        <f t="shared" ca="1" si="8"/>
        <v>45635</v>
      </c>
      <c r="B540" cm="1">
        <f t="array" aca="1" ref="B540" ca="1">[1]!s_dq_close($B$1,$A540,3)</f>
        <v>26.9</v>
      </c>
      <c r="C540" cm="1">
        <f t="array" aca="1" ref="C540" ca="1">[1]!s_dq_volume($B$1,$A540)</f>
        <v>3458500</v>
      </c>
      <c r="D540" cm="1">
        <f t="array" aca="1" ref="D540" ca="1">[1]!s_dq_amount($B$1,$A540)</f>
        <v>91305150</v>
      </c>
      <c r="E540" cm="1">
        <f t="array" aca="1" ref="E540" ca="1">[1]!s_dq_turn($B$1,$A540)</f>
        <v>0.396798491860545</v>
      </c>
      <c r="F540" cm="1">
        <f t="array" aca="1" ref="F540" ca="1">[1]!s_val_pe_ttm($B$1,$A540)</f>
        <v>-71.541007995605497</v>
      </c>
    </row>
    <row r="541" spans="1:6">
      <c r="A541" s="23">
        <f t="shared" ca="1" si="8"/>
        <v>45634</v>
      </c>
      <c r="B541" cm="1">
        <f t="array" aca="1" ref="B541" ca="1">[1]!s_dq_close($B$1,$A541,3)</f>
        <v>26.65</v>
      </c>
      <c r="C541" cm="1">
        <f t="array" aca="1" ref="C541" ca="1">[1]!s_dq_volume($B$1,$A541)</f>
        <v>0</v>
      </c>
      <c r="D541" cm="1">
        <f t="array" aca="1" ref="D541" ca="1">[1]!s_dq_amount($B$1,$A541)</f>
        <v>0</v>
      </c>
      <c r="E541" cm="1">
        <f t="array" aca="1" ref="E541" ca="1">[1]!s_dq_turn($B$1,$A541)</f>
        <v>0</v>
      </c>
      <c r="F541" cm="1">
        <f t="array" aca="1" ref="F541" ca="1">[1]!s_val_pe_ttm($B$1,$A541)</f>
        <v>-70.876129150390597</v>
      </c>
    </row>
    <row r="542" spans="1:6">
      <c r="A542" s="23">
        <f t="shared" ca="1" si="8"/>
        <v>45633</v>
      </c>
      <c r="B542" cm="1">
        <f t="array" aca="1" ref="B542" ca="1">[1]!s_dq_close($B$1,$A542,3)</f>
        <v>26.65</v>
      </c>
      <c r="C542" cm="1">
        <f t="array" aca="1" ref="C542" ca="1">[1]!s_dq_volume($B$1,$A542)</f>
        <v>0</v>
      </c>
      <c r="D542" cm="1">
        <f t="array" aca="1" ref="D542" ca="1">[1]!s_dq_amount($B$1,$A542)</f>
        <v>0</v>
      </c>
      <c r="E542" cm="1">
        <f t="array" aca="1" ref="E542" ca="1">[1]!s_dq_turn($B$1,$A542)</f>
        <v>0</v>
      </c>
      <c r="F542" cm="1">
        <f t="array" aca="1" ref="F542" ca="1">[1]!s_val_pe_ttm($B$1,$A542)</f>
        <v>-70.876129150390597</v>
      </c>
    </row>
    <row r="543" spans="1:6">
      <c r="A543" s="23">
        <f t="shared" ca="1" si="8"/>
        <v>45632</v>
      </c>
      <c r="B543" cm="1">
        <f t="array" aca="1" ref="B543" ca="1">[1]!s_dq_close($B$1,$A543,3)</f>
        <v>26.65</v>
      </c>
      <c r="C543" cm="1">
        <f t="array" aca="1" ref="C543" ca="1">[1]!s_dq_volume($B$1,$A543)</f>
        <v>2986782</v>
      </c>
      <c r="D543" cm="1">
        <f t="array" aca="1" ref="D543" ca="1">[1]!s_dq_amount($B$1,$A543)</f>
        <v>79481473</v>
      </c>
      <c r="E543" cm="1">
        <f t="array" aca="1" ref="E543" ca="1">[1]!s_dq_turn($B$1,$A543)</f>
        <v>0.342677632822387</v>
      </c>
      <c r="F543" cm="1">
        <f t="array" aca="1" ref="F543" ca="1">[1]!s_val_pe_ttm($B$1,$A543)</f>
        <v>-70.876129150390597</v>
      </c>
    </row>
    <row r="544" spans="1:6">
      <c r="A544" s="23">
        <f t="shared" ca="1" si="8"/>
        <v>45631</v>
      </c>
      <c r="B544" cm="1">
        <f t="array" aca="1" ref="B544" ca="1">[1]!s_dq_close($B$1,$A544,3)</f>
        <v>26.5</v>
      </c>
      <c r="C544" cm="1">
        <f t="array" aca="1" ref="C544" ca="1">[1]!s_dq_volume($B$1,$A544)</f>
        <v>2352000</v>
      </c>
      <c r="D544" cm="1">
        <f t="array" aca="1" ref="D544" ca="1">[1]!s_dq_amount($B$1,$A544)</f>
        <v>62298700</v>
      </c>
      <c r="E544" cm="1">
        <f t="array" aca="1" ref="E544" ca="1">[1]!s_dq_turn($B$1,$A544)</f>
        <v>0.26984821536967002</v>
      </c>
      <c r="F544" cm="1">
        <f t="array" aca="1" ref="F544" ca="1">[1]!s_val_pe_ttm($B$1,$A544)</f>
        <v>-70.477195739746094</v>
      </c>
    </row>
    <row r="545" spans="1:6">
      <c r="A545" s="23">
        <f t="shared" ca="1" si="8"/>
        <v>45630</v>
      </c>
      <c r="B545" cm="1">
        <f t="array" aca="1" ref="B545" ca="1">[1]!s_dq_close($B$1,$A545,3)</f>
        <v>26.85</v>
      </c>
      <c r="C545" cm="1">
        <f t="array" aca="1" ref="C545" ca="1">[1]!s_dq_volume($B$1,$A545)</f>
        <v>3020416</v>
      </c>
      <c r="D545" cm="1">
        <f t="array" aca="1" ref="D545" ca="1">[1]!s_dq_amount($B$1,$A545)</f>
        <v>82373842</v>
      </c>
      <c r="E545" cm="1">
        <f t="array" aca="1" ref="E545" ca="1">[1]!s_dq_turn($B$1,$A545)</f>
        <v>0.34653650819472598</v>
      </c>
      <c r="F545" cm="1">
        <f t="array" aca="1" ref="F545" ca="1">[1]!s_val_pe_ttm($B$1,$A545)</f>
        <v>-71.408027648925795</v>
      </c>
    </row>
    <row r="546" spans="1:6">
      <c r="A546" s="23">
        <f t="shared" ca="1" si="8"/>
        <v>45629</v>
      </c>
      <c r="B546" cm="1">
        <f t="array" aca="1" ref="B546" ca="1">[1]!s_dq_close($B$1,$A546,3)</f>
        <v>27.2</v>
      </c>
      <c r="C546" cm="1">
        <f t="array" aca="1" ref="C546" ca="1">[1]!s_dq_volume($B$1,$A546)</f>
        <v>3360441</v>
      </c>
      <c r="D546" cm="1">
        <f t="array" aca="1" ref="D546" ca="1">[1]!s_dq_amount($B$1,$A546)</f>
        <v>92355128</v>
      </c>
      <c r="E546" cm="1">
        <f t="array" aca="1" ref="E546" ca="1">[1]!s_dq_turn($B$1,$A546)</f>
        <v>0.385548047068482</v>
      </c>
      <c r="F546" cm="1">
        <f t="array" aca="1" ref="F546" ca="1">[1]!s_val_pe_ttm($B$1,$A546)</f>
        <v>-72.338859558105497</v>
      </c>
    </row>
    <row r="547" spans="1:6">
      <c r="A547" s="23">
        <f t="shared" ca="1" si="8"/>
        <v>45628</v>
      </c>
      <c r="B547" cm="1">
        <f t="array" aca="1" ref="B547" ca="1">[1]!s_dq_close($B$1,$A547,3)</f>
        <v>27.25</v>
      </c>
      <c r="C547" cm="1">
        <f t="array" aca="1" ref="C547" ca="1">[1]!s_dq_volume($B$1,$A547)</f>
        <v>4172500</v>
      </c>
      <c r="D547" cm="1">
        <f t="array" aca="1" ref="D547" ca="1">[1]!s_dq_amount($B$1,$A547)</f>
        <v>112145527</v>
      </c>
      <c r="E547" cm="1">
        <f t="array" aca="1" ref="E547" ca="1">[1]!s_dq_turn($B$1,$A547)</f>
        <v>0.47871670009776701</v>
      </c>
      <c r="F547" cm="1">
        <f t="array" aca="1" ref="F547" ca="1">[1]!s_val_pe_ttm($B$1,$A547)</f>
        <v>-72.468582153320298</v>
      </c>
    </row>
    <row r="548" spans="1:6">
      <c r="A548" s="23">
        <f t="shared" ca="1" si="8"/>
        <v>45627</v>
      </c>
      <c r="B548" cm="1">
        <f t="array" aca="1" ref="B548" ca="1">[1]!s_dq_close($B$1,$A548,3)</f>
        <v>26.5</v>
      </c>
      <c r="C548" cm="1">
        <f t="array" aca="1" ref="C548" ca="1">[1]!s_dq_volume($B$1,$A548)</f>
        <v>0</v>
      </c>
      <c r="D548" cm="1">
        <f t="array" aca="1" ref="D548" ca="1">[1]!s_dq_amount($B$1,$A548)</f>
        <v>0</v>
      </c>
      <c r="E548" cm="1">
        <f t="array" aca="1" ref="E548" ca="1">[1]!s_dq_turn($B$1,$A548)</f>
        <v>0</v>
      </c>
      <c r="F548" cm="1">
        <f t="array" aca="1" ref="F548" ca="1">[1]!s_val_pe_ttm($B$1,$A548)</f>
        <v>-70.474029541015597</v>
      </c>
    </row>
    <row r="549" spans="1:6">
      <c r="A549" s="23">
        <f t="shared" ca="1" si="8"/>
        <v>45626</v>
      </c>
      <c r="B549" cm="1">
        <f t="array" aca="1" ref="B549" ca="1">[1]!s_dq_close($B$1,$A549,3)</f>
        <v>26.5</v>
      </c>
      <c r="C549" cm="1">
        <f t="array" aca="1" ref="C549" ca="1">[1]!s_dq_volume($B$1,$A549)</f>
        <v>0</v>
      </c>
      <c r="D549" cm="1">
        <f t="array" aca="1" ref="D549" ca="1">[1]!s_dq_amount($B$1,$A549)</f>
        <v>0</v>
      </c>
      <c r="E549" cm="1">
        <f t="array" aca="1" ref="E549" ca="1">[1]!s_dq_turn($B$1,$A549)</f>
        <v>0</v>
      </c>
      <c r="F549" cm="1">
        <f t="array" aca="1" ref="F549" ca="1">[1]!s_val_pe_ttm($B$1,$A549)</f>
        <v>-70.474029541015597</v>
      </c>
    </row>
    <row r="550" spans="1:6">
      <c r="A550" s="23">
        <f t="shared" ca="1" si="8"/>
        <v>45625</v>
      </c>
      <c r="B550" cm="1">
        <f t="array" aca="1" ref="B550" ca="1">[1]!s_dq_close($B$1,$A550,3)</f>
        <v>26.5</v>
      </c>
      <c r="C550" cm="1">
        <f t="array" aca="1" ref="C550" ca="1">[1]!s_dq_volume($B$1,$A550)</f>
        <v>9864611</v>
      </c>
      <c r="D550" cm="1">
        <f t="array" aca="1" ref="D550" ca="1">[1]!s_dq_amount($B$1,$A550)</f>
        <v>262432471</v>
      </c>
      <c r="E550" cm="1">
        <f t="array" aca="1" ref="E550" ca="1">[1]!s_dq_turn($B$1,$A550)</f>
        <v>1.1318313123457899</v>
      </c>
      <c r="F550" cm="1">
        <f t="array" aca="1" ref="F550" ca="1">[1]!s_val_pe_ttm($B$1,$A550)</f>
        <v>-70.474029541015597</v>
      </c>
    </row>
    <row r="551" spans="1:6">
      <c r="A551" s="23">
        <f t="shared" ca="1" si="8"/>
        <v>45624</v>
      </c>
      <c r="B551" cm="1">
        <f t="array" aca="1" ref="B551" ca="1">[1]!s_dq_close($B$1,$A551,3)</f>
        <v>27.85</v>
      </c>
      <c r="C551" cm="1">
        <f t="array" aca="1" ref="C551" ca="1">[1]!s_dq_volume($B$1,$A551)</f>
        <v>2343584</v>
      </c>
      <c r="D551" cm="1">
        <f t="array" aca="1" ref="D551" ca="1">[1]!s_dq_amount($B$1,$A551)</f>
        <v>65777070</v>
      </c>
      <c r="E551" cm="1">
        <f t="array" aca="1" ref="E551" ca="1">[1]!s_dq_turn($B$1,$A551)</f>
        <v>0.26889471407565901</v>
      </c>
      <c r="F551" cm="1">
        <f t="array" aca="1" ref="F551" ca="1">[1]!s_val_pe_ttm($B$1,$A551)</f>
        <v>-74.064216613769503</v>
      </c>
    </row>
    <row r="552" spans="1:6">
      <c r="A552" s="23">
        <f t="shared" ca="1" si="8"/>
        <v>45623</v>
      </c>
      <c r="B552" cm="1">
        <f t="array" aca="1" ref="B552" ca="1">[1]!s_dq_close($B$1,$A552,3)</f>
        <v>28.8</v>
      </c>
      <c r="C552" cm="1">
        <f t="array" aca="1" ref="C552" ca="1">[1]!s_dq_volume($B$1,$A552)</f>
        <v>4310108</v>
      </c>
      <c r="D552" cm="1">
        <f t="array" aca="1" ref="D552" ca="1">[1]!s_dq_amount($B$1,$A552)</f>
        <v>122223997</v>
      </c>
      <c r="E552" cm="1">
        <f t="array" aca="1" ref="E552" ca="1">[1]!s_dq_turn($B$1,$A552)</f>
        <v>0.49452686922901401</v>
      </c>
      <c r="F552" cm="1">
        <f t="array" aca="1" ref="F552" ca="1">[1]!s_val_pe_ttm($B$1,$A552)</f>
        <v>-76.590644836425795</v>
      </c>
    </row>
    <row r="553" spans="1:6">
      <c r="A553" s="23">
        <f t="shared" ca="1" si="8"/>
        <v>45622</v>
      </c>
      <c r="B553" cm="1">
        <f t="array" aca="1" ref="B553" ca="1">[1]!s_dq_close($B$1,$A553,3)</f>
        <v>27.45</v>
      </c>
      <c r="C553" cm="1">
        <f t="array" aca="1" ref="C553" ca="1">[1]!s_dq_volume($B$1,$A553)</f>
        <v>3499500</v>
      </c>
      <c r="D553" cm="1">
        <f t="array" aca="1" ref="D553" ca="1">[1]!s_dq_amount($B$1,$A553)</f>
        <v>96983028</v>
      </c>
      <c r="E553" cm="1">
        <f t="array" aca="1" ref="E553" ca="1">[1]!s_dq_turn($B$1,$A553)</f>
        <v>0.40152051384024101</v>
      </c>
      <c r="F553" cm="1">
        <f t="array" aca="1" ref="F553" ca="1">[1]!s_val_pe_ttm($B$1,$A553)</f>
        <v>-73.000457763671903</v>
      </c>
    </row>
    <row r="554" spans="1:6">
      <c r="A554" s="23">
        <f t="shared" ca="1" si="8"/>
        <v>45621</v>
      </c>
      <c r="B554" cm="1">
        <f t="array" aca="1" ref="B554" ca="1">[1]!s_dq_close($B$1,$A554,3)</f>
        <v>27.1</v>
      </c>
      <c r="C554" cm="1">
        <f t="array" aca="1" ref="C554" ca="1">[1]!s_dq_volume($B$1,$A554)</f>
        <v>2648500</v>
      </c>
      <c r="D554" cm="1">
        <f t="array" aca="1" ref="D554" ca="1">[1]!s_dq_amount($B$1,$A554)</f>
        <v>72756222</v>
      </c>
      <c r="E554" cm="1">
        <f t="array" aca="1" ref="E554" ca="1">[1]!s_dq_turn($B$1,$A554)</f>
        <v>0.30387972021885401</v>
      </c>
      <c r="F554" cm="1">
        <f t="array" aca="1" ref="F554" ca="1">[1]!s_val_pe_ttm($B$1,$A554)</f>
        <v>-72.069671630859403</v>
      </c>
    </row>
    <row r="555" spans="1:6">
      <c r="A555" s="23">
        <f t="shared" ca="1" si="8"/>
        <v>45620</v>
      </c>
      <c r="B555" cm="1">
        <f t="array" aca="1" ref="B555" ca="1">[1]!s_dq_close($B$1,$A555,3)</f>
        <v>27.3</v>
      </c>
      <c r="C555" cm="1">
        <f t="array" aca="1" ref="C555" ca="1">[1]!s_dq_volume($B$1,$A555)</f>
        <v>0</v>
      </c>
      <c r="D555" cm="1">
        <f t="array" aca="1" ref="D555" ca="1">[1]!s_dq_amount($B$1,$A555)</f>
        <v>0</v>
      </c>
      <c r="E555" cm="1">
        <f t="array" aca="1" ref="E555" ca="1">[1]!s_dq_turn($B$1,$A555)</f>
        <v>0</v>
      </c>
      <c r="F555" cm="1">
        <f t="array" aca="1" ref="F555" ca="1">[1]!s_val_pe_ttm($B$1,$A555)</f>
        <v>-72.601554870605497</v>
      </c>
    </row>
    <row r="556" spans="1:6">
      <c r="A556" s="23">
        <f t="shared" ca="1" si="8"/>
        <v>45619</v>
      </c>
      <c r="B556" cm="1">
        <f t="array" aca="1" ref="B556" ca="1">[1]!s_dq_close($B$1,$A556,3)</f>
        <v>27.3</v>
      </c>
      <c r="C556" cm="1">
        <f t="array" aca="1" ref="C556" ca="1">[1]!s_dq_volume($B$1,$A556)</f>
        <v>0</v>
      </c>
      <c r="D556" cm="1">
        <f t="array" aca="1" ref="D556" ca="1">[1]!s_dq_amount($B$1,$A556)</f>
        <v>0</v>
      </c>
      <c r="E556" cm="1">
        <f t="array" aca="1" ref="E556" ca="1">[1]!s_dq_turn($B$1,$A556)</f>
        <v>0</v>
      </c>
      <c r="F556" cm="1">
        <f t="array" aca="1" ref="F556" ca="1">[1]!s_val_pe_ttm($B$1,$A556)</f>
        <v>-72.601554870605497</v>
      </c>
    </row>
    <row r="557" spans="1:6">
      <c r="A557" s="23">
        <f t="shared" ca="1" si="8"/>
        <v>45618</v>
      </c>
      <c r="B557" cm="1">
        <f t="array" aca="1" ref="B557" ca="1">[1]!s_dq_close($B$1,$A557,3)</f>
        <v>27.3</v>
      </c>
      <c r="C557" cm="1">
        <f t="array" aca="1" ref="C557" ca="1">[1]!s_dq_volume($B$1,$A557)</f>
        <v>2956296</v>
      </c>
      <c r="D557" cm="1">
        <f t="array" aca="1" ref="D557" ca="1">[1]!s_dq_amount($B$1,$A557)</f>
        <v>81511506</v>
      </c>
      <c r="E557" cm="1">
        <f t="array" aca="1" ref="E557" ca="1">[1]!s_dq_turn($B$1,$A557)</f>
        <v>0.33919516759075602</v>
      </c>
      <c r="F557" cm="1">
        <f t="array" aca="1" ref="F557" ca="1">[1]!s_val_pe_ttm($B$1,$A557)</f>
        <v>-72.601554870605497</v>
      </c>
    </row>
    <row r="558" spans="1:6">
      <c r="A558" s="23">
        <f t="shared" ca="1" si="8"/>
        <v>45617</v>
      </c>
      <c r="B558" cm="1">
        <f t="array" aca="1" ref="B558" ca="1">[1]!s_dq_close($B$1,$A558,3)</f>
        <v>27.9</v>
      </c>
      <c r="C558" cm="1">
        <f t="array" aca="1" ref="C558" ca="1">[1]!s_dq_volume($B$1,$A558)</f>
        <v>5952076</v>
      </c>
      <c r="D558" cm="1">
        <f t="array" aca="1" ref="D558" ca="1">[1]!s_dq_amount($B$1,$A558)</f>
        <v>167123656</v>
      </c>
      <c r="E558" cm="1">
        <f t="array" aca="1" ref="E558" ca="1">[1]!s_dq_turn($B$1,$A558)</f>
        <v>0.68292059263785299</v>
      </c>
      <c r="F558" cm="1">
        <f t="array" aca="1" ref="F558" ca="1">[1]!s_val_pe_ttm($B$1,$A558)</f>
        <v>-74.197189331054702</v>
      </c>
    </row>
    <row r="559" spans="1:6">
      <c r="A559" s="23">
        <f t="shared" ca="1" si="8"/>
        <v>45616</v>
      </c>
      <c r="B559" cm="1">
        <f t="array" aca="1" ref="B559" ca="1">[1]!s_dq_close($B$1,$A559,3)</f>
        <v>27.9</v>
      </c>
      <c r="C559" cm="1">
        <f t="array" aca="1" ref="C559" ca="1">[1]!s_dq_volume($B$1,$A559)</f>
        <v>8870210</v>
      </c>
      <c r="D559" cm="1">
        <f t="array" aca="1" ref="D559" ca="1">[1]!s_dq_amount($B$1,$A559)</f>
        <v>243402480</v>
      </c>
      <c r="E559" cm="1">
        <f t="array" aca="1" ref="E559" ca="1">[1]!s_dq_turn($B$1,$A559)</f>
        <v>1.0177371844751699</v>
      </c>
      <c r="F559" cm="1">
        <f t="array" aca="1" ref="F559" ca="1">[1]!s_val_pe_ttm($B$1,$A559)</f>
        <v>-74.197189331054702</v>
      </c>
    </row>
    <row r="560" spans="1:6">
      <c r="A560" s="23">
        <f t="shared" ca="1" si="8"/>
        <v>45615</v>
      </c>
      <c r="B560" cm="1">
        <f t="array" aca="1" ref="B560" ca="1">[1]!s_dq_close($B$1,$A560,3)</f>
        <v>26.3</v>
      </c>
      <c r="C560" cm="1">
        <f t="array" aca="1" ref="C560" ca="1">[1]!s_dq_volume($B$1,$A560)</f>
        <v>1631200</v>
      </c>
      <c r="D560" cm="1">
        <f t="array" aca="1" ref="D560" ca="1">[1]!s_dq_amount($B$1,$A560)</f>
        <v>42788842</v>
      </c>
      <c r="E560" cm="1">
        <f t="array" aca="1" ref="E560" ca="1">[1]!s_dq_turn($B$1,$A560)</f>
        <v>0.187158240370396</v>
      </c>
      <c r="F560" cm="1">
        <f t="array" aca="1" ref="F560" ca="1">[1]!s_val_pe_ttm($B$1,$A560)</f>
        <v>-69.942153930664105</v>
      </c>
    </row>
    <row r="561" spans="1:6">
      <c r="A561" s="23">
        <f t="shared" ca="1" si="8"/>
        <v>45614</v>
      </c>
      <c r="B561" cm="1">
        <f t="array" aca="1" ref="B561" ca="1">[1]!s_dq_close($B$1,$A561,3)</f>
        <v>26.35</v>
      </c>
      <c r="C561" cm="1">
        <f t="array" aca="1" ref="C561" ca="1">[1]!s_dq_volume($B$1,$A561)</f>
        <v>2649500</v>
      </c>
      <c r="D561" cm="1">
        <f t="array" aca="1" ref="D561" ca="1">[1]!s_dq_amount($B$1,$A561)</f>
        <v>69642475</v>
      </c>
      <c r="E561" cm="1">
        <f t="array" aca="1" ref="E561" ca="1">[1]!s_dq_turn($B$1,$A561)</f>
        <v>0.30399445675659897</v>
      </c>
      <c r="F561" cm="1">
        <f t="array" aca="1" ref="F561" ca="1">[1]!s_val_pe_ttm($B$1,$A561)</f>
        <v>-70.075126647949205</v>
      </c>
    </row>
    <row r="562" spans="1:6">
      <c r="A562" s="23">
        <f t="shared" ca="1" si="8"/>
        <v>45613</v>
      </c>
      <c r="B562" cm="1">
        <f t="array" aca="1" ref="B562" ca="1">[1]!s_dq_close($B$1,$A562,3)</f>
        <v>26.55</v>
      </c>
      <c r="C562" cm="1">
        <f t="array" aca="1" ref="C562" ca="1">[1]!s_dq_volume($B$1,$A562)</f>
        <v>0</v>
      </c>
      <c r="D562" cm="1">
        <f t="array" aca="1" ref="D562" ca="1">[1]!s_dq_amount($B$1,$A562)</f>
        <v>0</v>
      </c>
      <c r="E562" cm="1">
        <f t="array" aca="1" ref="E562" ca="1">[1]!s_dq_turn($B$1,$A562)</f>
        <v>0</v>
      </c>
      <c r="F562" cm="1">
        <f t="array" aca="1" ref="F562" ca="1">[1]!s_val_pe_ttm($B$1,$A562)</f>
        <v>-70.607002258300795</v>
      </c>
    </row>
    <row r="563" spans="1:6">
      <c r="A563" s="23">
        <f t="shared" ca="1" si="8"/>
        <v>45612</v>
      </c>
      <c r="B563" cm="1">
        <f t="array" aca="1" ref="B563" ca="1">[1]!s_dq_close($B$1,$A563,3)</f>
        <v>26.55</v>
      </c>
      <c r="C563" cm="1">
        <f t="array" aca="1" ref="C563" ca="1">[1]!s_dq_volume($B$1,$A563)</f>
        <v>0</v>
      </c>
      <c r="D563" cm="1">
        <f t="array" aca="1" ref="D563" ca="1">[1]!s_dq_amount($B$1,$A563)</f>
        <v>0</v>
      </c>
      <c r="E563" cm="1">
        <f t="array" aca="1" ref="E563" ca="1">[1]!s_dq_turn($B$1,$A563)</f>
        <v>0</v>
      </c>
      <c r="F563" cm="1">
        <f t="array" aca="1" ref="F563" ca="1">[1]!s_val_pe_ttm($B$1,$A563)</f>
        <v>-70.607002258300795</v>
      </c>
    </row>
    <row r="564" spans="1:6">
      <c r="A564" s="23">
        <f t="shared" ca="1" si="8"/>
        <v>45611</v>
      </c>
      <c r="B564" cm="1">
        <f t="array" aca="1" ref="B564" ca="1">[1]!s_dq_close($B$1,$A564,3)</f>
        <v>26.55</v>
      </c>
      <c r="C564" cm="1">
        <f t="array" aca="1" ref="C564" ca="1">[1]!s_dq_volume($B$1,$A564)</f>
        <v>2233156</v>
      </c>
      <c r="D564" cm="1">
        <f t="array" aca="1" ref="D564" ca="1">[1]!s_dq_amount($B$1,$A564)</f>
        <v>59900646</v>
      </c>
      <c r="E564" cm="1">
        <f t="array" aca="1" ref="E564" ca="1">[1]!s_dq_turn($B$1,$A564)</f>
        <v>0.25622458768550299</v>
      </c>
      <c r="F564" cm="1">
        <f t="array" aca="1" ref="F564" ca="1">[1]!s_val_pe_ttm($B$1,$A564)</f>
        <v>-70.607002258300795</v>
      </c>
    </row>
    <row r="565" spans="1:6">
      <c r="A565" s="23">
        <f t="shared" ca="1" si="8"/>
        <v>45610</v>
      </c>
      <c r="B565" cm="1">
        <f t="array" aca="1" ref="B565" ca="1">[1]!s_dq_close($B$1,$A565,3)</f>
        <v>26.6</v>
      </c>
      <c r="C565" cm="1">
        <f t="array" aca="1" ref="C565" ca="1">[1]!s_dq_volume($B$1,$A565)</f>
        <v>2605719</v>
      </c>
      <c r="D565" cm="1">
        <f t="array" aca="1" ref="D565" ca="1">[1]!s_dq_amount($B$1,$A565)</f>
        <v>69849359</v>
      </c>
      <c r="E565" cm="1">
        <f t="array" aca="1" ref="E565" ca="1">[1]!s_dq_turn($B$1,$A565)</f>
        <v>0.29897117639756499</v>
      </c>
      <c r="F565" cm="1">
        <f t="array" aca="1" ref="F565" ca="1">[1]!s_val_pe_ttm($B$1,$A565)</f>
        <v>-70.739974975585895</v>
      </c>
    </row>
    <row r="566" spans="1:6">
      <c r="A566" s="23">
        <f t="shared" ca="1" si="8"/>
        <v>45609</v>
      </c>
      <c r="B566" cm="1">
        <f t="array" aca="1" ref="B566" ca="1">[1]!s_dq_close($B$1,$A566,3)</f>
        <v>27</v>
      </c>
      <c r="C566" cm="1">
        <f t="array" aca="1" ref="C566" ca="1">[1]!s_dq_volume($B$1,$A566)</f>
        <v>4388500</v>
      </c>
      <c r="D566" cm="1">
        <f t="array" aca="1" ref="D566" ca="1">[1]!s_dq_amount($B$1,$A566)</f>
        <v>118672437</v>
      </c>
      <c r="E566" cm="1">
        <f t="array" aca="1" ref="E566" ca="1">[1]!s_dq_turn($B$1,$A566)</f>
        <v>0.50352129589595596</v>
      </c>
      <c r="F566" cm="1">
        <f t="array" aca="1" ref="F566" ca="1">[1]!s_val_pe_ttm($B$1,$A566)</f>
        <v>-71.803733825683594</v>
      </c>
    </row>
    <row r="567" spans="1:6">
      <c r="A567" s="23">
        <f t="shared" ca="1" si="8"/>
        <v>45608</v>
      </c>
      <c r="B567" cm="1">
        <f t="array" aca="1" ref="B567" ca="1">[1]!s_dq_close($B$1,$A567,3)</f>
        <v>27.7</v>
      </c>
      <c r="C567" cm="1">
        <f t="array" aca="1" ref="C567" ca="1">[1]!s_dq_volume($B$1,$A567)</f>
        <v>5478000</v>
      </c>
      <c r="D567" cm="1">
        <f t="array" aca="1" ref="D567" ca="1">[1]!s_dq_amount($B$1,$A567)</f>
        <v>154286766</v>
      </c>
      <c r="E567" cm="1">
        <f t="array" aca="1" ref="E567" ca="1">[1]!s_dq_turn($B$1,$A567)</f>
        <v>0.62852675376963596</v>
      </c>
      <c r="F567" cm="1">
        <f t="array" aca="1" ref="F567" ca="1">[1]!s_val_pe_ttm($B$1,$A567)</f>
        <v>-73.665313720703097</v>
      </c>
    </row>
    <row r="568" spans="1:6">
      <c r="A568" s="23">
        <f t="shared" ca="1" si="8"/>
        <v>45607</v>
      </c>
      <c r="B568" cm="1">
        <f t="array" aca="1" ref="B568" ca="1">[1]!s_dq_close($B$1,$A568,3)</f>
        <v>27.5</v>
      </c>
      <c r="C568" cm="1">
        <f t="array" aca="1" ref="C568" ca="1">[1]!s_dq_volume($B$1,$A568)</f>
        <v>6287587</v>
      </c>
      <c r="D568" cm="1">
        <f t="array" aca="1" ref="D568" ca="1">[1]!s_dq_amount($B$1,$A568)</f>
        <v>171910627</v>
      </c>
      <c r="E568" cm="1">
        <f t="array" aca="1" ref="E568" ca="1">[1]!s_dq_turn($B$1,$A568)</f>
        <v>0.72141596315337098</v>
      </c>
      <c r="F568" cm="1">
        <f t="array" aca="1" ref="F568" ca="1">[1]!s_val_pe_ttm($B$1,$A568)</f>
        <v>-73.133430480957003</v>
      </c>
    </row>
    <row r="569" spans="1:6">
      <c r="A569" s="23">
        <f t="shared" ca="1" si="8"/>
        <v>45606</v>
      </c>
      <c r="B569" cm="1">
        <f t="array" aca="1" ref="B569" ca="1">[1]!s_dq_close($B$1,$A569,3)</f>
        <v>28.35</v>
      </c>
      <c r="C569" cm="1">
        <f t="array" aca="1" ref="C569" ca="1">[1]!s_dq_volume($B$1,$A569)</f>
        <v>0</v>
      </c>
      <c r="D569" cm="1">
        <f t="array" aca="1" ref="D569" ca="1">[1]!s_dq_amount($B$1,$A569)</f>
        <v>0</v>
      </c>
      <c r="E569" cm="1">
        <f t="array" aca="1" ref="E569" ca="1">[1]!s_dq_turn($B$1,$A569)</f>
        <v>0</v>
      </c>
      <c r="F569" cm="1">
        <f t="array" aca="1" ref="F569" ca="1">[1]!s_val_pe_ttm($B$1,$A569)</f>
        <v>-75.3939208984375</v>
      </c>
    </row>
    <row r="570" spans="1:6">
      <c r="A570" s="23">
        <f t="shared" ca="1" si="8"/>
        <v>45605</v>
      </c>
      <c r="B570" cm="1">
        <f t="array" aca="1" ref="B570" ca="1">[1]!s_dq_close($B$1,$A570,3)</f>
        <v>28.35</v>
      </c>
      <c r="C570" cm="1">
        <f t="array" aca="1" ref="C570" ca="1">[1]!s_dq_volume($B$1,$A570)</f>
        <v>0</v>
      </c>
      <c r="D570" cm="1">
        <f t="array" aca="1" ref="D570" ca="1">[1]!s_dq_amount($B$1,$A570)</f>
        <v>0</v>
      </c>
      <c r="E570" cm="1">
        <f t="array" aca="1" ref="E570" ca="1">[1]!s_dq_turn($B$1,$A570)</f>
        <v>0</v>
      </c>
      <c r="F570" cm="1">
        <f t="array" aca="1" ref="F570" ca="1">[1]!s_val_pe_ttm($B$1,$A570)</f>
        <v>-75.3939208984375</v>
      </c>
    </row>
    <row r="571" spans="1:6">
      <c r="A571" s="23">
        <f t="shared" ca="1" si="8"/>
        <v>45604</v>
      </c>
      <c r="B571" cm="1">
        <f t="array" aca="1" ref="B571" ca="1">[1]!s_dq_close($B$1,$A571,3)</f>
        <v>28.35</v>
      </c>
      <c r="C571" cm="1">
        <f t="array" aca="1" ref="C571" ca="1">[1]!s_dq_volume($B$1,$A571)</f>
        <v>5292263</v>
      </c>
      <c r="D571" cm="1">
        <f t="array" aca="1" ref="D571" ca="1">[1]!s_dq_amount($B$1,$A571)</f>
        <v>150833539</v>
      </c>
      <c r="E571" cm="1">
        <f t="array" aca="1" ref="E571" ca="1">[1]!s_dq_turn($B$1,$A571)</f>
        <v>0.60721593345840696</v>
      </c>
      <c r="F571" cm="1">
        <f t="array" aca="1" ref="F571" ca="1">[1]!s_val_pe_ttm($B$1,$A571)</f>
        <v>-75.3939208984375</v>
      </c>
    </row>
    <row r="572" spans="1:6">
      <c r="A572" s="23">
        <f t="shared" ca="1" si="8"/>
        <v>45603</v>
      </c>
      <c r="B572" cm="1">
        <f t="array" aca="1" ref="B572" ca="1">[1]!s_dq_close($B$1,$A572,3)</f>
        <v>28.7</v>
      </c>
      <c r="C572" cm="1">
        <f t="array" aca="1" ref="C572" ca="1">[1]!s_dq_volume($B$1,$A572)</f>
        <v>5868784</v>
      </c>
      <c r="D572" cm="1">
        <f t="array" aca="1" ref="D572" ca="1">[1]!s_dq_amount($B$1,$A572)</f>
        <v>166695417</v>
      </c>
      <c r="E572" cm="1">
        <f t="array" aca="1" ref="E572" ca="1">[1]!s_dq_turn($B$1,$A572)</f>
        <v>0.67336395693595796</v>
      </c>
      <c r="F572" cm="1">
        <f t="array" aca="1" ref="F572" ca="1">[1]!s_val_pe_ttm($B$1,$A572)</f>
        <v>-76.32470703125</v>
      </c>
    </row>
    <row r="573" spans="1:6">
      <c r="A573" s="23">
        <f t="shared" ca="1" si="8"/>
        <v>45602</v>
      </c>
      <c r="B573" cm="1">
        <f t="array" aca="1" ref="B573" ca="1">[1]!s_dq_close($B$1,$A573,3)</f>
        <v>29.1</v>
      </c>
      <c r="C573" cm="1">
        <f t="array" aca="1" ref="C573" ca="1">[1]!s_dq_volume($B$1,$A573)</f>
        <v>3948583</v>
      </c>
      <c r="D573" cm="1">
        <f t="array" aca="1" ref="D573" ca="1">[1]!s_dq_amount($B$1,$A573)</f>
        <v>114688145</v>
      </c>
      <c r="E573" cm="1">
        <f t="array" aca="1" ref="E573" ca="1">[1]!s_dq_turn($B$1,$A573)</f>
        <v>0.45304674242058601</v>
      </c>
      <c r="F573" cm="1">
        <f t="array" aca="1" ref="F573" ca="1">[1]!s_val_pe_ttm($B$1,$A573)</f>
        <v>-77.388465881347699</v>
      </c>
    </row>
    <row r="574" spans="1:6">
      <c r="A574" s="23">
        <f t="shared" ca="1" si="8"/>
        <v>45601</v>
      </c>
      <c r="B574" cm="1">
        <f t="array" aca="1" ref="B574" ca="1">[1]!s_dq_close($B$1,$A574,3)</f>
        <v>29.25</v>
      </c>
      <c r="C574" cm="1">
        <f t="array" aca="1" ref="C574" ca="1">[1]!s_dq_volume($B$1,$A574)</f>
        <v>4372000</v>
      </c>
      <c r="D574" cm="1">
        <f t="array" aca="1" ref="D574" ca="1">[1]!s_dq_amount($B$1,$A574)</f>
        <v>126942041</v>
      </c>
      <c r="E574" cm="1">
        <f t="array" aca="1" ref="E574" ca="1">[1]!s_dq_turn($B$1,$A574)</f>
        <v>0.50162814302315595</v>
      </c>
      <c r="F574" cm="1">
        <f t="array" aca="1" ref="F574" ca="1">[1]!s_val_pe_ttm($B$1,$A574)</f>
        <v>-77.787376403808594</v>
      </c>
    </row>
    <row r="575" spans="1:6">
      <c r="A575" s="23">
        <f t="shared" ca="1" si="8"/>
        <v>45600</v>
      </c>
      <c r="B575" cm="1">
        <f t="array" aca="1" ref="B575" ca="1">[1]!s_dq_close($B$1,$A575,3)</f>
        <v>29.15</v>
      </c>
      <c r="C575" cm="1">
        <f t="array" aca="1" ref="C575" ca="1">[1]!s_dq_volume($B$1,$A575)</f>
        <v>1623133</v>
      </c>
      <c r="D575" cm="1">
        <f t="array" aca="1" ref="D575" ca="1">[1]!s_dq_amount($B$1,$A575)</f>
        <v>47567801</v>
      </c>
      <c r="E575" cm="1">
        <f t="array" aca="1" ref="E575" ca="1">[1]!s_dq_turn($B$1,$A575)</f>
        <v>0.18623266072040401</v>
      </c>
      <c r="F575" cm="1">
        <f t="array" aca="1" ref="F575" ca="1">[1]!s_val_pe_ttm($B$1,$A575)</f>
        <v>-77.521438598632798</v>
      </c>
    </row>
    <row r="576" spans="1:6">
      <c r="A576" s="23">
        <f t="shared" ca="1" si="8"/>
        <v>45599</v>
      </c>
      <c r="B576" cm="1">
        <f t="array" aca="1" ref="B576" ca="1">[1]!s_dq_close($B$1,$A576,3)</f>
        <v>29.25</v>
      </c>
      <c r="C576" cm="1">
        <f t="array" aca="1" ref="C576" ca="1">[1]!s_dq_volume($B$1,$A576)</f>
        <v>0</v>
      </c>
      <c r="D576" cm="1">
        <f t="array" aca="1" ref="D576" ca="1">[1]!s_dq_amount($B$1,$A576)</f>
        <v>0</v>
      </c>
      <c r="E576" cm="1">
        <f t="array" aca="1" ref="E576" ca="1">[1]!s_dq_turn($B$1,$A576)</f>
        <v>0</v>
      </c>
      <c r="F576" cm="1">
        <f t="array" aca="1" ref="F576" ca="1">[1]!s_val_pe_ttm($B$1,$A576)</f>
        <v>-77.787376403808594</v>
      </c>
    </row>
    <row r="577" spans="1:6">
      <c r="A577" s="23">
        <f t="shared" ca="1" si="8"/>
        <v>45598</v>
      </c>
      <c r="B577" cm="1">
        <f t="array" aca="1" ref="B577" ca="1">[1]!s_dq_close($B$1,$A577,3)</f>
        <v>29.25</v>
      </c>
      <c r="C577" cm="1">
        <f t="array" aca="1" ref="C577" ca="1">[1]!s_dq_volume($B$1,$A577)</f>
        <v>0</v>
      </c>
      <c r="D577" cm="1">
        <f t="array" aca="1" ref="D577" ca="1">[1]!s_dq_amount($B$1,$A577)</f>
        <v>0</v>
      </c>
      <c r="E577" cm="1">
        <f t="array" aca="1" ref="E577" ca="1">[1]!s_dq_turn($B$1,$A577)</f>
        <v>0</v>
      </c>
      <c r="F577" cm="1">
        <f t="array" aca="1" ref="F577" ca="1">[1]!s_val_pe_ttm($B$1,$A577)</f>
        <v>-77.787376403808594</v>
      </c>
    </row>
    <row r="578" spans="1:6">
      <c r="A578" s="23">
        <f t="shared" ca="1" si="8"/>
        <v>45597</v>
      </c>
      <c r="B578" cm="1">
        <f t="array" aca="1" ref="B578" ca="1">[1]!s_dq_close($B$1,$A578,3)</f>
        <v>29.25</v>
      </c>
      <c r="C578" cm="1">
        <f t="array" aca="1" ref="C578" ca="1">[1]!s_dq_volume($B$1,$A578)</f>
        <v>3503000</v>
      </c>
      <c r="D578" cm="1">
        <f t="array" aca="1" ref="D578" ca="1">[1]!s_dq_amount($B$1,$A578)</f>
        <v>101798200</v>
      </c>
      <c r="E578" cm="1">
        <f t="array" aca="1" ref="E578" ca="1">[1]!s_dq_turn($B$1,$A578)</f>
        <v>0.40192209172234999</v>
      </c>
      <c r="F578" cm="1">
        <f t="array" aca="1" ref="F578" ca="1">[1]!s_val_pe_ttm($B$1,$A578)</f>
        <v>-77.779144287109403</v>
      </c>
    </row>
    <row r="579" spans="1:6">
      <c r="A579" s="23">
        <f t="shared" ca="1" si="8"/>
        <v>45596</v>
      </c>
      <c r="B579" cm="1">
        <f t="array" aca="1" ref="B579" ca="1">[1]!s_dq_close($B$1,$A579,3)</f>
        <v>28.4</v>
      </c>
      <c r="C579" cm="1">
        <f t="array" aca="1" ref="C579" ca="1">[1]!s_dq_volume($B$1,$A579)</f>
        <v>4353500</v>
      </c>
      <c r="D579" cm="1">
        <f t="array" aca="1" ref="D579" ca="1">[1]!s_dq_amount($B$1,$A579)</f>
        <v>125977587</v>
      </c>
      <c r="E579" cm="1">
        <f t="array" aca="1" ref="E579" ca="1">[1]!s_dq_turn($B$1,$A579)</f>
        <v>0.49950551707486501</v>
      </c>
      <c r="F579" cm="1">
        <f t="array" aca="1" ref="F579" ca="1">[1]!s_val_pe_ttm($B$1,$A579)</f>
        <v>-75.518898010253906</v>
      </c>
    </row>
    <row r="580" spans="1:6">
      <c r="A580" s="23">
        <f t="shared" ca="1" si="8"/>
        <v>45595</v>
      </c>
      <c r="B580" cm="1">
        <f t="array" aca="1" ref="B580" ca="1">[1]!s_dq_close($B$1,$A580,3)</f>
        <v>29.9</v>
      </c>
      <c r="C580" cm="1">
        <f t="array" aca="1" ref="C580" ca="1">[1]!s_dq_volume($B$1,$A580)</f>
        <v>4033000</v>
      </c>
      <c r="D580" cm="1">
        <f t="array" aca="1" ref="D580" ca="1">[1]!s_dq_amount($B$1,$A580)</f>
        <v>120891687</v>
      </c>
      <c r="E580" cm="1">
        <f t="array" aca="1" ref="E580" ca="1">[1]!s_dq_turn($B$1,$A580)</f>
        <v>0.46278142630130598</v>
      </c>
      <c r="F580" cm="1">
        <f t="array" aca="1" ref="F580" ca="1">[1]!s_val_pe_ttm($B$1,$A580)</f>
        <v>-79.507568359375</v>
      </c>
    </row>
    <row r="581" spans="1:6">
      <c r="A581" s="23">
        <f t="shared" ca="1" si="8"/>
        <v>45594</v>
      </c>
      <c r="B581" cm="1">
        <f t="array" aca="1" ref="B581" ca="1">[1]!s_dq_close($B$1,$A581,3)</f>
        <v>31</v>
      </c>
      <c r="C581" cm="1">
        <f t="array" aca="1" ref="C581" ca="1">[1]!s_dq_volume($B$1,$A581)</f>
        <v>6038000</v>
      </c>
      <c r="D581" cm="1">
        <f t="array" aca="1" ref="D581" ca="1">[1]!s_dq_amount($B$1,$A581)</f>
        <v>189817160</v>
      </c>
      <c r="E581" cm="1">
        <f t="array" aca="1" ref="E581" ca="1">[1]!s_dq_turn($B$1,$A581)</f>
        <v>0.692852529632355</v>
      </c>
      <c r="F581" cm="1">
        <f t="array" aca="1" ref="F581" ca="1">[1]!s_val_pe_ttm($B$1,$A581)</f>
        <v>-82.432601928710895</v>
      </c>
    </row>
    <row r="582" spans="1:6">
      <c r="A582" s="23">
        <f t="shared" ca="1" si="8"/>
        <v>45593</v>
      </c>
      <c r="B582" cm="1">
        <f t="array" aca="1" ref="B582" ca="1">[1]!s_dq_close($B$1,$A582,3)</f>
        <v>32.549999999999997</v>
      </c>
      <c r="C582" cm="1">
        <f t="array" aca="1" ref="C582" ca="1">[1]!s_dq_volume($B$1,$A582)</f>
        <v>2519000</v>
      </c>
      <c r="D582" cm="1">
        <f t="array" aca="1" ref="D582" ca="1">[1]!s_dq_amount($B$1,$A582)</f>
        <v>82489000</v>
      </c>
      <c r="E582" cm="1">
        <f t="array" aca="1" ref="E582" ca="1">[1]!s_dq_turn($B$1,$A582)</f>
        <v>0.289051924833372</v>
      </c>
      <c r="F582" cm="1">
        <f t="array" aca="1" ref="F582" ca="1">[1]!s_val_pe_ttm($B$1,$A582)</f>
        <v>-86.554229736328097</v>
      </c>
    </row>
    <row r="583" spans="1:6">
      <c r="A583" s="23">
        <f t="shared" ca="1" si="8"/>
        <v>45592</v>
      </c>
      <c r="B583" cm="1">
        <f t="array" aca="1" ref="B583" ca="1">[1]!s_dq_close($B$1,$A583,3)</f>
        <v>32.950000000000003</v>
      </c>
      <c r="C583" cm="1">
        <f t="array" aca="1" ref="C583" ca="1">[1]!s_dq_volume($B$1,$A583)</f>
        <v>0</v>
      </c>
      <c r="D583" cm="1">
        <f t="array" aca="1" ref="D583" ca="1">[1]!s_dq_amount($B$1,$A583)</f>
        <v>0</v>
      </c>
      <c r="E583" cm="1">
        <f t="array" aca="1" ref="E583" ca="1">[1]!s_dq_turn($B$1,$A583)</f>
        <v>0</v>
      </c>
      <c r="F583" cm="1">
        <f t="array" aca="1" ref="F583" ca="1">[1]!s_val_pe_ttm($B$1,$A583)</f>
        <v>-87.617874145507798</v>
      </c>
    </row>
    <row r="584" spans="1:6">
      <c r="A584" s="23">
        <f t="shared" ca="1" si="8"/>
        <v>45591</v>
      </c>
      <c r="B584" cm="1">
        <f t="array" aca="1" ref="B584" ca="1">[1]!s_dq_close($B$1,$A584,3)</f>
        <v>32.950000000000003</v>
      </c>
      <c r="C584" cm="1">
        <f t="array" aca="1" ref="C584" ca="1">[1]!s_dq_volume($B$1,$A584)</f>
        <v>0</v>
      </c>
      <c r="D584" cm="1">
        <f t="array" aca="1" ref="D584" ca="1">[1]!s_dq_amount($B$1,$A584)</f>
        <v>0</v>
      </c>
      <c r="E584" cm="1">
        <f t="array" aca="1" ref="E584" ca="1">[1]!s_dq_turn($B$1,$A584)</f>
        <v>0</v>
      </c>
      <c r="F584" cm="1">
        <f t="array" aca="1" ref="F584" ca="1">[1]!s_val_pe_ttm($B$1,$A584)</f>
        <v>-87.617874145507798</v>
      </c>
    </row>
    <row r="585" spans="1:6">
      <c r="A585" s="23">
        <f t="shared" ca="1" si="8"/>
        <v>45590</v>
      </c>
      <c r="B585" cm="1">
        <f t="array" aca="1" ref="B585" ca="1">[1]!s_dq_close($B$1,$A585,3)</f>
        <v>32.950000000000003</v>
      </c>
      <c r="C585" cm="1">
        <f t="array" aca="1" ref="C585" ca="1">[1]!s_dq_volume($B$1,$A585)</f>
        <v>1960000</v>
      </c>
      <c r="D585" cm="1">
        <f t="array" aca="1" ref="D585" ca="1">[1]!s_dq_amount($B$1,$A585)</f>
        <v>64370490</v>
      </c>
      <c r="E585" cm="1">
        <f t="array" aca="1" ref="E585" ca="1">[1]!s_dq_turn($B$1,$A585)</f>
        <v>0.22490741273259601</v>
      </c>
      <c r="F585" cm="1">
        <f t="array" aca="1" ref="F585" ca="1">[1]!s_val_pe_ttm($B$1,$A585)</f>
        <v>-87.617874145507798</v>
      </c>
    </row>
    <row r="586" spans="1:6">
      <c r="A586" s="23">
        <f t="shared" ca="1" si="8"/>
        <v>45589</v>
      </c>
      <c r="B586" cm="1">
        <f t="array" aca="1" ref="B586" ca="1">[1]!s_dq_close($B$1,$A586,3)</f>
        <v>32.5</v>
      </c>
      <c r="C586" cm="1">
        <f t="array" aca="1" ref="C586" ca="1">[1]!s_dq_volume($B$1,$A586)</f>
        <v>3740320</v>
      </c>
      <c r="D586" cm="1">
        <f t="array" aca="1" ref="D586" ca="1">[1]!s_dq_amount($B$1,$A586)</f>
        <v>122484042</v>
      </c>
      <c r="E586" cm="1">
        <f t="array" aca="1" ref="E586" ca="1">[1]!s_dq_turn($B$1,$A586)</f>
        <v>0.42919678264897099</v>
      </c>
      <c r="F586" cm="1">
        <f t="array" aca="1" ref="F586" ca="1">[1]!s_val_pe_ttm($B$1,$A586)</f>
        <v>-86.421272277832003</v>
      </c>
    </row>
    <row r="587" spans="1:6">
      <c r="A587" s="23">
        <f t="shared" ca="1" si="8"/>
        <v>45588</v>
      </c>
      <c r="B587" cm="1">
        <f t="array" aca="1" ref="B587" ca="1">[1]!s_dq_close($B$1,$A587,3)</f>
        <v>33.75</v>
      </c>
      <c r="C587" cm="1">
        <f t="array" aca="1" ref="C587" ca="1">[1]!s_dq_volume($B$1,$A587)</f>
        <v>3130678</v>
      </c>
      <c r="D587" cm="1">
        <f t="array" aca="1" ref="D587" ca="1">[1]!s_dq_amount($B$1,$A587)</f>
        <v>105737665</v>
      </c>
      <c r="E587" cm="1">
        <f t="array" aca="1" ref="E587" ca="1">[1]!s_dq_turn($B$1,$A587)</f>
        <v>0.35924116789737698</v>
      </c>
      <c r="F587" cm="1">
        <f t="array" aca="1" ref="F587" ca="1">[1]!s_val_pe_ttm($B$1,$A587)</f>
        <v>-89.745170593261705</v>
      </c>
    </row>
    <row r="588" spans="1:6">
      <c r="A588" s="23">
        <f t="shared" ca="1" si="8"/>
        <v>45587</v>
      </c>
      <c r="B588" cm="1">
        <f t="array" aca="1" ref="B588" ca="1">[1]!s_dq_close($B$1,$A588,3)</f>
        <v>33.25</v>
      </c>
      <c r="C588" cm="1">
        <f t="array" aca="1" ref="C588" ca="1">[1]!s_dq_volume($B$1,$A588)</f>
        <v>2390636</v>
      </c>
      <c r="D588" cm="1">
        <f t="array" aca="1" ref="D588" ca="1">[1]!s_dq_amount($B$1,$A588)</f>
        <v>79500229</v>
      </c>
      <c r="E588" cm="1">
        <f t="array" aca="1" ref="E588" ca="1">[1]!s_dq_turn($B$1,$A588)</f>
        <v>0.274322325278267</v>
      </c>
      <c r="F588" cm="1">
        <f t="array" aca="1" ref="F588" ca="1">[1]!s_val_pe_ttm($B$1,$A588)</f>
        <v>-88.415611267089801</v>
      </c>
    </row>
    <row r="589" spans="1:6">
      <c r="A589" s="23">
        <f t="shared" ref="A589:A652" ca="1" si="9">A588-1</f>
        <v>45586</v>
      </c>
      <c r="B589" cm="1">
        <f t="array" aca="1" ref="B589" ca="1">[1]!s_dq_close($B$1,$A589,3)</f>
        <v>32.9</v>
      </c>
      <c r="C589" cm="1">
        <f t="array" aca="1" ref="C589" ca="1">[1]!s_dq_volume($B$1,$A589)</f>
        <v>4197480</v>
      </c>
      <c r="D589" cm="1">
        <f t="array" aca="1" ref="D589" ca="1">[1]!s_dq_amount($B$1,$A589)</f>
        <v>139822326</v>
      </c>
      <c r="E589" cm="1">
        <f t="array" aca="1" ref="E589" ca="1">[1]!s_dq_turn($B$1,$A589)</f>
        <v>0.48165528918204997</v>
      </c>
      <c r="F589" cm="1">
        <f t="array" aca="1" ref="F589" ca="1">[1]!s_val_pe_ttm($B$1,$A589)</f>
        <v>-87.484916687011705</v>
      </c>
    </row>
    <row r="590" spans="1:6">
      <c r="A590" s="23">
        <f t="shared" ca="1" si="9"/>
        <v>45585</v>
      </c>
      <c r="B590" cm="1">
        <f t="array" aca="1" ref="B590" ca="1">[1]!s_dq_close($B$1,$A590,3)</f>
        <v>33.049999999999997</v>
      </c>
      <c r="C590" cm="1">
        <f t="array" aca="1" ref="C590" ca="1">[1]!s_dq_volume($B$1,$A590)</f>
        <v>0</v>
      </c>
      <c r="D590" cm="1">
        <f t="array" aca="1" ref="D590" ca="1">[1]!s_dq_amount($B$1,$A590)</f>
        <v>0</v>
      </c>
      <c r="E590" cm="1">
        <f t="array" aca="1" ref="E590" ca="1">[1]!s_dq_turn($B$1,$A590)</f>
        <v>0</v>
      </c>
      <c r="F590" cm="1">
        <f t="array" aca="1" ref="F590" ca="1">[1]!s_val_pe_ttm($B$1,$A590)</f>
        <v>-87.8837890625</v>
      </c>
    </row>
    <row r="591" spans="1:6">
      <c r="A591" s="23">
        <f t="shared" ca="1" si="9"/>
        <v>45584</v>
      </c>
      <c r="B591" cm="1">
        <f t="array" aca="1" ref="B591" ca="1">[1]!s_dq_close($B$1,$A591,3)</f>
        <v>33.049999999999997</v>
      </c>
      <c r="C591" cm="1">
        <f t="array" aca="1" ref="C591" ca="1">[1]!s_dq_volume($B$1,$A591)</f>
        <v>0</v>
      </c>
      <c r="D591" cm="1">
        <f t="array" aca="1" ref="D591" ca="1">[1]!s_dq_amount($B$1,$A591)</f>
        <v>0</v>
      </c>
      <c r="E591" cm="1">
        <f t="array" aca="1" ref="E591" ca="1">[1]!s_dq_turn($B$1,$A591)</f>
        <v>0</v>
      </c>
      <c r="F591" cm="1">
        <f t="array" aca="1" ref="F591" ca="1">[1]!s_val_pe_ttm($B$1,$A591)</f>
        <v>-87.8837890625</v>
      </c>
    </row>
    <row r="592" spans="1:6">
      <c r="A592" s="23">
        <f t="shared" ca="1" si="9"/>
        <v>45583</v>
      </c>
      <c r="B592" cm="1">
        <f t="array" aca="1" ref="B592" ca="1">[1]!s_dq_close($B$1,$A592,3)</f>
        <v>33.049999999999997</v>
      </c>
      <c r="C592" cm="1">
        <f t="array" aca="1" ref="C592" ca="1">[1]!s_dq_volume($B$1,$A592)</f>
        <v>5159570</v>
      </c>
      <c r="D592" cm="1">
        <f t="array" aca="1" ref="D592" ca="1">[1]!s_dq_amount($B$1,$A592)</f>
        <v>168087657</v>
      </c>
      <c r="E592" cm="1">
        <f t="array" aca="1" ref="E592" ca="1">[1]!s_dq_turn($B$1,$A592)</f>
        <v>0.59205384669016403</v>
      </c>
      <c r="F592" cm="1">
        <f t="array" aca="1" ref="F592" ca="1">[1]!s_val_pe_ttm($B$1,$A592)</f>
        <v>-87.8837890625</v>
      </c>
    </row>
    <row r="593" spans="1:6">
      <c r="A593" s="23">
        <f t="shared" ca="1" si="9"/>
        <v>45582</v>
      </c>
      <c r="B593" cm="1">
        <f t="array" aca="1" ref="B593" ca="1">[1]!s_dq_close($B$1,$A593,3)</f>
        <v>30.8</v>
      </c>
      <c r="C593" cm="1">
        <f t="array" aca="1" ref="C593" ca="1">[1]!s_dq_volume($B$1,$A593)</f>
        <v>6773712</v>
      </c>
      <c r="D593" cm="1">
        <f t="array" aca="1" ref="D593" ca="1">[1]!s_dq_amount($B$1,$A593)</f>
        <v>215270760</v>
      </c>
      <c r="E593" cm="1">
        <f t="array" aca="1" ref="E593" ca="1">[1]!s_dq_turn($B$1,$A593)</f>
        <v>0.77727451046721396</v>
      </c>
      <c r="F593" cm="1">
        <f t="array" aca="1" ref="F593" ca="1">[1]!s_val_pe_ttm($B$1,$A593)</f>
        <v>-81.900772094726605</v>
      </c>
    </row>
    <row r="594" spans="1:6">
      <c r="A594" s="23">
        <f t="shared" ca="1" si="9"/>
        <v>45581</v>
      </c>
      <c r="B594" cm="1">
        <f t="array" aca="1" ref="B594" ca="1">[1]!s_dq_close($B$1,$A594,3)</f>
        <v>30.4</v>
      </c>
      <c r="C594" cm="1">
        <f t="array" aca="1" ref="C594" ca="1">[1]!s_dq_volume($B$1,$A594)</f>
        <v>3825165</v>
      </c>
      <c r="D594" cm="1">
        <f t="array" aca="1" ref="D594" ca="1">[1]!s_dq_amount($B$1,$A594)</f>
        <v>115846254</v>
      </c>
      <c r="E594" cm="1">
        <f t="array" aca="1" ref="E594" ca="1">[1]!s_dq_turn($B$1,$A594)</f>
        <v>0.438932634400654</v>
      </c>
      <c r="F594" cm="1">
        <f t="array" aca="1" ref="F594" ca="1">[1]!s_val_pe_ttm($B$1,$A594)</f>
        <v>-80.837127685546903</v>
      </c>
    </row>
    <row r="595" spans="1:6">
      <c r="A595" s="23">
        <f t="shared" ca="1" si="9"/>
        <v>45580</v>
      </c>
      <c r="B595" cm="1">
        <f t="array" aca="1" ref="B595" ca="1">[1]!s_dq_close($B$1,$A595,3)</f>
        <v>30</v>
      </c>
      <c r="C595" cm="1">
        <f t="array" aca="1" ref="C595" ca="1">[1]!s_dq_volume($B$1,$A595)</f>
        <v>3564849</v>
      </c>
      <c r="D595" cm="1">
        <f t="array" aca="1" ref="D595" ca="1">[1]!s_dq_amount($B$1,$A595)</f>
        <v>108006715</v>
      </c>
      <c r="E595" cm="1">
        <f t="array" aca="1" ref="E595" ca="1">[1]!s_dq_turn($B$1,$A595)</f>
        <v>0.409061717026726</v>
      </c>
      <c r="F595" cm="1">
        <f t="array" aca="1" ref="F595" ca="1">[1]!s_val_pe_ttm($B$1,$A595)</f>
        <v>-79.773483276367202</v>
      </c>
    </row>
    <row r="596" spans="1:6">
      <c r="A596" s="23">
        <f t="shared" ca="1" si="9"/>
        <v>45579</v>
      </c>
      <c r="B596" cm="1">
        <f t="array" aca="1" ref="B596" ca="1">[1]!s_dq_close($B$1,$A596,3)</f>
        <v>30.65</v>
      </c>
      <c r="C596" cm="1">
        <f t="array" aca="1" ref="C596" ca="1">[1]!s_dq_volume($B$1,$A596)</f>
        <v>4130959</v>
      </c>
      <c r="D596" cm="1">
        <f t="array" aca="1" ref="D596" ca="1">[1]!s_dq_amount($B$1,$A596)</f>
        <v>125135684</v>
      </c>
      <c r="E596" cm="1">
        <f t="array" aca="1" ref="E596" ca="1">[1]!s_dq_turn($B$1,$A596)</f>
        <v>0.47402209224205699</v>
      </c>
      <c r="F596" cm="1">
        <f t="array" aca="1" ref="F596" ca="1">[1]!s_val_pe_ttm($B$1,$A596)</f>
        <v>-81.501907348632798</v>
      </c>
    </row>
    <row r="597" spans="1:6">
      <c r="A597" s="23">
        <f t="shared" ca="1" si="9"/>
        <v>45578</v>
      </c>
      <c r="B597" cm="1">
        <f t="array" aca="1" ref="B597" ca="1">[1]!s_dq_close($B$1,$A597,3)</f>
        <v>31.35</v>
      </c>
      <c r="C597" cm="1">
        <f t="array" aca="1" ref="C597" ca="1">[1]!s_dq_volume($B$1,$A597)</f>
        <v>0</v>
      </c>
      <c r="D597" cm="1">
        <f t="array" aca="1" ref="D597" ca="1">[1]!s_dq_amount($B$1,$A597)</f>
        <v>0</v>
      </c>
      <c r="E597" cm="1">
        <f t="array" aca="1" ref="E597" ca="1">[1]!s_dq_turn($B$1,$A597)</f>
        <v>0</v>
      </c>
      <c r="F597" cm="1">
        <f t="array" aca="1" ref="F597" ca="1">[1]!s_val_pe_ttm($B$1,$A597)</f>
        <v>-83.363288879394503</v>
      </c>
    </row>
    <row r="598" spans="1:6">
      <c r="A598" s="23">
        <f t="shared" ca="1" si="9"/>
        <v>45577</v>
      </c>
      <c r="B598" cm="1">
        <f t="array" aca="1" ref="B598" ca="1">[1]!s_dq_close($B$1,$A598,3)</f>
        <v>31.35</v>
      </c>
      <c r="C598" cm="1">
        <f t="array" aca="1" ref="C598" ca="1">[1]!s_dq_volume($B$1,$A598)</f>
        <v>0</v>
      </c>
      <c r="D598" cm="1">
        <f t="array" aca="1" ref="D598" ca="1">[1]!s_dq_amount($B$1,$A598)</f>
        <v>0</v>
      </c>
      <c r="E598" cm="1">
        <f t="array" aca="1" ref="E598" ca="1">[1]!s_dq_turn($B$1,$A598)</f>
        <v>0</v>
      </c>
      <c r="F598" cm="1">
        <f t="array" aca="1" ref="F598" ca="1">[1]!s_val_pe_ttm($B$1,$A598)</f>
        <v>-83.363288879394503</v>
      </c>
    </row>
    <row r="599" spans="1:6">
      <c r="A599" s="23">
        <f t="shared" ca="1" si="9"/>
        <v>45576</v>
      </c>
      <c r="B599" cm="1">
        <f t="array" aca="1" ref="B599" ca="1">[1]!s_dq_close($B$1,$A599,3)</f>
        <v>31.35</v>
      </c>
      <c r="C599" cm="1">
        <f t="array" aca="1" ref="C599" ca="1">[1]!s_dq_volume($B$1,$A599)</f>
        <v>0</v>
      </c>
      <c r="D599" cm="1">
        <f t="array" aca="1" ref="D599" ca="1">[1]!s_dq_amount($B$1,$A599)</f>
        <v>0</v>
      </c>
      <c r="E599" cm="1">
        <f t="array" aca="1" ref="E599" ca="1">[1]!s_dq_turn($B$1,$A599)</f>
        <v>0</v>
      </c>
      <c r="F599" cm="1">
        <f t="array" aca="1" ref="F599" ca="1">[1]!s_val_pe_ttm($B$1,$A599)</f>
        <v>-83.363288879394503</v>
      </c>
    </row>
    <row r="600" spans="1:6">
      <c r="A600" s="23">
        <f t="shared" ca="1" si="9"/>
        <v>45575</v>
      </c>
      <c r="B600" cm="1">
        <f t="array" aca="1" ref="B600" ca="1">[1]!s_dq_close($B$1,$A600,3)</f>
        <v>31.35</v>
      </c>
      <c r="C600" cm="1">
        <f t="array" aca="1" ref="C600" ca="1">[1]!s_dq_volume($B$1,$A600)</f>
        <v>5395140</v>
      </c>
      <c r="D600" cm="1">
        <f t="array" aca="1" ref="D600" ca="1">[1]!s_dq_amount($B$1,$A600)</f>
        <v>171725102</v>
      </c>
      <c r="E600" cm="1">
        <f t="array" aca="1" ref="E600" ca="1">[1]!s_dq_turn($B$1,$A600)</f>
        <v>0.61908519322966304</v>
      </c>
      <c r="F600" cm="1">
        <f t="array" aca="1" ref="F600" ca="1">[1]!s_val_pe_ttm($B$1,$A600)</f>
        <v>-83.363288879394503</v>
      </c>
    </row>
    <row r="601" spans="1:6">
      <c r="A601" s="23">
        <f t="shared" ca="1" si="9"/>
        <v>45574</v>
      </c>
      <c r="B601" cm="1">
        <f t="array" aca="1" ref="B601" ca="1">[1]!s_dq_close($B$1,$A601,3)</f>
        <v>30.65</v>
      </c>
      <c r="C601" cm="1">
        <f t="array" aca="1" ref="C601" ca="1">[1]!s_dq_volume($B$1,$A601)</f>
        <v>7199307</v>
      </c>
      <c r="D601" cm="1">
        <f t="array" aca="1" ref="D601" ca="1">[1]!s_dq_amount($B$1,$A601)</f>
        <v>223153873</v>
      </c>
      <c r="E601" cm="1">
        <f t="array" aca="1" ref="E601" ca="1">[1]!s_dq_turn($B$1,$A601)</f>
        <v>0.826110974917178</v>
      </c>
      <c r="F601" cm="1">
        <f t="array" aca="1" ref="F601" ca="1">[1]!s_val_pe_ttm($B$1,$A601)</f>
        <v>-81.501907348632798</v>
      </c>
    </row>
    <row r="602" spans="1:6">
      <c r="A602" s="23">
        <f t="shared" ca="1" si="9"/>
        <v>45573</v>
      </c>
      <c r="B602" cm="1">
        <f t="array" aca="1" ref="B602" ca="1">[1]!s_dq_close($B$1,$A602,3)</f>
        <v>31.35</v>
      </c>
      <c r="C602" cm="1">
        <f t="array" aca="1" ref="C602" ca="1">[1]!s_dq_volume($B$1,$A602)</f>
        <v>8157357</v>
      </c>
      <c r="D602" cm="1">
        <f t="array" aca="1" ref="D602" ca="1">[1]!s_dq_amount($B$1,$A602)</f>
        <v>259435707</v>
      </c>
      <c r="E602" cm="1">
        <f t="array" aca="1" ref="E602" ca="1">[1]!s_dq_turn($B$1,$A602)</f>
        <v>0.93604594775823102</v>
      </c>
      <c r="F602" cm="1">
        <f t="array" aca="1" ref="F602" ca="1">[1]!s_val_pe_ttm($B$1,$A602)</f>
        <v>-83.363288879394503</v>
      </c>
    </row>
    <row r="603" spans="1:6">
      <c r="A603" s="23">
        <f t="shared" ca="1" si="9"/>
        <v>45572</v>
      </c>
      <c r="B603" cm="1">
        <f t="array" aca="1" ref="B603" ca="1">[1]!s_dq_close($B$1,$A603,3)</f>
        <v>33.4</v>
      </c>
      <c r="C603" cm="1">
        <f t="array" aca="1" ref="C603" ca="1">[1]!s_dq_volume($B$1,$A603)</f>
        <v>4853445</v>
      </c>
      <c r="D603" cm="1">
        <f t="array" aca="1" ref="D603" ca="1">[1]!s_dq_amount($B$1,$A603)</f>
        <v>163322980</v>
      </c>
      <c r="E603" cm="1">
        <f t="array" aca="1" ref="E603" ca="1">[1]!s_dq_turn($B$1,$A603)</f>
        <v>0.55692640703569096</v>
      </c>
      <c r="F603" cm="1">
        <f t="array" aca="1" ref="F603" ca="1">[1]!s_val_pe_ttm($B$1,$A603)</f>
        <v>-88.814476013183594</v>
      </c>
    </row>
    <row r="604" spans="1:6">
      <c r="A604" s="23">
        <f t="shared" ca="1" si="9"/>
        <v>45571</v>
      </c>
      <c r="B604" cm="1">
        <f t="array" aca="1" ref="B604" ca="1">[1]!s_dq_close($B$1,$A604,3)</f>
        <v>33.549999999999997</v>
      </c>
      <c r="C604" cm="1">
        <f t="array" aca="1" ref="C604" ca="1">[1]!s_dq_volume($B$1,$A604)</f>
        <v>0</v>
      </c>
      <c r="D604" cm="1">
        <f t="array" aca="1" ref="D604" ca="1">[1]!s_dq_amount($B$1,$A604)</f>
        <v>0</v>
      </c>
      <c r="E604" cm="1">
        <f t="array" aca="1" ref="E604" ca="1">[1]!s_dq_turn($B$1,$A604)</f>
        <v>0</v>
      </c>
      <c r="F604" cm="1">
        <f t="array" aca="1" ref="F604" ca="1">[1]!s_val_pe_ttm($B$1,$A604)</f>
        <v>-89.213340759277301</v>
      </c>
    </row>
    <row r="605" spans="1:6">
      <c r="A605" s="23">
        <f t="shared" ca="1" si="9"/>
        <v>45570</v>
      </c>
      <c r="B605" cm="1">
        <f t="array" aca="1" ref="B605" ca="1">[1]!s_dq_close($B$1,$A605,3)</f>
        <v>33.549999999999997</v>
      </c>
      <c r="C605" cm="1">
        <f t="array" aca="1" ref="C605" ca="1">[1]!s_dq_volume($B$1,$A605)</f>
        <v>0</v>
      </c>
      <c r="D605" cm="1">
        <f t="array" aca="1" ref="D605" ca="1">[1]!s_dq_amount($B$1,$A605)</f>
        <v>0</v>
      </c>
      <c r="E605" cm="1">
        <f t="array" aca="1" ref="E605" ca="1">[1]!s_dq_turn($B$1,$A605)</f>
        <v>0</v>
      </c>
      <c r="F605" cm="1">
        <f t="array" aca="1" ref="F605" ca="1">[1]!s_val_pe_ttm($B$1,$A605)</f>
        <v>-89.213340759277301</v>
      </c>
    </row>
    <row r="606" spans="1:6">
      <c r="A606" s="23">
        <f t="shared" ca="1" si="9"/>
        <v>45569</v>
      </c>
      <c r="B606" cm="1">
        <f t="array" aca="1" ref="B606" ca="1">[1]!s_dq_close($B$1,$A606,3)</f>
        <v>33.549999999999997</v>
      </c>
      <c r="C606" cm="1">
        <f t="array" aca="1" ref="C606" ca="1">[1]!s_dq_volume($B$1,$A606)</f>
        <v>2619400</v>
      </c>
      <c r="D606" cm="1">
        <f t="array" aca="1" ref="D606" ca="1">[1]!s_dq_amount($B$1,$A606)</f>
        <v>86927982</v>
      </c>
      <c r="E606" cm="1">
        <f t="array" aca="1" ref="E606" ca="1">[1]!s_dq_turn($B$1,$A606)</f>
        <v>0.30057269230192002</v>
      </c>
      <c r="F606" cm="1">
        <f t="array" aca="1" ref="F606" ca="1">[1]!s_val_pe_ttm($B$1,$A606)</f>
        <v>-89.213340759277301</v>
      </c>
    </row>
    <row r="607" spans="1:6">
      <c r="A607" s="23">
        <f t="shared" ca="1" si="9"/>
        <v>45568</v>
      </c>
      <c r="B607" cm="1">
        <f t="array" aca="1" ref="B607" ca="1">[1]!s_dq_close($B$1,$A607,3)</f>
        <v>31.25</v>
      </c>
      <c r="C607" cm="1">
        <f t="array" aca="1" ref="C607" ca="1">[1]!s_dq_volume($B$1,$A607)</f>
        <v>2617000</v>
      </c>
      <c r="D607" cm="1">
        <f t="array" aca="1" ref="D607" ca="1">[1]!s_dq_amount($B$1,$A607)</f>
        <v>81412963</v>
      </c>
      <c r="E607" cm="1">
        <f t="array" aca="1" ref="E607" ca="1">[1]!s_dq_turn($B$1,$A607)</f>
        <v>0.300297295470002</v>
      </c>
      <c r="F607" cm="1">
        <f t="array" aca="1" ref="F607" ca="1">[1]!s_val_pe_ttm($B$1,$A607)</f>
        <v>-83.097373962402301</v>
      </c>
    </row>
    <row r="608" spans="1:6">
      <c r="A608" s="23">
        <f t="shared" ca="1" si="9"/>
        <v>45567</v>
      </c>
      <c r="B608" cm="1">
        <f t="array" aca="1" ref="B608" ca="1">[1]!s_dq_close($B$1,$A608,3)</f>
        <v>33.1</v>
      </c>
      <c r="C608" cm="1">
        <f t="array" aca="1" ref="C608" ca="1">[1]!s_dq_volume($B$1,$A608)</f>
        <v>2973000</v>
      </c>
      <c r="D608" cm="1">
        <f t="array" aca="1" ref="D608" ca="1">[1]!s_dq_amount($B$1,$A608)</f>
        <v>97435712</v>
      </c>
      <c r="E608" cm="1">
        <f t="array" aca="1" ref="E608" ca="1">[1]!s_dq_turn($B$1,$A608)</f>
        <v>0.34114782553775902</v>
      </c>
      <c r="F608" cm="1">
        <f t="array" aca="1" ref="F608" ca="1">[1]!s_val_pe_ttm($B$1,$A608)</f>
        <v>-88.016738891601605</v>
      </c>
    </row>
    <row r="609" spans="1:6">
      <c r="A609" s="23">
        <f t="shared" ca="1" si="9"/>
        <v>45566</v>
      </c>
      <c r="B609" cm="1">
        <f t="array" aca="1" ref="B609" ca="1">[1]!s_dq_close($B$1,$A609,3)</f>
        <v>32.200000000000003</v>
      </c>
      <c r="C609" cm="1">
        <f t="array" aca="1" ref="C609" ca="1">[1]!s_dq_volume($B$1,$A609)</f>
        <v>0</v>
      </c>
      <c r="D609" cm="1">
        <f t="array" aca="1" ref="D609" ca="1">[1]!s_dq_amount($B$1,$A609)</f>
        <v>0</v>
      </c>
      <c r="E609" cm="1">
        <f t="array" aca="1" ref="E609" ca="1">[1]!s_dq_turn($B$1,$A609)</f>
        <v>0</v>
      </c>
      <c r="F609" cm="1">
        <f t="array" aca="1" ref="F609" ca="1">[1]!s_val_pe_ttm($B$1,$A609)</f>
        <v>-85.62353515625</v>
      </c>
    </row>
    <row r="610" spans="1:6">
      <c r="A610" s="23">
        <f t="shared" ca="1" si="9"/>
        <v>45565</v>
      </c>
      <c r="B610" cm="1">
        <f t="array" aca="1" ref="B610" ca="1">[1]!s_dq_close($B$1,$A610,3)</f>
        <v>32.200000000000003</v>
      </c>
      <c r="C610" cm="1">
        <f t="array" aca="1" ref="C610" ca="1">[1]!s_dq_volume($B$1,$A610)</f>
        <v>8792200</v>
      </c>
      <c r="D610" cm="1">
        <f t="array" aca="1" ref="D610" ca="1">[1]!s_dq_amount($B$1,$A610)</f>
        <v>279416532</v>
      </c>
      <c r="E610" cm="1">
        <f t="array" aca="1" ref="E610" ca="1">[1]!s_dq_turn($B$1,$A610)</f>
        <v>1.0088933439936401</v>
      </c>
      <c r="F610" cm="1">
        <f t="array" aca="1" ref="F610" ca="1">[1]!s_val_pe_ttm($B$1,$A610)</f>
        <v>-85.62353515625</v>
      </c>
    </row>
    <row r="611" spans="1:6">
      <c r="A611" s="23">
        <f t="shared" ca="1" si="9"/>
        <v>45564</v>
      </c>
      <c r="B611" cm="1">
        <f t="array" aca="1" ref="B611" ca="1">[1]!s_dq_close($B$1,$A611,3)</f>
        <v>30.2</v>
      </c>
      <c r="C611" cm="1">
        <f t="array" aca="1" ref="C611" ca="1">[1]!s_dq_volume($B$1,$A611)</f>
        <v>0</v>
      </c>
      <c r="D611" cm="1">
        <f t="array" aca="1" ref="D611" ca="1">[1]!s_dq_amount($B$1,$A611)</f>
        <v>0</v>
      </c>
      <c r="E611" cm="1">
        <f t="array" aca="1" ref="E611" ca="1">[1]!s_dq_turn($B$1,$A611)</f>
        <v>0</v>
      </c>
      <c r="F611" cm="1">
        <f t="array" aca="1" ref="F611" ca="1">[1]!s_val_pe_ttm($B$1,$A611)</f>
        <v>-80.305305480957003</v>
      </c>
    </row>
    <row r="612" spans="1:6">
      <c r="A612" s="23">
        <f t="shared" ca="1" si="9"/>
        <v>45563</v>
      </c>
      <c r="B612" cm="1">
        <f t="array" aca="1" ref="B612" ca="1">[1]!s_dq_close($B$1,$A612,3)</f>
        <v>30.2</v>
      </c>
      <c r="C612" cm="1">
        <f t="array" aca="1" ref="C612" ca="1">[1]!s_dq_volume($B$1,$A612)</f>
        <v>0</v>
      </c>
      <c r="D612" cm="1">
        <f t="array" aca="1" ref="D612" ca="1">[1]!s_dq_amount($B$1,$A612)</f>
        <v>0</v>
      </c>
      <c r="E612" cm="1">
        <f t="array" aca="1" ref="E612" ca="1">[1]!s_dq_turn($B$1,$A612)</f>
        <v>0</v>
      </c>
      <c r="F612" cm="1">
        <f t="array" aca="1" ref="F612" ca="1">[1]!s_val_pe_ttm($B$1,$A612)</f>
        <v>-80.305305480957003</v>
      </c>
    </row>
    <row r="613" spans="1:6">
      <c r="A613" s="23">
        <f t="shared" ca="1" si="9"/>
        <v>45562</v>
      </c>
      <c r="B613" cm="1">
        <f t="array" aca="1" ref="B613" ca="1">[1]!s_dq_close($B$1,$A613,3)</f>
        <v>30.2</v>
      </c>
      <c r="C613" cm="1">
        <f t="array" aca="1" ref="C613" ca="1">[1]!s_dq_volume($B$1,$A613)</f>
        <v>8174700</v>
      </c>
      <c r="D613" cm="1">
        <f t="array" aca="1" ref="D613" ca="1">[1]!s_dq_amount($B$1,$A613)</f>
        <v>246535519</v>
      </c>
      <c r="E613" cm="1">
        <f t="array" aca="1" ref="E613" ca="1">[1]!s_dq_turn($B$1,$A613)</f>
        <v>0.93803603411487402</v>
      </c>
      <c r="F613" cm="1">
        <f t="array" aca="1" ref="F613" ca="1">[1]!s_val_pe_ttm($B$1,$A613)</f>
        <v>-80.305305480957003</v>
      </c>
    </row>
    <row r="614" spans="1:6">
      <c r="A614" s="23">
        <f t="shared" ca="1" si="9"/>
        <v>45561</v>
      </c>
      <c r="B614" cm="1">
        <f t="array" aca="1" ref="B614" ca="1">[1]!s_dq_close($B$1,$A614,3)</f>
        <v>28.2</v>
      </c>
      <c r="C614" cm="1">
        <f t="array" aca="1" ref="C614" ca="1">[1]!s_dq_volume($B$1,$A614)</f>
        <v>4875000</v>
      </c>
      <c r="D614" cm="1">
        <f t="array" aca="1" ref="D614" ca="1">[1]!s_dq_amount($B$1,$A614)</f>
        <v>135591597</v>
      </c>
      <c r="E614" cm="1">
        <f t="array" aca="1" ref="E614" ca="1">[1]!s_dq_turn($B$1,$A614)</f>
        <v>0.55939981483235002</v>
      </c>
      <c r="F614" cm="1">
        <f t="array" aca="1" ref="F614" ca="1">[1]!s_val_pe_ttm($B$1,$A614)</f>
        <v>-74.987075805664105</v>
      </c>
    </row>
    <row r="615" spans="1:6">
      <c r="A615" s="23">
        <f t="shared" ca="1" si="9"/>
        <v>45560</v>
      </c>
      <c r="B615" cm="1">
        <f t="array" aca="1" ref="B615" ca="1">[1]!s_dq_close($B$1,$A615,3)</f>
        <v>27.7</v>
      </c>
      <c r="C615" cm="1">
        <f t="array" aca="1" ref="C615" ca="1">[1]!s_dq_volume($B$1,$A615)</f>
        <v>6700500</v>
      </c>
      <c r="D615" cm="1">
        <f t="array" aca="1" ref="D615" ca="1">[1]!s_dq_amount($B$1,$A615)</f>
        <v>187238850</v>
      </c>
      <c r="E615" cm="1">
        <f t="array" aca="1" ref="E615" ca="1">[1]!s_dq_turn($B$1,$A615)</f>
        <v>0.76887353010957205</v>
      </c>
      <c r="F615" cm="1">
        <f t="array" aca="1" ref="F615" ca="1">[1]!s_val_pe_ttm($B$1,$A615)</f>
        <v>-73.657516479492202</v>
      </c>
    </row>
    <row r="616" spans="1:6">
      <c r="A616" s="23">
        <f t="shared" ca="1" si="9"/>
        <v>45559</v>
      </c>
      <c r="B616" cm="1">
        <f t="array" aca="1" ref="B616" ca="1">[1]!s_dq_close($B$1,$A616,3)</f>
        <v>26.65</v>
      </c>
      <c r="C616" cm="1">
        <f t="array" aca="1" ref="C616" ca="1">[1]!s_dq_volume($B$1,$A616)</f>
        <v>5603500</v>
      </c>
      <c r="D616" cm="1">
        <f t="array" aca="1" ref="D616" ca="1">[1]!s_dq_amount($B$1,$A616)</f>
        <v>147800880</v>
      </c>
      <c r="E616" cm="1">
        <f t="array" aca="1" ref="E616" ca="1">[1]!s_dq_turn($B$1,$A616)</f>
        <v>0.64299422818729701</v>
      </c>
      <c r="F616" cm="1">
        <f t="array" aca="1" ref="F616" ca="1">[1]!s_val_pe_ttm($B$1,$A616)</f>
        <v>-70.865440368652301</v>
      </c>
    </row>
    <row r="617" spans="1:6">
      <c r="A617" s="23">
        <f t="shared" ca="1" si="9"/>
        <v>45558</v>
      </c>
      <c r="B617" cm="1">
        <f t="array" aca="1" ref="B617" ca="1">[1]!s_dq_close($B$1,$A617,3)</f>
        <v>25.9</v>
      </c>
      <c r="C617" cm="1">
        <f t="array" aca="1" ref="C617" ca="1">[1]!s_dq_volume($B$1,$A617)</f>
        <v>4070701</v>
      </c>
      <c r="D617" cm="1">
        <f t="array" aca="1" ref="D617" ca="1">[1]!s_dq_amount($B$1,$A617)</f>
        <v>107761990</v>
      </c>
      <c r="E617" cm="1">
        <f t="array" aca="1" ref="E617" ca="1">[1]!s_dq_turn($B$1,$A617)</f>
        <v>0.46710756628469002</v>
      </c>
      <c r="F617" cm="1">
        <f t="array" aca="1" ref="F617" ca="1">[1]!s_val_pe_ttm($B$1,$A617)</f>
        <v>-68.871109008789105</v>
      </c>
    </row>
    <row r="618" spans="1:6">
      <c r="A618" s="23">
        <f t="shared" ca="1" si="9"/>
        <v>45557</v>
      </c>
      <c r="B618" cm="1">
        <f t="array" aca="1" ref="B618" ca="1">[1]!s_dq_close($B$1,$A618,3)</f>
        <v>27.2</v>
      </c>
      <c r="C618" cm="1">
        <f t="array" aca="1" ref="C618" ca="1">[1]!s_dq_volume($B$1,$A618)</f>
        <v>0</v>
      </c>
      <c r="D618" cm="1">
        <f t="array" aca="1" ref="D618" ca="1">[1]!s_dq_amount($B$1,$A618)</f>
        <v>0</v>
      </c>
      <c r="E618" cm="1">
        <f t="array" aca="1" ref="E618" ca="1">[1]!s_dq_turn($B$1,$A618)</f>
        <v>0</v>
      </c>
      <c r="F618" cm="1">
        <f t="array" aca="1" ref="F618" ca="1">[1]!s_val_pe_ttm($B$1,$A618)</f>
        <v>-72.327957153320298</v>
      </c>
    </row>
    <row r="619" spans="1:6">
      <c r="A619" s="23">
        <f t="shared" ca="1" si="9"/>
        <v>45556</v>
      </c>
      <c r="B619" cm="1">
        <f t="array" aca="1" ref="B619" ca="1">[1]!s_dq_close($B$1,$A619,3)</f>
        <v>27.2</v>
      </c>
      <c r="C619" cm="1">
        <f t="array" aca="1" ref="C619" ca="1">[1]!s_dq_volume($B$1,$A619)</f>
        <v>0</v>
      </c>
      <c r="D619" cm="1">
        <f t="array" aca="1" ref="D619" ca="1">[1]!s_dq_amount($B$1,$A619)</f>
        <v>0</v>
      </c>
      <c r="E619" cm="1">
        <f t="array" aca="1" ref="E619" ca="1">[1]!s_dq_turn($B$1,$A619)</f>
        <v>0</v>
      </c>
      <c r="F619" cm="1">
        <f t="array" aca="1" ref="F619" ca="1">[1]!s_val_pe_ttm($B$1,$A619)</f>
        <v>-72.327957153320298</v>
      </c>
    </row>
    <row r="620" spans="1:6">
      <c r="A620" s="23">
        <f t="shared" ca="1" si="9"/>
        <v>45555</v>
      </c>
      <c r="B620" cm="1">
        <f t="array" aca="1" ref="B620" ca="1">[1]!s_dq_close($B$1,$A620,3)</f>
        <v>27.2</v>
      </c>
      <c r="C620" cm="1">
        <f t="array" aca="1" ref="C620" ca="1">[1]!s_dq_volume($B$1,$A620)</f>
        <v>6461140</v>
      </c>
      <c r="D620" cm="1">
        <f t="array" aca="1" ref="D620" ca="1">[1]!s_dq_amount($B$1,$A620)</f>
        <v>176470768</v>
      </c>
      <c r="E620" cm="1">
        <f t="array" aca="1" ref="E620" ca="1">[1]!s_dq_turn($B$1,$A620)</f>
        <v>0.74140728607300299</v>
      </c>
      <c r="F620" cm="1">
        <f t="array" aca="1" ref="F620" ca="1">[1]!s_val_pe_ttm($B$1,$A620)</f>
        <v>-72.327957153320298</v>
      </c>
    </row>
    <row r="621" spans="1:6">
      <c r="A621" s="23">
        <f t="shared" ca="1" si="9"/>
        <v>45554</v>
      </c>
      <c r="B621" cm="1">
        <f t="array" aca="1" ref="B621" ca="1">[1]!s_dq_close($B$1,$A621,3)</f>
        <v>26.4</v>
      </c>
      <c r="C621" cm="1">
        <f t="array" aca="1" ref="C621" ca="1">[1]!s_dq_volume($B$1,$A621)</f>
        <v>4346500</v>
      </c>
      <c r="D621" cm="1">
        <f t="array" aca="1" ref="D621" ca="1">[1]!s_dq_amount($B$1,$A621)</f>
        <v>115253739</v>
      </c>
      <c r="E621" cm="1">
        <f t="array" aca="1" ref="E621" ca="1">[1]!s_dq_turn($B$1,$A621)</f>
        <v>0.49875513747052502</v>
      </c>
      <c r="F621" cm="1">
        <f t="array" aca="1" ref="F621" ca="1">[1]!s_val_pe_ttm($B$1,$A621)</f>
        <v>-70.200660705566406</v>
      </c>
    </row>
    <row r="622" spans="1:6">
      <c r="A622" s="23">
        <f t="shared" ca="1" si="9"/>
        <v>45553</v>
      </c>
      <c r="B622" cm="1">
        <f t="array" aca="1" ref="B622" ca="1">[1]!s_dq_close($B$1,$A622,3)</f>
        <v>25.85</v>
      </c>
      <c r="C622" cm="1">
        <f t="array" aca="1" ref="C622" ca="1">[1]!s_dq_volume($B$1,$A622)</f>
        <v>0</v>
      </c>
      <c r="D622" cm="1">
        <f t="array" aca="1" ref="D622" ca="1">[1]!s_dq_amount($B$1,$A622)</f>
        <v>0</v>
      </c>
      <c r="E622" cm="1">
        <f t="array" aca="1" ref="E622" ca="1">[1]!s_dq_turn($B$1,$A622)</f>
        <v>0</v>
      </c>
      <c r="F622" cm="1">
        <f t="array" aca="1" ref="F622" ca="1">[1]!s_val_pe_ttm($B$1,$A622)</f>
        <v>-68.738151550292997</v>
      </c>
    </row>
    <row r="623" spans="1:6">
      <c r="A623" s="23">
        <f t="shared" ca="1" si="9"/>
        <v>45552</v>
      </c>
      <c r="B623" cm="1">
        <f t="array" aca="1" ref="B623" ca="1">[1]!s_dq_close($B$1,$A623,3)</f>
        <v>25.85</v>
      </c>
      <c r="C623" cm="1">
        <f t="array" aca="1" ref="C623" ca="1">[1]!s_dq_volume($B$1,$A623)</f>
        <v>1171634</v>
      </c>
      <c r="D623" cm="1">
        <f t="array" aca="1" ref="D623" ca="1">[1]!s_dq_amount($B$1,$A623)</f>
        <v>30118486</v>
      </c>
      <c r="E623" cm="1">
        <f t="array" aca="1" ref="E623" ca="1">[1]!s_dq_turn($B$1,$A623)</f>
        <v>0.134443454902828</v>
      </c>
      <c r="F623" cm="1">
        <f t="array" aca="1" ref="F623" ca="1">[1]!s_val_pe_ttm($B$1,$A623)</f>
        <v>-68.738151550292997</v>
      </c>
    </row>
    <row r="624" spans="1:6">
      <c r="A624" s="23">
        <f t="shared" ca="1" si="9"/>
        <v>45551</v>
      </c>
      <c r="B624" cm="1">
        <f t="array" aca="1" ref="B624" ca="1">[1]!s_dq_close($B$1,$A624,3)</f>
        <v>26.2</v>
      </c>
      <c r="C624" cm="1">
        <f t="array" aca="1" ref="C624" ca="1">[1]!s_dq_volume($B$1,$A624)</f>
        <v>1203600</v>
      </c>
      <c r="D624" cm="1">
        <f t="array" aca="1" ref="D624" ca="1">[1]!s_dq_amount($B$1,$A624)</f>
        <v>31626638</v>
      </c>
      <c r="E624" cm="1">
        <f t="array" aca="1" ref="E624" ca="1">[1]!s_dq_turn($B$1,$A624)</f>
        <v>0.138111511206609</v>
      </c>
      <c r="F624" cm="1">
        <f t="array" aca="1" ref="F624" ca="1">[1]!s_val_pe_ttm($B$1,$A624)</f>
        <v>-69.668838500976605</v>
      </c>
    </row>
    <row r="625" spans="1:6">
      <c r="A625" s="23">
        <f t="shared" ca="1" si="9"/>
        <v>45550</v>
      </c>
      <c r="B625" cm="1">
        <f t="array" aca="1" ref="B625" ca="1">[1]!s_dq_close($B$1,$A625,3)</f>
        <v>27</v>
      </c>
      <c r="C625" cm="1">
        <f t="array" aca="1" ref="C625" ca="1">[1]!s_dq_volume($B$1,$A625)</f>
        <v>0</v>
      </c>
      <c r="D625" cm="1">
        <f t="array" aca="1" ref="D625" ca="1">[1]!s_dq_amount($B$1,$A625)</f>
        <v>0</v>
      </c>
      <c r="E625" cm="1">
        <f t="array" aca="1" ref="E625" ca="1">[1]!s_dq_turn($B$1,$A625)</f>
        <v>0</v>
      </c>
      <c r="F625" cm="1">
        <f t="array" aca="1" ref="F625" ca="1">[1]!s_val_pe_ttm($B$1,$A625)</f>
        <v>-71.796134948730497</v>
      </c>
    </row>
    <row r="626" spans="1:6">
      <c r="A626" s="23">
        <f t="shared" ca="1" si="9"/>
        <v>45549</v>
      </c>
      <c r="B626" cm="1">
        <f t="array" aca="1" ref="B626" ca="1">[1]!s_dq_close($B$1,$A626,3)</f>
        <v>27</v>
      </c>
      <c r="C626" cm="1">
        <f t="array" aca="1" ref="C626" ca="1">[1]!s_dq_volume($B$1,$A626)</f>
        <v>0</v>
      </c>
      <c r="D626" cm="1">
        <f t="array" aca="1" ref="D626" ca="1">[1]!s_dq_amount($B$1,$A626)</f>
        <v>0</v>
      </c>
      <c r="E626" cm="1">
        <f t="array" aca="1" ref="E626" ca="1">[1]!s_dq_turn($B$1,$A626)</f>
        <v>0</v>
      </c>
      <c r="F626" cm="1">
        <f t="array" aca="1" ref="F626" ca="1">[1]!s_val_pe_ttm($B$1,$A626)</f>
        <v>-71.796134948730497</v>
      </c>
    </row>
    <row r="627" spans="1:6">
      <c r="A627" s="23">
        <f t="shared" ca="1" si="9"/>
        <v>45548</v>
      </c>
      <c r="B627" cm="1">
        <f t="array" aca="1" ref="B627" ca="1">[1]!s_dq_close($B$1,$A627,3)</f>
        <v>27</v>
      </c>
      <c r="C627" cm="1">
        <f t="array" aca="1" ref="C627" ca="1">[1]!s_dq_volume($B$1,$A627)</f>
        <v>3553883</v>
      </c>
      <c r="D627" cm="1">
        <f t="array" aca="1" ref="D627" ca="1">[1]!s_dq_amount($B$1,$A627)</f>
        <v>96078324</v>
      </c>
      <c r="E627" cm="1">
        <f t="array" aca="1" ref="E627" ca="1">[1]!s_dq_turn($B$1,$A627)</f>
        <v>0.40780338300222302</v>
      </c>
      <c r="F627" cm="1">
        <f t="array" aca="1" ref="F627" ca="1">[1]!s_val_pe_ttm($B$1,$A627)</f>
        <v>-71.796134948730497</v>
      </c>
    </row>
    <row r="628" spans="1:6">
      <c r="A628" s="23">
        <f t="shared" ca="1" si="9"/>
        <v>45547</v>
      </c>
      <c r="B628" cm="1">
        <f t="array" aca="1" ref="B628" ca="1">[1]!s_dq_close($B$1,$A628,3)</f>
        <v>26.15</v>
      </c>
      <c r="C628" cm="1">
        <f t="array" aca="1" ref="C628" ca="1">[1]!s_dq_volume($B$1,$A628)</f>
        <v>3451911</v>
      </c>
      <c r="D628" cm="1">
        <f t="array" aca="1" ref="D628" ca="1">[1]!s_dq_amount($B$1,$A628)</f>
        <v>92383061</v>
      </c>
      <c r="E628" cm="1">
        <f t="array" aca="1" ref="E628" ca="1">[1]!s_dq_turn($B$1,$A628)</f>
        <v>0.39610223060876998</v>
      </c>
      <c r="F628" cm="1">
        <f t="array" aca="1" ref="F628" ca="1">[1]!s_val_pe_ttm($B$1,$A628)</f>
        <v>-69.535888671875</v>
      </c>
    </row>
    <row r="629" spans="1:6">
      <c r="A629" s="23">
        <f t="shared" ca="1" si="9"/>
        <v>45546</v>
      </c>
      <c r="B629" cm="1">
        <f t="array" aca="1" ref="B629" ca="1">[1]!s_dq_close($B$1,$A629,3)</f>
        <v>26</v>
      </c>
      <c r="C629" cm="1">
        <f t="array" aca="1" ref="C629" ca="1">[1]!s_dq_volume($B$1,$A629)</f>
        <v>3091344</v>
      </c>
      <c r="D629" cm="1">
        <f t="array" aca="1" ref="D629" ca="1">[1]!s_dq_amount($B$1,$A629)</f>
        <v>79972105</v>
      </c>
      <c r="E629" cm="1">
        <f t="array" aca="1" ref="E629" ca="1">[1]!s_dq_turn($B$1,$A629)</f>
        <v>0.35472764331960999</v>
      </c>
      <c r="F629" cm="1">
        <f t="array" aca="1" ref="F629" ca="1">[1]!s_val_pe_ttm($B$1,$A629)</f>
        <v>-69.137016296386705</v>
      </c>
    </row>
    <row r="630" spans="1:6">
      <c r="A630" s="23">
        <f t="shared" ca="1" si="9"/>
        <v>45545</v>
      </c>
      <c r="B630" cm="1">
        <f t="array" aca="1" ref="B630" ca="1">[1]!s_dq_close($B$1,$A630,3)</f>
        <v>25.25</v>
      </c>
      <c r="C630" cm="1">
        <f t="array" aca="1" ref="C630" ca="1">[1]!s_dq_volume($B$1,$A630)</f>
        <v>5544523</v>
      </c>
      <c r="D630" cm="1">
        <f t="array" aca="1" ref="D630" ca="1">[1]!s_dq_amount($B$1,$A630)</f>
        <v>142591158</v>
      </c>
      <c r="E630" cm="1">
        <f t="array" aca="1" ref="E630" ca="1">[1]!s_dq_turn($B$1,$A630)</f>
        <v>0.63622669528896503</v>
      </c>
      <c r="F630" cm="1">
        <f t="array" aca="1" ref="F630" ca="1">[1]!s_val_pe_ttm($B$1,$A630)</f>
        <v>-67.142677307128906</v>
      </c>
    </row>
    <row r="631" spans="1:6">
      <c r="A631" s="23">
        <f t="shared" ca="1" si="9"/>
        <v>45544</v>
      </c>
      <c r="B631" cm="1">
        <f t="array" aca="1" ref="B631" ca="1">[1]!s_dq_close($B$1,$A631,3)</f>
        <v>26.9</v>
      </c>
      <c r="C631" cm="1">
        <f t="array" aca="1" ref="C631" ca="1">[1]!s_dq_volume($B$1,$A631)</f>
        <v>3445390</v>
      </c>
      <c r="D631" cm="1">
        <f t="array" aca="1" ref="D631" ca="1">[1]!s_dq_amount($B$1,$A631)</f>
        <v>93099256</v>
      </c>
      <c r="E631" cm="1">
        <f t="array" aca="1" ref="E631" ca="1">[1]!s_dq_turn($B$1,$A631)</f>
        <v>0.39535395446671401</v>
      </c>
      <c r="F631" cm="1">
        <f t="array" aca="1" ref="F631" ca="1">[1]!s_val_pe_ttm($B$1,$A631)</f>
        <v>-71.530220031738295</v>
      </c>
    </row>
    <row r="632" spans="1:6">
      <c r="A632" s="23">
        <f t="shared" ca="1" si="9"/>
        <v>45543</v>
      </c>
      <c r="B632" cm="1">
        <f t="array" aca="1" ref="B632" ca="1">[1]!s_dq_close($B$1,$A632,3)</f>
        <v>27.9</v>
      </c>
      <c r="C632" cm="1">
        <f t="array" aca="1" ref="C632" ca="1">[1]!s_dq_volume($B$1,$A632)</f>
        <v>0</v>
      </c>
      <c r="D632" cm="1">
        <f t="array" aca="1" ref="D632" ca="1">[1]!s_dq_amount($B$1,$A632)</f>
        <v>0</v>
      </c>
      <c r="E632" cm="1">
        <f t="array" aca="1" ref="E632" ca="1">[1]!s_dq_turn($B$1,$A632)</f>
        <v>0</v>
      </c>
      <c r="F632" cm="1">
        <f t="array" aca="1" ref="F632" ca="1">[1]!s_val_pe_ttm($B$1,$A632)</f>
        <v>-74.189338684082003</v>
      </c>
    </row>
    <row r="633" spans="1:6">
      <c r="A633" s="23">
        <f t="shared" ca="1" si="9"/>
        <v>45542</v>
      </c>
      <c r="B633" cm="1">
        <f t="array" aca="1" ref="B633" ca="1">[1]!s_dq_close($B$1,$A633,3)</f>
        <v>27.9</v>
      </c>
      <c r="C633" cm="1">
        <f t="array" aca="1" ref="C633" ca="1">[1]!s_dq_volume($B$1,$A633)</f>
        <v>0</v>
      </c>
      <c r="D633" cm="1">
        <f t="array" aca="1" ref="D633" ca="1">[1]!s_dq_amount($B$1,$A633)</f>
        <v>0</v>
      </c>
      <c r="E633" cm="1">
        <f t="array" aca="1" ref="E633" ca="1">[1]!s_dq_turn($B$1,$A633)</f>
        <v>0</v>
      </c>
      <c r="F633" cm="1">
        <f t="array" aca="1" ref="F633" ca="1">[1]!s_val_pe_ttm($B$1,$A633)</f>
        <v>-74.189338684082003</v>
      </c>
    </row>
    <row r="634" spans="1:6">
      <c r="A634" s="23">
        <f t="shared" ca="1" si="9"/>
        <v>45541</v>
      </c>
      <c r="B634" cm="1">
        <f t="array" aca="1" ref="B634" ca="1">[1]!s_dq_close($B$1,$A634,3)</f>
        <v>27.9</v>
      </c>
      <c r="C634" cm="1">
        <f t="array" aca="1" ref="C634" ca="1">[1]!s_dq_volume($B$1,$A634)</f>
        <v>0</v>
      </c>
      <c r="D634" cm="1">
        <f t="array" aca="1" ref="D634" ca="1">[1]!s_dq_amount($B$1,$A634)</f>
        <v>0</v>
      </c>
      <c r="E634" cm="1">
        <f t="array" aca="1" ref="E634" ca="1">[1]!s_dq_turn($B$1,$A634)</f>
        <v>0</v>
      </c>
      <c r="F634" cm="1">
        <f t="array" aca="1" ref="F634" ca="1">[1]!s_val_pe_ttm($B$1,$A634)</f>
        <v>-74.189338684082003</v>
      </c>
    </row>
    <row r="635" spans="1:6">
      <c r="A635" s="23">
        <f t="shared" ca="1" si="9"/>
        <v>45540</v>
      </c>
      <c r="B635" cm="1">
        <f t="array" aca="1" ref="B635" ca="1">[1]!s_dq_close($B$1,$A635,3)</f>
        <v>27.9</v>
      </c>
      <c r="C635" cm="1">
        <f t="array" aca="1" ref="C635" ca="1">[1]!s_dq_volume($B$1,$A635)</f>
        <v>1783000</v>
      </c>
      <c r="D635" cm="1">
        <f t="array" aca="1" ref="D635" ca="1">[1]!s_dq_amount($B$1,$A635)</f>
        <v>49741537</v>
      </c>
      <c r="E635" cm="1">
        <f t="array" aca="1" ref="E635" ca="1">[1]!s_dq_turn($B$1,$A635)</f>
        <v>0.204596896378683</v>
      </c>
      <c r="F635" cm="1">
        <f t="array" aca="1" ref="F635" ca="1">[1]!s_val_pe_ttm($B$1,$A635)</f>
        <v>-74.189338684082003</v>
      </c>
    </row>
    <row r="636" spans="1:6">
      <c r="A636" s="23">
        <f t="shared" ca="1" si="9"/>
        <v>45539</v>
      </c>
      <c r="B636" cm="1">
        <f t="array" aca="1" ref="B636" ca="1">[1]!s_dq_close($B$1,$A636,3)</f>
        <v>27.6</v>
      </c>
      <c r="C636" cm="1">
        <f t="array" aca="1" ref="C636" ca="1">[1]!s_dq_volume($B$1,$A636)</f>
        <v>1802500</v>
      </c>
      <c r="D636" cm="1">
        <f t="array" aca="1" ref="D636" ca="1">[1]!s_dq_amount($B$1,$A636)</f>
        <v>49806969</v>
      </c>
      <c r="E636" cm="1">
        <f t="array" aca="1" ref="E636" ca="1">[1]!s_dq_turn($B$1,$A636)</f>
        <v>0.20683449563801301</v>
      </c>
      <c r="F636" cm="1">
        <f t="array" aca="1" ref="F636" ca="1">[1]!s_val_pe_ttm($B$1,$A636)</f>
        <v>-73.3916015625</v>
      </c>
    </row>
    <row r="637" spans="1:6">
      <c r="A637" s="23">
        <f t="shared" ca="1" si="9"/>
        <v>45538</v>
      </c>
      <c r="B637" cm="1">
        <f t="array" aca="1" ref="B637" ca="1">[1]!s_dq_close($B$1,$A637,3)</f>
        <v>27.7</v>
      </c>
      <c r="C637" cm="1">
        <f t="array" aca="1" ref="C637" ca="1">[1]!s_dq_volume($B$1,$A637)</f>
        <v>2821300</v>
      </c>
      <c r="D637" cm="1">
        <f t="array" aca="1" ref="D637" ca="1">[1]!s_dq_amount($B$1,$A637)</f>
        <v>79834273</v>
      </c>
      <c r="E637" cm="1">
        <f t="array" aca="1" ref="E637" ca="1">[1]!s_dq_turn($B$1,$A637)</f>
        <v>0.323740450786976</v>
      </c>
      <c r="F637" cm="1">
        <f t="array" aca="1" ref="F637" ca="1">[1]!s_val_pe_ttm($B$1,$A637)</f>
        <v>-73.657516479492202</v>
      </c>
    </row>
    <row r="638" spans="1:6">
      <c r="A638" s="23">
        <f t="shared" ca="1" si="9"/>
        <v>45537</v>
      </c>
      <c r="B638" cm="1">
        <f t="array" aca="1" ref="B638" ca="1">[1]!s_dq_close($B$1,$A638,3)</f>
        <v>27.85</v>
      </c>
      <c r="C638" cm="1">
        <f t="array" aca="1" ref="C638" ca="1">[1]!s_dq_volume($B$1,$A638)</f>
        <v>3783000</v>
      </c>
      <c r="D638" cm="1">
        <f t="array" aca="1" ref="D638" ca="1">[1]!s_dq_amount($B$1,$A638)</f>
        <v>105298741</v>
      </c>
      <c r="E638" cm="1">
        <f t="array" aca="1" ref="E638" ca="1">[1]!s_dq_turn($B$1,$A638)</f>
        <v>0.434094256309904</v>
      </c>
      <c r="F638" cm="1">
        <f t="array" aca="1" ref="F638" ca="1">[1]!s_val_pe_ttm($B$1,$A638)</f>
        <v>-74.047035217285199</v>
      </c>
    </row>
    <row r="639" spans="1:6">
      <c r="A639" s="23">
        <f t="shared" ca="1" si="9"/>
        <v>45536</v>
      </c>
      <c r="B639" cm="1">
        <f t="array" aca="1" ref="B639" ca="1">[1]!s_dq_close($B$1,$A639,3)</f>
        <v>27.75</v>
      </c>
      <c r="C639" cm="1">
        <f t="array" aca="1" ref="C639" ca="1">[1]!s_dq_volume($B$1,$A639)</f>
        <v>0</v>
      </c>
      <c r="D639" cm="1">
        <f t="array" aca="1" ref="D639" ca="1">[1]!s_dq_amount($B$1,$A639)</f>
        <v>0</v>
      </c>
      <c r="E639" cm="1">
        <f t="array" aca="1" ref="E639" ca="1">[1]!s_dq_turn($B$1,$A639)</f>
        <v>0</v>
      </c>
      <c r="F639" cm="1">
        <f t="array" aca="1" ref="F639" ca="1">[1]!s_val_pe_ttm($B$1,$A639)</f>
        <v>-73.781158447265597</v>
      </c>
    </row>
    <row r="640" spans="1:6">
      <c r="A640" s="23">
        <f t="shared" ca="1" si="9"/>
        <v>45535</v>
      </c>
      <c r="B640" cm="1">
        <f t="array" aca="1" ref="B640" ca="1">[1]!s_dq_close($B$1,$A640,3)</f>
        <v>27.75</v>
      </c>
      <c r="C640" cm="1">
        <f t="array" aca="1" ref="C640" ca="1">[1]!s_dq_volume($B$1,$A640)</f>
        <v>0</v>
      </c>
      <c r="D640" cm="1">
        <f t="array" aca="1" ref="D640" ca="1">[1]!s_dq_amount($B$1,$A640)</f>
        <v>0</v>
      </c>
      <c r="E640" cm="1">
        <f t="array" aca="1" ref="E640" ca="1">[1]!s_dq_turn($B$1,$A640)</f>
        <v>0</v>
      </c>
      <c r="F640" cm="1">
        <f t="array" aca="1" ref="F640" ca="1">[1]!s_val_pe_ttm($B$1,$A640)</f>
        <v>-73.781158447265597</v>
      </c>
    </row>
    <row r="641" spans="1:6">
      <c r="A641" s="23">
        <f t="shared" ca="1" si="9"/>
        <v>45534</v>
      </c>
      <c r="B641" cm="1">
        <f t="array" aca="1" ref="B641" ca="1">[1]!s_dq_close($B$1,$A641,3)</f>
        <v>27.75</v>
      </c>
      <c r="C641" cm="1">
        <f t="array" aca="1" ref="C641" ca="1">[1]!s_dq_volume($B$1,$A641)</f>
        <v>13684554</v>
      </c>
      <c r="D641" cm="1">
        <f t="array" aca="1" ref="D641" ca="1">[1]!s_dq_amount($B$1,$A641)</f>
        <v>380489226</v>
      </c>
      <c r="E641" cm="1">
        <f t="array" aca="1" ref="E641" ca="1">[1]!s_dq_turn($B$1,$A641)</f>
        <v>1.57048273932148</v>
      </c>
      <c r="F641" cm="1">
        <f t="array" aca="1" ref="F641" ca="1">[1]!s_val_pe_ttm($B$1,$A641)</f>
        <v>-73.781158447265597</v>
      </c>
    </row>
    <row r="642" spans="1:6">
      <c r="A642" s="23">
        <f t="shared" ca="1" si="9"/>
        <v>45533</v>
      </c>
      <c r="B642" cm="1">
        <f t="array" aca="1" ref="B642" ca="1">[1]!s_dq_close($B$1,$A642,3)</f>
        <v>27.9</v>
      </c>
      <c r="C642" cm="1">
        <f t="array" aca="1" ref="C642" ca="1">[1]!s_dq_volume($B$1,$A642)</f>
        <v>3437122</v>
      </c>
      <c r="D642" cm="1">
        <f t="array" aca="1" ref="D642" ca="1">[1]!s_dq_amount($B$1,$A642)</f>
        <v>95483415</v>
      </c>
      <c r="E642" cm="1">
        <f t="array" aca="1" ref="E642" ca="1">[1]!s_dq_turn($B$1,$A642)</f>
        <v>0.394455001890608</v>
      </c>
      <c r="F642" cm="1">
        <f t="array" aca="1" ref="F642" ca="1">[1]!s_val_pe_ttm($B$1,$A642)</f>
        <v>-74.179977416992202</v>
      </c>
    </row>
    <row r="643" spans="1:6">
      <c r="A643" s="23">
        <f t="shared" ca="1" si="9"/>
        <v>45532</v>
      </c>
      <c r="B643" cm="1">
        <f t="array" aca="1" ref="B643" ca="1">[1]!s_dq_close($B$1,$A643,3)</f>
        <v>27.45</v>
      </c>
      <c r="C643" cm="1">
        <f t="array" aca="1" ref="C643" ca="1">[1]!s_dq_volume($B$1,$A643)</f>
        <v>2718196</v>
      </c>
      <c r="D643" cm="1">
        <f t="array" aca="1" ref="D643" ca="1">[1]!s_dq_amount($B$1,$A643)</f>
        <v>74480700</v>
      </c>
      <c r="E643" cm="1">
        <f t="array" aca="1" ref="E643" ca="1">[1]!s_dq_turn($B$1,$A643)</f>
        <v>0.311948778169365</v>
      </c>
      <c r="F643" cm="1">
        <f t="array" aca="1" ref="F643" ca="1">[1]!s_val_pe_ttm($B$1,$A643)</f>
        <v>-72.9835205078125</v>
      </c>
    </row>
    <row r="644" spans="1:6">
      <c r="A644" s="23">
        <f t="shared" ca="1" si="9"/>
        <v>45531</v>
      </c>
      <c r="B644" cm="1">
        <f t="array" aca="1" ref="B644" ca="1">[1]!s_dq_close($B$1,$A644,3)</f>
        <v>27.4</v>
      </c>
      <c r="C644" cm="1">
        <f t="array" aca="1" ref="C644" ca="1">[1]!s_dq_volume($B$1,$A644)</f>
        <v>1930000</v>
      </c>
      <c r="D644" cm="1">
        <f t="array" aca="1" ref="D644" ca="1">[1]!s_dq_amount($B$1,$A644)</f>
        <v>52151535</v>
      </c>
      <c r="E644" cm="1">
        <f t="array" aca="1" ref="E644" ca="1">[1]!s_dq_turn($B$1,$A644)</f>
        <v>0.22149290995457099</v>
      </c>
      <c r="F644" cm="1">
        <f t="array" aca="1" ref="F644" ca="1">[1]!s_val_pe_ttm($B$1,$A644)</f>
        <v>-72.8505859375</v>
      </c>
    </row>
    <row r="645" spans="1:6">
      <c r="A645" s="23">
        <f t="shared" ca="1" si="9"/>
        <v>45530</v>
      </c>
      <c r="B645" cm="1">
        <f t="array" aca="1" ref="B645" ca="1">[1]!s_dq_close($B$1,$A645,3)</f>
        <v>27.3</v>
      </c>
      <c r="C645" cm="1">
        <f t="array" aca="1" ref="C645" ca="1">[1]!s_dq_volume($B$1,$A645)</f>
        <v>2772500</v>
      </c>
      <c r="D645" cm="1">
        <f t="array" aca="1" ref="D645" ca="1">[1]!s_dq_amount($B$1,$A645)</f>
        <v>76430189</v>
      </c>
      <c r="E645" cm="1">
        <f t="array" aca="1" ref="E645" ca="1">[1]!s_dq_turn($B$1,$A645)</f>
        <v>0.31818087712385901</v>
      </c>
      <c r="F645" cm="1">
        <f t="array" aca="1" ref="F645" ca="1">[1]!s_val_pe_ttm($B$1,$A645)</f>
        <v>-72.584709167480497</v>
      </c>
    </row>
    <row r="646" spans="1:6">
      <c r="A646" s="23">
        <f t="shared" ca="1" si="9"/>
        <v>45529</v>
      </c>
      <c r="B646" cm="1">
        <f t="array" aca="1" ref="B646" ca="1">[1]!s_dq_close($B$1,$A646,3)</f>
        <v>26.95</v>
      </c>
      <c r="C646" cm="1">
        <f t="array" aca="1" ref="C646" ca="1">[1]!s_dq_volume($B$1,$A646)</f>
        <v>0</v>
      </c>
      <c r="D646" cm="1">
        <f t="array" aca="1" ref="D646" ca="1">[1]!s_dq_amount($B$1,$A646)</f>
        <v>0</v>
      </c>
      <c r="E646" cm="1">
        <f t="array" aca="1" ref="E646" ca="1">[1]!s_dq_turn($B$1,$A646)</f>
        <v>0</v>
      </c>
      <c r="F646" cm="1">
        <f t="array" aca="1" ref="F646" ca="1">[1]!s_val_pe_ttm($B$1,$A646)</f>
        <v>-71.654129028320298</v>
      </c>
    </row>
    <row r="647" spans="1:6">
      <c r="A647" s="23">
        <f t="shared" ca="1" si="9"/>
        <v>45528</v>
      </c>
      <c r="B647" cm="1">
        <f t="array" aca="1" ref="B647" ca="1">[1]!s_dq_close($B$1,$A647,3)</f>
        <v>26.95</v>
      </c>
      <c r="C647" cm="1">
        <f t="array" aca="1" ref="C647" ca="1">[1]!s_dq_volume($B$1,$A647)</f>
        <v>0</v>
      </c>
      <c r="D647" cm="1">
        <f t="array" aca="1" ref="D647" ca="1">[1]!s_dq_amount($B$1,$A647)</f>
        <v>0</v>
      </c>
      <c r="E647" cm="1">
        <f t="array" aca="1" ref="E647" ca="1">[1]!s_dq_turn($B$1,$A647)</f>
        <v>0</v>
      </c>
      <c r="F647" cm="1">
        <f t="array" aca="1" ref="F647" ca="1">[1]!s_val_pe_ttm($B$1,$A647)</f>
        <v>-71.654129028320298</v>
      </c>
    </row>
    <row r="648" spans="1:6">
      <c r="A648" s="23">
        <f t="shared" ca="1" si="9"/>
        <v>45527</v>
      </c>
      <c r="B648" cm="1">
        <f t="array" aca="1" ref="B648" ca="1">[1]!s_dq_close($B$1,$A648,3)</f>
        <v>26.95</v>
      </c>
      <c r="C648" cm="1">
        <f t="array" aca="1" ref="C648" ca="1">[1]!s_dq_volume($B$1,$A648)</f>
        <v>6114399</v>
      </c>
      <c r="D648" cm="1">
        <f t="array" aca="1" ref="D648" ca="1">[1]!s_dq_amount($B$1,$A648)</f>
        <v>164992611</v>
      </c>
      <c r="E648" cm="1">
        <f t="array" aca="1" ref="E648" ca="1">[1]!s_dq_turn($B$1,$A648)</f>
        <v>0.70170778607943896</v>
      </c>
      <c r="F648" cm="1">
        <f t="array" aca="1" ref="F648" ca="1">[1]!s_val_pe_ttm($B$1,$A648)</f>
        <v>-71.654129028320298</v>
      </c>
    </row>
    <row r="649" spans="1:6">
      <c r="A649" s="23">
        <f t="shared" ca="1" si="9"/>
        <v>45526</v>
      </c>
      <c r="B649" cm="1">
        <f t="array" aca="1" ref="B649" ca="1">[1]!s_dq_close($B$1,$A649,3)</f>
        <v>28.35</v>
      </c>
      <c r="C649" cm="1">
        <f t="array" aca="1" ref="C649" ca="1">[1]!s_dq_volume($B$1,$A649)</f>
        <v>2868803</v>
      </c>
      <c r="D649" cm="1">
        <f t="array" aca="1" ref="D649" ca="1">[1]!s_dq_amount($B$1,$A649)</f>
        <v>80231999</v>
      </c>
      <c r="E649" cm="1">
        <f t="array" aca="1" ref="E649" ca="1">[1]!s_dq_turn($B$1,$A649)</f>
        <v>0.329232914277929</v>
      </c>
      <c r="F649" cm="1">
        <f t="array" aca="1" ref="F649" ca="1">[1]!s_val_pe_ttm($B$1,$A649)</f>
        <v>-75.376426696777301</v>
      </c>
    </row>
    <row r="650" spans="1:6">
      <c r="A650" s="23">
        <f t="shared" ca="1" si="9"/>
        <v>45525</v>
      </c>
      <c r="B650" cm="1">
        <f t="array" aca="1" ref="B650" ca="1">[1]!s_dq_close($B$1,$A650,3)</f>
        <v>28.15</v>
      </c>
      <c r="C650" cm="1">
        <f t="array" aca="1" ref="C650" ca="1">[1]!s_dq_volume($B$1,$A650)</f>
        <v>3002213</v>
      </c>
      <c r="D650" cm="1">
        <f t="array" aca="1" ref="D650" ca="1">[1]!s_dq_amount($B$1,$A650)</f>
        <v>85194844</v>
      </c>
      <c r="E650" cm="1">
        <f t="array" aca="1" ref="E650" ca="1">[1]!s_dq_turn($B$1,$A650)</f>
        <v>0.34454346822458098</v>
      </c>
      <c r="F650" cm="1">
        <f t="array" aca="1" ref="F650" ca="1">[1]!s_val_pe_ttm($B$1,$A650)</f>
        <v>-74.844665527343807</v>
      </c>
    </row>
    <row r="651" spans="1:6">
      <c r="A651" s="23">
        <f t="shared" ca="1" si="9"/>
        <v>45524</v>
      </c>
      <c r="B651" cm="1">
        <f t="array" aca="1" ref="B651" ca="1">[1]!s_dq_close($B$1,$A651,3)</f>
        <v>28.4</v>
      </c>
      <c r="C651" cm="1">
        <f t="array" aca="1" ref="C651" ca="1">[1]!s_dq_volume($B$1,$A651)</f>
        <v>5037000</v>
      </c>
      <c r="D651" cm="1">
        <f t="array" aca="1" ref="D651" ca="1">[1]!s_dq_amount($B$1,$A651)</f>
        <v>143228983</v>
      </c>
      <c r="E651" cm="1">
        <f t="array" aca="1" ref="E651" ca="1">[1]!s_dq_turn($B$1,$A651)</f>
        <v>0.57806206603169596</v>
      </c>
      <c r="F651" cm="1">
        <f t="array" aca="1" ref="F651" ca="1">[1]!s_val_pe_ttm($B$1,$A651)</f>
        <v>-75.509361267089801</v>
      </c>
    </row>
    <row r="652" spans="1:6">
      <c r="A652" s="23">
        <f t="shared" ca="1" si="9"/>
        <v>45523</v>
      </c>
      <c r="B652" cm="1">
        <f t="array" aca="1" ref="B652" ca="1">[1]!s_dq_close($B$1,$A652,3)</f>
        <v>29.15</v>
      </c>
      <c r="C652" cm="1">
        <f t="array" aca="1" ref="C652" ca="1">[1]!s_dq_volume($B$1,$A652)</f>
        <v>4423000</v>
      </c>
      <c r="D652" cm="1">
        <f t="array" aca="1" ref="D652" ca="1">[1]!s_dq_amount($B$1,$A652)</f>
        <v>128569110</v>
      </c>
      <c r="E652" cm="1">
        <f t="array" aca="1" ref="E652" ca="1">[1]!s_dq_turn($B$1,$A652)</f>
        <v>0.50759748224304002</v>
      </c>
      <c r="F652" cm="1">
        <f t="array" aca="1" ref="F652" ca="1">[1]!s_val_pe_ttm($B$1,$A652)</f>
        <v>-77.503448486328097</v>
      </c>
    </row>
    <row r="653" spans="1:6">
      <c r="A653" s="23">
        <f t="shared" ref="A653:A716" ca="1" si="10">A652-1</f>
        <v>45522</v>
      </c>
      <c r="B653" cm="1">
        <f t="array" aca="1" ref="B653" ca="1">[1]!s_dq_close($B$1,$A653,3)</f>
        <v>29.2</v>
      </c>
      <c r="C653" cm="1">
        <f t="array" aca="1" ref="C653" ca="1">[1]!s_dq_volume($B$1,$A653)</f>
        <v>0</v>
      </c>
      <c r="D653" cm="1">
        <f t="array" aca="1" ref="D653" ca="1">[1]!s_dq_amount($B$1,$A653)</f>
        <v>0</v>
      </c>
      <c r="E653" cm="1">
        <f t="array" aca="1" ref="E653" ca="1">[1]!s_dq_turn($B$1,$A653)</f>
        <v>0</v>
      </c>
      <c r="F653" cm="1">
        <f t="array" aca="1" ref="F653" ca="1">[1]!s_val_pe_ttm($B$1,$A653)</f>
        <v>-77.636390686035199</v>
      </c>
    </row>
    <row r="654" spans="1:6">
      <c r="A654" s="23">
        <f t="shared" ca="1" si="10"/>
        <v>45521</v>
      </c>
      <c r="B654" cm="1">
        <f t="array" aca="1" ref="B654" ca="1">[1]!s_dq_close($B$1,$A654,3)</f>
        <v>29.2</v>
      </c>
      <c r="C654" cm="1">
        <f t="array" aca="1" ref="C654" ca="1">[1]!s_dq_volume($B$1,$A654)</f>
        <v>0</v>
      </c>
      <c r="D654" cm="1">
        <f t="array" aca="1" ref="D654" ca="1">[1]!s_dq_amount($B$1,$A654)</f>
        <v>0</v>
      </c>
      <c r="E654" cm="1">
        <f t="array" aca="1" ref="E654" ca="1">[1]!s_dq_turn($B$1,$A654)</f>
        <v>0</v>
      </c>
      <c r="F654" cm="1">
        <f t="array" aca="1" ref="F654" ca="1">[1]!s_val_pe_ttm($B$1,$A654)</f>
        <v>-77.636390686035199</v>
      </c>
    </row>
    <row r="655" spans="1:6">
      <c r="A655" s="23">
        <f t="shared" ca="1" si="10"/>
        <v>45520</v>
      </c>
      <c r="B655" cm="1">
        <f t="array" aca="1" ref="B655" ca="1">[1]!s_dq_close($B$1,$A655,3)</f>
        <v>29.2</v>
      </c>
      <c r="C655" cm="1">
        <f t="array" aca="1" ref="C655" ca="1">[1]!s_dq_volume($B$1,$A655)</f>
        <v>18627434</v>
      </c>
      <c r="D655" cm="1">
        <f t="array" aca="1" ref="D655" ca="1">[1]!s_dq_amount($B$1,$A655)</f>
        <v>551917983</v>
      </c>
      <c r="E655" cm="1">
        <f t="array" aca="1" ref="E655" ca="1">[1]!s_dq_turn($B$1,$A655)</f>
        <v>2.13774329619</v>
      </c>
      <c r="F655" cm="1">
        <f t="array" aca="1" ref="F655" ca="1">[1]!s_val_pe_ttm($B$1,$A655)</f>
        <v>-77.636390686035199</v>
      </c>
    </row>
    <row r="656" spans="1:6">
      <c r="A656" s="23">
        <f t="shared" ca="1" si="10"/>
        <v>45519</v>
      </c>
      <c r="B656" cm="1">
        <f t="array" aca="1" ref="B656" ca="1">[1]!s_dq_close($B$1,$A656,3)</f>
        <v>30.9</v>
      </c>
      <c r="C656" cm="1">
        <f t="array" aca="1" ref="C656" ca="1">[1]!s_dq_volume($B$1,$A656)</f>
        <v>2903828</v>
      </c>
      <c r="D656" cm="1">
        <f t="array" aca="1" ref="D656" ca="1">[1]!s_dq_amount($B$1,$A656)</f>
        <v>89263627</v>
      </c>
      <c r="E656" cm="1">
        <f t="array" aca="1" ref="E656" ca="1">[1]!s_dq_turn($B$1,$A656)</f>
        <v>0.33325249415935798</v>
      </c>
      <c r="F656" cm="1">
        <f t="array" aca="1" ref="F656" ca="1">[1]!s_val_pe_ttm($B$1,$A656)</f>
        <v>-82.156318664550795</v>
      </c>
    </row>
    <row r="657" spans="1:6">
      <c r="A657" s="23">
        <f t="shared" ca="1" si="10"/>
        <v>45518</v>
      </c>
      <c r="B657" cm="1">
        <f t="array" aca="1" ref="B657" ca="1">[1]!s_dq_close($B$1,$A657,3)</f>
        <v>30.3</v>
      </c>
      <c r="C657" cm="1">
        <f t="array" aca="1" ref="C657" ca="1">[1]!s_dq_volume($B$1,$A657)</f>
        <v>2351147</v>
      </c>
      <c r="D657" cm="1">
        <f t="array" aca="1" ref="D657" ca="1">[1]!s_dq_amount($B$1,$A657)</f>
        <v>71748772</v>
      </c>
      <c r="E657" cm="1">
        <f t="array" aca="1" ref="E657" ca="1">[1]!s_dq_turn($B$1,$A657)</f>
        <v>0.26982507293314001</v>
      </c>
      <c r="F657" cm="1">
        <f t="array" aca="1" ref="F657" ca="1">[1]!s_val_pe_ttm($B$1,$A657)</f>
        <v>-80.561050415039105</v>
      </c>
    </row>
    <row r="658" spans="1:6">
      <c r="A658" s="23">
        <f t="shared" ca="1" si="10"/>
        <v>45517</v>
      </c>
      <c r="B658" cm="1">
        <f t="array" aca="1" ref="B658" ca="1">[1]!s_dq_close($B$1,$A658,3)</f>
        <v>31.7</v>
      </c>
      <c r="C658" cm="1">
        <f t="array" aca="1" ref="C658" ca="1">[1]!s_dq_volume($B$1,$A658)</f>
        <v>1509588</v>
      </c>
      <c r="D658" cm="1">
        <f t="array" aca="1" ref="D658" ca="1">[1]!s_dq_amount($B$1,$A658)</f>
        <v>47375778</v>
      </c>
      <c r="E658" cm="1">
        <f t="array" aca="1" ref="E658" ca="1">[1]!s_dq_turn($B$1,$A658)</f>
        <v>0.17324509790285</v>
      </c>
      <c r="F658" cm="1">
        <f t="array" aca="1" ref="F658" ca="1">[1]!s_val_pe_ttm($B$1,$A658)</f>
        <v>-84.283340454101605</v>
      </c>
    </row>
    <row r="659" spans="1:6">
      <c r="A659" s="23">
        <f t="shared" ca="1" si="10"/>
        <v>45516</v>
      </c>
      <c r="B659" cm="1">
        <f t="array" aca="1" ref="B659" ca="1">[1]!s_dq_close($B$1,$A659,3)</f>
        <v>31.75</v>
      </c>
      <c r="C659" cm="1">
        <f t="array" aca="1" ref="C659" ca="1">[1]!s_dq_volume($B$1,$A659)</f>
        <v>2406327</v>
      </c>
      <c r="D659" cm="1">
        <f t="array" aca="1" ref="D659" ca="1">[1]!s_dq_amount($B$1,$A659)</f>
        <v>76669542</v>
      </c>
      <c r="E659" cm="1">
        <f t="array" aca="1" ref="E659" ca="1">[1]!s_dq_turn($B$1,$A659)</f>
        <v>0.27615770442085602</v>
      </c>
      <c r="F659" cm="1">
        <f t="array" aca="1" ref="F659" ca="1">[1]!s_val_pe_ttm($B$1,$A659)</f>
        <v>-84.416275024414105</v>
      </c>
    </row>
    <row r="660" spans="1:6">
      <c r="A660" s="23">
        <f t="shared" ca="1" si="10"/>
        <v>45515</v>
      </c>
      <c r="B660" cm="1">
        <f t="array" aca="1" ref="B660" ca="1">[1]!s_dq_close($B$1,$A660,3)</f>
        <v>31.15</v>
      </c>
      <c r="C660" cm="1">
        <f t="array" aca="1" ref="C660" ca="1">[1]!s_dq_volume($B$1,$A660)</f>
        <v>0</v>
      </c>
      <c r="D660" cm="1">
        <f t="array" aca="1" ref="D660" ca="1">[1]!s_dq_amount($B$1,$A660)</f>
        <v>0</v>
      </c>
      <c r="E660" cm="1">
        <f t="array" aca="1" ref="E660" ca="1">[1]!s_dq_turn($B$1,$A660)</f>
        <v>0</v>
      </c>
      <c r="F660" cm="1">
        <f t="array" aca="1" ref="F660" ca="1">[1]!s_val_pe_ttm($B$1,$A660)</f>
        <v>-82.821006774902301</v>
      </c>
    </row>
    <row r="661" spans="1:6">
      <c r="A661" s="23">
        <f t="shared" ca="1" si="10"/>
        <v>45514</v>
      </c>
      <c r="B661" cm="1">
        <f t="array" aca="1" ref="B661" ca="1">[1]!s_dq_close($B$1,$A661,3)</f>
        <v>31.15</v>
      </c>
      <c r="C661" cm="1">
        <f t="array" aca="1" ref="C661" ca="1">[1]!s_dq_volume($B$1,$A661)</f>
        <v>0</v>
      </c>
      <c r="D661" cm="1">
        <f t="array" aca="1" ref="D661" ca="1">[1]!s_dq_amount($B$1,$A661)</f>
        <v>0</v>
      </c>
      <c r="E661" cm="1">
        <f t="array" aca="1" ref="E661" ca="1">[1]!s_dq_turn($B$1,$A661)</f>
        <v>0</v>
      </c>
      <c r="F661" cm="1">
        <f t="array" aca="1" ref="F661" ca="1">[1]!s_val_pe_ttm($B$1,$A661)</f>
        <v>-82.821006774902301</v>
      </c>
    </row>
    <row r="662" spans="1:6">
      <c r="A662" s="23">
        <f t="shared" ca="1" si="10"/>
        <v>45513</v>
      </c>
      <c r="B662" cm="1">
        <f t="array" aca="1" ref="B662" ca="1">[1]!s_dq_close($B$1,$A662,3)</f>
        <v>31.15</v>
      </c>
      <c r="C662" cm="1">
        <f t="array" aca="1" ref="C662" ca="1">[1]!s_dq_volume($B$1,$A662)</f>
        <v>1850030</v>
      </c>
      <c r="D662" cm="1">
        <f t="array" aca="1" ref="D662" ca="1">[1]!s_dq_amount($B$1,$A662)</f>
        <v>58104806</v>
      </c>
      <c r="E662" cm="1">
        <f t="array" aca="1" ref="E662" ca="1">[1]!s_dq_turn($B$1,$A662)</f>
        <v>0.21231529958717901</v>
      </c>
      <c r="F662" cm="1">
        <f t="array" aca="1" ref="F662" ca="1">[1]!s_val_pe_ttm($B$1,$A662)</f>
        <v>-82.821006774902301</v>
      </c>
    </row>
    <row r="663" spans="1:6">
      <c r="A663" s="23">
        <f t="shared" ca="1" si="10"/>
        <v>45512</v>
      </c>
      <c r="B663" cm="1">
        <f t="array" aca="1" ref="B663" ca="1">[1]!s_dq_close($B$1,$A663,3)</f>
        <v>31.1</v>
      </c>
      <c r="C663" cm="1">
        <f t="array" aca="1" ref="C663" ca="1">[1]!s_dq_volume($B$1,$A663)</f>
        <v>1658121</v>
      </c>
      <c r="D663" cm="1">
        <f t="array" aca="1" ref="D663" ca="1">[1]!s_dq_amount($B$1,$A663)</f>
        <v>51510300</v>
      </c>
      <c r="E663" cm="1">
        <f t="array" aca="1" ref="E663" ca="1">[1]!s_dq_turn($B$1,$A663)</f>
        <v>0.19029121520558701</v>
      </c>
      <c r="F663" cm="1">
        <f t="array" aca="1" ref="F663" ca="1">[1]!s_val_pe_ttm($B$1,$A663)</f>
        <v>-82.688072204589801</v>
      </c>
    </row>
    <row r="664" spans="1:6">
      <c r="A664" s="23">
        <f t="shared" ca="1" si="10"/>
        <v>45511</v>
      </c>
      <c r="B664" cm="1">
        <f t="array" aca="1" ref="B664" ca="1">[1]!s_dq_close($B$1,$A664,3)</f>
        <v>31.3</v>
      </c>
      <c r="C664" cm="1">
        <f t="array" aca="1" ref="C664" ca="1">[1]!s_dq_volume($B$1,$A664)</f>
        <v>3805726</v>
      </c>
      <c r="D664" cm="1">
        <f t="array" aca="1" ref="D664" ca="1">[1]!s_dq_amount($B$1,$A664)</f>
        <v>119576740</v>
      </c>
      <c r="E664" cm="1">
        <f t="array" aca="1" ref="E664" ca="1">[1]!s_dq_turn($B$1,$A664)</f>
        <v>0.43675716384962099</v>
      </c>
      <c r="F664" cm="1">
        <f t="array" aca="1" ref="F664" ca="1">[1]!s_val_pe_ttm($B$1,$A664)</f>
        <v>-83.219825744628906</v>
      </c>
    </row>
    <row r="665" spans="1:6">
      <c r="A665" s="23">
        <f t="shared" ca="1" si="10"/>
        <v>45510</v>
      </c>
      <c r="B665" cm="1">
        <f t="array" aca="1" ref="B665" ca="1">[1]!s_dq_close($B$1,$A665,3)</f>
        <v>31.2</v>
      </c>
      <c r="C665" cm="1">
        <f t="array" aca="1" ref="C665" ca="1">[1]!s_dq_volume($B$1,$A665)</f>
        <v>5381500</v>
      </c>
      <c r="D665" cm="1">
        <f t="array" aca="1" ref="D665" ca="1">[1]!s_dq_amount($B$1,$A665)</f>
        <v>165125613</v>
      </c>
      <c r="E665" cm="1">
        <f t="array" aca="1" ref="E665" ca="1">[1]!s_dq_turn($B$1,$A665)</f>
        <v>0.61759797664275795</v>
      </c>
      <c r="F665" cm="1">
        <f t="array" aca="1" ref="F665" ca="1">[1]!s_val_pe_ttm($B$1,$A665)</f>
        <v>-82.953948974609403</v>
      </c>
    </row>
    <row r="666" spans="1:6">
      <c r="A666" s="23">
        <f t="shared" ca="1" si="10"/>
        <v>45509</v>
      </c>
      <c r="B666" cm="1">
        <f t="array" aca="1" ref="B666" ca="1">[1]!s_dq_close($B$1,$A666,3)</f>
        <v>29.1</v>
      </c>
      <c r="C666" cm="1">
        <f t="array" aca="1" ref="C666" ca="1">[1]!s_dq_volume($B$1,$A666)</f>
        <v>5094227</v>
      </c>
      <c r="D666" cm="1">
        <f t="array" aca="1" ref="D666" ca="1">[1]!s_dq_amount($B$1,$A666)</f>
        <v>148001740</v>
      </c>
      <c r="E666" cm="1">
        <f t="array" aca="1" ref="E666" ca="1">[1]!s_dq_turn($B$1,$A666)</f>
        <v>0.58462961771976296</v>
      </c>
      <c r="F666" cm="1">
        <f t="array" aca="1" ref="F666" ca="1">[1]!s_val_pe_ttm($B$1,$A666)</f>
        <v>-77.370513916015597</v>
      </c>
    </row>
    <row r="667" spans="1:6">
      <c r="A667" s="23">
        <f t="shared" ca="1" si="10"/>
        <v>45508</v>
      </c>
      <c r="B667" cm="1">
        <f t="array" aca="1" ref="B667" ca="1">[1]!s_dq_close($B$1,$A667,3)</f>
        <v>28.8</v>
      </c>
      <c r="C667" cm="1">
        <f t="array" aca="1" ref="C667" ca="1">[1]!s_dq_volume($B$1,$A667)</f>
        <v>0</v>
      </c>
      <c r="D667" cm="1">
        <f t="array" aca="1" ref="D667" ca="1">[1]!s_dq_amount($B$1,$A667)</f>
        <v>0</v>
      </c>
      <c r="E667" cm="1">
        <f t="array" aca="1" ref="E667" ca="1">[1]!s_dq_turn($B$1,$A667)</f>
        <v>0</v>
      </c>
      <c r="F667" cm="1">
        <f t="array" aca="1" ref="F667" ca="1">[1]!s_val_pe_ttm($B$1,$A667)</f>
        <v>-76.5728759765625</v>
      </c>
    </row>
    <row r="668" spans="1:6">
      <c r="A668" s="23">
        <f t="shared" ca="1" si="10"/>
        <v>45507</v>
      </c>
      <c r="B668" cm="1">
        <f t="array" aca="1" ref="B668" ca="1">[1]!s_dq_close($B$1,$A668,3)</f>
        <v>28.8</v>
      </c>
      <c r="C668" cm="1">
        <f t="array" aca="1" ref="C668" ca="1">[1]!s_dq_volume($B$1,$A668)</f>
        <v>0</v>
      </c>
      <c r="D668" cm="1">
        <f t="array" aca="1" ref="D668" ca="1">[1]!s_dq_amount($B$1,$A668)</f>
        <v>0</v>
      </c>
      <c r="E668" cm="1">
        <f t="array" aca="1" ref="E668" ca="1">[1]!s_dq_turn($B$1,$A668)</f>
        <v>0</v>
      </c>
      <c r="F668" cm="1">
        <f t="array" aca="1" ref="F668" ca="1">[1]!s_val_pe_ttm($B$1,$A668)</f>
        <v>-76.5728759765625</v>
      </c>
    </row>
    <row r="669" spans="1:6">
      <c r="A669" s="23">
        <f t="shared" ca="1" si="10"/>
        <v>45506</v>
      </c>
      <c r="B669" cm="1">
        <f t="array" aca="1" ref="B669" ca="1">[1]!s_dq_close($B$1,$A669,3)</f>
        <v>28.8</v>
      </c>
      <c r="C669" cm="1">
        <f t="array" aca="1" ref="C669" ca="1">[1]!s_dq_volume($B$1,$A669)</f>
        <v>1958237</v>
      </c>
      <c r="D669" cm="1">
        <f t="array" aca="1" ref="D669" ca="1">[1]!s_dq_amount($B$1,$A669)</f>
        <v>57102676</v>
      </c>
      <c r="E669" cm="1">
        <f t="array" aca="1" ref="E669" ca="1">[1]!s_dq_turn($B$1,$A669)</f>
        <v>0.22473347746668901</v>
      </c>
      <c r="F669" cm="1">
        <f t="array" aca="1" ref="F669" ca="1">[1]!s_val_pe_ttm($B$1,$A669)</f>
        <v>-76.5728759765625</v>
      </c>
    </row>
    <row r="670" spans="1:6">
      <c r="A670" s="23">
        <f t="shared" ca="1" si="10"/>
        <v>45505</v>
      </c>
      <c r="B670" cm="1">
        <f t="array" aca="1" ref="B670" ca="1">[1]!s_dq_close($B$1,$A670,3)</f>
        <v>29.45</v>
      </c>
      <c r="C670" cm="1">
        <f t="array" aca="1" ref="C670" ca="1">[1]!s_dq_volume($B$1,$A670)</f>
        <v>4012794</v>
      </c>
      <c r="D670" cm="1">
        <f t="array" aca="1" ref="D670" ca="1">[1]!s_dq_amount($B$1,$A670)</f>
        <v>118378724</v>
      </c>
      <c r="E670" cm="1">
        <f t="array" aca="1" ref="E670" ca="1">[1]!s_dq_turn($B$1,$A670)</f>
        <v>0.46052094306126501</v>
      </c>
      <c r="F670" cm="1">
        <f t="array" aca="1" ref="F670" ca="1">[1]!s_val_pe_ttm($B$1,$A670)</f>
        <v>-78.301086425781193</v>
      </c>
    </row>
    <row r="671" spans="1:6">
      <c r="A671" s="23">
        <f t="shared" ca="1" si="10"/>
        <v>45504</v>
      </c>
      <c r="B671" cm="1">
        <f t="array" aca="1" ref="B671" ca="1">[1]!s_dq_close($B$1,$A671,3)</f>
        <v>30.25</v>
      </c>
      <c r="C671" cm="1">
        <f t="array" aca="1" ref="C671" ca="1">[1]!s_dq_volume($B$1,$A671)</f>
        <v>5441294</v>
      </c>
      <c r="D671" cm="1">
        <f t="array" aca="1" ref="D671" ca="1">[1]!s_dq_amount($B$1,$A671)</f>
        <v>162191945</v>
      </c>
      <c r="E671" cm="1">
        <f t="array" aca="1" ref="E671" ca="1">[1]!s_dq_turn($B$1,$A671)</f>
        <v>0.62446012537738105</v>
      </c>
      <c r="F671" cm="1">
        <f t="array" aca="1" ref="F671" ca="1">[1]!s_val_pe_ttm($B$1,$A671)</f>
        <v>33.494419097900398</v>
      </c>
    </row>
    <row r="672" spans="1:6">
      <c r="A672" s="23">
        <f t="shared" ca="1" si="10"/>
        <v>45503</v>
      </c>
      <c r="B672" cm="1">
        <f t="array" aca="1" ref="B672" ca="1">[1]!s_dq_close($B$1,$A672,3)</f>
        <v>28.6</v>
      </c>
      <c r="C672" cm="1">
        <f t="array" aca="1" ref="C672" ca="1">[1]!s_dq_volume($B$1,$A672)</f>
        <v>1816631</v>
      </c>
      <c r="D672" cm="1">
        <f t="array" aca="1" ref="D672" ca="1">[1]!s_dq_amount($B$1,$A672)</f>
        <v>51703385</v>
      </c>
      <c r="E672" cm="1">
        <f t="array" aca="1" ref="E672" ca="1">[1]!s_dq_turn($B$1,$A672)</f>
        <v>0.20848232461330701</v>
      </c>
      <c r="F672" cm="1">
        <f t="array" aca="1" ref="F672" ca="1">[1]!s_val_pe_ttm($B$1,$A672)</f>
        <v>31.639087677001999</v>
      </c>
    </row>
    <row r="673" spans="1:6">
      <c r="A673" s="23">
        <f t="shared" ca="1" si="10"/>
        <v>45502</v>
      </c>
      <c r="B673" cm="1">
        <f t="array" aca="1" ref="B673" ca="1">[1]!s_dq_close($B$1,$A673,3)</f>
        <v>28.9</v>
      </c>
      <c r="C673" cm="1">
        <f t="array" aca="1" ref="C673" ca="1">[1]!s_dq_volume($B$1,$A673)</f>
        <v>1395572</v>
      </c>
      <c r="D673" cm="1">
        <f t="array" aca="1" ref="D673" ca="1">[1]!s_dq_amount($B$1,$A673)</f>
        <v>40618653</v>
      </c>
      <c r="E673" cm="1">
        <f t="array" aca="1" ref="E673" ca="1">[1]!s_dq_turn($B$1,$A673)</f>
        <v>0.16016026079332699</v>
      </c>
      <c r="F673" cm="1">
        <f t="array" aca="1" ref="F673" ca="1">[1]!s_val_pe_ttm($B$1,$A673)</f>
        <v>31.9709663391113</v>
      </c>
    </row>
    <row r="674" spans="1:6">
      <c r="A674" s="23">
        <f t="shared" ca="1" si="10"/>
        <v>45501</v>
      </c>
      <c r="B674" cm="1">
        <f t="array" aca="1" ref="B674" ca="1">[1]!s_dq_close($B$1,$A674,3)</f>
        <v>29.05</v>
      </c>
      <c r="C674" cm="1">
        <f t="array" aca="1" ref="C674" ca="1">[1]!s_dq_volume($B$1,$A674)</f>
        <v>0</v>
      </c>
      <c r="D674" cm="1">
        <f t="array" aca="1" ref="D674" ca="1">[1]!s_dq_amount($B$1,$A674)</f>
        <v>0</v>
      </c>
      <c r="E674" cm="1">
        <f t="array" aca="1" ref="E674" ca="1">[1]!s_dq_turn($B$1,$A674)</f>
        <v>0</v>
      </c>
      <c r="F674" cm="1">
        <f t="array" aca="1" ref="F674" ca="1">[1]!s_val_pe_ttm($B$1,$A674)</f>
        <v>32.136905670166001</v>
      </c>
    </row>
    <row r="675" spans="1:6">
      <c r="A675" s="23">
        <f t="shared" ca="1" si="10"/>
        <v>45500</v>
      </c>
      <c r="B675" cm="1">
        <f t="array" aca="1" ref="B675" ca="1">[1]!s_dq_close($B$1,$A675,3)</f>
        <v>29.05</v>
      </c>
      <c r="C675" cm="1">
        <f t="array" aca="1" ref="C675" ca="1">[1]!s_dq_volume($B$1,$A675)</f>
        <v>0</v>
      </c>
      <c r="D675" cm="1">
        <f t="array" aca="1" ref="D675" ca="1">[1]!s_dq_amount($B$1,$A675)</f>
        <v>0</v>
      </c>
      <c r="E675" cm="1">
        <f t="array" aca="1" ref="E675" ca="1">[1]!s_dq_turn($B$1,$A675)</f>
        <v>0</v>
      </c>
      <c r="F675" cm="1">
        <f t="array" aca="1" ref="F675" ca="1">[1]!s_val_pe_ttm($B$1,$A675)</f>
        <v>32.136905670166001</v>
      </c>
    </row>
    <row r="676" spans="1:6">
      <c r="A676" s="23">
        <f t="shared" ca="1" si="10"/>
        <v>45499</v>
      </c>
      <c r="B676" cm="1">
        <f t="array" aca="1" ref="B676" ca="1">[1]!s_dq_close($B$1,$A676,3)</f>
        <v>29.05</v>
      </c>
      <c r="C676" cm="1">
        <f t="array" aca="1" ref="C676" ca="1">[1]!s_dq_volume($B$1,$A676)</f>
        <v>1254696</v>
      </c>
      <c r="D676" cm="1">
        <f t="array" aca="1" ref="D676" ca="1">[1]!s_dq_amount($B$1,$A676)</f>
        <v>36226051</v>
      </c>
      <c r="E676" cm="1">
        <f t="array" aca="1" ref="E676" ca="1">[1]!s_dq_turn($B$1,$A676)</f>
        <v>0.143992885050964</v>
      </c>
      <c r="F676" cm="1">
        <f t="array" aca="1" ref="F676" ca="1">[1]!s_val_pe_ttm($B$1,$A676)</f>
        <v>32.136905670166001</v>
      </c>
    </row>
    <row r="677" spans="1:6">
      <c r="A677" s="23">
        <f t="shared" ca="1" si="10"/>
        <v>45498</v>
      </c>
      <c r="B677" cm="1">
        <f t="array" aca="1" ref="B677" ca="1">[1]!s_dq_close($B$1,$A677,3)</f>
        <v>28.5</v>
      </c>
      <c r="C677" cm="1">
        <f t="array" aca="1" ref="C677" ca="1">[1]!s_dq_volume($B$1,$A677)</f>
        <v>2991945</v>
      </c>
      <c r="D677" cm="1">
        <f t="array" aca="1" ref="D677" ca="1">[1]!s_dq_amount($B$1,$A677)</f>
        <v>85489939</v>
      </c>
      <c r="E677" cm="1">
        <f t="array" aca="1" ref="E677" ca="1">[1]!s_dq_turn($B$1,$A677)</f>
        <v>0.34336508003835697</v>
      </c>
      <c r="F677" cm="1">
        <f t="array" aca="1" ref="F677" ca="1">[1]!s_val_pe_ttm($B$1,$A677)</f>
        <v>31.5284614562988</v>
      </c>
    </row>
    <row r="678" spans="1:6">
      <c r="A678" s="23">
        <f t="shared" ca="1" si="10"/>
        <v>45497</v>
      </c>
      <c r="B678" cm="1">
        <f t="array" aca="1" ref="B678" ca="1">[1]!s_dq_close($B$1,$A678,3)</f>
        <v>29.4</v>
      </c>
      <c r="C678" cm="1">
        <f t="array" aca="1" ref="C678" ca="1">[1]!s_dq_volume($B$1,$A678)</f>
        <v>3282647</v>
      </c>
      <c r="D678" cm="1">
        <f t="array" aca="1" ref="D678" ca="1">[1]!s_dq_amount($B$1,$A678)</f>
        <v>97002510</v>
      </c>
      <c r="E678" cm="1">
        <f t="array" aca="1" ref="E678" ca="1">[1]!s_dq_turn($B$1,$A678)</f>
        <v>0.37672696185680898</v>
      </c>
      <c r="F678" cm="1">
        <f t="array" aca="1" ref="F678" ca="1">[1]!s_val_pe_ttm($B$1,$A678)</f>
        <v>32.524097442627003</v>
      </c>
    </row>
    <row r="679" spans="1:6">
      <c r="A679" s="23">
        <f t="shared" ca="1" si="10"/>
        <v>45496</v>
      </c>
      <c r="B679" cm="1">
        <f t="array" aca="1" ref="B679" ca="1">[1]!s_dq_close($B$1,$A679,3)</f>
        <v>29.7</v>
      </c>
      <c r="C679" cm="1">
        <f t="array" aca="1" ref="C679" ca="1">[1]!s_dq_volume($B$1,$A679)</f>
        <v>4497147</v>
      </c>
      <c r="D679" cm="1">
        <f t="array" aca="1" ref="D679" ca="1">[1]!s_dq_amount($B$1,$A679)</f>
        <v>136002752</v>
      </c>
      <c r="E679" cm="1">
        <f t="array" aca="1" ref="E679" ca="1">[1]!s_dq_turn($B$1,$A679)</f>
        <v>0.51610682669609698</v>
      </c>
      <c r="F679" cm="1">
        <f t="array" aca="1" ref="F679" ca="1">[1]!s_val_pe_ttm($B$1,$A679)</f>
        <v>32.8559761047363</v>
      </c>
    </row>
    <row r="680" spans="1:6">
      <c r="A680" s="23">
        <f t="shared" ca="1" si="10"/>
        <v>45495</v>
      </c>
      <c r="B680" cm="1">
        <f t="array" aca="1" ref="B680" ca="1">[1]!s_dq_close($B$1,$A680,3)</f>
        <v>31.25</v>
      </c>
      <c r="C680" cm="1">
        <f t="array" aca="1" ref="C680" ca="1">[1]!s_dq_volume($B$1,$A680)</f>
        <v>3274000</v>
      </c>
      <c r="D680" cm="1">
        <f t="array" aca="1" ref="D680" ca="1">[1]!s_dq_amount($B$1,$A680)</f>
        <v>101174787</v>
      </c>
      <c r="E680" cm="1">
        <f t="array" aca="1" ref="E680" ca="1">[1]!s_dq_turn($B$1,$A680)</f>
        <v>0.37573460476231302</v>
      </c>
      <c r="F680" cm="1">
        <f t="array" aca="1" ref="F680" ca="1">[1]!s_val_pe_ttm($B$1,$A680)</f>
        <v>34.570682525634801</v>
      </c>
    </row>
    <row r="681" spans="1:6">
      <c r="A681" s="23">
        <f t="shared" ca="1" si="10"/>
        <v>45494</v>
      </c>
      <c r="B681" cm="1">
        <f t="array" aca="1" ref="B681" ca="1">[1]!s_dq_close($B$1,$A681,3)</f>
        <v>29.6</v>
      </c>
      <c r="C681" cm="1">
        <f t="array" aca="1" ref="C681" ca="1">[1]!s_dq_volume($B$1,$A681)</f>
        <v>0</v>
      </c>
      <c r="D681" cm="1">
        <f t="array" aca="1" ref="D681" ca="1">[1]!s_dq_amount($B$1,$A681)</f>
        <v>0</v>
      </c>
      <c r="E681" cm="1">
        <f t="array" aca="1" ref="E681" ca="1">[1]!s_dq_turn($B$1,$A681)</f>
        <v>0</v>
      </c>
      <c r="F681" cm="1">
        <f t="array" aca="1" ref="F681" ca="1">[1]!s_val_pe_ttm($B$1,$A681)</f>
        <v>32.745349884033203</v>
      </c>
    </row>
    <row r="682" spans="1:6">
      <c r="A682" s="23">
        <f t="shared" ca="1" si="10"/>
        <v>45493</v>
      </c>
      <c r="B682" cm="1">
        <f t="array" aca="1" ref="B682" ca="1">[1]!s_dq_close($B$1,$A682,3)</f>
        <v>29.6</v>
      </c>
      <c r="C682" cm="1">
        <f t="array" aca="1" ref="C682" ca="1">[1]!s_dq_volume($B$1,$A682)</f>
        <v>0</v>
      </c>
      <c r="D682" cm="1">
        <f t="array" aca="1" ref="D682" ca="1">[1]!s_dq_amount($B$1,$A682)</f>
        <v>0</v>
      </c>
      <c r="E682" cm="1">
        <f t="array" aca="1" ref="E682" ca="1">[1]!s_dq_turn($B$1,$A682)</f>
        <v>0</v>
      </c>
      <c r="F682" cm="1">
        <f t="array" aca="1" ref="F682" ca="1">[1]!s_val_pe_ttm($B$1,$A682)</f>
        <v>32.745349884033203</v>
      </c>
    </row>
    <row r="683" spans="1:6">
      <c r="A683" s="23">
        <f t="shared" ca="1" si="10"/>
        <v>45492</v>
      </c>
      <c r="B683" cm="1">
        <f t="array" aca="1" ref="B683" ca="1">[1]!s_dq_close($B$1,$A683,3)</f>
        <v>29.6</v>
      </c>
      <c r="C683" cm="1">
        <f t="array" aca="1" ref="C683" ca="1">[1]!s_dq_volume($B$1,$A683)</f>
        <v>3189648</v>
      </c>
      <c r="D683" cm="1">
        <f t="array" aca="1" ref="D683" ca="1">[1]!s_dq_amount($B$1,$A683)</f>
        <v>95318127</v>
      </c>
      <c r="E683" cm="1">
        <f t="array" aca="1" ref="E683" ca="1">[1]!s_dq_turn($B$1,$A683)</f>
        <v>0.36605410220247497</v>
      </c>
      <c r="F683" cm="1">
        <f t="array" aca="1" ref="F683" ca="1">[1]!s_val_pe_ttm($B$1,$A683)</f>
        <v>32.745349884033203</v>
      </c>
    </row>
    <row r="684" spans="1:6">
      <c r="A684" s="23">
        <f t="shared" ca="1" si="10"/>
        <v>45491</v>
      </c>
      <c r="B684" cm="1">
        <f t="array" aca="1" ref="B684" ca="1">[1]!s_dq_close($B$1,$A684,3)</f>
        <v>30.55</v>
      </c>
      <c r="C684" cm="1">
        <f t="array" aca="1" ref="C684" ca="1">[1]!s_dq_volume($B$1,$A684)</f>
        <v>2145000</v>
      </c>
      <c r="D684" cm="1">
        <f t="array" aca="1" ref="D684" ca="1">[1]!s_dq_amount($B$1,$A684)</f>
        <v>65259850</v>
      </c>
      <c r="E684" cm="1">
        <f t="array" aca="1" ref="E684" ca="1">[1]!s_dq_turn($B$1,$A684)</f>
        <v>0.246166990597178</v>
      </c>
      <c r="F684" cm="1">
        <f t="array" aca="1" ref="F684" ca="1">[1]!s_val_pe_ttm($B$1,$A684)</f>
        <v>33.796298980712898</v>
      </c>
    </row>
    <row r="685" spans="1:6">
      <c r="A685" s="23">
        <f t="shared" ca="1" si="10"/>
        <v>45490</v>
      </c>
      <c r="B685" cm="1">
        <f t="array" aca="1" ref="B685" ca="1">[1]!s_dq_close($B$1,$A685,3)</f>
        <v>30.1</v>
      </c>
      <c r="C685" cm="1">
        <f t="array" aca="1" ref="C685" ca="1">[1]!s_dq_volume($B$1,$A685)</f>
        <v>4614791</v>
      </c>
      <c r="D685" cm="1">
        <f t="array" aca="1" ref="D685" ca="1">[1]!s_dq_amount($B$1,$A685)</f>
        <v>138976301</v>
      </c>
      <c r="E685" cm="1">
        <f t="array" aca="1" ref="E685" ca="1">[1]!s_dq_turn($B$1,$A685)</f>
        <v>0.52960802457106904</v>
      </c>
      <c r="F685" cm="1">
        <f t="array" aca="1" ref="F685" ca="1">[1]!s_val_pe_ttm($B$1,$A685)</f>
        <v>33.2984809875488</v>
      </c>
    </row>
    <row r="686" spans="1:6">
      <c r="A686" s="23">
        <f t="shared" ca="1" si="10"/>
        <v>45489</v>
      </c>
      <c r="B686" cm="1">
        <f t="array" aca="1" ref="B686" ca="1">[1]!s_dq_close($B$1,$A686,3)</f>
        <v>29.3</v>
      </c>
      <c r="C686" cm="1">
        <f t="array" aca="1" ref="C686" ca="1">[1]!s_dq_volume($B$1,$A686)</f>
        <v>3795500</v>
      </c>
      <c r="D686" cm="1">
        <f t="array" aca="1" ref="D686" ca="1">[1]!s_dq_amount($B$1,$A686)</f>
        <v>111557074</v>
      </c>
      <c r="E686" cm="1">
        <f t="array" aca="1" ref="E686" ca="1">[1]!s_dq_turn($B$1,$A686)</f>
        <v>0.43558359571635902</v>
      </c>
      <c r="F686" cm="1">
        <f t="array" aca="1" ref="F686" ca="1">[1]!s_val_pe_ttm($B$1,$A686)</f>
        <v>32.4134712219238</v>
      </c>
    </row>
    <row r="687" spans="1:6">
      <c r="A687" s="23">
        <f t="shared" ca="1" si="10"/>
        <v>45488</v>
      </c>
      <c r="B687" cm="1">
        <f t="array" aca="1" ref="B687" ca="1">[1]!s_dq_close($B$1,$A687,3)</f>
        <v>29.95</v>
      </c>
      <c r="C687" cm="1">
        <f t="array" aca="1" ref="C687" ca="1">[1]!s_dq_volume($B$1,$A687)</f>
        <v>3524523</v>
      </c>
      <c r="D687" cm="1">
        <f t="array" aca="1" ref="D687" ca="1">[1]!s_dq_amount($B$1,$A687)</f>
        <v>106036317</v>
      </c>
      <c r="E687" cm="1">
        <f t="array" aca="1" ref="E687" ca="1">[1]!s_dq_turn($B$1,$A687)</f>
        <v>0.40448541734290899</v>
      </c>
      <c r="F687" cm="1">
        <f t="array" aca="1" ref="F687" ca="1">[1]!s_val_pe_ttm($B$1,$A687)</f>
        <v>33.132541656494098</v>
      </c>
    </row>
    <row r="688" spans="1:6">
      <c r="A688" s="23">
        <f t="shared" ca="1" si="10"/>
        <v>45487</v>
      </c>
      <c r="B688" cm="1">
        <f t="array" aca="1" ref="B688" ca="1">[1]!s_dq_close($B$1,$A688,3)</f>
        <v>29.75</v>
      </c>
      <c r="C688" cm="1">
        <f t="array" aca="1" ref="C688" ca="1">[1]!s_dq_volume($B$1,$A688)</f>
        <v>0</v>
      </c>
      <c r="D688" cm="1">
        <f t="array" aca="1" ref="D688" ca="1">[1]!s_dq_amount($B$1,$A688)</f>
        <v>0</v>
      </c>
      <c r="E688" cm="1">
        <f t="array" aca="1" ref="E688" ca="1">[1]!s_dq_turn($B$1,$A688)</f>
        <v>0</v>
      </c>
      <c r="F688" cm="1">
        <f t="array" aca="1" ref="F688" ca="1">[1]!s_val_pe_ttm($B$1,$A688)</f>
        <v>32.911289215087898</v>
      </c>
    </row>
    <row r="689" spans="1:6">
      <c r="A689" s="23">
        <f t="shared" ca="1" si="10"/>
        <v>45486</v>
      </c>
      <c r="B689" cm="1">
        <f t="array" aca="1" ref="B689" ca="1">[1]!s_dq_close($B$1,$A689,3)</f>
        <v>29.75</v>
      </c>
      <c r="C689" cm="1">
        <f t="array" aca="1" ref="C689" ca="1">[1]!s_dq_volume($B$1,$A689)</f>
        <v>0</v>
      </c>
      <c r="D689" cm="1">
        <f t="array" aca="1" ref="D689" ca="1">[1]!s_dq_amount($B$1,$A689)</f>
        <v>0</v>
      </c>
      <c r="E689" cm="1">
        <f t="array" aca="1" ref="E689" ca="1">[1]!s_dq_turn($B$1,$A689)</f>
        <v>0</v>
      </c>
      <c r="F689" cm="1">
        <f t="array" aca="1" ref="F689" ca="1">[1]!s_val_pe_ttm($B$1,$A689)</f>
        <v>32.911289215087898</v>
      </c>
    </row>
    <row r="690" spans="1:6">
      <c r="A690" s="23">
        <f t="shared" ca="1" si="10"/>
        <v>45485</v>
      </c>
      <c r="B690" cm="1">
        <f t="array" aca="1" ref="B690" ca="1">[1]!s_dq_close($B$1,$A690,3)</f>
        <v>29.75</v>
      </c>
      <c r="C690" cm="1">
        <f t="array" aca="1" ref="C690" ca="1">[1]!s_dq_volume($B$1,$A690)</f>
        <v>7155212</v>
      </c>
      <c r="D690" cm="1">
        <f t="array" aca="1" ref="D690" ca="1">[1]!s_dq_amount($B$1,$A690)</f>
        <v>212317985</v>
      </c>
      <c r="E690" cm="1">
        <f t="array" aca="1" ref="E690" ca="1">[1]!s_dq_turn($B$1,$A690)</f>
        <v>0.82115478094397099</v>
      </c>
      <c r="F690" cm="1">
        <f t="array" aca="1" ref="F690" ca="1">[1]!s_val_pe_ttm($B$1,$A690)</f>
        <v>32.911289215087898</v>
      </c>
    </row>
    <row r="691" spans="1:6">
      <c r="A691" s="23">
        <f t="shared" ca="1" si="10"/>
        <v>45484</v>
      </c>
      <c r="B691" cm="1">
        <f t="array" aca="1" ref="B691" ca="1">[1]!s_dq_close($B$1,$A691,3)</f>
        <v>27.75</v>
      </c>
      <c r="C691" cm="1">
        <f t="array" aca="1" ref="C691" ca="1">[1]!s_dq_volume($B$1,$A691)</f>
        <v>5397854</v>
      </c>
      <c r="D691" cm="1">
        <f t="array" aca="1" ref="D691" ca="1">[1]!s_dq_amount($B$1,$A691)</f>
        <v>149704483</v>
      </c>
      <c r="E691" cm="1">
        <f t="array" aca="1" ref="E691" ca="1">[1]!s_dq_turn($B$1,$A691)</f>
        <v>0.61947481345591704</v>
      </c>
      <c r="F691" cm="1">
        <f t="array" aca="1" ref="F691" ca="1">[1]!s_val_pe_ttm($B$1,$A691)</f>
        <v>30.698764801025401</v>
      </c>
    </row>
    <row r="692" spans="1:6">
      <c r="A692" s="23">
        <f t="shared" ca="1" si="10"/>
        <v>45483</v>
      </c>
      <c r="B692" cm="1">
        <f t="array" aca="1" ref="B692" ca="1">[1]!s_dq_close($B$1,$A692,3)</f>
        <v>27</v>
      </c>
      <c r="C692" cm="1">
        <f t="array" aca="1" ref="C692" ca="1">[1]!s_dq_volume($B$1,$A692)</f>
        <v>2698392</v>
      </c>
      <c r="D692" cm="1">
        <f t="array" aca="1" ref="D692" ca="1">[1]!s_dq_amount($B$1,$A692)</f>
        <v>72484848</v>
      </c>
      <c r="E692" cm="1">
        <f t="array" aca="1" ref="E692" ca="1">[1]!s_dq_turn($B$1,$A692)</f>
        <v>0.30967600843426601</v>
      </c>
      <c r="F692" cm="1">
        <f t="array" aca="1" ref="F692" ca="1">[1]!s_val_pe_ttm($B$1,$A692)</f>
        <v>29.869068145751999</v>
      </c>
    </row>
    <row r="693" spans="1:6">
      <c r="A693" s="23">
        <f t="shared" ca="1" si="10"/>
        <v>45482</v>
      </c>
      <c r="B693" cm="1">
        <f t="array" aca="1" ref="B693" ca="1">[1]!s_dq_close($B$1,$A693,3)</f>
        <v>26.95</v>
      </c>
      <c r="C693" cm="1">
        <f t="array" aca="1" ref="C693" ca="1">[1]!s_dq_volume($B$1,$A693)</f>
        <v>2315231</v>
      </c>
      <c r="D693" cm="1">
        <f t="array" aca="1" ref="D693" ca="1">[1]!s_dq_amount($B$1,$A693)</f>
        <v>62211601</v>
      </c>
      <c r="E693" cm="1">
        <f t="array" aca="1" ref="E693" ca="1">[1]!s_dq_turn($B$1,$A693)</f>
        <v>0.26570323907100002</v>
      </c>
      <c r="F693" cm="1">
        <f t="array" aca="1" ref="F693" ca="1">[1]!s_val_pe_ttm($B$1,$A693)</f>
        <v>29.813755035400401</v>
      </c>
    </row>
    <row r="694" spans="1:6">
      <c r="A694" s="23">
        <f t="shared" ca="1" si="10"/>
        <v>45481</v>
      </c>
      <c r="B694" cm="1">
        <f t="array" aca="1" ref="B694" ca="1">[1]!s_dq_close($B$1,$A694,3)</f>
        <v>26.8</v>
      </c>
      <c r="C694" cm="1">
        <f t="array" aca="1" ref="C694" ca="1">[1]!s_dq_volume($B$1,$A694)</f>
        <v>3175688</v>
      </c>
      <c r="D694" cm="1">
        <f t="array" aca="1" ref="D694" ca="1">[1]!s_dq_amount($B$1,$A694)</f>
        <v>86664931</v>
      </c>
      <c r="E694" cm="1">
        <f t="array" aca="1" ref="E694" ca="1">[1]!s_dq_turn($B$1,$A694)</f>
        <v>0.36445200840819197</v>
      </c>
      <c r="F694" cm="1">
        <f t="array" aca="1" ref="F694" ca="1">[1]!s_val_pe_ttm($B$1,$A694)</f>
        <v>29.6478157043457</v>
      </c>
    </row>
    <row r="695" spans="1:6">
      <c r="A695" s="23">
        <f t="shared" ca="1" si="10"/>
        <v>45480</v>
      </c>
      <c r="B695" cm="1">
        <f t="array" aca="1" ref="B695" ca="1">[1]!s_dq_close($B$1,$A695,3)</f>
        <v>28.85</v>
      </c>
      <c r="C695" cm="1">
        <f t="array" aca="1" ref="C695" ca="1">[1]!s_dq_volume($B$1,$A695)</f>
        <v>0</v>
      </c>
      <c r="D695" cm="1">
        <f t="array" aca="1" ref="D695" ca="1">[1]!s_dq_amount($B$1,$A695)</f>
        <v>0</v>
      </c>
      <c r="E695" cm="1">
        <f t="array" aca="1" ref="E695" ca="1">[1]!s_dq_turn($B$1,$A695)</f>
        <v>0</v>
      </c>
      <c r="F695" cm="1">
        <f t="array" aca="1" ref="F695" ca="1">[1]!s_val_pe_ttm($B$1,$A695)</f>
        <v>31.915653228759801</v>
      </c>
    </row>
    <row r="696" spans="1:6">
      <c r="A696" s="23">
        <f t="shared" ca="1" si="10"/>
        <v>45479</v>
      </c>
      <c r="B696" cm="1">
        <f t="array" aca="1" ref="B696" ca="1">[1]!s_dq_close($B$1,$A696,3)</f>
        <v>28.85</v>
      </c>
      <c r="C696" cm="1">
        <f t="array" aca="1" ref="C696" ca="1">[1]!s_dq_volume($B$1,$A696)</f>
        <v>0</v>
      </c>
      <c r="D696" cm="1">
        <f t="array" aca="1" ref="D696" ca="1">[1]!s_dq_amount($B$1,$A696)</f>
        <v>0</v>
      </c>
      <c r="E696" cm="1">
        <f t="array" aca="1" ref="E696" ca="1">[1]!s_dq_turn($B$1,$A696)</f>
        <v>0</v>
      </c>
      <c r="F696" cm="1">
        <f t="array" aca="1" ref="F696" ca="1">[1]!s_val_pe_ttm($B$1,$A696)</f>
        <v>31.915653228759801</v>
      </c>
    </row>
    <row r="697" spans="1:6">
      <c r="A697" s="23">
        <f t="shared" ca="1" si="10"/>
        <v>45478</v>
      </c>
      <c r="B697" cm="1">
        <f t="array" aca="1" ref="B697" ca="1">[1]!s_dq_close($B$1,$A697,3)</f>
        <v>28.85</v>
      </c>
      <c r="C697" cm="1">
        <f t="array" aca="1" ref="C697" ca="1">[1]!s_dq_volume($B$1,$A697)</f>
        <v>3318000</v>
      </c>
      <c r="D697" cm="1">
        <f t="array" aca="1" ref="D697" ca="1">[1]!s_dq_amount($B$1,$A697)</f>
        <v>93534900</v>
      </c>
      <c r="E697" cm="1">
        <f t="array" aca="1" ref="E697" ca="1">[1]!s_dq_turn($B$1,$A697)</f>
        <v>0.38078418405661402</v>
      </c>
      <c r="F697" cm="1">
        <f t="array" aca="1" ref="F697" ca="1">[1]!s_val_pe_ttm($B$1,$A697)</f>
        <v>31.915653228759801</v>
      </c>
    </row>
    <row r="698" spans="1:6">
      <c r="A698" s="23">
        <f t="shared" ca="1" si="10"/>
        <v>45477</v>
      </c>
      <c r="B698" cm="1">
        <f t="array" aca="1" ref="B698" ca="1">[1]!s_dq_close($B$1,$A698,3)</f>
        <v>27.25</v>
      </c>
      <c r="C698" cm="1">
        <f t="array" aca="1" ref="C698" ca="1">[1]!s_dq_volume($B$1,$A698)</f>
        <v>1542000</v>
      </c>
      <c r="D698" cm="1">
        <f t="array" aca="1" ref="D698" ca="1">[1]!s_dq_amount($B$1,$A698)</f>
        <v>42125112</v>
      </c>
      <c r="E698" cm="1">
        <f t="array" aca="1" ref="E698" ca="1">[1]!s_dq_turn($B$1,$A698)</f>
        <v>0.17696480163209699</v>
      </c>
      <c r="F698" cm="1">
        <f t="array" aca="1" ref="F698" ca="1">[1]!s_val_pe_ttm($B$1,$A698)</f>
        <v>30.145633697509801</v>
      </c>
    </row>
    <row r="699" spans="1:6">
      <c r="A699" s="23">
        <f t="shared" ca="1" si="10"/>
        <v>45476</v>
      </c>
      <c r="B699" cm="1">
        <f t="array" aca="1" ref="B699" ca="1">[1]!s_dq_close($B$1,$A699,3)</f>
        <v>27.55</v>
      </c>
      <c r="C699" cm="1">
        <f t="array" aca="1" ref="C699" ca="1">[1]!s_dq_volume($B$1,$A699)</f>
        <v>691500</v>
      </c>
      <c r="D699" cm="1">
        <f t="array" aca="1" ref="D699" ca="1">[1]!s_dq_amount($B$1,$A699)</f>
        <v>19005192</v>
      </c>
      <c r="E699" cm="1">
        <f t="array" aca="1" ref="E699" ca="1">[1]!s_dq_turn($B$1,$A699)</f>
        <v>7.9358729136572895E-2</v>
      </c>
      <c r="F699" cm="1">
        <f t="array" aca="1" ref="F699" ca="1">[1]!s_val_pe_ttm($B$1,$A699)</f>
        <v>30.477512359619102</v>
      </c>
    </row>
    <row r="700" spans="1:6">
      <c r="A700" s="23">
        <f t="shared" ca="1" si="10"/>
        <v>45475</v>
      </c>
      <c r="B700" cm="1">
        <f t="array" aca="1" ref="B700" ca="1">[1]!s_dq_close($B$1,$A700,3)</f>
        <v>27.15</v>
      </c>
      <c r="C700" cm="1">
        <f t="array" aca="1" ref="C700" ca="1">[1]!s_dq_volume($B$1,$A700)</f>
        <v>1285575</v>
      </c>
      <c r="D700" cm="1">
        <f t="array" aca="1" ref="D700" ca="1">[1]!s_dq_amount($B$1,$A700)</f>
        <v>35172633</v>
      </c>
      <c r="E700" cm="1">
        <f t="array" aca="1" ref="E700" ca="1">[1]!s_dq_turn($B$1,$A700)</f>
        <v>0.14753665684707101</v>
      </c>
      <c r="F700" cm="1">
        <f t="array" aca="1" ref="F700" ca="1">[1]!s_val_pe_ttm($B$1,$A700)</f>
        <v>30.031736373901399</v>
      </c>
    </row>
    <row r="701" spans="1:6">
      <c r="A701" s="23">
        <f t="shared" ca="1" si="10"/>
        <v>45474</v>
      </c>
      <c r="B701" cm="1">
        <f t="array" aca="1" ref="B701" ca="1">[1]!s_dq_close($B$1,$A701,3)</f>
        <v>27.5</v>
      </c>
      <c r="C701" cm="1">
        <f t="array" aca="1" ref="C701" ca="1">[1]!s_dq_volume($B$1,$A701)</f>
        <v>0</v>
      </c>
      <c r="D701" cm="1">
        <f t="array" aca="1" ref="D701" ca="1">[1]!s_dq_amount($B$1,$A701)</f>
        <v>0</v>
      </c>
      <c r="E701" cm="1">
        <f t="array" aca="1" ref="E701" ca="1">[1]!s_dq_turn($B$1,$A701)</f>
        <v>0</v>
      </c>
      <c r="F701" cm="1">
        <f t="array" aca="1" ref="F701" ca="1">[1]!s_val_pe_ttm($B$1,$A701)</f>
        <v>30.418886184692401</v>
      </c>
    </row>
    <row r="702" spans="1:6">
      <c r="A702" s="23">
        <f t="shared" ca="1" si="10"/>
        <v>45473</v>
      </c>
      <c r="B702" cm="1">
        <f t="array" aca="1" ref="B702" ca="1">[1]!s_dq_close($B$1,$A702,3)</f>
        <v>27.5</v>
      </c>
      <c r="C702" cm="1">
        <f t="array" aca="1" ref="C702" ca="1">[1]!s_dq_volume($B$1,$A702)</f>
        <v>0</v>
      </c>
      <c r="D702" cm="1">
        <f t="array" aca="1" ref="D702" ca="1">[1]!s_dq_amount($B$1,$A702)</f>
        <v>0</v>
      </c>
      <c r="E702" cm="1">
        <f t="array" aca="1" ref="E702" ca="1">[1]!s_dq_turn($B$1,$A702)</f>
        <v>0</v>
      </c>
      <c r="F702" cm="1">
        <f t="array" aca="1" ref="F702" ca="1">[1]!s_val_pe_ttm($B$1,$A702)</f>
        <v>30.418886184692401</v>
      </c>
    </row>
    <row r="703" spans="1:6">
      <c r="A703" s="23">
        <f t="shared" ca="1" si="10"/>
        <v>45472</v>
      </c>
      <c r="B703" cm="1">
        <f t="array" aca="1" ref="B703" ca="1">[1]!s_dq_close($B$1,$A703,3)</f>
        <v>27.5</v>
      </c>
      <c r="C703" cm="1">
        <f t="array" aca="1" ref="C703" ca="1">[1]!s_dq_volume($B$1,$A703)</f>
        <v>0</v>
      </c>
      <c r="D703" cm="1">
        <f t="array" aca="1" ref="D703" ca="1">[1]!s_dq_amount($B$1,$A703)</f>
        <v>0</v>
      </c>
      <c r="E703" cm="1">
        <f t="array" aca="1" ref="E703" ca="1">[1]!s_dq_turn($B$1,$A703)</f>
        <v>0</v>
      </c>
      <c r="F703" cm="1">
        <f t="array" aca="1" ref="F703" ca="1">[1]!s_val_pe_ttm($B$1,$A703)</f>
        <v>30.418886184692401</v>
      </c>
    </row>
    <row r="704" spans="1:6">
      <c r="A704" s="23">
        <f t="shared" ca="1" si="10"/>
        <v>45471</v>
      </c>
      <c r="B704" cm="1">
        <f t="array" aca="1" ref="B704" ca="1">[1]!s_dq_close($B$1,$A704,3)</f>
        <v>27.5</v>
      </c>
      <c r="C704" cm="1">
        <f t="array" aca="1" ref="C704" ca="1">[1]!s_dq_volume($B$1,$A704)</f>
        <v>1853951</v>
      </c>
      <c r="D704" cm="1">
        <f t="array" aca="1" ref="D704" ca="1">[1]!s_dq_amount($B$1,$A704)</f>
        <v>51054013</v>
      </c>
      <c r="E704" cm="1">
        <f t="array" aca="1" ref="E704" ca="1">[1]!s_dq_turn($B$1,$A704)</f>
        <v>0.21278846080345601</v>
      </c>
      <c r="F704" cm="1">
        <f t="array" aca="1" ref="F704" ca="1">[1]!s_val_pe_ttm($B$1,$A704)</f>
        <v>30.418886184692401</v>
      </c>
    </row>
    <row r="705" spans="1:6">
      <c r="A705" s="23">
        <f t="shared" ca="1" si="10"/>
        <v>45470</v>
      </c>
      <c r="B705" cm="1">
        <f t="array" aca="1" ref="B705" ca="1">[1]!s_dq_close($B$1,$A705,3)</f>
        <v>27.7</v>
      </c>
      <c r="C705" cm="1">
        <f t="array" aca="1" ref="C705" ca="1">[1]!s_dq_volume($B$1,$A705)</f>
        <v>1657000</v>
      </c>
      <c r="D705" cm="1">
        <f t="array" aca="1" ref="D705" ca="1">[1]!s_dq_amount($B$1,$A705)</f>
        <v>46394867</v>
      </c>
      <c r="E705" cm="1">
        <f t="array" aca="1" ref="E705" ca="1">[1]!s_dq_turn($B$1,$A705)</f>
        <v>0.19018327860408701</v>
      </c>
      <c r="F705" cm="1">
        <f t="array" aca="1" ref="F705" ca="1">[1]!s_val_pe_ttm($B$1,$A705)</f>
        <v>30.640115737915</v>
      </c>
    </row>
    <row r="706" spans="1:6">
      <c r="A706" s="23">
        <f t="shared" ca="1" si="10"/>
        <v>45469</v>
      </c>
      <c r="B706" cm="1">
        <f t="array" aca="1" ref="B706" ca="1">[1]!s_dq_close($B$1,$A706,3)</f>
        <v>28.4</v>
      </c>
      <c r="C706" cm="1">
        <f t="array" aca="1" ref="C706" ca="1">[1]!s_dq_volume($B$1,$A706)</f>
        <v>1466696</v>
      </c>
      <c r="D706" cm="1">
        <f t="array" aca="1" ref="D706" ca="1">[1]!s_dq_amount($B$1,$A706)</f>
        <v>41434256</v>
      </c>
      <c r="E706" cm="1">
        <f t="array" aca="1" ref="E706" ca="1">[1]!s_dq_turn($B$1,$A706)</f>
        <v>0.16834101025678999</v>
      </c>
      <c r="F706" cm="1">
        <f t="array" aca="1" ref="F706" ca="1">[1]!s_val_pe_ttm($B$1,$A706)</f>
        <v>31.414413452148398</v>
      </c>
    </row>
    <row r="707" spans="1:6">
      <c r="A707" s="23">
        <f t="shared" ca="1" si="10"/>
        <v>45468</v>
      </c>
      <c r="B707" cm="1">
        <f t="array" aca="1" ref="B707" ca="1">[1]!s_dq_close($B$1,$A707,3)</f>
        <v>28.2</v>
      </c>
      <c r="C707" cm="1">
        <f t="array" aca="1" ref="C707" ca="1">[1]!s_dq_volume($B$1,$A707)</f>
        <v>1329500</v>
      </c>
      <c r="D707" cm="1">
        <f t="array" aca="1" ref="D707" ca="1">[1]!s_dq_amount($B$1,$A707)</f>
        <v>37683176</v>
      </c>
      <c r="E707" cm="1">
        <f t="array" aca="1" ref="E707" ca="1">[1]!s_dq_turn($B$1,$A707)</f>
        <v>0.15259424798076901</v>
      </c>
      <c r="F707" cm="1">
        <f t="array" aca="1" ref="F707" ca="1">[1]!s_val_pe_ttm($B$1,$A707)</f>
        <v>31.1931858062744</v>
      </c>
    </row>
    <row r="708" spans="1:6">
      <c r="A708" s="23">
        <f t="shared" ca="1" si="10"/>
        <v>45467</v>
      </c>
      <c r="B708" cm="1">
        <f t="array" aca="1" ref="B708" ca="1">[1]!s_dq_close($B$1,$A708,3)</f>
        <v>28.55</v>
      </c>
      <c r="C708" cm="1">
        <f t="array" aca="1" ref="C708" ca="1">[1]!s_dq_volume($B$1,$A708)</f>
        <v>2271079</v>
      </c>
      <c r="D708" cm="1">
        <f t="array" aca="1" ref="D708" ca="1">[1]!s_dq_amount($B$1,$A708)</f>
        <v>65186132</v>
      </c>
      <c r="E708" cm="1">
        <f t="array" aca="1" ref="E708" ca="1">[1]!s_dq_turn($B$1,$A708)</f>
        <v>0.260664604821299</v>
      </c>
      <c r="F708" cm="1">
        <f t="array" aca="1" ref="F708" ca="1">[1]!s_val_pe_ttm($B$1,$A708)</f>
        <v>31.580335617065401</v>
      </c>
    </row>
    <row r="709" spans="1:6">
      <c r="A709" s="23">
        <f t="shared" ca="1" si="10"/>
        <v>45466</v>
      </c>
      <c r="B709" cm="1">
        <f t="array" aca="1" ref="B709" ca="1">[1]!s_dq_close($B$1,$A709,3)</f>
        <v>28.2</v>
      </c>
      <c r="C709" cm="1">
        <f t="array" aca="1" ref="C709" ca="1">[1]!s_dq_volume($B$1,$A709)</f>
        <v>0</v>
      </c>
      <c r="D709" cm="1">
        <f t="array" aca="1" ref="D709" ca="1">[1]!s_dq_amount($B$1,$A709)</f>
        <v>0</v>
      </c>
      <c r="E709" cm="1">
        <f t="array" aca="1" ref="E709" ca="1">[1]!s_dq_turn($B$1,$A709)</f>
        <v>0</v>
      </c>
      <c r="F709" cm="1">
        <f t="array" aca="1" ref="F709" ca="1">[1]!s_val_pe_ttm($B$1,$A709)</f>
        <v>31.1931858062744</v>
      </c>
    </row>
    <row r="710" spans="1:6">
      <c r="A710" s="23">
        <f t="shared" ca="1" si="10"/>
        <v>45465</v>
      </c>
      <c r="B710" cm="1">
        <f t="array" aca="1" ref="B710" ca="1">[1]!s_dq_close($B$1,$A710,3)</f>
        <v>28.2</v>
      </c>
      <c r="C710" cm="1">
        <f t="array" aca="1" ref="C710" ca="1">[1]!s_dq_volume($B$1,$A710)</f>
        <v>0</v>
      </c>
      <c r="D710" cm="1">
        <f t="array" aca="1" ref="D710" ca="1">[1]!s_dq_amount($B$1,$A710)</f>
        <v>0</v>
      </c>
      <c r="E710" cm="1">
        <f t="array" aca="1" ref="E710" ca="1">[1]!s_dq_turn($B$1,$A710)</f>
        <v>0</v>
      </c>
      <c r="F710" cm="1">
        <f t="array" aca="1" ref="F710" ca="1">[1]!s_val_pe_ttm($B$1,$A710)</f>
        <v>31.1931858062744</v>
      </c>
    </row>
    <row r="711" spans="1:6">
      <c r="A711" s="23">
        <f t="shared" ca="1" si="10"/>
        <v>45464</v>
      </c>
      <c r="B711" cm="1">
        <f t="array" aca="1" ref="B711" ca="1">[1]!s_dq_close($B$1,$A711,3)</f>
        <v>28.2</v>
      </c>
      <c r="C711" cm="1">
        <f t="array" aca="1" ref="C711" ca="1">[1]!s_dq_volume($B$1,$A711)</f>
        <v>4126800</v>
      </c>
      <c r="D711" cm="1">
        <f t="array" aca="1" ref="D711" ca="1">[1]!s_dq_amount($B$1,$A711)</f>
        <v>115345754</v>
      </c>
      <c r="E711" cm="1">
        <f t="array" aca="1" ref="E711" ca="1">[1]!s_dq_turn($B$1,$A711)</f>
        <v>0.47365621855362</v>
      </c>
      <c r="F711" cm="1">
        <f t="array" aca="1" ref="F711" ca="1">[1]!s_val_pe_ttm($B$1,$A711)</f>
        <v>31.1931858062744</v>
      </c>
    </row>
    <row r="712" spans="1:6">
      <c r="A712" s="23">
        <f t="shared" ca="1" si="10"/>
        <v>45463</v>
      </c>
      <c r="B712" cm="1">
        <f t="array" aca="1" ref="B712" ca="1">[1]!s_dq_close($B$1,$A712,3)</f>
        <v>27.6</v>
      </c>
      <c r="C712" cm="1">
        <f t="array" aca="1" ref="C712" ca="1">[1]!s_dq_volume($B$1,$A712)</f>
        <v>2548597</v>
      </c>
      <c r="D712" cm="1">
        <f t="array" aca="1" ref="D712" ca="1">[1]!s_dq_amount($B$1,$A712)</f>
        <v>70994074</v>
      </c>
      <c r="E712" cm="1">
        <f t="array" aca="1" ref="E712" ca="1">[1]!s_dq_turn($B$1,$A712)</f>
        <v>0.29251691810533598</v>
      </c>
      <c r="F712" cm="1">
        <f t="array" aca="1" ref="F712" ca="1">[1]!s_val_pe_ttm($B$1,$A712)</f>
        <v>30.5295009613037</v>
      </c>
    </row>
    <row r="713" spans="1:6">
      <c r="A713" s="23">
        <f t="shared" ca="1" si="10"/>
        <v>45462</v>
      </c>
      <c r="B713" cm="1">
        <f t="array" aca="1" ref="B713" ca="1">[1]!s_dq_close($B$1,$A713,3)</f>
        <v>28.8</v>
      </c>
      <c r="C713" cm="1">
        <f t="array" aca="1" ref="C713" ca="1">[1]!s_dq_volume($B$1,$A713)</f>
        <v>1903755</v>
      </c>
      <c r="D713" cm="1">
        <f t="array" aca="1" ref="D713" ca="1">[1]!s_dq_amount($B$1,$A713)</f>
        <v>54790532</v>
      </c>
      <c r="E713" cm="1">
        <f t="array" aca="1" ref="E713" ca="1">[1]!s_dq_turn($B$1,$A713)</f>
        <v>0.21850474807418499</v>
      </c>
      <c r="F713" cm="1">
        <f t="array" aca="1" ref="F713" ca="1">[1]!s_val_pe_ttm($B$1,$A713)</f>
        <v>31.856870651245099</v>
      </c>
    </row>
    <row r="714" spans="1:6">
      <c r="A714" s="23">
        <f t="shared" ca="1" si="10"/>
        <v>45461</v>
      </c>
      <c r="B714" cm="1">
        <f t="array" aca="1" ref="B714" ca="1">[1]!s_dq_close($B$1,$A714,3)</f>
        <v>28.05</v>
      </c>
      <c r="C714" cm="1">
        <f t="array" aca="1" ref="C714" ca="1">[1]!s_dq_volume($B$1,$A714)</f>
        <v>2009455</v>
      </c>
      <c r="D714" cm="1">
        <f t="array" aca="1" ref="D714" ca="1">[1]!s_dq_amount($B$1,$A714)</f>
        <v>56685411</v>
      </c>
      <c r="E714" cm="1">
        <f t="array" aca="1" ref="E714" ca="1">[1]!s_dq_turn($B$1,$A714)</f>
        <v>0.23063653597306999</v>
      </c>
      <c r="F714" cm="1">
        <f t="array" aca="1" ref="F714" ca="1">[1]!s_val_pe_ttm($B$1,$A714)</f>
        <v>31.027263641357401</v>
      </c>
    </row>
    <row r="715" spans="1:6">
      <c r="A715" s="23">
        <f t="shared" ca="1" si="10"/>
        <v>45460</v>
      </c>
      <c r="B715" cm="1">
        <f t="array" aca="1" ref="B715" ca="1">[1]!s_dq_close($B$1,$A715,3)</f>
        <v>28.5</v>
      </c>
      <c r="C715" cm="1">
        <f t="array" aca="1" ref="C715" ca="1">[1]!s_dq_volume($B$1,$A715)</f>
        <v>1484000</v>
      </c>
      <c r="D715" cm="1">
        <f t="array" aca="1" ref="D715" ca="1">[1]!s_dq_amount($B$1,$A715)</f>
        <v>42505987</v>
      </c>
      <c r="E715" cm="1">
        <f t="array" aca="1" ref="E715" ca="1">[1]!s_dq_turn($B$1,$A715)</f>
        <v>0.170327088381693</v>
      </c>
      <c r="F715" cm="1">
        <f t="array" aca="1" ref="F715" ca="1">[1]!s_val_pe_ttm($B$1,$A715)</f>
        <v>31.525028228759801</v>
      </c>
    </row>
    <row r="716" spans="1:6">
      <c r="A716" s="23">
        <f t="shared" ca="1" si="10"/>
        <v>45459</v>
      </c>
      <c r="B716" cm="1">
        <f t="array" aca="1" ref="B716" ca="1">[1]!s_dq_close($B$1,$A716,3)</f>
        <v>28.75</v>
      </c>
      <c r="C716" cm="1">
        <f t="array" aca="1" ref="C716" ca="1">[1]!s_dq_volume($B$1,$A716)</f>
        <v>0</v>
      </c>
      <c r="D716" cm="1">
        <f t="array" aca="1" ref="D716" ca="1">[1]!s_dq_amount($B$1,$A716)</f>
        <v>0</v>
      </c>
      <c r="E716" cm="1">
        <f t="array" aca="1" ref="E716" ca="1">[1]!s_dq_turn($B$1,$A716)</f>
        <v>0</v>
      </c>
      <c r="F716" cm="1">
        <f t="array" aca="1" ref="F716" ca="1">[1]!s_val_pe_ttm($B$1,$A716)</f>
        <v>31.801563262939499</v>
      </c>
    </row>
    <row r="717" spans="1:6">
      <c r="A717" s="23">
        <f t="shared" ref="A717:A780" ca="1" si="11">A716-1</f>
        <v>45458</v>
      </c>
      <c r="B717" cm="1">
        <f t="array" aca="1" ref="B717" ca="1">[1]!s_dq_close($B$1,$A717,3)</f>
        <v>28.75</v>
      </c>
      <c r="C717" cm="1">
        <f t="array" aca="1" ref="C717" ca="1">[1]!s_dq_volume($B$1,$A717)</f>
        <v>0</v>
      </c>
      <c r="D717" cm="1">
        <f t="array" aca="1" ref="D717" ca="1">[1]!s_dq_amount($B$1,$A717)</f>
        <v>0</v>
      </c>
      <c r="E717" cm="1">
        <f t="array" aca="1" ref="E717" ca="1">[1]!s_dq_turn($B$1,$A717)</f>
        <v>0</v>
      </c>
      <c r="F717" cm="1">
        <f t="array" aca="1" ref="F717" ca="1">[1]!s_val_pe_ttm($B$1,$A717)</f>
        <v>31.801563262939499</v>
      </c>
    </row>
    <row r="718" spans="1:6">
      <c r="A718" s="23">
        <f t="shared" ca="1" si="11"/>
        <v>45457</v>
      </c>
      <c r="B718" cm="1">
        <f t="array" aca="1" ref="B718" ca="1">[1]!s_dq_close($B$1,$A718,3)</f>
        <v>28.75</v>
      </c>
      <c r="C718" cm="1">
        <f t="array" aca="1" ref="C718" ca="1">[1]!s_dq_volume($B$1,$A718)</f>
        <v>1355067</v>
      </c>
      <c r="D718" cm="1">
        <f t="array" aca="1" ref="D718" ca="1">[1]!s_dq_amount($B$1,$A718)</f>
        <v>39419286</v>
      </c>
      <c r="E718" cm="1">
        <f t="array" aca="1" ref="E718" ca="1">[1]!s_dq_turn($B$1,$A718)</f>
        <v>0.15552871743404001</v>
      </c>
      <c r="F718" cm="1">
        <f t="array" aca="1" ref="F718" ca="1">[1]!s_val_pe_ttm($B$1,$A718)</f>
        <v>31.801563262939499</v>
      </c>
    </row>
    <row r="719" spans="1:6">
      <c r="A719" s="23">
        <f t="shared" ca="1" si="11"/>
        <v>45456</v>
      </c>
      <c r="B719" cm="1">
        <f t="array" aca="1" ref="B719" ca="1">[1]!s_dq_close($B$1,$A719,3)</f>
        <v>29.65</v>
      </c>
      <c r="C719" cm="1">
        <f t="array" aca="1" ref="C719" ca="1">[1]!s_dq_volume($B$1,$A719)</f>
        <v>2589000</v>
      </c>
      <c r="D719" cm="1">
        <f t="array" aca="1" ref="D719" ca="1">[1]!s_dq_amount($B$1,$A719)</f>
        <v>76613910</v>
      </c>
      <c r="E719" cm="1">
        <f t="array" aca="1" ref="E719" ca="1">[1]!s_dq_turn($B$1,$A719)</f>
        <v>0.29715419933976001</v>
      </c>
      <c r="F719" cm="1">
        <f t="array" aca="1" ref="F719" ca="1">[1]!s_val_pe_ttm($B$1,$A719)</f>
        <v>32.797088623046903</v>
      </c>
    </row>
    <row r="720" spans="1:6">
      <c r="A720" s="23">
        <f t="shared" ca="1" si="11"/>
        <v>45455</v>
      </c>
      <c r="B720" cm="1">
        <f t="array" aca="1" ref="B720" ca="1">[1]!s_dq_close($B$1,$A720,3)</f>
        <v>28.4</v>
      </c>
      <c r="C720" cm="1">
        <f t="array" aca="1" ref="C720" ca="1">[1]!s_dq_volume($B$1,$A720)</f>
        <v>1217876</v>
      </c>
      <c r="D720" cm="1">
        <f t="array" aca="1" ref="D720" ca="1">[1]!s_dq_amount($B$1,$A720)</f>
        <v>34756894</v>
      </c>
      <c r="E720" cm="1">
        <f t="array" aca="1" ref="E720" ca="1">[1]!s_dq_turn($B$1,$A720)</f>
        <v>0.13978252903635</v>
      </c>
      <c r="F720" cm="1">
        <f t="array" aca="1" ref="F720" ca="1">[1]!s_val_pe_ttm($B$1,$A720)</f>
        <v>31.414413452148398</v>
      </c>
    </row>
    <row r="721" spans="1:6">
      <c r="A721" s="23">
        <f t="shared" ca="1" si="11"/>
        <v>45454</v>
      </c>
      <c r="B721" cm="1">
        <f t="array" aca="1" ref="B721" ca="1">[1]!s_dq_close($B$1,$A721,3)</f>
        <v>28.5</v>
      </c>
      <c r="C721" cm="1">
        <f t="array" aca="1" ref="C721" ca="1">[1]!s_dq_volume($B$1,$A721)</f>
        <v>934343</v>
      </c>
      <c r="D721" cm="1">
        <f t="array" aca="1" ref="D721" ca="1">[1]!s_dq_amount($B$1,$A721)</f>
        <v>26476117</v>
      </c>
      <c r="E721" cm="1">
        <f t="array" aca="1" ref="E721" ca="1">[1]!s_dq_turn($B$1,$A721)</f>
        <v>0.10723984012116999</v>
      </c>
      <c r="F721" cm="1">
        <f t="array" aca="1" ref="F721" ca="1">[1]!s_val_pe_ttm($B$1,$A721)</f>
        <v>31.525028228759801</v>
      </c>
    </row>
    <row r="722" spans="1:6">
      <c r="A722" s="23">
        <f t="shared" ca="1" si="11"/>
        <v>45453</v>
      </c>
      <c r="B722" cm="1">
        <f t="array" aca="1" ref="B722" ca="1">[1]!s_dq_close($B$1,$A722,3)</f>
        <v>28.8</v>
      </c>
      <c r="C722" cm="1">
        <f t="array" aca="1" ref="C722" ca="1">[1]!s_dq_volume($B$1,$A722)</f>
        <v>0</v>
      </c>
      <c r="D722" cm="1">
        <f t="array" aca="1" ref="D722" ca="1">[1]!s_dq_amount($B$1,$A722)</f>
        <v>0</v>
      </c>
      <c r="E722" cm="1">
        <f t="array" aca="1" ref="E722" ca="1">[1]!s_dq_turn($B$1,$A722)</f>
        <v>0</v>
      </c>
      <c r="F722" cm="1">
        <f t="array" aca="1" ref="F722" ca="1">[1]!s_val_pe_ttm($B$1,$A722)</f>
        <v>31.856870651245099</v>
      </c>
    </row>
    <row r="723" spans="1:6">
      <c r="A723" s="23">
        <f t="shared" ca="1" si="11"/>
        <v>45452</v>
      </c>
      <c r="B723" cm="1">
        <f t="array" aca="1" ref="B723" ca="1">[1]!s_dq_close($B$1,$A723,3)</f>
        <v>28.8</v>
      </c>
      <c r="C723" cm="1">
        <f t="array" aca="1" ref="C723" ca="1">[1]!s_dq_volume($B$1,$A723)</f>
        <v>0</v>
      </c>
      <c r="D723" cm="1">
        <f t="array" aca="1" ref="D723" ca="1">[1]!s_dq_amount($B$1,$A723)</f>
        <v>0</v>
      </c>
      <c r="E723" cm="1">
        <f t="array" aca="1" ref="E723" ca="1">[1]!s_dq_turn($B$1,$A723)</f>
        <v>0</v>
      </c>
      <c r="F723" cm="1">
        <f t="array" aca="1" ref="F723" ca="1">[1]!s_val_pe_ttm($B$1,$A723)</f>
        <v>31.856870651245099</v>
      </c>
    </row>
    <row r="724" spans="1:6">
      <c r="A724" s="23">
        <f t="shared" ca="1" si="11"/>
        <v>45451</v>
      </c>
      <c r="B724" cm="1">
        <f t="array" aca="1" ref="B724" ca="1">[1]!s_dq_close($B$1,$A724,3)</f>
        <v>28.8</v>
      </c>
      <c r="C724" cm="1">
        <f t="array" aca="1" ref="C724" ca="1">[1]!s_dq_volume($B$1,$A724)</f>
        <v>0</v>
      </c>
      <c r="D724" cm="1">
        <f t="array" aca="1" ref="D724" ca="1">[1]!s_dq_amount($B$1,$A724)</f>
        <v>0</v>
      </c>
      <c r="E724" cm="1">
        <f t="array" aca="1" ref="E724" ca="1">[1]!s_dq_turn($B$1,$A724)</f>
        <v>0</v>
      </c>
      <c r="F724" cm="1">
        <f t="array" aca="1" ref="F724" ca="1">[1]!s_val_pe_ttm($B$1,$A724)</f>
        <v>31.856870651245099</v>
      </c>
    </row>
    <row r="725" spans="1:6">
      <c r="A725" s="23">
        <f t="shared" ca="1" si="11"/>
        <v>45450</v>
      </c>
      <c r="B725" cm="1">
        <f t="array" aca="1" ref="B725" ca="1">[1]!s_dq_close($B$1,$A725,3)</f>
        <v>28.8</v>
      </c>
      <c r="C725" cm="1">
        <f t="array" aca="1" ref="C725" ca="1">[1]!s_dq_volume($B$1,$A725)</f>
        <v>2378163</v>
      </c>
      <c r="D725" cm="1">
        <f t="array" aca="1" ref="D725" ca="1">[1]!s_dq_amount($B$1,$A725)</f>
        <v>68757416</v>
      </c>
      <c r="E725" cm="1">
        <f t="array" aca="1" ref="E725" ca="1">[1]!s_dq_turn($B$1,$A725)</f>
        <v>0.27295524224196299</v>
      </c>
      <c r="F725" cm="1">
        <f t="array" aca="1" ref="F725" ca="1">[1]!s_val_pe_ttm($B$1,$A725)</f>
        <v>31.856870651245099</v>
      </c>
    </row>
    <row r="726" spans="1:6">
      <c r="A726" s="23">
        <f t="shared" ca="1" si="11"/>
        <v>45449</v>
      </c>
      <c r="B726" cm="1">
        <f t="array" aca="1" ref="B726" ca="1">[1]!s_dq_close($B$1,$A726,3)</f>
        <v>29.35</v>
      </c>
      <c r="C726" cm="1">
        <f t="array" aca="1" ref="C726" ca="1">[1]!s_dq_volume($B$1,$A726)</f>
        <v>2345500</v>
      </c>
      <c r="D726" cm="1">
        <f t="array" aca="1" ref="D726" ca="1">[1]!s_dq_amount($B$1,$A726)</f>
        <v>69779091</v>
      </c>
      <c r="E726" cm="1">
        <f t="array" aca="1" ref="E726" ca="1">[1]!s_dq_turn($B$1,$A726)</f>
        <v>0.26920632466257499</v>
      </c>
      <c r="F726" cm="1">
        <f t="array" aca="1" ref="F726" ca="1">[1]!s_val_pe_ttm($B$1,$A726)</f>
        <v>32.465248107910199</v>
      </c>
    </row>
    <row r="727" spans="1:6">
      <c r="A727" s="23">
        <f t="shared" ca="1" si="11"/>
        <v>45448</v>
      </c>
      <c r="B727" cm="1">
        <f t="array" aca="1" ref="B727" ca="1">[1]!s_dq_close($B$1,$A727,3)</f>
        <v>29.4</v>
      </c>
      <c r="C727" cm="1">
        <f t="array" aca="1" ref="C727" ca="1">[1]!s_dq_volume($B$1,$A727)</f>
        <v>1889378</v>
      </c>
      <c r="D727" cm="1">
        <f t="array" aca="1" ref="D727" ca="1">[1]!s_dq_amount($B$1,$A727)</f>
        <v>56137619</v>
      </c>
      <c r="E727" cm="1">
        <f t="array" aca="1" ref="E727" ca="1">[1]!s_dq_turn($B$1,$A727)</f>
        <v>0.21685461832373801</v>
      </c>
      <c r="F727" cm="1">
        <f t="array" aca="1" ref="F727" ca="1">[1]!s_val_pe_ttm($B$1,$A727)</f>
        <v>32.520553588867202</v>
      </c>
    </row>
    <row r="728" spans="1:6">
      <c r="A728" s="23">
        <f t="shared" ca="1" si="11"/>
        <v>45447</v>
      </c>
      <c r="B728" cm="1">
        <f t="array" aca="1" ref="B728" ca="1">[1]!s_dq_close($B$1,$A728,3)</f>
        <v>29.65</v>
      </c>
      <c r="C728" cm="1">
        <f t="array" aca="1" ref="C728" ca="1">[1]!s_dq_volume($B$1,$A728)</f>
        <v>2346200</v>
      </c>
      <c r="D728" cm="1">
        <f t="array" aca="1" ref="D728" ca="1">[1]!s_dq_amount($B$1,$A728)</f>
        <v>69659947</v>
      </c>
      <c r="E728" cm="1">
        <f t="array" aca="1" ref="E728" ca="1">[1]!s_dq_turn($B$1,$A728)</f>
        <v>0.269286667628793</v>
      </c>
      <c r="F728" cm="1">
        <f t="array" aca="1" ref="F728" ca="1">[1]!s_val_pe_ttm($B$1,$A728)</f>
        <v>32.797088623046903</v>
      </c>
    </row>
    <row r="729" spans="1:6">
      <c r="A729" s="23">
        <f t="shared" ca="1" si="11"/>
        <v>45446</v>
      </c>
      <c r="B729" cm="1">
        <f t="array" aca="1" ref="B729" ca="1">[1]!s_dq_close($B$1,$A729,3)</f>
        <v>28.55</v>
      </c>
      <c r="C729" cm="1">
        <f t="array" aca="1" ref="C729" ca="1">[1]!s_dq_volume($B$1,$A729)</f>
        <v>2240419</v>
      </c>
      <c r="D729" cm="1">
        <f t="array" aca="1" ref="D729" ca="1">[1]!s_dq_amount($B$1,$A729)</f>
        <v>64535449</v>
      </c>
      <c r="E729" cm="1">
        <f t="array" aca="1" ref="E729" ca="1">[1]!s_dq_turn($B$1,$A729)</f>
        <v>0.25714558290096001</v>
      </c>
      <c r="F729" cm="1">
        <f t="array" aca="1" ref="F729" ca="1">[1]!s_val_pe_ttm($B$1,$A729)</f>
        <v>31.580335617065401</v>
      </c>
    </row>
    <row r="730" spans="1:6">
      <c r="A730" s="23">
        <f t="shared" ca="1" si="11"/>
        <v>45445</v>
      </c>
      <c r="B730" cm="1">
        <f t="array" aca="1" ref="B730" ca="1">[1]!s_dq_close($B$1,$A730,3)</f>
        <v>29.45</v>
      </c>
      <c r="C730" cm="1">
        <f t="array" aca="1" ref="C730" ca="1">[1]!s_dq_volume($B$1,$A730)</f>
        <v>0</v>
      </c>
      <c r="D730" cm="1">
        <f t="array" aca="1" ref="D730" ca="1">[1]!s_dq_amount($B$1,$A730)</f>
        <v>0</v>
      </c>
      <c r="E730" cm="1">
        <f t="array" aca="1" ref="E730" ca="1">[1]!s_dq_turn($B$1,$A730)</f>
        <v>0</v>
      </c>
      <c r="F730" cm="1">
        <f t="array" aca="1" ref="F730" ca="1">[1]!s_val_pe_ttm($B$1,$A730)</f>
        <v>32.5755424499512</v>
      </c>
    </row>
    <row r="731" spans="1:6">
      <c r="A731" s="23">
        <f t="shared" ca="1" si="11"/>
        <v>45444</v>
      </c>
      <c r="B731" cm="1">
        <f t="array" aca="1" ref="B731" ca="1">[1]!s_dq_close($B$1,$A731,3)</f>
        <v>29.45</v>
      </c>
      <c r="C731" cm="1">
        <f t="array" aca="1" ref="C731" ca="1">[1]!s_dq_volume($B$1,$A731)</f>
        <v>0</v>
      </c>
      <c r="D731" cm="1">
        <f t="array" aca="1" ref="D731" ca="1">[1]!s_dq_amount($B$1,$A731)</f>
        <v>0</v>
      </c>
      <c r="E731" cm="1">
        <f t="array" aca="1" ref="E731" ca="1">[1]!s_dq_turn($B$1,$A731)</f>
        <v>0</v>
      </c>
      <c r="F731" cm="1">
        <f t="array" aca="1" ref="F731" ca="1">[1]!s_val_pe_ttm($B$1,$A731)</f>
        <v>32.5755424499512</v>
      </c>
    </row>
    <row r="732" spans="1:6">
      <c r="A732" s="23">
        <f t="shared" ca="1" si="11"/>
        <v>45443</v>
      </c>
      <c r="B732" cm="1">
        <f t="array" aca="1" ref="B732" ca="1">[1]!s_dq_close($B$1,$A732,3)</f>
        <v>29.45</v>
      </c>
      <c r="C732" cm="1">
        <f t="array" aca="1" ref="C732" ca="1">[1]!s_dq_volume($B$1,$A732)</f>
        <v>3314500</v>
      </c>
      <c r="D732" cm="1">
        <f t="array" aca="1" ref="D732" ca="1">[1]!s_dq_amount($B$1,$A732)</f>
        <v>99306092</v>
      </c>
      <c r="E732" cm="1">
        <f t="array" aca="1" ref="E732" ca="1">[1]!s_dq_turn($B$1,$A732)</f>
        <v>0.38042394504118698</v>
      </c>
      <c r="F732" cm="1">
        <f t="array" aca="1" ref="F732" ca="1">[1]!s_val_pe_ttm($B$1,$A732)</f>
        <v>32.5755424499512</v>
      </c>
    </row>
    <row r="733" spans="1:6">
      <c r="A733" s="23">
        <f t="shared" ca="1" si="11"/>
        <v>45442</v>
      </c>
      <c r="B733" cm="1">
        <f t="array" aca="1" ref="B733" ca="1">[1]!s_dq_close($B$1,$A733,3)</f>
        <v>29.7</v>
      </c>
      <c r="C733" cm="1">
        <f t="array" aca="1" ref="C733" ca="1">[1]!s_dq_volume($B$1,$A733)</f>
        <v>2272352</v>
      </c>
      <c r="D733" cm="1">
        <f t="array" aca="1" ref="D733" ca="1">[1]!s_dq_amount($B$1,$A733)</f>
        <v>67859751</v>
      </c>
      <c r="E733" cm="1">
        <f t="array" aca="1" ref="E733" ca="1">[1]!s_dq_turn($B$1,$A733)</f>
        <v>0.26081327368811902</v>
      </c>
      <c r="F733" cm="1">
        <f t="array" aca="1" ref="F733" ca="1">[1]!s_val_pe_ttm($B$1,$A733)</f>
        <v>32.852073669433601</v>
      </c>
    </row>
    <row r="734" spans="1:6">
      <c r="A734" s="23">
        <f t="shared" ca="1" si="11"/>
        <v>45441</v>
      </c>
      <c r="B734" cm="1">
        <f t="array" aca="1" ref="B734" ca="1">[1]!s_dq_close($B$1,$A734,3)</f>
        <v>29.75</v>
      </c>
      <c r="C734" cm="1">
        <f t="array" aca="1" ref="C734" ca="1">[1]!s_dq_volume($B$1,$A734)</f>
        <v>2440500</v>
      </c>
      <c r="D734" cm="1">
        <f t="array" aca="1" ref="D734" ca="1">[1]!s_dq_amount($B$1,$A734)</f>
        <v>73142000</v>
      </c>
      <c r="E734" cm="1">
        <f t="array" aca="1" ref="E734" ca="1">[1]!s_dq_turn($B$1,$A734)</f>
        <v>0.28011276177099997</v>
      </c>
      <c r="F734" cm="1">
        <f t="array" aca="1" ref="F734" ca="1">[1]!s_val_pe_ttm($B$1,$A734)</f>
        <v>32.907382965087898</v>
      </c>
    </row>
    <row r="735" spans="1:6">
      <c r="A735" s="23">
        <f t="shared" ca="1" si="11"/>
        <v>45440</v>
      </c>
      <c r="B735" cm="1">
        <f t="array" aca="1" ref="B735" ca="1">[1]!s_dq_close($B$1,$A735,3)</f>
        <v>30.5</v>
      </c>
      <c r="C735" cm="1">
        <f t="array" aca="1" ref="C735" ca="1">[1]!s_dq_volume($B$1,$A735)</f>
        <v>1838500</v>
      </c>
      <c r="D735" cm="1">
        <f t="array" aca="1" ref="D735" ca="1">[1]!s_dq_amount($B$1,$A735)</f>
        <v>56606009</v>
      </c>
      <c r="E735" cm="1">
        <f t="array" aca="1" ref="E735" ca="1">[1]!s_dq_turn($B$1,$A735)</f>
        <v>0.21101713276622999</v>
      </c>
      <c r="F735" cm="1">
        <f t="array" aca="1" ref="F735" ca="1">[1]!s_val_pe_ttm($B$1,$A735)</f>
        <v>33.736980438232401</v>
      </c>
    </row>
    <row r="736" spans="1:6">
      <c r="A736" s="23">
        <f t="shared" ca="1" si="11"/>
        <v>45439</v>
      </c>
      <c r="B736" cm="1">
        <f t="array" aca="1" ref="B736" ca="1">[1]!s_dq_close($B$1,$A736,3)</f>
        <v>30.75</v>
      </c>
      <c r="C736" cm="1">
        <f t="array" aca="1" ref="C736" ca="1">[1]!s_dq_volume($B$1,$A736)</f>
        <v>2576698</v>
      </c>
      <c r="D736" cm="1">
        <f t="array" aca="1" ref="D736" ca="1">[1]!s_dq_amount($B$1,$A736)</f>
        <v>77730074</v>
      </c>
      <c r="E736" cm="1">
        <f t="array" aca="1" ref="E736" ca="1">[1]!s_dq_turn($B$1,$A736)</f>
        <v>0.29574513133776398</v>
      </c>
      <c r="F736" cm="1">
        <f t="array" aca="1" ref="F736" ca="1">[1]!s_val_pe_ttm($B$1,$A736)</f>
        <v>34.013511657714801</v>
      </c>
    </row>
    <row r="737" spans="1:6">
      <c r="A737" s="23">
        <f t="shared" ca="1" si="11"/>
        <v>45438</v>
      </c>
      <c r="B737" cm="1">
        <f t="array" aca="1" ref="B737" ca="1">[1]!s_dq_close($B$1,$A737,3)</f>
        <v>29.7</v>
      </c>
      <c r="C737" cm="1">
        <f t="array" aca="1" ref="C737" ca="1">[1]!s_dq_volume($B$1,$A737)</f>
        <v>0</v>
      </c>
      <c r="D737" cm="1">
        <f t="array" aca="1" ref="D737" ca="1">[1]!s_dq_amount($B$1,$A737)</f>
        <v>0</v>
      </c>
      <c r="E737" cm="1">
        <f t="array" aca="1" ref="E737" ca="1">[1]!s_dq_turn($B$1,$A737)</f>
        <v>0</v>
      </c>
      <c r="F737" cm="1">
        <f t="array" aca="1" ref="F737" ca="1">[1]!s_val_pe_ttm($B$1,$A737)</f>
        <v>32.852073669433601</v>
      </c>
    </row>
    <row r="738" spans="1:6">
      <c r="A738" s="23">
        <f t="shared" ca="1" si="11"/>
        <v>45437</v>
      </c>
      <c r="B738" cm="1">
        <f t="array" aca="1" ref="B738" ca="1">[1]!s_dq_close($B$1,$A738,3)</f>
        <v>29.7</v>
      </c>
      <c r="C738" cm="1">
        <f t="array" aca="1" ref="C738" ca="1">[1]!s_dq_volume($B$1,$A738)</f>
        <v>0</v>
      </c>
      <c r="D738" cm="1">
        <f t="array" aca="1" ref="D738" ca="1">[1]!s_dq_amount($B$1,$A738)</f>
        <v>0</v>
      </c>
      <c r="E738" cm="1">
        <f t="array" aca="1" ref="E738" ca="1">[1]!s_dq_turn($B$1,$A738)</f>
        <v>0</v>
      </c>
      <c r="F738" cm="1">
        <f t="array" aca="1" ref="F738" ca="1">[1]!s_val_pe_ttm($B$1,$A738)</f>
        <v>32.852073669433601</v>
      </c>
    </row>
    <row r="739" spans="1:6">
      <c r="A739" s="23">
        <f t="shared" ca="1" si="11"/>
        <v>45436</v>
      </c>
      <c r="B739" cm="1">
        <f t="array" aca="1" ref="B739" ca="1">[1]!s_dq_close($B$1,$A739,3)</f>
        <v>29.7</v>
      </c>
      <c r="C739" cm="1">
        <f t="array" aca="1" ref="C739" ca="1">[1]!s_dq_volume($B$1,$A739)</f>
        <v>4835794</v>
      </c>
      <c r="D739" cm="1">
        <f t="array" aca="1" ref="D739" ca="1">[1]!s_dq_amount($B$1,$A739)</f>
        <v>143082499</v>
      </c>
      <c r="E739" cm="1">
        <f t="array" aca="1" ref="E739" ca="1">[1]!s_dq_turn($B$1,$A739)</f>
        <v>0.55503692386627002</v>
      </c>
      <c r="F739" cm="1">
        <f t="array" aca="1" ref="F739" ca="1">[1]!s_val_pe_ttm($B$1,$A739)</f>
        <v>32.852073669433601</v>
      </c>
    </row>
    <row r="740" spans="1:6">
      <c r="A740" s="23">
        <f t="shared" ca="1" si="11"/>
        <v>45435</v>
      </c>
      <c r="B740" cm="1">
        <f t="array" aca="1" ref="B740" ca="1">[1]!s_dq_close($B$1,$A740,3)</f>
        <v>30.35</v>
      </c>
      <c r="C740" cm="1">
        <f t="array" aca="1" ref="C740" ca="1">[1]!s_dq_volume($B$1,$A740)</f>
        <v>2329696</v>
      </c>
      <c r="D740" cm="1">
        <f t="array" aca="1" ref="D740" ca="1">[1]!s_dq_amount($B$1,$A740)</f>
        <v>71190240</v>
      </c>
      <c r="E740" cm="1">
        <f t="array" aca="1" ref="E740" ca="1">[1]!s_dq_turn($B$1,$A740)</f>
        <v>0.26739503406959703</v>
      </c>
      <c r="F740" cm="1">
        <f t="array" aca="1" ref="F740" ca="1">[1]!s_val_pe_ttm($B$1,$A740)</f>
        <v>33.571060180664098</v>
      </c>
    </row>
    <row r="741" spans="1:6">
      <c r="A741" s="23">
        <f t="shared" ca="1" si="11"/>
        <v>45434</v>
      </c>
      <c r="B741" cm="1">
        <f t="array" aca="1" ref="B741" ca="1">[1]!s_dq_close($B$1,$A741,3)</f>
        <v>31.35</v>
      </c>
      <c r="C741" cm="1">
        <f t="array" aca="1" ref="C741" ca="1">[1]!s_dq_volume($B$1,$A741)</f>
        <v>3084876</v>
      </c>
      <c r="D741" cm="1">
        <f t="array" aca="1" ref="D741" ca="1">[1]!s_dq_amount($B$1,$A741)</f>
        <v>98414580</v>
      </c>
      <c r="E741" cm="1">
        <f t="array" aca="1" ref="E741" ca="1">[1]!s_dq_turn($B$1,$A741)</f>
        <v>0.35407217212910302</v>
      </c>
      <c r="F741" cm="1">
        <f t="array" aca="1" ref="F741" ca="1">[1]!s_val_pe_ttm($B$1,$A741)</f>
        <v>34.677188873291001</v>
      </c>
    </row>
    <row r="742" spans="1:6">
      <c r="A742" s="23">
        <f t="shared" ca="1" si="11"/>
        <v>45433</v>
      </c>
      <c r="B742" cm="1">
        <f t="array" aca="1" ref="B742" ca="1">[1]!s_dq_close($B$1,$A742,3)</f>
        <v>31.4</v>
      </c>
      <c r="C742" cm="1">
        <f t="array" aca="1" ref="C742" ca="1">[1]!s_dq_volume($B$1,$A742)</f>
        <v>1939000</v>
      </c>
      <c r="D742" cm="1">
        <f t="array" aca="1" ref="D742" ca="1">[1]!s_dq_amount($B$1,$A742)</f>
        <v>61010695</v>
      </c>
      <c r="E742" cm="1">
        <f t="array" aca="1" ref="E742" ca="1">[1]!s_dq_turn($B$1,$A742)</f>
        <v>0.22255220039908599</v>
      </c>
      <c r="F742" cm="1">
        <f t="array" aca="1" ref="F742" ca="1">[1]!s_val_pe_ttm($B$1,$A742)</f>
        <v>34.732498168945298</v>
      </c>
    </row>
    <row r="743" spans="1:6">
      <c r="A743" s="23">
        <f t="shared" ca="1" si="11"/>
        <v>45432</v>
      </c>
      <c r="B743" cm="1">
        <f t="array" aca="1" ref="B743" ca="1">[1]!s_dq_close($B$1,$A743,3)</f>
        <v>32.049999999999997</v>
      </c>
      <c r="C743" cm="1">
        <f t="array" aca="1" ref="C743" ca="1">[1]!s_dq_volume($B$1,$A743)</f>
        <v>2484000</v>
      </c>
      <c r="D743" cm="1">
        <f t="array" aca="1" ref="D743" ca="1">[1]!s_dq_amount($B$1,$A743)</f>
        <v>79304230</v>
      </c>
      <c r="E743" cm="1">
        <f t="array" aca="1" ref="E743" ca="1">[1]!s_dq_turn($B$1,$A743)</f>
        <v>0.28510555223895301</v>
      </c>
      <c r="F743" cm="1">
        <f t="array" aca="1" ref="F743" ca="1">[1]!s_val_pe_ttm($B$1,$A743)</f>
        <v>35.451480865478501</v>
      </c>
    </row>
    <row r="744" spans="1:6">
      <c r="A744" s="23">
        <f t="shared" ca="1" si="11"/>
        <v>45431</v>
      </c>
      <c r="B744" cm="1">
        <f t="array" aca="1" ref="B744" ca="1">[1]!s_dq_close($B$1,$A744,3)</f>
        <v>31.7</v>
      </c>
      <c r="C744" cm="1">
        <f t="array" aca="1" ref="C744" ca="1">[1]!s_dq_volume($B$1,$A744)</f>
        <v>0</v>
      </c>
      <c r="D744" cm="1">
        <f t="array" aca="1" ref="D744" ca="1">[1]!s_dq_amount($B$1,$A744)</f>
        <v>0</v>
      </c>
      <c r="E744" cm="1">
        <f t="array" aca="1" ref="E744" ca="1">[1]!s_dq_turn($B$1,$A744)</f>
        <v>0</v>
      </c>
      <c r="F744" cm="1">
        <f t="array" aca="1" ref="F744" ca="1">[1]!s_val_pe_ttm($B$1,$A744)</f>
        <v>35.064334869384801</v>
      </c>
    </row>
    <row r="745" spans="1:6">
      <c r="A745" s="23">
        <f t="shared" ca="1" si="11"/>
        <v>45430</v>
      </c>
      <c r="B745" cm="1">
        <f t="array" aca="1" ref="B745" ca="1">[1]!s_dq_close($B$1,$A745,3)</f>
        <v>31.7</v>
      </c>
      <c r="C745" cm="1">
        <f t="array" aca="1" ref="C745" ca="1">[1]!s_dq_volume($B$1,$A745)</f>
        <v>0</v>
      </c>
      <c r="D745" cm="1">
        <f t="array" aca="1" ref="D745" ca="1">[1]!s_dq_amount($B$1,$A745)</f>
        <v>0</v>
      </c>
      <c r="E745" cm="1">
        <f t="array" aca="1" ref="E745" ca="1">[1]!s_dq_turn($B$1,$A745)</f>
        <v>0</v>
      </c>
      <c r="F745" cm="1">
        <f t="array" aca="1" ref="F745" ca="1">[1]!s_val_pe_ttm($B$1,$A745)</f>
        <v>35.064334869384801</v>
      </c>
    </row>
    <row r="746" spans="1:6">
      <c r="A746" s="23">
        <f t="shared" ca="1" si="11"/>
        <v>45429</v>
      </c>
      <c r="B746" cm="1">
        <f t="array" aca="1" ref="B746" ca="1">[1]!s_dq_close($B$1,$A746,3)</f>
        <v>31.7</v>
      </c>
      <c r="C746" cm="1">
        <f t="array" aca="1" ref="C746" ca="1">[1]!s_dq_volume($B$1,$A746)</f>
        <v>5128500</v>
      </c>
      <c r="D746" cm="1">
        <f t="array" aca="1" ref="D746" ca="1">[1]!s_dq_amount($B$1,$A746)</f>
        <v>165787337</v>
      </c>
      <c r="E746" cm="1">
        <f t="array" aca="1" ref="E746" ca="1">[1]!s_dq_turn($B$1,$A746)</f>
        <v>0.58863277965276495</v>
      </c>
      <c r="F746" cm="1">
        <f t="array" aca="1" ref="F746" ca="1">[1]!s_val_pe_ttm($B$1,$A746)</f>
        <v>35.064334869384801</v>
      </c>
    </row>
    <row r="747" spans="1:6">
      <c r="A747" s="23">
        <f t="shared" ca="1" si="11"/>
        <v>45428</v>
      </c>
      <c r="B747" cm="1">
        <f t="array" aca="1" ref="B747" ca="1">[1]!s_dq_close($B$1,$A747,3)</f>
        <v>33.4</v>
      </c>
      <c r="C747" cm="1">
        <f t="array" aca="1" ref="C747" ca="1">[1]!s_dq_volume($B$1,$A747)</f>
        <v>5261593</v>
      </c>
      <c r="D747" cm="1">
        <f t="array" aca="1" ref="D747" ca="1">[1]!s_dq_amount($B$1,$A747)</f>
        <v>176214773</v>
      </c>
      <c r="E747" cm="1">
        <f t="array" aca="1" ref="E747" ca="1">[1]!s_dq_turn($B$1,$A747)</f>
        <v>0.60390876727923004</v>
      </c>
      <c r="F747" cm="1">
        <f t="array" aca="1" ref="F747" ca="1">[1]!s_val_pe_ttm($B$1,$A747)</f>
        <v>36.944759368896499</v>
      </c>
    </row>
    <row r="748" spans="1:6">
      <c r="A748" s="23">
        <f t="shared" ca="1" si="11"/>
        <v>45427</v>
      </c>
      <c r="B748" cm="1">
        <f t="array" aca="1" ref="B748" ca="1">[1]!s_dq_close($B$1,$A748,3)</f>
        <v>34.450000000000003</v>
      </c>
      <c r="C748" cm="1">
        <f t="array" aca="1" ref="C748" ca="1">[1]!s_dq_volume($B$1,$A748)</f>
        <v>0</v>
      </c>
      <c r="D748" cm="1">
        <f t="array" aca="1" ref="D748" ca="1">[1]!s_dq_amount($B$1,$A748)</f>
        <v>0</v>
      </c>
      <c r="E748" cm="1">
        <f t="array" aca="1" ref="E748" ca="1">[1]!s_dq_turn($B$1,$A748)</f>
        <v>0</v>
      </c>
      <c r="F748" cm="1">
        <f t="array" aca="1" ref="F748" ca="1">[1]!s_val_pe_ttm($B$1,$A748)</f>
        <v>38.106193542480497</v>
      </c>
    </row>
    <row r="749" spans="1:6">
      <c r="A749" s="23">
        <f t="shared" ca="1" si="11"/>
        <v>45426</v>
      </c>
      <c r="B749" cm="1">
        <f t="array" aca="1" ref="B749" ca="1">[1]!s_dq_close($B$1,$A749,3)</f>
        <v>34.450000000000003</v>
      </c>
      <c r="C749" cm="1">
        <f t="array" aca="1" ref="C749" ca="1">[1]!s_dq_volume($B$1,$A749)</f>
        <v>3164500</v>
      </c>
      <c r="D749" cm="1">
        <f t="array" aca="1" ref="D749" ca="1">[1]!s_dq_amount($B$1,$A749)</f>
        <v>110953650</v>
      </c>
      <c r="E749" cm="1">
        <f t="array" aca="1" ref="E749" ca="1">[1]!s_dq_turn($B$1,$A749)</f>
        <v>0.36321115944451099</v>
      </c>
      <c r="F749" cm="1">
        <f t="array" aca="1" ref="F749" ca="1">[1]!s_val_pe_ttm($B$1,$A749)</f>
        <v>38.106193542480497</v>
      </c>
    </row>
    <row r="750" spans="1:6">
      <c r="A750" s="23">
        <f t="shared" ca="1" si="11"/>
        <v>45425</v>
      </c>
      <c r="B750" cm="1">
        <f t="array" aca="1" ref="B750" ca="1">[1]!s_dq_close($B$1,$A750,3)</f>
        <v>34.700000000000003</v>
      </c>
      <c r="C750" cm="1">
        <f t="array" aca="1" ref="C750" ca="1">[1]!s_dq_volume($B$1,$A750)</f>
        <v>6240283</v>
      </c>
      <c r="D750" cm="1">
        <f t="array" aca="1" ref="D750" ca="1">[1]!s_dq_amount($B$1,$A750)</f>
        <v>216992629</v>
      </c>
      <c r="E750" cm="1">
        <f t="array" aca="1" ref="E750" ca="1">[1]!s_dq_turn($B$1,$A750)</f>
        <v>0.71623966620062296</v>
      </c>
      <c r="F750" cm="1">
        <f t="array" aca="1" ref="F750" ca="1">[1]!s_val_pe_ttm($B$1,$A750)</f>
        <v>38.382728576660199</v>
      </c>
    </row>
    <row r="751" spans="1:6">
      <c r="A751" s="23">
        <f t="shared" ca="1" si="11"/>
        <v>45424</v>
      </c>
      <c r="B751" cm="1">
        <f t="array" aca="1" ref="B751" ca="1">[1]!s_dq_close($B$1,$A751,3)</f>
        <v>34.65</v>
      </c>
      <c r="C751" cm="1">
        <f t="array" aca="1" ref="C751" ca="1">[1]!s_dq_volume($B$1,$A751)</f>
        <v>0</v>
      </c>
      <c r="D751" cm="1">
        <f t="array" aca="1" ref="D751" ca="1">[1]!s_dq_amount($B$1,$A751)</f>
        <v>0</v>
      </c>
      <c r="E751" cm="1">
        <f t="array" aca="1" ref="E751" ca="1">[1]!s_dq_turn($B$1,$A751)</f>
        <v>0</v>
      </c>
      <c r="F751" cm="1">
        <f t="array" aca="1" ref="F751" ca="1">[1]!s_val_pe_ttm($B$1,$A751)</f>
        <v>38.327419281005902</v>
      </c>
    </row>
    <row r="752" spans="1:6">
      <c r="A752" s="23">
        <f t="shared" ca="1" si="11"/>
        <v>45423</v>
      </c>
      <c r="B752" cm="1">
        <f t="array" aca="1" ref="B752" ca="1">[1]!s_dq_close($B$1,$A752,3)</f>
        <v>34.65</v>
      </c>
      <c r="C752" cm="1">
        <f t="array" aca="1" ref="C752" ca="1">[1]!s_dq_volume($B$1,$A752)</f>
        <v>0</v>
      </c>
      <c r="D752" cm="1">
        <f t="array" aca="1" ref="D752" ca="1">[1]!s_dq_amount($B$1,$A752)</f>
        <v>0</v>
      </c>
      <c r="E752" cm="1">
        <f t="array" aca="1" ref="E752" ca="1">[1]!s_dq_turn($B$1,$A752)</f>
        <v>0</v>
      </c>
      <c r="F752" cm="1">
        <f t="array" aca="1" ref="F752" ca="1">[1]!s_val_pe_ttm($B$1,$A752)</f>
        <v>38.327419281005902</v>
      </c>
    </row>
    <row r="753" spans="1:6">
      <c r="A753" s="23">
        <f t="shared" ca="1" si="11"/>
        <v>45422</v>
      </c>
      <c r="B753" cm="1">
        <f t="array" aca="1" ref="B753" ca="1">[1]!s_dq_close($B$1,$A753,3)</f>
        <v>34.65</v>
      </c>
      <c r="C753" cm="1">
        <f t="array" aca="1" ref="C753" ca="1">[1]!s_dq_volume($B$1,$A753)</f>
        <v>8649127</v>
      </c>
      <c r="D753" cm="1">
        <f t="array" aca="1" ref="D753" ca="1">[1]!s_dq_amount($B$1,$A753)</f>
        <v>297535632</v>
      </c>
      <c r="E753" cm="1">
        <f t="array" aca="1" ref="E753" ca="1">[1]!s_dq_turn($B$1,$A753)</f>
        <v>0.99271905383246195</v>
      </c>
      <c r="F753" cm="1">
        <f t="array" aca="1" ref="F753" ca="1">[1]!s_val_pe_ttm($B$1,$A753)</f>
        <v>38.327419281005902</v>
      </c>
    </row>
    <row r="754" spans="1:6">
      <c r="A754" s="23">
        <f t="shared" ca="1" si="11"/>
        <v>45421</v>
      </c>
      <c r="B754" cm="1">
        <f t="array" aca="1" ref="B754" ca="1">[1]!s_dq_close($B$1,$A754,3)</f>
        <v>33.200000000000003</v>
      </c>
      <c r="C754" cm="1">
        <f t="array" aca="1" ref="C754" ca="1">[1]!s_dq_volume($B$1,$A754)</f>
        <v>9632713</v>
      </c>
      <c r="D754" cm="1">
        <f t="array" aca="1" ref="D754" ca="1">[1]!s_dq_amount($B$1,$A754)</f>
        <v>317410394</v>
      </c>
      <c r="E754" cm="1">
        <f t="array" aca="1" ref="E754" ca="1">[1]!s_dq_turn($B$1,$A754)</f>
        <v>1.1056118999292801</v>
      </c>
      <c r="F754" cm="1">
        <f t="array" aca="1" ref="F754" ca="1">[1]!s_val_pe_ttm($B$1,$A754)</f>
        <v>36.723533630371101</v>
      </c>
    </row>
    <row r="755" spans="1:6">
      <c r="A755" s="23">
        <f t="shared" ca="1" si="11"/>
        <v>45420</v>
      </c>
      <c r="B755" cm="1">
        <f t="array" aca="1" ref="B755" ca="1">[1]!s_dq_close($B$1,$A755,3)</f>
        <v>30.95</v>
      </c>
      <c r="C755" cm="1">
        <f t="array" aca="1" ref="C755" ca="1">[1]!s_dq_volume($B$1,$A755)</f>
        <v>1961542</v>
      </c>
      <c r="D755" cm="1">
        <f t="array" aca="1" ref="D755" ca="1">[1]!s_dq_amount($B$1,$A755)</f>
        <v>60730103</v>
      </c>
      <c r="E755" cm="1">
        <f t="array" aca="1" ref="E755" ca="1">[1]!s_dq_turn($B$1,$A755)</f>
        <v>0.225139498852617</v>
      </c>
      <c r="F755" cm="1">
        <f t="array" aca="1" ref="F755" ca="1">[1]!s_val_pe_ttm($B$1,$A755)</f>
        <v>34.234737396240199</v>
      </c>
    </row>
    <row r="756" spans="1:6">
      <c r="A756" s="23">
        <f t="shared" ca="1" si="11"/>
        <v>45419</v>
      </c>
      <c r="B756" cm="1">
        <f t="array" aca="1" ref="B756" ca="1">[1]!s_dq_close($B$1,$A756,3)</f>
        <v>30.95</v>
      </c>
      <c r="C756" cm="1">
        <f t="array" aca="1" ref="C756" ca="1">[1]!s_dq_volume($B$1,$A756)</f>
        <v>2874500</v>
      </c>
      <c r="D756" cm="1">
        <f t="array" aca="1" ref="D756" ca="1">[1]!s_dq_amount($B$1,$A756)</f>
        <v>89186125</v>
      </c>
      <c r="E756" cm="1">
        <f t="array" aca="1" ref="E756" ca="1">[1]!s_dq_turn($B$1,$A756)</f>
        <v>0.32992588965816</v>
      </c>
      <c r="F756" cm="1">
        <f t="array" aca="1" ref="F756" ca="1">[1]!s_val_pe_ttm($B$1,$A756)</f>
        <v>34.234737396240199</v>
      </c>
    </row>
    <row r="757" spans="1:6">
      <c r="A757" s="23">
        <f t="shared" ca="1" si="11"/>
        <v>45418</v>
      </c>
      <c r="B757" cm="1">
        <f t="array" aca="1" ref="B757" ca="1">[1]!s_dq_close($B$1,$A757,3)</f>
        <v>31.9</v>
      </c>
      <c r="C757" cm="1">
        <f t="array" aca="1" ref="C757" ca="1">[1]!s_dq_volume($B$1,$A757)</f>
        <v>4119847</v>
      </c>
      <c r="D757" cm="1">
        <f t="array" aca="1" ref="D757" ca="1">[1]!s_dq_amount($B$1,$A757)</f>
        <v>129831754</v>
      </c>
      <c r="E757" cm="1">
        <f t="array" aca="1" ref="E757" ca="1">[1]!s_dq_turn($B$1,$A757)</f>
        <v>0.47286282370168797</v>
      </c>
      <c r="F757" cm="1">
        <f t="array" aca="1" ref="F757" ca="1">[1]!s_val_pe_ttm($B$1,$A757)</f>
        <v>35.285560607910199</v>
      </c>
    </row>
    <row r="758" spans="1:6">
      <c r="A758" s="23">
        <f t="shared" ca="1" si="11"/>
        <v>45417</v>
      </c>
      <c r="B758" cm="1">
        <f t="array" aca="1" ref="B758" ca="1">[1]!s_dq_close($B$1,$A758,3)</f>
        <v>30.7</v>
      </c>
      <c r="C758" cm="1">
        <f t="array" aca="1" ref="C758" ca="1">[1]!s_dq_volume($B$1,$A758)</f>
        <v>0</v>
      </c>
      <c r="D758" cm="1">
        <f t="array" aca="1" ref="D758" ca="1">[1]!s_dq_amount($B$1,$A758)</f>
        <v>0</v>
      </c>
      <c r="E758" cm="1">
        <f t="array" aca="1" ref="E758" ca="1">[1]!s_dq_turn($B$1,$A758)</f>
        <v>0</v>
      </c>
      <c r="F758" cm="1">
        <f t="array" aca="1" ref="F758" ca="1">[1]!s_val_pe_ttm($B$1,$A758)</f>
        <v>33.958206176757798</v>
      </c>
    </row>
    <row r="759" spans="1:6">
      <c r="A759" s="23">
        <f t="shared" ca="1" si="11"/>
        <v>45416</v>
      </c>
      <c r="B759" cm="1">
        <f t="array" aca="1" ref="B759" ca="1">[1]!s_dq_close($B$1,$A759,3)</f>
        <v>30.7</v>
      </c>
      <c r="C759" cm="1">
        <f t="array" aca="1" ref="C759" ca="1">[1]!s_dq_volume($B$1,$A759)</f>
        <v>0</v>
      </c>
      <c r="D759" cm="1">
        <f t="array" aca="1" ref="D759" ca="1">[1]!s_dq_amount($B$1,$A759)</f>
        <v>0</v>
      </c>
      <c r="E759" cm="1">
        <f t="array" aca="1" ref="E759" ca="1">[1]!s_dq_turn($B$1,$A759)</f>
        <v>0</v>
      </c>
      <c r="F759" cm="1">
        <f t="array" aca="1" ref="F759" ca="1">[1]!s_val_pe_ttm($B$1,$A759)</f>
        <v>33.958206176757798</v>
      </c>
    </row>
    <row r="760" spans="1:6">
      <c r="A760" s="23">
        <f t="shared" ca="1" si="11"/>
        <v>45415</v>
      </c>
      <c r="B760" cm="1">
        <f t="array" aca="1" ref="B760" ca="1">[1]!s_dq_close($B$1,$A760,3)</f>
        <v>30.7</v>
      </c>
      <c r="C760" cm="1">
        <f t="array" aca="1" ref="C760" ca="1">[1]!s_dq_volume($B$1,$A760)</f>
        <v>1275843</v>
      </c>
      <c r="D760" cm="1">
        <f t="array" aca="1" ref="D760" ca="1">[1]!s_dq_amount($B$1,$A760)</f>
        <v>39232775</v>
      </c>
      <c r="E760" cm="1">
        <f t="array" aca="1" ref="E760" ca="1">[1]!s_dq_turn($B$1,$A760)</f>
        <v>0.14643716710354401</v>
      </c>
      <c r="F760" cm="1">
        <f t="array" aca="1" ref="F760" ca="1">[1]!s_val_pe_ttm($B$1,$A760)</f>
        <v>33.958206176757798</v>
      </c>
    </row>
    <row r="761" spans="1:6">
      <c r="A761" s="23">
        <f t="shared" ca="1" si="11"/>
        <v>45414</v>
      </c>
      <c r="B761" cm="1">
        <f t="array" aca="1" ref="B761" ca="1">[1]!s_dq_close($B$1,$A761,3)</f>
        <v>30.85</v>
      </c>
      <c r="C761" cm="1">
        <f t="array" aca="1" ref="C761" ca="1">[1]!s_dq_volume($B$1,$A761)</f>
        <v>1203902</v>
      </c>
      <c r="D761" cm="1">
        <f t="array" aca="1" ref="D761" ca="1">[1]!s_dq_amount($B$1,$A761)</f>
        <v>36962256</v>
      </c>
      <c r="E761" cm="1">
        <f t="array" aca="1" ref="E761" ca="1">[1]!s_dq_turn($B$1,$A761)</f>
        <v>0.13818000988388901</v>
      </c>
      <c r="F761" cm="1">
        <f t="array" aca="1" ref="F761" ca="1">[1]!s_val_pe_ttm($B$1,$A761)</f>
        <v>34.1241264343262</v>
      </c>
    </row>
    <row r="762" spans="1:6">
      <c r="A762" s="23">
        <f t="shared" ca="1" si="11"/>
        <v>45413</v>
      </c>
      <c r="B762" cm="1">
        <f t="array" aca="1" ref="B762" ca="1">[1]!s_dq_close($B$1,$A762,3)</f>
        <v>30.25</v>
      </c>
      <c r="C762" cm="1">
        <f t="array" aca="1" ref="C762" ca="1">[1]!s_dq_volume($B$1,$A762)</f>
        <v>0</v>
      </c>
      <c r="D762" cm="1">
        <f t="array" aca="1" ref="D762" ca="1">[1]!s_dq_amount($B$1,$A762)</f>
        <v>0</v>
      </c>
      <c r="E762" cm="1">
        <f t="array" aca="1" ref="E762" ca="1">[1]!s_dq_turn($B$1,$A762)</f>
        <v>0</v>
      </c>
      <c r="F762" cm="1">
        <f t="array" aca="1" ref="F762" ca="1">[1]!s_val_pe_ttm($B$1,$A762)</f>
        <v>33.460445404052699</v>
      </c>
    </row>
    <row r="763" spans="1:6">
      <c r="A763" s="23">
        <f t="shared" ca="1" si="11"/>
        <v>45412</v>
      </c>
      <c r="B763" cm="1">
        <f t="array" aca="1" ref="B763" ca="1">[1]!s_dq_close($B$1,$A763,3)</f>
        <v>30.25</v>
      </c>
      <c r="C763" cm="1">
        <f t="array" aca="1" ref="C763" ca="1">[1]!s_dq_volume($B$1,$A763)</f>
        <v>2570027</v>
      </c>
      <c r="D763" cm="1">
        <f t="array" aca="1" ref="D763" ca="1">[1]!s_dq_amount($B$1,$A763)</f>
        <v>77525197</v>
      </c>
      <c r="E763" cm="1">
        <f t="array" aca="1" ref="E763" ca="1">[1]!s_dq_turn($B$1,$A763)</f>
        <v>0.29497945535588499</v>
      </c>
      <c r="F763" cm="1">
        <f t="array" aca="1" ref="F763" ca="1">[1]!s_val_pe_ttm($B$1,$A763)</f>
        <v>33.460445404052699</v>
      </c>
    </row>
    <row r="764" spans="1:6">
      <c r="A764" s="23">
        <f t="shared" ca="1" si="11"/>
        <v>45411</v>
      </c>
      <c r="B764" cm="1">
        <f t="array" aca="1" ref="B764" ca="1">[1]!s_dq_close($B$1,$A764,3)</f>
        <v>31</v>
      </c>
      <c r="C764" cm="1">
        <f t="array" aca="1" ref="C764" ca="1">[1]!s_dq_volume($B$1,$A764)</f>
        <v>4627086</v>
      </c>
      <c r="D764" cm="1">
        <f t="array" aca="1" ref="D764" ca="1">[1]!s_dq_amount($B$1,$A764)</f>
        <v>144357162</v>
      </c>
      <c r="E764" cm="1">
        <f t="array" aca="1" ref="E764" ca="1">[1]!s_dq_turn($B$1,$A764)</f>
        <v>0.53108208908499499</v>
      </c>
      <c r="F764" cm="1">
        <f t="array" aca="1" ref="F764" ca="1">[1]!s_val_pe_ttm($B$1,$A764)</f>
        <v>34.290042877197301</v>
      </c>
    </row>
    <row r="765" spans="1:6">
      <c r="A765" s="23">
        <f t="shared" ca="1" si="11"/>
        <v>45410</v>
      </c>
      <c r="B765" cm="1">
        <f t="array" aca="1" ref="B765" ca="1">[1]!s_dq_close($B$1,$A765,3)</f>
        <v>30.35</v>
      </c>
      <c r="C765" cm="1">
        <f t="array" aca="1" ref="C765" ca="1">[1]!s_dq_volume($B$1,$A765)</f>
        <v>0</v>
      </c>
      <c r="D765" cm="1">
        <f t="array" aca="1" ref="D765" ca="1">[1]!s_dq_amount($B$1,$A765)</f>
        <v>0</v>
      </c>
      <c r="E765" cm="1">
        <f t="array" aca="1" ref="E765" ca="1">[1]!s_dq_turn($B$1,$A765)</f>
        <v>0</v>
      </c>
      <c r="F765" cm="1">
        <f t="array" aca="1" ref="F765" ca="1">[1]!s_val_pe_ttm($B$1,$A765)</f>
        <v>33.571060180664098</v>
      </c>
    </row>
    <row r="766" spans="1:6">
      <c r="A766" s="23">
        <f t="shared" ca="1" si="11"/>
        <v>45409</v>
      </c>
      <c r="B766" cm="1">
        <f t="array" aca="1" ref="B766" ca="1">[1]!s_dq_close($B$1,$A766,3)</f>
        <v>30.35</v>
      </c>
      <c r="C766" cm="1">
        <f t="array" aca="1" ref="C766" ca="1">[1]!s_dq_volume($B$1,$A766)</f>
        <v>0</v>
      </c>
      <c r="D766" cm="1">
        <f t="array" aca="1" ref="D766" ca="1">[1]!s_dq_amount($B$1,$A766)</f>
        <v>0</v>
      </c>
      <c r="E766" cm="1">
        <f t="array" aca="1" ref="E766" ca="1">[1]!s_dq_turn($B$1,$A766)</f>
        <v>0</v>
      </c>
      <c r="F766" cm="1">
        <f t="array" aca="1" ref="F766" ca="1">[1]!s_val_pe_ttm($B$1,$A766)</f>
        <v>33.571060180664098</v>
      </c>
    </row>
    <row r="767" spans="1:6">
      <c r="A767" s="23">
        <f t="shared" ca="1" si="11"/>
        <v>45408</v>
      </c>
      <c r="B767" cm="1">
        <f t="array" aca="1" ref="B767" ca="1">[1]!s_dq_close($B$1,$A767,3)</f>
        <v>30.35</v>
      </c>
      <c r="C767" cm="1">
        <f t="array" aca="1" ref="C767" ca="1">[1]!s_dq_volume($B$1,$A767)</f>
        <v>3636100</v>
      </c>
      <c r="D767" cm="1">
        <f t="array" aca="1" ref="D767" ca="1">[1]!s_dq_amount($B$1,$A767)</f>
        <v>110424095</v>
      </c>
      <c r="E767" cm="1">
        <f t="array" aca="1" ref="E767" ca="1">[1]!s_dq_turn($B$1,$A767)</f>
        <v>0.41733989472465999</v>
      </c>
      <c r="F767" cm="1">
        <f t="array" aca="1" ref="F767" ca="1">[1]!s_val_pe_ttm($B$1,$A767)</f>
        <v>33.571060180664098</v>
      </c>
    </row>
    <row r="768" spans="1:6">
      <c r="A768" s="23">
        <f t="shared" ca="1" si="11"/>
        <v>45407</v>
      </c>
      <c r="B768" cm="1">
        <f t="array" aca="1" ref="B768" ca="1">[1]!s_dq_close($B$1,$A768,3)</f>
        <v>30.35</v>
      </c>
      <c r="C768" cm="1">
        <f t="array" aca="1" ref="C768" ca="1">[1]!s_dq_volume($B$1,$A768)</f>
        <v>6260125</v>
      </c>
      <c r="D768" cm="1">
        <f t="array" aca="1" ref="D768" ca="1">[1]!s_dq_amount($B$1,$A768)</f>
        <v>189621997</v>
      </c>
      <c r="E768" cm="1">
        <f t="array" aca="1" ref="E768" ca="1">[1]!s_dq_turn($B$1,$A768)</f>
        <v>0.71851706731476395</v>
      </c>
      <c r="F768" cm="1">
        <f t="array" aca="1" ref="F768" ca="1">[1]!s_val_pe_ttm($B$1,$A768)</f>
        <v>33.571060180664098</v>
      </c>
    </row>
    <row r="769" spans="1:6">
      <c r="A769" s="23">
        <f t="shared" ca="1" si="11"/>
        <v>45406</v>
      </c>
      <c r="B769" cm="1">
        <f t="array" aca="1" ref="B769" ca="1">[1]!s_dq_close($B$1,$A769,3)</f>
        <v>29.3</v>
      </c>
      <c r="C769" cm="1">
        <f t="array" aca="1" ref="C769" ca="1">[1]!s_dq_volume($B$1,$A769)</f>
        <v>3806794</v>
      </c>
      <c r="D769" cm="1">
        <f t="array" aca="1" ref="D769" ca="1">[1]!s_dq_amount($B$1,$A769)</f>
        <v>111256988</v>
      </c>
      <c r="E769" cm="1">
        <f t="array" aca="1" ref="E769" ca="1">[1]!s_dq_turn($B$1,$A769)</f>
        <v>0.43693160452090601</v>
      </c>
      <c r="F769" cm="1">
        <f t="array" aca="1" ref="F769" ca="1">[1]!s_val_pe_ttm($B$1,$A769)</f>
        <v>32.409622192382798</v>
      </c>
    </row>
    <row r="770" spans="1:6">
      <c r="A770" s="23">
        <f t="shared" ca="1" si="11"/>
        <v>45405</v>
      </c>
      <c r="B770" cm="1">
        <f t="array" aca="1" ref="B770" ca="1">[1]!s_dq_close($B$1,$A770,3)</f>
        <v>28.35</v>
      </c>
      <c r="C770" cm="1">
        <f t="array" aca="1" ref="C770" ca="1">[1]!s_dq_volume($B$1,$A770)</f>
        <v>4050217</v>
      </c>
      <c r="D770" cm="1">
        <f t="array" aca="1" ref="D770" ca="1">[1]!s_dq_amount($B$1,$A770)</f>
        <v>113155086</v>
      </c>
      <c r="E770" cm="1">
        <f t="array" aca="1" ref="E770" ca="1">[1]!s_dq_turn($B$1,$A770)</f>
        <v>0.46487091564919197</v>
      </c>
      <c r="F770" cm="1">
        <f t="array" aca="1" ref="F770" ca="1">[1]!s_val_pe_ttm($B$1,$A770)</f>
        <v>31.358798980712901</v>
      </c>
    </row>
    <row r="771" spans="1:6">
      <c r="A771" s="23">
        <f t="shared" ca="1" si="11"/>
        <v>45404</v>
      </c>
      <c r="B771" cm="1">
        <f t="array" aca="1" ref="B771" ca="1">[1]!s_dq_close($B$1,$A771,3)</f>
        <v>26.9</v>
      </c>
      <c r="C771" cm="1">
        <f t="array" aca="1" ref="C771" ca="1">[1]!s_dq_volume($B$1,$A771)</f>
        <v>2240247</v>
      </c>
      <c r="D771" cm="1">
        <f t="array" aca="1" ref="D771" ca="1">[1]!s_dq_amount($B$1,$A771)</f>
        <v>60225329</v>
      </c>
      <c r="E771" cm="1">
        <f t="array" aca="1" ref="E771" ca="1">[1]!s_dq_turn($B$1,$A771)</f>
        <v>0.25712836476918599</v>
      </c>
      <c r="F771" cm="1">
        <f t="array" aca="1" ref="F771" ca="1">[1]!s_val_pe_ttm($B$1,$A771)</f>
        <v>29.754909515380898</v>
      </c>
    </row>
    <row r="772" spans="1:6">
      <c r="A772" s="23">
        <f t="shared" ca="1" si="11"/>
        <v>45403</v>
      </c>
      <c r="B772" cm="1">
        <f t="array" aca="1" ref="B772" ca="1">[1]!s_dq_close($B$1,$A772,3)</f>
        <v>26</v>
      </c>
      <c r="C772" cm="1">
        <f t="array" aca="1" ref="C772" ca="1">[1]!s_dq_volume($B$1,$A772)</f>
        <v>0</v>
      </c>
      <c r="D772" cm="1">
        <f t="array" aca="1" ref="D772" ca="1">[1]!s_dq_amount($B$1,$A772)</f>
        <v>0</v>
      </c>
      <c r="E772" cm="1">
        <f t="array" aca="1" ref="E772" ca="1">[1]!s_dq_turn($B$1,$A772)</f>
        <v>0</v>
      </c>
      <c r="F772" cm="1">
        <f t="array" aca="1" ref="F772" ca="1">[1]!s_val_pe_ttm($B$1,$A772)</f>
        <v>28.759391784668001</v>
      </c>
    </row>
    <row r="773" spans="1:6">
      <c r="A773" s="23">
        <f t="shared" ca="1" si="11"/>
        <v>45402</v>
      </c>
      <c r="B773" cm="1">
        <f t="array" aca="1" ref="B773" ca="1">[1]!s_dq_close($B$1,$A773,3)</f>
        <v>26</v>
      </c>
      <c r="C773" cm="1">
        <f t="array" aca="1" ref="C773" ca="1">[1]!s_dq_volume($B$1,$A773)</f>
        <v>0</v>
      </c>
      <c r="D773" cm="1">
        <f t="array" aca="1" ref="D773" ca="1">[1]!s_dq_amount($B$1,$A773)</f>
        <v>0</v>
      </c>
      <c r="E773" cm="1">
        <f t="array" aca="1" ref="E773" ca="1">[1]!s_dq_turn($B$1,$A773)</f>
        <v>0</v>
      </c>
      <c r="F773" cm="1">
        <f t="array" aca="1" ref="F773" ca="1">[1]!s_val_pe_ttm($B$1,$A773)</f>
        <v>28.759391784668001</v>
      </c>
    </row>
    <row r="774" spans="1:6">
      <c r="A774" s="23">
        <f t="shared" ca="1" si="11"/>
        <v>45401</v>
      </c>
      <c r="B774" cm="1">
        <f t="array" aca="1" ref="B774" ca="1">[1]!s_dq_close($B$1,$A774,3)</f>
        <v>26</v>
      </c>
      <c r="C774" cm="1">
        <f t="array" aca="1" ref="C774" ca="1">[1]!s_dq_volume($B$1,$A774)</f>
        <v>2699047</v>
      </c>
      <c r="D774" cm="1">
        <f t="array" aca="1" ref="D774" ca="1">[1]!s_dq_amount($B$1,$A774)</f>
        <v>69465385</v>
      </c>
      <c r="E774" cm="1">
        <f t="array" aca="1" ref="E774" ca="1">[1]!s_dq_turn($B$1,$A774)</f>
        <v>0.30978795710703999</v>
      </c>
      <c r="F774" cm="1">
        <f t="array" aca="1" ref="F774" ca="1">[1]!s_val_pe_ttm($B$1,$A774)</f>
        <v>28.759391784668001</v>
      </c>
    </row>
    <row r="775" spans="1:6">
      <c r="A775" s="23">
        <f t="shared" ca="1" si="11"/>
        <v>45400</v>
      </c>
      <c r="B775" cm="1">
        <f t="array" aca="1" ref="B775" ca="1">[1]!s_dq_close($B$1,$A775,3)</f>
        <v>26.1</v>
      </c>
      <c r="C775" cm="1">
        <f t="array" aca="1" ref="C775" ca="1">[1]!s_dq_volume($B$1,$A775)</f>
        <v>2030403</v>
      </c>
      <c r="D775" cm="1">
        <f t="array" aca="1" ref="D775" ca="1">[1]!s_dq_amount($B$1,$A775)</f>
        <v>52978089</v>
      </c>
      <c r="E775" cm="1">
        <f t="array" aca="1" ref="E775" ca="1">[1]!s_dq_turn($B$1,$A775)</f>
        <v>0.23304314355178199</v>
      </c>
      <c r="F775" cm="1">
        <f t="array" aca="1" ref="F775" ca="1">[1]!s_val_pe_ttm($B$1,$A775)</f>
        <v>28.8700046539307</v>
      </c>
    </row>
    <row r="776" spans="1:6">
      <c r="A776" s="23">
        <f t="shared" ca="1" si="11"/>
        <v>45399</v>
      </c>
      <c r="B776" cm="1">
        <f t="array" aca="1" ref="B776" ca="1">[1]!s_dq_close($B$1,$A776,3)</f>
        <v>26.55</v>
      </c>
      <c r="C776" cm="1">
        <f t="array" aca="1" ref="C776" ca="1">[1]!s_dq_volume($B$1,$A776)</f>
        <v>2687500</v>
      </c>
      <c r="D776" cm="1">
        <f t="array" aca="1" ref="D776" ca="1">[1]!s_dq_amount($B$1,$A776)</f>
        <v>71086125</v>
      </c>
      <c r="E776" cm="1">
        <f t="array" aca="1" ref="E776" ca="1">[1]!s_dq_turn($B$1,$A776)</f>
        <v>0.30846262948558201</v>
      </c>
      <c r="F776" cm="1">
        <f t="array" aca="1" ref="F776" ca="1">[1]!s_val_pe_ttm($B$1,$A776)</f>
        <v>29.367763519287099</v>
      </c>
    </row>
    <row r="777" spans="1:6">
      <c r="A777" s="23">
        <f t="shared" ca="1" si="11"/>
        <v>45398</v>
      </c>
      <c r="B777" cm="1">
        <f t="array" aca="1" ref="B777" ca="1">[1]!s_dq_close($B$1,$A777,3)</f>
        <v>26.65</v>
      </c>
      <c r="C777" cm="1">
        <f t="array" aca="1" ref="C777" ca="1">[1]!s_dq_volume($B$1,$A777)</f>
        <v>2945000</v>
      </c>
      <c r="D777" cm="1">
        <f t="array" aca="1" ref="D777" ca="1">[1]!s_dq_amount($B$1,$A777)</f>
        <v>79506782</v>
      </c>
      <c r="E777" cm="1">
        <f t="array" aca="1" ref="E777" ca="1">[1]!s_dq_turn($B$1,$A777)</f>
        <v>0.33801765352001401</v>
      </c>
      <c r="F777" cm="1">
        <f t="array" aca="1" ref="F777" ca="1">[1]!s_val_pe_ttm($B$1,$A777)</f>
        <v>29.478376388549801</v>
      </c>
    </row>
    <row r="778" spans="1:6">
      <c r="A778" s="23">
        <f t="shared" ca="1" si="11"/>
        <v>45397</v>
      </c>
      <c r="B778" cm="1">
        <f t="array" aca="1" ref="B778" ca="1">[1]!s_dq_close($B$1,$A778,3)</f>
        <v>28.2</v>
      </c>
      <c r="C778" cm="1">
        <f t="array" aca="1" ref="C778" ca="1">[1]!s_dq_volume($B$1,$A778)</f>
        <v>2528194</v>
      </c>
      <c r="D778" cm="1">
        <f t="array" aca="1" ref="D778" ca="1">[1]!s_dq_amount($B$1,$A778)</f>
        <v>71382916</v>
      </c>
      <c r="E778" cm="1">
        <f t="array" aca="1" ref="E778" ca="1">[1]!s_dq_turn($B$1,$A778)</f>
        <v>0.290177997800808</v>
      </c>
      <c r="F778" cm="1">
        <f t="array" aca="1" ref="F778" ca="1">[1]!s_val_pe_ttm($B$1,$A778)</f>
        <v>31.192878723144499</v>
      </c>
    </row>
    <row r="779" spans="1:6">
      <c r="A779" s="23">
        <f t="shared" ca="1" si="11"/>
        <v>45396</v>
      </c>
      <c r="B779" cm="1">
        <f t="array" aca="1" ref="B779" ca="1">[1]!s_dq_close($B$1,$A779,3)</f>
        <v>28.95</v>
      </c>
      <c r="C779" cm="1">
        <f t="array" aca="1" ref="C779" ca="1">[1]!s_dq_volume($B$1,$A779)</f>
        <v>0</v>
      </c>
      <c r="D779" cm="1">
        <f t="array" aca="1" ref="D779" ca="1">[1]!s_dq_amount($B$1,$A779)</f>
        <v>0</v>
      </c>
      <c r="E779" cm="1">
        <f t="array" aca="1" ref="E779" ca="1">[1]!s_dq_turn($B$1,$A779)</f>
        <v>0</v>
      </c>
      <c r="F779" cm="1">
        <f t="array" aca="1" ref="F779" ca="1">[1]!s_val_pe_ttm($B$1,$A779)</f>
        <v>32.022476196289098</v>
      </c>
    </row>
    <row r="780" spans="1:6">
      <c r="A780" s="23">
        <f t="shared" ca="1" si="11"/>
        <v>45395</v>
      </c>
      <c r="B780" cm="1">
        <f t="array" aca="1" ref="B780" ca="1">[1]!s_dq_close($B$1,$A780,3)</f>
        <v>28.95</v>
      </c>
      <c r="C780" cm="1">
        <f t="array" aca="1" ref="C780" ca="1">[1]!s_dq_volume($B$1,$A780)</f>
        <v>0</v>
      </c>
      <c r="D780" cm="1">
        <f t="array" aca="1" ref="D780" ca="1">[1]!s_dq_amount($B$1,$A780)</f>
        <v>0</v>
      </c>
      <c r="E780" cm="1">
        <f t="array" aca="1" ref="E780" ca="1">[1]!s_dq_turn($B$1,$A780)</f>
        <v>0</v>
      </c>
      <c r="F780" cm="1">
        <f t="array" aca="1" ref="F780" ca="1">[1]!s_val_pe_ttm($B$1,$A780)</f>
        <v>32.022476196289098</v>
      </c>
    </row>
    <row r="781" spans="1:6">
      <c r="A781" s="23">
        <f t="shared" ref="A781:A844" ca="1" si="12">A780-1</f>
        <v>45394</v>
      </c>
      <c r="B781" cm="1">
        <f t="array" aca="1" ref="B781" ca="1">[1]!s_dq_close($B$1,$A781,3)</f>
        <v>28.95</v>
      </c>
      <c r="C781" cm="1">
        <f t="array" aca="1" ref="C781" ca="1">[1]!s_dq_volume($B$1,$A781)</f>
        <v>2498394</v>
      </c>
      <c r="D781" cm="1">
        <f t="array" aca="1" ref="D781" ca="1">[1]!s_dq_amount($B$1,$A781)</f>
        <v>72634763</v>
      </c>
      <c r="E781" cm="1">
        <f t="array" aca="1" ref="E781" ca="1">[1]!s_dq_turn($B$1,$A781)</f>
        <v>0.28675764938827902</v>
      </c>
      <c r="F781" cm="1">
        <f t="array" aca="1" ref="F781" ca="1">[1]!s_val_pe_ttm($B$1,$A781)</f>
        <v>32.022476196289098</v>
      </c>
    </row>
    <row r="782" spans="1:6">
      <c r="A782" s="23">
        <f t="shared" ca="1" si="12"/>
        <v>45393</v>
      </c>
      <c r="B782" cm="1">
        <f t="array" aca="1" ref="B782" ca="1">[1]!s_dq_close($B$1,$A782,3)</f>
        <v>28.8</v>
      </c>
      <c r="C782" cm="1">
        <f t="array" aca="1" ref="C782" ca="1">[1]!s_dq_volume($B$1,$A782)</f>
        <v>1918348</v>
      </c>
      <c r="D782" cm="1">
        <f t="array" aca="1" ref="D782" ca="1">[1]!s_dq_amount($B$1,$A782)</f>
        <v>55089280</v>
      </c>
      <c r="E782" cm="1">
        <f t="array" aca="1" ref="E782" ca="1">[1]!s_dq_turn($B$1,$A782)</f>
        <v>0.220181830083128</v>
      </c>
      <c r="F782" cm="1">
        <f t="array" aca="1" ref="F782" ca="1">[1]!s_val_pe_ttm($B$1,$A782)</f>
        <v>31.8565578460693</v>
      </c>
    </row>
    <row r="783" spans="1:6">
      <c r="A783" s="23">
        <f t="shared" ca="1" si="12"/>
        <v>45392</v>
      </c>
      <c r="B783" cm="1">
        <f t="array" aca="1" ref="B783" ca="1">[1]!s_dq_close($B$1,$A783,3)</f>
        <v>28.5</v>
      </c>
      <c r="C783" cm="1">
        <f t="array" aca="1" ref="C783" ca="1">[1]!s_dq_volume($B$1,$A783)</f>
        <v>3068000</v>
      </c>
      <c r="D783" cm="1">
        <f t="array" aca="1" ref="D783" ca="1">[1]!s_dq_amount($B$1,$A783)</f>
        <v>87287287</v>
      </c>
      <c r="E783" cm="1">
        <f t="array" aca="1" ref="E783" ca="1">[1]!s_dq_turn($B$1,$A783)</f>
        <v>0.352135198981122</v>
      </c>
      <c r="F783" cm="1">
        <f t="array" aca="1" ref="F783" ca="1">[1]!s_val_pe_ttm($B$1,$A783)</f>
        <v>31.5247192382812</v>
      </c>
    </row>
    <row r="784" spans="1:6">
      <c r="A784" s="23">
        <f t="shared" ca="1" si="12"/>
        <v>45391</v>
      </c>
      <c r="B784" cm="1">
        <f t="array" aca="1" ref="B784" ca="1">[1]!s_dq_close($B$1,$A784,3)</f>
        <v>28.95</v>
      </c>
      <c r="C784" cm="1">
        <f t="array" aca="1" ref="C784" ca="1">[1]!s_dq_volume($B$1,$A784)</f>
        <v>6993249</v>
      </c>
      <c r="D784" cm="1">
        <f t="array" aca="1" ref="D784" ca="1">[1]!s_dq_amount($B$1,$A784)</f>
        <v>199291059</v>
      </c>
      <c r="E784" cm="1">
        <f t="array" aca="1" ref="E784" ca="1">[1]!s_dq_turn($B$1,$A784)</f>
        <v>0.80266268844182898</v>
      </c>
      <c r="F784" cm="1">
        <f t="array" aca="1" ref="F784" ca="1">[1]!s_val_pe_ttm($B$1,$A784)</f>
        <v>32.022476196289098</v>
      </c>
    </row>
    <row r="785" spans="1:6">
      <c r="A785" s="23">
        <f t="shared" ca="1" si="12"/>
        <v>45390</v>
      </c>
      <c r="B785" cm="1">
        <f t="array" aca="1" ref="B785" ca="1">[1]!s_dq_close($B$1,$A785,3)</f>
        <v>26.85</v>
      </c>
      <c r="C785" cm="1">
        <f t="array" aca="1" ref="C785" ca="1">[1]!s_dq_volume($B$1,$A785)</f>
        <v>1899700</v>
      </c>
      <c r="D785" cm="1">
        <f t="array" aca="1" ref="D785" ca="1">[1]!s_dq_amount($B$1,$A785)</f>
        <v>50639715</v>
      </c>
      <c r="E785" cm="1">
        <f t="array" aca="1" ref="E785" ca="1">[1]!s_dq_turn($B$1,$A785)</f>
        <v>0.21804147245907299</v>
      </c>
      <c r="F785" cm="1">
        <f t="array" aca="1" ref="F785" ca="1">[1]!s_val_pe_ttm($B$1,$A785)</f>
        <v>29.6996040344238</v>
      </c>
    </row>
    <row r="786" spans="1:6">
      <c r="A786" s="23">
        <f t="shared" ca="1" si="12"/>
        <v>45389</v>
      </c>
      <c r="B786" cm="1">
        <f t="array" aca="1" ref="B786" ca="1">[1]!s_dq_close($B$1,$A786,3)</f>
        <v>26.15</v>
      </c>
      <c r="C786" cm="1">
        <f t="array" aca="1" ref="C786" ca="1">[1]!s_dq_volume($B$1,$A786)</f>
        <v>0</v>
      </c>
      <c r="D786" cm="1">
        <f t="array" aca="1" ref="D786" ca="1">[1]!s_dq_amount($B$1,$A786)</f>
        <v>0</v>
      </c>
      <c r="E786" cm="1">
        <f t="array" aca="1" ref="E786" ca="1">[1]!s_dq_turn($B$1,$A786)</f>
        <v>0</v>
      </c>
      <c r="F786" cm="1">
        <f t="array" aca="1" ref="F786" ca="1">[1]!s_val_pe_ttm($B$1,$A786)</f>
        <v>28.9253120422363</v>
      </c>
    </row>
    <row r="787" spans="1:6">
      <c r="A787" s="23">
        <f t="shared" ca="1" si="12"/>
        <v>45388</v>
      </c>
      <c r="B787" cm="1">
        <f t="array" aca="1" ref="B787" ca="1">[1]!s_dq_close($B$1,$A787,3)</f>
        <v>26.15</v>
      </c>
      <c r="C787" cm="1">
        <f t="array" aca="1" ref="C787" ca="1">[1]!s_dq_volume($B$1,$A787)</f>
        <v>0</v>
      </c>
      <c r="D787" cm="1">
        <f t="array" aca="1" ref="D787" ca="1">[1]!s_dq_amount($B$1,$A787)</f>
        <v>0</v>
      </c>
      <c r="E787" cm="1">
        <f t="array" aca="1" ref="E787" ca="1">[1]!s_dq_turn($B$1,$A787)</f>
        <v>0</v>
      </c>
      <c r="F787" cm="1">
        <f t="array" aca="1" ref="F787" ca="1">[1]!s_val_pe_ttm($B$1,$A787)</f>
        <v>28.9253120422363</v>
      </c>
    </row>
    <row r="788" spans="1:6">
      <c r="A788" s="23">
        <f t="shared" ca="1" si="12"/>
        <v>45387</v>
      </c>
      <c r="B788" cm="1">
        <f t="array" aca="1" ref="B788" ca="1">[1]!s_dq_close($B$1,$A788,3)</f>
        <v>26.15</v>
      </c>
      <c r="C788" cm="1">
        <f t="array" aca="1" ref="C788" ca="1">[1]!s_dq_volume($B$1,$A788)</f>
        <v>2162500</v>
      </c>
      <c r="D788" cm="1">
        <f t="array" aca="1" ref="D788" ca="1">[1]!s_dq_amount($B$1,$A788)</f>
        <v>56556175</v>
      </c>
      <c r="E788" cm="1">
        <f t="array" aca="1" ref="E788" ca="1">[1]!s_dq_turn($B$1,$A788)</f>
        <v>0.24820481349305001</v>
      </c>
      <c r="F788" cm="1">
        <f t="array" aca="1" ref="F788" ca="1">[1]!s_val_pe_ttm($B$1,$A788)</f>
        <v>28.9253120422363</v>
      </c>
    </row>
    <row r="789" spans="1:6">
      <c r="A789" s="23">
        <f t="shared" ca="1" si="12"/>
        <v>45386</v>
      </c>
      <c r="B789" cm="1">
        <f t="array" aca="1" ref="B789" ca="1">[1]!s_dq_close($B$1,$A789,3)</f>
        <v>27.3</v>
      </c>
      <c r="C789" cm="1">
        <f t="array" aca="1" ref="C789" ca="1">[1]!s_dq_volume($B$1,$A789)</f>
        <v>0</v>
      </c>
      <c r="D789" cm="1">
        <f t="array" aca="1" ref="D789" ca="1">[1]!s_dq_amount($B$1,$A789)</f>
        <v>0</v>
      </c>
      <c r="E789" cm="1">
        <f t="array" aca="1" ref="E789" ca="1">[1]!s_dq_turn($B$1,$A789)</f>
        <v>0</v>
      </c>
      <c r="F789" cm="1">
        <f t="array" aca="1" ref="F789" ca="1">[1]!s_val_pe_ttm($B$1,$A789)</f>
        <v>30.197362899780298</v>
      </c>
    </row>
    <row r="790" spans="1:6">
      <c r="A790" s="23">
        <f t="shared" ca="1" si="12"/>
        <v>45385</v>
      </c>
      <c r="B790" cm="1">
        <f t="array" aca="1" ref="B790" ca="1">[1]!s_dq_close($B$1,$A790,3)</f>
        <v>27.3</v>
      </c>
      <c r="C790" cm="1">
        <f t="array" aca="1" ref="C790" ca="1">[1]!s_dq_volume($B$1,$A790)</f>
        <v>5251500</v>
      </c>
      <c r="D790" cm="1">
        <f t="array" aca="1" ref="D790" ca="1">[1]!s_dq_amount($B$1,$A790)</f>
        <v>141212346</v>
      </c>
      <c r="E790" cm="1">
        <f t="array" aca="1" ref="E790" ca="1">[1]!s_dq_turn($B$1,$A790)</f>
        <v>0.60275032511387305</v>
      </c>
      <c r="F790" cm="1">
        <f t="array" aca="1" ref="F790" ca="1">[1]!s_val_pe_ttm($B$1,$A790)</f>
        <v>30.197362899780298</v>
      </c>
    </row>
    <row r="791" spans="1:6">
      <c r="A791" s="23">
        <f t="shared" ca="1" si="12"/>
        <v>45384</v>
      </c>
      <c r="B791" cm="1">
        <f t="array" aca="1" ref="B791" ca="1">[1]!s_dq_close($B$1,$A791,3)</f>
        <v>26.8</v>
      </c>
      <c r="C791" cm="1">
        <f t="array" aca="1" ref="C791" ca="1">[1]!s_dq_volume($B$1,$A791)</f>
        <v>3006341</v>
      </c>
      <c r="D791" cm="1">
        <f t="array" aca="1" ref="D791" ca="1">[1]!s_dq_amount($B$1,$A791)</f>
        <v>80665705</v>
      </c>
      <c r="E791" cm="1">
        <f t="array" aca="1" ref="E791" ca="1">[1]!s_dq_turn($B$1,$A791)</f>
        <v>0.34505817674058198</v>
      </c>
      <c r="F791" cm="1">
        <f t="array" aca="1" ref="F791" ca="1">[1]!s_val_pe_ttm($B$1,$A791)</f>
        <v>29.6442966461182</v>
      </c>
    </row>
    <row r="792" spans="1:6">
      <c r="A792" s="23">
        <f t="shared" ca="1" si="12"/>
        <v>45383</v>
      </c>
      <c r="B792" cm="1">
        <f t="array" aca="1" ref="B792" ca="1">[1]!s_dq_close($B$1,$A792,3)</f>
        <v>26.75</v>
      </c>
      <c r="C792" cm="1">
        <f t="array" aca="1" ref="C792" ca="1">[1]!s_dq_volume($B$1,$A792)</f>
        <v>0</v>
      </c>
      <c r="D792" cm="1">
        <f t="array" aca="1" ref="D792" ca="1">[1]!s_dq_amount($B$1,$A792)</f>
        <v>0</v>
      </c>
      <c r="E792" cm="1">
        <f t="array" aca="1" ref="E792" ca="1">[1]!s_dq_turn($B$1,$A792)</f>
        <v>0</v>
      </c>
      <c r="F792" cm="1">
        <f t="array" aca="1" ref="F792" ca="1">[1]!s_val_pe_ttm($B$1,$A792)</f>
        <v>29.588991165161101</v>
      </c>
    </row>
    <row r="793" spans="1:6">
      <c r="A793" s="23">
        <f t="shared" ca="1" si="12"/>
        <v>45382</v>
      </c>
      <c r="B793" cm="1">
        <f t="array" aca="1" ref="B793" ca="1">[1]!s_dq_close($B$1,$A793,3)</f>
        <v>26.75</v>
      </c>
      <c r="C793" cm="1">
        <f t="array" aca="1" ref="C793" ca="1">[1]!s_dq_volume($B$1,$A793)</f>
        <v>0</v>
      </c>
      <c r="D793" cm="1">
        <f t="array" aca="1" ref="D793" ca="1">[1]!s_dq_amount($B$1,$A793)</f>
        <v>0</v>
      </c>
      <c r="E793" cm="1">
        <f t="array" aca="1" ref="E793" ca="1">[1]!s_dq_turn($B$1,$A793)</f>
        <v>0</v>
      </c>
      <c r="F793" cm="1">
        <f t="array" aca="1" ref="F793" ca="1">[1]!s_val_pe_ttm($B$1,$A793)</f>
        <v>29.588991165161101</v>
      </c>
    </row>
    <row r="794" spans="1:6">
      <c r="A794" s="23">
        <f t="shared" ca="1" si="12"/>
        <v>45381</v>
      </c>
      <c r="B794" cm="1">
        <f t="array" aca="1" ref="B794" ca="1">[1]!s_dq_close($B$1,$A794,3)</f>
        <v>26.75</v>
      </c>
      <c r="C794" cm="1">
        <f t="array" aca="1" ref="C794" ca="1">[1]!s_dq_volume($B$1,$A794)</f>
        <v>0</v>
      </c>
      <c r="D794" cm="1">
        <f t="array" aca="1" ref="D794" ca="1">[1]!s_dq_amount($B$1,$A794)</f>
        <v>0</v>
      </c>
      <c r="E794" cm="1">
        <f t="array" aca="1" ref="E794" ca="1">[1]!s_dq_turn($B$1,$A794)</f>
        <v>0</v>
      </c>
      <c r="F794" cm="1">
        <f t="array" aca="1" ref="F794" ca="1">[1]!s_val_pe_ttm($B$1,$A794)</f>
        <v>29.588991165161101</v>
      </c>
    </row>
    <row r="795" spans="1:6">
      <c r="A795" s="23">
        <f t="shared" ca="1" si="12"/>
        <v>45380</v>
      </c>
      <c r="B795" cm="1">
        <f t="array" aca="1" ref="B795" ca="1">[1]!s_dq_close($B$1,$A795,3)</f>
        <v>26.75</v>
      </c>
      <c r="C795" cm="1">
        <f t="array" aca="1" ref="C795" ca="1">[1]!s_dq_volume($B$1,$A795)</f>
        <v>0</v>
      </c>
      <c r="D795" cm="1">
        <f t="array" aca="1" ref="D795" ca="1">[1]!s_dq_amount($B$1,$A795)</f>
        <v>0</v>
      </c>
      <c r="E795" cm="1">
        <f t="array" aca="1" ref="E795" ca="1">[1]!s_dq_turn($B$1,$A795)</f>
        <v>0</v>
      </c>
      <c r="F795" cm="1">
        <f t="array" aca="1" ref="F795" ca="1">[1]!s_val_pe_ttm($B$1,$A795)</f>
        <v>29.588991165161101</v>
      </c>
    </row>
    <row r="796" spans="1:6">
      <c r="A796" s="23">
        <f t="shared" ca="1" si="12"/>
        <v>45379</v>
      </c>
      <c r="B796" cm="1">
        <f t="array" aca="1" ref="B796" ca="1">[1]!s_dq_close($B$1,$A796,3)</f>
        <v>26.75</v>
      </c>
      <c r="C796" cm="1">
        <f t="array" aca="1" ref="C796" ca="1">[1]!s_dq_volume($B$1,$A796)</f>
        <v>2327000</v>
      </c>
      <c r="D796" cm="1">
        <f t="array" aca="1" ref="D796" ca="1">[1]!s_dq_amount($B$1,$A796)</f>
        <v>62195025</v>
      </c>
      <c r="E796" cm="1">
        <f t="array" aca="1" ref="E796" ca="1">[1]!s_dq_turn($B$1,$A796)</f>
        <v>0.26708559583737601</v>
      </c>
      <c r="F796" cm="1">
        <f t="array" aca="1" ref="F796" ca="1">[1]!s_val_pe_ttm($B$1,$A796)</f>
        <v>29.588991165161101</v>
      </c>
    </row>
    <row r="797" spans="1:6">
      <c r="A797" s="23">
        <f t="shared" ca="1" si="12"/>
        <v>45378</v>
      </c>
      <c r="B797" cm="1">
        <f t="array" aca="1" ref="B797" ca="1">[1]!s_dq_close($B$1,$A797,3)</f>
        <v>26.7</v>
      </c>
      <c r="C797" cm="1">
        <f t="array" aca="1" ref="C797" ca="1">[1]!s_dq_volume($B$1,$A797)</f>
        <v>2813000</v>
      </c>
      <c r="D797" cm="1">
        <f t="array" aca="1" ref="D797" ca="1">[1]!s_dq_amount($B$1,$A797)</f>
        <v>75018162</v>
      </c>
      <c r="E797" cm="1">
        <f t="array" aca="1" ref="E797" ca="1">[1]!s_dq_turn($B$1,$A797)</f>
        <v>0.322867116927606</v>
      </c>
      <c r="F797" cm="1">
        <f t="array" aca="1" ref="F797" ca="1">[1]!s_val_pe_ttm($B$1,$A797)</f>
        <v>29.533683776855501</v>
      </c>
    </row>
    <row r="798" spans="1:6">
      <c r="A798" s="23">
        <f t="shared" ca="1" si="12"/>
        <v>45377</v>
      </c>
      <c r="B798" cm="1">
        <f t="array" aca="1" ref="B798" ca="1">[1]!s_dq_close($B$1,$A798,3)</f>
        <v>26.55</v>
      </c>
      <c r="C798" cm="1">
        <f t="array" aca="1" ref="C798" ca="1">[1]!s_dq_volume($B$1,$A798)</f>
        <v>1723000</v>
      </c>
      <c r="D798" cm="1">
        <f t="array" aca="1" ref="D798" ca="1">[1]!s_dq_amount($B$1,$A798)</f>
        <v>45807600</v>
      </c>
      <c r="E798" cm="1">
        <f t="array" aca="1" ref="E798" ca="1">[1]!s_dq_turn($B$1,$A798)</f>
        <v>0.197760413247873</v>
      </c>
      <c r="F798" cm="1">
        <f t="array" aca="1" ref="F798" ca="1">[1]!s_val_pe_ttm($B$1,$A798)</f>
        <v>29.367763519287099</v>
      </c>
    </row>
    <row r="799" spans="1:6">
      <c r="A799" s="23">
        <f t="shared" ca="1" si="12"/>
        <v>45376</v>
      </c>
      <c r="B799" cm="1">
        <f t="array" aca="1" ref="B799" ca="1">[1]!s_dq_close($B$1,$A799,3)</f>
        <v>26.8</v>
      </c>
      <c r="C799" cm="1">
        <f t="array" aca="1" ref="C799" ca="1">[1]!s_dq_volume($B$1,$A799)</f>
        <v>3981479</v>
      </c>
      <c r="D799" cm="1">
        <f t="array" aca="1" ref="D799" ca="1">[1]!s_dq_amount($B$1,$A799)</f>
        <v>107624564</v>
      </c>
      <c r="E799" cm="1">
        <f t="array" aca="1" ref="E799" ca="1">[1]!s_dq_turn($B$1,$A799)</f>
        <v>0.45698138849548797</v>
      </c>
      <c r="F799" cm="1">
        <f t="array" aca="1" ref="F799" ca="1">[1]!s_val_pe_ttm($B$1,$A799)</f>
        <v>29.6442966461182</v>
      </c>
    </row>
    <row r="800" spans="1:6">
      <c r="A800" s="23">
        <f t="shared" ca="1" si="12"/>
        <v>45375</v>
      </c>
      <c r="B800" cm="1">
        <f t="array" aca="1" ref="B800" ca="1">[1]!s_dq_close($B$1,$A800,3)</f>
        <v>26.15</v>
      </c>
      <c r="C800" cm="1">
        <f t="array" aca="1" ref="C800" ca="1">[1]!s_dq_volume($B$1,$A800)</f>
        <v>0</v>
      </c>
      <c r="D800" cm="1">
        <f t="array" aca="1" ref="D800" ca="1">[1]!s_dq_amount($B$1,$A800)</f>
        <v>0</v>
      </c>
      <c r="E800" cm="1">
        <f t="array" aca="1" ref="E800" ca="1">[1]!s_dq_turn($B$1,$A800)</f>
        <v>0</v>
      </c>
      <c r="F800" cm="1">
        <f t="array" aca="1" ref="F800" ca="1">[1]!s_val_pe_ttm($B$1,$A800)</f>
        <v>28.9253120422363</v>
      </c>
    </row>
    <row r="801" spans="1:6">
      <c r="A801" s="23">
        <f t="shared" ca="1" si="12"/>
        <v>45374</v>
      </c>
      <c r="B801" cm="1">
        <f t="array" aca="1" ref="B801" ca="1">[1]!s_dq_close($B$1,$A801,3)</f>
        <v>26.15</v>
      </c>
      <c r="C801" cm="1">
        <f t="array" aca="1" ref="C801" ca="1">[1]!s_dq_volume($B$1,$A801)</f>
        <v>0</v>
      </c>
      <c r="D801" cm="1">
        <f t="array" aca="1" ref="D801" ca="1">[1]!s_dq_amount($B$1,$A801)</f>
        <v>0</v>
      </c>
      <c r="E801" cm="1">
        <f t="array" aca="1" ref="E801" ca="1">[1]!s_dq_turn($B$1,$A801)</f>
        <v>0</v>
      </c>
      <c r="F801" cm="1">
        <f t="array" aca="1" ref="F801" ca="1">[1]!s_val_pe_ttm($B$1,$A801)</f>
        <v>28.9253120422363</v>
      </c>
    </row>
    <row r="802" spans="1:6">
      <c r="A802" s="23">
        <f t="shared" ca="1" si="12"/>
        <v>45373</v>
      </c>
      <c r="B802" cm="1">
        <f t="array" aca="1" ref="B802" ca="1">[1]!s_dq_close($B$1,$A802,3)</f>
        <v>26.15</v>
      </c>
      <c r="C802" cm="1">
        <f t="array" aca="1" ref="C802" ca="1">[1]!s_dq_volume($B$1,$A802)</f>
        <v>5204871</v>
      </c>
      <c r="D802" cm="1">
        <f t="array" aca="1" ref="D802" ca="1">[1]!s_dq_amount($B$1,$A802)</f>
        <v>136637413</v>
      </c>
      <c r="E802" cm="1">
        <f t="array" aca="1" ref="E802" ca="1">[1]!s_dq_turn($B$1,$A802)</f>
        <v>0.59739839806260497</v>
      </c>
      <c r="F802" cm="1">
        <f t="array" aca="1" ref="F802" ca="1">[1]!s_val_pe_ttm($B$1,$A802)</f>
        <v>28.9253120422363</v>
      </c>
    </row>
    <row r="803" spans="1:6">
      <c r="A803" s="23">
        <f t="shared" ca="1" si="12"/>
        <v>45372</v>
      </c>
      <c r="B803" cm="1">
        <f t="array" aca="1" ref="B803" ca="1">[1]!s_dq_close($B$1,$A803,3)</f>
        <v>27.4</v>
      </c>
      <c r="C803" cm="1">
        <f t="array" aca="1" ref="C803" ca="1">[1]!s_dq_volume($B$1,$A803)</f>
        <v>1985517</v>
      </c>
      <c r="D803" cm="1">
        <f t="array" aca="1" ref="D803" ca="1">[1]!s_dq_amount($B$1,$A803)</f>
        <v>54678505</v>
      </c>
      <c r="E803" cm="1">
        <f t="array" aca="1" ref="E803" ca="1">[1]!s_dq_turn($B$1,$A803)</f>
        <v>0.22789127244960899</v>
      </c>
      <c r="F803" cm="1">
        <f t="array" aca="1" ref="F803" ca="1">[1]!s_val_pe_ttm($B$1,$A803)</f>
        <v>30.307975769043001</v>
      </c>
    </row>
    <row r="804" spans="1:6">
      <c r="A804" s="23">
        <f t="shared" ca="1" si="12"/>
        <v>45371</v>
      </c>
      <c r="B804" cm="1">
        <f t="array" aca="1" ref="B804" ca="1">[1]!s_dq_close($B$1,$A804,3)</f>
        <v>27.55</v>
      </c>
      <c r="C804" cm="1">
        <f t="array" aca="1" ref="C804" ca="1">[1]!s_dq_volume($B$1,$A804)</f>
        <v>2027500</v>
      </c>
      <c r="D804" cm="1">
        <f t="array" aca="1" ref="D804" ca="1">[1]!s_dq_amount($B$1,$A804)</f>
        <v>55609650</v>
      </c>
      <c r="E804" cm="1">
        <f t="array" aca="1" ref="E804" ca="1">[1]!s_dq_turn($B$1,$A804)</f>
        <v>0.23270994652354099</v>
      </c>
      <c r="F804" cm="1">
        <f t="array" aca="1" ref="F804" ca="1">[1]!s_val_pe_ttm($B$1,$A804)</f>
        <v>30.473894119262699</v>
      </c>
    </row>
    <row r="805" spans="1:6">
      <c r="A805" s="23">
        <f t="shared" ca="1" si="12"/>
        <v>45370</v>
      </c>
      <c r="B805" cm="1">
        <f t="array" aca="1" ref="B805" ca="1">[1]!s_dq_close($B$1,$A805,3)</f>
        <v>27.45</v>
      </c>
      <c r="C805" cm="1">
        <f t="array" aca="1" ref="C805" ca="1">[1]!s_dq_volume($B$1,$A805)</f>
        <v>3563774</v>
      </c>
      <c r="D805" cm="1">
        <f t="array" aca="1" ref="D805" ca="1">[1]!s_dq_amount($B$1,$A805)</f>
        <v>97635707</v>
      </c>
      <c r="E805" cm="1">
        <f t="array" aca="1" ref="E805" ca="1">[1]!s_dq_turn($B$1,$A805)</f>
        <v>0.40903854843994403</v>
      </c>
      <c r="F805" cm="1">
        <f t="array" aca="1" ref="F805" ca="1">[1]!s_val_pe_ttm($B$1,$A805)</f>
        <v>30.36328125</v>
      </c>
    </row>
    <row r="806" spans="1:6">
      <c r="A806" s="23">
        <f t="shared" ca="1" si="12"/>
        <v>45369</v>
      </c>
      <c r="B806" cm="1">
        <f t="array" aca="1" ref="B806" ca="1">[1]!s_dq_close($B$1,$A806,3)</f>
        <v>27.95</v>
      </c>
      <c r="C806" cm="1">
        <f t="array" aca="1" ref="C806" ca="1">[1]!s_dq_volume($B$1,$A806)</f>
        <v>3665252</v>
      </c>
      <c r="D806" cm="1">
        <f t="array" aca="1" ref="D806" ca="1">[1]!s_dq_amount($B$1,$A806)</f>
        <v>101723331</v>
      </c>
      <c r="E806" cm="1">
        <f t="array" aca="1" ref="E806" ca="1">[1]!s_dq_turn($B$1,$A806)</f>
        <v>0.42068586777573502</v>
      </c>
      <c r="F806" cm="1">
        <f t="array" aca="1" ref="F806" ca="1">[1]!s_val_pe_ttm($B$1,$A806)</f>
        <v>30.916347503662099</v>
      </c>
    </row>
    <row r="807" spans="1:6">
      <c r="A807" s="23">
        <f t="shared" ca="1" si="12"/>
        <v>45368</v>
      </c>
      <c r="B807" cm="1">
        <f t="array" aca="1" ref="B807" ca="1">[1]!s_dq_close($B$1,$A807,3)</f>
        <v>28.1</v>
      </c>
      <c r="C807" cm="1">
        <f t="array" aca="1" ref="C807" ca="1">[1]!s_dq_volume($B$1,$A807)</f>
        <v>0</v>
      </c>
      <c r="D807" cm="1">
        <f t="array" aca="1" ref="D807" ca="1">[1]!s_dq_amount($B$1,$A807)</f>
        <v>0</v>
      </c>
      <c r="E807" cm="1">
        <f t="array" aca="1" ref="E807" ca="1">[1]!s_dq_turn($B$1,$A807)</f>
        <v>0</v>
      </c>
      <c r="F807" cm="1">
        <f t="array" aca="1" ref="F807" ca="1">[1]!s_val_pe_ttm($B$1,$A807)</f>
        <v>31.0822658538818</v>
      </c>
    </row>
    <row r="808" spans="1:6">
      <c r="A808" s="23">
        <f t="shared" ca="1" si="12"/>
        <v>45367</v>
      </c>
      <c r="B808" cm="1">
        <f t="array" aca="1" ref="B808" ca="1">[1]!s_dq_close($B$1,$A808,3)</f>
        <v>28.1</v>
      </c>
      <c r="C808" cm="1">
        <f t="array" aca="1" ref="C808" ca="1">[1]!s_dq_volume($B$1,$A808)</f>
        <v>0</v>
      </c>
      <c r="D808" cm="1">
        <f t="array" aca="1" ref="D808" ca="1">[1]!s_dq_amount($B$1,$A808)</f>
        <v>0</v>
      </c>
      <c r="E808" cm="1">
        <f t="array" aca="1" ref="E808" ca="1">[1]!s_dq_turn($B$1,$A808)</f>
        <v>0</v>
      </c>
      <c r="F808" cm="1">
        <f t="array" aca="1" ref="F808" ca="1">[1]!s_val_pe_ttm($B$1,$A808)</f>
        <v>31.0822658538818</v>
      </c>
    </row>
    <row r="809" spans="1:6">
      <c r="A809" s="23">
        <f t="shared" ca="1" si="12"/>
        <v>45366</v>
      </c>
      <c r="B809" cm="1">
        <f t="array" aca="1" ref="B809" ca="1">[1]!s_dq_close($B$1,$A809,3)</f>
        <v>28.1</v>
      </c>
      <c r="C809" cm="1">
        <f t="array" aca="1" ref="C809" ca="1">[1]!s_dq_volume($B$1,$A809)</f>
        <v>7082174</v>
      </c>
      <c r="D809" cm="1">
        <f t="array" aca="1" ref="D809" ca="1">[1]!s_dq_amount($B$1,$A809)</f>
        <v>197252957</v>
      </c>
      <c r="E809" cm="1">
        <f t="array" aca="1" ref="E809" ca="1">[1]!s_dq_turn($B$1,$A809)</f>
        <v>0.81286921470303997</v>
      </c>
      <c r="F809" cm="1">
        <f t="array" aca="1" ref="F809" ca="1">[1]!s_val_pe_ttm($B$1,$A809)</f>
        <v>31.0822658538818</v>
      </c>
    </row>
    <row r="810" spans="1:6">
      <c r="A810" s="23">
        <f t="shared" ca="1" si="12"/>
        <v>45365</v>
      </c>
      <c r="B810" cm="1">
        <f t="array" aca="1" ref="B810" ca="1">[1]!s_dq_close($B$1,$A810,3)</f>
        <v>27.35</v>
      </c>
      <c r="C810" cm="1">
        <f t="array" aca="1" ref="C810" ca="1">[1]!s_dq_volume($B$1,$A810)</f>
        <v>17284100</v>
      </c>
      <c r="D810" cm="1">
        <f t="array" aca="1" ref="D810" ca="1">[1]!s_dq_amount($B$1,$A810)</f>
        <v>486446179</v>
      </c>
      <c r="E810" cm="1">
        <f t="array" aca="1" ref="E810" ca="1">[1]!s_dq_turn($B$1,$A810)</f>
        <v>1.98381355694577</v>
      </c>
      <c r="F810" cm="1">
        <f t="array" aca="1" ref="F810" ca="1">[1]!s_val_pe_ttm($B$1,$A810)</f>
        <v>30.252668380737301</v>
      </c>
    </row>
    <row r="811" spans="1:6">
      <c r="A811" s="23">
        <f t="shared" ca="1" si="12"/>
        <v>45364</v>
      </c>
      <c r="B811" cm="1">
        <f t="array" aca="1" ref="B811" ca="1">[1]!s_dq_close($B$1,$A811,3)</f>
        <v>28.35</v>
      </c>
      <c r="C811" cm="1">
        <f t="array" aca="1" ref="C811" ca="1">[1]!s_dq_volume($B$1,$A811)</f>
        <v>7274514</v>
      </c>
      <c r="D811" cm="1">
        <f t="array" aca="1" ref="D811" ca="1">[1]!s_dq_amount($B$1,$A811)</f>
        <v>195179713</v>
      </c>
      <c r="E811" cm="1">
        <f t="array" aca="1" ref="E811" ca="1">[1]!s_dq_turn($B$1,$A811)</f>
        <v>0.83494538294685705</v>
      </c>
      <c r="F811" cm="1">
        <f t="array" aca="1" ref="F811" ca="1">[1]!s_val_pe_ttm($B$1,$A811)</f>
        <v>31.358798980712901</v>
      </c>
    </row>
    <row r="812" spans="1:6">
      <c r="A812" s="23">
        <f t="shared" ca="1" si="12"/>
        <v>45363</v>
      </c>
      <c r="B812" cm="1">
        <f t="array" aca="1" ref="B812" ca="1">[1]!s_dq_close($B$1,$A812,3)</f>
        <v>25.4</v>
      </c>
      <c r="C812" cm="1">
        <f t="array" aca="1" ref="C812" ca="1">[1]!s_dq_volume($B$1,$A812)</f>
        <v>5401070</v>
      </c>
      <c r="D812" cm="1">
        <f t="array" aca="1" ref="D812" ca="1">[1]!s_dq_amount($B$1,$A812)</f>
        <v>136024618</v>
      </c>
      <c r="E812" cm="1">
        <f t="array" aca="1" ref="E812" ca="1">[1]!s_dq_turn($B$1,$A812)</f>
        <v>0.61991748994816398</v>
      </c>
      <c r="F812" cm="1">
        <f t="array" aca="1" ref="F812" ca="1">[1]!s_val_pe_ttm($B$1,$A812)</f>
        <v>28.0957145690918</v>
      </c>
    </row>
    <row r="813" spans="1:6">
      <c r="A813" s="23">
        <f t="shared" ca="1" si="12"/>
        <v>45362</v>
      </c>
      <c r="B813" cm="1">
        <f t="array" aca="1" ref="B813" ca="1">[1]!s_dq_close($B$1,$A813,3)</f>
        <v>23.7</v>
      </c>
      <c r="C813" cm="1">
        <f t="array" aca="1" ref="C813" ca="1">[1]!s_dq_volume($B$1,$A813)</f>
        <v>2231701</v>
      </c>
      <c r="D813" cm="1">
        <f t="array" aca="1" ref="D813" ca="1">[1]!s_dq_amount($B$1,$A813)</f>
        <v>52941337</v>
      </c>
      <c r="E813" cm="1">
        <f t="array" aca="1" ref="E813" ca="1">[1]!s_dq_turn($B$1,$A813)</f>
        <v>0.25614748230161899</v>
      </c>
      <c r="F813" cm="1">
        <f t="array" aca="1" ref="F813" ca="1">[1]!s_val_pe_ttm($B$1,$A813)</f>
        <v>26.2152919769287</v>
      </c>
    </row>
    <row r="814" spans="1:6">
      <c r="A814" s="23">
        <f t="shared" ca="1" si="12"/>
        <v>45361</v>
      </c>
      <c r="B814" cm="1">
        <f t="array" aca="1" ref="B814" ca="1">[1]!s_dq_close($B$1,$A814,3)</f>
        <v>23.65</v>
      </c>
      <c r="C814" cm="1">
        <f t="array" aca="1" ref="C814" ca="1">[1]!s_dq_volume($B$1,$A814)</f>
        <v>0</v>
      </c>
      <c r="D814" cm="1">
        <f t="array" aca="1" ref="D814" ca="1">[1]!s_dq_amount($B$1,$A814)</f>
        <v>0</v>
      </c>
      <c r="E814" cm="1">
        <f t="array" aca="1" ref="E814" ca="1">[1]!s_dq_turn($B$1,$A814)</f>
        <v>0</v>
      </c>
      <c r="F814" cm="1">
        <f t="array" aca="1" ref="F814" ca="1">[1]!s_val_pe_ttm($B$1,$A814)</f>
        <v>26.159986495971701</v>
      </c>
    </row>
    <row r="815" spans="1:6">
      <c r="A815" s="23">
        <f t="shared" ca="1" si="12"/>
        <v>45360</v>
      </c>
      <c r="B815" cm="1">
        <f t="array" aca="1" ref="B815" ca="1">[1]!s_dq_close($B$1,$A815,3)</f>
        <v>23.65</v>
      </c>
      <c r="C815" cm="1">
        <f t="array" aca="1" ref="C815" ca="1">[1]!s_dq_volume($B$1,$A815)</f>
        <v>0</v>
      </c>
      <c r="D815" cm="1">
        <f t="array" aca="1" ref="D815" ca="1">[1]!s_dq_amount($B$1,$A815)</f>
        <v>0</v>
      </c>
      <c r="E815" cm="1">
        <f t="array" aca="1" ref="E815" ca="1">[1]!s_dq_turn($B$1,$A815)</f>
        <v>0</v>
      </c>
      <c r="F815" cm="1">
        <f t="array" aca="1" ref="F815" ca="1">[1]!s_val_pe_ttm($B$1,$A815)</f>
        <v>26.159986495971701</v>
      </c>
    </row>
    <row r="816" spans="1:6">
      <c r="A816" s="23">
        <f t="shared" ca="1" si="12"/>
        <v>45359</v>
      </c>
      <c r="B816" cm="1">
        <f t="array" aca="1" ref="B816" ca="1">[1]!s_dq_close($B$1,$A816,3)</f>
        <v>23.65</v>
      </c>
      <c r="C816" cm="1">
        <f t="array" aca="1" ref="C816" ca="1">[1]!s_dq_volume($B$1,$A816)</f>
        <v>1895000</v>
      </c>
      <c r="D816" cm="1">
        <f t="array" aca="1" ref="D816" ca="1">[1]!s_dq_amount($B$1,$A816)</f>
        <v>44987411</v>
      </c>
      <c r="E816" cm="1">
        <f t="array" aca="1" ref="E816" ca="1">[1]!s_dq_turn($B$1,$A816)</f>
        <v>0.21750202153494999</v>
      </c>
      <c r="F816" cm="1">
        <f t="array" aca="1" ref="F816" ca="1">[1]!s_val_pe_ttm($B$1,$A816)</f>
        <v>26.159986495971701</v>
      </c>
    </row>
    <row r="817" spans="1:6">
      <c r="A817" s="23">
        <f t="shared" ca="1" si="12"/>
        <v>45358</v>
      </c>
      <c r="B817" cm="1">
        <f t="array" aca="1" ref="B817" ca="1">[1]!s_dq_close($B$1,$A817,3)</f>
        <v>23.2</v>
      </c>
      <c r="C817" cm="1">
        <f t="array" aca="1" ref="C817" ca="1">[1]!s_dq_volume($B$1,$A817)</f>
        <v>2272000</v>
      </c>
      <c r="D817" cm="1">
        <f t="array" aca="1" ref="D817" ca="1">[1]!s_dq_amount($B$1,$A817)</f>
        <v>52687362</v>
      </c>
      <c r="E817" cm="1">
        <f t="array" aca="1" ref="E817" ca="1">[1]!s_dq_turn($B$1,$A817)</f>
        <v>0.26077287225720602</v>
      </c>
      <c r="F817" cm="1">
        <f t="array" aca="1" ref="F817" ca="1">[1]!s_val_pe_ttm($B$1,$A817)</f>
        <v>25.662227630615199</v>
      </c>
    </row>
    <row r="818" spans="1:6">
      <c r="A818" s="23">
        <f t="shared" ca="1" si="12"/>
        <v>45357</v>
      </c>
      <c r="B818" cm="1">
        <f t="array" aca="1" ref="B818" ca="1">[1]!s_dq_close($B$1,$A818,3)</f>
        <v>23.6</v>
      </c>
      <c r="C818" cm="1">
        <f t="array" aca="1" ref="C818" ca="1">[1]!s_dq_volume($B$1,$A818)</f>
        <v>4106000</v>
      </c>
      <c r="D818" cm="1">
        <f t="array" aca="1" ref="D818" ca="1">[1]!s_dq_amount($B$1,$A818)</f>
        <v>95152443</v>
      </c>
      <c r="E818" cm="1">
        <f t="array" aca="1" ref="E818" ca="1">[1]!s_dq_turn($B$1,$A818)</f>
        <v>0.47127350945778601</v>
      </c>
      <c r="F818" cm="1">
        <f t="array" aca="1" ref="F818" ca="1">[1]!s_val_pe_ttm($B$1,$A818)</f>
        <v>26.104679107666001</v>
      </c>
    </row>
    <row r="819" spans="1:6">
      <c r="A819" s="23">
        <f t="shared" ca="1" si="12"/>
        <v>45356</v>
      </c>
      <c r="B819" cm="1">
        <f t="array" aca="1" ref="B819" ca="1">[1]!s_dq_close($B$1,$A819,3)</f>
        <v>22.35</v>
      </c>
      <c r="C819" cm="1">
        <f t="array" aca="1" ref="C819" ca="1">[1]!s_dq_volume($B$1,$A819)</f>
        <v>4336846</v>
      </c>
      <c r="D819" cm="1">
        <f t="array" aca="1" ref="D819" ca="1">[1]!s_dq_amount($B$1,$A819)</f>
        <v>98417504</v>
      </c>
      <c r="E819" cm="1">
        <f t="array" aca="1" ref="E819" ca="1">[1]!s_dq_turn($B$1,$A819)</f>
        <v>0.497769272868475</v>
      </c>
      <c r="F819" cm="1">
        <f t="array" aca="1" ref="F819" ca="1">[1]!s_val_pe_ttm($B$1,$A819)</f>
        <v>24.7220153808594</v>
      </c>
    </row>
    <row r="820" spans="1:6">
      <c r="A820" s="23">
        <f t="shared" ca="1" si="12"/>
        <v>45355</v>
      </c>
      <c r="B820" cm="1">
        <f t="array" aca="1" ref="B820" ca="1">[1]!s_dq_close($B$1,$A820,3)</f>
        <v>24.35</v>
      </c>
      <c r="C820" cm="1">
        <f t="array" aca="1" ref="C820" ca="1">[1]!s_dq_volume($B$1,$A820)</f>
        <v>2740181</v>
      </c>
      <c r="D820" cm="1">
        <f t="array" aca="1" ref="D820" ca="1">[1]!s_dq_amount($B$1,$A820)</f>
        <v>66171277</v>
      </c>
      <c r="E820" cm="1">
        <f t="array" aca="1" ref="E820" ca="1">[1]!s_dq_turn($B$1,$A820)</f>
        <v>0.31450918568425301</v>
      </c>
      <c r="F820" cm="1">
        <f t="array" aca="1" ref="F820" ca="1">[1]!s_val_pe_ttm($B$1,$A820)</f>
        <v>26.934276580810501</v>
      </c>
    </row>
    <row r="821" spans="1:6">
      <c r="A821" s="23">
        <f t="shared" ca="1" si="12"/>
        <v>45354</v>
      </c>
      <c r="B821" cm="1">
        <f t="array" aca="1" ref="B821" ca="1">[1]!s_dq_close($B$1,$A821,3)</f>
        <v>24.1</v>
      </c>
      <c r="C821" cm="1">
        <f t="array" aca="1" ref="C821" ca="1">[1]!s_dq_volume($B$1,$A821)</f>
        <v>0</v>
      </c>
      <c r="D821" cm="1">
        <f t="array" aca="1" ref="D821" ca="1">[1]!s_dq_amount($B$1,$A821)</f>
        <v>0</v>
      </c>
      <c r="E821" cm="1">
        <f t="array" aca="1" ref="E821" ca="1">[1]!s_dq_turn($B$1,$A821)</f>
        <v>0</v>
      </c>
      <c r="F821" cm="1">
        <f t="array" aca="1" ref="F821" ca="1">[1]!s_val_pe_ttm($B$1,$A821)</f>
        <v>26.6577453613281</v>
      </c>
    </row>
    <row r="822" spans="1:6">
      <c r="A822" s="23">
        <f t="shared" ca="1" si="12"/>
        <v>45353</v>
      </c>
      <c r="B822" cm="1">
        <f t="array" aca="1" ref="B822" ca="1">[1]!s_dq_close($B$1,$A822,3)</f>
        <v>24.1</v>
      </c>
      <c r="C822" cm="1">
        <f t="array" aca="1" ref="C822" ca="1">[1]!s_dq_volume($B$1,$A822)</f>
        <v>0</v>
      </c>
      <c r="D822" cm="1">
        <f t="array" aca="1" ref="D822" ca="1">[1]!s_dq_amount($B$1,$A822)</f>
        <v>0</v>
      </c>
      <c r="E822" cm="1">
        <f t="array" aca="1" ref="E822" ca="1">[1]!s_dq_turn($B$1,$A822)</f>
        <v>0</v>
      </c>
      <c r="F822" cm="1">
        <f t="array" aca="1" ref="F822" ca="1">[1]!s_val_pe_ttm($B$1,$A822)</f>
        <v>26.6577453613281</v>
      </c>
    </row>
    <row r="823" spans="1:6">
      <c r="A823" s="23">
        <f t="shared" ca="1" si="12"/>
        <v>45352</v>
      </c>
      <c r="B823" cm="1">
        <f t="array" aca="1" ref="B823" ca="1">[1]!s_dq_close($B$1,$A823,3)</f>
        <v>24.1</v>
      </c>
      <c r="C823" cm="1">
        <f t="array" aca="1" ref="C823" ca="1">[1]!s_dq_volume($B$1,$A823)</f>
        <v>2672500</v>
      </c>
      <c r="D823" cm="1">
        <f t="array" aca="1" ref="D823" ca="1">[1]!s_dq_amount($B$1,$A823)</f>
        <v>64484552</v>
      </c>
      <c r="E823" cm="1">
        <f t="array" aca="1" ref="E823" ca="1">[1]!s_dq_turn($B$1,$A823)</f>
        <v>0.30674097760008101</v>
      </c>
      <c r="F823" cm="1">
        <f t="array" aca="1" ref="F823" ca="1">[1]!s_val_pe_ttm($B$1,$A823)</f>
        <v>26.6577453613281</v>
      </c>
    </row>
    <row r="824" spans="1:6">
      <c r="A824" s="23">
        <f t="shared" ca="1" si="12"/>
        <v>45351</v>
      </c>
      <c r="B824" cm="1">
        <f t="array" aca="1" ref="B824" ca="1">[1]!s_dq_close($B$1,$A824,3)</f>
        <v>24.2</v>
      </c>
      <c r="C824" cm="1">
        <f t="array" aca="1" ref="C824" ca="1">[1]!s_dq_volume($B$1,$A824)</f>
        <v>3115000</v>
      </c>
      <c r="D824" cm="1">
        <f t="array" aca="1" ref="D824" ca="1">[1]!s_dq_amount($B$1,$A824)</f>
        <v>76538000</v>
      </c>
      <c r="E824" cm="1">
        <f t="array" aca="1" ref="E824" ca="1">[1]!s_dq_turn($B$1,$A824)</f>
        <v>0.35752970822235802</v>
      </c>
      <c r="F824" cm="1">
        <f t="array" aca="1" ref="F824" ca="1">[1]!s_val_pe_ttm($B$1,$A824)</f>
        <v>26.768358230590799</v>
      </c>
    </row>
    <row r="825" spans="1:6">
      <c r="A825" s="23">
        <f t="shared" ca="1" si="12"/>
        <v>45350</v>
      </c>
      <c r="B825" cm="1">
        <f t="array" aca="1" ref="B825" ca="1">[1]!s_dq_close($B$1,$A825,3)</f>
        <v>23.7</v>
      </c>
      <c r="C825" cm="1">
        <f t="array" aca="1" ref="C825" ca="1">[1]!s_dq_volume($B$1,$A825)</f>
        <v>5244299</v>
      </c>
      <c r="D825" cm="1">
        <f t="array" aca="1" ref="D825" ca="1">[1]!s_dq_amount($B$1,$A825)</f>
        <v>128380860</v>
      </c>
      <c r="E825" cm="1">
        <f t="array" aca="1" ref="E825" ca="1">[1]!s_dq_turn($B$1,$A825)</f>
        <v>0.60192381743204004</v>
      </c>
      <c r="F825" cm="1">
        <f t="array" aca="1" ref="F825" ca="1">[1]!s_val_pe_ttm($B$1,$A825)</f>
        <v>-89.792922973632798</v>
      </c>
    </row>
    <row r="826" spans="1:6">
      <c r="A826" s="23">
        <f t="shared" ca="1" si="12"/>
        <v>45349</v>
      </c>
      <c r="B826" cm="1">
        <f t="array" aca="1" ref="B826" ca="1">[1]!s_dq_close($B$1,$A826,3)</f>
        <v>24.75</v>
      </c>
      <c r="C826" cm="1">
        <f t="array" aca="1" ref="C826" ca="1">[1]!s_dq_volume($B$1,$A826)</f>
        <v>2100500</v>
      </c>
      <c r="D826" cm="1">
        <f t="array" aca="1" ref="D826" ca="1">[1]!s_dq_amount($B$1,$A826)</f>
        <v>51170337</v>
      </c>
      <c r="E826" cm="1">
        <f t="array" aca="1" ref="E826" ca="1">[1]!s_dq_turn($B$1,$A826)</f>
        <v>0.241088652366312</v>
      </c>
      <c r="F826" cm="1">
        <f t="array" aca="1" ref="F826" ca="1">[1]!s_val_pe_ttm($B$1,$A826)</f>
        <v>-93.512512207031193</v>
      </c>
    </row>
    <row r="827" spans="1:6">
      <c r="A827" s="23">
        <f t="shared" ca="1" si="12"/>
        <v>45348</v>
      </c>
      <c r="B827" cm="1">
        <f t="array" aca="1" ref="B827" ca="1">[1]!s_dq_close($B$1,$A827,3)</f>
        <v>24.1</v>
      </c>
      <c r="C827" cm="1">
        <f t="array" aca="1" ref="C827" ca="1">[1]!s_dq_volume($B$1,$A827)</f>
        <v>2651159</v>
      </c>
      <c r="D827" cm="1">
        <f t="array" aca="1" ref="D827" ca="1">[1]!s_dq_amount($B$1,$A827)</f>
        <v>65423472</v>
      </c>
      <c r="E827" cm="1">
        <f t="array" aca="1" ref="E827" ca="1">[1]!s_dq_turn($B$1,$A827)</f>
        <v>0.30429152607418303</v>
      </c>
      <c r="F827" cm="1">
        <f t="array" aca="1" ref="F827" ca="1">[1]!s_val_pe_ttm($B$1,$A827)</f>
        <v>-91.056632995605497</v>
      </c>
    </row>
    <row r="828" spans="1:6">
      <c r="A828" s="23">
        <f t="shared" ca="1" si="12"/>
        <v>45347</v>
      </c>
      <c r="B828" cm="1">
        <f t="array" aca="1" ref="B828" ca="1">[1]!s_dq_close($B$1,$A828,3)</f>
        <v>24.75</v>
      </c>
      <c r="C828" cm="1">
        <f t="array" aca="1" ref="C828" ca="1">[1]!s_dq_volume($B$1,$A828)</f>
        <v>0</v>
      </c>
      <c r="D828" cm="1">
        <f t="array" aca="1" ref="D828" ca="1">[1]!s_dq_amount($B$1,$A828)</f>
        <v>0</v>
      </c>
      <c r="E828" cm="1">
        <f t="array" aca="1" ref="E828" ca="1">[1]!s_dq_turn($B$1,$A828)</f>
        <v>0</v>
      </c>
      <c r="F828" cm="1">
        <f t="array" aca="1" ref="F828" ca="1">[1]!s_val_pe_ttm($B$1,$A828)</f>
        <v>-93.512512207031193</v>
      </c>
    </row>
    <row r="829" spans="1:6">
      <c r="A829" s="23">
        <f t="shared" ca="1" si="12"/>
        <v>45346</v>
      </c>
      <c r="B829" cm="1">
        <f t="array" aca="1" ref="B829" ca="1">[1]!s_dq_close($B$1,$A829,3)</f>
        <v>24.75</v>
      </c>
      <c r="C829" cm="1">
        <f t="array" aca="1" ref="C829" ca="1">[1]!s_dq_volume($B$1,$A829)</f>
        <v>0</v>
      </c>
      <c r="D829" cm="1">
        <f t="array" aca="1" ref="D829" ca="1">[1]!s_dq_amount($B$1,$A829)</f>
        <v>0</v>
      </c>
      <c r="E829" cm="1">
        <f t="array" aca="1" ref="E829" ca="1">[1]!s_dq_turn($B$1,$A829)</f>
        <v>0</v>
      </c>
      <c r="F829" cm="1">
        <f t="array" aca="1" ref="F829" ca="1">[1]!s_val_pe_ttm($B$1,$A829)</f>
        <v>-93.512512207031193</v>
      </c>
    </row>
    <row r="830" spans="1:6">
      <c r="A830" s="23">
        <f t="shared" ca="1" si="12"/>
        <v>45345</v>
      </c>
      <c r="B830" cm="1">
        <f t="array" aca="1" ref="B830" ca="1">[1]!s_dq_close($B$1,$A830,3)</f>
        <v>24.75</v>
      </c>
      <c r="C830" cm="1">
        <f t="array" aca="1" ref="C830" ca="1">[1]!s_dq_volume($B$1,$A830)</f>
        <v>3967695</v>
      </c>
      <c r="D830" cm="1">
        <f t="array" aca="1" ref="D830" ca="1">[1]!s_dq_amount($B$1,$A830)</f>
        <v>98358436</v>
      </c>
      <c r="E830" cm="1">
        <f t="array" aca="1" ref="E830" ca="1">[1]!s_dq_turn($B$1,$A830)</f>
        <v>0.455399305189505</v>
      </c>
      <c r="F830" cm="1">
        <f t="array" aca="1" ref="F830" ca="1">[1]!s_val_pe_ttm($B$1,$A830)</f>
        <v>-93.512512207031193</v>
      </c>
    </row>
    <row r="831" spans="1:6">
      <c r="A831" s="23">
        <f t="shared" ca="1" si="12"/>
        <v>45344</v>
      </c>
      <c r="B831" cm="1">
        <f t="array" aca="1" ref="B831" ca="1">[1]!s_dq_close($B$1,$A831,3)</f>
        <v>24</v>
      </c>
      <c r="C831" cm="1">
        <f t="array" aca="1" ref="C831" ca="1">[1]!s_dq_volume($B$1,$A831)</f>
        <v>2383595</v>
      </c>
      <c r="D831" cm="1">
        <f t="array" aca="1" ref="D831" ca="1">[1]!s_dq_amount($B$1,$A831)</f>
        <v>56528349</v>
      </c>
      <c r="E831" cm="1">
        <f t="array" aca="1" ref="E831" ca="1">[1]!s_dq_turn($B$1,$A831)</f>
        <v>0.27358138840137097</v>
      </c>
      <c r="F831" cm="1">
        <f t="array" aca="1" ref="F831" ca="1">[1]!s_val_pe_ttm($B$1,$A831)</f>
        <v>-90.678802490234403</v>
      </c>
    </row>
    <row r="832" spans="1:6">
      <c r="A832" s="23">
        <f t="shared" ca="1" si="12"/>
        <v>45343</v>
      </c>
      <c r="B832" cm="1">
        <f t="array" aca="1" ref="B832" ca="1">[1]!s_dq_close($B$1,$A832,3)</f>
        <v>23.1</v>
      </c>
      <c r="C832" cm="1">
        <f t="array" aca="1" ref="C832" ca="1">[1]!s_dq_volume($B$1,$A832)</f>
        <v>2361964</v>
      </c>
      <c r="D832" cm="1">
        <f t="array" aca="1" ref="D832" ca="1">[1]!s_dq_amount($B$1,$A832)</f>
        <v>54926459</v>
      </c>
      <c r="E832" cm="1">
        <f t="array" aca="1" ref="E832" ca="1">[1]!s_dq_turn($B$1,$A832)</f>
        <v>0.27109865160568702</v>
      </c>
      <c r="F832" cm="1">
        <f t="array" aca="1" ref="F832" ca="1">[1]!s_val_pe_ttm($B$1,$A832)</f>
        <v>-87.278343200683594</v>
      </c>
    </row>
    <row r="833" spans="1:6">
      <c r="A833" s="23">
        <f t="shared" ca="1" si="12"/>
        <v>45342</v>
      </c>
      <c r="B833" cm="1">
        <f t="array" aca="1" ref="B833" ca="1">[1]!s_dq_close($B$1,$A833,3)</f>
        <v>23.05</v>
      </c>
      <c r="C833" cm="1">
        <f t="array" aca="1" ref="C833" ca="1">[1]!s_dq_volume($B$1,$A833)</f>
        <v>2642576</v>
      </c>
      <c r="D833" cm="1">
        <f t="array" aca="1" ref="D833" ca="1">[1]!s_dq_amount($B$1,$A833)</f>
        <v>61290140</v>
      </c>
      <c r="E833" cm="1">
        <f t="array" aca="1" ref="E833" ca="1">[1]!s_dq_turn($B$1,$A833)</f>
        <v>0.30330639686529898</v>
      </c>
      <c r="F833" cm="1">
        <f t="array" aca="1" ref="F833" ca="1">[1]!s_val_pe_ttm($B$1,$A833)</f>
        <v>-87.089431762695298</v>
      </c>
    </row>
    <row r="834" spans="1:6">
      <c r="A834" s="23">
        <f t="shared" ca="1" si="12"/>
        <v>45341</v>
      </c>
      <c r="B834" cm="1">
        <f t="array" aca="1" ref="B834" ca="1">[1]!s_dq_close($B$1,$A834,3)</f>
        <v>22.45</v>
      </c>
      <c r="C834" cm="1">
        <f t="array" aca="1" ref="C834" ca="1">[1]!s_dq_volume($B$1,$A834)</f>
        <v>1350500</v>
      </c>
      <c r="D834" cm="1">
        <f t="array" aca="1" ref="D834" ca="1">[1]!s_dq_amount($B$1,$A834)</f>
        <v>30299100</v>
      </c>
      <c r="E834" cm="1">
        <f t="array" aca="1" ref="E834" ca="1">[1]!s_dq_turn($B$1,$A834)</f>
        <v>0.155006058091266</v>
      </c>
      <c r="F834" cm="1">
        <f t="array" aca="1" ref="F834" ca="1">[1]!s_val_pe_ttm($B$1,$A834)</f>
        <v>-84.822463989257798</v>
      </c>
    </row>
    <row r="835" spans="1:6">
      <c r="A835" s="23">
        <f t="shared" ca="1" si="12"/>
        <v>45340</v>
      </c>
      <c r="B835" cm="1">
        <f t="array" aca="1" ref="B835" ca="1">[1]!s_dq_close($B$1,$A835,3)</f>
        <v>22.65</v>
      </c>
      <c r="C835" cm="1">
        <f t="array" aca="1" ref="C835" ca="1">[1]!s_dq_volume($B$1,$A835)</f>
        <v>0</v>
      </c>
      <c r="D835" cm="1">
        <f t="array" aca="1" ref="D835" ca="1">[1]!s_dq_amount($B$1,$A835)</f>
        <v>0</v>
      </c>
      <c r="E835" cm="1">
        <f t="array" aca="1" ref="E835" ca="1">[1]!s_dq_turn($B$1,$A835)</f>
        <v>0</v>
      </c>
      <c r="F835" cm="1">
        <f t="array" aca="1" ref="F835" ca="1">[1]!s_val_pe_ttm($B$1,$A835)</f>
        <v>-85.578117370605497</v>
      </c>
    </row>
    <row r="836" spans="1:6">
      <c r="A836" s="23">
        <f t="shared" ca="1" si="12"/>
        <v>45339</v>
      </c>
      <c r="B836" cm="1">
        <f t="array" aca="1" ref="B836" ca="1">[1]!s_dq_close($B$1,$A836,3)</f>
        <v>22.65</v>
      </c>
      <c r="C836" cm="1">
        <f t="array" aca="1" ref="C836" ca="1">[1]!s_dq_volume($B$1,$A836)</f>
        <v>0</v>
      </c>
      <c r="D836" cm="1">
        <f t="array" aca="1" ref="D836" ca="1">[1]!s_dq_amount($B$1,$A836)</f>
        <v>0</v>
      </c>
      <c r="E836" cm="1">
        <f t="array" aca="1" ref="E836" ca="1">[1]!s_dq_turn($B$1,$A836)</f>
        <v>0</v>
      </c>
      <c r="F836" cm="1">
        <f t="array" aca="1" ref="F836" ca="1">[1]!s_val_pe_ttm($B$1,$A836)</f>
        <v>-85.578117370605497</v>
      </c>
    </row>
    <row r="837" spans="1:6">
      <c r="A837" s="23">
        <f t="shared" ca="1" si="12"/>
        <v>45338</v>
      </c>
      <c r="B837" cm="1">
        <f t="array" aca="1" ref="B837" ca="1">[1]!s_dq_close($B$1,$A837,3)</f>
        <v>22.65</v>
      </c>
      <c r="C837" cm="1">
        <f t="array" aca="1" ref="C837" ca="1">[1]!s_dq_volume($B$1,$A837)</f>
        <v>1564000</v>
      </c>
      <c r="D837" cm="1">
        <f t="array" aca="1" ref="D837" ca="1">[1]!s_dq_amount($B$1,$A837)</f>
        <v>34812779</v>
      </c>
      <c r="E837" cm="1">
        <f t="array" aca="1" ref="E837" ca="1">[1]!s_dq_turn($B$1,$A837)</f>
        <v>0.17951090326156299</v>
      </c>
      <c r="F837" cm="1">
        <f t="array" aca="1" ref="F837" ca="1">[1]!s_val_pe_ttm($B$1,$A837)</f>
        <v>-85.578117370605497</v>
      </c>
    </row>
    <row r="838" spans="1:6">
      <c r="A838" s="23">
        <f t="shared" ca="1" si="12"/>
        <v>45337</v>
      </c>
      <c r="B838" cm="1">
        <f t="array" aca="1" ref="B838" ca="1">[1]!s_dq_close($B$1,$A838,3)</f>
        <v>21.2</v>
      </c>
      <c r="C838" cm="1">
        <f t="array" aca="1" ref="C838" ca="1">[1]!s_dq_volume($B$1,$A838)</f>
        <v>654500</v>
      </c>
      <c r="D838" cm="1">
        <f t="array" aca="1" ref="D838" ca="1">[1]!s_dq_amount($B$1,$A838)</f>
        <v>13666551</v>
      </c>
      <c r="E838" cm="1">
        <f t="array" aca="1" ref="E838" ca="1">[1]!s_dq_turn($B$1,$A838)</f>
        <v>7.5121410604023595E-2</v>
      </c>
      <c r="F838" cm="1">
        <f t="array" aca="1" ref="F838" ca="1">[1]!s_val_pe_ttm($B$1,$A838)</f>
        <v>-80.099609375</v>
      </c>
    </row>
    <row r="839" spans="1:6">
      <c r="A839" s="23">
        <f t="shared" ca="1" si="12"/>
        <v>45336</v>
      </c>
      <c r="B839" cm="1">
        <f t="array" aca="1" ref="B839" ca="1">[1]!s_dq_close($B$1,$A839,3)</f>
        <v>20.7</v>
      </c>
      <c r="C839" cm="1">
        <f t="array" aca="1" ref="C839" ca="1">[1]!s_dq_volume($B$1,$A839)</f>
        <v>1601765</v>
      </c>
      <c r="D839" cm="1">
        <f t="array" aca="1" ref="D839" ca="1">[1]!s_dq_amount($B$1,$A839)</f>
        <v>32977542</v>
      </c>
      <c r="E839" cm="1">
        <f t="array" aca="1" ref="E839" ca="1">[1]!s_dq_turn($B$1,$A839)</f>
        <v>0.183845448825292</v>
      </c>
      <c r="F839" cm="1">
        <f t="array" aca="1" ref="F839" ca="1">[1]!s_val_pe_ttm($B$1,$A839)</f>
        <v>-78.210464477539105</v>
      </c>
    </row>
    <row r="840" spans="1:6">
      <c r="A840" s="23">
        <f t="shared" ca="1" si="12"/>
        <v>45335</v>
      </c>
      <c r="B840" cm="1">
        <f t="array" aca="1" ref="B840" ca="1">[1]!s_dq_close($B$1,$A840,3)</f>
        <v>21.95</v>
      </c>
      <c r="C840" cm="1">
        <f t="array" aca="1" ref="C840" ca="1">[1]!s_dq_volume($B$1,$A840)</f>
        <v>0</v>
      </c>
      <c r="D840" cm="1">
        <f t="array" aca="1" ref="D840" ca="1">[1]!s_dq_amount($B$1,$A840)</f>
        <v>0</v>
      </c>
      <c r="E840" cm="1">
        <f t="array" aca="1" ref="E840" ca="1">[1]!s_dq_turn($B$1,$A840)</f>
        <v>0</v>
      </c>
      <c r="F840" cm="1">
        <f t="array" aca="1" ref="F840" ca="1">[1]!s_val_pe_ttm($B$1,$A840)</f>
        <v>-82.933319091796903</v>
      </c>
    </row>
    <row r="841" spans="1:6">
      <c r="A841" s="23">
        <f t="shared" ca="1" si="12"/>
        <v>45334</v>
      </c>
      <c r="B841" cm="1">
        <f t="array" aca="1" ref="B841" ca="1">[1]!s_dq_close($B$1,$A841,3)</f>
        <v>21.95</v>
      </c>
      <c r="C841" cm="1">
        <f t="array" aca="1" ref="C841" ca="1">[1]!s_dq_volume($B$1,$A841)</f>
        <v>0</v>
      </c>
      <c r="D841" cm="1">
        <f t="array" aca="1" ref="D841" ca="1">[1]!s_dq_amount($B$1,$A841)</f>
        <v>0</v>
      </c>
      <c r="E841" cm="1">
        <f t="array" aca="1" ref="E841" ca="1">[1]!s_dq_turn($B$1,$A841)</f>
        <v>0</v>
      </c>
      <c r="F841" cm="1">
        <f t="array" aca="1" ref="F841" ca="1">[1]!s_val_pe_ttm($B$1,$A841)</f>
        <v>-82.933319091796903</v>
      </c>
    </row>
    <row r="842" spans="1:6">
      <c r="A842" s="23">
        <f t="shared" ca="1" si="12"/>
        <v>45333</v>
      </c>
      <c r="B842" cm="1">
        <f t="array" aca="1" ref="B842" ca="1">[1]!s_dq_close($B$1,$A842,3)</f>
        <v>21.95</v>
      </c>
      <c r="C842" cm="1">
        <f t="array" aca="1" ref="C842" ca="1">[1]!s_dq_volume($B$1,$A842)</f>
        <v>0</v>
      </c>
      <c r="D842" cm="1">
        <f t="array" aca="1" ref="D842" ca="1">[1]!s_dq_amount($B$1,$A842)</f>
        <v>0</v>
      </c>
      <c r="E842" cm="1">
        <f t="array" aca="1" ref="E842" ca="1">[1]!s_dq_turn($B$1,$A842)</f>
        <v>0</v>
      </c>
      <c r="F842" cm="1">
        <f t="array" aca="1" ref="F842" ca="1">[1]!s_val_pe_ttm($B$1,$A842)</f>
        <v>-82.933319091796903</v>
      </c>
    </row>
    <row r="843" spans="1:6">
      <c r="A843" s="23">
        <f t="shared" ca="1" si="12"/>
        <v>45332</v>
      </c>
      <c r="B843" cm="1">
        <f t="array" aca="1" ref="B843" ca="1">[1]!s_dq_close($B$1,$A843,3)</f>
        <v>21.95</v>
      </c>
      <c r="C843" cm="1">
        <f t="array" aca="1" ref="C843" ca="1">[1]!s_dq_volume($B$1,$A843)</f>
        <v>0</v>
      </c>
      <c r="D843" cm="1">
        <f t="array" aca="1" ref="D843" ca="1">[1]!s_dq_amount($B$1,$A843)</f>
        <v>0</v>
      </c>
      <c r="E843" cm="1">
        <f t="array" aca="1" ref="E843" ca="1">[1]!s_dq_turn($B$1,$A843)</f>
        <v>0</v>
      </c>
      <c r="F843" cm="1">
        <f t="array" aca="1" ref="F843" ca="1">[1]!s_val_pe_ttm($B$1,$A843)</f>
        <v>-82.933319091796903</v>
      </c>
    </row>
    <row r="844" spans="1:6">
      <c r="A844" s="23">
        <f t="shared" ca="1" si="12"/>
        <v>45331</v>
      </c>
      <c r="B844" cm="1">
        <f t="array" aca="1" ref="B844" ca="1">[1]!s_dq_close($B$1,$A844,3)</f>
        <v>21.95</v>
      </c>
      <c r="C844" cm="1">
        <f t="array" aca="1" ref="C844" ca="1">[1]!s_dq_volume($B$1,$A844)</f>
        <v>587044</v>
      </c>
      <c r="D844" cm="1">
        <f t="array" aca="1" ref="D844" ca="1">[1]!s_dq_amount($B$1,$A844)</f>
        <v>12716577</v>
      </c>
      <c r="E844" cm="1">
        <f t="array" aca="1" ref="E844" ca="1">[1]!s_dq_turn($B$1,$A844)</f>
        <v>6.7379027298133498E-2</v>
      </c>
      <c r="F844" cm="1">
        <f t="array" aca="1" ref="F844" ca="1">[1]!s_val_pe_ttm($B$1,$A844)</f>
        <v>-82.933319091796903</v>
      </c>
    </row>
    <row r="845" spans="1:6">
      <c r="A845" s="23">
        <f t="shared" ref="A845:A908" ca="1" si="13">A844-1</f>
        <v>45330</v>
      </c>
      <c r="B845" cm="1">
        <f t="array" aca="1" ref="B845" ca="1">[1]!s_dq_close($B$1,$A845,3)</f>
        <v>21.8</v>
      </c>
      <c r="C845" cm="1">
        <f t="array" aca="1" ref="C845" ca="1">[1]!s_dq_volume($B$1,$A845)</f>
        <v>2948000</v>
      </c>
      <c r="D845" cm="1">
        <f t="array" aca="1" ref="D845" ca="1">[1]!s_dq_amount($B$1,$A845)</f>
        <v>64875630</v>
      </c>
      <c r="E845" cm="1">
        <f t="array" aca="1" ref="E845" ca="1">[1]!s_dq_turn($B$1,$A845)</f>
        <v>0.33836198389711403</v>
      </c>
      <c r="F845" cm="1">
        <f t="array" aca="1" ref="F845" ca="1">[1]!s_val_pe_ttm($B$1,$A845)</f>
        <v>-82.3665771484375</v>
      </c>
    </row>
    <row r="846" spans="1:6">
      <c r="A846" s="23">
        <f t="shared" ca="1" si="13"/>
        <v>45329</v>
      </c>
      <c r="B846" cm="1">
        <f t="array" aca="1" ref="B846" ca="1">[1]!s_dq_close($B$1,$A846,3)</f>
        <v>21.85</v>
      </c>
      <c r="C846" cm="1">
        <f t="array" aca="1" ref="C846" ca="1">[1]!s_dq_volume($B$1,$A846)</f>
        <v>4511024</v>
      </c>
      <c r="D846" cm="1">
        <f t="array" aca="1" ref="D846" ca="1">[1]!s_dq_amount($B$1,$A846)</f>
        <v>100509005</v>
      </c>
      <c r="E846" cm="1">
        <f t="array" aca="1" ref="E846" ca="1">[1]!s_dq_turn($B$1,$A846)</f>
        <v>0.51776086500932705</v>
      </c>
      <c r="F846" cm="1">
        <f t="array" aca="1" ref="F846" ca="1">[1]!s_val_pe_ttm($B$1,$A846)</f>
        <v>-82.555488586425795</v>
      </c>
    </row>
    <row r="847" spans="1:6">
      <c r="A847" s="23">
        <f t="shared" ca="1" si="13"/>
        <v>45328</v>
      </c>
      <c r="B847" cm="1">
        <f t="array" aca="1" ref="B847" ca="1">[1]!s_dq_close($B$1,$A847,3)</f>
        <v>21.25</v>
      </c>
      <c r="C847" cm="1">
        <f t="array" aca="1" ref="C847" ca="1">[1]!s_dq_volume($B$1,$A847)</f>
        <v>7029650</v>
      </c>
      <c r="D847" cm="1">
        <f t="array" aca="1" ref="D847" ca="1">[1]!s_dq_amount($B$1,$A847)</f>
        <v>144556962</v>
      </c>
      <c r="E847" cm="1">
        <f t="array" aca="1" ref="E847" ca="1">[1]!s_dq_turn($B$1,$A847)</f>
        <v>0.80684067846077001</v>
      </c>
      <c r="F847" cm="1">
        <f t="array" aca="1" ref="F847" ca="1">[1]!s_val_pe_ttm($B$1,$A847)</f>
        <v>-80.288520812988295</v>
      </c>
    </row>
    <row r="848" spans="1:6">
      <c r="A848" s="23">
        <f t="shared" ca="1" si="13"/>
        <v>45327</v>
      </c>
      <c r="B848" cm="1">
        <f t="array" aca="1" ref="B848" ca="1">[1]!s_dq_close($B$1,$A848,3)</f>
        <v>19.16</v>
      </c>
      <c r="C848" cm="1">
        <f t="array" aca="1" ref="C848" ca="1">[1]!s_dq_volume($B$1,$A848)</f>
        <v>3475702</v>
      </c>
      <c r="D848" cm="1">
        <f t="array" aca="1" ref="D848" ca="1">[1]!s_dq_amount($B$1,$A848)</f>
        <v>67177309</v>
      </c>
      <c r="E848" cm="1">
        <f t="array" aca="1" ref="E848" ca="1">[1]!s_dq_turn($B$1,$A848)</f>
        <v>0.39892992678262201</v>
      </c>
      <c r="F848" cm="1">
        <f t="array" aca="1" ref="F848" ca="1">[1]!s_val_pe_ttm($B$1,$A848)</f>
        <v>-72.391906738281193</v>
      </c>
    </row>
    <row r="849" spans="1:6">
      <c r="A849" s="23">
        <f t="shared" ca="1" si="13"/>
        <v>45326</v>
      </c>
      <c r="B849" cm="1">
        <f t="array" aca="1" ref="B849" ca="1">[1]!s_dq_close($B$1,$A849,3)</f>
        <v>19.62</v>
      </c>
      <c r="C849" cm="1">
        <f t="array" aca="1" ref="C849" ca="1">[1]!s_dq_volume($B$1,$A849)</f>
        <v>0</v>
      </c>
      <c r="D849" cm="1">
        <f t="array" aca="1" ref="D849" ca="1">[1]!s_dq_amount($B$1,$A849)</f>
        <v>0</v>
      </c>
      <c r="E849" cm="1">
        <f t="array" aca="1" ref="E849" ca="1">[1]!s_dq_turn($B$1,$A849)</f>
        <v>0</v>
      </c>
      <c r="F849" cm="1">
        <f t="array" aca="1" ref="F849" ca="1">[1]!s_val_pe_ttm($B$1,$A849)</f>
        <v>-74.129920959472699</v>
      </c>
    </row>
    <row r="850" spans="1:6">
      <c r="A850" s="23">
        <f t="shared" ca="1" si="13"/>
        <v>45325</v>
      </c>
      <c r="B850" cm="1">
        <f t="array" aca="1" ref="B850" ca="1">[1]!s_dq_close($B$1,$A850,3)</f>
        <v>19.62</v>
      </c>
      <c r="C850" cm="1">
        <f t="array" aca="1" ref="C850" ca="1">[1]!s_dq_volume($B$1,$A850)</f>
        <v>0</v>
      </c>
      <c r="D850" cm="1">
        <f t="array" aca="1" ref="D850" ca="1">[1]!s_dq_amount($B$1,$A850)</f>
        <v>0</v>
      </c>
      <c r="E850" cm="1">
        <f t="array" aca="1" ref="E850" ca="1">[1]!s_dq_turn($B$1,$A850)</f>
        <v>0</v>
      </c>
      <c r="F850" cm="1">
        <f t="array" aca="1" ref="F850" ca="1">[1]!s_val_pe_ttm($B$1,$A850)</f>
        <v>-74.129920959472699</v>
      </c>
    </row>
    <row r="851" spans="1:6">
      <c r="A851" s="23">
        <f t="shared" ca="1" si="13"/>
        <v>45324</v>
      </c>
      <c r="B851" cm="1">
        <f t="array" aca="1" ref="B851" ca="1">[1]!s_dq_close($B$1,$A851,3)</f>
        <v>19.62</v>
      </c>
      <c r="C851" cm="1">
        <f t="array" aca="1" ref="C851" ca="1">[1]!s_dq_volume($B$1,$A851)</f>
        <v>3974000</v>
      </c>
      <c r="D851" cm="1">
        <f t="array" aca="1" ref="D851" ca="1">[1]!s_dq_amount($B$1,$A851)</f>
        <v>79958815</v>
      </c>
      <c r="E851" cm="1">
        <f t="array" aca="1" ref="E851" ca="1">[1]!s_dq_turn($B$1,$A851)</f>
        <v>0.45612297286537801</v>
      </c>
      <c r="F851" cm="1">
        <f t="array" aca="1" ref="F851" ca="1">[1]!s_val_pe_ttm($B$1,$A851)</f>
        <v>-74.129920959472699</v>
      </c>
    </row>
    <row r="852" spans="1:6">
      <c r="A852" s="23">
        <f t="shared" ca="1" si="13"/>
        <v>45323</v>
      </c>
      <c r="B852" cm="1">
        <f t="array" aca="1" ref="B852" ca="1">[1]!s_dq_close($B$1,$A852,3)</f>
        <v>20</v>
      </c>
      <c r="C852" cm="1">
        <f t="array" aca="1" ref="C852" ca="1">[1]!s_dq_volume($B$1,$A852)</f>
        <v>3501698</v>
      </c>
      <c r="D852" cm="1">
        <f t="array" aca="1" ref="D852" ca="1">[1]!s_dq_amount($B$1,$A852)</f>
        <v>71630745</v>
      </c>
      <c r="E852" cm="1">
        <f t="array" aca="1" ref="E852" ca="1">[1]!s_dq_turn($B$1,$A852)</f>
        <v>0.40191366427698699</v>
      </c>
      <c r="F852" cm="1">
        <f t="array" aca="1" ref="F852" ca="1">[1]!s_val_pe_ttm($B$1,$A852)</f>
        <v>-75.565666198730497</v>
      </c>
    </row>
    <row r="853" spans="1:6">
      <c r="A853" s="23">
        <f t="shared" ca="1" si="13"/>
        <v>45322</v>
      </c>
      <c r="B853" cm="1">
        <f t="array" aca="1" ref="B853" ca="1">[1]!s_dq_close($B$1,$A853,3)</f>
        <v>19.739999999999998</v>
      </c>
      <c r="C853" cm="1">
        <f t="array" aca="1" ref="C853" ca="1">[1]!s_dq_volume($B$1,$A853)</f>
        <v>2888690</v>
      </c>
      <c r="D853" cm="1">
        <f t="array" aca="1" ref="D853" ca="1">[1]!s_dq_amount($B$1,$A853)</f>
        <v>58022791</v>
      </c>
      <c r="E853" cm="1">
        <f t="array" aca="1" ref="E853" ca="1">[1]!s_dq_turn($B$1,$A853)</f>
        <v>0.33155457234184399</v>
      </c>
      <c r="F853" cm="1">
        <f t="array" aca="1" ref="F853" ca="1">[1]!s_val_pe_ttm($B$1,$A853)</f>
        <v>-74.583312988281193</v>
      </c>
    </row>
    <row r="854" spans="1:6">
      <c r="A854" s="23">
        <f t="shared" ca="1" si="13"/>
        <v>45321</v>
      </c>
      <c r="B854" cm="1">
        <f t="array" aca="1" ref="B854" ca="1">[1]!s_dq_close($B$1,$A854,3)</f>
        <v>20.05</v>
      </c>
      <c r="C854" cm="1">
        <f t="array" aca="1" ref="C854" ca="1">[1]!s_dq_volume($B$1,$A854)</f>
        <v>4779927</v>
      </c>
      <c r="D854" cm="1">
        <f t="array" aca="1" ref="D854" ca="1">[1]!s_dq_amount($B$1,$A854)</f>
        <v>96129892</v>
      </c>
      <c r="E854" cm="1">
        <f t="array" aca="1" ref="E854" ca="1">[1]!s_dq_turn($B$1,$A854)</f>
        <v>0.54862468880711801</v>
      </c>
      <c r="F854" cm="1">
        <f t="array" aca="1" ref="F854" ca="1">[1]!s_val_pe_ttm($B$1,$A854)</f>
        <v>-75.754585266113295</v>
      </c>
    </row>
    <row r="855" spans="1:6">
      <c r="A855" s="23">
        <f t="shared" ca="1" si="13"/>
        <v>45320</v>
      </c>
      <c r="B855" cm="1">
        <f t="array" aca="1" ref="B855" ca="1">[1]!s_dq_close($B$1,$A855,3)</f>
        <v>20.2</v>
      </c>
      <c r="C855" cm="1">
        <f t="array" aca="1" ref="C855" ca="1">[1]!s_dq_volume($B$1,$A855)</f>
        <v>3518500</v>
      </c>
      <c r="D855" cm="1">
        <f t="array" aca="1" ref="D855" ca="1">[1]!s_dq_amount($B$1,$A855)</f>
        <v>72067970</v>
      </c>
      <c r="E855" cm="1">
        <f t="array" aca="1" ref="E855" ca="1">[1]!s_dq_turn($B$1,$A855)</f>
        <v>0.40384214394233298</v>
      </c>
      <c r="F855" cm="1">
        <f t="array" aca="1" ref="F855" ca="1">[1]!s_val_pe_ttm($B$1,$A855)</f>
        <v>-76.321327209472699</v>
      </c>
    </row>
    <row r="856" spans="1:6">
      <c r="A856" s="23">
        <f t="shared" ca="1" si="13"/>
        <v>45319</v>
      </c>
      <c r="B856" cm="1">
        <f t="array" aca="1" ref="B856" ca="1">[1]!s_dq_close($B$1,$A856,3)</f>
        <v>20.6</v>
      </c>
      <c r="C856" cm="1">
        <f t="array" aca="1" ref="C856" ca="1">[1]!s_dq_volume($B$1,$A856)</f>
        <v>0</v>
      </c>
      <c r="D856" cm="1">
        <f t="array" aca="1" ref="D856" ca="1">[1]!s_dq_amount($B$1,$A856)</f>
        <v>0</v>
      </c>
      <c r="E856" cm="1">
        <f t="array" aca="1" ref="E856" ca="1">[1]!s_dq_turn($B$1,$A856)</f>
        <v>0</v>
      </c>
      <c r="F856" cm="1">
        <f t="array" aca="1" ref="F856" ca="1">[1]!s_val_pe_ttm($B$1,$A856)</f>
        <v>-77.832633972167997</v>
      </c>
    </row>
    <row r="857" spans="1:6">
      <c r="A857" s="23">
        <f t="shared" ca="1" si="13"/>
        <v>45318</v>
      </c>
      <c r="B857" cm="1">
        <f t="array" aca="1" ref="B857" ca="1">[1]!s_dq_close($B$1,$A857,3)</f>
        <v>20.6</v>
      </c>
      <c r="C857" cm="1">
        <f t="array" aca="1" ref="C857" ca="1">[1]!s_dq_volume($B$1,$A857)</f>
        <v>0</v>
      </c>
      <c r="D857" cm="1">
        <f t="array" aca="1" ref="D857" ca="1">[1]!s_dq_amount($B$1,$A857)</f>
        <v>0</v>
      </c>
      <c r="E857" cm="1">
        <f t="array" aca="1" ref="E857" ca="1">[1]!s_dq_turn($B$1,$A857)</f>
        <v>0</v>
      </c>
      <c r="F857" cm="1">
        <f t="array" aca="1" ref="F857" ca="1">[1]!s_val_pe_ttm($B$1,$A857)</f>
        <v>-77.832633972167997</v>
      </c>
    </row>
    <row r="858" spans="1:6">
      <c r="A858" s="23">
        <f t="shared" ca="1" si="13"/>
        <v>45317</v>
      </c>
      <c r="B858" cm="1">
        <f t="array" aca="1" ref="B858" ca="1">[1]!s_dq_close($B$1,$A858,3)</f>
        <v>20.6</v>
      </c>
      <c r="C858" cm="1">
        <f t="array" aca="1" ref="C858" ca="1">[1]!s_dq_volume($B$1,$A858)</f>
        <v>7741502</v>
      </c>
      <c r="D858" cm="1">
        <f t="array" aca="1" ref="D858" ca="1">[1]!s_dq_amount($B$1,$A858)</f>
        <v>162012971</v>
      </c>
      <c r="E858" cm="1">
        <f t="array" aca="1" ref="E858" ca="1">[1]!s_dq_turn($B$1,$A858)</f>
        <v>0.88854476766060997</v>
      </c>
      <c r="F858" cm="1">
        <f t="array" aca="1" ref="F858" ca="1">[1]!s_val_pe_ttm($B$1,$A858)</f>
        <v>-77.832633972167997</v>
      </c>
    </row>
    <row r="859" spans="1:6">
      <c r="A859" s="23">
        <f t="shared" ca="1" si="13"/>
        <v>45316</v>
      </c>
      <c r="B859" cm="1">
        <f t="array" aca="1" ref="B859" ca="1">[1]!s_dq_close($B$1,$A859,3)</f>
        <v>21.5</v>
      </c>
      <c r="C859" cm="1">
        <f t="array" aca="1" ref="C859" ca="1">[1]!s_dq_volume($B$1,$A859)</f>
        <v>4043740</v>
      </c>
      <c r="D859" cm="1">
        <f t="array" aca="1" ref="D859" ca="1">[1]!s_dq_amount($B$1,$A859)</f>
        <v>86901327</v>
      </c>
      <c r="E859" cm="1">
        <f t="array" aca="1" ref="E859" ca="1">[1]!s_dq_turn($B$1,$A859)</f>
        <v>0.46412750636503303</v>
      </c>
      <c r="F859" cm="1">
        <f t="array" aca="1" ref="F859" ca="1">[1]!s_val_pe_ttm($B$1,$A859)</f>
        <v>-81.233093261718807</v>
      </c>
    </row>
    <row r="860" spans="1:6">
      <c r="A860" s="23">
        <f t="shared" ca="1" si="13"/>
        <v>45315</v>
      </c>
      <c r="B860" cm="1">
        <f t="array" aca="1" ref="B860" ca="1">[1]!s_dq_close($B$1,$A860,3)</f>
        <v>21.4</v>
      </c>
      <c r="C860" cm="1">
        <f t="array" aca="1" ref="C860" ca="1">[1]!s_dq_volume($B$1,$A860)</f>
        <v>5741500</v>
      </c>
      <c r="D860" cm="1">
        <f t="array" aca="1" ref="D860" ca="1">[1]!s_dq_amount($B$1,$A860)</f>
        <v>120384800</v>
      </c>
      <c r="E860" cm="1">
        <f t="array" aca="1" ref="E860" ca="1">[1]!s_dq_turn($B$1,$A860)</f>
        <v>0.65899095337356905</v>
      </c>
      <c r="F860" cm="1">
        <f t="array" aca="1" ref="F860" ca="1">[1]!s_val_pe_ttm($B$1,$A860)</f>
        <v>-80.855262756347699</v>
      </c>
    </row>
    <row r="861" spans="1:6">
      <c r="A861" s="23">
        <f t="shared" ca="1" si="13"/>
        <v>45314</v>
      </c>
      <c r="B861" cm="1">
        <f t="array" aca="1" ref="B861" ca="1">[1]!s_dq_close($B$1,$A861,3)</f>
        <v>21.25</v>
      </c>
      <c r="C861" cm="1">
        <f t="array" aca="1" ref="C861" ca="1">[1]!s_dq_volume($B$1,$A861)</f>
        <v>4248526</v>
      </c>
      <c r="D861" cm="1">
        <f t="array" aca="1" ref="D861" ca="1">[1]!s_dq_amount($B$1,$A861)</f>
        <v>89162245</v>
      </c>
      <c r="E861" cm="1">
        <f t="array" aca="1" ref="E861" ca="1">[1]!s_dq_turn($B$1,$A861)</f>
        <v>0.48763218656664598</v>
      </c>
      <c r="F861" cm="1">
        <f t="array" aca="1" ref="F861" ca="1">[1]!s_val_pe_ttm($B$1,$A861)</f>
        <v>-80.288520812988295</v>
      </c>
    </row>
    <row r="862" spans="1:6">
      <c r="A862" s="23">
        <f t="shared" ca="1" si="13"/>
        <v>45313</v>
      </c>
      <c r="B862" cm="1">
        <f t="array" aca="1" ref="B862" ca="1">[1]!s_dq_close($B$1,$A862,3)</f>
        <v>20.8</v>
      </c>
      <c r="C862" cm="1">
        <f t="array" aca="1" ref="C862" ca="1">[1]!s_dq_volume($B$1,$A862)</f>
        <v>5703703</v>
      </c>
      <c r="D862" cm="1">
        <f t="array" aca="1" ref="D862" ca="1">[1]!s_dq_amount($B$1,$A862)</f>
        <v>120538235</v>
      </c>
      <c r="E862" cm="1">
        <f t="array" aca="1" ref="E862" ca="1">[1]!s_dq_turn($B$1,$A862)</f>
        <v>0.65465273495248399</v>
      </c>
      <c r="F862" cm="1">
        <f t="array" aca="1" ref="F862" ca="1">[1]!s_val_pe_ttm($B$1,$A862)</f>
        <v>-78.588294982910199</v>
      </c>
    </row>
    <row r="863" spans="1:6">
      <c r="A863" s="23">
        <f t="shared" ca="1" si="13"/>
        <v>45312</v>
      </c>
      <c r="B863" cm="1">
        <f t="array" aca="1" ref="B863" ca="1">[1]!s_dq_close($B$1,$A863,3)</f>
        <v>22.55</v>
      </c>
      <c r="C863" cm="1">
        <f t="array" aca="1" ref="C863" ca="1">[1]!s_dq_volume($B$1,$A863)</f>
        <v>0</v>
      </c>
      <c r="D863" cm="1">
        <f t="array" aca="1" ref="D863" ca="1">[1]!s_dq_amount($B$1,$A863)</f>
        <v>0</v>
      </c>
      <c r="E863" cm="1">
        <f t="array" aca="1" ref="E863" ca="1">[1]!s_dq_turn($B$1,$A863)</f>
        <v>0</v>
      </c>
      <c r="F863" cm="1">
        <f t="array" aca="1" ref="F863" ca="1">[1]!s_val_pe_ttm($B$1,$A863)</f>
        <v>-85.200286865234403</v>
      </c>
    </row>
    <row r="864" spans="1:6">
      <c r="A864" s="23">
        <f t="shared" ca="1" si="13"/>
        <v>45311</v>
      </c>
      <c r="B864" cm="1">
        <f t="array" aca="1" ref="B864" ca="1">[1]!s_dq_close($B$1,$A864,3)</f>
        <v>22.55</v>
      </c>
      <c r="C864" cm="1">
        <f t="array" aca="1" ref="C864" ca="1">[1]!s_dq_volume($B$1,$A864)</f>
        <v>0</v>
      </c>
      <c r="D864" cm="1">
        <f t="array" aca="1" ref="D864" ca="1">[1]!s_dq_amount($B$1,$A864)</f>
        <v>0</v>
      </c>
      <c r="E864" cm="1">
        <f t="array" aca="1" ref="E864" ca="1">[1]!s_dq_turn($B$1,$A864)</f>
        <v>0</v>
      </c>
      <c r="F864" cm="1">
        <f t="array" aca="1" ref="F864" ca="1">[1]!s_val_pe_ttm($B$1,$A864)</f>
        <v>-85.200286865234403</v>
      </c>
    </row>
    <row r="865" spans="1:6">
      <c r="A865" s="23">
        <f t="shared" ca="1" si="13"/>
        <v>45310</v>
      </c>
      <c r="B865" cm="1">
        <f t="array" aca="1" ref="B865" ca="1">[1]!s_dq_close($B$1,$A865,3)</f>
        <v>22.55</v>
      </c>
      <c r="C865" cm="1">
        <f t="array" aca="1" ref="C865" ca="1">[1]!s_dq_volume($B$1,$A865)</f>
        <v>2926525</v>
      </c>
      <c r="D865" cm="1">
        <f t="array" aca="1" ref="D865" ca="1">[1]!s_dq_amount($B$1,$A865)</f>
        <v>66887400</v>
      </c>
      <c r="E865" cm="1">
        <f t="array" aca="1" ref="E865" ca="1">[1]!s_dq_turn($B$1,$A865)</f>
        <v>0.335897152281039</v>
      </c>
      <c r="F865" cm="1">
        <f t="array" aca="1" ref="F865" ca="1">[1]!s_val_pe_ttm($B$1,$A865)</f>
        <v>-85.200286865234403</v>
      </c>
    </row>
    <row r="866" spans="1:6">
      <c r="A866" s="23">
        <f t="shared" ca="1" si="13"/>
        <v>45309</v>
      </c>
      <c r="B866" cm="1">
        <f t="array" aca="1" ref="B866" ca="1">[1]!s_dq_close($B$1,$A866,3)</f>
        <v>23.85</v>
      </c>
      <c r="C866" cm="1">
        <f t="array" aca="1" ref="C866" ca="1">[1]!s_dq_volume($B$1,$A866)</f>
        <v>2063621</v>
      </c>
      <c r="D866" cm="1">
        <f t="array" aca="1" ref="D866" ca="1">[1]!s_dq_amount($B$1,$A866)</f>
        <v>48876594</v>
      </c>
      <c r="E866" cm="1">
        <f t="array" aca="1" ref="E866" ca="1">[1]!s_dq_turn($B$1,$A866)</f>
        <v>0.23685579904062001</v>
      </c>
      <c r="F866" cm="1">
        <f t="array" aca="1" ref="F866" ca="1">[1]!s_val_pe_ttm($B$1,$A866)</f>
        <v>-90.112060546875</v>
      </c>
    </row>
    <row r="867" spans="1:6">
      <c r="A867" s="23">
        <f t="shared" ca="1" si="13"/>
        <v>45308</v>
      </c>
      <c r="B867" cm="1">
        <f t="array" aca="1" ref="B867" ca="1">[1]!s_dq_close($B$1,$A867,3)</f>
        <v>23.95</v>
      </c>
      <c r="C867" cm="1">
        <f t="array" aca="1" ref="C867" ca="1">[1]!s_dq_volume($B$1,$A867)</f>
        <v>4195000</v>
      </c>
      <c r="D867" cm="1">
        <f t="array" aca="1" ref="D867" ca="1">[1]!s_dq_amount($B$1,$A867)</f>
        <v>100884885</v>
      </c>
      <c r="E867" cm="1">
        <f t="array" aca="1" ref="E867" ca="1">[1]!s_dq_turn($B$1,$A867)</f>
        <v>0.481488643978424</v>
      </c>
      <c r="F867" cm="1">
        <f t="array" aca="1" ref="F867" ca="1">[1]!s_val_pe_ttm($B$1,$A867)</f>
        <v>-90.489883422851605</v>
      </c>
    </row>
    <row r="868" spans="1:6">
      <c r="A868" s="23">
        <f t="shared" ca="1" si="13"/>
        <v>45307</v>
      </c>
      <c r="B868" cm="1">
        <f t="array" aca="1" ref="B868" ca="1">[1]!s_dq_close($B$1,$A868,3)</f>
        <v>25.6</v>
      </c>
      <c r="C868" cm="1">
        <f t="array" aca="1" ref="C868" ca="1">[1]!s_dq_volume($B$1,$A868)</f>
        <v>1301500</v>
      </c>
      <c r="D868" cm="1">
        <f t="array" aca="1" ref="D868" ca="1">[1]!s_dq_amount($B$1,$A868)</f>
        <v>33333976</v>
      </c>
      <c r="E868" cm="1">
        <f t="array" aca="1" ref="E868" ca="1">[1]!s_dq_turn($B$1,$A868)</f>
        <v>0.149381995265297</v>
      </c>
      <c r="F868" cm="1">
        <f t="array" aca="1" ref="F868" ca="1">[1]!s_val_pe_ttm($B$1,$A868)</f>
        <v>-96.724052429199205</v>
      </c>
    </row>
    <row r="869" spans="1:6">
      <c r="A869" s="23">
        <f t="shared" ca="1" si="13"/>
        <v>45306</v>
      </c>
      <c r="B869" cm="1">
        <f t="array" aca="1" ref="B869" ca="1">[1]!s_dq_close($B$1,$A869,3)</f>
        <v>25.55</v>
      </c>
      <c r="C869" cm="1">
        <f t="array" aca="1" ref="C869" ca="1">[1]!s_dq_volume($B$1,$A869)</f>
        <v>1109500</v>
      </c>
      <c r="D869" cm="1">
        <f t="array" aca="1" ref="D869" ca="1">[1]!s_dq_amount($B$1,$A869)</f>
        <v>28648383</v>
      </c>
      <c r="E869" cm="1">
        <f t="array" aca="1" ref="E869" ca="1">[1]!s_dq_turn($B$1,$A869)</f>
        <v>0.12734485113088501</v>
      </c>
      <c r="F869" cm="1">
        <f t="array" aca="1" ref="F869" ca="1">[1]!s_val_pe_ttm($B$1,$A869)</f>
        <v>-96.535140991210895</v>
      </c>
    </row>
    <row r="870" spans="1:6">
      <c r="A870" s="23">
        <f t="shared" ca="1" si="13"/>
        <v>45305</v>
      </c>
      <c r="B870" cm="1">
        <f t="array" aca="1" ref="B870" ca="1">[1]!s_dq_close($B$1,$A870,3)</f>
        <v>25.65</v>
      </c>
      <c r="C870" cm="1">
        <f t="array" aca="1" ref="C870" ca="1">[1]!s_dq_volume($B$1,$A870)</f>
        <v>0</v>
      </c>
      <c r="D870" cm="1">
        <f t="array" aca="1" ref="D870" ca="1">[1]!s_dq_amount($B$1,$A870)</f>
        <v>0</v>
      </c>
      <c r="E870" cm="1">
        <f t="array" aca="1" ref="E870" ca="1">[1]!s_dq_turn($B$1,$A870)</f>
        <v>0</v>
      </c>
      <c r="F870" cm="1">
        <f t="array" aca="1" ref="F870" ca="1">[1]!s_val_pe_ttm($B$1,$A870)</f>
        <v>-96.912971496582003</v>
      </c>
    </row>
    <row r="871" spans="1:6">
      <c r="A871" s="23">
        <f t="shared" ca="1" si="13"/>
        <v>45304</v>
      </c>
      <c r="B871" cm="1">
        <f t="array" aca="1" ref="B871" ca="1">[1]!s_dq_close($B$1,$A871,3)</f>
        <v>25.65</v>
      </c>
      <c r="C871" cm="1">
        <f t="array" aca="1" ref="C871" ca="1">[1]!s_dq_volume($B$1,$A871)</f>
        <v>0</v>
      </c>
      <c r="D871" cm="1">
        <f t="array" aca="1" ref="D871" ca="1">[1]!s_dq_amount($B$1,$A871)</f>
        <v>0</v>
      </c>
      <c r="E871" cm="1">
        <f t="array" aca="1" ref="E871" ca="1">[1]!s_dq_turn($B$1,$A871)</f>
        <v>0</v>
      </c>
      <c r="F871" cm="1">
        <f t="array" aca="1" ref="F871" ca="1">[1]!s_val_pe_ttm($B$1,$A871)</f>
        <v>-96.912971496582003</v>
      </c>
    </row>
    <row r="872" spans="1:6">
      <c r="A872" s="23">
        <f t="shared" ca="1" si="13"/>
        <v>45303</v>
      </c>
      <c r="B872" cm="1">
        <f t="array" aca="1" ref="B872" ca="1">[1]!s_dq_close($B$1,$A872,3)</f>
        <v>25.65</v>
      </c>
      <c r="C872" cm="1">
        <f t="array" aca="1" ref="C872" ca="1">[1]!s_dq_volume($B$1,$A872)</f>
        <v>2106838</v>
      </c>
      <c r="D872" cm="1">
        <f t="array" aca="1" ref="D872" ca="1">[1]!s_dq_amount($B$1,$A872)</f>
        <v>54421448</v>
      </c>
      <c r="E872" cm="1">
        <f t="array" aca="1" ref="E872" ca="1">[1]!s_dq_turn($B$1,$A872)</f>
        <v>0.24181610767633299</v>
      </c>
      <c r="F872" cm="1">
        <f t="array" aca="1" ref="F872" ca="1">[1]!s_val_pe_ttm($B$1,$A872)</f>
        <v>-96.912971496582003</v>
      </c>
    </row>
    <row r="873" spans="1:6">
      <c r="A873" s="23">
        <f t="shared" ca="1" si="13"/>
        <v>45302</v>
      </c>
      <c r="B873" cm="1">
        <f t="array" aca="1" ref="B873" ca="1">[1]!s_dq_close($B$1,$A873,3)</f>
        <v>26.45</v>
      </c>
      <c r="C873" cm="1">
        <f t="array" aca="1" ref="C873" ca="1">[1]!s_dq_volume($B$1,$A873)</f>
        <v>3889845</v>
      </c>
      <c r="D873" cm="1">
        <f t="array" aca="1" ref="D873" ca="1">[1]!s_dq_amount($B$1,$A873)</f>
        <v>103108632</v>
      </c>
      <c r="E873" cm="1">
        <f t="array" aca="1" ref="E873" ca="1">[1]!s_dq_turn($B$1,$A873)</f>
        <v>0.446463931903756</v>
      </c>
      <c r="F873" cm="1">
        <f t="array" aca="1" ref="F873" ca="1">[1]!s_val_pe_ttm($B$1,$A873)</f>
        <v>-99.935592651367202</v>
      </c>
    </row>
    <row r="874" spans="1:6">
      <c r="A874" s="23">
        <f t="shared" ca="1" si="13"/>
        <v>45301</v>
      </c>
      <c r="B874" cm="1">
        <f t="array" aca="1" ref="B874" ca="1">[1]!s_dq_close($B$1,$A874,3)</f>
        <v>25.25</v>
      </c>
      <c r="C874" cm="1">
        <f t="array" aca="1" ref="C874" ca="1">[1]!s_dq_volume($B$1,$A874)</f>
        <v>2899000</v>
      </c>
      <c r="D874" cm="1">
        <f t="array" aca="1" ref="D874" ca="1">[1]!s_dq_amount($B$1,$A874)</f>
        <v>73019660</v>
      </c>
      <c r="E874" cm="1">
        <f t="array" aca="1" ref="E874" ca="1">[1]!s_dq_turn($B$1,$A874)</f>
        <v>0.33273792107114503</v>
      </c>
      <c r="F874" cm="1">
        <f t="array" aca="1" ref="F874" ca="1">[1]!s_val_pe_ttm($B$1,$A874)</f>
        <v>-95.401657104492202</v>
      </c>
    </row>
    <row r="875" spans="1:6">
      <c r="A875" s="23">
        <f t="shared" ca="1" si="13"/>
        <v>45300</v>
      </c>
      <c r="B875" cm="1">
        <f t="array" aca="1" ref="B875" ca="1">[1]!s_dq_close($B$1,$A875,3)</f>
        <v>25.35</v>
      </c>
      <c r="C875" cm="1">
        <f t="array" aca="1" ref="C875" ca="1">[1]!s_dq_volume($B$1,$A875)</f>
        <v>4029537</v>
      </c>
      <c r="D875" cm="1">
        <f t="array" aca="1" ref="D875" ca="1">[1]!s_dq_amount($B$1,$A875)</f>
        <v>103531819</v>
      </c>
      <c r="E875" cm="1">
        <f t="array" aca="1" ref="E875" ca="1">[1]!s_dq_turn($B$1,$A875)</f>
        <v>0.46249733158304901</v>
      </c>
      <c r="F875" cm="1">
        <f t="array" aca="1" ref="F875" ca="1">[1]!s_val_pe_ttm($B$1,$A875)</f>
        <v>-95.779479980468807</v>
      </c>
    </row>
    <row r="876" spans="1:6">
      <c r="A876" s="23">
        <f t="shared" ca="1" si="13"/>
        <v>45299</v>
      </c>
      <c r="B876" cm="1">
        <f t="array" aca="1" ref="B876" ca="1">[1]!s_dq_close($B$1,$A876,3)</f>
        <v>25</v>
      </c>
      <c r="C876" cm="1">
        <f t="array" aca="1" ref="C876" ca="1">[1]!s_dq_volume($B$1,$A876)</f>
        <v>5207400</v>
      </c>
      <c r="D876" cm="1">
        <f t="array" aca="1" ref="D876" ca="1">[1]!s_dq_amount($B$1,$A876)</f>
        <v>130842048</v>
      </c>
      <c r="E876" cm="1">
        <f t="array" aca="1" ref="E876" ca="1">[1]!s_dq_turn($B$1,$A876)</f>
        <v>0.59768866857049996</v>
      </c>
      <c r="F876" cm="1">
        <f t="array" aca="1" ref="F876" ca="1">[1]!s_val_pe_ttm($B$1,$A876)</f>
        <v>-94.457084655761705</v>
      </c>
    </row>
    <row r="877" spans="1:6">
      <c r="A877" s="23">
        <f t="shared" ca="1" si="13"/>
        <v>45298</v>
      </c>
      <c r="B877" cm="1">
        <f t="array" aca="1" ref="B877" ca="1">[1]!s_dq_close($B$1,$A877,3)</f>
        <v>26.55</v>
      </c>
      <c r="C877" cm="1">
        <f t="array" aca="1" ref="C877" ca="1">[1]!s_dq_volume($B$1,$A877)</f>
        <v>0</v>
      </c>
      <c r="D877" cm="1">
        <f t="array" aca="1" ref="D877" ca="1">[1]!s_dq_amount($B$1,$A877)</f>
        <v>0</v>
      </c>
      <c r="E877" cm="1">
        <f t="array" aca="1" ref="E877" ca="1">[1]!s_dq_turn($B$1,$A877)</f>
        <v>0</v>
      </c>
      <c r="F877" cm="1">
        <f t="array" aca="1" ref="F877" ca="1">[1]!s_val_pe_ttm($B$1,$A877)</f>
        <v>-100.313423156738</v>
      </c>
    </row>
    <row r="878" spans="1:6">
      <c r="A878" s="23">
        <f t="shared" ca="1" si="13"/>
        <v>45297</v>
      </c>
      <c r="B878" cm="1">
        <f t="array" aca="1" ref="B878" ca="1">[1]!s_dq_close($B$1,$A878,3)</f>
        <v>26.55</v>
      </c>
      <c r="C878" cm="1">
        <f t="array" aca="1" ref="C878" ca="1">[1]!s_dq_volume($B$1,$A878)</f>
        <v>0</v>
      </c>
      <c r="D878" cm="1">
        <f t="array" aca="1" ref="D878" ca="1">[1]!s_dq_amount($B$1,$A878)</f>
        <v>0</v>
      </c>
      <c r="E878" cm="1">
        <f t="array" aca="1" ref="E878" ca="1">[1]!s_dq_turn($B$1,$A878)</f>
        <v>0</v>
      </c>
      <c r="F878" cm="1">
        <f t="array" aca="1" ref="F878" ca="1">[1]!s_val_pe_ttm($B$1,$A878)</f>
        <v>-100.313423156738</v>
      </c>
    </row>
    <row r="879" spans="1:6">
      <c r="A879" s="23">
        <f t="shared" ca="1" si="13"/>
        <v>45296</v>
      </c>
      <c r="B879" cm="1">
        <f t="array" aca="1" ref="B879" ca="1">[1]!s_dq_close($B$1,$A879,3)</f>
        <v>26.55</v>
      </c>
      <c r="C879" cm="1">
        <f t="array" aca="1" ref="C879" ca="1">[1]!s_dq_volume($B$1,$A879)</f>
        <v>3664995</v>
      </c>
      <c r="D879" cm="1">
        <f t="array" aca="1" ref="D879" ca="1">[1]!s_dq_amount($B$1,$A879)</f>
        <v>97216146</v>
      </c>
      <c r="E879" cm="1">
        <f t="array" aca="1" ref="E879" ca="1">[1]!s_dq_turn($B$1,$A879)</f>
        <v>0.42065637014009699</v>
      </c>
      <c r="F879" cm="1">
        <f t="array" aca="1" ref="F879" ca="1">[1]!s_val_pe_ttm($B$1,$A879)</f>
        <v>-100.313423156738</v>
      </c>
    </row>
    <row r="880" spans="1:6">
      <c r="A880" s="23">
        <f t="shared" ca="1" si="13"/>
        <v>45295</v>
      </c>
      <c r="B880" cm="1">
        <f t="array" aca="1" ref="B880" ca="1">[1]!s_dq_close($B$1,$A880,3)</f>
        <v>27.45</v>
      </c>
      <c r="C880" cm="1">
        <f t="array" aca="1" ref="C880" ca="1">[1]!s_dq_volume($B$1,$A880)</f>
        <v>1966000</v>
      </c>
      <c r="D880" cm="1">
        <f t="array" aca="1" ref="D880" ca="1">[1]!s_dq_amount($B$1,$A880)</f>
        <v>53447700</v>
      </c>
      <c r="E880" cm="1">
        <f t="array" aca="1" ref="E880" ca="1">[1]!s_dq_turn($B$1,$A880)</f>
        <v>0.22565117379298699</v>
      </c>
      <c r="F880" cm="1">
        <f t="array" aca="1" ref="F880" ca="1">[1]!s_val_pe_ttm($B$1,$A880)</f>
        <v>-103.71388244628901</v>
      </c>
    </row>
    <row r="881" spans="1:6">
      <c r="A881" s="23">
        <f t="shared" ca="1" si="13"/>
        <v>45294</v>
      </c>
      <c r="B881" cm="1">
        <f t="array" aca="1" ref="B881" ca="1">[1]!s_dq_close($B$1,$A881,3)</f>
        <v>27.4</v>
      </c>
      <c r="C881" cm="1">
        <f t="array" aca="1" ref="C881" ca="1">[1]!s_dq_volume($B$1,$A881)</f>
        <v>2133500</v>
      </c>
      <c r="D881" cm="1">
        <f t="array" aca="1" ref="D881" ca="1">[1]!s_dq_amount($B$1,$A881)</f>
        <v>58415882</v>
      </c>
      <c r="E881" cm="1">
        <f t="array" aca="1" ref="E881" ca="1">[1]!s_dq_turn($B$1,$A881)</f>
        <v>0.24487628651441401</v>
      </c>
      <c r="F881" cm="1">
        <f t="array" aca="1" ref="F881" ca="1">[1]!s_val_pe_ttm($B$1,$A881)</f>
        <v>-103.52496337890599</v>
      </c>
    </row>
    <row r="882" spans="1:6">
      <c r="A882" s="23">
        <f t="shared" ca="1" si="13"/>
        <v>45293</v>
      </c>
      <c r="B882" cm="1">
        <f t="array" aca="1" ref="B882" ca="1">[1]!s_dq_close($B$1,$A882,3)</f>
        <v>28.05</v>
      </c>
      <c r="C882" cm="1">
        <f t="array" aca="1" ref="C882" ca="1">[1]!s_dq_volume($B$1,$A882)</f>
        <v>1664000</v>
      </c>
      <c r="D882" cm="1">
        <f t="array" aca="1" ref="D882" ca="1">[1]!s_dq_amount($B$1,$A882)</f>
        <v>46818225</v>
      </c>
      <c r="E882" cm="1">
        <f t="array" aca="1" ref="E882" ca="1">[1]!s_dq_turn($B$1,$A882)</f>
        <v>0.190988582498236</v>
      </c>
      <c r="F882" cm="1">
        <f t="array" aca="1" ref="F882" ca="1">[1]!s_val_pe_ttm($B$1,$A882)</f>
        <v>-105.980850219727</v>
      </c>
    </row>
    <row r="883" spans="1:6">
      <c r="A883" s="23">
        <f t="shared" ca="1" si="13"/>
        <v>45292</v>
      </c>
      <c r="B883" cm="1">
        <f t="array" aca="1" ref="B883" ca="1">[1]!s_dq_close($B$1,$A883,3)</f>
        <v>28.7</v>
      </c>
      <c r="C883" cm="1">
        <f t="array" aca="1" ref="C883" ca="1">[1]!s_dq_volume($B$1,$A883)</f>
        <v>0</v>
      </c>
      <c r="D883" cm="1">
        <f t="array" aca="1" ref="D883" ca="1">[1]!s_dq_amount($B$1,$A883)</f>
        <v>0</v>
      </c>
      <c r="E883" cm="1">
        <f t="array" aca="1" ref="E883" ca="1">[1]!s_dq_turn($B$1,$A883)</f>
        <v>0</v>
      </c>
      <c r="F883" cm="1">
        <f t="array" aca="1" ref="F883" ca="1">[1]!s_val_pe_ttm($B$1,$A883)</f>
        <v>-108.42633819580099</v>
      </c>
    </row>
    <row r="884" spans="1:6">
      <c r="A884" s="23">
        <f t="shared" ca="1" si="13"/>
        <v>45291</v>
      </c>
      <c r="B884" cm="1">
        <f t="array" aca="1" ref="B884" ca="1">[1]!s_dq_close($B$1,$A884,3)</f>
        <v>28.7</v>
      </c>
      <c r="C884" cm="1">
        <f t="array" aca="1" ref="C884" ca="1">[1]!s_dq_volume($B$1,$A884)</f>
        <v>0</v>
      </c>
      <c r="D884" cm="1">
        <f t="array" aca="1" ref="D884" ca="1">[1]!s_dq_amount($B$1,$A884)</f>
        <v>0</v>
      </c>
      <c r="E884" cm="1">
        <f t="array" aca="1" ref="E884" ca="1">[1]!s_dq_turn($B$1,$A884)</f>
        <v>0</v>
      </c>
      <c r="F884" cm="1">
        <f t="array" aca="1" ref="F884" ca="1">[1]!s_val_pe_ttm($B$1,$A884)</f>
        <v>-108.42633819580099</v>
      </c>
    </row>
    <row r="885" spans="1:6">
      <c r="A885" s="23">
        <f t="shared" ca="1" si="13"/>
        <v>45290</v>
      </c>
      <c r="B885" cm="1">
        <f t="array" aca="1" ref="B885" ca="1">[1]!s_dq_close($B$1,$A885,3)</f>
        <v>28.7</v>
      </c>
      <c r="C885" cm="1">
        <f t="array" aca="1" ref="C885" ca="1">[1]!s_dq_volume($B$1,$A885)</f>
        <v>0</v>
      </c>
      <c r="D885" cm="1">
        <f t="array" aca="1" ref="D885" ca="1">[1]!s_dq_amount($B$1,$A885)</f>
        <v>0</v>
      </c>
      <c r="E885" cm="1">
        <f t="array" aca="1" ref="E885" ca="1">[1]!s_dq_turn($B$1,$A885)</f>
        <v>0</v>
      </c>
      <c r="F885" cm="1">
        <f t="array" aca="1" ref="F885" ca="1">[1]!s_val_pe_ttm($B$1,$A885)</f>
        <v>-108.42633819580099</v>
      </c>
    </row>
    <row r="886" spans="1:6">
      <c r="A886" s="23">
        <f t="shared" ca="1" si="13"/>
        <v>45289</v>
      </c>
      <c r="B886" cm="1">
        <f t="array" aca="1" ref="B886" ca="1">[1]!s_dq_close($B$1,$A886,3)</f>
        <v>28.7</v>
      </c>
      <c r="C886" cm="1">
        <f t="array" aca="1" ref="C886" ca="1">[1]!s_dq_volume($B$1,$A886)</f>
        <v>2353000</v>
      </c>
      <c r="D886" cm="1">
        <f t="array" aca="1" ref="D886" ca="1">[1]!s_dq_amount($B$1,$A886)</f>
        <v>66694555</v>
      </c>
      <c r="E886" cm="1">
        <f t="array" aca="1" ref="E886" ca="1">[1]!s_dq_turn($B$1,$A886)</f>
        <v>0.270095678036401</v>
      </c>
      <c r="F886" cm="1">
        <f t="array" aca="1" ref="F886" ca="1">[1]!s_val_pe_ttm($B$1,$A886)</f>
        <v>-108.42633819580099</v>
      </c>
    </row>
    <row r="887" spans="1:6">
      <c r="A887" s="23">
        <f t="shared" ca="1" si="13"/>
        <v>45288</v>
      </c>
      <c r="B887" cm="1">
        <f t="array" aca="1" ref="B887" ca="1">[1]!s_dq_close($B$1,$A887,3)</f>
        <v>28.1</v>
      </c>
      <c r="C887" cm="1">
        <f t="array" aca="1" ref="C887" ca="1">[1]!s_dq_volume($B$1,$A887)</f>
        <v>3512000</v>
      </c>
      <c r="D887" cm="1">
        <f t="array" aca="1" ref="D887" ca="1">[1]!s_dq_amount($B$1,$A887)</f>
        <v>99189818</v>
      </c>
      <c r="E887" cm="1">
        <f t="array" aca="1" ref="E887" ca="1">[1]!s_dq_turn($B$1,$A887)</f>
        <v>0.40313473066886601</v>
      </c>
      <c r="F887" cm="1">
        <f t="array" aca="1" ref="F887" ca="1">[1]!s_val_pe_ttm($B$1,$A887)</f>
        <v>-106.159591674805</v>
      </c>
    </row>
    <row r="888" spans="1:6">
      <c r="A888" s="23">
        <f t="shared" ca="1" si="13"/>
        <v>45287</v>
      </c>
      <c r="B888" cm="1">
        <f t="array" aca="1" ref="B888" ca="1">[1]!s_dq_close($B$1,$A888,3)</f>
        <v>27.25</v>
      </c>
      <c r="C888" cm="1">
        <f t="array" aca="1" ref="C888" ca="1">[1]!s_dq_volume($B$1,$A888)</f>
        <v>3705700</v>
      </c>
      <c r="D888" cm="1">
        <f t="array" aca="1" ref="D888" ca="1">[1]!s_dq_amount($B$1,$A888)</f>
        <v>100635952</v>
      </c>
      <c r="E888" cm="1">
        <f t="array" aca="1" ref="E888" ca="1">[1]!s_dq_turn($B$1,$A888)</f>
        <v>0.42536912626412798</v>
      </c>
      <c r="F888" cm="1">
        <f t="array" aca="1" ref="F888" ca="1">[1]!s_val_pe_ttm($B$1,$A888)</f>
        <v>-102.948356628418</v>
      </c>
    </row>
    <row r="889" spans="1:6">
      <c r="A889" s="23">
        <f t="shared" ca="1" si="13"/>
        <v>45286</v>
      </c>
      <c r="B889" cm="1">
        <f t="array" aca="1" ref="B889" ca="1">[1]!s_dq_close($B$1,$A889,3)</f>
        <v>26.35</v>
      </c>
      <c r="C889" cm="1">
        <f t="array" aca="1" ref="C889" ca="1">[1]!s_dq_volume($B$1,$A889)</f>
        <v>0</v>
      </c>
      <c r="D889" cm="1">
        <f t="array" aca="1" ref="D889" ca="1">[1]!s_dq_amount($B$1,$A889)</f>
        <v>0</v>
      </c>
      <c r="E889" cm="1">
        <f t="array" aca="1" ref="E889" ca="1">[1]!s_dq_turn($B$1,$A889)</f>
        <v>0</v>
      </c>
      <c r="F889" cm="1">
        <f t="array" aca="1" ref="F889" ca="1">[1]!s_val_pe_ttm($B$1,$A889)</f>
        <v>-99.548225402832003</v>
      </c>
    </row>
    <row r="890" spans="1:6">
      <c r="A890" s="23">
        <f t="shared" ca="1" si="13"/>
        <v>45285</v>
      </c>
      <c r="B890" cm="1">
        <f t="array" aca="1" ref="B890" ca="1">[1]!s_dq_close($B$1,$A890,3)</f>
        <v>26.35</v>
      </c>
      <c r="C890" cm="1">
        <f t="array" aca="1" ref="C890" ca="1">[1]!s_dq_volume($B$1,$A890)</f>
        <v>0</v>
      </c>
      <c r="D890" cm="1">
        <f t="array" aca="1" ref="D890" ca="1">[1]!s_dq_amount($B$1,$A890)</f>
        <v>0</v>
      </c>
      <c r="E890" cm="1">
        <f t="array" aca="1" ref="E890" ca="1">[1]!s_dq_turn($B$1,$A890)</f>
        <v>0</v>
      </c>
      <c r="F890" cm="1">
        <f t="array" aca="1" ref="F890" ca="1">[1]!s_val_pe_ttm($B$1,$A890)</f>
        <v>-99.548225402832003</v>
      </c>
    </row>
    <row r="891" spans="1:6">
      <c r="A891" s="23">
        <f t="shared" ca="1" si="13"/>
        <v>45284</v>
      </c>
      <c r="B891" cm="1">
        <f t="array" aca="1" ref="B891" ca="1">[1]!s_dq_close($B$1,$A891,3)</f>
        <v>26.35</v>
      </c>
      <c r="C891" cm="1">
        <f t="array" aca="1" ref="C891" ca="1">[1]!s_dq_volume($B$1,$A891)</f>
        <v>0</v>
      </c>
      <c r="D891" cm="1">
        <f t="array" aca="1" ref="D891" ca="1">[1]!s_dq_amount($B$1,$A891)</f>
        <v>0</v>
      </c>
      <c r="E891" cm="1">
        <f t="array" aca="1" ref="E891" ca="1">[1]!s_dq_turn($B$1,$A891)</f>
        <v>0</v>
      </c>
      <c r="F891" cm="1">
        <f t="array" aca="1" ref="F891" ca="1">[1]!s_val_pe_ttm($B$1,$A891)</f>
        <v>-99.548225402832003</v>
      </c>
    </row>
    <row r="892" spans="1:6">
      <c r="A892" s="23">
        <f t="shared" ca="1" si="13"/>
        <v>45283</v>
      </c>
      <c r="B892" cm="1">
        <f t="array" aca="1" ref="B892" ca="1">[1]!s_dq_close($B$1,$A892,3)</f>
        <v>26.35</v>
      </c>
      <c r="C892" cm="1">
        <f t="array" aca="1" ref="C892" ca="1">[1]!s_dq_volume($B$1,$A892)</f>
        <v>0</v>
      </c>
      <c r="D892" cm="1">
        <f t="array" aca="1" ref="D892" ca="1">[1]!s_dq_amount($B$1,$A892)</f>
        <v>0</v>
      </c>
      <c r="E892" cm="1">
        <f t="array" aca="1" ref="E892" ca="1">[1]!s_dq_turn($B$1,$A892)</f>
        <v>0</v>
      </c>
      <c r="F892" cm="1">
        <f t="array" aca="1" ref="F892" ca="1">[1]!s_val_pe_ttm($B$1,$A892)</f>
        <v>-99.548225402832003</v>
      </c>
    </row>
    <row r="893" spans="1:6">
      <c r="A893" s="23">
        <f t="shared" ca="1" si="13"/>
        <v>45282</v>
      </c>
      <c r="B893" cm="1">
        <f t="array" aca="1" ref="B893" ca="1">[1]!s_dq_close($B$1,$A893,3)</f>
        <v>26.35</v>
      </c>
      <c r="C893" cm="1">
        <f t="array" aca="1" ref="C893" ca="1">[1]!s_dq_volume($B$1,$A893)</f>
        <v>2638500</v>
      </c>
      <c r="D893" cm="1">
        <f t="array" aca="1" ref="D893" ca="1">[1]!s_dq_amount($B$1,$A893)</f>
        <v>69286632</v>
      </c>
      <c r="E893" cm="1">
        <f t="array" aca="1" ref="E893" ca="1">[1]!s_dq_turn($B$1,$A893)</f>
        <v>0.30286759307226702</v>
      </c>
      <c r="F893" cm="1">
        <f t="array" aca="1" ref="F893" ca="1">[1]!s_val_pe_ttm($B$1,$A893)</f>
        <v>-99.548225402832003</v>
      </c>
    </row>
    <row r="894" spans="1:6">
      <c r="A894" s="23">
        <f t="shared" ca="1" si="13"/>
        <v>45281</v>
      </c>
      <c r="B894" cm="1">
        <f t="array" aca="1" ref="B894" ca="1">[1]!s_dq_close($B$1,$A894,3)</f>
        <v>26.4</v>
      </c>
      <c r="C894" cm="1">
        <f t="array" aca="1" ref="C894" ca="1">[1]!s_dq_volume($B$1,$A894)</f>
        <v>5142000</v>
      </c>
      <c r="D894" cm="1">
        <f t="array" aca="1" ref="D894" ca="1">[1]!s_dq_amount($B$1,$A894)</f>
        <v>134211029</v>
      </c>
      <c r="E894" cm="1">
        <f t="array" aca="1" ref="E894" ca="1">[1]!s_dq_turn($B$1,$A894)</f>
        <v>0.59023883402599897</v>
      </c>
      <c r="F894" cm="1">
        <f t="array" aca="1" ref="F894" ca="1">[1]!s_val_pe_ttm($B$1,$A894)</f>
        <v>-99.737121582031193</v>
      </c>
    </row>
    <row r="895" spans="1:6">
      <c r="A895" s="23">
        <f t="shared" ca="1" si="13"/>
        <v>45280</v>
      </c>
      <c r="B895" cm="1">
        <f t="array" aca="1" ref="B895" ca="1">[1]!s_dq_close($B$1,$A895,3)</f>
        <v>27.15</v>
      </c>
      <c r="C895" cm="1">
        <f t="array" aca="1" ref="C895" ca="1">[1]!s_dq_volume($B$1,$A895)</f>
        <v>1386450</v>
      </c>
      <c r="D895" cm="1">
        <f t="array" aca="1" ref="D895" ca="1">[1]!s_dq_amount($B$1,$A895)</f>
        <v>37770490</v>
      </c>
      <c r="E895" cm="1">
        <f t="array" aca="1" ref="E895" ca="1">[1]!s_dq_turn($B$1,$A895)</f>
        <v>0.15914753625736</v>
      </c>
      <c r="F895" cm="1">
        <f t="array" aca="1" ref="F895" ca="1">[1]!s_val_pe_ttm($B$1,$A895)</f>
        <v>-102.57056427002</v>
      </c>
    </row>
    <row r="896" spans="1:6">
      <c r="A896" s="23">
        <f t="shared" ca="1" si="13"/>
        <v>45279</v>
      </c>
      <c r="B896" cm="1">
        <f t="array" aca="1" ref="B896" ca="1">[1]!s_dq_close($B$1,$A896,3)</f>
        <v>27.45</v>
      </c>
      <c r="C896" cm="1">
        <f t="array" aca="1" ref="C896" ca="1">[1]!s_dq_volume($B$1,$A896)</f>
        <v>4898436</v>
      </c>
      <c r="D896" cm="1">
        <f t="array" aca="1" ref="D896" ca="1">[1]!s_dq_amount($B$1,$A896)</f>
        <v>134042459</v>
      </c>
      <c r="E896" cm="1">
        <f t="array" aca="1" ref="E896" ca="1">[1]!s_dq_turn($B$1,$A896)</f>
        <v>0.56228065989711795</v>
      </c>
      <c r="F896" cm="1">
        <f t="array" aca="1" ref="F896" ca="1">[1]!s_val_pe_ttm($B$1,$A896)</f>
        <v>-103.703941345215</v>
      </c>
    </row>
    <row r="897" spans="1:6">
      <c r="A897" s="23">
        <f t="shared" ca="1" si="13"/>
        <v>45278</v>
      </c>
      <c r="B897" cm="1">
        <f t="array" aca="1" ref="B897" ca="1">[1]!s_dq_close($B$1,$A897,3)</f>
        <v>28.65</v>
      </c>
      <c r="C897" cm="1">
        <f t="array" aca="1" ref="C897" ca="1">[1]!s_dq_volume($B$1,$A897)</f>
        <v>5453010</v>
      </c>
      <c r="D897" cm="1">
        <f t="array" aca="1" ref="D897" ca="1">[1]!s_dq_amount($B$1,$A897)</f>
        <v>158660713</v>
      </c>
      <c r="E897" cm="1">
        <f t="array" aca="1" ref="E897" ca="1">[1]!s_dq_turn($B$1,$A897)</f>
        <v>0.62593898567330097</v>
      </c>
      <c r="F897" cm="1">
        <f t="array" aca="1" ref="F897" ca="1">[1]!s_val_pe_ttm($B$1,$A897)</f>
        <v>-108.237442016602</v>
      </c>
    </row>
    <row r="898" spans="1:6">
      <c r="A898" s="23">
        <f t="shared" ca="1" si="13"/>
        <v>45277</v>
      </c>
      <c r="B898" cm="1">
        <f t="array" aca="1" ref="B898" ca="1">[1]!s_dq_close($B$1,$A898,3)</f>
        <v>30.95</v>
      </c>
      <c r="C898" cm="1">
        <f t="array" aca="1" ref="C898" ca="1">[1]!s_dq_volume($B$1,$A898)</f>
        <v>0</v>
      </c>
      <c r="D898" cm="1">
        <f t="array" aca="1" ref="D898" ca="1">[1]!s_dq_amount($B$1,$A898)</f>
        <v>0</v>
      </c>
      <c r="E898" cm="1">
        <f t="array" aca="1" ref="E898" ca="1">[1]!s_dq_turn($B$1,$A898)</f>
        <v>0</v>
      </c>
      <c r="F898" cm="1">
        <f t="array" aca="1" ref="F898" ca="1">[1]!s_val_pe_ttm($B$1,$A898)</f>
        <v>-116.92666625976599</v>
      </c>
    </row>
    <row r="899" spans="1:6">
      <c r="A899" s="23">
        <f t="shared" ca="1" si="13"/>
        <v>45276</v>
      </c>
      <c r="B899" cm="1">
        <f t="array" aca="1" ref="B899" ca="1">[1]!s_dq_close($B$1,$A899,3)</f>
        <v>30.95</v>
      </c>
      <c r="C899" cm="1">
        <f t="array" aca="1" ref="C899" ca="1">[1]!s_dq_volume($B$1,$A899)</f>
        <v>0</v>
      </c>
      <c r="D899" cm="1">
        <f t="array" aca="1" ref="D899" ca="1">[1]!s_dq_amount($B$1,$A899)</f>
        <v>0</v>
      </c>
      <c r="E899" cm="1">
        <f t="array" aca="1" ref="E899" ca="1">[1]!s_dq_turn($B$1,$A899)</f>
        <v>0</v>
      </c>
      <c r="F899" cm="1">
        <f t="array" aca="1" ref="F899" ca="1">[1]!s_val_pe_ttm($B$1,$A899)</f>
        <v>-116.92666625976599</v>
      </c>
    </row>
    <row r="900" spans="1:6">
      <c r="A900" s="23">
        <f t="shared" ca="1" si="13"/>
        <v>45275</v>
      </c>
      <c r="B900" cm="1">
        <f t="array" aca="1" ref="B900" ca="1">[1]!s_dq_close($B$1,$A900,3)</f>
        <v>30.95</v>
      </c>
      <c r="C900" cm="1">
        <f t="array" aca="1" ref="C900" ca="1">[1]!s_dq_volume($B$1,$A900)</f>
        <v>2818100</v>
      </c>
      <c r="D900" cm="1">
        <f t="array" aca="1" ref="D900" ca="1">[1]!s_dq_amount($B$1,$A900)</f>
        <v>87554330</v>
      </c>
      <c r="E900" cm="1">
        <f t="array" aca="1" ref="E900" ca="1">[1]!s_dq_turn($B$1,$A900)</f>
        <v>0.32348348077959299</v>
      </c>
      <c r="F900" cm="1">
        <f t="array" aca="1" ref="F900" ca="1">[1]!s_val_pe_ttm($B$1,$A900)</f>
        <v>-116.92666625976599</v>
      </c>
    </row>
    <row r="901" spans="1:6">
      <c r="A901" s="23">
        <f t="shared" ca="1" si="13"/>
        <v>45274</v>
      </c>
      <c r="B901" cm="1">
        <f t="array" aca="1" ref="B901" ca="1">[1]!s_dq_close($B$1,$A901,3)</f>
        <v>30.8</v>
      </c>
      <c r="C901" cm="1">
        <f t="array" aca="1" ref="C901" ca="1">[1]!s_dq_volume($B$1,$A901)</f>
        <v>4013500</v>
      </c>
      <c r="D901" cm="1">
        <f t="array" aca="1" ref="D901" ca="1">[1]!s_dq_amount($B$1,$A901)</f>
        <v>124883371</v>
      </c>
      <c r="E901" cm="1">
        <f t="array" aca="1" ref="E901" ca="1">[1]!s_dq_turn($B$1,$A901)</f>
        <v>0.46070080909438899</v>
      </c>
      <c r="F901" cm="1">
        <f t="array" aca="1" ref="F901" ca="1">[1]!s_val_pe_ttm($B$1,$A901)</f>
        <v>-116.359977722168</v>
      </c>
    </row>
    <row r="902" spans="1:6">
      <c r="A902" s="23">
        <f t="shared" ca="1" si="13"/>
        <v>45273</v>
      </c>
      <c r="B902" cm="1">
        <f t="array" aca="1" ref="B902" ca="1">[1]!s_dq_close($B$1,$A902,3)</f>
        <v>30.35</v>
      </c>
      <c r="C902" cm="1">
        <f t="array" aca="1" ref="C902" ca="1">[1]!s_dq_volume($B$1,$A902)</f>
        <v>1713500</v>
      </c>
      <c r="D902" cm="1">
        <f t="array" aca="1" ref="D902" ca="1">[1]!s_dq_amount($B$1,$A902)</f>
        <v>51779152</v>
      </c>
      <c r="E902" cm="1">
        <f t="array" aca="1" ref="E902" ca="1">[1]!s_dq_turn($B$1,$A902)</f>
        <v>0.196688884111931</v>
      </c>
      <c r="F902" cm="1">
        <f t="array" aca="1" ref="F902" ca="1">[1]!s_val_pe_ttm($B$1,$A902)</f>
        <v>-114.659912109375</v>
      </c>
    </row>
    <row r="903" spans="1:6">
      <c r="A903" s="23">
        <f t="shared" ca="1" si="13"/>
        <v>45272</v>
      </c>
      <c r="B903" cm="1">
        <f t="array" aca="1" ref="B903" ca="1">[1]!s_dq_close($B$1,$A903,3)</f>
        <v>30.15</v>
      </c>
      <c r="C903" cm="1">
        <f t="array" aca="1" ref="C903" ca="1">[1]!s_dq_volume($B$1,$A903)</f>
        <v>2642770</v>
      </c>
      <c r="D903" cm="1">
        <f t="array" aca="1" ref="D903" ca="1">[1]!s_dq_amount($B$1,$A903)</f>
        <v>78486715</v>
      </c>
      <c r="E903" cm="1">
        <f t="array" aca="1" ref="E903" ca="1">[1]!s_dq_turn($B$1,$A903)</f>
        <v>0.30335773695038698</v>
      </c>
      <c r="F903" cm="1">
        <f t="array" aca="1" ref="F903" ca="1">[1]!s_val_pe_ttm($B$1,$A903)</f>
        <v>-113.904327392578</v>
      </c>
    </row>
    <row r="904" spans="1:6">
      <c r="A904" s="23">
        <f t="shared" ca="1" si="13"/>
        <v>45271</v>
      </c>
      <c r="B904" cm="1">
        <f t="array" aca="1" ref="B904" ca="1">[1]!s_dq_close($B$1,$A904,3)</f>
        <v>29.3</v>
      </c>
      <c r="C904" cm="1">
        <f t="array" aca="1" ref="C904" ca="1">[1]!s_dq_volume($B$1,$A904)</f>
        <v>4237228</v>
      </c>
      <c r="D904" cm="1">
        <f t="array" aca="1" ref="D904" ca="1">[1]!s_dq_amount($B$1,$A904)</f>
        <v>123247200</v>
      </c>
      <c r="E904" cm="1">
        <f t="array" aca="1" ref="E904" ca="1">[1]!s_dq_turn($B$1,$A904)</f>
        <v>0.48638205255198702</v>
      </c>
      <c r="F904" cm="1">
        <f t="array" aca="1" ref="F904" ca="1">[1]!s_val_pe_ttm($B$1,$A904)</f>
        <v>-110.69309234619099</v>
      </c>
    </row>
    <row r="905" spans="1:6">
      <c r="A905" s="23">
        <f t="shared" ca="1" si="13"/>
        <v>45270</v>
      </c>
      <c r="B905" cm="1">
        <f t="array" aca="1" ref="B905" ca="1">[1]!s_dq_close($B$1,$A905,3)</f>
        <v>29.95</v>
      </c>
      <c r="C905" cm="1">
        <f t="array" aca="1" ref="C905" ca="1">[1]!s_dq_volume($B$1,$A905)</f>
        <v>0</v>
      </c>
      <c r="D905" cm="1">
        <f t="array" aca="1" ref="D905" ca="1">[1]!s_dq_amount($B$1,$A905)</f>
        <v>0</v>
      </c>
      <c r="E905" cm="1">
        <f t="array" aca="1" ref="E905" ca="1">[1]!s_dq_turn($B$1,$A905)</f>
        <v>0</v>
      </c>
      <c r="F905" cm="1">
        <f t="array" aca="1" ref="F905" ca="1">[1]!s_val_pe_ttm($B$1,$A905)</f>
        <v>-113.14874267578099</v>
      </c>
    </row>
    <row r="906" spans="1:6">
      <c r="A906" s="23">
        <f t="shared" ca="1" si="13"/>
        <v>45269</v>
      </c>
      <c r="B906" cm="1">
        <f t="array" aca="1" ref="B906" ca="1">[1]!s_dq_close($B$1,$A906,3)</f>
        <v>29.95</v>
      </c>
      <c r="C906" cm="1">
        <f t="array" aca="1" ref="C906" ca="1">[1]!s_dq_volume($B$1,$A906)</f>
        <v>0</v>
      </c>
      <c r="D906" cm="1">
        <f t="array" aca="1" ref="D906" ca="1">[1]!s_dq_amount($B$1,$A906)</f>
        <v>0</v>
      </c>
      <c r="E906" cm="1">
        <f t="array" aca="1" ref="E906" ca="1">[1]!s_dq_turn($B$1,$A906)</f>
        <v>0</v>
      </c>
      <c r="F906" cm="1">
        <f t="array" aca="1" ref="F906" ca="1">[1]!s_val_pe_ttm($B$1,$A906)</f>
        <v>-113.14874267578099</v>
      </c>
    </row>
    <row r="907" spans="1:6">
      <c r="A907" s="23">
        <f t="shared" ca="1" si="13"/>
        <v>45268</v>
      </c>
      <c r="B907" cm="1">
        <f t="array" aca="1" ref="B907" ca="1">[1]!s_dq_close($B$1,$A907,3)</f>
        <v>29.95</v>
      </c>
      <c r="C907" cm="1">
        <f t="array" aca="1" ref="C907" ca="1">[1]!s_dq_volume($B$1,$A907)</f>
        <v>5759000</v>
      </c>
      <c r="D907" cm="1">
        <f t="array" aca="1" ref="D907" ca="1">[1]!s_dq_amount($B$1,$A907)</f>
        <v>172855946</v>
      </c>
      <c r="E907" cm="1">
        <f t="array" aca="1" ref="E907" ca="1">[1]!s_dq_turn($B$1,$A907)</f>
        <v>0.66106290259737999</v>
      </c>
      <c r="F907" cm="1">
        <f t="array" aca="1" ref="F907" ca="1">[1]!s_val_pe_ttm($B$1,$A907)</f>
        <v>-113.14874267578099</v>
      </c>
    </row>
    <row r="908" spans="1:6">
      <c r="A908" s="23">
        <f t="shared" ca="1" si="13"/>
        <v>45267</v>
      </c>
      <c r="B908" cm="1">
        <f t="array" aca="1" ref="B908" ca="1">[1]!s_dq_close($B$1,$A908,3)</f>
        <v>29.3</v>
      </c>
      <c r="C908" cm="1">
        <f t="array" aca="1" ref="C908" ca="1">[1]!s_dq_volume($B$1,$A908)</f>
        <v>3732142</v>
      </c>
      <c r="D908" cm="1">
        <f t="array" aca="1" ref="D908" ca="1">[1]!s_dq_amount($B$1,$A908)</f>
        <v>107781622</v>
      </c>
      <c r="E908" cm="1">
        <f t="array" aca="1" ref="E908" ca="1">[1]!s_dq_turn($B$1,$A908)</f>
        <v>0.42840434509907799</v>
      </c>
      <c r="F908" cm="1">
        <f t="array" aca="1" ref="F908" ca="1">[1]!s_val_pe_ttm($B$1,$A908)</f>
        <v>-110.69309234619099</v>
      </c>
    </row>
    <row r="909" spans="1:6">
      <c r="A909" s="23">
        <f t="shared" ref="A909:A972" ca="1" si="14">A908-1</f>
        <v>45266</v>
      </c>
      <c r="B909" cm="1">
        <f t="array" aca="1" ref="B909" ca="1">[1]!s_dq_close($B$1,$A909,3)</f>
        <v>28.2</v>
      </c>
      <c r="C909" cm="1">
        <f t="array" aca="1" ref="C909" ca="1">[1]!s_dq_volume($B$1,$A909)</f>
        <v>2691501</v>
      </c>
      <c r="D909" cm="1">
        <f t="array" aca="1" ref="D909" ca="1">[1]!s_dq_amount($B$1,$A909)</f>
        <v>76516003</v>
      </c>
      <c r="E909" cm="1">
        <f t="array" aca="1" ref="E909" ca="1">[1]!s_dq_turn($B$1,$A909)</f>
        <v>0.30895146091400399</v>
      </c>
      <c r="F909" cm="1">
        <f t="array" aca="1" ref="F909" ca="1">[1]!s_val_pe_ttm($B$1,$A909)</f>
        <v>-106.53737640380901</v>
      </c>
    </row>
    <row r="910" spans="1:6">
      <c r="A910" s="23">
        <f t="shared" ca="1" si="14"/>
        <v>45265</v>
      </c>
      <c r="B910" cm="1">
        <f t="array" aca="1" ref="B910" ca="1">[1]!s_dq_close($B$1,$A910,3)</f>
        <v>28.45</v>
      </c>
      <c r="C910" cm="1">
        <f t="array" aca="1" ref="C910" ca="1">[1]!s_dq_volume($B$1,$A910)</f>
        <v>2676500</v>
      </c>
      <c r="D910" cm="1">
        <f t="array" aca="1" ref="D910" ca="1">[1]!s_dq_amount($B$1,$A910)</f>
        <v>76237539</v>
      </c>
      <c r="E910" cm="1">
        <f t="array" aca="1" ref="E910" ca="1">[1]!s_dq_turn($B$1,$A910)</f>
        <v>0.30722952922415098</v>
      </c>
      <c r="F910" cm="1">
        <f t="array" aca="1" ref="F910" ca="1">[1]!s_val_pe_ttm($B$1,$A910)</f>
        <v>-107.481857299805</v>
      </c>
    </row>
    <row r="911" spans="1:6">
      <c r="A911" s="23">
        <f t="shared" ca="1" si="14"/>
        <v>45264</v>
      </c>
      <c r="B911" cm="1">
        <f t="array" aca="1" ref="B911" ca="1">[1]!s_dq_close($B$1,$A911,3)</f>
        <v>28.6</v>
      </c>
      <c r="C911" cm="1">
        <f t="array" aca="1" ref="C911" ca="1">[1]!s_dq_volume($B$1,$A911)</f>
        <v>4002661</v>
      </c>
      <c r="D911" cm="1">
        <f t="array" aca="1" ref="D911" ca="1">[1]!s_dq_amount($B$1,$A911)</f>
        <v>114297847</v>
      </c>
      <c r="E911" cm="1">
        <f t="array" aca="1" ref="E911" ca="1">[1]!s_dq_turn($B$1,$A911)</f>
        <v>0.45945662420096101</v>
      </c>
      <c r="F911" cm="1">
        <f t="array" aca="1" ref="F911" ca="1">[1]!s_val_pe_ttm($B$1,$A911)</f>
        <v>-108.048545837402</v>
      </c>
    </row>
    <row r="912" spans="1:6">
      <c r="A912" s="23">
        <f t="shared" ca="1" si="14"/>
        <v>45263</v>
      </c>
      <c r="B912" cm="1">
        <f t="array" aca="1" ref="B912" ca="1">[1]!s_dq_close($B$1,$A912,3)</f>
        <v>29.35</v>
      </c>
      <c r="C912" cm="1">
        <f t="array" aca="1" ref="C912" ca="1">[1]!s_dq_volume($B$1,$A912)</f>
        <v>0</v>
      </c>
      <c r="D912" cm="1">
        <f t="array" aca="1" ref="D912" ca="1">[1]!s_dq_amount($B$1,$A912)</f>
        <v>0</v>
      </c>
      <c r="E912" cm="1">
        <f t="array" aca="1" ref="E912" ca="1">[1]!s_dq_turn($B$1,$A912)</f>
        <v>0</v>
      </c>
      <c r="F912" cm="1">
        <f t="array" aca="1" ref="F912" ca="1">[1]!s_val_pe_ttm($B$1,$A912)</f>
        <v>-110.88198852539099</v>
      </c>
    </row>
    <row r="913" spans="1:6">
      <c r="A913" s="23">
        <f t="shared" ca="1" si="14"/>
        <v>45262</v>
      </c>
      <c r="B913" cm="1">
        <f t="array" aca="1" ref="B913" ca="1">[1]!s_dq_close($B$1,$A913,3)</f>
        <v>29.35</v>
      </c>
      <c r="C913" cm="1">
        <f t="array" aca="1" ref="C913" ca="1">[1]!s_dq_volume($B$1,$A913)</f>
        <v>0</v>
      </c>
      <c r="D913" cm="1">
        <f t="array" aca="1" ref="D913" ca="1">[1]!s_dq_amount($B$1,$A913)</f>
        <v>0</v>
      </c>
      <c r="E913" cm="1">
        <f t="array" aca="1" ref="E913" ca="1">[1]!s_dq_turn($B$1,$A913)</f>
        <v>0</v>
      </c>
      <c r="F913" cm="1">
        <f t="array" aca="1" ref="F913" ca="1">[1]!s_val_pe_ttm($B$1,$A913)</f>
        <v>-110.88198852539099</v>
      </c>
    </row>
    <row r="914" spans="1:6">
      <c r="A914" s="23">
        <f t="shared" ca="1" si="14"/>
        <v>45261</v>
      </c>
      <c r="B914" cm="1">
        <f t="array" aca="1" ref="B914" ca="1">[1]!s_dq_close($B$1,$A914,3)</f>
        <v>29.35</v>
      </c>
      <c r="C914" cm="1">
        <f t="array" aca="1" ref="C914" ca="1">[1]!s_dq_volume($B$1,$A914)</f>
        <v>2200835</v>
      </c>
      <c r="D914" cm="1">
        <f t="array" aca="1" ref="D914" ca="1">[1]!s_dq_amount($B$1,$A914)</f>
        <v>65559679</v>
      </c>
      <c r="E914" cm="1">
        <f t="array" aca="1" ref="E914" ca="1">[1]!s_dq_turn($B$1,$A914)</f>
        <v>0.25262899344294198</v>
      </c>
      <c r="F914" cm="1">
        <f t="array" aca="1" ref="F914" ca="1">[1]!s_val_pe_ttm($B$1,$A914)</f>
        <v>-110.88198852539099</v>
      </c>
    </row>
    <row r="915" spans="1:6">
      <c r="A915" s="23">
        <f t="shared" ca="1" si="14"/>
        <v>45260</v>
      </c>
      <c r="B915" cm="1">
        <f t="array" aca="1" ref="B915" ca="1">[1]!s_dq_close($B$1,$A915,3)</f>
        <v>30.2</v>
      </c>
      <c r="C915" cm="1">
        <f t="array" aca="1" ref="C915" ca="1">[1]!s_dq_volume($B$1,$A915)</f>
        <v>4189285</v>
      </c>
      <c r="D915" cm="1">
        <f t="array" aca="1" ref="D915" ca="1">[1]!s_dq_amount($B$1,$A915)</f>
        <v>126267812</v>
      </c>
      <c r="E915" cm="1">
        <f t="array" aca="1" ref="E915" ca="1">[1]!s_dq_turn($B$1,$A915)</f>
        <v>0.48087878136962398</v>
      </c>
      <c r="F915" cm="1">
        <f t="array" aca="1" ref="F915" ca="1">[1]!s_val_pe_ttm($B$1,$A915)</f>
        <v>-114.075302124023</v>
      </c>
    </row>
    <row r="916" spans="1:6">
      <c r="A916" s="23">
        <f t="shared" ca="1" si="14"/>
        <v>45259</v>
      </c>
      <c r="B916" cm="1">
        <f t="array" aca="1" ref="B916" ca="1">[1]!s_dq_close($B$1,$A916,3)</f>
        <v>29.9</v>
      </c>
      <c r="C916" cm="1">
        <f t="array" aca="1" ref="C916" ca="1">[1]!s_dq_volume($B$1,$A916)</f>
        <v>2757839</v>
      </c>
      <c r="D916" cm="1">
        <f t="array" aca="1" ref="D916" ca="1">[1]!s_dq_amount($B$1,$A916)</f>
        <v>83219177</v>
      </c>
      <c r="E916" cm="1">
        <f t="array" aca="1" ref="E916" ca="1">[1]!s_dq_turn($B$1,$A916)</f>
        <v>0.31661598257357798</v>
      </c>
      <c r="F916" cm="1">
        <f t="array" aca="1" ref="F916" ca="1">[1]!s_val_pe_ttm($B$1,$A916)</f>
        <v>-112.942100524902</v>
      </c>
    </row>
    <row r="917" spans="1:6">
      <c r="A917" s="23">
        <f t="shared" ca="1" si="14"/>
        <v>45258</v>
      </c>
      <c r="B917" cm="1">
        <f t="array" aca="1" ref="B917" ca="1">[1]!s_dq_close($B$1,$A917,3)</f>
        <v>30.7</v>
      </c>
      <c r="C917" cm="1">
        <f t="array" aca="1" ref="C917" ca="1">[1]!s_dq_volume($B$1,$A917)</f>
        <v>2329500</v>
      </c>
      <c r="D917" cm="1">
        <f t="array" aca="1" ref="D917" ca="1">[1]!s_dq_amount($B$1,$A917)</f>
        <v>71586212</v>
      </c>
      <c r="E917" cm="1">
        <f t="array" aca="1" ref="E917" ca="1">[1]!s_dq_turn($B$1,$A917)</f>
        <v>0.26744017014958099</v>
      </c>
      <c r="F917" cm="1">
        <f t="array" aca="1" ref="F917" ca="1">[1]!s_val_pe_ttm($B$1,$A917)</f>
        <v>-115.96396636962901</v>
      </c>
    </row>
    <row r="918" spans="1:6">
      <c r="A918" s="23">
        <f t="shared" ca="1" si="14"/>
        <v>45257</v>
      </c>
      <c r="B918" cm="1">
        <f t="array" aca="1" ref="B918" ca="1">[1]!s_dq_close($B$1,$A918,3)</f>
        <v>30.35</v>
      </c>
      <c r="C918" cm="1">
        <f t="array" aca="1" ref="C918" ca="1">[1]!s_dq_volume($B$1,$A918)</f>
        <v>2012000</v>
      </c>
      <c r="D918" cm="1">
        <f t="array" aca="1" ref="D918" ca="1">[1]!s_dq_amount($B$1,$A918)</f>
        <v>60427962</v>
      </c>
      <c r="E918" cm="1">
        <f t="array" aca="1" ref="E918" ca="1">[1]!s_dq_turn($B$1,$A918)</f>
        <v>0.23098932060139801</v>
      </c>
      <c r="F918" cm="1">
        <f t="array" aca="1" ref="F918" ca="1">[1]!s_val_pe_ttm($B$1,$A918)</f>
        <v>-114.641899108887</v>
      </c>
    </row>
    <row r="919" spans="1:6">
      <c r="A919" s="23">
        <f t="shared" ca="1" si="14"/>
        <v>45256</v>
      </c>
      <c r="B919" cm="1">
        <f t="array" aca="1" ref="B919" ca="1">[1]!s_dq_close($B$1,$A919,3)</f>
        <v>30.4</v>
      </c>
      <c r="C919" cm="1">
        <f t="array" aca="1" ref="C919" ca="1">[1]!s_dq_volume($B$1,$A919)</f>
        <v>0</v>
      </c>
      <c r="D919" cm="1">
        <f t="array" aca="1" ref="D919" ca="1">[1]!s_dq_amount($B$1,$A919)</f>
        <v>0</v>
      </c>
      <c r="E919" cm="1">
        <f t="array" aca="1" ref="E919" ca="1">[1]!s_dq_turn($B$1,$A919)</f>
        <v>0</v>
      </c>
      <c r="F919" cm="1">
        <f t="array" aca="1" ref="F919" ca="1">[1]!s_val_pe_ttm($B$1,$A919)</f>
        <v>-114.830764770508</v>
      </c>
    </row>
    <row r="920" spans="1:6">
      <c r="A920" s="23">
        <f t="shared" ca="1" si="14"/>
        <v>45255</v>
      </c>
      <c r="B920" cm="1">
        <f t="array" aca="1" ref="B920" ca="1">[1]!s_dq_close($B$1,$A920,3)</f>
        <v>30.4</v>
      </c>
      <c r="C920" cm="1">
        <f t="array" aca="1" ref="C920" ca="1">[1]!s_dq_volume($B$1,$A920)</f>
        <v>0</v>
      </c>
      <c r="D920" cm="1">
        <f t="array" aca="1" ref="D920" ca="1">[1]!s_dq_amount($B$1,$A920)</f>
        <v>0</v>
      </c>
      <c r="E920" cm="1">
        <f t="array" aca="1" ref="E920" ca="1">[1]!s_dq_turn($B$1,$A920)</f>
        <v>0</v>
      </c>
      <c r="F920" cm="1">
        <f t="array" aca="1" ref="F920" ca="1">[1]!s_val_pe_ttm($B$1,$A920)</f>
        <v>-114.830764770508</v>
      </c>
    </row>
    <row r="921" spans="1:6">
      <c r="A921" s="23">
        <f t="shared" ca="1" si="14"/>
        <v>45254</v>
      </c>
      <c r="B921" cm="1">
        <f t="array" aca="1" ref="B921" ca="1">[1]!s_dq_close($B$1,$A921,3)</f>
        <v>30.4</v>
      </c>
      <c r="C921" cm="1">
        <f t="array" aca="1" ref="C921" ca="1">[1]!s_dq_volume($B$1,$A921)</f>
        <v>3886800</v>
      </c>
      <c r="D921" cm="1">
        <f t="array" aca="1" ref="D921" ca="1">[1]!s_dq_amount($B$1,$A921)</f>
        <v>118915119</v>
      </c>
      <c r="E921" cm="1">
        <f t="array" aca="1" ref="E921" ca="1">[1]!s_dq_turn($B$1,$A921)</f>
        <v>0.44622728196496703</v>
      </c>
      <c r="F921" cm="1">
        <f t="array" aca="1" ref="F921" ca="1">[1]!s_val_pe_ttm($B$1,$A921)</f>
        <v>-114.830764770508</v>
      </c>
    </row>
    <row r="922" spans="1:6">
      <c r="A922" s="23">
        <f t="shared" ca="1" si="14"/>
        <v>45253</v>
      </c>
      <c r="B922" cm="1">
        <f t="array" aca="1" ref="B922" ca="1">[1]!s_dq_close($B$1,$A922,3)</f>
        <v>30.15</v>
      </c>
      <c r="C922" cm="1">
        <f t="array" aca="1" ref="C922" ca="1">[1]!s_dq_volume($B$1,$A922)</f>
        <v>3768000</v>
      </c>
      <c r="D922" cm="1">
        <f t="array" aca="1" ref="D922" ca="1">[1]!s_dq_amount($B$1,$A922)</f>
        <v>112469725</v>
      </c>
      <c r="E922" cm="1">
        <f t="array" aca="1" ref="E922" ca="1">[1]!s_dq_turn($B$1,$A922)</f>
        <v>0.43258834991355199</v>
      </c>
      <c r="F922" cm="1">
        <f t="array" aca="1" ref="F922" ca="1">[1]!s_val_pe_ttm($B$1,$A922)</f>
        <v>-113.886436462402</v>
      </c>
    </row>
    <row r="923" spans="1:6">
      <c r="A923" s="23">
        <f t="shared" ca="1" si="14"/>
        <v>45252</v>
      </c>
      <c r="B923" cm="1">
        <f t="array" aca="1" ref="B923" ca="1">[1]!s_dq_close($B$1,$A923,3)</f>
        <v>28.75</v>
      </c>
      <c r="C923" cm="1">
        <f t="array" aca="1" ref="C923" ca="1">[1]!s_dq_volume($B$1,$A923)</f>
        <v>1108500</v>
      </c>
      <c r="D923" cm="1">
        <f t="array" aca="1" ref="D923" ca="1">[1]!s_dq_amount($B$1,$A923)</f>
        <v>31946978</v>
      </c>
      <c r="E923" cm="1">
        <f t="array" aca="1" ref="E923" ca="1">[1]!s_dq_turn($B$1,$A923)</f>
        <v>0.12726225739893099</v>
      </c>
      <c r="F923" cm="1">
        <f t="array" aca="1" ref="F923" ca="1">[1]!s_val_pe_ttm($B$1,$A923)</f>
        <v>-108.598175048828</v>
      </c>
    </row>
    <row r="924" spans="1:6">
      <c r="A924" s="23">
        <f t="shared" ca="1" si="14"/>
        <v>45251</v>
      </c>
      <c r="B924" cm="1">
        <f t="array" aca="1" ref="B924" ca="1">[1]!s_dq_close($B$1,$A924,3)</f>
        <v>28.85</v>
      </c>
      <c r="C924" cm="1">
        <f t="array" aca="1" ref="C924" ca="1">[1]!s_dq_volume($B$1,$A924)</f>
        <v>2889900</v>
      </c>
      <c r="D924" cm="1">
        <f t="array" aca="1" ref="D924" ca="1">[1]!s_dq_amount($B$1,$A924)</f>
        <v>83231702</v>
      </c>
      <c r="E924" cm="1">
        <f t="array" aca="1" ref="E924" ca="1">[1]!s_dq_turn($B$1,$A924)</f>
        <v>0.33177735467494002</v>
      </c>
      <c r="F924" cm="1">
        <f t="array" aca="1" ref="F924" ca="1">[1]!s_val_pe_ttm($B$1,$A924)</f>
        <v>-108.97590637207</v>
      </c>
    </row>
    <row r="925" spans="1:6">
      <c r="A925" s="23">
        <f t="shared" ca="1" si="14"/>
        <v>45250</v>
      </c>
      <c r="B925" cm="1">
        <f t="array" aca="1" ref="B925" ca="1">[1]!s_dq_close($B$1,$A925,3)</f>
        <v>29.1</v>
      </c>
      <c r="C925" cm="1">
        <f t="array" aca="1" ref="C925" ca="1">[1]!s_dq_volume($B$1,$A925)</f>
        <v>3582000</v>
      </c>
      <c r="D925" cm="1">
        <f t="array" aca="1" ref="D925" ca="1">[1]!s_dq_amount($B$1,$A925)</f>
        <v>103862304</v>
      </c>
      <c r="E925" cm="1">
        <f t="array" aca="1" ref="E925" ca="1">[1]!s_dq_turn($B$1,$A925)</f>
        <v>0.41123446639871097</v>
      </c>
      <c r="F925" cm="1">
        <f t="array" aca="1" ref="F925" ca="1">[1]!s_val_pe_ttm($B$1,$A925)</f>
        <v>-109.92024230957</v>
      </c>
    </row>
    <row r="926" spans="1:6">
      <c r="A926" s="23">
        <f t="shared" ca="1" si="14"/>
        <v>45249</v>
      </c>
      <c r="B926" cm="1">
        <f t="array" aca="1" ref="B926" ca="1">[1]!s_dq_close($B$1,$A926,3)</f>
        <v>29.15</v>
      </c>
      <c r="C926" cm="1">
        <f t="array" aca="1" ref="C926" ca="1">[1]!s_dq_volume($B$1,$A926)</f>
        <v>0</v>
      </c>
      <c r="D926" cm="1">
        <f t="array" aca="1" ref="D926" ca="1">[1]!s_dq_amount($B$1,$A926)</f>
        <v>0</v>
      </c>
      <c r="E926" cm="1">
        <f t="array" aca="1" ref="E926" ca="1">[1]!s_dq_turn($B$1,$A926)</f>
        <v>0</v>
      </c>
      <c r="F926" cm="1">
        <f t="array" aca="1" ref="F926" ca="1">[1]!s_val_pe_ttm($B$1,$A926)</f>
        <v>-110.10910797119099</v>
      </c>
    </row>
    <row r="927" spans="1:6">
      <c r="A927" s="23">
        <f t="shared" ca="1" si="14"/>
        <v>45248</v>
      </c>
      <c r="B927" cm="1">
        <f t="array" aca="1" ref="B927" ca="1">[1]!s_dq_close($B$1,$A927,3)</f>
        <v>29.15</v>
      </c>
      <c r="C927" cm="1">
        <f t="array" aca="1" ref="C927" ca="1">[1]!s_dq_volume($B$1,$A927)</f>
        <v>0</v>
      </c>
      <c r="D927" cm="1">
        <f t="array" aca="1" ref="D927" ca="1">[1]!s_dq_amount($B$1,$A927)</f>
        <v>0</v>
      </c>
      <c r="E927" cm="1">
        <f t="array" aca="1" ref="E927" ca="1">[1]!s_dq_turn($B$1,$A927)</f>
        <v>0</v>
      </c>
      <c r="F927" cm="1">
        <f t="array" aca="1" ref="F927" ca="1">[1]!s_val_pe_ttm($B$1,$A927)</f>
        <v>-110.10910797119099</v>
      </c>
    </row>
    <row r="928" spans="1:6">
      <c r="A928" s="23">
        <f t="shared" ca="1" si="14"/>
        <v>45247</v>
      </c>
      <c r="B928" cm="1">
        <f t="array" aca="1" ref="B928" ca="1">[1]!s_dq_close($B$1,$A928,3)</f>
        <v>29.15</v>
      </c>
      <c r="C928" cm="1">
        <f t="array" aca="1" ref="C928" ca="1">[1]!s_dq_volume($B$1,$A928)</f>
        <v>3249307</v>
      </c>
      <c r="D928" cm="1">
        <f t="array" aca="1" ref="D928" ca="1">[1]!s_dq_amount($B$1,$A928)</f>
        <v>93830399</v>
      </c>
      <c r="E928" cm="1">
        <f t="array" aca="1" ref="E928" ca="1">[1]!s_dq_turn($B$1,$A928)</f>
        <v>0.373039371946007</v>
      </c>
      <c r="F928" cm="1">
        <f t="array" aca="1" ref="F928" ca="1">[1]!s_val_pe_ttm($B$1,$A928)</f>
        <v>-110.10910797119099</v>
      </c>
    </row>
    <row r="929" spans="1:6">
      <c r="A929" s="23">
        <f t="shared" ca="1" si="14"/>
        <v>45246</v>
      </c>
      <c r="B929" cm="1">
        <f t="array" aca="1" ref="B929" ca="1">[1]!s_dq_close($B$1,$A929,3)</f>
        <v>28.3</v>
      </c>
      <c r="C929" cm="1">
        <f t="array" aca="1" ref="C929" ca="1">[1]!s_dq_volume($B$1,$A929)</f>
        <v>5917590</v>
      </c>
      <c r="D929" cm="1">
        <f t="array" aca="1" ref="D929" ca="1">[1]!s_dq_amount($B$1,$A929)</f>
        <v>166990691</v>
      </c>
      <c r="E929" cm="1">
        <f t="array" aca="1" ref="E929" ca="1">[1]!s_dq_turn($B$1,$A929)</f>
        <v>0.67937380402466496</v>
      </c>
      <c r="F929" cm="1">
        <f t="array" aca="1" ref="F929" ca="1">[1]!s_val_pe_ttm($B$1,$A929)</f>
        <v>-106.89837646484401</v>
      </c>
    </row>
    <row r="930" spans="1:6">
      <c r="A930" s="23">
        <f t="shared" ca="1" si="14"/>
        <v>45245</v>
      </c>
      <c r="B930" cm="1">
        <f t="array" aca="1" ref="B930" ca="1">[1]!s_dq_close($B$1,$A930,3)</f>
        <v>29.55</v>
      </c>
      <c r="C930" cm="1">
        <f t="array" aca="1" ref="C930" ca="1">[1]!s_dq_volume($B$1,$A930)</f>
        <v>6152000</v>
      </c>
      <c r="D930" cm="1">
        <f t="array" aca="1" ref="D930" ca="1">[1]!s_dq_amount($B$1,$A930)</f>
        <v>180563870</v>
      </c>
      <c r="E930" cm="1">
        <f t="array" aca="1" ref="E930" ca="1">[1]!s_dq_turn($B$1,$A930)</f>
        <v>0.70628543754463202</v>
      </c>
      <c r="F930" cm="1">
        <f t="array" aca="1" ref="F930" ca="1">[1]!s_val_pe_ttm($B$1,$A930)</f>
        <v>-111.620040893555</v>
      </c>
    </row>
    <row r="931" spans="1:6">
      <c r="A931" s="23">
        <f t="shared" ca="1" si="14"/>
        <v>45244</v>
      </c>
      <c r="B931" cm="1">
        <f t="array" aca="1" ref="B931" ca="1">[1]!s_dq_close($B$1,$A931,3)</f>
        <v>29.75</v>
      </c>
      <c r="C931" cm="1">
        <f t="array" aca="1" ref="C931" ca="1">[1]!s_dq_volume($B$1,$A931)</f>
        <v>3007500</v>
      </c>
      <c r="D931" cm="1">
        <f t="array" aca="1" ref="D931" ca="1">[1]!s_dq_amount($B$1,$A931)</f>
        <v>88932444</v>
      </c>
      <c r="E931" cm="1">
        <f t="array" aca="1" ref="E931" ca="1">[1]!s_dq_turn($B$1,$A931)</f>
        <v>0.34527851973593598</v>
      </c>
      <c r="F931" cm="1">
        <f t="array" aca="1" ref="F931" ca="1">[1]!s_val_pe_ttm($B$1,$A931)</f>
        <v>-112.37550354003901</v>
      </c>
    </row>
    <row r="932" spans="1:6">
      <c r="A932" s="23">
        <f t="shared" ca="1" si="14"/>
        <v>45243</v>
      </c>
      <c r="B932" cm="1">
        <f t="array" aca="1" ref="B932" ca="1">[1]!s_dq_close($B$1,$A932,3)</f>
        <v>29.4</v>
      </c>
      <c r="C932" cm="1">
        <f t="array" aca="1" ref="C932" ca="1">[1]!s_dq_volume($B$1,$A932)</f>
        <v>3903000</v>
      </c>
      <c r="D932" cm="1">
        <f t="array" aca="1" ref="D932" ca="1">[1]!s_dq_amount($B$1,$A932)</f>
        <v>114332111</v>
      </c>
      <c r="E932" cm="1">
        <f t="array" aca="1" ref="E932" ca="1">[1]!s_dq_turn($B$1,$A932)</f>
        <v>0.44808713633561398</v>
      </c>
      <c r="F932" cm="1">
        <f t="array" aca="1" ref="F932" ca="1">[1]!s_val_pe_ttm($B$1,$A932)</f>
        <v>-111.05344390869099</v>
      </c>
    </row>
    <row r="933" spans="1:6">
      <c r="A933" s="23">
        <f t="shared" ca="1" si="14"/>
        <v>45242</v>
      </c>
      <c r="B933" cm="1">
        <f t="array" aca="1" ref="B933" ca="1">[1]!s_dq_close($B$1,$A933,3)</f>
        <v>29.5</v>
      </c>
      <c r="C933" cm="1">
        <f t="array" aca="1" ref="C933" ca="1">[1]!s_dq_volume($B$1,$A933)</f>
        <v>0</v>
      </c>
      <c r="D933" cm="1">
        <f t="array" aca="1" ref="D933" ca="1">[1]!s_dq_amount($B$1,$A933)</f>
        <v>0</v>
      </c>
      <c r="E933" cm="1">
        <f t="array" aca="1" ref="E933" ca="1">[1]!s_dq_turn($B$1,$A933)</f>
        <v>0</v>
      </c>
      <c r="F933" cm="1">
        <f t="array" aca="1" ref="F933" ca="1">[1]!s_val_pe_ttm($B$1,$A933)</f>
        <v>-111.43117523193401</v>
      </c>
    </row>
    <row r="934" spans="1:6">
      <c r="A934" s="23">
        <f t="shared" ca="1" si="14"/>
        <v>45241</v>
      </c>
      <c r="B934" cm="1">
        <f t="array" aca="1" ref="B934" ca="1">[1]!s_dq_close($B$1,$A934,3)</f>
        <v>29.5</v>
      </c>
      <c r="C934" cm="1">
        <f t="array" aca="1" ref="C934" ca="1">[1]!s_dq_volume($B$1,$A934)</f>
        <v>0</v>
      </c>
      <c r="D934" cm="1">
        <f t="array" aca="1" ref="D934" ca="1">[1]!s_dq_amount($B$1,$A934)</f>
        <v>0</v>
      </c>
      <c r="E934" cm="1">
        <f t="array" aca="1" ref="E934" ca="1">[1]!s_dq_turn($B$1,$A934)</f>
        <v>0</v>
      </c>
      <c r="F934" cm="1">
        <f t="array" aca="1" ref="F934" ca="1">[1]!s_val_pe_ttm($B$1,$A934)</f>
        <v>-111.43117523193401</v>
      </c>
    </row>
    <row r="935" spans="1:6">
      <c r="A935" s="23">
        <f t="shared" ca="1" si="14"/>
        <v>45240</v>
      </c>
      <c r="B935" cm="1">
        <f t="array" aca="1" ref="B935" ca="1">[1]!s_dq_close($B$1,$A935,3)</f>
        <v>29.5</v>
      </c>
      <c r="C935" cm="1">
        <f t="array" aca="1" ref="C935" ca="1">[1]!s_dq_volume($B$1,$A935)</f>
        <v>4920323</v>
      </c>
      <c r="D935" cm="1">
        <f t="array" aca="1" ref="D935" ca="1">[1]!s_dq_amount($B$1,$A935)</f>
        <v>142894106</v>
      </c>
      <c r="E935" cm="1">
        <f t="array" aca="1" ref="E935" ca="1">[1]!s_dq_turn($B$1,$A935)</f>
        <v>0.56488174299673599</v>
      </c>
      <c r="F935" cm="1">
        <f t="array" aca="1" ref="F935" ca="1">[1]!s_val_pe_ttm($B$1,$A935)</f>
        <v>-111.43117523193401</v>
      </c>
    </row>
    <row r="936" spans="1:6">
      <c r="A936" s="23">
        <f t="shared" ca="1" si="14"/>
        <v>45239</v>
      </c>
      <c r="B936" cm="1">
        <f t="array" aca="1" ref="B936" ca="1">[1]!s_dq_close($B$1,$A936,3)</f>
        <v>29.45</v>
      </c>
      <c r="C936" cm="1">
        <f t="array" aca="1" ref="C936" ca="1">[1]!s_dq_volume($B$1,$A936)</f>
        <v>10352412</v>
      </c>
      <c r="D936" cm="1">
        <f t="array" aca="1" ref="D936" ca="1">[1]!s_dq_amount($B$1,$A936)</f>
        <v>309268873</v>
      </c>
      <c r="E936" cm="1">
        <f t="array" aca="1" ref="E936" ca="1">[1]!s_dq_turn($B$1,$A936)</f>
        <v>1.1885172040088301</v>
      </c>
      <c r="F936" cm="1">
        <f t="array" aca="1" ref="F936" ca="1">[1]!s_val_pe_ttm($B$1,$A936)</f>
        <v>-111.242309570312</v>
      </c>
    </row>
    <row r="937" spans="1:6">
      <c r="A937" s="23">
        <f t="shared" ca="1" si="14"/>
        <v>45238</v>
      </c>
      <c r="B937" cm="1">
        <f t="array" aca="1" ref="B937" ca="1">[1]!s_dq_close($B$1,$A937,3)</f>
        <v>31</v>
      </c>
      <c r="C937" cm="1">
        <f t="array" aca="1" ref="C937" ca="1">[1]!s_dq_volume($B$1,$A937)</f>
        <v>4486000</v>
      </c>
      <c r="D937" cm="1">
        <f t="array" aca="1" ref="D937" ca="1">[1]!s_dq_amount($B$1,$A937)</f>
        <v>142228612</v>
      </c>
      <c r="E937" cm="1">
        <f t="array" aca="1" ref="E937" ca="1">[1]!s_dq_turn($B$1,$A937)</f>
        <v>0.515018932513852</v>
      </c>
      <c r="F937" cm="1">
        <f t="array" aca="1" ref="F937" ca="1">[1]!s_val_pe_ttm($B$1,$A937)</f>
        <v>-117.09716796875</v>
      </c>
    </row>
    <row r="938" spans="1:6">
      <c r="A938" s="23">
        <f t="shared" ca="1" si="14"/>
        <v>45237</v>
      </c>
      <c r="B938" cm="1">
        <f t="array" aca="1" ref="B938" ca="1">[1]!s_dq_close($B$1,$A938,3)</f>
        <v>31.65</v>
      </c>
      <c r="C938" cm="1">
        <f t="array" aca="1" ref="C938" ca="1">[1]!s_dq_volume($B$1,$A938)</f>
        <v>4716547</v>
      </c>
      <c r="D938" cm="1">
        <f t="array" aca="1" ref="D938" ca="1">[1]!s_dq_amount($B$1,$A938)</f>
        <v>148138439</v>
      </c>
      <c r="E938" cm="1">
        <f t="array" aca="1" ref="E938" ca="1">[1]!s_dq_turn($B$1,$A938)</f>
        <v>0.54148707113049799</v>
      </c>
      <c r="F938" cm="1">
        <f t="array" aca="1" ref="F938" ca="1">[1]!s_val_pe_ttm($B$1,$A938)</f>
        <v>-119.55242919921901</v>
      </c>
    </row>
    <row r="939" spans="1:6">
      <c r="A939" s="23">
        <f t="shared" ca="1" si="14"/>
        <v>45236</v>
      </c>
      <c r="B939" cm="1">
        <f t="array" aca="1" ref="B939" ca="1">[1]!s_dq_close($B$1,$A939,3)</f>
        <v>32</v>
      </c>
      <c r="C939" cm="1">
        <f t="array" aca="1" ref="C939" ca="1">[1]!s_dq_volume($B$1,$A939)</f>
        <v>4867600</v>
      </c>
      <c r="D939" cm="1">
        <f t="array" aca="1" ref="D939" ca="1">[1]!s_dq_amount($B$1,$A939)</f>
        <v>158781435</v>
      </c>
      <c r="E939" cm="1">
        <f t="array" aca="1" ref="E939" ca="1">[1]!s_dq_turn($B$1,$A939)</f>
        <v>0.558828835466881</v>
      </c>
      <c r="F939" cm="1">
        <f t="array" aca="1" ref="F939" ca="1">[1]!s_val_pe_ttm($B$1,$A939)</f>
        <v>-120.87449645996099</v>
      </c>
    </row>
    <row r="940" spans="1:6">
      <c r="A940" s="23">
        <f t="shared" ca="1" si="14"/>
        <v>45235</v>
      </c>
      <c r="B940" cm="1">
        <f t="array" aca="1" ref="B940" ca="1">[1]!s_dq_close($B$1,$A940,3)</f>
        <v>31.65</v>
      </c>
      <c r="C940" cm="1">
        <f t="array" aca="1" ref="C940" ca="1">[1]!s_dq_volume($B$1,$A940)</f>
        <v>0</v>
      </c>
      <c r="D940" cm="1">
        <f t="array" aca="1" ref="D940" ca="1">[1]!s_dq_amount($B$1,$A940)</f>
        <v>0</v>
      </c>
      <c r="E940" cm="1">
        <f t="array" aca="1" ref="E940" ca="1">[1]!s_dq_turn($B$1,$A940)</f>
        <v>0</v>
      </c>
      <c r="F940" cm="1">
        <f t="array" aca="1" ref="F940" ca="1">[1]!s_val_pe_ttm($B$1,$A940)</f>
        <v>-119.55242919921901</v>
      </c>
    </row>
    <row r="941" spans="1:6">
      <c r="A941" s="23">
        <f t="shared" ca="1" si="14"/>
        <v>45234</v>
      </c>
      <c r="B941" cm="1">
        <f t="array" aca="1" ref="B941" ca="1">[1]!s_dq_close($B$1,$A941,3)</f>
        <v>31.65</v>
      </c>
      <c r="C941" cm="1">
        <f t="array" aca="1" ref="C941" ca="1">[1]!s_dq_volume($B$1,$A941)</f>
        <v>0</v>
      </c>
      <c r="D941" cm="1">
        <f t="array" aca="1" ref="D941" ca="1">[1]!s_dq_amount($B$1,$A941)</f>
        <v>0</v>
      </c>
      <c r="E941" cm="1">
        <f t="array" aca="1" ref="E941" ca="1">[1]!s_dq_turn($B$1,$A941)</f>
        <v>0</v>
      </c>
      <c r="F941" cm="1">
        <f t="array" aca="1" ref="F941" ca="1">[1]!s_val_pe_ttm($B$1,$A941)</f>
        <v>-119.55242919921901</v>
      </c>
    </row>
    <row r="942" spans="1:6">
      <c r="A942" s="23">
        <f t="shared" ca="1" si="14"/>
        <v>45233</v>
      </c>
      <c r="B942" cm="1">
        <f t="array" aca="1" ref="B942" ca="1">[1]!s_dq_close($B$1,$A942,3)</f>
        <v>31.65</v>
      </c>
      <c r="C942" cm="1">
        <f t="array" aca="1" ref="C942" ca="1">[1]!s_dq_volume($B$1,$A942)</f>
        <v>2157000</v>
      </c>
      <c r="D942" cm="1">
        <f t="array" aca="1" ref="D942" ca="1">[1]!s_dq_amount($B$1,$A942)</f>
        <v>67966215</v>
      </c>
      <c r="E942" cm="1">
        <f t="array" aca="1" ref="E942" ca="1">[1]!s_dq_turn($B$1,$A942)</f>
        <v>0.24763616527694601</v>
      </c>
      <c r="F942" cm="1">
        <f t="array" aca="1" ref="F942" ca="1">[1]!s_val_pe_ttm($B$1,$A942)</f>
        <v>-119.55242919921901</v>
      </c>
    </row>
    <row r="943" spans="1:6">
      <c r="A943" s="23">
        <f t="shared" ca="1" si="14"/>
        <v>45232</v>
      </c>
      <c r="B943" cm="1">
        <f t="array" aca="1" ref="B943" ca="1">[1]!s_dq_close($B$1,$A943,3)</f>
        <v>31.2</v>
      </c>
      <c r="C943" cm="1">
        <f t="array" aca="1" ref="C943" ca="1">[1]!s_dq_volume($B$1,$A943)</f>
        <v>3393000</v>
      </c>
      <c r="D943" cm="1">
        <f t="array" aca="1" ref="D943" ca="1">[1]!s_dq_amount($B$1,$A943)</f>
        <v>105757292</v>
      </c>
      <c r="E943" cm="1">
        <f t="array" aca="1" ref="E943" ca="1">[1]!s_dq_turn($B$1,$A943)</f>
        <v>0.38953616540782499</v>
      </c>
      <c r="F943" cm="1">
        <f t="array" aca="1" ref="F943" ca="1">[1]!s_val_pe_ttm($B$1,$A943)</f>
        <v>-117.85263061523401</v>
      </c>
    </row>
    <row r="944" spans="1:6">
      <c r="A944" s="23">
        <f t="shared" ca="1" si="14"/>
        <v>45231</v>
      </c>
      <c r="B944" cm="1">
        <f t="array" aca="1" ref="B944" ca="1">[1]!s_dq_close($B$1,$A944,3)</f>
        <v>31.35</v>
      </c>
      <c r="C944" cm="1">
        <f t="array" aca="1" ref="C944" ca="1">[1]!s_dq_volume($B$1,$A944)</f>
        <v>3665892</v>
      </c>
      <c r="D944" cm="1">
        <f t="array" aca="1" ref="D944" ca="1">[1]!s_dq_amount($B$1,$A944)</f>
        <v>114092918</v>
      </c>
      <c r="E944" cm="1">
        <f t="array" aca="1" ref="E944" ca="1">[1]!s_dq_turn($B$1,$A944)</f>
        <v>0.42086575669885701</v>
      </c>
      <c r="F944" cm="1">
        <f t="array" aca="1" ref="F944" ca="1">[1]!s_val_pe_ttm($B$1,$A944)</f>
        <v>-118.419227600098</v>
      </c>
    </row>
    <row r="945" spans="1:6">
      <c r="A945" s="23">
        <f t="shared" ca="1" si="14"/>
        <v>45230</v>
      </c>
      <c r="B945" cm="1">
        <f t="array" aca="1" ref="B945" ca="1">[1]!s_dq_close($B$1,$A945,3)</f>
        <v>31.4</v>
      </c>
      <c r="C945" cm="1">
        <f t="array" aca="1" ref="C945" ca="1">[1]!s_dq_volume($B$1,$A945)</f>
        <v>4903133</v>
      </c>
      <c r="D945" cm="1">
        <f t="array" aca="1" ref="D945" ca="1">[1]!s_dq_amount($B$1,$A945)</f>
        <v>157096011</v>
      </c>
      <c r="E945" cm="1">
        <f t="array" aca="1" ref="E945" ca="1">[1]!s_dq_turn($B$1,$A945)</f>
        <v>0.562908230858993</v>
      </c>
      <c r="F945" cm="1">
        <f t="array" aca="1" ref="F945" ca="1">[1]!s_val_pe_ttm($B$1,$A945)</f>
        <v>-118.60809326171901</v>
      </c>
    </row>
    <row r="946" spans="1:6">
      <c r="A946" s="23">
        <f t="shared" ca="1" si="14"/>
        <v>45229</v>
      </c>
      <c r="B946" cm="1">
        <f t="array" aca="1" ref="B946" ca="1">[1]!s_dq_close($B$1,$A946,3)</f>
        <v>32.450000000000003</v>
      </c>
      <c r="C946" cm="1">
        <f t="array" aca="1" ref="C946" ca="1">[1]!s_dq_volume($B$1,$A946)</f>
        <v>5962912</v>
      </c>
      <c r="D946" cm="1">
        <f t="array" aca="1" ref="D946" ca="1">[1]!s_dq_amount($B$1,$A946)</f>
        <v>190936269</v>
      </c>
      <c r="E946" cm="1">
        <f t="array" aca="1" ref="E946" ca="1">[1]!s_dq_turn($B$1,$A946)</f>
        <v>0.684577033641115</v>
      </c>
      <c r="F946" cm="1">
        <f t="array" aca="1" ref="F946" ca="1">[1]!s_val_pe_ttm($B$1,$A946)</f>
        <v>-122.57428741455099</v>
      </c>
    </row>
    <row r="947" spans="1:6">
      <c r="A947" s="23">
        <f t="shared" ca="1" si="14"/>
        <v>45228</v>
      </c>
      <c r="B947" cm="1">
        <f t="array" aca="1" ref="B947" ca="1">[1]!s_dq_close($B$1,$A947,3)</f>
        <v>29.45</v>
      </c>
      <c r="C947" cm="1">
        <f t="array" aca="1" ref="C947" ca="1">[1]!s_dq_volume($B$1,$A947)</f>
        <v>0</v>
      </c>
      <c r="D947" cm="1">
        <f t="array" aca="1" ref="D947" ca="1">[1]!s_dq_amount($B$1,$A947)</f>
        <v>0</v>
      </c>
      <c r="E947" cm="1">
        <f t="array" aca="1" ref="E947" ca="1">[1]!s_dq_turn($B$1,$A947)</f>
        <v>0</v>
      </c>
      <c r="F947" cm="1">
        <f t="array" aca="1" ref="F947" ca="1">[1]!s_val_pe_ttm($B$1,$A947)</f>
        <v>-111.242309570312</v>
      </c>
    </row>
    <row r="948" spans="1:6">
      <c r="A948" s="23">
        <f t="shared" ca="1" si="14"/>
        <v>45227</v>
      </c>
      <c r="B948" cm="1">
        <f t="array" aca="1" ref="B948" ca="1">[1]!s_dq_close($B$1,$A948,3)</f>
        <v>29.45</v>
      </c>
      <c r="C948" cm="1">
        <f t="array" aca="1" ref="C948" ca="1">[1]!s_dq_volume($B$1,$A948)</f>
        <v>0</v>
      </c>
      <c r="D948" cm="1">
        <f t="array" aca="1" ref="D948" ca="1">[1]!s_dq_amount($B$1,$A948)</f>
        <v>0</v>
      </c>
      <c r="E948" cm="1">
        <f t="array" aca="1" ref="E948" ca="1">[1]!s_dq_turn($B$1,$A948)</f>
        <v>0</v>
      </c>
      <c r="F948" cm="1">
        <f t="array" aca="1" ref="F948" ca="1">[1]!s_val_pe_ttm($B$1,$A948)</f>
        <v>-111.242309570312</v>
      </c>
    </row>
    <row r="949" spans="1:6">
      <c r="A949" s="23">
        <f t="shared" ca="1" si="14"/>
        <v>45226</v>
      </c>
      <c r="B949" cm="1">
        <f t="array" aca="1" ref="B949" ca="1">[1]!s_dq_close($B$1,$A949,3)</f>
        <v>29.45</v>
      </c>
      <c r="C949" cm="1">
        <f t="array" aca="1" ref="C949" ca="1">[1]!s_dq_volume($B$1,$A949)</f>
        <v>3990578</v>
      </c>
      <c r="D949" cm="1">
        <f t="array" aca="1" ref="D949" ca="1">[1]!s_dq_amount($B$1,$A949)</f>
        <v>115493796</v>
      </c>
      <c r="E949" cm="1">
        <f t="array" aca="1" ref="E949" ca="1">[1]!s_dq_turn($B$1,$A949)</f>
        <v>0.45814160090799499</v>
      </c>
      <c r="F949" cm="1">
        <f t="array" aca="1" ref="F949" ca="1">[1]!s_val_pe_ttm($B$1,$A949)</f>
        <v>-111.242309570312</v>
      </c>
    </row>
    <row r="950" spans="1:6">
      <c r="A950" s="23">
        <f t="shared" ca="1" si="14"/>
        <v>45225</v>
      </c>
      <c r="B950" cm="1">
        <f t="array" aca="1" ref="B950" ca="1">[1]!s_dq_close($B$1,$A950,3)</f>
        <v>27.3</v>
      </c>
      <c r="C950" cm="1">
        <f t="array" aca="1" ref="C950" ca="1">[1]!s_dq_volume($B$1,$A950)</f>
        <v>2006000</v>
      </c>
      <c r="D950" cm="1">
        <f t="array" aca="1" ref="D950" ca="1">[1]!s_dq_amount($B$1,$A950)</f>
        <v>54639048</v>
      </c>
      <c r="E950" cm="1">
        <f t="array" aca="1" ref="E950" ca="1">[1]!s_dq_turn($B$1,$A950)</f>
        <v>0.230300485649306</v>
      </c>
      <c r="F950" cm="1">
        <f t="array" aca="1" ref="F950" ca="1">[1]!s_val_pe_ttm($B$1,$A950)</f>
        <v>-103.121047973633</v>
      </c>
    </row>
    <row r="951" spans="1:6">
      <c r="A951" s="23">
        <f t="shared" ca="1" si="14"/>
        <v>45224</v>
      </c>
      <c r="B951" cm="1">
        <f t="array" aca="1" ref="B951" ca="1">[1]!s_dq_close($B$1,$A951,3)</f>
        <v>27.7</v>
      </c>
      <c r="C951" cm="1">
        <f t="array" aca="1" ref="C951" ca="1">[1]!s_dq_volume($B$1,$A951)</f>
        <v>2748000</v>
      </c>
      <c r="D951" cm="1">
        <f t="array" aca="1" ref="D951" ca="1">[1]!s_dq_amount($B$1,$A951)</f>
        <v>76286378</v>
      </c>
      <c r="E951" cm="1">
        <f t="array" aca="1" ref="E951" ca="1">[1]!s_dq_turn($B$1,$A951)</f>
        <v>0.31548640805797301</v>
      </c>
      <c r="F951" cm="1">
        <f t="array" aca="1" ref="F951" ca="1">[1]!s_val_pe_ttm($B$1,$A951)</f>
        <v>-104.63198089599599</v>
      </c>
    </row>
    <row r="952" spans="1:6">
      <c r="A952" s="23">
        <f t="shared" ca="1" si="14"/>
        <v>45223</v>
      </c>
      <c r="B952" cm="1">
        <f t="array" aca="1" ref="B952" ca="1">[1]!s_dq_close($B$1,$A952,3)</f>
        <v>27.5</v>
      </c>
      <c r="C952" cm="1">
        <f t="array" aca="1" ref="C952" ca="1">[1]!s_dq_volume($B$1,$A952)</f>
        <v>3643376</v>
      </c>
      <c r="D952" cm="1">
        <f t="array" aca="1" ref="D952" ca="1">[1]!s_dq_amount($B$1,$A952)</f>
        <v>101385748</v>
      </c>
      <c r="E952" cm="1">
        <f t="array" aca="1" ref="E952" ca="1">[1]!s_dq_turn($B$1,$A952)</f>
        <v>0.418280788735307</v>
      </c>
      <c r="F952" cm="1">
        <f t="array" aca="1" ref="F952" ca="1">[1]!s_val_pe_ttm($B$1,$A952)</f>
        <v>-103.876518249512</v>
      </c>
    </row>
    <row r="953" spans="1:6">
      <c r="A953" s="23">
        <f t="shared" ca="1" si="14"/>
        <v>45222</v>
      </c>
      <c r="B953" cm="1">
        <f t="array" aca="1" ref="B953" ca="1">[1]!s_dq_close($B$1,$A953,3)</f>
        <v>27.05</v>
      </c>
      <c r="C953" cm="1">
        <f t="array" aca="1" ref="C953" ca="1">[1]!s_dq_volume($B$1,$A953)</f>
        <v>0</v>
      </c>
      <c r="D953" cm="1">
        <f t="array" aca="1" ref="D953" ca="1">[1]!s_dq_amount($B$1,$A953)</f>
        <v>0</v>
      </c>
      <c r="E953" cm="1">
        <f t="array" aca="1" ref="E953" ca="1">[1]!s_dq_turn($B$1,$A953)</f>
        <v>0</v>
      </c>
      <c r="F953" cm="1">
        <f t="array" aca="1" ref="F953" ca="1">[1]!s_val_pe_ttm($B$1,$A953)</f>
        <v>-102.176719665527</v>
      </c>
    </row>
    <row r="954" spans="1:6">
      <c r="A954" s="23">
        <f t="shared" ca="1" si="14"/>
        <v>45221</v>
      </c>
      <c r="B954" cm="1">
        <f t="array" aca="1" ref="B954" ca="1">[1]!s_dq_close($B$1,$A954,3)</f>
        <v>27.05</v>
      </c>
      <c r="C954" cm="1">
        <f t="array" aca="1" ref="C954" ca="1">[1]!s_dq_volume($B$1,$A954)</f>
        <v>0</v>
      </c>
      <c r="D954" cm="1">
        <f t="array" aca="1" ref="D954" ca="1">[1]!s_dq_amount($B$1,$A954)</f>
        <v>0</v>
      </c>
      <c r="E954" cm="1">
        <f t="array" aca="1" ref="E954" ca="1">[1]!s_dq_turn($B$1,$A954)</f>
        <v>0</v>
      </c>
      <c r="F954" cm="1">
        <f t="array" aca="1" ref="F954" ca="1">[1]!s_val_pe_ttm($B$1,$A954)</f>
        <v>-102.176719665527</v>
      </c>
    </row>
    <row r="955" spans="1:6">
      <c r="A955" s="23">
        <f t="shared" ca="1" si="14"/>
        <v>45220</v>
      </c>
      <c r="B955" cm="1">
        <f t="array" aca="1" ref="B955" ca="1">[1]!s_dq_close($B$1,$A955,3)</f>
        <v>27.05</v>
      </c>
      <c r="C955" cm="1">
        <f t="array" aca="1" ref="C955" ca="1">[1]!s_dq_volume($B$1,$A955)</f>
        <v>0</v>
      </c>
      <c r="D955" cm="1">
        <f t="array" aca="1" ref="D955" ca="1">[1]!s_dq_amount($B$1,$A955)</f>
        <v>0</v>
      </c>
      <c r="E955" cm="1">
        <f t="array" aca="1" ref="E955" ca="1">[1]!s_dq_turn($B$1,$A955)</f>
        <v>0</v>
      </c>
      <c r="F955" cm="1">
        <f t="array" aca="1" ref="F955" ca="1">[1]!s_val_pe_ttm($B$1,$A955)</f>
        <v>-102.176719665527</v>
      </c>
    </row>
    <row r="956" spans="1:6">
      <c r="A956" s="23">
        <f t="shared" ca="1" si="14"/>
        <v>45219</v>
      </c>
      <c r="B956" cm="1">
        <f t="array" aca="1" ref="B956" ca="1">[1]!s_dq_close($B$1,$A956,3)</f>
        <v>27.05</v>
      </c>
      <c r="C956" cm="1">
        <f t="array" aca="1" ref="C956" ca="1">[1]!s_dq_volume($B$1,$A956)</f>
        <v>1695500</v>
      </c>
      <c r="D956" cm="1">
        <f t="array" aca="1" ref="D956" ca="1">[1]!s_dq_amount($B$1,$A956)</f>
        <v>46095237</v>
      </c>
      <c r="E956" cm="1">
        <f t="array" aca="1" ref="E956" ca="1">[1]!s_dq_turn($B$1,$A956)</f>
        <v>0.19465327687856401</v>
      </c>
      <c r="F956" cm="1">
        <f t="array" aca="1" ref="F956" ca="1">[1]!s_val_pe_ttm($B$1,$A956)</f>
        <v>-102.176719665527</v>
      </c>
    </row>
    <row r="957" spans="1:6">
      <c r="A957" s="23">
        <f t="shared" ca="1" si="14"/>
        <v>45218</v>
      </c>
      <c r="B957" cm="1">
        <f t="array" aca="1" ref="B957" ca="1">[1]!s_dq_close($B$1,$A957,3)</f>
        <v>26.8</v>
      </c>
      <c r="C957" cm="1">
        <f t="array" aca="1" ref="C957" ca="1">[1]!s_dq_volume($B$1,$A957)</f>
        <v>3183700</v>
      </c>
      <c r="D957" cm="1">
        <f t="array" aca="1" ref="D957" ca="1">[1]!s_dq_amount($B$1,$A957)</f>
        <v>84995871</v>
      </c>
      <c r="E957" cm="1">
        <f t="array" aca="1" ref="E957" ca="1">[1]!s_dq_turn($B$1,$A957)</f>
        <v>0.36550730616236099</v>
      </c>
      <c r="F957" cm="1">
        <f t="array" aca="1" ref="F957" ca="1">[1]!s_val_pe_ttm($B$1,$A957)</f>
        <v>-101.232391357422</v>
      </c>
    </row>
    <row r="958" spans="1:6">
      <c r="A958" s="23">
        <f t="shared" ca="1" si="14"/>
        <v>45217</v>
      </c>
      <c r="B958" cm="1">
        <f t="array" aca="1" ref="B958" ca="1">[1]!s_dq_close($B$1,$A958,3)</f>
        <v>27.15</v>
      </c>
      <c r="C958" cm="1">
        <f t="array" aca="1" ref="C958" ca="1">[1]!s_dq_volume($B$1,$A958)</f>
        <v>5836441</v>
      </c>
      <c r="D958" cm="1">
        <f t="array" aca="1" ref="D958" ca="1">[1]!s_dq_amount($B$1,$A958)</f>
        <v>161465209</v>
      </c>
      <c r="E958" cm="1">
        <f t="array" aca="1" ref="E958" ca="1">[1]!s_dq_turn($B$1,$A958)</f>
        <v>0.67005742610345098</v>
      </c>
      <c r="F958" cm="1">
        <f t="array" aca="1" ref="F958" ca="1">[1]!s_val_pe_ttm($B$1,$A958)</f>
        <v>-102.55445098877</v>
      </c>
    </row>
    <row r="959" spans="1:6">
      <c r="A959" s="23">
        <f t="shared" ca="1" si="14"/>
        <v>45216</v>
      </c>
      <c r="B959" cm="1">
        <f t="array" aca="1" ref="B959" ca="1">[1]!s_dq_close($B$1,$A959,3)</f>
        <v>29</v>
      </c>
      <c r="C959" cm="1">
        <f t="array" aca="1" ref="C959" ca="1">[1]!s_dq_volume($B$1,$A959)</f>
        <v>1653300</v>
      </c>
      <c r="D959" cm="1">
        <f t="array" aca="1" ref="D959" ca="1">[1]!s_dq_amount($B$1,$A959)</f>
        <v>48090910</v>
      </c>
      <c r="E959" cm="1">
        <f t="array" aca="1" ref="E959" ca="1">[1]!s_dq_turn($B$1,$A959)</f>
        <v>0.18980847104885201</v>
      </c>
      <c r="F959" cm="1">
        <f t="array" aca="1" ref="F959" ca="1">[1]!s_val_pe_ttm($B$1,$A959)</f>
        <v>-109.542510986328</v>
      </c>
    </row>
    <row r="960" spans="1:6">
      <c r="A960" s="23">
        <f t="shared" ca="1" si="14"/>
        <v>45215</v>
      </c>
      <c r="B960" cm="1">
        <f t="array" aca="1" ref="B960" ca="1">[1]!s_dq_close($B$1,$A960,3)</f>
        <v>28.95</v>
      </c>
      <c r="C960" cm="1">
        <f t="array" aca="1" ref="C960" ca="1">[1]!s_dq_volume($B$1,$A960)</f>
        <v>4527020</v>
      </c>
      <c r="D960" cm="1">
        <f t="array" aca="1" ref="D960" ca="1">[1]!s_dq_amount($B$1,$A960)</f>
        <v>132319053</v>
      </c>
      <c r="E960" cm="1">
        <f t="array" aca="1" ref="E960" ca="1">[1]!s_dq_turn($B$1,$A960)</f>
        <v>0.51972826746965195</v>
      </c>
      <c r="F960" cm="1">
        <f t="array" aca="1" ref="F960" ca="1">[1]!s_val_pe_ttm($B$1,$A960)</f>
        <v>-109.353645324707</v>
      </c>
    </row>
    <row r="961" spans="1:6">
      <c r="A961" s="23">
        <f t="shared" ca="1" si="14"/>
        <v>45214</v>
      </c>
      <c r="B961" cm="1">
        <f t="array" aca="1" ref="B961" ca="1">[1]!s_dq_close($B$1,$A961,3)</f>
        <v>28.6</v>
      </c>
      <c r="C961" cm="1">
        <f t="array" aca="1" ref="C961" ca="1">[1]!s_dq_volume($B$1,$A961)</f>
        <v>0</v>
      </c>
      <c r="D961" cm="1">
        <f t="array" aca="1" ref="D961" ca="1">[1]!s_dq_amount($B$1,$A961)</f>
        <v>0</v>
      </c>
      <c r="E961" cm="1">
        <f t="array" aca="1" ref="E961" ca="1">[1]!s_dq_turn($B$1,$A961)</f>
        <v>0</v>
      </c>
      <c r="F961" cm="1">
        <f t="array" aca="1" ref="F961" ca="1">[1]!s_val_pe_ttm($B$1,$A961)</f>
        <v>-108.031578063965</v>
      </c>
    </row>
    <row r="962" spans="1:6">
      <c r="A962" s="23">
        <f t="shared" ca="1" si="14"/>
        <v>45213</v>
      </c>
      <c r="B962" cm="1">
        <f t="array" aca="1" ref="B962" ca="1">[1]!s_dq_close($B$1,$A962,3)</f>
        <v>28.6</v>
      </c>
      <c r="C962" cm="1">
        <f t="array" aca="1" ref="C962" ca="1">[1]!s_dq_volume($B$1,$A962)</f>
        <v>0</v>
      </c>
      <c r="D962" cm="1">
        <f t="array" aca="1" ref="D962" ca="1">[1]!s_dq_amount($B$1,$A962)</f>
        <v>0</v>
      </c>
      <c r="E962" cm="1">
        <f t="array" aca="1" ref="E962" ca="1">[1]!s_dq_turn($B$1,$A962)</f>
        <v>0</v>
      </c>
      <c r="F962" cm="1">
        <f t="array" aca="1" ref="F962" ca="1">[1]!s_val_pe_ttm($B$1,$A962)</f>
        <v>-108.031578063965</v>
      </c>
    </row>
    <row r="963" spans="1:6">
      <c r="A963" s="23">
        <f t="shared" ca="1" si="14"/>
        <v>45212</v>
      </c>
      <c r="B963" cm="1">
        <f t="array" aca="1" ref="B963" ca="1">[1]!s_dq_close($B$1,$A963,3)</f>
        <v>28.6</v>
      </c>
      <c r="C963" cm="1">
        <f t="array" aca="1" ref="C963" ca="1">[1]!s_dq_volume($B$1,$A963)</f>
        <v>5361692</v>
      </c>
      <c r="D963" cm="1">
        <f t="array" aca="1" ref="D963" ca="1">[1]!s_dq_amount($B$1,$A963)</f>
        <v>153147831</v>
      </c>
      <c r="E963" cm="1">
        <f t="array" aca="1" ref="E963" ca="1">[1]!s_dq_turn($B$1,$A963)</f>
        <v>0.61555347532502502</v>
      </c>
      <c r="F963" cm="1">
        <f t="array" aca="1" ref="F963" ca="1">[1]!s_val_pe_ttm($B$1,$A963)</f>
        <v>-108.031578063965</v>
      </c>
    </row>
    <row r="964" spans="1:6">
      <c r="A964" s="23">
        <f t="shared" ca="1" si="14"/>
        <v>45211</v>
      </c>
      <c r="B964" cm="1">
        <f t="array" aca="1" ref="B964" ca="1">[1]!s_dq_close($B$1,$A964,3)</f>
        <v>28.25</v>
      </c>
      <c r="C964" cm="1">
        <f t="array" aca="1" ref="C964" ca="1">[1]!s_dq_volume($B$1,$A964)</f>
        <v>6149140</v>
      </c>
      <c r="D964" cm="1">
        <f t="array" aca="1" ref="D964" ca="1">[1]!s_dq_amount($B$1,$A964)</f>
        <v>173749910</v>
      </c>
      <c r="E964" cm="1">
        <f t="array" aca="1" ref="E964" ca="1">[1]!s_dq_turn($B$1,$A964)</f>
        <v>0.705957092884135</v>
      </c>
      <c r="F964" cm="1">
        <f t="array" aca="1" ref="F964" ca="1">[1]!s_val_pe_ttm($B$1,$A964)</f>
        <v>-106.709510803223</v>
      </c>
    </row>
    <row r="965" spans="1:6">
      <c r="A965" s="23">
        <f t="shared" ca="1" si="14"/>
        <v>45210</v>
      </c>
      <c r="B965" cm="1">
        <f t="array" aca="1" ref="B965" ca="1">[1]!s_dq_close($B$1,$A965,3)</f>
        <v>26.6</v>
      </c>
      <c r="C965" cm="1">
        <f t="array" aca="1" ref="C965" ca="1">[1]!s_dq_volume($B$1,$A965)</f>
        <v>3721175</v>
      </c>
      <c r="D965" cm="1">
        <f t="array" aca="1" ref="D965" ca="1">[1]!s_dq_amount($B$1,$A965)</f>
        <v>99778761</v>
      </c>
      <c r="E965" cm="1">
        <f t="array" aca="1" ref="E965" ca="1">[1]!s_dq_turn($B$1,$A965)</f>
        <v>0.42721256714160399</v>
      </c>
      <c r="F965" cm="1">
        <f t="array" aca="1" ref="F965" ca="1">[1]!s_val_pe_ttm($B$1,$A965)</f>
        <v>-100.476921081543</v>
      </c>
    </row>
    <row r="966" spans="1:6">
      <c r="A966" s="23">
        <f t="shared" ca="1" si="14"/>
        <v>45209</v>
      </c>
      <c r="B966" cm="1">
        <f t="array" aca="1" ref="B966" ca="1">[1]!s_dq_close($B$1,$A966,3)</f>
        <v>25.45</v>
      </c>
      <c r="C966" cm="1">
        <f t="array" aca="1" ref="C966" ca="1">[1]!s_dq_volume($B$1,$A966)</f>
        <v>2921646</v>
      </c>
      <c r="D966" cm="1">
        <f t="array" aca="1" ref="D966" ca="1">[1]!s_dq_amount($B$1,$A966)</f>
        <v>76053404</v>
      </c>
      <c r="E966" cm="1">
        <f t="array" aca="1" ref="E966" ca="1">[1]!s_dq_turn($B$1,$A966)</f>
        <v>0.33542198040645699</v>
      </c>
      <c r="F966" cm="1">
        <f t="array" aca="1" ref="F966" ca="1">[1]!s_val_pe_ttm($B$1,$A966)</f>
        <v>-96.132995605468807</v>
      </c>
    </row>
    <row r="967" spans="1:6">
      <c r="A967" s="23">
        <f t="shared" ca="1" si="14"/>
        <v>45208</v>
      </c>
      <c r="B967" cm="1">
        <f t="array" aca="1" ref="B967" ca="1">[1]!s_dq_close($B$1,$A967,3)</f>
        <v>26.45</v>
      </c>
      <c r="C967" cm="1">
        <f t="array" aca="1" ref="C967" ca="1">[1]!s_dq_volume($B$1,$A967)</f>
        <v>1830500</v>
      </c>
      <c r="D967" cm="1">
        <f t="array" aca="1" ref="D967" ca="1">[1]!s_dq_amount($B$1,$A967)</f>
        <v>48414901</v>
      </c>
      <c r="E967" cm="1">
        <f t="array" aca="1" ref="E967" ca="1">[1]!s_dq_turn($B$1,$A967)</f>
        <v>0.210152063300626</v>
      </c>
      <c r="F967" cm="1">
        <f t="array" aca="1" ref="F967" ca="1">[1]!s_val_pe_ttm($B$1,$A967)</f>
        <v>-99.910324096679702</v>
      </c>
    </row>
    <row r="968" spans="1:6">
      <c r="A968" s="23">
        <f t="shared" ca="1" si="14"/>
        <v>45207</v>
      </c>
      <c r="B968" cm="1">
        <f t="array" aca="1" ref="B968" ca="1">[1]!s_dq_close($B$1,$A968,3)</f>
        <v>25.7</v>
      </c>
      <c r="C968" cm="1">
        <f t="array" aca="1" ref="C968" ca="1">[1]!s_dq_volume($B$1,$A968)</f>
        <v>0</v>
      </c>
      <c r="D968" cm="1">
        <f t="array" aca="1" ref="D968" ca="1">[1]!s_dq_amount($B$1,$A968)</f>
        <v>0</v>
      </c>
      <c r="E968" cm="1">
        <f t="array" aca="1" ref="E968" ca="1">[1]!s_dq_turn($B$1,$A968)</f>
        <v>0</v>
      </c>
      <c r="F968" cm="1">
        <f t="array" aca="1" ref="F968" ca="1">[1]!s_val_pe_ttm($B$1,$A968)</f>
        <v>-97.077323913574205</v>
      </c>
    </row>
    <row r="969" spans="1:6">
      <c r="A969" s="23">
        <f t="shared" ca="1" si="14"/>
        <v>45206</v>
      </c>
      <c r="B969" cm="1">
        <f t="array" aca="1" ref="B969" ca="1">[1]!s_dq_close($B$1,$A969,3)</f>
        <v>25.7</v>
      </c>
      <c r="C969" cm="1">
        <f t="array" aca="1" ref="C969" ca="1">[1]!s_dq_volume($B$1,$A969)</f>
        <v>0</v>
      </c>
      <c r="D969" cm="1">
        <f t="array" aca="1" ref="D969" ca="1">[1]!s_dq_amount($B$1,$A969)</f>
        <v>0</v>
      </c>
      <c r="E969" cm="1">
        <f t="array" aca="1" ref="E969" ca="1">[1]!s_dq_turn($B$1,$A969)</f>
        <v>0</v>
      </c>
      <c r="F969" cm="1">
        <f t="array" aca="1" ref="F969" ca="1">[1]!s_val_pe_ttm($B$1,$A969)</f>
        <v>-97.077323913574205</v>
      </c>
    </row>
    <row r="970" spans="1:6">
      <c r="A970" s="23">
        <f t="shared" ca="1" si="14"/>
        <v>45205</v>
      </c>
      <c r="B970" cm="1">
        <f t="array" aca="1" ref="B970" ca="1">[1]!s_dq_close($B$1,$A970,3)</f>
        <v>25.7</v>
      </c>
      <c r="C970" cm="1">
        <f t="array" aca="1" ref="C970" ca="1">[1]!s_dq_volume($B$1,$A970)</f>
        <v>548500</v>
      </c>
      <c r="D970" cm="1">
        <f t="array" aca="1" ref="D970" ca="1">[1]!s_dq_amount($B$1,$A970)</f>
        <v>14220338</v>
      </c>
      <c r="E970" cm="1">
        <f t="array" aca="1" ref="E970" ca="1">[1]!s_dq_turn($B$1,$A970)</f>
        <v>6.2970995203711105E-2</v>
      </c>
      <c r="F970" cm="1">
        <f t="array" aca="1" ref="F970" ca="1">[1]!s_val_pe_ttm($B$1,$A970)</f>
        <v>-97.077323913574205</v>
      </c>
    </row>
    <row r="971" spans="1:6">
      <c r="A971" s="23">
        <f t="shared" ca="1" si="14"/>
        <v>45204</v>
      </c>
      <c r="B971" cm="1">
        <f t="array" aca="1" ref="B971" ca="1">[1]!s_dq_close($B$1,$A971,3)</f>
        <v>25.65</v>
      </c>
      <c r="C971" cm="1">
        <f t="array" aca="1" ref="C971" ca="1">[1]!s_dq_volume($B$1,$A971)</f>
        <v>449000</v>
      </c>
      <c r="D971" cm="1">
        <f t="array" aca="1" ref="D971" ca="1">[1]!s_dq_amount($B$1,$A971)</f>
        <v>11557056</v>
      </c>
      <c r="E971" cm="1">
        <f t="array" aca="1" ref="E971" ca="1">[1]!s_dq_turn($B$1,$A971)</f>
        <v>5.15478155815247E-2</v>
      </c>
      <c r="F971" cm="1">
        <f t="array" aca="1" ref="F971" ca="1">[1]!s_val_pe_ttm($B$1,$A971)</f>
        <v>-96.888458251953097</v>
      </c>
    </row>
    <row r="972" spans="1:6">
      <c r="A972" s="23">
        <f t="shared" ca="1" si="14"/>
        <v>45203</v>
      </c>
      <c r="B972" cm="1">
        <f t="array" aca="1" ref="B972" ca="1">[1]!s_dq_close($B$1,$A972,3)</f>
        <v>25.7</v>
      </c>
      <c r="C972" cm="1">
        <f t="array" aca="1" ref="C972" ca="1">[1]!s_dq_volume($B$1,$A972)</f>
        <v>534000</v>
      </c>
      <c r="D972" cm="1">
        <f t="array" aca="1" ref="D972" ca="1">[1]!s_dq_amount($B$1,$A972)</f>
        <v>13736750</v>
      </c>
      <c r="E972" cm="1">
        <f t="array" aca="1" ref="E972" ca="1">[1]!s_dq_turn($B$1,$A972)</f>
        <v>6.1306310736156298E-2</v>
      </c>
      <c r="F972" cm="1">
        <f t="array" aca="1" ref="F972" ca="1">[1]!s_val_pe_ttm($B$1,$A972)</f>
        <v>-97.077323913574205</v>
      </c>
    </row>
    <row r="973" spans="1:6">
      <c r="A973" s="23">
        <f t="shared" ref="A973:A1036" ca="1" si="15">A972-1</f>
        <v>45202</v>
      </c>
      <c r="B973" cm="1">
        <f t="array" aca="1" ref="B973" ca="1">[1]!s_dq_close($B$1,$A973,3)</f>
        <v>26.25</v>
      </c>
      <c r="C973" cm="1">
        <f t="array" aca="1" ref="C973" ca="1">[1]!s_dq_volume($B$1,$A973)</f>
        <v>520500</v>
      </c>
      <c r="D973" cm="1">
        <f t="array" aca="1" ref="D973" ca="1">[1]!s_dq_amount($B$1,$A973)</f>
        <v>13597875</v>
      </c>
      <c r="E973" cm="1">
        <f t="array" aca="1" ref="E973" ca="1">[1]!s_dq_turn($B$1,$A973)</f>
        <v>5.9756432093950103E-2</v>
      </c>
      <c r="F973" cm="1">
        <f t="array" aca="1" ref="F973" ca="1">[1]!s_val_pe_ttm($B$1,$A973)</f>
        <v>-99.154853820800795</v>
      </c>
    </row>
    <row r="974" spans="1:6">
      <c r="A974" s="23">
        <f t="shared" ca="1" si="15"/>
        <v>45201</v>
      </c>
      <c r="B974" cm="1">
        <f t="array" aca="1" ref="B974" ca="1">[1]!s_dq_close($B$1,$A974,3)</f>
        <v>26.65</v>
      </c>
      <c r="C974" cm="1">
        <f t="array" aca="1" ref="C974" ca="1">[1]!s_dq_volume($B$1,$A974)</f>
        <v>0</v>
      </c>
      <c r="D974" cm="1">
        <f t="array" aca="1" ref="D974" ca="1">[1]!s_dq_amount($B$1,$A974)</f>
        <v>0</v>
      </c>
      <c r="E974" cm="1">
        <f t="array" aca="1" ref="E974" ca="1">[1]!s_dq_turn($B$1,$A974)</f>
        <v>0</v>
      </c>
      <c r="F974" cm="1">
        <f t="array" aca="1" ref="F974" ca="1">[1]!s_val_pe_ttm($B$1,$A974)</f>
        <v>-100.66064453125</v>
      </c>
    </row>
    <row r="975" spans="1:6">
      <c r="A975" s="23">
        <f t="shared" ca="1" si="15"/>
        <v>45200</v>
      </c>
      <c r="B975" cm="1">
        <f t="array" aca="1" ref="B975" ca="1">[1]!s_dq_close($B$1,$A975,3)</f>
        <v>26.65</v>
      </c>
      <c r="C975" cm="1">
        <f t="array" aca="1" ref="C975" ca="1">[1]!s_dq_volume($B$1,$A975)</f>
        <v>0</v>
      </c>
      <c r="D975" cm="1">
        <f t="array" aca="1" ref="D975" ca="1">[1]!s_dq_amount($B$1,$A975)</f>
        <v>0</v>
      </c>
      <c r="E975" cm="1">
        <f t="array" aca="1" ref="E975" ca="1">[1]!s_dq_turn($B$1,$A975)</f>
        <v>0</v>
      </c>
      <c r="F975" cm="1">
        <f t="array" aca="1" ref="F975" ca="1">[1]!s_val_pe_ttm($B$1,$A975)</f>
        <v>-100.66064453125</v>
      </c>
    </row>
    <row r="976" spans="1:6">
      <c r="A976" s="23">
        <f t="shared" ca="1" si="15"/>
        <v>45199</v>
      </c>
      <c r="B976" cm="1">
        <f t="array" aca="1" ref="B976" ca="1">[1]!s_dq_close($B$1,$A976,3)</f>
        <v>26.65</v>
      </c>
      <c r="C976" cm="1">
        <f t="array" aca="1" ref="C976" ca="1">[1]!s_dq_volume($B$1,$A976)</f>
        <v>0</v>
      </c>
      <c r="D976" cm="1">
        <f t="array" aca="1" ref="D976" ca="1">[1]!s_dq_amount($B$1,$A976)</f>
        <v>0</v>
      </c>
      <c r="E976" cm="1">
        <f t="array" aca="1" ref="E976" ca="1">[1]!s_dq_turn($B$1,$A976)</f>
        <v>0</v>
      </c>
      <c r="F976" cm="1">
        <f t="array" aca="1" ref="F976" ca="1">[1]!s_val_pe_ttm($B$1,$A976)</f>
        <v>-100.66064453125</v>
      </c>
    </row>
    <row r="977" spans="1:6">
      <c r="A977" s="23">
        <f t="shared" ca="1" si="15"/>
        <v>45198</v>
      </c>
      <c r="B977" cm="1">
        <f t="array" aca="1" ref="B977" ca="1">[1]!s_dq_close($B$1,$A977,3)</f>
        <v>26.65</v>
      </c>
      <c r="C977" cm="1">
        <f t="array" aca="1" ref="C977" ca="1">[1]!s_dq_volume($B$1,$A977)</f>
        <v>515000</v>
      </c>
      <c r="D977" cm="1">
        <f t="array" aca="1" ref="D977" ca="1">[1]!s_dq_amount($B$1,$A977)</f>
        <v>13770054</v>
      </c>
      <c r="E977" cm="1">
        <f t="array" aca="1" ref="E977" ca="1">[1]!s_dq_turn($B$1,$A977)</f>
        <v>5.9128020143022098E-2</v>
      </c>
      <c r="F977" cm="1">
        <f t="array" aca="1" ref="F977" ca="1">[1]!s_val_pe_ttm($B$1,$A977)</f>
        <v>-100.66064453125</v>
      </c>
    </row>
    <row r="978" spans="1:6">
      <c r="A978" s="23">
        <f t="shared" ca="1" si="15"/>
        <v>45197</v>
      </c>
      <c r="B978" cm="1">
        <f t="array" aca="1" ref="B978" ca="1">[1]!s_dq_close($B$1,$A978,3)</f>
        <v>26.85</v>
      </c>
      <c r="C978" cm="1">
        <f t="array" aca="1" ref="C978" ca="1">[1]!s_dq_volume($B$1,$A978)</f>
        <v>2555534</v>
      </c>
      <c r="D978" cm="1">
        <f t="array" aca="1" ref="D978" ca="1">[1]!s_dq_amount($B$1,$A978)</f>
        <v>68174093</v>
      </c>
      <c r="E978" cm="1">
        <f t="array" aca="1" ref="E978" ca="1">[1]!s_dq_turn($B$1,$A978)</f>
        <v>0.29340517636539398</v>
      </c>
      <c r="F978" cm="1">
        <f t="array" aca="1" ref="F978" ca="1">[1]!s_val_pe_ttm($B$1,$A978)</f>
        <v>-101.41607666015599</v>
      </c>
    </row>
    <row r="979" spans="1:6">
      <c r="A979" s="23">
        <f t="shared" ca="1" si="15"/>
        <v>45196</v>
      </c>
      <c r="B979" cm="1">
        <f t="array" aca="1" ref="B979" ca="1">[1]!s_dq_close($B$1,$A979,3)</f>
        <v>26.8</v>
      </c>
      <c r="C979" cm="1">
        <f t="array" aca="1" ref="C979" ca="1">[1]!s_dq_volume($B$1,$A979)</f>
        <v>4160282</v>
      </c>
      <c r="D979" cm="1">
        <f t="array" aca="1" ref="D979" ca="1">[1]!s_dq_amount($B$1,$A979)</f>
        <v>111214919</v>
      </c>
      <c r="E979" cm="1">
        <f t="array" aca="1" ref="E979" ca="1">[1]!s_dq_turn($B$1,$A979)</f>
        <v>0.47764900562456702</v>
      </c>
      <c r="F979" cm="1">
        <f t="array" aca="1" ref="F979" ca="1">[1]!s_val_pe_ttm($B$1,$A979)</f>
        <v>-101.22721862793</v>
      </c>
    </row>
    <row r="980" spans="1:6">
      <c r="A980" s="23">
        <f t="shared" ca="1" si="15"/>
        <v>45195</v>
      </c>
      <c r="B980" cm="1">
        <f t="array" aca="1" ref="B980" ca="1">[1]!s_dq_close($B$1,$A980,3)</f>
        <v>25.45</v>
      </c>
      <c r="C980" cm="1">
        <f t="array" aca="1" ref="C980" ca="1">[1]!s_dq_volume($B$1,$A980)</f>
        <v>1780024</v>
      </c>
      <c r="D980" cm="1">
        <f t="array" aca="1" ref="D980" ca="1">[1]!s_dq_amount($B$1,$A980)</f>
        <v>45869875</v>
      </c>
      <c r="E980" cm="1">
        <f t="array" aca="1" ref="E980" ca="1">[1]!s_dq_turn($B$1,$A980)</f>
        <v>0.20436756296517</v>
      </c>
      <c r="F980" cm="1">
        <f t="array" aca="1" ref="F980" ca="1">[1]!s_val_pe_ttm($B$1,$A980)</f>
        <v>-96.128082275390597</v>
      </c>
    </row>
    <row r="981" spans="1:6">
      <c r="A981" s="23">
        <f t="shared" ca="1" si="15"/>
        <v>45194</v>
      </c>
      <c r="B981" cm="1">
        <f t="array" aca="1" ref="B981" ca="1">[1]!s_dq_close($B$1,$A981,3)</f>
        <v>25.75</v>
      </c>
      <c r="C981" cm="1">
        <f t="array" aca="1" ref="C981" ca="1">[1]!s_dq_volume($B$1,$A981)</f>
        <v>2349000</v>
      </c>
      <c r="D981" cm="1">
        <f t="array" aca="1" ref="D981" ca="1">[1]!s_dq_amount($B$1,$A981)</f>
        <v>60420375</v>
      </c>
      <c r="E981" cm="1">
        <f t="array" aca="1" ref="E981" ca="1">[1]!s_dq_turn($B$1,$A981)</f>
        <v>0.26969265886594002</v>
      </c>
      <c r="F981" cm="1">
        <f t="array" aca="1" ref="F981" ca="1">[1]!s_val_pe_ttm($B$1,$A981)</f>
        <v>-97.261222839355497</v>
      </c>
    </row>
    <row r="982" spans="1:6">
      <c r="A982" s="23">
        <f t="shared" ca="1" si="15"/>
        <v>45193</v>
      </c>
      <c r="B982" cm="1">
        <f t="array" aca="1" ref="B982" ca="1">[1]!s_dq_close($B$1,$A982,3)</f>
        <v>25.05</v>
      </c>
      <c r="C982" cm="1">
        <f t="array" aca="1" ref="C982" ca="1">[1]!s_dq_volume($B$1,$A982)</f>
        <v>0</v>
      </c>
      <c r="D982" cm="1">
        <f t="array" aca="1" ref="D982" ca="1">[1]!s_dq_amount($B$1,$A982)</f>
        <v>0</v>
      </c>
      <c r="E982" cm="1">
        <f t="array" aca="1" ref="E982" ca="1">[1]!s_dq_turn($B$1,$A982)</f>
        <v>0</v>
      </c>
      <c r="F982" cm="1">
        <f t="array" aca="1" ref="F982" ca="1">[1]!s_val_pe_ttm($B$1,$A982)</f>
        <v>-94.617233276367202</v>
      </c>
    </row>
    <row r="983" spans="1:6">
      <c r="A983" s="23">
        <f t="shared" ca="1" si="15"/>
        <v>45192</v>
      </c>
      <c r="B983" cm="1">
        <f t="array" aca="1" ref="B983" ca="1">[1]!s_dq_close($B$1,$A983,3)</f>
        <v>25.05</v>
      </c>
      <c r="C983" cm="1">
        <f t="array" aca="1" ref="C983" ca="1">[1]!s_dq_volume($B$1,$A983)</f>
        <v>0</v>
      </c>
      <c r="D983" cm="1">
        <f t="array" aca="1" ref="D983" ca="1">[1]!s_dq_amount($B$1,$A983)</f>
        <v>0</v>
      </c>
      <c r="E983" cm="1">
        <f t="array" aca="1" ref="E983" ca="1">[1]!s_dq_turn($B$1,$A983)</f>
        <v>0</v>
      </c>
      <c r="F983" cm="1">
        <f t="array" aca="1" ref="F983" ca="1">[1]!s_val_pe_ttm($B$1,$A983)</f>
        <v>-94.617233276367202</v>
      </c>
    </row>
    <row r="984" spans="1:6">
      <c r="A984" s="23">
        <f t="shared" ca="1" si="15"/>
        <v>45191</v>
      </c>
      <c r="B984" cm="1">
        <f t="array" aca="1" ref="B984" ca="1">[1]!s_dq_close($B$1,$A984,3)</f>
        <v>25.05</v>
      </c>
      <c r="C984" cm="1">
        <f t="array" aca="1" ref="C984" ca="1">[1]!s_dq_volume($B$1,$A984)</f>
        <v>1744276</v>
      </c>
      <c r="D984" cm="1">
        <f t="array" aca="1" ref="D984" ca="1">[1]!s_dq_amount($B$1,$A984)</f>
        <v>43148386</v>
      </c>
      <c r="E984" cm="1">
        <f t="array" aca="1" ref="E984" ca="1">[1]!s_dq_turn($B$1,$A984)</f>
        <v>0.20026327468541699</v>
      </c>
      <c r="F984" cm="1">
        <f t="array" aca="1" ref="F984" ca="1">[1]!s_val_pe_ttm($B$1,$A984)</f>
        <v>-94.617233276367202</v>
      </c>
    </row>
    <row r="985" spans="1:6">
      <c r="A985" s="23">
        <f t="shared" ca="1" si="15"/>
        <v>45190</v>
      </c>
      <c r="B985" cm="1">
        <f t="array" aca="1" ref="B985" ca="1">[1]!s_dq_close($B$1,$A985,3)</f>
        <v>24.4</v>
      </c>
      <c r="C985" cm="1">
        <f t="array" aca="1" ref="C985" ca="1">[1]!s_dq_volume($B$1,$A985)</f>
        <v>1596600</v>
      </c>
      <c r="D985" cm="1">
        <f t="array" aca="1" ref="D985" ca="1">[1]!s_dq_amount($B$1,$A985)</f>
        <v>39095723</v>
      </c>
      <c r="E985" cm="1">
        <f t="array" aca="1" ref="E985" ca="1">[1]!s_dq_turn($B$1,$A985)</f>
        <v>0.18330834361232801</v>
      </c>
      <c r="F985" cm="1">
        <f t="array" aca="1" ref="F985" ca="1">[1]!s_val_pe_ttm($B$1,$A985)</f>
        <v>-92.162094116210895</v>
      </c>
    </row>
    <row r="986" spans="1:6">
      <c r="A986" s="23">
        <f t="shared" ca="1" si="15"/>
        <v>45189</v>
      </c>
      <c r="B986" cm="1">
        <f t="array" aca="1" ref="B986" ca="1">[1]!s_dq_close($B$1,$A986,3)</f>
        <v>24.85</v>
      </c>
      <c r="C986" cm="1">
        <f t="array" aca="1" ref="C986" ca="1">[1]!s_dq_volume($B$1,$A986)</f>
        <v>2828964</v>
      </c>
      <c r="D986" cm="1">
        <f t="array" aca="1" ref="D986" ca="1">[1]!s_dq_amount($B$1,$A986)</f>
        <v>71070865</v>
      </c>
      <c r="E986" cm="1">
        <f t="array" aca="1" ref="E986" ca="1">[1]!s_dq_turn($B$1,$A986)</f>
        <v>0.32479813665220197</v>
      </c>
      <c r="F986" cm="1">
        <f t="array" aca="1" ref="F986" ca="1">[1]!s_val_pe_ttm($B$1,$A986)</f>
        <v>-93.861801147460895</v>
      </c>
    </row>
    <row r="987" spans="1:6">
      <c r="A987" s="23">
        <f t="shared" ca="1" si="15"/>
        <v>45188</v>
      </c>
      <c r="B987" cm="1">
        <f t="array" aca="1" ref="B987" ca="1">[1]!s_dq_close($B$1,$A987,3)</f>
        <v>25.7</v>
      </c>
      <c r="C987" cm="1">
        <f t="array" aca="1" ref="C987" ca="1">[1]!s_dq_volume($B$1,$A987)</f>
        <v>2954614</v>
      </c>
      <c r="D987" cm="1">
        <f t="array" aca="1" ref="D987" ca="1">[1]!s_dq_amount($B$1,$A987)</f>
        <v>75699396</v>
      </c>
      <c r="E987" cm="1">
        <f t="array" aca="1" ref="E987" ca="1">[1]!s_dq_turn($B$1,$A987)</f>
        <v>0.33922422545020398</v>
      </c>
      <c r="F987" cm="1">
        <f t="array" aca="1" ref="F987" ca="1">[1]!s_val_pe_ttm($B$1,$A987)</f>
        <v>-97.072372436523395</v>
      </c>
    </row>
    <row r="988" spans="1:6">
      <c r="A988" s="23">
        <f t="shared" ca="1" si="15"/>
        <v>45187</v>
      </c>
      <c r="B988" cm="1">
        <f t="array" aca="1" ref="B988" ca="1">[1]!s_dq_close($B$1,$A988,3)</f>
        <v>25.5</v>
      </c>
      <c r="C988" cm="1">
        <f t="array" aca="1" ref="C988" ca="1">[1]!s_dq_volume($B$1,$A988)</f>
        <v>7482000</v>
      </c>
      <c r="D988" cm="1">
        <f t="array" aca="1" ref="D988" ca="1">[1]!s_dq_amount($B$1,$A988)</f>
        <v>189474399</v>
      </c>
      <c r="E988" cm="1">
        <f t="array" aca="1" ref="E988" ca="1">[1]!s_dq_turn($B$1,$A988)</f>
        <v>0.85902106157299196</v>
      </c>
      <c r="F988" cm="1">
        <f t="array" aca="1" ref="F988" ca="1">[1]!s_val_pe_ttm($B$1,$A988)</f>
        <v>-96.316940307617202</v>
      </c>
    </row>
    <row r="989" spans="1:6">
      <c r="A989" s="23">
        <f t="shared" ca="1" si="15"/>
        <v>45186</v>
      </c>
      <c r="B989" cm="1">
        <f t="array" aca="1" ref="B989" ca="1">[1]!s_dq_close($B$1,$A989,3)</f>
        <v>23.55</v>
      </c>
      <c r="C989" cm="1">
        <f t="array" aca="1" ref="C989" ca="1">[1]!s_dq_volume($B$1,$A989)</f>
        <v>0</v>
      </c>
      <c r="D989" cm="1">
        <f t="array" aca="1" ref="D989" ca="1">[1]!s_dq_amount($B$1,$A989)</f>
        <v>0</v>
      </c>
      <c r="E989" cm="1">
        <f t="array" aca="1" ref="E989" ca="1">[1]!s_dq_turn($B$1,$A989)</f>
        <v>0</v>
      </c>
      <c r="F989" cm="1">
        <f t="array" aca="1" ref="F989" ca="1">[1]!s_val_pe_ttm($B$1,$A989)</f>
        <v>-88.951530456542997</v>
      </c>
    </row>
    <row r="990" spans="1:6">
      <c r="A990" s="23">
        <f t="shared" ca="1" si="15"/>
        <v>45185</v>
      </c>
      <c r="B990" cm="1">
        <f t="array" aca="1" ref="B990" ca="1">[1]!s_dq_close($B$1,$A990,3)</f>
        <v>23.55</v>
      </c>
      <c r="C990" cm="1">
        <f t="array" aca="1" ref="C990" ca="1">[1]!s_dq_volume($B$1,$A990)</f>
        <v>0</v>
      </c>
      <c r="D990" cm="1">
        <f t="array" aca="1" ref="D990" ca="1">[1]!s_dq_amount($B$1,$A990)</f>
        <v>0</v>
      </c>
      <c r="E990" cm="1">
        <f t="array" aca="1" ref="E990" ca="1">[1]!s_dq_turn($B$1,$A990)</f>
        <v>0</v>
      </c>
      <c r="F990" cm="1">
        <f t="array" aca="1" ref="F990" ca="1">[1]!s_val_pe_ttm($B$1,$A990)</f>
        <v>-88.951530456542997</v>
      </c>
    </row>
    <row r="991" spans="1:6">
      <c r="A991" s="23">
        <f t="shared" ca="1" si="15"/>
        <v>45184</v>
      </c>
      <c r="B991" cm="1">
        <f t="array" aca="1" ref="B991" ca="1">[1]!s_dq_close($B$1,$A991,3)</f>
        <v>23.55</v>
      </c>
      <c r="C991" cm="1">
        <f t="array" aca="1" ref="C991" ca="1">[1]!s_dq_volume($B$1,$A991)</f>
        <v>3297500</v>
      </c>
      <c r="D991" cm="1">
        <f t="array" aca="1" ref="D991" ca="1">[1]!s_dq_amount($B$1,$A991)</f>
        <v>78657015</v>
      </c>
      <c r="E991" cm="1">
        <f t="array" aca="1" ref="E991" ca="1">[1]!s_dq_turn($B$1,$A991)</f>
        <v>0.37859154644973803</v>
      </c>
      <c r="F991" cm="1">
        <f t="array" aca="1" ref="F991" ca="1">[1]!s_val_pe_ttm($B$1,$A991)</f>
        <v>-88.951530456542997</v>
      </c>
    </row>
    <row r="992" spans="1:6">
      <c r="A992" s="23">
        <f t="shared" ca="1" si="15"/>
        <v>45183</v>
      </c>
      <c r="B992" cm="1">
        <f t="array" aca="1" ref="B992" ca="1">[1]!s_dq_close($B$1,$A992,3)</f>
        <v>23.4</v>
      </c>
      <c r="C992" cm="1">
        <f t="array" aca="1" ref="C992" ca="1">[1]!s_dq_volume($B$1,$A992)</f>
        <v>965300</v>
      </c>
      <c r="D992" cm="1">
        <f t="array" aca="1" ref="D992" ca="1">[1]!s_dq_amount($B$1,$A992)</f>
        <v>22606272</v>
      </c>
      <c r="E992" cm="1">
        <f t="array" aca="1" ref="E992" ca="1">[1]!s_dq_turn($B$1,$A992)</f>
        <v>0.110827723969047</v>
      </c>
      <c r="F992" cm="1">
        <f t="array" aca="1" ref="F992" ca="1">[1]!s_val_pe_ttm($B$1,$A992)</f>
        <v>-88.384956359863295</v>
      </c>
    </row>
    <row r="993" spans="1:6">
      <c r="A993" s="23">
        <f t="shared" ca="1" si="15"/>
        <v>45182</v>
      </c>
      <c r="B993" cm="1">
        <f t="array" aca="1" ref="B993" ca="1">[1]!s_dq_close($B$1,$A993,3)</f>
        <v>23.35</v>
      </c>
      <c r="C993" cm="1">
        <f t="array" aca="1" ref="C993" ca="1">[1]!s_dq_volume($B$1,$A993)</f>
        <v>853000</v>
      </c>
      <c r="D993" cm="1">
        <f t="array" aca="1" ref="D993" ca="1">[1]!s_dq_amount($B$1,$A993)</f>
        <v>19914750</v>
      </c>
      <c r="E993" cm="1">
        <f t="array" aca="1" ref="E993" ca="1">[1]!s_dq_turn($B$1,$A993)</f>
        <v>9.7934371227180197E-2</v>
      </c>
      <c r="F993" cm="1">
        <f t="array" aca="1" ref="F993" ca="1">[1]!s_val_pe_ttm($B$1,$A993)</f>
        <v>-88.196098327636705</v>
      </c>
    </row>
    <row r="994" spans="1:6">
      <c r="A994" s="23">
        <f t="shared" ca="1" si="15"/>
        <v>45181</v>
      </c>
      <c r="B994" cm="1">
        <f t="array" aca="1" ref="B994" ca="1">[1]!s_dq_close($B$1,$A994,3)</f>
        <v>23.8</v>
      </c>
      <c r="C994" cm="1">
        <f t="array" aca="1" ref="C994" ca="1">[1]!s_dq_volume($B$1,$A994)</f>
        <v>1971039</v>
      </c>
      <c r="D994" cm="1">
        <f t="array" aca="1" ref="D994" ca="1">[1]!s_dq_amount($B$1,$A994)</f>
        <v>47677872</v>
      </c>
      <c r="E994" cm="1">
        <f t="array" aca="1" ref="E994" ca="1">[1]!s_dq_turn($B$1,$A994)</f>
        <v>0.22629831785375201</v>
      </c>
      <c r="F994" cm="1">
        <f t="array" aca="1" ref="F994" ca="1">[1]!s_val_pe_ttm($B$1,$A994)</f>
        <v>-89.895812988281193</v>
      </c>
    </row>
    <row r="995" spans="1:6">
      <c r="A995" s="23">
        <f t="shared" ca="1" si="15"/>
        <v>45180</v>
      </c>
      <c r="B995" cm="1">
        <f t="array" aca="1" ref="B995" ca="1">[1]!s_dq_close($B$1,$A995,3)</f>
        <v>24.05</v>
      </c>
      <c r="C995" cm="1">
        <f t="array" aca="1" ref="C995" ca="1">[1]!s_dq_volume($B$1,$A995)</f>
        <v>3579000</v>
      </c>
      <c r="D995" cm="1">
        <f t="array" aca="1" ref="D995" ca="1">[1]!s_dq_amount($B$1,$A995)</f>
        <v>85746382</v>
      </c>
      <c r="E995" cm="1">
        <f t="array" aca="1" ref="E995" ca="1">[1]!s_dq_turn($B$1,$A995)</f>
        <v>0.41091103707160398</v>
      </c>
      <c r="F995" cm="1">
        <f t="array" aca="1" ref="F995" ca="1">[1]!s_val_pe_ttm($B$1,$A995)</f>
        <v>-90.840095520019503</v>
      </c>
    </row>
    <row r="996" spans="1:6">
      <c r="A996" s="23">
        <f t="shared" ca="1" si="15"/>
        <v>45179</v>
      </c>
      <c r="B996" cm="1">
        <f t="array" aca="1" ref="B996" ca="1">[1]!s_dq_close($B$1,$A996,3)</f>
        <v>22.75</v>
      </c>
      <c r="C996" cm="1">
        <f t="array" aca="1" ref="C996" ca="1">[1]!s_dq_volume($B$1,$A996)</f>
        <v>0</v>
      </c>
      <c r="D996" cm="1">
        <f t="array" aca="1" ref="D996" ca="1">[1]!s_dq_amount($B$1,$A996)</f>
        <v>0</v>
      </c>
      <c r="E996" cm="1">
        <f t="array" aca="1" ref="E996" ca="1">[1]!s_dq_turn($B$1,$A996)</f>
        <v>0</v>
      </c>
      <c r="F996" cm="1">
        <f t="array" aca="1" ref="F996" ca="1">[1]!s_val_pe_ttm($B$1,$A996)</f>
        <v>-85.929817199707003</v>
      </c>
    </row>
    <row r="997" spans="1:6">
      <c r="A997" s="23">
        <f t="shared" ca="1" si="15"/>
        <v>45178</v>
      </c>
      <c r="B997" cm="1">
        <f t="array" aca="1" ref="B997" ca="1">[1]!s_dq_close($B$1,$A997,3)</f>
        <v>22.75</v>
      </c>
      <c r="C997" cm="1">
        <f t="array" aca="1" ref="C997" ca="1">[1]!s_dq_volume($B$1,$A997)</f>
        <v>0</v>
      </c>
      <c r="D997" cm="1">
        <f t="array" aca="1" ref="D997" ca="1">[1]!s_dq_amount($B$1,$A997)</f>
        <v>0</v>
      </c>
      <c r="E997" cm="1">
        <f t="array" aca="1" ref="E997" ca="1">[1]!s_dq_turn($B$1,$A997)</f>
        <v>0</v>
      </c>
      <c r="F997" cm="1">
        <f t="array" aca="1" ref="F997" ca="1">[1]!s_val_pe_ttm($B$1,$A997)</f>
        <v>-85.929817199707003</v>
      </c>
    </row>
    <row r="998" spans="1:6">
      <c r="A998" s="23">
        <f t="shared" ca="1" si="15"/>
        <v>45177</v>
      </c>
      <c r="B998" cm="1">
        <f t="array" aca="1" ref="B998" ca="1">[1]!s_dq_close($B$1,$A998,3)</f>
        <v>22.75</v>
      </c>
      <c r="C998" cm="1">
        <f t="array" aca="1" ref="C998" ca="1">[1]!s_dq_volume($B$1,$A998)</f>
        <v>0</v>
      </c>
      <c r="D998" cm="1">
        <f t="array" aca="1" ref="D998" ca="1">[1]!s_dq_amount($B$1,$A998)</f>
        <v>0</v>
      </c>
      <c r="E998" cm="1">
        <f t="array" aca="1" ref="E998" ca="1">[1]!s_dq_turn($B$1,$A998)</f>
        <v>0</v>
      </c>
      <c r="F998" cm="1">
        <f t="array" aca="1" ref="F998" ca="1">[1]!s_val_pe_ttm($B$1,$A998)</f>
        <v>-85.929817199707003</v>
      </c>
    </row>
    <row r="999" spans="1:6">
      <c r="A999" s="23">
        <f t="shared" ca="1" si="15"/>
        <v>45176</v>
      </c>
      <c r="B999" cm="1">
        <f t="array" aca="1" ref="B999" ca="1">[1]!s_dq_close($B$1,$A999,3)</f>
        <v>22.75</v>
      </c>
      <c r="C999" cm="1">
        <f t="array" aca="1" ref="C999" ca="1">[1]!s_dq_volume($B$1,$A999)</f>
        <v>1545500</v>
      </c>
      <c r="D999" cm="1">
        <f t="array" aca="1" ref="D999" ca="1">[1]!s_dq_amount($B$1,$A999)</f>
        <v>35467037</v>
      </c>
      <c r="E999" cm="1">
        <f t="array" aca="1" ref="E999" ca="1">[1]!s_dq_turn($B$1,$A999)</f>
        <v>0.17744146627386501</v>
      </c>
      <c r="F999" cm="1">
        <f t="array" aca="1" ref="F999" ca="1">[1]!s_val_pe_ttm($B$1,$A999)</f>
        <v>-85.929817199707003</v>
      </c>
    </row>
    <row r="1000" spans="1:6">
      <c r="A1000" s="23">
        <f t="shared" ca="1" si="15"/>
        <v>45175</v>
      </c>
      <c r="B1000" cm="1">
        <f t="array" aca="1" ref="B1000" ca="1">[1]!s_dq_close($B$1,$A1000,3)</f>
        <v>23.25</v>
      </c>
      <c r="C1000" cm="1">
        <f t="array" aca="1" ref="C1000" ca="1">[1]!s_dq_volume($B$1,$A1000)</f>
        <v>2949580</v>
      </c>
      <c r="D1000" cm="1">
        <f t="array" aca="1" ref="D1000" ca="1">[1]!s_dq_amount($B$1,$A1000)</f>
        <v>67654748</v>
      </c>
      <c r="E1000" cm="1">
        <f t="array" aca="1" ref="E1000" ca="1">[1]!s_dq_turn($B$1,$A1000)</f>
        <v>0.338646263404767</v>
      </c>
      <c r="F1000" cm="1">
        <f t="array" aca="1" ref="F1000" ca="1">[1]!s_val_pe_ttm($B$1,$A1000)</f>
        <v>-87.818389892578097</v>
      </c>
    </row>
    <row r="1001" spans="1:6">
      <c r="A1001" s="23">
        <f t="shared" ca="1" si="15"/>
        <v>45174</v>
      </c>
      <c r="B1001" cm="1">
        <f t="array" aca="1" ref="B1001" ca="1">[1]!s_dq_close($B$1,$A1001,3)</f>
        <v>23.65</v>
      </c>
      <c r="C1001" cm="1">
        <f t="array" aca="1" ref="C1001" ca="1">[1]!s_dq_volume($B$1,$A1001)</f>
        <v>1190000</v>
      </c>
      <c r="D1001" cm="1">
        <f t="array" aca="1" ref="D1001" ca="1">[1]!s_dq_amount($B$1,$A1001)</f>
        <v>28205652</v>
      </c>
      <c r="E1001" cm="1">
        <f t="array" aca="1" ref="E1001" ca="1">[1]!s_dq_turn($B$1,$A1001)</f>
        <v>0.13662591062174001</v>
      </c>
      <c r="F1001" cm="1">
        <f t="array" aca="1" ref="F1001" ca="1">[1]!s_val_pe_ttm($B$1,$A1001)</f>
        <v>-89.329238891601605</v>
      </c>
    </row>
    <row r="1002" spans="1:6">
      <c r="A1002" s="23">
        <f t="shared" ca="1" si="15"/>
        <v>45173</v>
      </c>
      <c r="B1002" cm="1">
        <f t="array" aca="1" ref="B1002" ca="1">[1]!s_dq_close($B$1,$A1002,3)</f>
        <v>24</v>
      </c>
      <c r="C1002" cm="1">
        <f t="array" aca="1" ref="C1002" ca="1">[1]!s_dq_volume($B$1,$A1002)</f>
        <v>1460000</v>
      </c>
      <c r="D1002" cm="1">
        <f t="array" aca="1" ref="D1002" ca="1">[1]!s_dq_amount($B$1,$A1002)</f>
        <v>35160602</v>
      </c>
      <c r="E1002" cm="1">
        <f t="array" aca="1" ref="E1002" ca="1">[1]!s_dq_turn($B$1,$A1002)</f>
        <v>0.167625066813228</v>
      </c>
      <c r="F1002" cm="1">
        <f t="array" aca="1" ref="F1002" ca="1">[1]!s_val_pe_ttm($B$1,$A1002)</f>
        <v>-90.651237487792997</v>
      </c>
    </row>
    <row r="1003" spans="1:6">
      <c r="A1003" s="23">
        <f t="shared" ca="1" si="15"/>
        <v>45172</v>
      </c>
      <c r="B1003" cm="1">
        <f t="array" aca="1" ref="B1003" ca="1">[1]!s_dq_close($B$1,$A1003,3)</f>
        <v>24.1</v>
      </c>
      <c r="C1003" cm="1">
        <f t="array" aca="1" ref="C1003" ca="1">[1]!s_dq_volume($B$1,$A1003)</f>
        <v>0</v>
      </c>
      <c r="D1003" cm="1">
        <f t="array" aca="1" ref="D1003" ca="1">[1]!s_dq_amount($B$1,$A1003)</f>
        <v>0</v>
      </c>
      <c r="E1003" cm="1">
        <f t="array" aca="1" ref="E1003" ca="1">[1]!s_dq_turn($B$1,$A1003)</f>
        <v>0</v>
      </c>
      <c r="F1003" cm="1">
        <f t="array" aca="1" ref="F1003" ca="1">[1]!s_val_pe_ttm($B$1,$A1003)</f>
        <v>-90.9840087890625</v>
      </c>
    </row>
    <row r="1004" spans="1:6">
      <c r="A1004" s="23">
        <f t="shared" ca="1" si="15"/>
        <v>45171</v>
      </c>
      <c r="B1004" cm="1">
        <f t="array" aca="1" ref="B1004" ca="1">[1]!s_dq_close($B$1,$A1004,3)</f>
        <v>24.1</v>
      </c>
      <c r="C1004" cm="1">
        <f t="array" aca="1" ref="C1004" ca="1">[1]!s_dq_volume($B$1,$A1004)</f>
        <v>0</v>
      </c>
      <c r="D1004" cm="1">
        <f t="array" aca="1" ref="D1004" ca="1">[1]!s_dq_amount($B$1,$A1004)</f>
        <v>0</v>
      </c>
      <c r="E1004" cm="1">
        <f t="array" aca="1" ref="E1004" ca="1">[1]!s_dq_turn($B$1,$A1004)</f>
        <v>0</v>
      </c>
      <c r="F1004" cm="1">
        <f t="array" aca="1" ref="F1004" ca="1">[1]!s_val_pe_ttm($B$1,$A1004)</f>
        <v>-90.9840087890625</v>
      </c>
    </row>
    <row r="1005" spans="1:6">
      <c r="A1005" s="23">
        <f t="shared" ca="1" si="15"/>
        <v>45170</v>
      </c>
      <c r="B1005" cm="1">
        <f t="array" aca="1" ref="B1005" ca="1">[1]!s_dq_close($B$1,$A1005,3)</f>
        <v>24.1</v>
      </c>
      <c r="C1005" cm="1">
        <f t="array" aca="1" ref="C1005" ca="1">[1]!s_dq_volume($B$1,$A1005)</f>
        <v>0</v>
      </c>
      <c r="D1005" cm="1">
        <f t="array" aca="1" ref="D1005" ca="1">[1]!s_dq_amount($B$1,$A1005)</f>
        <v>0</v>
      </c>
      <c r="E1005" cm="1">
        <f t="array" aca="1" ref="E1005" ca="1">[1]!s_dq_turn($B$1,$A1005)</f>
        <v>0</v>
      </c>
      <c r="F1005" cm="1">
        <f t="array" aca="1" ref="F1005" ca="1">[1]!s_val_pe_ttm($B$1,$A1005)</f>
        <v>-90.9840087890625</v>
      </c>
    </row>
    <row r="1006" spans="1:6">
      <c r="A1006" s="23">
        <f t="shared" ca="1" si="15"/>
        <v>45169</v>
      </c>
      <c r="B1006" cm="1">
        <f t="array" aca="1" ref="B1006" ca="1">[1]!s_dq_close($B$1,$A1006,3)</f>
        <v>24.1</v>
      </c>
      <c r="C1006" cm="1">
        <f t="array" aca="1" ref="C1006" ca="1">[1]!s_dq_volume($B$1,$A1006)</f>
        <v>1752135</v>
      </c>
      <c r="D1006" cm="1">
        <f t="array" aca="1" ref="D1006" ca="1">[1]!s_dq_amount($B$1,$A1006)</f>
        <v>42442982</v>
      </c>
      <c r="E1006" cm="1">
        <f t="array" aca="1" ref="E1006" ca="1">[1]!s_dq_turn($B$1,$A1006)</f>
        <v>0.20116557975396901</v>
      </c>
      <c r="F1006" cm="1">
        <f t="array" aca="1" ref="F1006" ca="1">[1]!s_val_pe_ttm($B$1,$A1006)</f>
        <v>-90.9840087890625</v>
      </c>
    </row>
    <row r="1007" spans="1:6">
      <c r="A1007" s="23">
        <f t="shared" ca="1" si="15"/>
        <v>45168</v>
      </c>
      <c r="B1007" cm="1">
        <f t="array" aca="1" ref="B1007" ca="1">[1]!s_dq_close($B$1,$A1007,3)</f>
        <v>24.2</v>
      </c>
      <c r="C1007" cm="1">
        <f t="array" aca="1" ref="C1007" ca="1">[1]!s_dq_volume($B$1,$A1007)</f>
        <v>1770000</v>
      </c>
      <c r="D1007" cm="1">
        <f t="array" aca="1" ref="D1007" ca="1">[1]!s_dq_amount($B$1,$A1007)</f>
        <v>43079600</v>
      </c>
      <c r="E1007" cm="1">
        <f t="array" aca="1" ref="E1007" ca="1">[1]!s_dq_turn($B$1,$A1007)</f>
        <v>0.203317066245008</v>
      </c>
      <c r="F1007" cm="1">
        <f t="array" aca="1" ref="F1007" ca="1">[1]!s_val_pe_ttm($B$1,$A1007)</f>
        <v>-91.361541748046903</v>
      </c>
    </row>
    <row r="1008" spans="1:6">
      <c r="A1008" s="23">
        <f t="shared" ca="1" si="15"/>
        <v>45167</v>
      </c>
      <c r="B1008" cm="1">
        <f t="array" aca="1" ref="B1008" ca="1">[1]!s_dq_close($B$1,$A1008,3)</f>
        <v>24.8</v>
      </c>
      <c r="C1008" cm="1">
        <f t="array" aca="1" ref="C1008" ca="1">[1]!s_dq_volume($B$1,$A1008)</f>
        <v>3735500</v>
      </c>
      <c r="D1008" cm="1">
        <f t="array" aca="1" ref="D1008" ca="1">[1]!s_dq_amount($B$1,$A1008)</f>
        <v>90681162</v>
      </c>
      <c r="E1008" cm="1">
        <f t="array" aca="1" ref="E1008" ca="1">[1]!s_dq_turn($B$1,$A1008)</f>
        <v>0.42909090449617299</v>
      </c>
      <c r="F1008" cm="1">
        <f t="array" aca="1" ref="F1008" ca="1">[1]!s_val_pe_ttm($B$1,$A1008)</f>
        <v>-93.626701354980497</v>
      </c>
    </row>
    <row r="1009" spans="1:6">
      <c r="A1009" s="23">
        <f t="shared" ca="1" si="15"/>
        <v>45166</v>
      </c>
      <c r="B1009" cm="1">
        <f t="array" aca="1" ref="B1009" ca="1">[1]!s_dq_close($B$1,$A1009,3)</f>
        <v>23.2</v>
      </c>
      <c r="C1009" cm="1">
        <f t="array" aca="1" ref="C1009" ca="1">[1]!s_dq_volume($B$1,$A1009)</f>
        <v>2132500</v>
      </c>
      <c r="D1009" cm="1">
        <f t="array" aca="1" ref="D1009" ca="1">[1]!s_dq_amount($B$1,$A1009)</f>
        <v>49394562</v>
      </c>
      <c r="E1009" cm="1">
        <f t="array" aca="1" ref="E1009" ca="1">[1]!s_dq_turn($B$1,$A1009)</f>
        <v>0.244956860885581</v>
      </c>
      <c r="F1009" cm="1">
        <f t="array" aca="1" ref="F1009" ca="1">[1]!s_val_pe_ttm($B$1,$A1009)</f>
        <v>-87.586273193359403</v>
      </c>
    </row>
    <row r="1010" spans="1:6">
      <c r="A1010" s="23">
        <f t="shared" ca="1" si="15"/>
        <v>45165</v>
      </c>
      <c r="B1010" cm="1">
        <f t="array" aca="1" ref="B1010" ca="1">[1]!s_dq_close($B$1,$A1010,3)</f>
        <v>22.6</v>
      </c>
      <c r="C1010" cm="1">
        <f t="array" aca="1" ref="C1010" ca="1">[1]!s_dq_volume($B$1,$A1010)</f>
        <v>0</v>
      </c>
      <c r="D1010" cm="1">
        <f t="array" aca="1" ref="D1010" ca="1">[1]!s_dq_amount($B$1,$A1010)</f>
        <v>0</v>
      </c>
      <c r="E1010" cm="1">
        <f t="array" aca="1" ref="E1010" ca="1">[1]!s_dq_turn($B$1,$A1010)</f>
        <v>0</v>
      </c>
      <c r="F1010" cm="1">
        <f t="array" aca="1" ref="F1010" ca="1">[1]!s_val_pe_ttm($B$1,$A1010)</f>
        <v>-85.321105957031193</v>
      </c>
    </row>
    <row r="1011" spans="1:6">
      <c r="A1011" s="23">
        <f t="shared" ca="1" si="15"/>
        <v>45164</v>
      </c>
      <c r="B1011" cm="1">
        <f t="array" aca="1" ref="B1011" ca="1">[1]!s_dq_close($B$1,$A1011,3)</f>
        <v>22.6</v>
      </c>
      <c r="C1011" cm="1">
        <f t="array" aca="1" ref="C1011" ca="1">[1]!s_dq_volume($B$1,$A1011)</f>
        <v>0</v>
      </c>
      <c r="D1011" cm="1">
        <f t="array" aca="1" ref="D1011" ca="1">[1]!s_dq_amount($B$1,$A1011)</f>
        <v>0</v>
      </c>
      <c r="E1011" cm="1">
        <f t="array" aca="1" ref="E1011" ca="1">[1]!s_dq_turn($B$1,$A1011)</f>
        <v>0</v>
      </c>
      <c r="F1011" cm="1">
        <f t="array" aca="1" ref="F1011" ca="1">[1]!s_val_pe_ttm($B$1,$A1011)</f>
        <v>-85.321105957031193</v>
      </c>
    </row>
    <row r="1012" spans="1:6">
      <c r="A1012" s="23">
        <f t="shared" ca="1" si="15"/>
        <v>45163</v>
      </c>
      <c r="B1012" cm="1">
        <f t="array" aca="1" ref="B1012" ca="1">[1]!s_dq_close($B$1,$A1012,3)</f>
        <v>22.6</v>
      </c>
      <c r="C1012" cm="1">
        <f t="array" aca="1" ref="C1012" ca="1">[1]!s_dq_volume($B$1,$A1012)</f>
        <v>907000</v>
      </c>
      <c r="D1012" cm="1">
        <f t="array" aca="1" ref="D1012" ca="1">[1]!s_dq_amount($B$1,$A1012)</f>
        <v>20559750</v>
      </c>
      <c r="E1012" cm="1">
        <f t="array" aca="1" ref="E1012" ca="1">[1]!s_dq_turn($B$1,$A1012)</f>
        <v>0.10418563790069001</v>
      </c>
      <c r="F1012" cm="1">
        <f t="array" aca="1" ref="F1012" ca="1">[1]!s_val_pe_ttm($B$1,$A1012)</f>
        <v>-85.321105957031193</v>
      </c>
    </row>
    <row r="1013" spans="1:6">
      <c r="A1013" s="23">
        <f t="shared" ca="1" si="15"/>
        <v>45162</v>
      </c>
      <c r="B1013" cm="1">
        <f t="array" aca="1" ref="B1013" ca="1">[1]!s_dq_close($B$1,$A1013,3)</f>
        <v>22.8</v>
      </c>
      <c r="C1013" cm="1">
        <f t="array" aca="1" ref="C1013" ca="1">[1]!s_dq_volume($B$1,$A1013)</f>
        <v>3453200</v>
      </c>
      <c r="D1013" cm="1">
        <f t="array" aca="1" ref="D1013" ca="1">[1]!s_dq_amount($B$1,$A1013)</f>
        <v>77881310</v>
      </c>
      <c r="E1013" cm="1">
        <f t="array" aca="1" ref="E1013" ca="1">[1]!s_dq_turn($B$1,$A1013)</f>
        <v>0.39666355545608001</v>
      </c>
      <c r="F1013" cm="1">
        <f t="array" aca="1" ref="F1013" ca="1">[1]!s_val_pe_ttm($B$1,$A1013)</f>
        <v>-86.076164245605497</v>
      </c>
    </row>
    <row r="1014" spans="1:6">
      <c r="A1014" s="23">
        <f t="shared" ca="1" si="15"/>
        <v>45161</v>
      </c>
      <c r="B1014" cm="1">
        <f t="array" aca="1" ref="B1014" ca="1">[1]!s_dq_close($B$1,$A1014,3)</f>
        <v>21.35</v>
      </c>
      <c r="C1014" cm="1">
        <f t="array" aca="1" ref="C1014" ca="1">[1]!s_dq_volume($B$1,$A1014)</f>
        <v>490500</v>
      </c>
      <c r="D1014" cm="1">
        <f t="array" aca="1" ref="D1014" ca="1">[1]!s_dq_amount($B$1,$A1014)</f>
        <v>10495950</v>
      </c>
      <c r="E1014" cm="1">
        <f t="array" aca="1" ref="E1014" ca="1">[1]!s_dq_turn($B$1,$A1014)</f>
        <v>5.6342949713658899E-2</v>
      </c>
      <c r="F1014" cm="1">
        <f t="array" aca="1" ref="F1014" ca="1">[1]!s_val_pe_ttm($B$1,$A1014)</f>
        <v>-80.602020263671903</v>
      </c>
    </row>
    <row r="1015" spans="1:6">
      <c r="A1015" s="23">
        <f t="shared" ca="1" si="15"/>
        <v>45160</v>
      </c>
      <c r="B1015" cm="1">
        <f t="array" aca="1" ref="B1015" ca="1">[1]!s_dq_close($B$1,$A1015,3)</f>
        <v>21.55</v>
      </c>
      <c r="C1015" cm="1">
        <f t="array" aca="1" ref="C1015" ca="1">[1]!s_dq_volume($B$1,$A1015)</f>
        <v>1424000</v>
      </c>
      <c r="D1015" cm="1">
        <f t="array" aca="1" ref="D1015" ca="1">[1]!s_dq_amount($B$1,$A1015)</f>
        <v>30195550</v>
      </c>
      <c r="E1015" cm="1">
        <f t="array" aca="1" ref="E1015" ca="1">[1]!s_dq_turn($B$1,$A1015)</f>
        <v>0.16357260018807401</v>
      </c>
      <c r="F1015" cm="1">
        <f t="array" aca="1" ref="F1015" ca="1">[1]!s_val_pe_ttm($B$1,$A1015)</f>
        <v>-81.357070922851605</v>
      </c>
    </row>
    <row r="1016" spans="1:6">
      <c r="A1016" s="23">
        <f t="shared" ca="1" si="15"/>
        <v>45159</v>
      </c>
      <c r="B1016" cm="1">
        <f t="array" aca="1" ref="B1016" ca="1">[1]!s_dq_close($B$1,$A1016,3)</f>
        <v>21.2</v>
      </c>
      <c r="C1016" cm="1">
        <f t="array" aca="1" ref="C1016" ca="1">[1]!s_dq_volume($B$1,$A1016)</f>
        <v>1548500</v>
      </c>
      <c r="D1016" cm="1">
        <f t="array" aca="1" ref="D1016" ca="1">[1]!s_dq_amount($B$1,$A1016)</f>
        <v>32604559</v>
      </c>
      <c r="E1016" cm="1">
        <f t="array" aca="1" ref="E1016" ca="1">[1]!s_dq_turn($B$1,$A1016)</f>
        <v>0.17787371586462999</v>
      </c>
      <c r="F1016" cm="1">
        <f t="array" aca="1" ref="F1016" ca="1">[1]!s_val_pe_ttm($B$1,$A1016)</f>
        <v>-80.035728454589801</v>
      </c>
    </row>
    <row r="1017" spans="1:6">
      <c r="A1017" s="23">
        <f t="shared" ca="1" si="15"/>
        <v>45158</v>
      </c>
      <c r="B1017" cm="1">
        <f t="array" aca="1" ref="B1017" ca="1">[1]!s_dq_close($B$1,$A1017,3)</f>
        <v>21.35</v>
      </c>
      <c r="C1017" cm="1">
        <f t="array" aca="1" ref="C1017" ca="1">[1]!s_dq_volume($B$1,$A1017)</f>
        <v>0</v>
      </c>
      <c r="D1017" cm="1">
        <f t="array" aca="1" ref="D1017" ca="1">[1]!s_dq_amount($B$1,$A1017)</f>
        <v>0</v>
      </c>
      <c r="E1017" cm="1">
        <f t="array" aca="1" ref="E1017" ca="1">[1]!s_dq_turn($B$1,$A1017)</f>
        <v>0</v>
      </c>
      <c r="F1017" cm="1">
        <f t="array" aca="1" ref="F1017" ca="1">[1]!s_val_pe_ttm($B$1,$A1017)</f>
        <v>-80.602020263671903</v>
      </c>
    </row>
    <row r="1018" spans="1:6">
      <c r="A1018" s="23">
        <f t="shared" ca="1" si="15"/>
        <v>45157</v>
      </c>
      <c r="B1018" cm="1">
        <f t="array" aca="1" ref="B1018" ca="1">[1]!s_dq_close($B$1,$A1018,3)</f>
        <v>21.35</v>
      </c>
      <c r="C1018" cm="1">
        <f t="array" aca="1" ref="C1018" ca="1">[1]!s_dq_volume($B$1,$A1018)</f>
        <v>0</v>
      </c>
      <c r="D1018" cm="1">
        <f t="array" aca="1" ref="D1018" ca="1">[1]!s_dq_amount($B$1,$A1018)</f>
        <v>0</v>
      </c>
      <c r="E1018" cm="1">
        <f t="array" aca="1" ref="E1018" ca="1">[1]!s_dq_turn($B$1,$A1018)</f>
        <v>0</v>
      </c>
      <c r="F1018" cm="1">
        <f t="array" aca="1" ref="F1018" ca="1">[1]!s_val_pe_ttm($B$1,$A1018)</f>
        <v>-80.602020263671903</v>
      </c>
    </row>
    <row r="1019" spans="1:6">
      <c r="A1019" s="23">
        <f t="shared" ca="1" si="15"/>
        <v>45156</v>
      </c>
      <c r="B1019" cm="1">
        <f t="array" aca="1" ref="B1019" ca="1">[1]!s_dq_close($B$1,$A1019,3)</f>
        <v>21.35</v>
      </c>
      <c r="C1019" cm="1">
        <f t="array" aca="1" ref="C1019" ca="1">[1]!s_dq_volume($B$1,$A1019)</f>
        <v>1413500</v>
      </c>
      <c r="D1019" cm="1">
        <f t="array" aca="1" ref="D1019" ca="1">[1]!s_dq_amount($B$1,$A1019)</f>
        <v>30274100</v>
      </c>
      <c r="E1019" cm="1">
        <f t="array" aca="1" ref="E1019" ca="1">[1]!s_dq_turn($B$1,$A1019)</f>
        <v>0.162366481998485</v>
      </c>
      <c r="F1019" cm="1">
        <f t="array" aca="1" ref="F1019" ca="1">[1]!s_val_pe_ttm($B$1,$A1019)</f>
        <v>-80.602020263671903</v>
      </c>
    </row>
    <row r="1020" spans="1:6">
      <c r="A1020" s="23">
        <f t="shared" ca="1" si="15"/>
        <v>45155</v>
      </c>
      <c r="B1020" cm="1">
        <f t="array" aca="1" ref="B1020" ca="1">[1]!s_dq_close($B$1,$A1020,3)</f>
        <v>22.1</v>
      </c>
      <c r="C1020" cm="1">
        <f t="array" aca="1" ref="C1020" ca="1">[1]!s_dq_volume($B$1,$A1020)</f>
        <v>1196300</v>
      </c>
      <c r="D1020" cm="1">
        <f t="array" aca="1" ref="D1020" ca="1">[1]!s_dq_amount($B$1,$A1020)</f>
        <v>26140197</v>
      </c>
      <c r="E1020" cm="1">
        <f t="array" aca="1" ref="E1020" ca="1">[1]!s_dq_turn($B$1,$A1020)</f>
        <v>0.13741706573384299</v>
      </c>
      <c r="F1020" cm="1">
        <f t="array" aca="1" ref="F1020" ca="1">[1]!s_val_pe_ttm($B$1,$A1020)</f>
        <v>-83.4334716796875</v>
      </c>
    </row>
    <row r="1021" spans="1:6">
      <c r="A1021" s="23">
        <f t="shared" ca="1" si="15"/>
        <v>45154</v>
      </c>
      <c r="B1021" cm="1">
        <f t="array" aca="1" ref="B1021" ca="1">[1]!s_dq_close($B$1,$A1021,3)</f>
        <v>22.05</v>
      </c>
      <c r="C1021" cm="1">
        <f t="array" aca="1" ref="C1021" ca="1">[1]!s_dq_volume($B$1,$A1021)</f>
        <v>1306500</v>
      </c>
      <c r="D1021" cm="1">
        <f t="array" aca="1" ref="D1021" ca="1">[1]!s_dq_amount($B$1,$A1021)</f>
        <v>28823225</v>
      </c>
      <c r="E1021" cm="1">
        <f t="array" aca="1" ref="E1021" ca="1">[1]!s_dq_turn($B$1,$A1021)</f>
        <v>0.150075563304578</v>
      </c>
      <c r="F1021" cm="1">
        <f t="array" aca="1" ref="F1021" ca="1">[1]!s_val_pe_ttm($B$1,$A1021)</f>
        <v>-83.244705200195298</v>
      </c>
    </row>
    <row r="1022" spans="1:6">
      <c r="A1022" s="23">
        <f t="shared" ca="1" si="15"/>
        <v>45153</v>
      </c>
      <c r="B1022" cm="1">
        <f t="array" aca="1" ref="B1022" ca="1">[1]!s_dq_close($B$1,$A1022,3)</f>
        <v>22.5</v>
      </c>
      <c r="C1022" cm="1">
        <f t="array" aca="1" ref="C1022" ca="1">[1]!s_dq_volume($B$1,$A1022)</f>
        <v>1312000</v>
      </c>
      <c r="D1022" cm="1">
        <f t="array" aca="1" ref="D1022" ca="1">[1]!s_dq_amount($B$1,$A1022)</f>
        <v>29416625</v>
      </c>
      <c r="E1022" cm="1">
        <f t="array" aca="1" ref="E1022" ca="1">[1]!s_dq_turn($B$1,$A1022)</f>
        <v>0.15070733949912399</v>
      </c>
      <c r="F1022" cm="1">
        <f t="array" aca="1" ref="F1022" ca="1">[1]!s_val_pe_ttm($B$1,$A1022)</f>
        <v>-84.943580627441406</v>
      </c>
    </row>
    <row r="1023" spans="1:6">
      <c r="A1023" s="23">
        <f t="shared" ca="1" si="15"/>
        <v>45152</v>
      </c>
      <c r="B1023" cm="1">
        <f t="array" aca="1" ref="B1023" ca="1">[1]!s_dq_close($B$1,$A1023,3)</f>
        <v>22.25</v>
      </c>
      <c r="C1023" cm="1">
        <f t="array" aca="1" ref="C1023" ca="1">[1]!s_dq_volume($B$1,$A1023)</f>
        <v>1788000</v>
      </c>
      <c r="D1023" cm="1">
        <f t="array" aca="1" ref="D1023" ca="1">[1]!s_dq_amount($B$1,$A1023)</f>
        <v>38973525</v>
      </c>
      <c r="E1023" cm="1">
        <f t="array" aca="1" ref="E1023" ca="1">[1]!s_dq_turn($B$1,$A1023)</f>
        <v>0.20538469742716001</v>
      </c>
      <c r="F1023" cm="1">
        <f t="array" aca="1" ref="F1023" ca="1">[1]!s_val_pe_ttm($B$1,$A1023)</f>
        <v>-83.999763488769503</v>
      </c>
    </row>
    <row r="1024" spans="1:6">
      <c r="A1024" s="23">
        <f t="shared" ca="1" si="15"/>
        <v>45151</v>
      </c>
      <c r="B1024" cm="1">
        <f t="array" aca="1" ref="B1024" ca="1">[1]!s_dq_close($B$1,$A1024,3)</f>
        <v>21.85</v>
      </c>
      <c r="C1024" cm="1">
        <f t="array" aca="1" ref="C1024" ca="1">[1]!s_dq_volume($B$1,$A1024)</f>
        <v>0</v>
      </c>
      <c r="D1024" cm="1">
        <f t="array" aca="1" ref="D1024" ca="1">[1]!s_dq_amount($B$1,$A1024)</f>
        <v>0</v>
      </c>
      <c r="E1024" cm="1">
        <f t="array" aca="1" ref="E1024" ca="1">[1]!s_dq_turn($B$1,$A1024)</f>
        <v>0</v>
      </c>
      <c r="F1024" cm="1">
        <f t="array" aca="1" ref="F1024" ca="1">[1]!s_val_pe_ttm($B$1,$A1024)</f>
        <v>-82.489654541015597</v>
      </c>
    </row>
    <row r="1025" spans="1:6">
      <c r="A1025" s="23">
        <f t="shared" ca="1" si="15"/>
        <v>45150</v>
      </c>
      <c r="B1025" cm="1">
        <f t="array" aca="1" ref="B1025" ca="1">[1]!s_dq_close($B$1,$A1025,3)</f>
        <v>21.85</v>
      </c>
      <c r="C1025" cm="1">
        <f t="array" aca="1" ref="C1025" ca="1">[1]!s_dq_volume($B$1,$A1025)</f>
        <v>0</v>
      </c>
      <c r="D1025" cm="1">
        <f t="array" aca="1" ref="D1025" ca="1">[1]!s_dq_amount($B$1,$A1025)</f>
        <v>0</v>
      </c>
      <c r="E1025" cm="1">
        <f t="array" aca="1" ref="E1025" ca="1">[1]!s_dq_turn($B$1,$A1025)</f>
        <v>0</v>
      </c>
      <c r="F1025" cm="1">
        <f t="array" aca="1" ref="F1025" ca="1">[1]!s_val_pe_ttm($B$1,$A1025)</f>
        <v>-82.489654541015597</v>
      </c>
    </row>
    <row r="1026" spans="1:6">
      <c r="A1026" s="23">
        <f t="shared" ca="1" si="15"/>
        <v>45149</v>
      </c>
      <c r="B1026" cm="1">
        <f t="array" aca="1" ref="B1026" ca="1">[1]!s_dq_close($B$1,$A1026,3)</f>
        <v>21.85</v>
      </c>
      <c r="C1026" cm="1">
        <f t="array" aca="1" ref="C1026" ca="1">[1]!s_dq_volume($B$1,$A1026)</f>
        <v>2091500</v>
      </c>
      <c r="D1026" cm="1">
        <f t="array" aca="1" ref="D1026" ca="1">[1]!s_dq_amount($B$1,$A1026)</f>
        <v>46238900</v>
      </c>
      <c r="E1026" cm="1">
        <f t="array" aca="1" ref="E1026" ca="1">[1]!s_dq_turn($B$1,$A1026)</f>
        <v>0.24024725652623399</v>
      </c>
      <c r="F1026" cm="1">
        <f t="array" aca="1" ref="F1026" ca="1">[1]!s_val_pe_ttm($B$1,$A1026)</f>
        <v>-82.489654541015597</v>
      </c>
    </row>
    <row r="1027" spans="1:6">
      <c r="A1027" s="23">
        <f t="shared" ca="1" si="15"/>
        <v>45148</v>
      </c>
      <c r="B1027" cm="1">
        <f t="array" aca="1" ref="B1027" ca="1">[1]!s_dq_close($B$1,$A1027,3)</f>
        <v>22.95</v>
      </c>
      <c r="C1027" cm="1">
        <f t="array" aca="1" ref="C1027" ca="1">[1]!s_dq_volume($B$1,$A1027)</f>
        <v>1321500</v>
      </c>
      <c r="D1027" cm="1">
        <f t="array" aca="1" ref="D1027" ca="1">[1]!s_dq_amount($B$1,$A1027)</f>
        <v>30090648</v>
      </c>
      <c r="E1027" cm="1">
        <f t="array" aca="1" ref="E1027" ca="1">[1]!s_dq_turn($B$1,$A1027)</f>
        <v>0.15179858928970499</v>
      </c>
      <c r="F1027" cm="1">
        <f t="array" aca="1" ref="F1027" ca="1">[1]!s_val_pe_ttm($B$1,$A1027)</f>
        <v>-86.642448425292997</v>
      </c>
    </row>
    <row r="1028" spans="1:6">
      <c r="A1028" s="23">
        <f t="shared" ca="1" si="15"/>
        <v>45147</v>
      </c>
      <c r="B1028" cm="1">
        <f t="array" aca="1" ref="B1028" ca="1">[1]!s_dq_close($B$1,$A1028,3)</f>
        <v>22.7</v>
      </c>
      <c r="C1028" cm="1">
        <f t="array" aca="1" ref="C1028" ca="1">[1]!s_dq_volume($B$1,$A1028)</f>
        <v>3764042</v>
      </c>
      <c r="D1028" cm="1">
        <f t="array" aca="1" ref="D1028" ca="1">[1]!s_dq_amount($B$1,$A1028)</f>
        <v>85325724</v>
      </c>
      <c r="E1028" cm="1">
        <f t="array" aca="1" ref="E1028" ca="1">[1]!s_dq_turn($B$1,$A1028)</f>
        <v>0.43236947834067302</v>
      </c>
      <c r="F1028" cm="1">
        <f t="array" aca="1" ref="F1028" ca="1">[1]!s_val_pe_ttm($B$1,$A1028)</f>
        <v>-85.698631286621094</v>
      </c>
    </row>
    <row r="1029" spans="1:6">
      <c r="A1029" s="23">
        <f t="shared" ca="1" si="15"/>
        <v>45146</v>
      </c>
      <c r="B1029" cm="1">
        <f t="array" aca="1" ref="B1029" ca="1">[1]!s_dq_close($B$1,$A1029,3)</f>
        <v>22.25</v>
      </c>
      <c r="C1029" cm="1">
        <f t="array" aca="1" ref="C1029" ca="1">[1]!s_dq_volume($B$1,$A1029)</f>
        <v>7728296</v>
      </c>
      <c r="D1029" cm="1">
        <f t="array" aca="1" ref="D1029" ca="1">[1]!s_dq_amount($B$1,$A1029)</f>
        <v>172062827</v>
      </c>
      <c r="E1029" cm="1">
        <f t="array" aca="1" ref="E1029" ca="1">[1]!s_dq_turn($B$1,$A1029)</f>
        <v>0.88773698858363204</v>
      </c>
      <c r="F1029" cm="1">
        <f t="array" aca="1" ref="F1029" ca="1">[1]!s_val_pe_ttm($B$1,$A1029)</f>
        <v>-83.999763488769503</v>
      </c>
    </row>
    <row r="1030" spans="1:6">
      <c r="A1030" s="23">
        <f t="shared" ca="1" si="15"/>
        <v>45145</v>
      </c>
      <c r="B1030" cm="1">
        <f t="array" aca="1" ref="B1030" ca="1">[1]!s_dq_close($B$1,$A1030,3)</f>
        <v>21.6</v>
      </c>
      <c r="C1030" cm="1">
        <f t="array" aca="1" ref="C1030" ca="1">[1]!s_dq_volume($B$1,$A1030)</f>
        <v>9988500</v>
      </c>
      <c r="D1030" cm="1">
        <f t="array" aca="1" ref="D1030" ca="1">[1]!s_dq_amount($B$1,$A1030)</f>
        <v>220141400</v>
      </c>
      <c r="E1030" cm="1">
        <f t="array" aca="1" ref="E1030" ca="1">[1]!s_dq_turn($B$1,$A1030)</f>
        <v>1.1473630034961899</v>
      </c>
      <c r="F1030" cm="1">
        <f t="array" aca="1" ref="F1030" ca="1">[1]!s_val_pe_ttm($B$1,$A1030)</f>
        <v>-81.545837402343807</v>
      </c>
    </row>
    <row r="1031" spans="1:6">
      <c r="A1031" s="23">
        <f t="shared" ca="1" si="15"/>
        <v>45144</v>
      </c>
      <c r="B1031" cm="1">
        <f t="array" aca="1" ref="B1031" ca="1">[1]!s_dq_close($B$1,$A1031,3)</f>
        <v>24.5</v>
      </c>
      <c r="C1031" cm="1">
        <f t="array" aca="1" ref="C1031" ca="1">[1]!s_dq_volume($B$1,$A1031)</f>
        <v>0</v>
      </c>
      <c r="D1031" cm="1">
        <f t="array" aca="1" ref="D1031" ca="1">[1]!s_dq_amount($B$1,$A1031)</f>
        <v>0</v>
      </c>
      <c r="E1031" cm="1">
        <f t="array" aca="1" ref="E1031" ca="1">[1]!s_dq_turn($B$1,$A1031)</f>
        <v>0</v>
      </c>
      <c r="F1031" cm="1">
        <f t="array" aca="1" ref="F1031" ca="1">[1]!s_val_pe_ttm($B$1,$A1031)</f>
        <v>-92.026634216308594</v>
      </c>
    </row>
    <row r="1032" spans="1:6">
      <c r="A1032" s="23">
        <f t="shared" ca="1" si="15"/>
        <v>45143</v>
      </c>
      <c r="B1032" cm="1">
        <f t="array" aca="1" ref="B1032" ca="1">[1]!s_dq_close($B$1,$A1032,3)</f>
        <v>24.5</v>
      </c>
      <c r="C1032" cm="1">
        <f t="array" aca="1" ref="C1032" ca="1">[1]!s_dq_volume($B$1,$A1032)</f>
        <v>0</v>
      </c>
      <c r="D1032" cm="1">
        <f t="array" aca="1" ref="D1032" ca="1">[1]!s_dq_amount($B$1,$A1032)</f>
        <v>0</v>
      </c>
      <c r="E1032" cm="1">
        <f t="array" aca="1" ref="E1032" ca="1">[1]!s_dq_turn($B$1,$A1032)</f>
        <v>0</v>
      </c>
      <c r="F1032" cm="1">
        <f t="array" aca="1" ref="F1032" ca="1">[1]!s_val_pe_ttm($B$1,$A1032)</f>
        <v>-92.026634216308594</v>
      </c>
    </row>
    <row r="1033" spans="1:6">
      <c r="A1033" s="23">
        <f t="shared" ca="1" si="15"/>
        <v>45142</v>
      </c>
      <c r="B1033" cm="1">
        <f t="array" aca="1" ref="B1033" ca="1">[1]!s_dq_close($B$1,$A1033,3)</f>
        <v>24.5</v>
      </c>
      <c r="C1033" cm="1">
        <f t="array" aca="1" ref="C1033" ca="1">[1]!s_dq_volume($B$1,$A1033)</f>
        <v>6046034</v>
      </c>
      <c r="D1033" cm="1">
        <f t="array" aca="1" ref="D1033" ca="1">[1]!s_dq_amount($B$1,$A1033)</f>
        <v>148712472</v>
      </c>
      <c r="E1033" cm="1">
        <f t="array" aca="1" ref="E1033" ca="1">[1]!s_dq_turn($B$1,$A1033)</f>
        <v>0.69802621670590403</v>
      </c>
      <c r="F1033" cm="1">
        <f t="array" aca="1" ref="F1033" ca="1">[1]!s_val_pe_ttm($B$1,$A1033)</f>
        <v>-92.026634216308594</v>
      </c>
    </row>
    <row r="1034" spans="1:6">
      <c r="A1034" s="23">
        <f t="shared" ca="1" si="15"/>
        <v>45141</v>
      </c>
      <c r="B1034" cm="1">
        <f t="array" aca="1" ref="B1034" ca="1">[1]!s_dq_close($B$1,$A1034,3)</f>
        <v>23.95</v>
      </c>
      <c r="C1034" cm="1">
        <f t="array" aca="1" ref="C1034" ca="1">[1]!s_dq_volume($B$1,$A1034)</f>
        <v>5371378</v>
      </c>
      <c r="D1034" cm="1">
        <f t="array" aca="1" ref="D1034" ca="1">[1]!s_dq_amount($B$1,$A1034)</f>
        <v>126258939</v>
      </c>
      <c r="E1034" cm="1">
        <f t="array" aca="1" ref="E1034" ca="1">[1]!s_dq_turn($B$1,$A1034)</f>
        <v>0.62013588806105402</v>
      </c>
      <c r="F1034" cm="1">
        <f t="array" aca="1" ref="F1034" ca="1">[1]!s_val_pe_ttm($B$1,$A1034)</f>
        <v>-89.960731506347699</v>
      </c>
    </row>
    <row r="1035" spans="1:6">
      <c r="A1035" s="23">
        <f t="shared" ca="1" si="15"/>
        <v>45140</v>
      </c>
      <c r="B1035" cm="1">
        <f t="array" aca="1" ref="B1035" ca="1">[1]!s_dq_close($B$1,$A1035,3)</f>
        <v>22.8</v>
      </c>
      <c r="C1035" cm="1">
        <f t="array" aca="1" ref="C1035" ca="1">[1]!s_dq_volume($B$1,$A1035)</f>
        <v>3739000</v>
      </c>
      <c r="D1035" cm="1">
        <f t="array" aca="1" ref="D1035" ca="1">[1]!s_dq_amount($B$1,$A1035)</f>
        <v>86285000</v>
      </c>
      <c r="E1035" cm="1">
        <f t="array" aca="1" ref="E1035" ca="1">[1]!s_dq_turn($B$1,$A1035)</f>
        <v>0.43167471837958199</v>
      </c>
      <c r="F1035" cm="1">
        <f t="array" aca="1" ref="F1035" ca="1">[1]!s_val_pe_ttm($B$1,$A1035)</f>
        <v>-85.64111328125</v>
      </c>
    </row>
    <row r="1036" spans="1:6">
      <c r="A1036" s="23">
        <f t="shared" ca="1" si="15"/>
        <v>45139</v>
      </c>
      <c r="B1036" cm="1">
        <f t="array" aca="1" ref="B1036" ca="1">[1]!s_dq_close($B$1,$A1036,3)</f>
        <v>23.75</v>
      </c>
      <c r="C1036" cm="1">
        <f t="array" aca="1" ref="C1036" ca="1">[1]!s_dq_volume($B$1,$A1036)</f>
        <v>6024000</v>
      </c>
      <c r="D1036" cm="1">
        <f t="array" aca="1" ref="D1036" ca="1">[1]!s_dq_amount($B$1,$A1036)</f>
        <v>143306482</v>
      </c>
      <c r="E1036" cm="1">
        <f t="array" aca="1" ref="E1036" ca="1">[1]!s_dq_turn($B$1,$A1036)</f>
        <v>0.69548234916250296</v>
      </c>
      <c r="F1036" cm="1">
        <f t="array" aca="1" ref="F1036" ca="1">[1]!s_val_pe_ttm($B$1,$A1036)</f>
        <v>-89.209495544433594</v>
      </c>
    </row>
    <row r="1037" spans="1:6">
      <c r="A1037" s="23">
        <f t="shared" ref="A1037:A1100" ca="1" si="16">A1036-1</f>
        <v>45138</v>
      </c>
      <c r="B1037" cm="1">
        <f t="array" aca="1" ref="B1037" ca="1">[1]!s_dq_close($B$1,$A1037,3)</f>
        <v>23</v>
      </c>
      <c r="C1037" cm="1">
        <f t="array" aca="1" ref="C1037" ca="1">[1]!s_dq_volume($B$1,$A1037)</f>
        <v>4437813</v>
      </c>
      <c r="D1037" cm="1">
        <f t="array" aca="1" ref="D1037" ca="1">[1]!s_dq_amount($B$1,$A1037)</f>
        <v>104938182</v>
      </c>
      <c r="E1037" cm="1">
        <f t="array" aca="1" ref="E1037" ca="1">[1]!s_dq_turn($B$1,$A1037)</f>
        <v>0.51235401898803001</v>
      </c>
      <c r="F1037" cm="1">
        <f t="array" aca="1" ref="F1037" ca="1">[1]!s_val_pe_ttm($B$1,$A1037)</f>
        <v>-7.0445556640625</v>
      </c>
    </row>
    <row r="1038" spans="1:6">
      <c r="A1038" s="23">
        <f t="shared" ca="1" si="16"/>
        <v>45137</v>
      </c>
      <c r="B1038" cm="1">
        <f t="array" aca="1" ref="B1038" ca="1">[1]!s_dq_close($B$1,$A1038,3)</f>
        <v>23.4</v>
      </c>
      <c r="C1038" cm="1">
        <f t="array" aca="1" ref="C1038" ca="1">[1]!s_dq_volume($B$1,$A1038)</f>
        <v>0</v>
      </c>
      <c r="D1038" cm="1">
        <f t="array" aca="1" ref="D1038" ca="1">[1]!s_dq_amount($B$1,$A1038)</f>
        <v>0</v>
      </c>
      <c r="E1038" cm="1">
        <f t="array" aca="1" ref="E1038" ca="1">[1]!s_dq_turn($B$1,$A1038)</f>
        <v>0</v>
      </c>
      <c r="F1038" cm="1">
        <f t="array" aca="1" ref="F1038" ca="1">[1]!s_val_pe_ttm($B$1,$A1038)</f>
        <v>-7.2043137550354004</v>
      </c>
    </row>
    <row r="1039" spans="1:6">
      <c r="A1039" s="23">
        <f t="shared" ca="1" si="16"/>
        <v>45136</v>
      </c>
      <c r="B1039" cm="1">
        <f t="array" aca="1" ref="B1039" ca="1">[1]!s_dq_close($B$1,$A1039,3)</f>
        <v>23.4</v>
      </c>
      <c r="C1039" cm="1">
        <f t="array" aca="1" ref="C1039" ca="1">[1]!s_dq_volume($B$1,$A1039)</f>
        <v>0</v>
      </c>
      <c r="D1039" cm="1">
        <f t="array" aca="1" ref="D1039" ca="1">[1]!s_dq_amount($B$1,$A1039)</f>
        <v>0</v>
      </c>
      <c r="E1039" cm="1">
        <f t="array" aca="1" ref="E1039" ca="1">[1]!s_dq_turn($B$1,$A1039)</f>
        <v>0</v>
      </c>
      <c r="F1039" cm="1">
        <f t="array" aca="1" ref="F1039" ca="1">[1]!s_val_pe_ttm($B$1,$A1039)</f>
        <v>-7.2043137550354004</v>
      </c>
    </row>
    <row r="1040" spans="1:6">
      <c r="A1040" s="23">
        <f t="shared" ca="1" si="16"/>
        <v>45135</v>
      </c>
      <c r="B1040" cm="1">
        <f t="array" aca="1" ref="B1040" ca="1">[1]!s_dq_close($B$1,$A1040,3)</f>
        <v>23.4</v>
      </c>
      <c r="C1040" cm="1">
        <f t="array" aca="1" ref="C1040" ca="1">[1]!s_dq_volume($B$1,$A1040)</f>
        <v>3515374</v>
      </c>
      <c r="D1040" cm="1">
        <f t="array" aca="1" ref="D1040" ca="1">[1]!s_dq_amount($B$1,$A1040)</f>
        <v>81157410</v>
      </c>
      <c r="E1040" cm="1">
        <f t="array" aca="1" ref="E1040" ca="1">[1]!s_dq_turn($B$1,$A1040)</f>
        <v>0.40585666794568098</v>
      </c>
      <c r="F1040" cm="1">
        <f t="array" aca="1" ref="F1040" ca="1">[1]!s_val_pe_ttm($B$1,$A1040)</f>
        <v>-7.2043137550354004</v>
      </c>
    </row>
    <row r="1041" spans="1:6">
      <c r="A1041" s="23">
        <f t="shared" ca="1" si="16"/>
        <v>45134</v>
      </c>
      <c r="B1041" cm="1">
        <f t="array" aca="1" ref="B1041" ca="1">[1]!s_dq_close($B$1,$A1041,3)</f>
        <v>22.75</v>
      </c>
      <c r="C1041" cm="1">
        <f t="array" aca="1" ref="C1041" ca="1">[1]!s_dq_volume($B$1,$A1041)</f>
        <v>1931814</v>
      </c>
      <c r="D1041" cm="1">
        <f t="array" aca="1" ref="D1041" ca="1">[1]!s_dq_amount($B$1,$A1041)</f>
        <v>43973887</v>
      </c>
      <c r="E1041" cm="1">
        <f t="array" aca="1" ref="E1041" ca="1">[1]!s_dq_turn($B$1,$A1041)</f>
        <v>0.22303162995767101</v>
      </c>
      <c r="F1041" cm="1">
        <f t="array" aca="1" ref="F1041" ca="1">[1]!s_val_pe_ttm($B$1,$A1041)</f>
        <v>-7.0041937828064</v>
      </c>
    </row>
    <row r="1042" spans="1:6">
      <c r="A1042" s="23">
        <f t="shared" ca="1" si="16"/>
        <v>45133</v>
      </c>
      <c r="B1042" cm="1">
        <f t="array" aca="1" ref="B1042" ca="1">[1]!s_dq_close($B$1,$A1042,3)</f>
        <v>22.6</v>
      </c>
      <c r="C1042" cm="1">
        <f t="array" aca="1" ref="C1042" ca="1">[1]!s_dq_volume($B$1,$A1042)</f>
        <v>2819730</v>
      </c>
      <c r="D1042" cm="1">
        <f t="array" aca="1" ref="D1042" ca="1">[1]!s_dq_amount($B$1,$A1042)</f>
        <v>63422768</v>
      </c>
      <c r="E1042" cm="1">
        <f t="array" aca="1" ref="E1042" ca="1">[1]!s_dq_turn($B$1,$A1042)</f>
        <v>0.32554323446281302</v>
      </c>
      <c r="F1042" cm="1">
        <f t="array" aca="1" ref="F1042" ca="1">[1]!s_val_pe_ttm($B$1,$A1042)</f>
        <v>-6.9580125808715803</v>
      </c>
    </row>
    <row r="1043" spans="1:6">
      <c r="A1043" s="23">
        <f t="shared" ca="1" si="16"/>
        <v>45132</v>
      </c>
      <c r="B1043" cm="1">
        <f t="array" aca="1" ref="B1043" ca="1">[1]!s_dq_close($B$1,$A1043,3)</f>
        <v>21.8</v>
      </c>
      <c r="C1043" cm="1">
        <f t="array" aca="1" ref="C1043" ca="1">[1]!s_dq_volume($B$1,$A1043)</f>
        <v>3795000</v>
      </c>
      <c r="D1043" cm="1">
        <f t="array" aca="1" ref="D1043" ca="1">[1]!s_dq_amount($B$1,$A1043)</f>
        <v>81200400</v>
      </c>
      <c r="E1043" cm="1">
        <f t="array" aca="1" ref="E1043" ca="1">[1]!s_dq_turn($B$1,$A1043)</f>
        <v>0.43814002574231398</v>
      </c>
      <c r="F1043" cm="1">
        <f t="array" aca="1" ref="F1043" ca="1">[1]!s_val_pe_ttm($B$1,$A1043)</f>
        <v>-6.7117109298706099</v>
      </c>
    </row>
    <row r="1044" spans="1:6">
      <c r="A1044" s="23">
        <f t="shared" ca="1" si="16"/>
        <v>45131</v>
      </c>
      <c r="B1044" cm="1">
        <f t="array" aca="1" ref="B1044" ca="1">[1]!s_dq_close($B$1,$A1044,3)</f>
        <v>20.7</v>
      </c>
      <c r="C1044" cm="1">
        <f t="array" aca="1" ref="C1044" ca="1">[1]!s_dq_volume($B$1,$A1044)</f>
        <v>2161000</v>
      </c>
      <c r="D1044" cm="1">
        <f t="array" aca="1" ref="D1044" ca="1">[1]!s_dq_amount($B$1,$A1044)</f>
        <v>44621900</v>
      </c>
      <c r="E1044" cm="1">
        <f t="array" aca="1" ref="E1044" ca="1">[1]!s_dq_turn($B$1,$A1044)</f>
        <v>0.24949159305115701</v>
      </c>
      <c r="F1044" cm="1">
        <f t="array" aca="1" ref="F1044" ca="1">[1]!s_val_pe_ttm($B$1,$A1044)</f>
        <v>-6.373046875</v>
      </c>
    </row>
    <row r="1045" spans="1:6">
      <c r="A1045" s="23">
        <f t="shared" ca="1" si="16"/>
        <v>45130</v>
      </c>
      <c r="B1045" cm="1">
        <f t="array" aca="1" ref="B1045" ca="1">[1]!s_dq_close($B$1,$A1045,3)</f>
        <v>20.2</v>
      </c>
      <c r="C1045" cm="1">
        <f t="array" aca="1" ref="C1045" ca="1">[1]!s_dq_volume($B$1,$A1045)</f>
        <v>0</v>
      </c>
      <c r="D1045" cm="1">
        <f t="array" aca="1" ref="D1045" ca="1">[1]!s_dq_amount($B$1,$A1045)</f>
        <v>0</v>
      </c>
      <c r="E1045" cm="1">
        <f t="array" aca="1" ref="E1045" ca="1">[1]!s_dq_turn($B$1,$A1045)</f>
        <v>0</v>
      </c>
      <c r="F1045" cm="1">
        <f t="array" aca="1" ref="F1045" ca="1">[1]!s_val_pe_ttm($B$1,$A1045)</f>
        <v>-6.2191085815429696</v>
      </c>
    </row>
    <row r="1046" spans="1:6">
      <c r="A1046" s="23">
        <f t="shared" ca="1" si="16"/>
        <v>45129</v>
      </c>
      <c r="B1046" cm="1">
        <f t="array" aca="1" ref="B1046" ca="1">[1]!s_dq_close($B$1,$A1046,3)</f>
        <v>20.2</v>
      </c>
      <c r="C1046" cm="1">
        <f t="array" aca="1" ref="C1046" ca="1">[1]!s_dq_volume($B$1,$A1046)</f>
        <v>0</v>
      </c>
      <c r="D1046" cm="1">
        <f t="array" aca="1" ref="D1046" ca="1">[1]!s_dq_amount($B$1,$A1046)</f>
        <v>0</v>
      </c>
      <c r="E1046" cm="1">
        <f t="array" aca="1" ref="E1046" ca="1">[1]!s_dq_turn($B$1,$A1046)</f>
        <v>0</v>
      </c>
      <c r="F1046" cm="1">
        <f t="array" aca="1" ref="F1046" ca="1">[1]!s_val_pe_ttm($B$1,$A1046)</f>
        <v>-6.2191085815429696</v>
      </c>
    </row>
    <row r="1047" spans="1:6">
      <c r="A1047" s="23">
        <f t="shared" ca="1" si="16"/>
        <v>45128</v>
      </c>
      <c r="B1047" cm="1">
        <f t="array" aca="1" ref="B1047" ca="1">[1]!s_dq_close($B$1,$A1047,3)</f>
        <v>20.2</v>
      </c>
      <c r="C1047" cm="1">
        <f t="array" aca="1" ref="C1047" ca="1">[1]!s_dq_volume($B$1,$A1047)</f>
        <v>981500</v>
      </c>
      <c r="D1047" cm="1">
        <f t="array" aca="1" ref="D1047" ca="1">[1]!s_dq_amount($B$1,$A1047)</f>
        <v>19942550</v>
      </c>
      <c r="E1047" cm="1">
        <f t="array" aca="1" ref="E1047" ca="1">[1]!s_dq_turn($B$1,$A1047)</f>
        <v>0.11331605672360499</v>
      </c>
      <c r="F1047" cm="1">
        <f t="array" aca="1" ref="F1047" ca="1">[1]!s_val_pe_ttm($B$1,$A1047)</f>
        <v>-6.2191085815429696</v>
      </c>
    </row>
    <row r="1048" spans="1:6">
      <c r="A1048" s="23">
        <f t="shared" ca="1" si="16"/>
        <v>45127</v>
      </c>
      <c r="B1048" cm="1">
        <f t="array" aca="1" ref="B1048" ca="1">[1]!s_dq_close($B$1,$A1048,3)</f>
        <v>19.64</v>
      </c>
      <c r="C1048" cm="1">
        <f t="array" aca="1" ref="C1048" ca="1">[1]!s_dq_volume($B$1,$A1048)</f>
        <v>1147500</v>
      </c>
      <c r="D1048" cm="1">
        <f t="array" aca="1" ref="D1048" ca="1">[1]!s_dq_amount($B$1,$A1048)</f>
        <v>22706840</v>
      </c>
      <c r="E1048" cm="1">
        <f t="array" aca="1" ref="E1048" ca="1">[1]!s_dq_turn($B$1,$A1048)</f>
        <v>0.13248107497741901</v>
      </c>
      <c r="F1048" cm="1">
        <f t="array" aca="1" ref="F1048" ca="1">[1]!s_val_pe_ttm($B$1,$A1048)</f>
        <v>-6.0466976165771502</v>
      </c>
    </row>
    <row r="1049" spans="1:6">
      <c r="A1049" s="23">
        <f t="shared" ca="1" si="16"/>
        <v>45126</v>
      </c>
      <c r="B1049" cm="1">
        <f t="array" aca="1" ref="B1049" ca="1">[1]!s_dq_close($B$1,$A1049,3)</f>
        <v>20.100000000000001</v>
      </c>
      <c r="C1049" cm="1">
        <f t="array" aca="1" ref="C1049" ca="1">[1]!s_dq_volume($B$1,$A1049)</f>
        <v>975000</v>
      </c>
      <c r="D1049" cm="1">
        <f t="array" aca="1" ref="D1049" ca="1">[1]!s_dq_amount($B$1,$A1049)</f>
        <v>19396245</v>
      </c>
      <c r="E1049" cm="1">
        <f t="array" aca="1" ref="E1049" ca="1">[1]!s_dq_turn($B$1,$A1049)</f>
        <v>0.112565619261859</v>
      </c>
      <c r="F1049" cm="1">
        <f t="array" aca="1" ref="F1049" ca="1">[1]!s_val_pe_ttm($B$1,$A1049)</f>
        <v>-6.1883206367492702</v>
      </c>
    </row>
    <row r="1050" spans="1:6">
      <c r="A1050" s="23">
        <f t="shared" ca="1" si="16"/>
        <v>45125</v>
      </c>
      <c r="B1050" cm="1">
        <f t="array" aca="1" ref="B1050" ca="1">[1]!s_dq_close($B$1,$A1050,3)</f>
        <v>20.350000000000001</v>
      </c>
      <c r="C1050" cm="1">
        <f t="array" aca="1" ref="C1050" ca="1">[1]!s_dq_volume($B$1,$A1050)</f>
        <v>1330172</v>
      </c>
      <c r="D1050" cm="1">
        <f t="array" aca="1" ref="D1050" ca="1">[1]!s_dq_amount($B$1,$A1050)</f>
        <v>27045119</v>
      </c>
      <c r="E1050" cm="1">
        <f t="array" aca="1" ref="E1050" ca="1">[1]!s_dq_turn($B$1,$A1050)</f>
        <v>0.153570907594652</v>
      </c>
      <c r="F1050" cm="1">
        <f t="array" aca="1" ref="F1050" ca="1">[1]!s_val_pe_ttm($B$1,$A1050)</f>
        <v>-6.2652897834777797</v>
      </c>
    </row>
    <row r="1051" spans="1:6">
      <c r="A1051" s="23">
        <f t="shared" ca="1" si="16"/>
        <v>45124</v>
      </c>
      <c r="B1051" cm="1">
        <f t="array" aca="1" ref="B1051" ca="1">[1]!s_dq_close($B$1,$A1051,3)</f>
        <v>20.75</v>
      </c>
      <c r="C1051" cm="1">
        <f t="array" aca="1" ref="C1051" ca="1">[1]!s_dq_volume($B$1,$A1051)</f>
        <v>0</v>
      </c>
      <c r="D1051" cm="1">
        <f t="array" aca="1" ref="D1051" ca="1">[1]!s_dq_amount($B$1,$A1051)</f>
        <v>0</v>
      </c>
      <c r="E1051" cm="1">
        <f t="array" aca="1" ref="E1051" ca="1">[1]!s_dq_turn($B$1,$A1051)</f>
        <v>0</v>
      </c>
      <c r="F1051" cm="1">
        <f t="array" aca="1" ref="F1051" ca="1">[1]!s_val_pe_ttm($B$1,$A1051)</f>
        <v>-6.3884406089782697</v>
      </c>
    </row>
    <row r="1052" spans="1:6">
      <c r="A1052" s="23">
        <f t="shared" ca="1" si="16"/>
        <v>45123</v>
      </c>
      <c r="B1052" cm="1">
        <f t="array" aca="1" ref="B1052" ca="1">[1]!s_dq_close($B$1,$A1052,3)</f>
        <v>20.75</v>
      </c>
      <c r="C1052" cm="1">
        <f t="array" aca="1" ref="C1052" ca="1">[1]!s_dq_volume($B$1,$A1052)</f>
        <v>0</v>
      </c>
      <c r="D1052" cm="1">
        <f t="array" aca="1" ref="D1052" ca="1">[1]!s_dq_amount($B$1,$A1052)</f>
        <v>0</v>
      </c>
      <c r="E1052" cm="1">
        <f t="array" aca="1" ref="E1052" ca="1">[1]!s_dq_turn($B$1,$A1052)</f>
        <v>0</v>
      </c>
      <c r="F1052" cm="1">
        <f t="array" aca="1" ref="F1052" ca="1">[1]!s_val_pe_ttm($B$1,$A1052)</f>
        <v>-6.3884406089782697</v>
      </c>
    </row>
    <row r="1053" spans="1:6">
      <c r="A1053" s="23">
        <f t="shared" ca="1" si="16"/>
        <v>45122</v>
      </c>
      <c r="B1053" cm="1">
        <f t="array" aca="1" ref="B1053" ca="1">[1]!s_dq_close($B$1,$A1053,3)</f>
        <v>20.75</v>
      </c>
      <c r="C1053" cm="1">
        <f t="array" aca="1" ref="C1053" ca="1">[1]!s_dq_volume($B$1,$A1053)</f>
        <v>0</v>
      </c>
      <c r="D1053" cm="1">
        <f t="array" aca="1" ref="D1053" ca="1">[1]!s_dq_amount($B$1,$A1053)</f>
        <v>0</v>
      </c>
      <c r="E1053" cm="1">
        <f t="array" aca="1" ref="E1053" ca="1">[1]!s_dq_turn($B$1,$A1053)</f>
        <v>0</v>
      </c>
      <c r="F1053" cm="1">
        <f t="array" aca="1" ref="F1053" ca="1">[1]!s_val_pe_ttm($B$1,$A1053)</f>
        <v>-6.3884406089782697</v>
      </c>
    </row>
    <row r="1054" spans="1:6">
      <c r="A1054" s="23">
        <f t="shared" ca="1" si="16"/>
        <v>45121</v>
      </c>
      <c r="B1054" cm="1">
        <f t="array" aca="1" ref="B1054" ca="1">[1]!s_dq_close($B$1,$A1054,3)</f>
        <v>20.75</v>
      </c>
      <c r="C1054" cm="1">
        <f t="array" aca="1" ref="C1054" ca="1">[1]!s_dq_volume($B$1,$A1054)</f>
        <v>2425500</v>
      </c>
      <c r="D1054" cm="1">
        <f t="array" aca="1" ref="D1054" ca="1">[1]!s_dq_amount($B$1,$A1054)</f>
        <v>50653150</v>
      </c>
      <c r="E1054" cm="1">
        <f t="array" aca="1" ref="E1054" ca="1">[1]!s_dq_turn($B$1,$A1054)</f>
        <v>0.28002862514834798</v>
      </c>
      <c r="F1054" cm="1">
        <f t="array" aca="1" ref="F1054" ca="1">[1]!s_val_pe_ttm($B$1,$A1054)</f>
        <v>-6.3884406089782697</v>
      </c>
    </row>
    <row r="1055" spans="1:6">
      <c r="A1055" s="23">
        <f t="shared" ca="1" si="16"/>
        <v>45120</v>
      </c>
      <c r="B1055" cm="1">
        <f t="array" aca="1" ref="B1055" ca="1">[1]!s_dq_close($B$1,$A1055,3)</f>
        <v>20.8</v>
      </c>
      <c r="C1055" cm="1">
        <f t="array" aca="1" ref="C1055" ca="1">[1]!s_dq_volume($B$1,$A1055)</f>
        <v>2905398</v>
      </c>
      <c r="D1055" cm="1">
        <f t="array" aca="1" ref="D1055" ca="1">[1]!s_dq_amount($B$1,$A1055)</f>
        <v>59595320</v>
      </c>
      <c r="E1055" cm="1">
        <f t="array" aca="1" ref="E1055" ca="1">[1]!s_dq_turn($B$1,$A1055)</f>
        <v>0.33543376930478702</v>
      </c>
      <c r="F1055" cm="1">
        <f t="array" aca="1" ref="F1055" ca="1">[1]!s_val_pe_ttm($B$1,$A1055)</f>
        <v>-6.4038343429565403</v>
      </c>
    </row>
    <row r="1056" spans="1:6">
      <c r="A1056" s="23">
        <f t="shared" ca="1" si="16"/>
        <v>45119</v>
      </c>
      <c r="B1056" cm="1">
        <f t="array" aca="1" ref="B1056" ca="1">[1]!s_dq_close($B$1,$A1056,3)</f>
        <v>19.46</v>
      </c>
      <c r="C1056" cm="1">
        <f t="array" aca="1" ref="C1056" ca="1">[1]!s_dq_volume($B$1,$A1056)</f>
        <v>1335000</v>
      </c>
      <c r="D1056" cm="1">
        <f t="array" aca="1" ref="D1056" ca="1">[1]!s_dq_amount($B$1,$A1056)</f>
        <v>26205950</v>
      </c>
      <c r="E1056" cm="1">
        <f t="array" aca="1" ref="E1056" ca="1">[1]!s_dq_turn($B$1,$A1056)</f>
        <v>0.15412830945085401</v>
      </c>
      <c r="F1056" cm="1">
        <f t="array" aca="1" ref="F1056" ca="1">[1]!s_val_pe_ttm($B$1,$A1056)</f>
        <v>-5.9912796020507804</v>
      </c>
    </row>
    <row r="1057" spans="1:6">
      <c r="A1057" s="23">
        <f t="shared" ca="1" si="16"/>
        <v>45118</v>
      </c>
      <c r="B1057" cm="1">
        <f t="array" aca="1" ref="B1057" ca="1">[1]!s_dq_close($B$1,$A1057,3)</f>
        <v>19.86</v>
      </c>
      <c r="C1057" cm="1">
        <f t="array" aca="1" ref="C1057" ca="1">[1]!s_dq_volume($B$1,$A1057)</f>
        <v>2094548</v>
      </c>
      <c r="D1057" cm="1">
        <f t="array" aca="1" ref="D1057" ca="1">[1]!s_dq_amount($B$1,$A1057)</f>
        <v>41169619</v>
      </c>
      <c r="E1057" cm="1">
        <f t="array" aca="1" ref="E1057" ca="1">[1]!s_dq_turn($B$1,$A1057)</f>
        <v>0.24181958224993699</v>
      </c>
      <c r="F1057" cm="1">
        <f t="array" aca="1" ref="F1057" ca="1">[1]!s_val_pe_ttm($B$1,$A1057)</f>
        <v>-6.1144304275512704</v>
      </c>
    </row>
    <row r="1058" spans="1:6">
      <c r="A1058" s="23">
        <f t="shared" ca="1" si="16"/>
        <v>45117</v>
      </c>
      <c r="B1058" cm="1">
        <f t="array" aca="1" ref="B1058" ca="1">[1]!s_dq_close($B$1,$A1058,3)</f>
        <v>18.899999999999999</v>
      </c>
      <c r="C1058" cm="1">
        <f t="array" aca="1" ref="C1058" ca="1">[1]!s_dq_volume($B$1,$A1058)</f>
        <v>1000300</v>
      </c>
      <c r="D1058" cm="1">
        <f t="array" aca="1" ref="D1058" ca="1">[1]!s_dq_amount($B$1,$A1058)</f>
        <v>19061584</v>
      </c>
      <c r="E1058" cm="1">
        <f t="array" aca="1" ref="E1058" ca="1">[1]!s_dq_turn($B$1,$A1058)</f>
        <v>0.115486552766808</v>
      </c>
      <c r="F1058" cm="1">
        <f t="array" aca="1" ref="F1058" ca="1">[1]!s_val_pe_ttm($B$1,$A1058)</f>
        <v>-5.81886863708496</v>
      </c>
    </row>
    <row r="1059" spans="1:6">
      <c r="A1059" s="23">
        <f t="shared" ca="1" si="16"/>
        <v>45116</v>
      </c>
      <c r="B1059" cm="1">
        <f t="array" aca="1" ref="B1059" ca="1">[1]!s_dq_close($B$1,$A1059,3)</f>
        <v>18.86</v>
      </c>
      <c r="C1059" cm="1">
        <f t="array" aca="1" ref="C1059" ca="1">[1]!s_dq_volume($B$1,$A1059)</f>
        <v>0</v>
      </c>
      <c r="D1059" cm="1">
        <f t="array" aca="1" ref="D1059" ca="1">[1]!s_dq_amount($B$1,$A1059)</f>
        <v>0</v>
      </c>
      <c r="E1059" cm="1">
        <f t="array" aca="1" ref="E1059" ca="1">[1]!s_dq_turn($B$1,$A1059)</f>
        <v>0</v>
      </c>
      <c r="F1059" cm="1">
        <f t="array" aca="1" ref="F1059" ca="1">[1]!s_val_pe_ttm($B$1,$A1059)</f>
        <v>-5.8065538406372097</v>
      </c>
    </row>
    <row r="1060" spans="1:6">
      <c r="A1060" s="23">
        <f t="shared" ca="1" si="16"/>
        <v>45115</v>
      </c>
      <c r="B1060" cm="1">
        <f t="array" aca="1" ref="B1060" ca="1">[1]!s_dq_close($B$1,$A1060,3)</f>
        <v>18.86</v>
      </c>
      <c r="C1060" cm="1">
        <f t="array" aca="1" ref="C1060" ca="1">[1]!s_dq_volume($B$1,$A1060)</f>
        <v>0</v>
      </c>
      <c r="D1060" cm="1">
        <f t="array" aca="1" ref="D1060" ca="1">[1]!s_dq_amount($B$1,$A1060)</f>
        <v>0</v>
      </c>
      <c r="E1060" cm="1">
        <f t="array" aca="1" ref="E1060" ca="1">[1]!s_dq_turn($B$1,$A1060)</f>
        <v>0</v>
      </c>
      <c r="F1060" cm="1">
        <f t="array" aca="1" ref="F1060" ca="1">[1]!s_val_pe_ttm($B$1,$A1060)</f>
        <v>-5.8065538406372097</v>
      </c>
    </row>
    <row r="1061" spans="1:6">
      <c r="A1061" s="23">
        <f t="shared" ca="1" si="16"/>
        <v>45114</v>
      </c>
      <c r="B1061" cm="1">
        <f t="array" aca="1" ref="B1061" ca="1">[1]!s_dq_close($B$1,$A1061,3)</f>
        <v>18.86</v>
      </c>
      <c r="C1061" cm="1">
        <f t="array" aca="1" ref="C1061" ca="1">[1]!s_dq_volume($B$1,$A1061)</f>
        <v>1796500</v>
      </c>
      <c r="D1061" cm="1">
        <f t="array" aca="1" ref="D1061" ca="1">[1]!s_dq_amount($B$1,$A1061)</f>
        <v>33921150</v>
      </c>
      <c r="E1061" cm="1">
        <f t="array" aca="1" ref="E1061" ca="1">[1]!s_dq_turn($B$1,$A1061)</f>
        <v>0.2074093692348</v>
      </c>
      <c r="F1061" cm="1">
        <f t="array" aca="1" ref="F1061" ca="1">[1]!s_val_pe_ttm($B$1,$A1061)</f>
        <v>-5.8065538406372097</v>
      </c>
    </row>
    <row r="1062" spans="1:6">
      <c r="A1062" s="23">
        <f t="shared" ca="1" si="16"/>
        <v>45113</v>
      </c>
      <c r="B1062" cm="1">
        <f t="array" aca="1" ref="B1062" ca="1">[1]!s_dq_close($B$1,$A1062,3)</f>
        <v>19.3</v>
      </c>
      <c r="C1062" cm="1">
        <f t="array" aca="1" ref="C1062" ca="1">[1]!s_dq_volume($B$1,$A1062)</f>
        <v>1572658</v>
      </c>
      <c r="D1062" cm="1">
        <f t="array" aca="1" ref="D1062" ca="1">[1]!s_dq_amount($B$1,$A1062)</f>
        <v>30347763</v>
      </c>
      <c r="E1062" cm="1">
        <f t="array" aca="1" ref="E1062" ca="1">[1]!s_dq_turn($B$1,$A1062)</f>
        <v>0.181566381186787</v>
      </c>
      <c r="F1062" cm="1">
        <f t="array" aca="1" ref="F1062" ca="1">[1]!s_val_pe_ttm($B$1,$A1062)</f>
        <v>-5.9420194625854501</v>
      </c>
    </row>
    <row r="1063" spans="1:6">
      <c r="A1063" s="23">
        <f t="shared" ca="1" si="16"/>
        <v>45112</v>
      </c>
      <c r="B1063" cm="1">
        <f t="array" aca="1" ref="B1063" ca="1">[1]!s_dq_close($B$1,$A1063,3)</f>
        <v>19.32</v>
      </c>
      <c r="C1063" cm="1">
        <f t="array" aca="1" ref="C1063" ca="1">[1]!s_dq_volume($B$1,$A1063)</f>
        <v>2191500</v>
      </c>
      <c r="D1063" cm="1">
        <f t="array" aca="1" ref="D1063" ca="1">[1]!s_dq_amount($B$1,$A1063)</f>
        <v>42600288</v>
      </c>
      <c r="E1063" cm="1">
        <f t="array" aca="1" ref="E1063" ca="1">[1]!s_dq_turn($B$1,$A1063)</f>
        <v>0.25301287652550197</v>
      </c>
      <c r="F1063" cm="1">
        <f t="array" aca="1" ref="F1063" ca="1">[1]!s_val_pe_ttm($B$1,$A1063)</f>
        <v>-5.9481768608093297</v>
      </c>
    </row>
    <row r="1064" spans="1:6">
      <c r="A1064" s="23">
        <f t="shared" ca="1" si="16"/>
        <v>45111</v>
      </c>
      <c r="B1064" cm="1">
        <f t="array" aca="1" ref="B1064" ca="1">[1]!s_dq_close($B$1,$A1064,3)</f>
        <v>20</v>
      </c>
      <c r="C1064" cm="1">
        <f t="array" aca="1" ref="C1064" ca="1">[1]!s_dq_volume($B$1,$A1064)</f>
        <v>5983222</v>
      </c>
      <c r="D1064" cm="1">
        <f t="array" aca="1" ref="D1064" ca="1">[1]!s_dq_amount($B$1,$A1064)</f>
        <v>117282175</v>
      </c>
      <c r="E1064" cm="1">
        <f t="array" aca="1" ref="E1064" ca="1">[1]!s_dq_turn($B$1,$A1064)</f>
        <v>0.69077445088326195</v>
      </c>
      <c r="F1064" cm="1">
        <f t="array" aca="1" ref="F1064" ca="1">[1]!s_val_pe_ttm($B$1,$A1064)</f>
        <v>-6.1575331687927202</v>
      </c>
    </row>
    <row r="1065" spans="1:6">
      <c r="A1065" s="23">
        <f t="shared" ca="1" si="16"/>
        <v>45110</v>
      </c>
      <c r="B1065" cm="1">
        <f t="array" aca="1" ref="B1065" ca="1">[1]!s_dq_close($B$1,$A1065,3)</f>
        <v>18.64</v>
      </c>
      <c r="C1065" cm="1">
        <f t="array" aca="1" ref="C1065" ca="1">[1]!s_dq_volume($B$1,$A1065)</f>
        <v>1263560</v>
      </c>
      <c r="D1065" cm="1">
        <f t="array" aca="1" ref="D1065" ca="1">[1]!s_dq_amount($B$1,$A1065)</f>
        <v>23433382</v>
      </c>
      <c r="E1065" cm="1">
        <f t="array" aca="1" ref="E1065" ca="1">[1]!s_dq_turn($B$1,$A1065)</f>
        <v>0.14588042448668201</v>
      </c>
      <c r="F1065" cm="1">
        <f t="array" aca="1" ref="F1065" ca="1">[1]!s_val_pe_ttm($B$1,$A1065)</f>
        <v>-5.7388210296630904</v>
      </c>
    </row>
    <row r="1066" spans="1:6">
      <c r="A1066" s="23">
        <f t="shared" ca="1" si="16"/>
        <v>45109</v>
      </c>
      <c r="B1066" cm="1">
        <f t="array" aca="1" ref="B1066" ca="1">[1]!s_dq_close($B$1,$A1066,3)</f>
        <v>18.440000000000001</v>
      </c>
      <c r="C1066" cm="1">
        <f t="array" aca="1" ref="C1066" ca="1">[1]!s_dq_volume($B$1,$A1066)</f>
        <v>0</v>
      </c>
      <c r="D1066" cm="1">
        <f t="array" aca="1" ref="D1066" ca="1">[1]!s_dq_amount($B$1,$A1066)</f>
        <v>0</v>
      </c>
      <c r="E1066" cm="1">
        <f t="array" aca="1" ref="E1066" ca="1">[1]!s_dq_turn($B$1,$A1066)</f>
        <v>0</v>
      </c>
      <c r="F1066" cm="1">
        <f t="array" aca="1" ref="F1066" ca="1">[1]!s_val_pe_ttm($B$1,$A1066)</f>
        <v>-5.67724561691284</v>
      </c>
    </row>
    <row r="1067" spans="1:6">
      <c r="A1067" s="23">
        <f t="shared" ca="1" si="16"/>
        <v>45108</v>
      </c>
      <c r="B1067" cm="1">
        <f t="array" aca="1" ref="B1067" ca="1">[1]!s_dq_close($B$1,$A1067,3)</f>
        <v>18.440000000000001</v>
      </c>
      <c r="C1067" cm="1">
        <f t="array" aca="1" ref="C1067" ca="1">[1]!s_dq_volume($B$1,$A1067)</f>
        <v>0</v>
      </c>
      <c r="D1067" cm="1">
        <f t="array" aca="1" ref="D1067" ca="1">[1]!s_dq_amount($B$1,$A1067)</f>
        <v>0</v>
      </c>
      <c r="E1067" cm="1">
        <f t="array" aca="1" ref="E1067" ca="1">[1]!s_dq_turn($B$1,$A1067)</f>
        <v>0</v>
      </c>
      <c r="F1067" cm="1">
        <f t="array" aca="1" ref="F1067" ca="1">[1]!s_val_pe_ttm($B$1,$A1067)</f>
        <v>-5.67724561691284</v>
      </c>
    </row>
    <row r="1068" spans="1:6">
      <c r="A1068" s="23">
        <f t="shared" ca="1" si="16"/>
        <v>45107</v>
      </c>
      <c r="B1068" cm="1">
        <f t="array" aca="1" ref="B1068" ca="1">[1]!s_dq_close($B$1,$A1068,3)</f>
        <v>18.440000000000001</v>
      </c>
      <c r="C1068" cm="1">
        <f t="array" aca="1" ref="C1068" ca="1">[1]!s_dq_volume($B$1,$A1068)</f>
        <v>1702000</v>
      </c>
      <c r="D1068" cm="1">
        <f t="array" aca="1" ref="D1068" ca="1">[1]!s_dq_amount($B$1,$A1068)</f>
        <v>31379810</v>
      </c>
      <c r="E1068" cm="1">
        <f t="array" aca="1" ref="E1068" ca="1">[1]!s_dq_turn($B$1,$A1068)</f>
        <v>0.196499163060189</v>
      </c>
      <c r="F1068" cm="1">
        <f t="array" aca="1" ref="F1068" ca="1">[1]!s_val_pe_ttm($B$1,$A1068)</f>
        <v>-5.67724561691284</v>
      </c>
    </row>
    <row r="1069" spans="1:6">
      <c r="A1069" s="23">
        <f t="shared" ca="1" si="16"/>
        <v>45106</v>
      </c>
      <c r="B1069" cm="1">
        <f t="array" aca="1" ref="B1069" ca="1">[1]!s_dq_close($B$1,$A1069,3)</f>
        <v>17.88</v>
      </c>
      <c r="C1069" cm="1">
        <f t="array" aca="1" ref="C1069" ca="1">[1]!s_dq_volume($B$1,$A1069)</f>
        <v>1293302</v>
      </c>
      <c r="D1069" cm="1">
        <f t="array" aca="1" ref="D1069" ca="1">[1]!s_dq_amount($B$1,$A1069)</f>
        <v>22876860</v>
      </c>
      <c r="E1069" cm="1">
        <f t="array" aca="1" ref="E1069" ca="1">[1]!s_dq_turn($B$1,$A1069)</f>
        <v>0.149314195407796</v>
      </c>
      <c r="F1069" cm="1">
        <f t="array" aca="1" ref="F1069" ca="1">[1]!s_val_pe_ttm($B$1,$A1069)</f>
        <v>-5.5048346519470197</v>
      </c>
    </row>
    <row r="1070" spans="1:6">
      <c r="A1070" s="23">
        <f t="shared" ca="1" si="16"/>
        <v>45105</v>
      </c>
      <c r="B1070" cm="1">
        <f t="array" aca="1" ref="B1070" ca="1">[1]!s_dq_close($B$1,$A1070,3)</f>
        <v>17.8</v>
      </c>
      <c r="C1070" cm="1">
        <f t="array" aca="1" ref="C1070" ca="1">[1]!s_dq_volume($B$1,$A1070)</f>
        <v>1920000</v>
      </c>
      <c r="D1070" cm="1">
        <f t="array" aca="1" ref="D1070" ca="1">[1]!s_dq_amount($B$1,$A1070)</f>
        <v>34076360</v>
      </c>
      <c r="E1070" cm="1">
        <f t="array" aca="1" ref="E1070" ca="1">[1]!s_dq_turn($B$1,$A1070)</f>
        <v>0.22166768100796899</v>
      </c>
      <c r="F1070" cm="1">
        <f t="array" aca="1" ref="F1070" ca="1">[1]!s_val_pe_ttm($B$1,$A1070)</f>
        <v>-5.4802045822143599</v>
      </c>
    </row>
    <row r="1071" spans="1:6">
      <c r="A1071" s="23">
        <f t="shared" ca="1" si="16"/>
        <v>45104</v>
      </c>
      <c r="B1071" cm="1">
        <f t="array" aca="1" ref="B1071" ca="1">[1]!s_dq_close($B$1,$A1071,3)</f>
        <v>18.14</v>
      </c>
      <c r="C1071" cm="1">
        <f t="array" aca="1" ref="C1071" ca="1">[1]!s_dq_volume($B$1,$A1071)</f>
        <v>2162500</v>
      </c>
      <c r="D1071" cm="1">
        <f t="array" aca="1" ref="D1071" ca="1">[1]!s_dq_amount($B$1,$A1071)</f>
        <v>39170120</v>
      </c>
      <c r="E1071" cm="1">
        <f t="array" aca="1" ref="E1071" ca="1">[1]!s_dq_turn($B$1,$A1071)</f>
        <v>0.249664770926944</v>
      </c>
      <c r="F1071" cm="1">
        <f t="array" aca="1" ref="F1071" ca="1">[1]!s_val_pe_ttm($B$1,$A1071)</f>
        <v>-5.5848827362060502</v>
      </c>
    </row>
    <row r="1072" spans="1:6">
      <c r="A1072" s="23">
        <f t="shared" ca="1" si="16"/>
        <v>45103</v>
      </c>
      <c r="B1072" cm="1">
        <f t="array" aca="1" ref="B1072" ca="1">[1]!s_dq_close($B$1,$A1072,3)</f>
        <v>18</v>
      </c>
      <c r="C1072" cm="1">
        <f t="array" aca="1" ref="C1072" ca="1">[1]!s_dq_volume($B$1,$A1072)</f>
        <v>2177500</v>
      </c>
      <c r="D1072" cm="1">
        <f t="array" aca="1" ref="D1072" ca="1">[1]!s_dq_amount($B$1,$A1072)</f>
        <v>39068740</v>
      </c>
      <c r="E1072" cm="1">
        <f t="array" aca="1" ref="E1072" ca="1">[1]!s_dq_turn($B$1,$A1072)</f>
        <v>0.251396549684819</v>
      </c>
      <c r="F1072" cm="1">
        <f t="array" aca="1" ref="F1072" ca="1">[1]!s_val_pe_ttm($B$1,$A1072)</f>
        <v>-5.5417799949645996</v>
      </c>
    </row>
    <row r="1073" spans="1:6">
      <c r="A1073" s="23">
        <f t="shared" ca="1" si="16"/>
        <v>45102</v>
      </c>
      <c r="B1073" cm="1">
        <f t="array" aca="1" ref="B1073" ca="1">[1]!s_dq_close($B$1,$A1073,3)</f>
        <v>17.68</v>
      </c>
      <c r="C1073" cm="1">
        <f t="array" aca="1" ref="C1073" ca="1">[1]!s_dq_volume($B$1,$A1073)</f>
        <v>0</v>
      </c>
      <c r="D1073" cm="1">
        <f t="array" aca="1" ref="D1073" ca="1">[1]!s_dq_amount($B$1,$A1073)</f>
        <v>0</v>
      </c>
      <c r="E1073" cm="1">
        <f t="array" aca="1" ref="E1073" ca="1">[1]!s_dq_turn($B$1,$A1073)</f>
        <v>0</v>
      </c>
      <c r="F1073" cm="1">
        <f t="array" aca="1" ref="F1073" ca="1">[1]!s_val_pe_ttm($B$1,$A1073)</f>
        <v>-5.44325923919678</v>
      </c>
    </row>
    <row r="1074" spans="1:6">
      <c r="A1074" s="23">
        <f t="shared" ca="1" si="16"/>
        <v>45101</v>
      </c>
      <c r="B1074" cm="1">
        <f t="array" aca="1" ref="B1074" ca="1">[1]!s_dq_close($B$1,$A1074,3)</f>
        <v>17.68</v>
      </c>
      <c r="C1074" cm="1">
        <f t="array" aca="1" ref="C1074" ca="1">[1]!s_dq_volume($B$1,$A1074)</f>
        <v>0</v>
      </c>
      <c r="D1074" cm="1">
        <f t="array" aca="1" ref="D1074" ca="1">[1]!s_dq_amount($B$1,$A1074)</f>
        <v>0</v>
      </c>
      <c r="E1074" cm="1">
        <f t="array" aca="1" ref="E1074" ca="1">[1]!s_dq_turn($B$1,$A1074)</f>
        <v>0</v>
      </c>
      <c r="F1074" cm="1">
        <f t="array" aca="1" ref="F1074" ca="1">[1]!s_val_pe_ttm($B$1,$A1074)</f>
        <v>-5.44325923919678</v>
      </c>
    </row>
    <row r="1075" spans="1:6">
      <c r="A1075" s="23">
        <f t="shared" ca="1" si="16"/>
        <v>45100</v>
      </c>
      <c r="B1075" cm="1">
        <f t="array" aca="1" ref="B1075" ca="1">[1]!s_dq_close($B$1,$A1075,3)</f>
        <v>17.68</v>
      </c>
      <c r="C1075" cm="1">
        <f t="array" aca="1" ref="C1075" ca="1">[1]!s_dq_volume($B$1,$A1075)</f>
        <v>1646500</v>
      </c>
      <c r="D1075" cm="1">
        <f t="array" aca="1" ref="D1075" ca="1">[1]!s_dq_amount($B$1,$A1075)</f>
        <v>29318826</v>
      </c>
      <c r="E1075" cm="1">
        <f t="array" aca="1" ref="E1075" ca="1">[1]!s_dq_turn($B$1,$A1075)</f>
        <v>0.190091581656053</v>
      </c>
      <c r="F1075" cm="1">
        <f t="array" aca="1" ref="F1075" ca="1">[1]!s_val_pe_ttm($B$1,$A1075)</f>
        <v>-5.44325923919678</v>
      </c>
    </row>
    <row r="1076" spans="1:6">
      <c r="A1076" s="23">
        <f t="shared" ca="1" si="16"/>
        <v>45099</v>
      </c>
      <c r="B1076" cm="1">
        <f t="array" aca="1" ref="B1076" ca="1">[1]!s_dq_close($B$1,$A1076,3)</f>
        <v>18.559999999999999</v>
      </c>
      <c r="C1076" cm="1">
        <f t="array" aca="1" ref="C1076" ca="1">[1]!s_dq_volume($B$1,$A1076)</f>
        <v>0</v>
      </c>
      <c r="D1076" cm="1">
        <f t="array" aca="1" ref="D1076" ca="1">[1]!s_dq_amount($B$1,$A1076)</f>
        <v>0</v>
      </c>
      <c r="E1076" cm="1">
        <f t="array" aca="1" ref="E1076" ca="1">[1]!s_dq_turn($B$1,$A1076)</f>
        <v>0</v>
      </c>
      <c r="F1076" cm="1">
        <f t="array" aca="1" ref="F1076" ca="1">[1]!s_val_pe_ttm($B$1,$A1076)</f>
        <v>-5.7141909599304199</v>
      </c>
    </row>
    <row r="1077" spans="1:6">
      <c r="A1077" s="23">
        <f t="shared" ca="1" si="16"/>
        <v>45098</v>
      </c>
      <c r="B1077" cm="1">
        <f t="array" aca="1" ref="B1077" ca="1">[1]!s_dq_close($B$1,$A1077,3)</f>
        <v>18.559999999999999</v>
      </c>
      <c r="C1077" cm="1">
        <f t="array" aca="1" ref="C1077" ca="1">[1]!s_dq_volume($B$1,$A1077)</f>
        <v>5172500</v>
      </c>
      <c r="D1077" cm="1">
        <f t="array" aca="1" ref="D1077" ca="1">[1]!s_dq_amount($B$1,$A1077)</f>
        <v>95654625</v>
      </c>
      <c r="E1077" cm="1">
        <f t="array" aca="1" ref="E1077" ca="1">[1]!s_dq_turn($B$1,$A1077)</f>
        <v>0.59717504167381297</v>
      </c>
      <c r="F1077" cm="1">
        <f t="array" aca="1" ref="F1077" ca="1">[1]!s_val_pe_ttm($B$1,$A1077)</f>
        <v>-5.7141909599304199</v>
      </c>
    </row>
    <row r="1078" spans="1:6">
      <c r="A1078" s="23">
        <f t="shared" ca="1" si="16"/>
        <v>45097</v>
      </c>
      <c r="B1078" cm="1">
        <f t="array" aca="1" ref="B1078" ca="1">[1]!s_dq_close($B$1,$A1078,3)</f>
        <v>19.739999999999998</v>
      </c>
      <c r="C1078" cm="1">
        <f t="array" aca="1" ref="C1078" ca="1">[1]!s_dq_volume($B$1,$A1078)</f>
        <v>3125860</v>
      </c>
      <c r="D1078" cm="1">
        <f t="array" aca="1" ref="D1078" ca="1">[1]!s_dq_amount($B$1,$A1078)</f>
        <v>62528266</v>
      </c>
      <c r="E1078" cm="1">
        <f t="array" aca="1" ref="E1078" ca="1">[1]!s_dq_turn($B$1,$A1078)</f>
        <v>0.36088652987269298</v>
      </c>
      <c r="F1078" cm="1">
        <f t="array" aca="1" ref="F1078" ca="1">[1]!s_val_pe_ttm($B$1,$A1078)</f>
        <v>-6.0774850845336896</v>
      </c>
    </row>
    <row r="1079" spans="1:6">
      <c r="A1079" s="23">
        <f t="shared" ca="1" si="16"/>
        <v>45096</v>
      </c>
      <c r="B1079" cm="1">
        <f t="array" aca="1" ref="B1079" ca="1">[1]!s_dq_close($B$1,$A1079,3)</f>
        <v>20.95</v>
      </c>
      <c r="C1079" cm="1">
        <f t="array" aca="1" ref="C1079" ca="1">[1]!s_dq_volume($B$1,$A1079)</f>
        <v>2274500</v>
      </c>
      <c r="D1079" cm="1">
        <f t="array" aca="1" ref="D1079" ca="1">[1]!s_dq_amount($B$1,$A1079)</f>
        <v>47479853</v>
      </c>
      <c r="E1079" cm="1">
        <f t="array" aca="1" ref="E1079" ca="1">[1]!s_dq_turn($B$1,$A1079)</f>
        <v>0.26259538565240897</v>
      </c>
      <c r="F1079" cm="1">
        <f t="array" aca="1" ref="F1079" ca="1">[1]!s_val_pe_ttm($B$1,$A1079)</f>
        <v>-6.4500160217285201</v>
      </c>
    </row>
    <row r="1080" spans="1:6">
      <c r="A1080" s="23">
        <f t="shared" ca="1" si="16"/>
        <v>45095</v>
      </c>
      <c r="B1080" cm="1">
        <f t="array" aca="1" ref="B1080" ca="1">[1]!s_dq_close($B$1,$A1080,3)</f>
        <v>21.1</v>
      </c>
      <c r="C1080" cm="1">
        <f t="array" aca="1" ref="C1080" ca="1">[1]!s_dq_volume($B$1,$A1080)</f>
        <v>0</v>
      </c>
      <c r="D1080" cm="1">
        <f t="array" aca="1" ref="D1080" ca="1">[1]!s_dq_amount($B$1,$A1080)</f>
        <v>0</v>
      </c>
      <c r="E1080" cm="1">
        <f t="array" aca="1" ref="E1080" ca="1">[1]!s_dq_turn($B$1,$A1080)</f>
        <v>0</v>
      </c>
      <c r="F1080" cm="1">
        <f t="array" aca="1" ref="F1080" ca="1">[1]!s_val_pe_ttm($B$1,$A1080)</f>
        <v>-6.4961977005004901</v>
      </c>
    </row>
    <row r="1081" spans="1:6">
      <c r="A1081" s="23">
        <f t="shared" ca="1" si="16"/>
        <v>45094</v>
      </c>
      <c r="B1081" cm="1">
        <f t="array" aca="1" ref="B1081" ca="1">[1]!s_dq_close($B$1,$A1081,3)</f>
        <v>21.1</v>
      </c>
      <c r="C1081" cm="1">
        <f t="array" aca="1" ref="C1081" ca="1">[1]!s_dq_volume($B$1,$A1081)</f>
        <v>0</v>
      </c>
      <c r="D1081" cm="1">
        <f t="array" aca="1" ref="D1081" ca="1">[1]!s_dq_amount($B$1,$A1081)</f>
        <v>0</v>
      </c>
      <c r="E1081" cm="1">
        <f t="array" aca="1" ref="E1081" ca="1">[1]!s_dq_turn($B$1,$A1081)</f>
        <v>0</v>
      </c>
      <c r="F1081" cm="1">
        <f t="array" aca="1" ref="F1081" ca="1">[1]!s_val_pe_ttm($B$1,$A1081)</f>
        <v>-6.4961977005004901</v>
      </c>
    </row>
    <row r="1082" spans="1:6">
      <c r="A1082" s="23">
        <f t="shared" ca="1" si="16"/>
        <v>45093</v>
      </c>
      <c r="B1082" cm="1">
        <f t="array" aca="1" ref="B1082" ca="1">[1]!s_dq_close($B$1,$A1082,3)</f>
        <v>21.1</v>
      </c>
      <c r="C1082" cm="1">
        <f t="array" aca="1" ref="C1082" ca="1">[1]!s_dq_volume($B$1,$A1082)</f>
        <v>4765000</v>
      </c>
      <c r="D1082" cm="1">
        <f t="array" aca="1" ref="D1082" ca="1">[1]!s_dq_amount($B$1,$A1082)</f>
        <v>99866241</v>
      </c>
      <c r="E1082" cm="1">
        <f t="array" aca="1" ref="E1082" ca="1">[1]!s_dq_turn($B$1,$A1082)</f>
        <v>0.55012838541821496</v>
      </c>
      <c r="F1082" cm="1">
        <f t="array" aca="1" ref="F1082" ca="1">[1]!s_val_pe_ttm($B$1,$A1082)</f>
        <v>-6.4961977005004901</v>
      </c>
    </row>
    <row r="1083" spans="1:6">
      <c r="A1083" s="23">
        <f t="shared" ca="1" si="16"/>
        <v>45092</v>
      </c>
      <c r="B1083" cm="1">
        <f t="array" aca="1" ref="B1083" ca="1">[1]!s_dq_close($B$1,$A1083,3)</f>
        <v>20</v>
      </c>
      <c r="C1083" cm="1">
        <f t="array" aca="1" ref="C1083" ca="1">[1]!s_dq_volume($B$1,$A1083)</f>
        <v>2126604</v>
      </c>
      <c r="D1083" cm="1">
        <f t="array" aca="1" ref="D1083" ca="1">[1]!s_dq_amount($B$1,$A1083)</f>
        <v>41730298</v>
      </c>
      <c r="E1083" cm="1">
        <f t="array" aca="1" ref="E1083" ca="1">[1]!s_dq_turn($B$1,$A1083)</f>
        <v>0.24552050890743299</v>
      </c>
      <c r="F1083" cm="1">
        <f t="array" aca="1" ref="F1083" ca="1">[1]!s_val_pe_ttm($B$1,$A1083)</f>
        <v>-6.1575331687927202</v>
      </c>
    </row>
    <row r="1084" spans="1:6">
      <c r="A1084" s="23">
        <f t="shared" ca="1" si="16"/>
        <v>45091</v>
      </c>
      <c r="B1084" cm="1">
        <f t="array" aca="1" ref="B1084" ca="1">[1]!s_dq_close($B$1,$A1084,3)</f>
        <v>19.100000000000001</v>
      </c>
      <c r="C1084" cm="1">
        <f t="array" aca="1" ref="C1084" ca="1">[1]!s_dq_volume($B$1,$A1084)</f>
        <v>1701000</v>
      </c>
      <c r="D1084" cm="1">
        <f t="array" aca="1" ref="D1084" ca="1">[1]!s_dq_amount($B$1,$A1084)</f>
        <v>32527977</v>
      </c>
      <c r="E1084" cm="1">
        <f t="array" aca="1" ref="E1084" ca="1">[1]!s_dq_turn($B$1,$A1084)</f>
        <v>0.19638371114299799</v>
      </c>
      <c r="F1084" cm="1">
        <f t="array" aca="1" ref="F1084" ca="1">[1]!s_val_pe_ttm($B$1,$A1084)</f>
        <v>-5.8804440498352104</v>
      </c>
    </row>
    <row r="1085" spans="1:6">
      <c r="A1085" s="23">
        <f t="shared" ca="1" si="16"/>
        <v>45090</v>
      </c>
      <c r="B1085" cm="1">
        <f t="array" aca="1" ref="B1085" ca="1">[1]!s_dq_close($B$1,$A1085,3)</f>
        <v>18.88</v>
      </c>
      <c r="C1085" cm="1">
        <f t="array" aca="1" ref="C1085" ca="1">[1]!s_dq_volume($B$1,$A1085)</f>
        <v>857500</v>
      </c>
      <c r="D1085" cm="1">
        <f t="array" aca="1" ref="D1085" ca="1">[1]!s_dq_amount($B$1,$A1085)</f>
        <v>16116258</v>
      </c>
      <c r="E1085" cm="1">
        <f t="array" aca="1" ref="E1085" ca="1">[1]!s_dq_turn($B$1,$A1085)</f>
        <v>9.9000018991840397E-2</v>
      </c>
      <c r="F1085" cm="1">
        <f t="array" aca="1" ref="F1085" ca="1">[1]!s_val_pe_ttm($B$1,$A1085)</f>
        <v>-5.8127112388610804</v>
      </c>
    </row>
    <row r="1086" spans="1:6">
      <c r="A1086" s="23">
        <f t="shared" ca="1" si="16"/>
        <v>45089</v>
      </c>
      <c r="B1086" cm="1">
        <f t="array" aca="1" ref="B1086" ca="1">[1]!s_dq_close($B$1,$A1086,3)</f>
        <v>18.739999999999998</v>
      </c>
      <c r="C1086" cm="1">
        <f t="array" aca="1" ref="C1086" ca="1">[1]!s_dq_volume($B$1,$A1086)</f>
        <v>1009000</v>
      </c>
      <c r="D1086" cm="1">
        <f t="array" aca="1" ref="D1086" ca="1">[1]!s_dq_amount($B$1,$A1086)</f>
        <v>18929970</v>
      </c>
      <c r="E1086" cm="1">
        <f t="array" aca="1" ref="E1086" ca="1">[1]!s_dq_turn($B$1,$A1086)</f>
        <v>0.116490984446375</v>
      </c>
      <c r="F1086" cm="1">
        <f t="array" aca="1" ref="F1086" ca="1">[1]!s_val_pe_ttm($B$1,$A1086)</f>
        <v>-5.7696084976196298</v>
      </c>
    </row>
    <row r="1087" spans="1:6">
      <c r="A1087" s="23">
        <f t="shared" ca="1" si="16"/>
        <v>45088</v>
      </c>
      <c r="B1087" cm="1">
        <f t="array" aca="1" ref="B1087" ca="1">[1]!s_dq_close($B$1,$A1087,3)</f>
        <v>19.100000000000001</v>
      </c>
      <c r="C1087" cm="1">
        <f t="array" aca="1" ref="C1087" ca="1">[1]!s_dq_volume($B$1,$A1087)</f>
        <v>0</v>
      </c>
      <c r="D1087" cm="1">
        <f t="array" aca="1" ref="D1087" ca="1">[1]!s_dq_amount($B$1,$A1087)</f>
        <v>0</v>
      </c>
      <c r="E1087" cm="1">
        <f t="array" aca="1" ref="E1087" ca="1">[1]!s_dq_turn($B$1,$A1087)</f>
        <v>0</v>
      </c>
      <c r="F1087" cm="1">
        <f t="array" aca="1" ref="F1087" ca="1">[1]!s_val_pe_ttm($B$1,$A1087)</f>
        <v>-5.8804440498352104</v>
      </c>
    </row>
    <row r="1088" spans="1:6">
      <c r="A1088" s="23">
        <f t="shared" ca="1" si="16"/>
        <v>45087</v>
      </c>
      <c r="B1088" cm="1">
        <f t="array" aca="1" ref="B1088" ca="1">[1]!s_dq_close($B$1,$A1088,3)</f>
        <v>19.100000000000001</v>
      </c>
      <c r="C1088" cm="1">
        <f t="array" aca="1" ref="C1088" ca="1">[1]!s_dq_volume($B$1,$A1088)</f>
        <v>0</v>
      </c>
      <c r="D1088" cm="1">
        <f t="array" aca="1" ref="D1088" ca="1">[1]!s_dq_amount($B$1,$A1088)</f>
        <v>0</v>
      </c>
      <c r="E1088" cm="1">
        <f t="array" aca="1" ref="E1088" ca="1">[1]!s_dq_turn($B$1,$A1088)</f>
        <v>0</v>
      </c>
      <c r="F1088" cm="1">
        <f t="array" aca="1" ref="F1088" ca="1">[1]!s_val_pe_ttm($B$1,$A1088)</f>
        <v>-5.8804440498352104</v>
      </c>
    </row>
    <row r="1089" spans="1:6">
      <c r="A1089" s="23">
        <f t="shared" ca="1" si="16"/>
        <v>45086</v>
      </c>
      <c r="B1089" cm="1">
        <f t="array" aca="1" ref="B1089" ca="1">[1]!s_dq_close($B$1,$A1089,3)</f>
        <v>19.100000000000001</v>
      </c>
      <c r="C1089" cm="1">
        <f t="array" aca="1" ref="C1089" ca="1">[1]!s_dq_volume($B$1,$A1089)</f>
        <v>1648050</v>
      </c>
      <c r="D1089" cm="1">
        <f t="array" aca="1" ref="D1089" ca="1">[1]!s_dq_amount($B$1,$A1089)</f>
        <v>31471053</v>
      </c>
      <c r="E1089" cm="1">
        <f t="array" aca="1" ref="E1089" ca="1">[1]!s_dq_turn($B$1,$A1089)</f>
        <v>0.19027053212770001</v>
      </c>
      <c r="F1089" cm="1">
        <f t="array" aca="1" ref="F1089" ca="1">[1]!s_val_pe_ttm($B$1,$A1089)</f>
        <v>-5.8804440498352104</v>
      </c>
    </row>
    <row r="1090" spans="1:6">
      <c r="A1090" s="23">
        <f t="shared" ca="1" si="16"/>
        <v>45085</v>
      </c>
      <c r="B1090" cm="1">
        <f t="array" aca="1" ref="B1090" ca="1">[1]!s_dq_close($B$1,$A1090,3)</f>
        <v>18.98</v>
      </c>
      <c r="C1090" cm="1">
        <f t="array" aca="1" ref="C1090" ca="1">[1]!s_dq_volume($B$1,$A1090)</f>
        <v>1022500</v>
      </c>
      <c r="D1090" cm="1">
        <f t="array" aca="1" ref="D1090" ca="1">[1]!s_dq_amount($B$1,$A1090)</f>
        <v>19304700</v>
      </c>
      <c r="E1090" cm="1">
        <f t="array" aca="1" ref="E1090" ca="1">[1]!s_dq_turn($B$1,$A1090)</f>
        <v>0.11804958532846301</v>
      </c>
      <c r="F1090" cm="1">
        <f t="array" aca="1" ref="F1090" ca="1">[1]!s_val_pe_ttm($B$1,$A1090)</f>
        <v>-5.8434991836547896</v>
      </c>
    </row>
    <row r="1091" spans="1:6">
      <c r="A1091" s="23">
        <f t="shared" ca="1" si="16"/>
        <v>45084</v>
      </c>
      <c r="B1091" cm="1">
        <f t="array" aca="1" ref="B1091" ca="1">[1]!s_dq_close($B$1,$A1091,3)</f>
        <v>19.399999999999999</v>
      </c>
      <c r="C1091" cm="1">
        <f t="array" aca="1" ref="C1091" ca="1">[1]!s_dq_volume($B$1,$A1091)</f>
        <v>1773000</v>
      </c>
      <c r="D1091" cm="1">
        <f t="array" aca="1" ref="D1091" ca="1">[1]!s_dq_amount($B$1,$A1091)</f>
        <v>34574015</v>
      </c>
      <c r="E1091" cm="1">
        <f t="array" aca="1" ref="E1091" ca="1">[1]!s_dq_turn($B$1,$A1091)</f>
        <v>0.20469624918079601</v>
      </c>
      <c r="F1091" cm="1">
        <f t="array" aca="1" ref="F1091" ca="1">[1]!s_val_pe_ttm($B$1,$A1091)</f>
        <v>-5.9728074073791504</v>
      </c>
    </row>
    <row r="1092" spans="1:6">
      <c r="A1092" s="23">
        <f t="shared" ca="1" si="16"/>
        <v>45083</v>
      </c>
      <c r="B1092" cm="1">
        <f t="array" aca="1" ref="B1092" ca="1">[1]!s_dq_close($B$1,$A1092,3)</f>
        <v>19.38</v>
      </c>
      <c r="C1092" cm="1">
        <f t="array" aca="1" ref="C1092" ca="1">[1]!s_dq_volume($B$1,$A1092)</f>
        <v>1577042</v>
      </c>
      <c r="D1092" cm="1">
        <f t="array" aca="1" ref="D1092" ca="1">[1]!s_dq_amount($B$1,$A1092)</f>
        <v>30438052</v>
      </c>
      <c r="E1092" cm="1">
        <f t="array" aca="1" ref="E1092" ca="1">[1]!s_dq_turn($B$1,$A1092)</f>
        <v>0.182072522391755</v>
      </c>
      <c r="F1092" cm="1">
        <f t="array" aca="1" ref="F1092" ca="1">[1]!s_val_pe_ttm($B$1,$A1092)</f>
        <v>-5.9666495323181197</v>
      </c>
    </row>
    <row r="1093" spans="1:6">
      <c r="A1093" s="23">
        <f t="shared" ca="1" si="16"/>
        <v>45082</v>
      </c>
      <c r="B1093" cm="1">
        <f t="array" aca="1" ref="B1093" ca="1">[1]!s_dq_close($B$1,$A1093,3)</f>
        <v>19.52</v>
      </c>
      <c r="C1093" cm="1">
        <f t="array" aca="1" ref="C1093" ca="1">[1]!s_dq_volume($B$1,$A1093)</f>
        <v>1142000</v>
      </c>
      <c r="D1093" cm="1">
        <f t="array" aca="1" ref="D1093" ca="1">[1]!s_dq_amount($B$1,$A1093)</f>
        <v>22298795</v>
      </c>
      <c r="E1093" cm="1">
        <f t="array" aca="1" ref="E1093" ca="1">[1]!s_dq_turn($B$1,$A1093)</f>
        <v>0.13184608943286499</v>
      </c>
      <c r="F1093" cm="1">
        <f t="array" aca="1" ref="F1093" ca="1">[1]!s_val_pe_ttm($B$1,$A1093)</f>
        <v>-6.0097522735595703</v>
      </c>
    </row>
    <row r="1094" spans="1:6">
      <c r="A1094" s="23">
        <f t="shared" ca="1" si="16"/>
        <v>45081</v>
      </c>
      <c r="B1094" cm="1">
        <f t="array" aca="1" ref="B1094" ca="1">[1]!s_dq_close($B$1,$A1094,3)</f>
        <v>19.760000000000002</v>
      </c>
      <c r="C1094" cm="1">
        <f t="array" aca="1" ref="C1094" ca="1">[1]!s_dq_volume($B$1,$A1094)</f>
        <v>0</v>
      </c>
      <c r="D1094" cm="1">
        <f t="array" aca="1" ref="D1094" ca="1">[1]!s_dq_amount($B$1,$A1094)</f>
        <v>0</v>
      </c>
      <c r="E1094" cm="1">
        <f t="array" aca="1" ref="E1094" ca="1">[1]!s_dq_turn($B$1,$A1094)</f>
        <v>0</v>
      </c>
      <c r="F1094" cm="1">
        <f t="array" aca="1" ref="F1094" ca="1">[1]!s_val_pe_ttm($B$1,$A1094)</f>
        <v>-6.0836429595947301</v>
      </c>
    </row>
    <row r="1095" spans="1:6">
      <c r="A1095" s="23">
        <f t="shared" ca="1" si="16"/>
        <v>45080</v>
      </c>
      <c r="B1095" cm="1">
        <f t="array" aca="1" ref="B1095" ca="1">[1]!s_dq_close($B$1,$A1095,3)</f>
        <v>19.760000000000002</v>
      </c>
      <c r="C1095" cm="1">
        <f t="array" aca="1" ref="C1095" ca="1">[1]!s_dq_volume($B$1,$A1095)</f>
        <v>0</v>
      </c>
      <c r="D1095" cm="1">
        <f t="array" aca="1" ref="D1095" ca="1">[1]!s_dq_amount($B$1,$A1095)</f>
        <v>0</v>
      </c>
      <c r="E1095" cm="1">
        <f t="array" aca="1" ref="E1095" ca="1">[1]!s_dq_turn($B$1,$A1095)</f>
        <v>0</v>
      </c>
      <c r="F1095" cm="1">
        <f t="array" aca="1" ref="F1095" ca="1">[1]!s_val_pe_ttm($B$1,$A1095)</f>
        <v>-6.0836429595947301</v>
      </c>
    </row>
    <row r="1096" spans="1:6">
      <c r="A1096" s="23">
        <f t="shared" ca="1" si="16"/>
        <v>45079</v>
      </c>
      <c r="B1096" cm="1">
        <f t="array" aca="1" ref="B1096" ca="1">[1]!s_dq_close($B$1,$A1096,3)</f>
        <v>19.760000000000002</v>
      </c>
      <c r="C1096" cm="1">
        <f t="array" aca="1" ref="C1096" ca="1">[1]!s_dq_volume($B$1,$A1096)</f>
        <v>2725655</v>
      </c>
      <c r="D1096" cm="1">
        <f t="array" aca="1" ref="D1096" ca="1">[1]!s_dq_amount($B$1,$A1096)</f>
        <v>53538826</v>
      </c>
      <c r="E1096" cm="1">
        <f t="array" aca="1" ref="E1096" ca="1">[1]!s_dq_turn($B$1,$A1096)</f>
        <v>0.31468209535300801</v>
      </c>
      <c r="F1096" cm="1">
        <f t="array" aca="1" ref="F1096" ca="1">[1]!s_val_pe_ttm($B$1,$A1096)</f>
        <v>-6.0836429595947301</v>
      </c>
    </row>
    <row r="1097" spans="1:6">
      <c r="A1097" s="23">
        <f t="shared" ca="1" si="16"/>
        <v>45078</v>
      </c>
      <c r="B1097" cm="1">
        <f t="array" aca="1" ref="B1097" ca="1">[1]!s_dq_close($B$1,$A1097,3)</f>
        <v>19.04</v>
      </c>
      <c r="C1097" cm="1">
        <f t="array" aca="1" ref="C1097" ca="1">[1]!s_dq_volume($B$1,$A1097)</f>
        <v>1212088</v>
      </c>
      <c r="D1097" cm="1">
        <f t="array" aca="1" ref="D1097" ca="1">[1]!s_dq_amount($B$1,$A1097)</f>
        <v>23351739</v>
      </c>
      <c r="E1097" cm="1">
        <f t="array" aca="1" ref="E1097" ca="1">[1]!s_dq_turn($B$1,$A1097)</f>
        <v>0.139937883404993</v>
      </c>
      <c r="F1097" cm="1">
        <f t="array" aca="1" ref="F1097" ca="1">[1]!s_val_pe_ttm($B$1,$A1097)</f>
        <v>-5.8619713783264196</v>
      </c>
    </row>
    <row r="1098" spans="1:6">
      <c r="A1098" s="23">
        <f t="shared" ca="1" si="16"/>
        <v>45077</v>
      </c>
      <c r="B1098" cm="1">
        <f t="array" aca="1" ref="B1098" ca="1">[1]!s_dq_close($B$1,$A1098,3)</f>
        <v>19</v>
      </c>
      <c r="C1098" cm="1">
        <f t="array" aca="1" ref="C1098" ca="1">[1]!s_dq_volume($B$1,$A1098)</f>
        <v>2715226</v>
      </c>
      <c r="D1098" cm="1">
        <f t="array" aca="1" ref="D1098" ca="1">[1]!s_dq_amount($B$1,$A1098)</f>
        <v>51728519</v>
      </c>
      <c r="E1098" cm="1">
        <f t="array" aca="1" ref="E1098" ca="1">[1]!s_dq_turn($B$1,$A1098)</f>
        <v>0.313478047308617</v>
      </c>
      <c r="F1098" cm="1">
        <f t="array" aca="1" ref="F1098" ca="1">[1]!s_val_pe_ttm($B$1,$A1098)</f>
        <v>-5.8494534492492702</v>
      </c>
    </row>
    <row r="1099" spans="1:6">
      <c r="A1099" s="23">
        <f t="shared" ca="1" si="16"/>
        <v>45076</v>
      </c>
      <c r="B1099" cm="1">
        <f t="array" aca="1" ref="B1099" ca="1">[1]!s_dq_close($B$1,$A1099,3)</f>
        <v>19.899999999999999</v>
      </c>
      <c r="C1099" cm="1">
        <f t="array" aca="1" ref="C1099" ca="1">[1]!s_dq_volume($B$1,$A1099)</f>
        <v>2690500</v>
      </c>
      <c r="D1099" cm="1">
        <f t="array" aca="1" ref="D1099" ca="1">[1]!s_dq_amount($B$1,$A1099)</f>
        <v>53152940</v>
      </c>
      <c r="E1099" cm="1">
        <f t="array" aca="1" ref="E1099" ca="1">[1]!s_dq_turn($B$1,$A1099)</f>
        <v>0.31063416371504599</v>
      </c>
      <c r="F1099" cm="1">
        <f t="array" aca="1" ref="F1099" ca="1">[1]!s_val_pe_ttm($B$1,$A1099)</f>
        <v>-6.1265330314636204</v>
      </c>
    </row>
    <row r="1100" spans="1:6">
      <c r="A1100" s="23">
        <f t="shared" ca="1" si="16"/>
        <v>45075</v>
      </c>
      <c r="B1100" cm="1">
        <f t="array" aca="1" ref="B1100" ca="1">[1]!s_dq_close($B$1,$A1100,3)</f>
        <v>19.899999999999999</v>
      </c>
      <c r="C1100" cm="1">
        <f t="array" aca="1" ref="C1100" ca="1">[1]!s_dq_volume($B$1,$A1100)</f>
        <v>2456000</v>
      </c>
      <c r="D1100" cm="1">
        <f t="array" aca="1" ref="D1100" ca="1">[1]!s_dq_amount($B$1,$A1100)</f>
        <v>49962657</v>
      </c>
      <c r="E1100" cm="1">
        <f t="array" aca="1" ref="E1100" ca="1">[1]!s_dq_turn($B$1,$A1100)</f>
        <v>0.28355974952022001</v>
      </c>
      <c r="F1100" cm="1">
        <f t="array" aca="1" ref="F1100" ca="1">[1]!s_val_pe_ttm($B$1,$A1100)</f>
        <v>-6.1265330314636204</v>
      </c>
    </row>
    <row r="1101" spans="1:6">
      <c r="A1101" s="23">
        <f t="shared" ref="A1101:A1164" ca="1" si="17">A1100-1</f>
        <v>45074</v>
      </c>
      <c r="B1101" cm="1">
        <f t="array" aca="1" ref="B1101" ca="1">[1]!s_dq_close($B$1,$A1101,3)</f>
        <v>20.149999999999999</v>
      </c>
      <c r="C1101" cm="1">
        <f t="array" aca="1" ref="C1101" ca="1">[1]!s_dq_volume($B$1,$A1101)</f>
        <v>0</v>
      </c>
      <c r="D1101" cm="1">
        <f t="array" aca="1" ref="D1101" ca="1">[1]!s_dq_amount($B$1,$A1101)</f>
        <v>0</v>
      </c>
      <c r="E1101" cm="1">
        <f t="array" aca="1" ref="E1101" ca="1">[1]!s_dq_turn($B$1,$A1101)</f>
        <v>0</v>
      </c>
      <c r="F1101" cm="1">
        <f t="array" aca="1" ref="F1101" ca="1">[1]!s_val_pe_ttm($B$1,$A1101)</f>
        <v>-6.2034993171691903</v>
      </c>
    </row>
    <row r="1102" spans="1:6">
      <c r="A1102" s="23">
        <f t="shared" ca="1" si="17"/>
        <v>45073</v>
      </c>
      <c r="B1102" cm="1">
        <f t="array" aca="1" ref="B1102" ca="1">[1]!s_dq_close($B$1,$A1102,3)</f>
        <v>20.149999999999999</v>
      </c>
      <c r="C1102" cm="1">
        <f t="array" aca="1" ref="C1102" ca="1">[1]!s_dq_volume($B$1,$A1102)</f>
        <v>0</v>
      </c>
      <c r="D1102" cm="1">
        <f t="array" aca="1" ref="D1102" ca="1">[1]!s_dq_amount($B$1,$A1102)</f>
        <v>0</v>
      </c>
      <c r="E1102" cm="1">
        <f t="array" aca="1" ref="E1102" ca="1">[1]!s_dq_turn($B$1,$A1102)</f>
        <v>0</v>
      </c>
      <c r="F1102" cm="1">
        <f t="array" aca="1" ref="F1102" ca="1">[1]!s_val_pe_ttm($B$1,$A1102)</f>
        <v>-6.2034993171691903</v>
      </c>
    </row>
    <row r="1103" spans="1:6">
      <c r="A1103" s="23">
        <f t="shared" ca="1" si="17"/>
        <v>45072</v>
      </c>
      <c r="B1103" cm="1">
        <f t="array" aca="1" ref="B1103" ca="1">[1]!s_dq_close($B$1,$A1103,3)</f>
        <v>20.149999999999999</v>
      </c>
      <c r="C1103" cm="1">
        <f t="array" aca="1" ref="C1103" ca="1">[1]!s_dq_volume($B$1,$A1103)</f>
        <v>0</v>
      </c>
      <c r="D1103" cm="1">
        <f t="array" aca="1" ref="D1103" ca="1">[1]!s_dq_amount($B$1,$A1103)</f>
        <v>0</v>
      </c>
      <c r="E1103" cm="1">
        <f t="array" aca="1" ref="E1103" ca="1">[1]!s_dq_turn($B$1,$A1103)</f>
        <v>0</v>
      </c>
      <c r="F1103" cm="1">
        <f t="array" aca="1" ref="F1103" ca="1">[1]!s_val_pe_ttm($B$1,$A1103)</f>
        <v>-6.2034993171691903</v>
      </c>
    </row>
    <row r="1104" spans="1:6">
      <c r="A1104" s="23">
        <f t="shared" ca="1" si="17"/>
        <v>45071</v>
      </c>
      <c r="B1104" cm="1">
        <f t="array" aca="1" ref="B1104" ca="1">[1]!s_dq_close($B$1,$A1104,3)</f>
        <v>20.149999999999999</v>
      </c>
      <c r="C1104" cm="1">
        <f t="array" aca="1" ref="C1104" ca="1">[1]!s_dq_volume($B$1,$A1104)</f>
        <v>2030500</v>
      </c>
      <c r="D1104" cm="1">
        <f t="array" aca="1" ref="D1104" ca="1">[1]!s_dq_amount($B$1,$A1104)</f>
        <v>40487372</v>
      </c>
      <c r="E1104" cm="1">
        <f t="array" aca="1" ref="E1104" ca="1">[1]!s_dq_turn($B$1,$A1104)</f>
        <v>0.23443325382769001</v>
      </c>
      <c r="F1104" cm="1">
        <f t="array" aca="1" ref="F1104" ca="1">[1]!s_val_pe_ttm($B$1,$A1104)</f>
        <v>-6.2034993171691903</v>
      </c>
    </row>
    <row r="1105" spans="1:6">
      <c r="A1105" s="23">
        <f t="shared" ca="1" si="17"/>
        <v>45070</v>
      </c>
      <c r="B1105" cm="1">
        <f t="array" aca="1" ref="B1105" ca="1">[1]!s_dq_close($B$1,$A1105,3)</f>
        <v>20.6</v>
      </c>
      <c r="C1105" cm="1">
        <f t="array" aca="1" ref="C1105" ca="1">[1]!s_dq_volume($B$1,$A1105)</f>
        <v>976500</v>
      </c>
      <c r="D1105" cm="1">
        <f t="array" aca="1" ref="D1105" ca="1">[1]!s_dq_amount($B$1,$A1105)</f>
        <v>20277300</v>
      </c>
      <c r="E1105" cm="1">
        <f t="array" aca="1" ref="E1105" ca="1">[1]!s_dq_turn($B$1,$A1105)</f>
        <v>0.11274270985606499</v>
      </c>
      <c r="F1105" cm="1">
        <f t="array" aca="1" ref="F1105" ca="1">[1]!s_val_pe_ttm($B$1,$A1105)</f>
        <v>-6.3420391082763699</v>
      </c>
    </row>
    <row r="1106" spans="1:6">
      <c r="A1106" s="23">
        <f t="shared" ca="1" si="17"/>
        <v>45069</v>
      </c>
      <c r="B1106" cm="1">
        <f t="array" aca="1" ref="B1106" ca="1">[1]!s_dq_close($B$1,$A1106,3)</f>
        <v>20.9</v>
      </c>
      <c r="C1106" cm="1">
        <f t="array" aca="1" ref="C1106" ca="1">[1]!s_dq_volume($B$1,$A1106)</f>
        <v>1181000</v>
      </c>
      <c r="D1106" cm="1">
        <f t="array" aca="1" ref="D1106" ca="1">[1]!s_dq_amount($B$1,$A1106)</f>
        <v>24806187</v>
      </c>
      <c r="E1106" cm="1">
        <f t="array" aca="1" ref="E1106" ca="1">[1]!s_dq_turn($B$1,$A1106)</f>
        <v>0.136353446328738</v>
      </c>
      <c r="F1106" cm="1">
        <f t="array" aca="1" ref="F1106" ca="1">[1]!s_val_pe_ttm($B$1,$A1106)</f>
        <v>-6.4343986511230504</v>
      </c>
    </row>
    <row r="1107" spans="1:6">
      <c r="A1107" s="23">
        <f t="shared" ca="1" si="17"/>
        <v>45068</v>
      </c>
      <c r="B1107" cm="1">
        <f t="array" aca="1" ref="B1107" ca="1">[1]!s_dq_close($B$1,$A1107,3)</f>
        <v>20.6</v>
      </c>
      <c r="C1107" cm="1">
        <f t="array" aca="1" ref="C1107" ca="1">[1]!s_dq_volume($B$1,$A1107)</f>
        <v>843000</v>
      </c>
      <c r="D1107" cm="1">
        <f t="array" aca="1" ref="D1107" ca="1">[1]!s_dq_amount($B$1,$A1107)</f>
        <v>17429750</v>
      </c>
      <c r="E1107" cm="1">
        <f t="array" aca="1" ref="E1107" ca="1">[1]!s_dq_turn($B$1,$A1107)</f>
        <v>9.7329343992485898E-2</v>
      </c>
      <c r="F1107" cm="1">
        <f t="array" aca="1" ref="F1107" ca="1">[1]!s_val_pe_ttm($B$1,$A1107)</f>
        <v>-6.3420391082763699</v>
      </c>
    </row>
    <row r="1108" spans="1:6">
      <c r="A1108" s="23">
        <f t="shared" ca="1" si="17"/>
        <v>45067</v>
      </c>
      <c r="B1108" cm="1">
        <f t="array" aca="1" ref="B1108" ca="1">[1]!s_dq_close($B$1,$A1108,3)</f>
        <v>20.25</v>
      </c>
      <c r="C1108" cm="1">
        <f t="array" aca="1" ref="C1108" ca="1">[1]!s_dq_volume($B$1,$A1108)</f>
        <v>0</v>
      </c>
      <c r="D1108" cm="1">
        <f t="array" aca="1" ref="D1108" ca="1">[1]!s_dq_amount($B$1,$A1108)</f>
        <v>0</v>
      </c>
      <c r="E1108" cm="1">
        <f t="array" aca="1" ref="E1108" ca="1">[1]!s_dq_turn($B$1,$A1108)</f>
        <v>0</v>
      </c>
      <c r="F1108" cm="1">
        <f t="array" aca="1" ref="F1108" ca="1">[1]!s_val_pe_ttm($B$1,$A1108)</f>
        <v>-6.2342858314514196</v>
      </c>
    </row>
    <row r="1109" spans="1:6">
      <c r="A1109" s="23">
        <f t="shared" ca="1" si="17"/>
        <v>45066</v>
      </c>
      <c r="B1109" cm="1">
        <f t="array" aca="1" ref="B1109" ca="1">[1]!s_dq_close($B$1,$A1109,3)</f>
        <v>20.25</v>
      </c>
      <c r="C1109" cm="1">
        <f t="array" aca="1" ref="C1109" ca="1">[1]!s_dq_volume($B$1,$A1109)</f>
        <v>0</v>
      </c>
      <c r="D1109" cm="1">
        <f t="array" aca="1" ref="D1109" ca="1">[1]!s_dq_amount($B$1,$A1109)</f>
        <v>0</v>
      </c>
      <c r="E1109" cm="1">
        <f t="array" aca="1" ref="E1109" ca="1">[1]!s_dq_turn($B$1,$A1109)</f>
        <v>0</v>
      </c>
      <c r="F1109" cm="1">
        <f t="array" aca="1" ref="F1109" ca="1">[1]!s_val_pe_ttm($B$1,$A1109)</f>
        <v>-6.2342858314514196</v>
      </c>
    </row>
    <row r="1110" spans="1:6">
      <c r="A1110" s="23">
        <f t="shared" ca="1" si="17"/>
        <v>45065</v>
      </c>
      <c r="B1110" cm="1">
        <f t="array" aca="1" ref="B1110" ca="1">[1]!s_dq_close($B$1,$A1110,3)</f>
        <v>20.25</v>
      </c>
      <c r="C1110" cm="1">
        <f t="array" aca="1" ref="C1110" ca="1">[1]!s_dq_volume($B$1,$A1110)</f>
        <v>2001000</v>
      </c>
      <c r="D1110" cm="1">
        <f t="array" aca="1" ref="D1110" ca="1">[1]!s_dq_amount($B$1,$A1110)</f>
        <v>40387107</v>
      </c>
      <c r="E1110" cm="1">
        <f t="array" aca="1" ref="E1110" ca="1">[1]!s_dq_turn($B$1,$A1110)</f>
        <v>0.23102730406757299</v>
      </c>
      <c r="F1110" cm="1">
        <f t="array" aca="1" ref="F1110" ca="1">[1]!s_val_pe_ttm($B$1,$A1110)</f>
        <v>-6.2342858314514196</v>
      </c>
    </row>
    <row r="1111" spans="1:6">
      <c r="A1111" s="23">
        <f t="shared" ca="1" si="17"/>
        <v>45064</v>
      </c>
      <c r="B1111" cm="1">
        <f t="array" aca="1" ref="B1111" ca="1">[1]!s_dq_close($B$1,$A1111,3)</f>
        <v>20.7</v>
      </c>
      <c r="C1111" cm="1">
        <f t="array" aca="1" ref="C1111" ca="1">[1]!s_dq_volume($B$1,$A1111)</f>
        <v>1397624</v>
      </c>
      <c r="D1111" cm="1">
        <f t="array" aca="1" ref="D1111" ca="1">[1]!s_dq_amount($B$1,$A1111)</f>
        <v>29065621</v>
      </c>
      <c r="E1111" cm="1">
        <f t="array" aca="1" ref="E1111" ca="1">[1]!s_dq_turn($B$1,$A1111)</f>
        <v>0.16136397042485701</v>
      </c>
      <c r="F1111" cm="1">
        <f t="array" aca="1" ref="F1111" ca="1">[1]!s_val_pe_ttm($B$1,$A1111)</f>
        <v>-6.3728256225585902</v>
      </c>
    </row>
    <row r="1112" spans="1:6">
      <c r="A1112" s="23">
        <f t="shared" ca="1" si="17"/>
        <v>45063</v>
      </c>
      <c r="B1112" cm="1">
        <f t="array" aca="1" ref="B1112" ca="1">[1]!s_dq_close($B$1,$A1112,3)</f>
        <v>20.9</v>
      </c>
      <c r="C1112" cm="1">
        <f t="array" aca="1" ref="C1112" ca="1">[1]!s_dq_volume($B$1,$A1112)</f>
        <v>2975500</v>
      </c>
      <c r="D1112" cm="1">
        <f t="array" aca="1" ref="D1112" ca="1">[1]!s_dq_amount($B$1,$A1112)</f>
        <v>62943400</v>
      </c>
      <c r="E1112" cm="1">
        <f t="array" aca="1" ref="E1112" ca="1">[1]!s_dq_turn($B$1,$A1112)</f>
        <v>0.34353910207549498</v>
      </c>
      <c r="F1112" cm="1">
        <f t="array" aca="1" ref="F1112" ca="1">[1]!s_val_pe_ttm($B$1,$A1112)</f>
        <v>-6.4343986511230504</v>
      </c>
    </row>
    <row r="1113" spans="1:6">
      <c r="A1113" s="23">
        <f t="shared" ca="1" si="17"/>
        <v>45062</v>
      </c>
      <c r="B1113" cm="1">
        <f t="array" aca="1" ref="B1113" ca="1">[1]!s_dq_close($B$1,$A1113,3)</f>
        <v>22.1</v>
      </c>
      <c r="C1113" cm="1">
        <f t="array" aca="1" ref="C1113" ca="1">[1]!s_dq_volume($B$1,$A1113)</f>
        <v>1613500</v>
      </c>
      <c r="D1113" cm="1">
        <f t="array" aca="1" ref="D1113" ca="1">[1]!s_dq_amount($B$1,$A1113)</f>
        <v>36249550</v>
      </c>
      <c r="E1113" cm="1">
        <f t="array" aca="1" ref="E1113" ca="1">[1]!s_dq_turn($B$1,$A1113)</f>
        <v>0.18628813348977</v>
      </c>
      <c r="F1113" cm="1">
        <f t="array" aca="1" ref="F1113" ca="1">[1]!s_val_pe_ttm($B$1,$A1113)</f>
        <v>-6.8038382530212402</v>
      </c>
    </row>
    <row r="1114" spans="1:6">
      <c r="A1114" s="23">
        <f t="shared" ca="1" si="17"/>
        <v>45061</v>
      </c>
      <c r="B1114" cm="1">
        <f t="array" aca="1" ref="B1114" ca="1">[1]!s_dq_close($B$1,$A1114,3)</f>
        <v>21.9</v>
      </c>
      <c r="C1114" cm="1">
        <f t="array" aca="1" ref="C1114" ca="1">[1]!s_dq_volume($B$1,$A1114)</f>
        <v>1946328</v>
      </c>
      <c r="D1114" cm="1">
        <f t="array" aca="1" ref="D1114" ca="1">[1]!s_dq_amount($B$1,$A1114)</f>
        <v>42235695</v>
      </c>
      <c r="E1114" cm="1">
        <f t="array" aca="1" ref="E1114" ca="1">[1]!s_dq_turn($B$1,$A1114)</f>
        <v>0.22471509778672299</v>
      </c>
      <c r="F1114" cm="1">
        <f t="array" aca="1" ref="F1114" ca="1">[1]!s_val_pe_ttm($B$1,$A1114)</f>
        <v>-6.7422647476196298</v>
      </c>
    </row>
    <row r="1115" spans="1:6">
      <c r="A1115" s="23">
        <f t="shared" ca="1" si="17"/>
        <v>45060</v>
      </c>
      <c r="B1115" cm="1">
        <f t="array" aca="1" ref="B1115" ca="1">[1]!s_dq_close($B$1,$A1115,3)</f>
        <v>21.6</v>
      </c>
      <c r="C1115" cm="1">
        <f t="array" aca="1" ref="C1115" ca="1">[1]!s_dq_volume($B$1,$A1115)</f>
        <v>0</v>
      </c>
      <c r="D1115" cm="1">
        <f t="array" aca="1" ref="D1115" ca="1">[1]!s_dq_amount($B$1,$A1115)</f>
        <v>0</v>
      </c>
      <c r="E1115" cm="1">
        <f t="array" aca="1" ref="E1115" ca="1">[1]!s_dq_turn($B$1,$A1115)</f>
        <v>0</v>
      </c>
      <c r="F1115" cm="1">
        <f t="array" aca="1" ref="F1115" ca="1">[1]!s_val_pe_ttm($B$1,$A1115)</f>
        <v>-6.6499052047729501</v>
      </c>
    </row>
    <row r="1116" spans="1:6">
      <c r="A1116" s="23">
        <f t="shared" ca="1" si="17"/>
        <v>45059</v>
      </c>
      <c r="B1116" cm="1">
        <f t="array" aca="1" ref="B1116" ca="1">[1]!s_dq_close($B$1,$A1116,3)</f>
        <v>21.6</v>
      </c>
      <c r="C1116" cm="1">
        <f t="array" aca="1" ref="C1116" ca="1">[1]!s_dq_volume($B$1,$A1116)</f>
        <v>0</v>
      </c>
      <c r="D1116" cm="1">
        <f t="array" aca="1" ref="D1116" ca="1">[1]!s_dq_amount($B$1,$A1116)</f>
        <v>0</v>
      </c>
      <c r="E1116" cm="1">
        <f t="array" aca="1" ref="E1116" ca="1">[1]!s_dq_turn($B$1,$A1116)</f>
        <v>0</v>
      </c>
      <c r="F1116" cm="1">
        <f t="array" aca="1" ref="F1116" ca="1">[1]!s_val_pe_ttm($B$1,$A1116)</f>
        <v>-6.6499052047729501</v>
      </c>
    </row>
    <row r="1117" spans="1:6">
      <c r="A1117" s="23">
        <f t="shared" ca="1" si="17"/>
        <v>45058</v>
      </c>
      <c r="B1117" cm="1">
        <f t="array" aca="1" ref="B1117" ca="1">[1]!s_dq_close($B$1,$A1117,3)</f>
        <v>21.6</v>
      </c>
      <c r="C1117" cm="1">
        <f t="array" aca="1" ref="C1117" ca="1">[1]!s_dq_volume($B$1,$A1117)</f>
        <v>1694000</v>
      </c>
      <c r="D1117" cm="1">
        <f t="array" aca="1" ref="D1117" ca="1">[1]!s_dq_amount($B$1,$A1117)</f>
        <v>37082850</v>
      </c>
      <c r="E1117" cm="1">
        <f t="array" aca="1" ref="E1117" ca="1">[1]!s_dq_turn($B$1,$A1117)</f>
        <v>0.19558233537754599</v>
      </c>
      <c r="F1117" cm="1">
        <f t="array" aca="1" ref="F1117" ca="1">[1]!s_val_pe_ttm($B$1,$A1117)</f>
        <v>-6.6499052047729501</v>
      </c>
    </row>
    <row r="1118" spans="1:6">
      <c r="A1118" s="23">
        <f t="shared" ca="1" si="17"/>
        <v>45057</v>
      </c>
      <c r="B1118" cm="1">
        <f t="array" aca="1" ref="B1118" ca="1">[1]!s_dq_close($B$1,$A1118,3)</f>
        <v>22.35</v>
      </c>
      <c r="C1118" cm="1">
        <f t="array" aca="1" ref="C1118" ca="1">[1]!s_dq_volume($B$1,$A1118)</f>
        <v>1591000</v>
      </c>
      <c r="D1118" cm="1">
        <f t="array" aca="1" ref="D1118" ca="1">[1]!s_dq_amount($B$1,$A1118)</f>
        <v>35751400</v>
      </c>
      <c r="E1118" cm="1">
        <f t="array" aca="1" ref="E1118" ca="1">[1]!s_dq_turn($B$1,$A1118)</f>
        <v>0.18369037519815601</v>
      </c>
      <c r="F1118" cm="1">
        <f t="array" aca="1" ref="F1118" ca="1">[1]!s_val_pe_ttm($B$1,$A1118)</f>
        <v>-6.8808045387268102</v>
      </c>
    </row>
    <row r="1119" spans="1:6">
      <c r="A1119" s="23">
        <f t="shared" ca="1" si="17"/>
        <v>45056</v>
      </c>
      <c r="B1119" cm="1">
        <f t="array" aca="1" ref="B1119" ca="1">[1]!s_dq_close($B$1,$A1119,3)</f>
        <v>22.6</v>
      </c>
      <c r="C1119" cm="1">
        <f t="array" aca="1" ref="C1119" ca="1">[1]!s_dq_volume($B$1,$A1119)</f>
        <v>2311770</v>
      </c>
      <c r="D1119" cm="1">
        <f t="array" aca="1" ref="D1119" ca="1">[1]!s_dq_amount($B$1,$A1119)</f>
        <v>52310271</v>
      </c>
      <c r="E1119" cm="1">
        <f t="array" aca="1" ref="E1119" ca="1">[1]!s_dq_turn($B$1,$A1119)</f>
        <v>0.26690754159135099</v>
      </c>
      <c r="F1119" cm="1">
        <f t="array" aca="1" ref="F1119" ca="1">[1]!s_val_pe_ttm($B$1,$A1119)</f>
        <v>-6.9577708244323704</v>
      </c>
    </row>
    <row r="1120" spans="1:6">
      <c r="A1120" s="23">
        <f t="shared" ca="1" si="17"/>
        <v>45055</v>
      </c>
      <c r="B1120" cm="1">
        <f t="array" aca="1" ref="B1120" ca="1">[1]!s_dq_close($B$1,$A1120,3)</f>
        <v>23</v>
      </c>
      <c r="C1120" cm="1">
        <f t="array" aca="1" ref="C1120" ca="1">[1]!s_dq_volume($B$1,$A1120)</f>
        <v>3278740</v>
      </c>
      <c r="D1120" cm="1">
        <f t="array" aca="1" ref="D1120" ca="1">[1]!s_dq_amount($B$1,$A1120)</f>
        <v>75924571</v>
      </c>
      <c r="E1120" cm="1">
        <f t="array" aca="1" ref="E1120" ca="1">[1]!s_dq_turn($B$1,$A1120)</f>
        <v>0.37854995649101197</v>
      </c>
      <c r="F1120" cm="1">
        <f t="array" aca="1" ref="F1120" ca="1">[1]!s_val_pe_ttm($B$1,$A1120)</f>
        <v>-7.0809173583984402</v>
      </c>
    </row>
    <row r="1121" spans="1:6">
      <c r="A1121" s="23">
        <f t="shared" ca="1" si="17"/>
        <v>45054</v>
      </c>
      <c r="B1121" cm="1">
        <f t="array" aca="1" ref="B1121" ca="1">[1]!s_dq_close($B$1,$A1121,3)</f>
        <v>24.65</v>
      </c>
      <c r="C1121" cm="1">
        <f t="array" aca="1" ref="C1121" ca="1">[1]!s_dq_volume($B$1,$A1121)</f>
        <v>2056930</v>
      </c>
      <c r="D1121" cm="1">
        <f t="array" aca="1" ref="D1121" ca="1">[1]!s_dq_amount($B$1,$A1121)</f>
        <v>50634277</v>
      </c>
      <c r="E1121" cm="1">
        <f t="array" aca="1" ref="E1121" ca="1">[1]!s_dq_turn($B$1,$A1121)</f>
        <v>0.23748475390090601</v>
      </c>
      <c r="F1121" cm="1">
        <f t="array" aca="1" ref="F1121" ca="1">[1]!s_val_pe_ttm($B$1,$A1121)</f>
        <v>-7.5888962745666504</v>
      </c>
    </row>
    <row r="1122" spans="1:6">
      <c r="A1122" s="23">
        <f t="shared" ca="1" si="17"/>
        <v>45053</v>
      </c>
      <c r="B1122" cm="1">
        <f t="array" aca="1" ref="B1122" ca="1">[1]!s_dq_close($B$1,$A1122,3)</f>
        <v>25.15</v>
      </c>
      <c r="C1122" cm="1">
        <f t="array" aca="1" ref="C1122" ca="1">[1]!s_dq_volume($B$1,$A1122)</f>
        <v>0</v>
      </c>
      <c r="D1122" cm="1">
        <f t="array" aca="1" ref="D1122" ca="1">[1]!s_dq_amount($B$1,$A1122)</f>
        <v>0</v>
      </c>
      <c r="E1122" cm="1">
        <f t="array" aca="1" ref="E1122" ca="1">[1]!s_dq_turn($B$1,$A1122)</f>
        <v>0</v>
      </c>
      <c r="F1122" cm="1">
        <f t="array" aca="1" ref="F1122" ca="1">[1]!s_val_pe_ttm($B$1,$A1122)</f>
        <v>-7.7428293228149396</v>
      </c>
    </row>
    <row r="1123" spans="1:6">
      <c r="A1123" s="23">
        <f t="shared" ca="1" si="17"/>
        <v>45052</v>
      </c>
      <c r="B1123" cm="1">
        <f t="array" aca="1" ref="B1123" ca="1">[1]!s_dq_close($B$1,$A1123,3)</f>
        <v>25.15</v>
      </c>
      <c r="C1123" cm="1">
        <f t="array" aca="1" ref="C1123" ca="1">[1]!s_dq_volume($B$1,$A1123)</f>
        <v>0</v>
      </c>
      <c r="D1123" cm="1">
        <f t="array" aca="1" ref="D1123" ca="1">[1]!s_dq_amount($B$1,$A1123)</f>
        <v>0</v>
      </c>
      <c r="E1123" cm="1">
        <f t="array" aca="1" ref="E1123" ca="1">[1]!s_dq_turn($B$1,$A1123)</f>
        <v>0</v>
      </c>
      <c r="F1123" cm="1">
        <f t="array" aca="1" ref="F1123" ca="1">[1]!s_val_pe_ttm($B$1,$A1123)</f>
        <v>-7.7428293228149396</v>
      </c>
    </row>
    <row r="1124" spans="1:6">
      <c r="A1124" s="23">
        <f t="shared" ca="1" si="17"/>
        <v>45051</v>
      </c>
      <c r="B1124" cm="1">
        <f t="array" aca="1" ref="B1124" ca="1">[1]!s_dq_close($B$1,$A1124,3)</f>
        <v>25.15</v>
      </c>
      <c r="C1124" cm="1">
        <f t="array" aca="1" ref="C1124" ca="1">[1]!s_dq_volume($B$1,$A1124)</f>
        <v>2359500</v>
      </c>
      <c r="D1124" cm="1">
        <f t="array" aca="1" ref="D1124" ca="1">[1]!s_dq_amount($B$1,$A1124)</f>
        <v>59864701</v>
      </c>
      <c r="E1124" cm="1">
        <f t="array" aca="1" ref="E1124" ca="1">[1]!s_dq_turn($B$1,$A1124)</f>
        <v>0.27241825284729598</v>
      </c>
      <c r="F1124" cm="1">
        <f t="array" aca="1" ref="F1124" ca="1">[1]!s_val_pe_ttm($B$1,$A1124)</f>
        <v>-7.7428293228149396</v>
      </c>
    </row>
    <row r="1125" spans="1:6">
      <c r="A1125" s="23">
        <f t="shared" ca="1" si="17"/>
        <v>45050</v>
      </c>
      <c r="B1125" cm="1">
        <f t="array" aca="1" ref="B1125" ca="1">[1]!s_dq_close($B$1,$A1125,3)</f>
        <v>24.35</v>
      </c>
      <c r="C1125" cm="1">
        <f t="array" aca="1" ref="C1125" ca="1">[1]!s_dq_volume($B$1,$A1125)</f>
        <v>2309800</v>
      </c>
      <c r="D1125" cm="1">
        <f t="array" aca="1" ref="D1125" ca="1">[1]!s_dq_amount($B$1,$A1125)</f>
        <v>55553267</v>
      </c>
      <c r="E1125" cm="1">
        <f t="array" aca="1" ref="E1125" ca="1">[1]!s_dq_turn($B$1,$A1125)</f>
        <v>0.26668009342093002</v>
      </c>
      <c r="F1125" cm="1">
        <f t="array" aca="1" ref="F1125" ca="1">[1]!s_val_pe_ttm($B$1,$A1125)</f>
        <v>-7.4965362548828098</v>
      </c>
    </row>
    <row r="1126" spans="1:6">
      <c r="A1126" s="23">
        <f t="shared" ca="1" si="17"/>
        <v>45049</v>
      </c>
      <c r="B1126" cm="1">
        <f t="array" aca="1" ref="B1126" ca="1">[1]!s_dq_close($B$1,$A1126,3)</f>
        <v>23.35</v>
      </c>
      <c r="C1126" cm="1">
        <f t="array" aca="1" ref="C1126" ca="1">[1]!s_dq_volume($B$1,$A1126)</f>
        <v>721000</v>
      </c>
      <c r="D1126" cm="1">
        <f t="array" aca="1" ref="D1126" ca="1">[1]!s_dq_amount($B$1,$A1126)</f>
        <v>16644462</v>
      </c>
      <c r="E1126" cm="1">
        <f t="array" aca="1" ref="E1126" ca="1">[1]!s_dq_turn($B$1,$A1126)</f>
        <v>8.3243721255732303E-2</v>
      </c>
      <c r="F1126" cm="1">
        <f t="array" aca="1" ref="F1126" ca="1">[1]!s_val_pe_ttm($B$1,$A1126)</f>
        <v>-7.1886706352233896</v>
      </c>
    </row>
    <row r="1127" spans="1:6">
      <c r="A1127" s="23">
        <f t="shared" ca="1" si="17"/>
        <v>45048</v>
      </c>
      <c r="B1127" cm="1">
        <f t="array" aca="1" ref="B1127" ca="1">[1]!s_dq_close($B$1,$A1127,3)</f>
        <v>23.6</v>
      </c>
      <c r="C1127" cm="1">
        <f t="array" aca="1" ref="C1127" ca="1">[1]!s_dq_volume($B$1,$A1127)</f>
        <v>719414</v>
      </c>
      <c r="D1127" cm="1">
        <f t="array" aca="1" ref="D1127" ca="1">[1]!s_dq_amount($B$1,$A1127)</f>
        <v>16928966</v>
      </c>
      <c r="E1127" cm="1">
        <f t="array" aca="1" ref="E1127" ca="1">[1]!s_dq_turn($B$1,$A1127)</f>
        <v>8.3060608160154606E-2</v>
      </c>
      <c r="F1127" cm="1">
        <f t="array" aca="1" ref="F1127" ca="1">[1]!s_val_pe_ttm($B$1,$A1127)</f>
        <v>-7.2656369209289604</v>
      </c>
    </row>
    <row r="1128" spans="1:6">
      <c r="A1128" s="23">
        <f t="shared" ca="1" si="17"/>
        <v>45047</v>
      </c>
      <c r="B1128" cm="1">
        <f t="array" aca="1" ref="B1128" ca="1">[1]!s_dq_close($B$1,$A1128,3)</f>
        <v>24.05</v>
      </c>
      <c r="C1128" cm="1">
        <f t="array" aca="1" ref="C1128" ca="1">[1]!s_dq_volume($B$1,$A1128)</f>
        <v>0</v>
      </c>
      <c r="D1128" cm="1">
        <f t="array" aca="1" ref="D1128" ca="1">[1]!s_dq_amount($B$1,$A1128)</f>
        <v>0</v>
      </c>
      <c r="E1128" cm="1">
        <f t="array" aca="1" ref="E1128" ca="1">[1]!s_dq_turn($B$1,$A1128)</f>
        <v>0</v>
      </c>
      <c r="F1128" cm="1">
        <f t="array" aca="1" ref="F1128" ca="1">[1]!s_val_pe_ttm($B$1,$A1128)</f>
        <v>-7.3927431106567401</v>
      </c>
    </row>
    <row r="1129" spans="1:6">
      <c r="A1129" s="23">
        <f t="shared" ca="1" si="17"/>
        <v>45046</v>
      </c>
      <c r="B1129" cm="1">
        <f t="array" aca="1" ref="B1129" ca="1">[1]!s_dq_close($B$1,$A1129,3)</f>
        <v>24.05</v>
      </c>
      <c r="C1129" cm="1">
        <f t="array" aca="1" ref="C1129" ca="1">[1]!s_dq_volume($B$1,$A1129)</f>
        <v>0</v>
      </c>
      <c r="D1129" cm="1">
        <f t="array" aca="1" ref="D1129" ca="1">[1]!s_dq_amount($B$1,$A1129)</f>
        <v>0</v>
      </c>
      <c r="E1129" cm="1">
        <f t="array" aca="1" ref="E1129" ca="1">[1]!s_dq_turn($B$1,$A1129)</f>
        <v>0</v>
      </c>
      <c r="F1129" cm="1">
        <f t="array" aca="1" ref="F1129" ca="1">[1]!s_val_pe_ttm($B$1,$A1129)</f>
        <v>-7.3927431106567401</v>
      </c>
    </row>
    <row r="1130" spans="1:6">
      <c r="A1130" s="23">
        <f t="shared" ca="1" si="17"/>
        <v>45045</v>
      </c>
      <c r="B1130" cm="1">
        <f t="array" aca="1" ref="B1130" ca="1">[1]!s_dq_close($B$1,$A1130,3)</f>
        <v>24.05</v>
      </c>
      <c r="C1130" cm="1">
        <f t="array" aca="1" ref="C1130" ca="1">[1]!s_dq_volume($B$1,$A1130)</f>
        <v>0</v>
      </c>
      <c r="D1130" cm="1">
        <f t="array" aca="1" ref="D1130" ca="1">[1]!s_dq_amount($B$1,$A1130)</f>
        <v>0</v>
      </c>
      <c r="E1130" cm="1">
        <f t="array" aca="1" ref="E1130" ca="1">[1]!s_dq_turn($B$1,$A1130)</f>
        <v>0</v>
      </c>
      <c r="F1130" cm="1">
        <f t="array" aca="1" ref="F1130" ca="1">[1]!s_val_pe_ttm($B$1,$A1130)</f>
        <v>-7.3927431106567401</v>
      </c>
    </row>
    <row r="1131" spans="1:6">
      <c r="A1131" s="23">
        <f t="shared" ca="1" si="17"/>
        <v>45044</v>
      </c>
      <c r="B1131" cm="1">
        <f t="array" aca="1" ref="B1131" ca="1">[1]!s_dq_close($B$1,$A1131,3)</f>
        <v>24.05</v>
      </c>
      <c r="C1131" cm="1">
        <f t="array" aca="1" ref="C1131" ca="1">[1]!s_dq_volume($B$1,$A1131)</f>
        <v>1450102</v>
      </c>
      <c r="D1131" cm="1">
        <f t="array" aca="1" ref="D1131" ca="1">[1]!s_dq_amount($B$1,$A1131)</f>
        <v>35563791</v>
      </c>
      <c r="E1131" cm="1">
        <f t="array" aca="1" ref="E1131" ca="1">[1]!s_dq_turn($B$1,$A1131)</f>
        <v>0.16768180644386599</v>
      </c>
      <c r="F1131" cm="1">
        <f t="array" aca="1" ref="F1131" ca="1">[1]!s_val_pe_ttm($B$1,$A1131)</f>
        <v>-7.3927431106567401</v>
      </c>
    </row>
    <row r="1132" spans="1:6">
      <c r="A1132" s="23">
        <f t="shared" ca="1" si="17"/>
        <v>45043</v>
      </c>
      <c r="B1132" cm="1">
        <f t="array" aca="1" ref="B1132" ca="1">[1]!s_dq_close($B$1,$A1132,3)</f>
        <v>24.1</v>
      </c>
      <c r="C1132" cm="1">
        <f t="array" aca="1" ref="C1132" ca="1">[1]!s_dq_volume($B$1,$A1132)</f>
        <v>1933500</v>
      </c>
      <c r="D1132" cm="1">
        <f t="array" aca="1" ref="D1132" ca="1">[1]!s_dq_amount($B$1,$A1132)</f>
        <v>45904290</v>
      </c>
      <c r="E1132" cm="1">
        <f t="array" aca="1" ref="E1132" ca="1">[1]!s_dq_turn($B$1,$A1132)</f>
        <v>0.223579288049541</v>
      </c>
      <c r="F1132" cm="1">
        <f t="array" aca="1" ref="F1132" ca="1">[1]!s_val_pe_ttm($B$1,$A1132)</f>
        <v>-7.4081125259399396</v>
      </c>
    </row>
    <row r="1133" spans="1:6">
      <c r="A1133" s="23">
        <f t="shared" ca="1" si="17"/>
        <v>45042</v>
      </c>
      <c r="B1133" cm="1">
        <f t="array" aca="1" ref="B1133" ca="1">[1]!s_dq_close($B$1,$A1133,3)</f>
        <v>24.3</v>
      </c>
      <c r="C1133" cm="1">
        <f t="array" aca="1" ref="C1133" ca="1">[1]!s_dq_volume($B$1,$A1133)</f>
        <v>4477006</v>
      </c>
      <c r="D1133" cm="1">
        <f t="array" aca="1" ref="D1133" ca="1">[1]!s_dq_amount($B$1,$A1133)</f>
        <v>107556920</v>
      </c>
      <c r="E1133" cm="1">
        <f t="array" aca="1" ref="E1133" ca="1">[1]!s_dq_turn($B$1,$A1133)</f>
        <v>0.51769630932170796</v>
      </c>
      <c r="F1133" cm="1">
        <f t="array" aca="1" ref="F1133" ca="1">[1]!s_val_pe_ttm($B$1,$A1133)</f>
        <v>-7.4695906639099103</v>
      </c>
    </row>
    <row r="1134" spans="1:6">
      <c r="A1134" s="23">
        <f t="shared" ca="1" si="17"/>
        <v>45041</v>
      </c>
      <c r="B1134" cm="1">
        <f t="array" aca="1" ref="B1134" ca="1">[1]!s_dq_close($B$1,$A1134,3)</f>
        <v>24.95</v>
      </c>
      <c r="C1134" cm="1">
        <f t="array" aca="1" ref="C1134" ca="1">[1]!s_dq_volume($B$1,$A1134)</f>
        <v>2825000</v>
      </c>
      <c r="D1134" cm="1">
        <f t="array" aca="1" ref="D1134" ca="1">[1]!s_dq_amount($B$1,$A1134)</f>
        <v>70777512</v>
      </c>
      <c r="E1134" cm="1">
        <f t="array" aca="1" ref="E1134" ca="1">[1]!s_dq_turn($B$1,$A1134)</f>
        <v>0.32666743663819597</v>
      </c>
      <c r="F1134" cm="1">
        <f t="array" aca="1" ref="F1134" ca="1">[1]!s_val_pe_ttm($B$1,$A1134)</f>
        <v>-7.66939449310303</v>
      </c>
    </row>
    <row r="1135" spans="1:6">
      <c r="A1135" s="23">
        <f t="shared" ca="1" si="17"/>
        <v>45040</v>
      </c>
      <c r="B1135" cm="1">
        <f t="array" aca="1" ref="B1135" ca="1">[1]!s_dq_close($B$1,$A1135,3)</f>
        <v>26.45</v>
      </c>
      <c r="C1135" cm="1">
        <f t="array" aca="1" ref="C1135" ca="1">[1]!s_dq_volume($B$1,$A1135)</f>
        <v>2300000</v>
      </c>
      <c r="D1135" cm="1">
        <f t="array" aca="1" ref="D1135" ca="1">[1]!s_dq_amount($B$1,$A1135)</f>
        <v>60756495</v>
      </c>
      <c r="E1135" cm="1">
        <f t="array" aca="1" ref="E1135" ca="1">[1]!s_dq_turn($B$1,$A1135)</f>
        <v>0.26595932894437202</v>
      </c>
      <c r="F1135" cm="1">
        <f t="array" aca="1" ref="F1135" ca="1">[1]!s_val_pe_ttm($B$1,$A1135)</f>
        <v>-8.1304798126220703</v>
      </c>
    </row>
    <row r="1136" spans="1:6">
      <c r="A1136" s="23">
        <f t="shared" ca="1" si="17"/>
        <v>45039</v>
      </c>
      <c r="B1136" cm="1">
        <f t="array" aca="1" ref="B1136" ca="1">[1]!s_dq_close($B$1,$A1136,3)</f>
        <v>26.1</v>
      </c>
      <c r="C1136" cm="1">
        <f t="array" aca="1" ref="C1136" ca="1">[1]!s_dq_volume($B$1,$A1136)</f>
        <v>0</v>
      </c>
      <c r="D1136" cm="1">
        <f t="array" aca="1" ref="D1136" ca="1">[1]!s_dq_amount($B$1,$A1136)</f>
        <v>0</v>
      </c>
      <c r="E1136" cm="1">
        <f t="array" aca="1" ref="E1136" ca="1">[1]!s_dq_turn($B$1,$A1136)</f>
        <v>0</v>
      </c>
      <c r="F1136" cm="1">
        <f t="array" aca="1" ref="F1136" ca="1">[1]!s_val_pe_ttm($B$1,$A1136)</f>
        <v>-8.0228939056396502</v>
      </c>
    </row>
    <row r="1137" spans="1:6">
      <c r="A1137" s="23">
        <f t="shared" ca="1" si="17"/>
        <v>45038</v>
      </c>
      <c r="B1137" cm="1">
        <f t="array" aca="1" ref="B1137" ca="1">[1]!s_dq_close($B$1,$A1137,3)</f>
        <v>26.1</v>
      </c>
      <c r="C1137" cm="1">
        <f t="array" aca="1" ref="C1137" ca="1">[1]!s_dq_volume($B$1,$A1137)</f>
        <v>0</v>
      </c>
      <c r="D1137" cm="1">
        <f t="array" aca="1" ref="D1137" ca="1">[1]!s_dq_amount($B$1,$A1137)</f>
        <v>0</v>
      </c>
      <c r="E1137" cm="1">
        <f t="array" aca="1" ref="E1137" ca="1">[1]!s_dq_turn($B$1,$A1137)</f>
        <v>0</v>
      </c>
      <c r="F1137" cm="1">
        <f t="array" aca="1" ref="F1137" ca="1">[1]!s_val_pe_ttm($B$1,$A1137)</f>
        <v>-8.0228939056396502</v>
      </c>
    </row>
    <row r="1138" spans="1:6">
      <c r="A1138" s="23">
        <f t="shared" ca="1" si="17"/>
        <v>45037</v>
      </c>
      <c r="B1138" cm="1">
        <f t="array" aca="1" ref="B1138" ca="1">[1]!s_dq_close($B$1,$A1138,3)</f>
        <v>26.1</v>
      </c>
      <c r="C1138" cm="1">
        <f t="array" aca="1" ref="C1138" ca="1">[1]!s_dq_volume($B$1,$A1138)</f>
        <v>1465500</v>
      </c>
      <c r="D1138" cm="1">
        <f t="array" aca="1" ref="D1138" ca="1">[1]!s_dq_amount($B$1,$A1138)</f>
        <v>38153825</v>
      </c>
      <c r="E1138" cm="1">
        <f t="array" aca="1" ref="E1138" ca="1">[1]!s_dq_turn($B$1,$A1138)</f>
        <v>0.169462346333903</v>
      </c>
      <c r="F1138" cm="1">
        <f t="array" aca="1" ref="F1138" ca="1">[1]!s_val_pe_ttm($B$1,$A1138)</f>
        <v>-8.0228939056396502</v>
      </c>
    </row>
    <row r="1139" spans="1:6">
      <c r="A1139" s="23">
        <f t="shared" ca="1" si="17"/>
        <v>45036</v>
      </c>
      <c r="B1139" cm="1">
        <f t="array" aca="1" ref="B1139" ca="1">[1]!s_dq_close($B$1,$A1139,3)</f>
        <v>26.05</v>
      </c>
      <c r="C1139" cm="1">
        <f t="array" aca="1" ref="C1139" ca="1">[1]!s_dq_volume($B$1,$A1139)</f>
        <v>2842500</v>
      </c>
      <c r="D1139" cm="1">
        <f t="array" aca="1" ref="D1139" ca="1">[1]!s_dq_amount($B$1,$A1139)</f>
        <v>74531025</v>
      </c>
      <c r="E1139" cm="1">
        <f t="array" aca="1" ref="E1139" ca="1">[1]!s_dq_turn($B$1,$A1139)</f>
        <v>0.328691040227991</v>
      </c>
      <c r="F1139" cm="1">
        <f t="array" aca="1" ref="F1139" ca="1">[1]!s_val_pe_ttm($B$1,$A1139)</f>
        <v>-8.0075235366821307</v>
      </c>
    </row>
    <row r="1140" spans="1:6">
      <c r="A1140" s="23">
        <f t="shared" ca="1" si="17"/>
        <v>45035</v>
      </c>
      <c r="B1140" cm="1">
        <f t="array" aca="1" ref="B1140" ca="1">[1]!s_dq_close($B$1,$A1140,3)</f>
        <v>27.2</v>
      </c>
      <c r="C1140" cm="1">
        <f t="array" aca="1" ref="C1140" ca="1">[1]!s_dq_volume($B$1,$A1140)</f>
        <v>2313500</v>
      </c>
      <c r="D1140" cm="1">
        <f t="array" aca="1" ref="D1140" ca="1">[1]!s_dq_amount($B$1,$A1140)</f>
        <v>62076988</v>
      </c>
      <c r="E1140" cm="1">
        <f t="array" aca="1" ref="E1140" ca="1">[1]!s_dq_turn($B$1,$A1140)</f>
        <v>0.26752039457078503</v>
      </c>
      <c r="F1140" cm="1">
        <f t="array" aca="1" ref="F1140" ca="1">[1]!s_val_pe_ttm($B$1,$A1140)</f>
        <v>-8.36102294921875</v>
      </c>
    </row>
    <row r="1141" spans="1:6">
      <c r="A1141" s="23">
        <f t="shared" ca="1" si="17"/>
        <v>45034</v>
      </c>
      <c r="B1141" cm="1">
        <f t="array" aca="1" ref="B1141" ca="1">[1]!s_dq_close($B$1,$A1141,3)</f>
        <v>27.55</v>
      </c>
      <c r="C1141" cm="1">
        <f t="array" aca="1" ref="C1141" ca="1">[1]!s_dq_volume($B$1,$A1141)</f>
        <v>2579368</v>
      </c>
      <c r="D1141" cm="1">
        <f t="array" aca="1" ref="D1141" ca="1">[1]!s_dq_amount($B$1,$A1141)</f>
        <v>70434062</v>
      </c>
      <c r="E1141" cm="1">
        <f t="array" aca="1" ref="E1141" ca="1">[1]!s_dq_turn($B$1,$A1141)</f>
        <v>0.29826390538286401</v>
      </c>
      <c r="F1141" cm="1">
        <f t="array" aca="1" ref="F1141" ca="1">[1]!s_val_pe_ttm($B$1,$A1141)</f>
        <v>-8.4686098098754901</v>
      </c>
    </row>
    <row r="1142" spans="1:6">
      <c r="A1142" s="23">
        <f t="shared" ca="1" si="17"/>
        <v>45033</v>
      </c>
      <c r="B1142" cm="1">
        <f t="array" aca="1" ref="B1142" ca="1">[1]!s_dq_close($B$1,$A1142,3)</f>
        <v>26.95</v>
      </c>
      <c r="C1142" cm="1">
        <f t="array" aca="1" ref="C1142" ca="1">[1]!s_dq_volume($B$1,$A1142)</f>
        <v>4263132</v>
      </c>
      <c r="D1142" cm="1">
        <f t="array" aca="1" ref="D1142" ca="1">[1]!s_dq_amount($B$1,$A1142)</f>
        <v>116713064</v>
      </c>
      <c r="E1142" cm="1">
        <f t="array" aca="1" ref="E1142" ca="1">[1]!s_dq_turn($B$1,$A1142)</f>
        <v>0.49296509822664297</v>
      </c>
      <c r="F1142" cm="1">
        <f t="array" aca="1" ref="F1142" ca="1">[1]!s_val_pe_ttm($B$1,$A1142)</f>
        <v>-8.2841758728027308</v>
      </c>
    </row>
    <row r="1143" spans="1:6">
      <c r="A1143" s="23">
        <f t="shared" ca="1" si="17"/>
        <v>45032</v>
      </c>
      <c r="B1143" cm="1">
        <f t="array" aca="1" ref="B1143" ca="1">[1]!s_dq_close($B$1,$A1143,3)</f>
        <v>28.65</v>
      </c>
      <c r="C1143" cm="1">
        <f t="array" aca="1" ref="C1143" ca="1">[1]!s_dq_volume($B$1,$A1143)</f>
        <v>0</v>
      </c>
      <c r="D1143" cm="1">
        <f t="array" aca="1" ref="D1143" ca="1">[1]!s_dq_amount($B$1,$A1143)</f>
        <v>0</v>
      </c>
      <c r="E1143" cm="1">
        <f t="array" aca="1" ref="E1143" ca="1">[1]!s_dq_turn($B$1,$A1143)</f>
        <v>0</v>
      </c>
      <c r="F1143" cm="1">
        <f t="array" aca="1" ref="F1143" ca="1">[1]!s_val_pe_ttm($B$1,$A1143)</f>
        <v>-8.8067398071289098</v>
      </c>
    </row>
    <row r="1144" spans="1:6">
      <c r="A1144" s="23">
        <f t="shared" ca="1" si="17"/>
        <v>45031</v>
      </c>
      <c r="B1144" cm="1">
        <f t="array" aca="1" ref="B1144" ca="1">[1]!s_dq_close($B$1,$A1144,3)</f>
        <v>28.65</v>
      </c>
      <c r="C1144" cm="1">
        <f t="array" aca="1" ref="C1144" ca="1">[1]!s_dq_volume($B$1,$A1144)</f>
        <v>0</v>
      </c>
      <c r="D1144" cm="1">
        <f t="array" aca="1" ref="D1144" ca="1">[1]!s_dq_amount($B$1,$A1144)</f>
        <v>0</v>
      </c>
      <c r="E1144" cm="1">
        <f t="array" aca="1" ref="E1144" ca="1">[1]!s_dq_turn($B$1,$A1144)</f>
        <v>0</v>
      </c>
      <c r="F1144" cm="1">
        <f t="array" aca="1" ref="F1144" ca="1">[1]!s_val_pe_ttm($B$1,$A1144)</f>
        <v>-8.8067398071289098</v>
      </c>
    </row>
    <row r="1145" spans="1:6">
      <c r="A1145" s="23">
        <f t="shared" ca="1" si="17"/>
        <v>45030</v>
      </c>
      <c r="B1145" cm="1">
        <f t="array" aca="1" ref="B1145" ca="1">[1]!s_dq_close($B$1,$A1145,3)</f>
        <v>28.65</v>
      </c>
      <c r="C1145" cm="1">
        <f t="array" aca="1" ref="C1145" ca="1">[1]!s_dq_volume($B$1,$A1145)</f>
        <v>6393100</v>
      </c>
      <c r="D1145" cm="1">
        <f t="array" aca="1" ref="D1145" ca="1">[1]!s_dq_amount($B$1,$A1145)</f>
        <v>182417733</v>
      </c>
      <c r="E1145" cm="1">
        <f t="array" aca="1" ref="E1145" ca="1">[1]!s_dq_turn($B$1,$A1145)</f>
        <v>0.73926286342359404</v>
      </c>
      <c r="F1145" cm="1">
        <f t="array" aca="1" ref="F1145" ca="1">[1]!s_val_pe_ttm($B$1,$A1145)</f>
        <v>-8.8067398071289098</v>
      </c>
    </row>
    <row r="1146" spans="1:6">
      <c r="A1146" s="23">
        <f t="shared" ca="1" si="17"/>
        <v>45029</v>
      </c>
      <c r="B1146" cm="1">
        <f t="array" aca="1" ref="B1146" ca="1">[1]!s_dq_close($B$1,$A1146,3)</f>
        <v>27.1</v>
      </c>
      <c r="C1146" cm="1">
        <f t="array" aca="1" ref="C1146" ca="1">[1]!s_dq_volume($B$1,$A1146)</f>
        <v>7034309</v>
      </c>
      <c r="D1146" cm="1">
        <f t="array" aca="1" ref="D1146" ca="1">[1]!s_dq_amount($B$1,$A1146)</f>
        <v>185570368</v>
      </c>
      <c r="E1146" cm="1">
        <f t="array" aca="1" ref="E1146" ca="1">[1]!s_dq_turn($B$1,$A1146)</f>
        <v>0.81340873966406901</v>
      </c>
      <c r="F1146" cm="1">
        <f t="array" aca="1" ref="F1146" ca="1">[1]!s_val_pe_ttm($B$1,$A1146)</f>
        <v>-8.3302841186523402</v>
      </c>
    </row>
    <row r="1147" spans="1:6">
      <c r="A1147" s="23">
        <f t="shared" ca="1" si="17"/>
        <v>45028</v>
      </c>
      <c r="B1147" cm="1">
        <f t="array" aca="1" ref="B1147" ca="1">[1]!s_dq_close($B$1,$A1147,3)</f>
        <v>25</v>
      </c>
      <c r="C1147" cm="1">
        <f t="array" aca="1" ref="C1147" ca="1">[1]!s_dq_volume($B$1,$A1147)</f>
        <v>4527699</v>
      </c>
      <c r="D1147" cm="1">
        <f t="array" aca="1" ref="D1147" ca="1">[1]!s_dq_amount($B$1,$A1147)</f>
        <v>112243160</v>
      </c>
      <c r="E1147" cm="1">
        <f t="array" aca="1" ref="E1147" ca="1">[1]!s_dq_turn($B$1,$A1147)</f>
        <v>0.52355816856613302</v>
      </c>
      <c r="F1147" cm="1">
        <f t="array" aca="1" ref="F1147" ca="1">[1]!s_val_pe_ttm($B$1,$A1147)</f>
        <v>-7.6847639083862296</v>
      </c>
    </row>
    <row r="1148" spans="1:6">
      <c r="A1148" s="23">
        <f t="shared" ca="1" si="17"/>
        <v>45027</v>
      </c>
      <c r="B1148" cm="1">
        <f t="array" aca="1" ref="B1148" ca="1">[1]!s_dq_close($B$1,$A1148,3)</f>
        <v>23.6</v>
      </c>
      <c r="C1148" cm="1">
        <f t="array" aca="1" ref="C1148" ca="1">[1]!s_dq_volume($B$1,$A1148)</f>
        <v>11350886</v>
      </c>
      <c r="D1148" cm="1">
        <f t="array" aca="1" ref="D1148" ca="1">[1]!s_dq_amount($B$1,$A1148)</f>
        <v>271236897</v>
      </c>
      <c r="E1148" cm="1">
        <f t="array" aca="1" ref="E1148" ca="1">[1]!s_dq_turn($B$1,$A1148)</f>
        <v>1.31255392325394</v>
      </c>
      <c r="F1148" cm="1">
        <f t="array" aca="1" ref="F1148" ca="1">[1]!s_val_pe_ttm($B$1,$A1148)</f>
        <v>-7.25441694259644</v>
      </c>
    </row>
    <row r="1149" spans="1:6">
      <c r="A1149" s="23">
        <f t="shared" ca="1" si="17"/>
        <v>45026</v>
      </c>
      <c r="B1149" cm="1">
        <f t="array" aca="1" ref="B1149" ca="1">[1]!s_dq_close($B$1,$A1149,3)</f>
        <v>22.4</v>
      </c>
      <c r="C1149" cm="1">
        <f t="array" aca="1" ref="C1149" ca="1">[1]!s_dq_volume($B$1,$A1149)</f>
        <v>0</v>
      </c>
      <c r="D1149" cm="1">
        <f t="array" aca="1" ref="D1149" ca="1">[1]!s_dq_amount($B$1,$A1149)</f>
        <v>0</v>
      </c>
      <c r="E1149" cm="1">
        <f t="array" aca="1" ref="E1149" ca="1">[1]!s_dq_turn($B$1,$A1149)</f>
        <v>0</v>
      </c>
      <c r="F1149" cm="1">
        <f t="array" aca="1" ref="F1149" ca="1">[1]!s_val_pe_ttm($B$1,$A1149)</f>
        <v>-6.8855485916137704</v>
      </c>
    </row>
    <row r="1150" spans="1:6">
      <c r="A1150" s="23">
        <f t="shared" ca="1" si="17"/>
        <v>45025</v>
      </c>
      <c r="B1150" cm="1">
        <f t="array" aca="1" ref="B1150" ca="1">[1]!s_dq_close($B$1,$A1150,3)</f>
        <v>22.4</v>
      </c>
      <c r="C1150" cm="1">
        <f t="array" aca="1" ref="C1150" ca="1">[1]!s_dq_volume($B$1,$A1150)</f>
        <v>0</v>
      </c>
      <c r="D1150" cm="1">
        <f t="array" aca="1" ref="D1150" ca="1">[1]!s_dq_amount($B$1,$A1150)</f>
        <v>0</v>
      </c>
      <c r="E1150" cm="1">
        <f t="array" aca="1" ref="E1150" ca="1">[1]!s_dq_turn($B$1,$A1150)</f>
        <v>0</v>
      </c>
      <c r="F1150" cm="1">
        <f t="array" aca="1" ref="F1150" ca="1">[1]!s_val_pe_ttm($B$1,$A1150)</f>
        <v>-6.8855485916137704</v>
      </c>
    </row>
    <row r="1151" spans="1:6">
      <c r="A1151" s="23">
        <f t="shared" ca="1" si="17"/>
        <v>45024</v>
      </c>
      <c r="B1151" cm="1">
        <f t="array" aca="1" ref="B1151" ca="1">[1]!s_dq_close($B$1,$A1151,3)</f>
        <v>22.4</v>
      </c>
      <c r="C1151" cm="1">
        <f t="array" aca="1" ref="C1151" ca="1">[1]!s_dq_volume($B$1,$A1151)</f>
        <v>0</v>
      </c>
      <c r="D1151" cm="1">
        <f t="array" aca="1" ref="D1151" ca="1">[1]!s_dq_amount($B$1,$A1151)</f>
        <v>0</v>
      </c>
      <c r="E1151" cm="1">
        <f t="array" aca="1" ref="E1151" ca="1">[1]!s_dq_turn($B$1,$A1151)</f>
        <v>0</v>
      </c>
      <c r="F1151" cm="1">
        <f t="array" aca="1" ref="F1151" ca="1">[1]!s_val_pe_ttm($B$1,$A1151)</f>
        <v>-6.8855485916137704</v>
      </c>
    </row>
    <row r="1152" spans="1:6">
      <c r="A1152" s="23">
        <f t="shared" ca="1" si="17"/>
        <v>45023</v>
      </c>
      <c r="B1152" cm="1">
        <f t="array" aca="1" ref="B1152" ca="1">[1]!s_dq_close($B$1,$A1152,3)</f>
        <v>22.4</v>
      </c>
      <c r="C1152" cm="1">
        <f t="array" aca="1" ref="C1152" ca="1">[1]!s_dq_volume($B$1,$A1152)</f>
        <v>0</v>
      </c>
      <c r="D1152" cm="1">
        <f t="array" aca="1" ref="D1152" ca="1">[1]!s_dq_amount($B$1,$A1152)</f>
        <v>0</v>
      </c>
      <c r="E1152" cm="1">
        <f t="array" aca="1" ref="E1152" ca="1">[1]!s_dq_turn($B$1,$A1152)</f>
        <v>0</v>
      </c>
      <c r="F1152" cm="1">
        <f t="array" aca="1" ref="F1152" ca="1">[1]!s_val_pe_ttm($B$1,$A1152)</f>
        <v>-6.8855485916137704</v>
      </c>
    </row>
    <row r="1153" spans="1:6">
      <c r="A1153" s="23">
        <f t="shared" ca="1" si="17"/>
        <v>45022</v>
      </c>
      <c r="B1153" cm="1">
        <f t="array" aca="1" ref="B1153" ca="1">[1]!s_dq_close($B$1,$A1153,3)</f>
        <v>22.4</v>
      </c>
      <c r="C1153" cm="1">
        <f t="array" aca="1" ref="C1153" ca="1">[1]!s_dq_volume($B$1,$A1153)</f>
        <v>4853030</v>
      </c>
      <c r="D1153" cm="1">
        <f t="array" aca="1" ref="D1153" ca="1">[1]!s_dq_amount($B$1,$A1153)</f>
        <v>105336605</v>
      </c>
      <c r="E1153" cm="1">
        <f t="array" aca="1" ref="E1153" ca="1">[1]!s_dq_turn($B$1,$A1153)</f>
        <v>0.56117765310735102</v>
      </c>
      <c r="F1153" cm="1">
        <f t="array" aca="1" ref="F1153" ca="1">[1]!s_val_pe_ttm($B$1,$A1153)</f>
        <v>-6.8855485916137704</v>
      </c>
    </row>
    <row r="1154" spans="1:6">
      <c r="A1154" s="23">
        <f t="shared" ca="1" si="17"/>
        <v>45021</v>
      </c>
      <c r="B1154" cm="1">
        <f t="array" aca="1" ref="B1154" ca="1">[1]!s_dq_close($B$1,$A1154,3)</f>
        <v>21.05</v>
      </c>
      <c r="C1154" cm="1">
        <f t="array" aca="1" ref="C1154" ca="1">[1]!s_dq_volume($B$1,$A1154)</f>
        <v>0</v>
      </c>
      <c r="D1154" cm="1">
        <f t="array" aca="1" ref="D1154" ca="1">[1]!s_dq_amount($B$1,$A1154)</f>
        <v>0</v>
      </c>
      <c r="E1154" cm="1">
        <f t="array" aca="1" ref="E1154" ca="1">[1]!s_dq_turn($B$1,$A1154)</f>
        <v>0</v>
      </c>
      <c r="F1154" cm="1">
        <f t="array" aca="1" ref="F1154" ca="1">[1]!s_val_pe_ttm($B$1,$A1154)</f>
        <v>-6.4705710411071804</v>
      </c>
    </row>
    <row r="1155" spans="1:6">
      <c r="A1155" s="23">
        <f t="shared" ca="1" si="17"/>
        <v>45020</v>
      </c>
      <c r="B1155" cm="1">
        <f t="array" aca="1" ref="B1155" ca="1">[1]!s_dq_close($B$1,$A1155,3)</f>
        <v>21.05</v>
      </c>
      <c r="C1155" cm="1">
        <f t="array" aca="1" ref="C1155" ca="1">[1]!s_dq_volume($B$1,$A1155)</f>
        <v>4101736</v>
      </c>
      <c r="D1155" cm="1">
        <f t="array" aca="1" ref="D1155" ca="1">[1]!s_dq_amount($B$1,$A1155)</f>
        <v>82718198</v>
      </c>
      <c r="E1155" cm="1">
        <f t="array" aca="1" ref="E1155" ca="1">[1]!s_dq_turn($B$1,$A1155)</f>
        <v>0.47430215394216202</v>
      </c>
      <c r="F1155" cm="1">
        <f t="array" aca="1" ref="F1155" ca="1">[1]!s_val_pe_ttm($B$1,$A1155)</f>
        <v>-6.4705710411071804</v>
      </c>
    </row>
    <row r="1156" spans="1:6">
      <c r="A1156" s="23">
        <f t="shared" ca="1" si="17"/>
        <v>45019</v>
      </c>
      <c r="B1156" cm="1">
        <f t="array" aca="1" ref="B1156" ca="1">[1]!s_dq_close($B$1,$A1156,3)</f>
        <v>20.149999999999999</v>
      </c>
      <c r="C1156" cm="1">
        <f t="array" aca="1" ref="C1156" ca="1">[1]!s_dq_volume($B$1,$A1156)</f>
        <v>5138000</v>
      </c>
      <c r="D1156" cm="1">
        <f t="array" aca="1" ref="D1156" ca="1">[1]!s_dq_amount($B$1,$A1156)</f>
        <v>101872105</v>
      </c>
      <c r="E1156" cm="1">
        <f t="array" aca="1" ref="E1156" ca="1">[1]!s_dq_turn($B$1,$A1156)</f>
        <v>0.59413001396355902</v>
      </c>
      <c r="F1156" cm="1">
        <f t="array" aca="1" ref="F1156" ca="1">[1]!s_val_pe_ttm($B$1,$A1156)</f>
        <v>-6.19378709793091</v>
      </c>
    </row>
    <row r="1157" spans="1:6">
      <c r="A1157" s="23">
        <f t="shared" ca="1" si="17"/>
        <v>45018</v>
      </c>
      <c r="B1157" cm="1">
        <f t="array" aca="1" ref="B1157" ca="1">[1]!s_dq_close($B$1,$A1157,3)</f>
        <v>20.65</v>
      </c>
      <c r="C1157" cm="1">
        <f t="array" aca="1" ref="C1157" ca="1">[1]!s_dq_volume($B$1,$A1157)</f>
        <v>0</v>
      </c>
      <c r="D1157" cm="1">
        <f t="array" aca="1" ref="D1157" ca="1">[1]!s_dq_amount($B$1,$A1157)</f>
        <v>0</v>
      </c>
      <c r="E1157" cm="1">
        <f t="array" aca="1" ref="E1157" ca="1">[1]!s_dq_turn($B$1,$A1157)</f>
        <v>0</v>
      </c>
      <c r="F1157" cm="1">
        <f t="array" aca="1" ref="F1157" ca="1">[1]!s_val_pe_ttm($B$1,$A1157)</f>
        <v>-6.3474788665771502</v>
      </c>
    </row>
    <row r="1158" spans="1:6">
      <c r="A1158" s="23">
        <f t="shared" ca="1" si="17"/>
        <v>45017</v>
      </c>
      <c r="B1158" cm="1">
        <f t="array" aca="1" ref="B1158" ca="1">[1]!s_dq_close($B$1,$A1158,3)</f>
        <v>20.65</v>
      </c>
      <c r="C1158" cm="1">
        <f t="array" aca="1" ref="C1158" ca="1">[1]!s_dq_volume($B$1,$A1158)</f>
        <v>0</v>
      </c>
      <c r="D1158" cm="1">
        <f t="array" aca="1" ref="D1158" ca="1">[1]!s_dq_amount($B$1,$A1158)</f>
        <v>0</v>
      </c>
      <c r="E1158" cm="1">
        <f t="array" aca="1" ref="E1158" ca="1">[1]!s_dq_turn($B$1,$A1158)</f>
        <v>0</v>
      </c>
      <c r="F1158" cm="1">
        <f t="array" aca="1" ref="F1158" ca="1">[1]!s_val_pe_ttm($B$1,$A1158)</f>
        <v>-6.3474788665771502</v>
      </c>
    </row>
    <row r="1159" spans="1:6">
      <c r="A1159" s="23">
        <f t="shared" ca="1" si="17"/>
        <v>45016</v>
      </c>
      <c r="B1159" cm="1">
        <f t="array" aca="1" ref="B1159" ca="1">[1]!s_dq_close($B$1,$A1159,3)</f>
        <v>20.65</v>
      </c>
      <c r="C1159" cm="1">
        <f t="array" aca="1" ref="C1159" ca="1">[1]!s_dq_volume($B$1,$A1159)</f>
        <v>2806000</v>
      </c>
      <c r="D1159" cm="1">
        <f t="array" aca="1" ref="D1159" ca="1">[1]!s_dq_amount($B$1,$A1159)</f>
        <v>57814887</v>
      </c>
      <c r="E1159" cm="1">
        <f t="array" aca="1" ref="E1159" ca="1">[1]!s_dq_turn($B$1,$A1159)</f>
        <v>0.32447038131213402</v>
      </c>
      <c r="F1159" cm="1">
        <f t="array" aca="1" ref="F1159" ca="1">[1]!s_val_pe_ttm($B$1,$A1159)</f>
        <v>-6.3474788665771502</v>
      </c>
    </row>
    <row r="1160" spans="1:6">
      <c r="A1160" s="23">
        <f t="shared" ca="1" si="17"/>
        <v>45015</v>
      </c>
      <c r="B1160" cm="1">
        <f t="array" aca="1" ref="B1160" ca="1">[1]!s_dq_close($B$1,$A1160,3)</f>
        <v>21.3</v>
      </c>
      <c r="C1160" cm="1">
        <f t="array" aca="1" ref="C1160" ca="1">[1]!s_dq_volume($B$1,$A1160)</f>
        <v>2542500</v>
      </c>
      <c r="D1160" cm="1">
        <f t="array" aca="1" ref="D1160" ca="1">[1]!s_dq_amount($B$1,$A1160)</f>
        <v>53421569</v>
      </c>
      <c r="E1160" cm="1">
        <f t="array" aca="1" ref="E1160" ca="1">[1]!s_dq_turn($B$1,$A1160)</f>
        <v>0.29400699608293601</v>
      </c>
      <c r="F1160" cm="1">
        <f t="array" aca="1" ref="F1160" ca="1">[1]!s_val_pe_ttm($B$1,$A1160)</f>
        <v>-6.5472784042358398</v>
      </c>
    </row>
    <row r="1161" spans="1:6">
      <c r="A1161" s="23">
        <f t="shared" ca="1" si="17"/>
        <v>45014</v>
      </c>
      <c r="B1161" cm="1">
        <f t="array" aca="1" ref="B1161" ca="1">[1]!s_dq_close($B$1,$A1161,3)</f>
        <v>21.15</v>
      </c>
      <c r="C1161" cm="1">
        <f t="array" aca="1" ref="C1161" ca="1">[1]!s_dq_volume($B$1,$A1161)</f>
        <v>2065000</v>
      </c>
      <c r="D1161" cm="1">
        <f t="array" aca="1" ref="D1161" ca="1">[1]!s_dq_amount($B$1,$A1161)</f>
        <v>42945494</v>
      </c>
      <c r="E1161" cm="1">
        <f t="array" aca="1" ref="E1161" ca="1">[1]!s_dq_turn($B$1,$A1161)</f>
        <v>0.23879034293461701</v>
      </c>
      <c r="F1161" cm="1">
        <f t="array" aca="1" ref="F1161" ca="1">[1]!s_val_pe_ttm($B$1,$A1161)</f>
        <v>-6.5011711120605504</v>
      </c>
    </row>
    <row r="1162" spans="1:6">
      <c r="A1162" s="23">
        <f t="shared" ca="1" si="17"/>
        <v>45013</v>
      </c>
      <c r="B1162" cm="1">
        <f t="array" aca="1" ref="B1162" ca="1">[1]!s_dq_close($B$1,$A1162,3)</f>
        <v>21.05</v>
      </c>
      <c r="C1162" cm="1">
        <f t="array" aca="1" ref="C1162" ca="1">[1]!s_dq_volume($B$1,$A1162)</f>
        <v>3441116</v>
      </c>
      <c r="D1162" cm="1">
        <f t="array" aca="1" ref="D1162" ca="1">[1]!s_dq_amount($B$1,$A1162)</f>
        <v>73321467</v>
      </c>
      <c r="E1162" cm="1">
        <f t="array" aca="1" ref="E1162" ca="1">[1]!s_dq_turn($B$1,$A1162)</f>
        <v>0.397920227466246</v>
      </c>
      <c r="F1162" cm="1">
        <f t="array" aca="1" ref="F1162" ca="1">[1]!s_val_pe_ttm($B$1,$A1162)</f>
        <v>-6.4704322814941397</v>
      </c>
    </row>
    <row r="1163" spans="1:6">
      <c r="A1163" s="23">
        <f t="shared" ca="1" si="17"/>
        <v>45012</v>
      </c>
      <c r="B1163" cm="1">
        <f t="array" aca="1" ref="B1163" ca="1">[1]!s_dq_close($B$1,$A1163,3)</f>
        <v>21.95</v>
      </c>
      <c r="C1163" cm="1">
        <f t="array" aca="1" ref="C1163" ca="1">[1]!s_dq_volume($B$1,$A1163)</f>
        <v>2784170</v>
      </c>
      <c r="D1163" cm="1">
        <f t="array" aca="1" ref="D1163" ca="1">[1]!s_dq_amount($B$1,$A1163)</f>
        <v>60803050</v>
      </c>
      <c r="E1163" cm="1">
        <f t="array" aca="1" ref="E1163" ca="1">[1]!s_dq_turn($B$1,$A1163)</f>
        <v>0.32195298260933303</v>
      </c>
      <c r="F1163" cm="1">
        <f t="array" aca="1" ref="F1163" ca="1">[1]!s_val_pe_ttm($B$1,$A1163)</f>
        <v>-6.7470779418945304</v>
      </c>
    </row>
    <row r="1164" spans="1:6">
      <c r="A1164" s="23">
        <f t="shared" ca="1" si="17"/>
        <v>45011</v>
      </c>
      <c r="B1164" cm="1">
        <f t="array" aca="1" ref="B1164" ca="1">[1]!s_dq_close($B$1,$A1164,3)</f>
        <v>22.1</v>
      </c>
      <c r="C1164" cm="1">
        <f t="array" aca="1" ref="C1164" ca="1">[1]!s_dq_volume($B$1,$A1164)</f>
        <v>0</v>
      </c>
      <c r="D1164" cm="1">
        <f t="array" aca="1" ref="D1164" ca="1">[1]!s_dq_amount($B$1,$A1164)</f>
        <v>0</v>
      </c>
      <c r="E1164" cm="1">
        <f t="array" aca="1" ref="E1164" ca="1">[1]!s_dq_turn($B$1,$A1164)</f>
        <v>0</v>
      </c>
      <c r="F1164" cm="1">
        <f t="array" aca="1" ref="F1164" ca="1">[1]!s_val_pe_ttm($B$1,$A1164)</f>
        <v>-6.7931857109069798</v>
      </c>
    </row>
    <row r="1165" spans="1:6">
      <c r="A1165" s="23">
        <f t="shared" ref="A1165:A1228" ca="1" si="18">A1164-1</f>
        <v>45010</v>
      </c>
      <c r="B1165" cm="1">
        <f t="array" aca="1" ref="B1165" ca="1">[1]!s_dq_close($B$1,$A1165,3)</f>
        <v>22.1</v>
      </c>
      <c r="C1165" cm="1">
        <f t="array" aca="1" ref="C1165" ca="1">[1]!s_dq_volume($B$1,$A1165)</f>
        <v>0</v>
      </c>
      <c r="D1165" cm="1">
        <f t="array" aca="1" ref="D1165" ca="1">[1]!s_dq_amount($B$1,$A1165)</f>
        <v>0</v>
      </c>
      <c r="E1165" cm="1">
        <f t="array" aca="1" ref="E1165" ca="1">[1]!s_dq_turn($B$1,$A1165)</f>
        <v>0</v>
      </c>
      <c r="F1165" cm="1">
        <f t="array" aca="1" ref="F1165" ca="1">[1]!s_val_pe_ttm($B$1,$A1165)</f>
        <v>-6.7931857109069798</v>
      </c>
    </row>
    <row r="1166" spans="1:6">
      <c r="A1166" s="23">
        <f t="shared" ca="1" si="18"/>
        <v>45009</v>
      </c>
      <c r="B1166" cm="1">
        <f t="array" aca="1" ref="B1166" ca="1">[1]!s_dq_close($B$1,$A1166,3)</f>
        <v>22.1</v>
      </c>
      <c r="C1166" cm="1">
        <f t="array" aca="1" ref="C1166" ca="1">[1]!s_dq_volume($B$1,$A1166)</f>
        <v>2080500</v>
      </c>
      <c r="D1166" cm="1">
        <f t="array" aca="1" ref="D1166" ca="1">[1]!s_dq_amount($B$1,$A1166)</f>
        <v>46240100</v>
      </c>
      <c r="E1166" cm="1">
        <f t="array" aca="1" ref="E1166" ca="1">[1]!s_dq_turn($B$1,$A1166)</f>
        <v>0.240582715968751</v>
      </c>
      <c r="F1166" cm="1">
        <f t="array" aca="1" ref="F1166" ca="1">[1]!s_val_pe_ttm($B$1,$A1166)</f>
        <v>-6.7931857109069798</v>
      </c>
    </row>
    <row r="1167" spans="1:6">
      <c r="A1167" s="23">
        <f t="shared" ca="1" si="18"/>
        <v>45008</v>
      </c>
      <c r="B1167" cm="1">
        <f t="array" aca="1" ref="B1167" ca="1">[1]!s_dq_close($B$1,$A1167,3)</f>
        <v>23.1</v>
      </c>
      <c r="C1167" cm="1">
        <f t="array" aca="1" ref="C1167" ca="1">[1]!s_dq_volume($B$1,$A1167)</f>
        <v>2654500</v>
      </c>
      <c r="D1167" cm="1">
        <f t="array" aca="1" ref="D1167" ca="1">[1]!s_dq_amount($B$1,$A1167)</f>
        <v>60064787</v>
      </c>
      <c r="E1167" cm="1">
        <f t="array" aca="1" ref="E1167" ca="1">[1]!s_dq_turn($B$1,$A1167)</f>
        <v>0.30695833671667799</v>
      </c>
      <c r="F1167" cm="1">
        <f t="array" aca="1" ref="F1167" ca="1">[1]!s_val_pe_ttm($B$1,$A1167)</f>
        <v>-7.1005697250366202</v>
      </c>
    </row>
    <row r="1168" spans="1:6">
      <c r="A1168" s="23">
        <f t="shared" ca="1" si="18"/>
        <v>45007</v>
      </c>
      <c r="B1168" cm="1">
        <f t="array" aca="1" ref="B1168" ca="1">[1]!s_dq_close($B$1,$A1168,3)</f>
        <v>23.1</v>
      </c>
      <c r="C1168" cm="1">
        <f t="array" aca="1" ref="C1168" ca="1">[1]!s_dq_volume($B$1,$A1168)</f>
        <v>1993430</v>
      </c>
      <c r="D1168" cm="1">
        <f t="array" aca="1" ref="D1168" ca="1">[1]!s_dq_amount($B$1,$A1168)</f>
        <v>47283408</v>
      </c>
      <c r="E1168" cm="1">
        <f t="array" aca="1" ref="E1168" ca="1">[1]!s_dq_turn($B$1,$A1168)</f>
        <v>0.23051420499571601</v>
      </c>
      <c r="F1168" cm="1">
        <f t="array" aca="1" ref="F1168" ca="1">[1]!s_val_pe_ttm($B$1,$A1168)</f>
        <v>-7.1005697250366202</v>
      </c>
    </row>
    <row r="1169" spans="1:6">
      <c r="A1169" s="23">
        <f t="shared" ca="1" si="18"/>
        <v>45006</v>
      </c>
      <c r="B1169" cm="1">
        <f t="array" aca="1" ref="B1169" ca="1">[1]!s_dq_close($B$1,$A1169,3)</f>
        <v>22.8</v>
      </c>
      <c r="C1169" cm="1">
        <f t="array" aca="1" ref="C1169" ca="1">[1]!s_dq_volume($B$1,$A1169)</f>
        <v>3089520</v>
      </c>
      <c r="D1169" cm="1">
        <f t="array" aca="1" ref="D1169" ca="1">[1]!s_dq_amount($B$1,$A1169)</f>
        <v>68847800</v>
      </c>
      <c r="E1169" cm="1">
        <f t="array" aca="1" ref="E1169" ca="1">[1]!s_dq_turn($B$1,$A1169)</f>
        <v>0.357262731381771</v>
      </c>
      <c r="F1169" cm="1">
        <f t="array" aca="1" ref="F1169" ca="1">[1]!s_val_pe_ttm($B$1,$A1169)</f>
        <v>-7.0083546638488796</v>
      </c>
    </row>
    <row r="1170" spans="1:6">
      <c r="A1170" s="23">
        <f t="shared" ca="1" si="18"/>
        <v>45005</v>
      </c>
      <c r="B1170" cm="1">
        <f t="array" aca="1" ref="B1170" ca="1">[1]!s_dq_close($B$1,$A1170,3)</f>
        <v>21.85</v>
      </c>
      <c r="C1170" cm="1">
        <f t="array" aca="1" ref="C1170" ca="1">[1]!s_dq_volume($B$1,$A1170)</f>
        <v>3258140</v>
      </c>
      <c r="D1170" cm="1">
        <f t="array" aca="1" ref="D1170" ca="1">[1]!s_dq_amount($B$1,$A1170)</f>
        <v>70502307</v>
      </c>
      <c r="E1170" cm="1">
        <f t="array" aca="1" ref="E1170" ca="1">[1]!s_dq_turn($B$1,$A1170)</f>
        <v>0.37676143725375</v>
      </c>
      <c r="F1170" cm="1">
        <f t="array" aca="1" ref="F1170" ca="1">[1]!s_val_pe_ttm($B$1,$A1170)</f>
        <v>-6.7163395881652797</v>
      </c>
    </row>
    <row r="1171" spans="1:6">
      <c r="A1171" s="23">
        <f t="shared" ca="1" si="18"/>
        <v>45004</v>
      </c>
      <c r="B1171" cm="1">
        <f t="array" aca="1" ref="B1171" ca="1">[1]!s_dq_close($B$1,$A1171,3)</f>
        <v>22.8</v>
      </c>
      <c r="C1171" cm="1">
        <f t="array" aca="1" ref="C1171" ca="1">[1]!s_dq_volume($B$1,$A1171)</f>
        <v>0</v>
      </c>
      <c r="D1171" cm="1">
        <f t="array" aca="1" ref="D1171" ca="1">[1]!s_dq_amount($B$1,$A1171)</f>
        <v>0</v>
      </c>
      <c r="E1171" cm="1">
        <f t="array" aca="1" ref="E1171" ca="1">[1]!s_dq_turn($B$1,$A1171)</f>
        <v>0</v>
      </c>
      <c r="F1171" cm="1">
        <f t="array" aca="1" ref="F1171" ca="1">[1]!s_val_pe_ttm($B$1,$A1171)</f>
        <v>-7.0083546638488796</v>
      </c>
    </row>
    <row r="1172" spans="1:6">
      <c r="A1172" s="23">
        <f t="shared" ca="1" si="18"/>
        <v>45003</v>
      </c>
      <c r="B1172" cm="1">
        <f t="array" aca="1" ref="B1172" ca="1">[1]!s_dq_close($B$1,$A1172,3)</f>
        <v>22.8</v>
      </c>
      <c r="C1172" cm="1">
        <f t="array" aca="1" ref="C1172" ca="1">[1]!s_dq_volume($B$1,$A1172)</f>
        <v>0</v>
      </c>
      <c r="D1172" cm="1">
        <f t="array" aca="1" ref="D1172" ca="1">[1]!s_dq_amount($B$1,$A1172)</f>
        <v>0</v>
      </c>
      <c r="E1172" cm="1">
        <f t="array" aca="1" ref="E1172" ca="1">[1]!s_dq_turn($B$1,$A1172)</f>
        <v>0</v>
      </c>
      <c r="F1172" cm="1">
        <f t="array" aca="1" ref="F1172" ca="1">[1]!s_val_pe_ttm($B$1,$A1172)</f>
        <v>-7.0083546638488796</v>
      </c>
    </row>
    <row r="1173" spans="1:6">
      <c r="A1173" s="23">
        <f t="shared" ca="1" si="18"/>
        <v>45002</v>
      </c>
      <c r="B1173" cm="1">
        <f t="array" aca="1" ref="B1173" ca="1">[1]!s_dq_close($B$1,$A1173,3)</f>
        <v>22.8</v>
      </c>
      <c r="C1173" cm="1">
        <f t="array" aca="1" ref="C1173" ca="1">[1]!s_dq_volume($B$1,$A1173)</f>
        <v>1760500</v>
      </c>
      <c r="D1173" cm="1">
        <f t="array" aca="1" ref="D1173" ca="1">[1]!s_dq_amount($B$1,$A1173)</f>
        <v>40440075</v>
      </c>
      <c r="E1173" cm="1">
        <f t="array" aca="1" ref="E1173" ca="1">[1]!s_dq_turn($B$1,$A1173)</f>
        <v>0.20357888558663101</v>
      </c>
      <c r="F1173" cm="1">
        <f t="array" aca="1" ref="F1173" ca="1">[1]!s_val_pe_ttm($B$1,$A1173)</f>
        <v>-7.0083546638488796</v>
      </c>
    </row>
    <row r="1174" spans="1:6">
      <c r="A1174" s="23">
        <f t="shared" ca="1" si="18"/>
        <v>45001</v>
      </c>
      <c r="B1174" cm="1">
        <f t="array" aca="1" ref="B1174" ca="1">[1]!s_dq_close($B$1,$A1174,3)</f>
        <v>23.25</v>
      </c>
      <c r="C1174" cm="1">
        <f t="array" aca="1" ref="C1174" ca="1">[1]!s_dq_volume($B$1,$A1174)</f>
        <v>1446636</v>
      </c>
      <c r="D1174" cm="1">
        <f t="array" aca="1" ref="D1174" ca="1">[1]!s_dq_amount($B$1,$A1174)</f>
        <v>33778429</v>
      </c>
      <c r="E1174" cm="1">
        <f t="array" aca="1" ref="E1174" ca="1">[1]!s_dq_turn($B$1,$A1174)</f>
        <v>0.167284603652088</v>
      </c>
      <c r="F1174" cm="1">
        <f t="array" aca="1" ref="F1174" ca="1">[1]!s_val_pe_ttm($B$1,$A1174)</f>
        <v>-7.1466770172119096</v>
      </c>
    </row>
    <row r="1175" spans="1:6">
      <c r="A1175" s="23">
        <f t="shared" ca="1" si="18"/>
        <v>45000</v>
      </c>
      <c r="B1175" cm="1">
        <f t="array" aca="1" ref="B1175" ca="1">[1]!s_dq_close($B$1,$A1175,3)</f>
        <v>23.35</v>
      </c>
      <c r="C1175" cm="1">
        <f t="array" aca="1" ref="C1175" ca="1">[1]!s_dq_volume($B$1,$A1175)</f>
        <v>3748500</v>
      </c>
      <c r="D1175" cm="1">
        <f t="array" aca="1" ref="D1175" ca="1">[1]!s_dq_amount($B$1,$A1175)</f>
        <v>87589726</v>
      </c>
      <c r="E1175" cm="1">
        <f t="array" aca="1" ref="E1175" ca="1">[1]!s_dq_turn($B$1,$A1175)</f>
        <v>0.43346518183555</v>
      </c>
      <c r="F1175" cm="1">
        <f t="array" aca="1" ref="F1175" ca="1">[1]!s_val_pe_ttm($B$1,$A1175)</f>
        <v>-7.1774158477783203</v>
      </c>
    </row>
    <row r="1176" spans="1:6">
      <c r="A1176" s="23">
        <f t="shared" ca="1" si="18"/>
        <v>44999</v>
      </c>
      <c r="B1176" cm="1">
        <f t="array" aca="1" ref="B1176" ca="1">[1]!s_dq_close($B$1,$A1176,3)</f>
        <v>22.35</v>
      </c>
      <c r="C1176" cm="1">
        <f t="array" aca="1" ref="C1176" ca="1">[1]!s_dq_volume($B$1,$A1176)</f>
        <v>4014374</v>
      </c>
      <c r="D1176" cm="1">
        <f t="array" aca="1" ref="D1176" ca="1">[1]!s_dq_amount($B$1,$A1176)</f>
        <v>90707708</v>
      </c>
      <c r="E1176" cm="1">
        <f t="array" aca="1" ref="E1176" ca="1">[1]!s_dq_turn($B$1,$A1176)</f>
        <v>0.46421004558247497</v>
      </c>
      <c r="F1176" cm="1">
        <f t="array" aca="1" ref="F1176" ca="1">[1]!s_val_pe_ttm($B$1,$A1176)</f>
        <v>-6.8700318336486799</v>
      </c>
    </row>
    <row r="1177" spans="1:6">
      <c r="A1177" s="23">
        <f t="shared" ca="1" si="18"/>
        <v>44998</v>
      </c>
      <c r="B1177" cm="1">
        <f t="array" aca="1" ref="B1177" ca="1">[1]!s_dq_close($B$1,$A1177,3)</f>
        <v>22.1</v>
      </c>
      <c r="C1177" cm="1">
        <f t="array" aca="1" ref="C1177" ca="1">[1]!s_dq_volume($B$1,$A1177)</f>
        <v>4496500</v>
      </c>
      <c r="D1177" cm="1">
        <f t="array" aca="1" ref="D1177" ca="1">[1]!s_dq_amount($B$1,$A1177)</f>
        <v>99512837</v>
      </c>
      <c r="E1177" cm="1">
        <f t="array" aca="1" ref="E1177" ca="1">[1]!s_dq_turn($B$1,$A1177)</f>
        <v>0.51996163535375595</v>
      </c>
      <c r="F1177" cm="1">
        <f t="array" aca="1" ref="F1177" ca="1">[1]!s_val_pe_ttm($B$1,$A1177)</f>
        <v>-6.7931857109069798</v>
      </c>
    </row>
    <row r="1178" spans="1:6">
      <c r="A1178" s="23">
        <f t="shared" ca="1" si="18"/>
        <v>44997</v>
      </c>
      <c r="B1178" cm="1">
        <f t="array" aca="1" ref="B1178" ca="1">[1]!s_dq_close($B$1,$A1178,3)</f>
        <v>22.85</v>
      </c>
      <c r="C1178" cm="1">
        <f t="array" aca="1" ref="C1178" ca="1">[1]!s_dq_volume($B$1,$A1178)</f>
        <v>0</v>
      </c>
      <c r="D1178" cm="1">
        <f t="array" aca="1" ref="D1178" ca="1">[1]!s_dq_amount($B$1,$A1178)</f>
        <v>0</v>
      </c>
      <c r="E1178" cm="1">
        <f t="array" aca="1" ref="E1178" ca="1">[1]!s_dq_turn($B$1,$A1178)</f>
        <v>0</v>
      </c>
      <c r="F1178" cm="1">
        <f t="array" aca="1" ref="F1178" ca="1">[1]!s_val_pe_ttm($B$1,$A1178)</f>
        <v>-7.0237236022949201</v>
      </c>
    </row>
    <row r="1179" spans="1:6">
      <c r="A1179" s="23">
        <f t="shared" ca="1" si="18"/>
        <v>44996</v>
      </c>
      <c r="B1179" cm="1">
        <f t="array" aca="1" ref="B1179" ca="1">[1]!s_dq_close($B$1,$A1179,3)</f>
        <v>22.85</v>
      </c>
      <c r="C1179" cm="1">
        <f t="array" aca="1" ref="C1179" ca="1">[1]!s_dq_volume($B$1,$A1179)</f>
        <v>0</v>
      </c>
      <c r="D1179" cm="1">
        <f t="array" aca="1" ref="D1179" ca="1">[1]!s_dq_amount($B$1,$A1179)</f>
        <v>0</v>
      </c>
      <c r="E1179" cm="1">
        <f t="array" aca="1" ref="E1179" ca="1">[1]!s_dq_turn($B$1,$A1179)</f>
        <v>0</v>
      </c>
      <c r="F1179" cm="1">
        <f t="array" aca="1" ref="F1179" ca="1">[1]!s_val_pe_ttm($B$1,$A1179)</f>
        <v>-7.0237236022949201</v>
      </c>
    </row>
    <row r="1180" spans="1:6">
      <c r="A1180" s="23">
        <f t="shared" ca="1" si="18"/>
        <v>44995</v>
      </c>
      <c r="B1180" cm="1">
        <f t="array" aca="1" ref="B1180" ca="1">[1]!s_dq_close($B$1,$A1180,3)</f>
        <v>22.85</v>
      </c>
      <c r="C1180" cm="1">
        <f t="array" aca="1" ref="C1180" ca="1">[1]!s_dq_volume($B$1,$A1180)</f>
        <v>5656793</v>
      </c>
      <c r="D1180" cm="1">
        <f t="array" aca="1" ref="D1180" ca="1">[1]!s_dq_amount($B$1,$A1180)</f>
        <v>131675667</v>
      </c>
      <c r="E1180" cm="1">
        <f t="array" aca="1" ref="E1180" ca="1">[1]!s_dq_turn($B$1,$A1180)</f>
        <v>0.65413440212113405</v>
      </c>
      <c r="F1180" cm="1">
        <f t="array" aca="1" ref="F1180" ca="1">[1]!s_val_pe_ttm($B$1,$A1180)</f>
        <v>-7.0237236022949201</v>
      </c>
    </row>
    <row r="1181" spans="1:6">
      <c r="A1181" s="23">
        <f t="shared" ca="1" si="18"/>
        <v>44994</v>
      </c>
      <c r="B1181" cm="1">
        <f t="array" aca="1" ref="B1181" ca="1">[1]!s_dq_close($B$1,$A1181,3)</f>
        <v>22.6</v>
      </c>
      <c r="C1181" cm="1">
        <f t="array" aca="1" ref="C1181" ca="1">[1]!s_dq_volume($B$1,$A1181)</f>
        <v>11582297</v>
      </c>
      <c r="D1181" cm="1">
        <f t="array" aca="1" ref="D1181" ca="1">[1]!s_dq_amount($B$1,$A1181)</f>
        <v>267751605</v>
      </c>
      <c r="E1181" cm="1">
        <f t="array" aca="1" ref="E1181" ca="1">[1]!s_dq_turn($B$1,$A1181)</f>
        <v>1.33934173007292</v>
      </c>
      <c r="F1181" cm="1">
        <f t="array" aca="1" ref="F1181" ca="1">[1]!s_val_pe_ttm($B$1,$A1181)</f>
        <v>-6.94687747955322</v>
      </c>
    </row>
    <row r="1182" spans="1:6">
      <c r="A1182" s="23">
        <f t="shared" ca="1" si="18"/>
        <v>44993</v>
      </c>
      <c r="B1182" cm="1">
        <f t="array" aca="1" ref="B1182" ca="1">[1]!s_dq_close($B$1,$A1182,3)</f>
        <v>24.8</v>
      </c>
      <c r="C1182" cm="1">
        <f t="array" aca="1" ref="C1182" ca="1">[1]!s_dq_volume($B$1,$A1182)</f>
        <v>4155300</v>
      </c>
      <c r="D1182" cm="1">
        <f t="array" aca="1" ref="D1182" ca="1">[1]!s_dq_amount($B$1,$A1182)</f>
        <v>102877680</v>
      </c>
      <c r="E1182" cm="1">
        <f t="array" aca="1" ref="E1182" ca="1">[1]!s_dq_turn($B$1,$A1182)</f>
        <v>0.48050630120881999</v>
      </c>
      <c r="F1182" cm="1">
        <f t="array" aca="1" ref="F1182" ca="1">[1]!s_val_pe_ttm($B$1,$A1182)</f>
        <v>-7.6231222152709996</v>
      </c>
    </row>
    <row r="1183" spans="1:6">
      <c r="A1183" s="23">
        <f t="shared" ca="1" si="18"/>
        <v>44992</v>
      </c>
      <c r="B1183" cm="1">
        <f t="array" aca="1" ref="B1183" ca="1">[1]!s_dq_close($B$1,$A1183,3)</f>
        <v>26.5</v>
      </c>
      <c r="C1183" cm="1">
        <f t="array" aca="1" ref="C1183" ca="1">[1]!s_dq_volume($B$1,$A1183)</f>
        <v>2101000</v>
      </c>
      <c r="D1183" cm="1">
        <f t="array" aca="1" ref="D1183" ca="1">[1]!s_dq_amount($B$1,$A1183)</f>
        <v>56281650</v>
      </c>
      <c r="E1183" cm="1">
        <f t="array" aca="1" ref="E1183" ca="1">[1]!s_dq_turn($B$1,$A1183)</f>
        <v>0.24295327385260501</v>
      </c>
      <c r="F1183" cm="1">
        <f t="array" aca="1" ref="F1183" ca="1">[1]!s_val_pe_ttm($B$1,$A1183)</f>
        <v>-8.1456747055053693</v>
      </c>
    </row>
    <row r="1184" spans="1:6">
      <c r="A1184" s="23">
        <f t="shared" ca="1" si="18"/>
        <v>44991</v>
      </c>
      <c r="B1184" cm="1">
        <f t="array" aca="1" ref="B1184" ca="1">[1]!s_dq_close($B$1,$A1184,3)</f>
        <v>27.05</v>
      </c>
      <c r="C1184" cm="1">
        <f t="array" aca="1" ref="C1184" ca="1">[1]!s_dq_volume($B$1,$A1184)</f>
        <v>1590099</v>
      </c>
      <c r="D1184" cm="1">
        <f t="array" aca="1" ref="D1184" ca="1">[1]!s_dq_amount($B$1,$A1184)</f>
        <v>42897856</v>
      </c>
      <c r="E1184" cm="1">
        <f t="array" aca="1" ref="E1184" ca="1">[1]!s_dq_turn($B$1,$A1184)</f>
        <v>0.18387423027118199</v>
      </c>
      <c r="F1184" cm="1">
        <f t="array" aca="1" ref="F1184" ca="1">[1]!s_val_pe_ttm($B$1,$A1184)</f>
        <v>-8.3147363662719709</v>
      </c>
    </row>
    <row r="1185" spans="1:6">
      <c r="A1185" s="23">
        <f t="shared" ca="1" si="18"/>
        <v>44990</v>
      </c>
      <c r="B1185" cm="1">
        <f t="array" aca="1" ref="B1185" ca="1">[1]!s_dq_close($B$1,$A1185,3)</f>
        <v>27.1</v>
      </c>
      <c r="C1185" cm="1">
        <f t="array" aca="1" ref="C1185" ca="1">[1]!s_dq_volume($B$1,$A1185)</f>
        <v>0</v>
      </c>
      <c r="D1185" cm="1">
        <f t="array" aca="1" ref="D1185" ca="1">[1]!s_dq_amount($B$1,$A1185)</f>
        <v>0</v>
      </c>
      <c r="E1185" cm="1">
        <f t="array" aca="1" ref="E1185" ca="1">[1]!s_dq_turn($B$1,$A1185)</f>
        <v>0</v>
      </c>
      <c r="F1185" cm="1">
        <f t="array" aca="1" ref="F1185" ca="1">[1]!s_val_pe_ttm($B$1,$A1185)</f>
        <v>-8.3301057815551793</v>
      </c>
    </row>
    <row r="1186" spans="1:6">
      <c r="A1186" s="23">
        <f t="shared" ca="1" si="18"/>
        <v>44989</v>
      </c>
      <c r="B1186" cm="1">
        <f t="array" aca="1" ref="B1186" ca="1">[1]!s_dq_close($B$1,$A1186,3)</f>
        <v>27.1</v>
      </c>
      <c r="C1186" cm="1">
        <f t="array" aca="1" ref="C1186" ca="1">[1]!s_dq_volume($B$1,$A1186)</f>
        <v>0</v>
      </c>
      <c r="D1186" cm="1">
        <f t="array" aca="1" ref="D1186" ca="1">[1]!s_dq_amount($B$1,$A1186)</f>
        <v>0</v>
      </c>
      <c r="E1186" cm="1">
        <f t="array" aca="1" ref="E1186" ca="1">[1]!s_dq_turn($B$1,$A1186)</f>
        <v>0</v>
      </c>
      <c r="F1186" cm="1">
        <f t="array" aca="1" ref="F1186" ca="1">[1]!s_val_pe_ttm($B$1,$A1186)</f>
        <v>-8.3301057815551793</v>
      </c>
    </row>
    <row r="1187" spans="1:6">
      <c r="A1187" s="23">
        <f t="shared" ca="1" si="18"/>
        <v>44988</v>
      </c>
      <c r="B1187" cm="1">
        <f t="array" aca="1" ref="B1187" ca="1">[1]!s_dq_close($B$1,$A1187,3)</f>
        <v>27.1</v>
      </c>
      <c r="C1187" cm="1">
        <f t="array" aca="1" ref="C1187" ca="1">[1]!s_dq_volume($B$1,$A1187)</f>
        <v>5361253</v>
      </c>
      <c r="D1187" cm="1">
        <f t="array" aca="1" ref="D1187" ca="1">[1]!s_dq_amount($B$1,$A1187)</f>
        <v>145721957</v>
      </c>
      <c r="E1187" cm="1">
        <f t="array" aca="1" ref="E1187" ca="1">[1]!s_dq_turn($B$1,$A1187)</f>
        <v>0.61995905202384705</v>
      </c>
      <c r="F1187" cm="1">
        <f t="array" aca="1" ref="F1187" ca="1">[1]!s_val_pe_ttm($B$1,$A1187)</f>
        <v>-8.3301057815551793</v>
      </c>
    </row>
    <row r="1188" spans="1:6">
      <c r="A1188" s="23">
        <f t="shared" ca="1" si="18"/>
        <v>44987</v>
      </c>
      <c r="B1188" cm="1">
        <f t="array" aca="1" ref="B1188" ca="1">[1]!s_dq_close($B$1,$A1188,3)</f>
        <v>27.95</v>
      </c>
      <c r="C1188" cm="1">
        <f t="array" aca="1" ref="C1188" ca="1">[1]!s_dq_volume($B$1,$A1188)</f>
        <v>4130799</v>
      </c>
      <c r="D1188" cm="1">
        <f t="array" aca="1" ref="D1188" ca="1">[1]!s_dq_amount($B$1,$A1188)</f>
        <v>114773634</v>
      </c>
      <c r="E1188" cm="1">
        <f t="array" aca="1" ref="E1188" ca="1">[1]!s_dq_turn($B$1,$A1188)</f>
        <v>0.47767307980821899</v>
      </c>
      <c r="F1188" cm="1">
        <f t="array" aca="1" ref="F1188" ca="1">[1]!s_val_pe_ttm($B$1,$A1188)</f>
        <v>-8.5913820266723597</v>
      </c>
    </row>
    <row r="1189" spans="1:6">
      <c r="A1189" s="23">
        <f t="shared" ca="1" si="18"/>
        <v>44986</v>
      </c>
      <c r="B1189" cm="1">
        <f t="array" aca="1" ref="B1189" ca="1">[1]!s_dq_close($B$1,$A1189,3)</f>
        <v>27.3</v>
      </c>
      <c r="C1189" cm="1">
        <f t="array" aca="1" ref="C1189" ca="1">[1]!s_dq_volume($B$1,$A1189)</f>
        <v>4908863</v>
      </c>
      <c r="D1189" cm="1">
        <f t="array" aca="1" ref="D1189" ca="1">[1]!s_dq_amount($B$1,$A1189)</f>
        <v>132753313</v>
      </c>
      <c r="E1189" cm="1">
        <f t="array" aca="1" ref="E1189" ca="1">[1]!s_dq_turn($B$1,$A1189)</f>
        <v>0.56764604319082501</v>
      </c>
      <c r="F1189" cm="1">
        <f t="array" aca="1" ref="F1189" ca="1">[1]!s_val_pe_ttm($B$1,$A1189)</f>
        <v>-8.3915824890136701</v>
      </c>
    </row>
    <row r="1190" spans="1:6">
      <c r="A1190" s="23">
        <f t="shared" ca="1" si="18"/>
        <v>44985</v>
      </c>
      <c r="B1190" cm="1">
        <f t="array" aca="1" ref="B1190" ca="1">[1]!s_dq_close($B$1,$A1190,3)</f>
        <v>25.85</v>
      </c>
      <c r="C1190" cm="1">
        <f t="array" aca="1" ref="C1190" ca="1">[1]!s_dq_volume($B$1,$A1190)</f>
        <v>2431500</v>
      </c>
      <c r="D1190" cm="1">
        <f t="array" aca="1" ref="D1190" ca="1">[1]!s_dq_amount($B$1,$A1190)</f>
        <v>62007772</v>
      </c>
      <c r="E1190" cm="1">
        <f t="array" aca="1" ref="E1190" ca="1">[1]!s_dq_turn($B$1,$A1190)</f>
        <v>0.28117129241913902</v>
      </c>
      <c r="F1190" cm="1">
        <f t="array" aca="1" ref="F1190" ca="1">[1]!s_val_pe_ttm($B$1,$A1190)</f>
        <v>-11.2387895584106</v>
      </c>
    </row>
    <row r="1191" spans="1:6">
      <c r="A1191" s="23">
        <f t="shared" ca="1" si="18"/>
        <v>44984</v>
      </c>
      <c r="B1191" cm="1">
        <f t="array" aca="1" ref="B1191" ca="1">[1]!s_dq_close($B$1,$A1191,3)</f>
        <v>25.25</v>
      </c>
      <c r="C1191" cm="1">
        <f t="array" aca="1" ref="C1191" ca="1">[1]!s_dq_volume($B$1,$A1191)</f>
        <v>2284300</v>
      </c>
      <c r="D1191" cm="1">
        <f t="array" aca="1" ref="D1191" ca="1">[1]!s_dq_amount($B$1,$A1191)</f>
        <v>57596024</v>
      </c>
      <c r="E1191" cm="1">
        <f t="array" aca="1" ref="E1191" ca="1">[1]!s_dq_turn($B$1,$A1191)</f>
        <v>0.26414953044336298</v>
      </c>
      <c r="F1191" cm="1">
        <f t="array" aca="1" ref="F1191" ca="1">[1]!s_val_pe_ttm($B$1,$A1191)</f>
        <v>-10.906446456909199</v>
      </c>
    </row>
    <row r="1192" spans="1:6">
      <c r="A1192" s="23">
        <f t="shared" ca="1" si="18"/>
        <v>44983</v>
      </c>
      <c r="B1192" cm="1">
        <f t="array" aca="1" ref="B1192" ca="1">[1]!s_dq_close($B$1,$A1192,3)</f>
        <v>25.25</v>
      </c>
      <c r="C1192" cm="1">
        <f t="array" aca="1" ref="C1192" ca="1">[1]!s_dq_volume($B$1,$A1192)</f>
        <v>0</v>
      </c>
      <c r="D1192" cm="1">
        <f t="array" aca="1" ref="D1192" ca="1">[1]!s_dq_amount($B$1,$A1192)</f>
        <v>0</v>
      </c>
      <c r="E1192" cm="1">
        <f t="array" aca="1" ref="E1192" ca="1">[1]!s_dq_turn($B$1,$A1192)</f>
        <v>0</v>
      </c>
      <c r="F1192" cm="1">
        <f t="array" aca="1" ref="F1192" ca="1">[1]!s_val_pe_ttm($B$1,$A1192)</f>
        <v>-10.906446456909199</v>
      </c>
    </row>
    <row r="1193" spans="1:6">
      <c r="A1193" s="23">
        <f t="shared" ca="1" si="18"/>
        <v>44982</v>
      </c>
      <c r="B1193" cm="1">
        <f t="array" aca="1" ref="B1193" ca="1">[1]!s_dq_close($B$1,$A1193,3)</f>
        <v>25.25</v>
      </c>
      <c r="C1193" cm="1">
        <f t="array" aca="1" ref="C1193" ca="1">[1]!s_dq_volume($B$1,$A1193)</f>
        <v>0</v>
      </c>
      <c r="D1193" cm="1">
        <f t="array" aca="1" ref="D1193" ca="1">[1]!s_dq_amount($B$1,$A1193)</f>
        <v>0</v>
      </c>
      <c r="E1193" cm="1">
        <f t="array" aca="1" ref="E1193" ca="1">[1]!s_dq_turn($B$1,$A1193)</f>
        <v>0</v>
      </c>
      <c r="F1193" cm="1">
        <f t="array" aca="1" ref="F1193" ca="1">[1]!s_val_pe_ttm($B$1,$A1193)</f>
        <v>-10.906446456909199</v>
      </c>
    </row>
    <row r="1194" spans="1:6">
      <c r="A1194" s="23">
        <f t="shared" ca="1" si="18"/>
        <v>44981</v>
      </c>
      <c r="B1194" cm="1">
        <f t="array" aca="1" ref="B1194" ca="1">[1]!s_dq_close($B$1,$A1194,3)</f>
        <v>25.25</v>
      </c>
      <c r="C1194" cm="1">
        <f t="array" aca="1" ref="C1194" ca="1">[1]!s_dq_volume($B$1,$A1194)</f>
        <v>1356088</v>
      </c>
      <c r="D1194" cm="1">
        <f t="array" aca="1" ref="D1194" ca="1">[1]!s_dq_amount($B$1,$A1194)</f>
        <v>34274121</v>
      </c>
      <c r="E1194" cm="1">
        <f t="array" aca="1" ref="E1194" ca="1">[1]!s_dq_turn($B$1,$A1194)</f>
        <v>0.15681390729758801</v>
      </c>
      <c r="F1194" cm="1">
        <f t="array" aca="1" ref="F1194" ca="1">[1]!s_val_pe_ttm($B$1,$A1194)</f>
        <v>-10.906446456909199</v>
      </c>
    </row>
    <row r="1195" spans="1:6">
      <c r="A1195" s="23">
        <f t="shared" ca="1" si="18"/>
        <v>44980</v>
      </c>
      <c r="B1195" cm="1">
        <f t="array" aca="1" ref="B1195" ca="1">[1]!s_dq_close($B$1,$A1195,3)</f>
        <v>25.4</v>
      </c>
      <c r="C1195" cm="1">
        <f t="array" aca="1" ref="C1195" ca="1">[1]!s_dq_volume($B$1,$A1195)</f>
        <v>1237500</v>
      </c>
      <c r="D1195" cm="1">
        <f t="array" aca="1" ref="D1195" ca="1">[1]!s_dq_amount($B$1,$A1195)</f>
        <v>31306307</v>
      </c>
      <c r="E1195" cm="1">
        <f t="array" aca="1" ref="E1195" ca="1">[1]!s_dq_turn($B$1,$A1195)</f>
        <v>0.14310075030585401</v>
      </c>
      <c r="F1195" cm="1">
        <f t="array" aca="1" ref="F1195" ca="1">[1]!s_val_pe_ttm($B$1,$A1195)</f>
        <v>-10.9712371826172</v>
      </c>
    </row>
    <row r="1196" spans="1:6">
      <c r="A1196" s="23">
        <f t="shared" ca="1" si="18"/>
        <v>44979</v>
      </c>
      <c r="B1196" cm="1">
        <f t="array" aca="1" ref="B1196" ca="1">[1]!s_dq_close($B$1,$A1196,3)</f>
        <v>25.2</v>
      </c>
      <c r="C1196" cm="1">
        <f t="array" aca="1" ref="C1196" ca="1">[1]!s_dq_volume($B$1,$A1196)</f>
        <v>2756230</v>
      </c>
      <c r="D1196" cm="1">
        <f t="array" aca="1" ref="D1196" ca="1">[1]!s_dq_amount($B$1,$A1196)</f>
        <v>69158909</v>
      </c>
      <c r="E1196" cm="1">
        <f t="array" aca="1" ref="E1196" ca="1">[1]!s_dq_turn($B$1,$A1196)</f>
        <v>0.31872208566909399</v>
      </c>
      <c r="F1196" cm="1">
        <f t="array" aca="1" ref="F1196" ca="1">[1]!s_val_pe_ttm($B$1,$A1196)</f>
        <v>-10.884849548339799</v>
      </c>
    </row>
    <row r="1197" spans="1:6">
      <c r="A1197" s="23">
        <f t="shared" ca="1" si="18"/>
        <v>44978</v>
      </c>
      <c r="B1197" cm="1">
        <f t="array" aca="1" ref="B1197" ca="1">[1]!s_dq_close($B$1,$A1197,3)</f>
        <v>25.65</v>
      </c>
      <c r="C1197" cm="1">
        <f t="array" aca="1" ref="C1197" ca="1">[1]!s_dq_volume($B$1,$A1197)</f>
        <v>3123200</v>
      </c>
      <c r="D1197" cm="1">
        <f t="array" aca="1" ref="D1197" ca="1">[1]!s_dq_amount($B$1,$A1197)</f>
        <v>80989365</v>
      </c>
      <c r="E1197" cm="1">
        <f t="array" aca="1" ref="E1197" ca="1">[1]!s_dq_turn($B$1,$A1197)</f>
        <v>0.36115738452948898</v>
      </c>
      <c r="F1197" cm="1">
        <f t="array" aca="1" ref="F1197" ca="1">[1]!s_val_pe_ttm($B$1,$A1197)</f>
        <v>-11.079221725463899</v>
      </c>
    </row>
    <row r="1198" spans="1:6">
      <c r="A1198" s="23">
        <f t="shared" ca="1" si="18"/>
        <v>44977</v>
      </c>
      <c r="B1198" cm="1">
        <f t="array" aca="1" ref="B1198" ca="1">[1]!s_dq_close($B$1,$A1198,3)</f>
        <v>26.6</v>
      </c>
      <c r="C1198" cm="1">
        <f t="array" aca="1" ref="C1198" ca="1">[1]!s_dq_volume($B$1,$A1198)</f>
        <v>3200500</v>
      </c>
      <c r="D1198" cm="1">
        <f t="array" aca="1" ref="D1198" ca="1">[1]!s_dq_amount($B$1,$A1198)</f>
        <v>84646900</v>
      </c>
      <c r="E1198" cm="1">
        <f t="array" aca="1" ref="E1198" ca="1">[1]!s_dq_turn($B$1,$A1198)</f>
        <v>0.37009612230617001</v>
      </c>
      <c r="F1198" cm="1">
        <f t="array" aca="1" ref="F1198" ca="1">[1]!s_val_pe_ttm($B$1,$A1198)</f>
        <v>-11.4895639419556</v>
      </c>
    </row>
    <row r="1199" spans="1:6">
      <c r="A1199" s="23">
        <f t="shared" ca="1" si="18"/>
        <v>44976</v>
      </c>
      <c r="B1199" cm="1">
        <f t="array" aca="1" ref="B1199" ca="1">[1]!s_dq_close($B$1,$A1199,3)</f>
        <v>25.9</v>
      </c>
      <c r="C1199" cm="1">
        <f t="array" aca="1" ref="C1199" ca="1">[1]!s_dq_volume($B$1,$A1199)</f>
        <v>0</v>
      </c>
      <c r="D1199" cm="1">
        <f t="array" aca="1" ref="D1199" ca="1">[1]!s_dq_amount($B$1,$A1199)</f>
        <v>0</v>
      </c>
      <c r="E1199" cm="1">
        <f t="array" aca="1" ref="E1199" ca="1">[1]!s_dq_turn($B$1,$A1199)</f>
        <v>0</v>
      </c>
      <c r="F1199" cm="1">
        <f t="array" aca="1" ref="F1199" ca="1">[1]!s_val_pe_ttm($B$1,$A1199)</f>
        <v>-11.187206268310501</v>
      </c>
    </row>
    <row r="1200" spans="1:6">
      <c r="A1200" s="23">
        <f t="shared" ca="1" si="18"/>
        <v>44975</v>
      </c>
      <c r="B1200" cm="1">
        <f t="array" aca="1" ref="B1200" ca="1">[1]!s_dq_close($B$1,$A1200,3)</f>
        <v>25.9</v>
      </c>
      <c r="C1200" cm="1">
        <f t="array" aca="1" ref="C1200" ca="1">[1]!s_dq_volume($B$1,$A1200)</f>
        <v>0</v>
      </c>
      <c r="D1200" cm="1">
        <f t="array" aca="1" ref="D1200" ca="1">[1]!s_dq_amount($B$1,$A1200)</f>
        <v>0</v>
      </c>
      <c r="E1200" cm="1">
        <f t="array" aca="1" ref="E1200" ca="1">[1]!s_dq_turn($B$1,$A1200)</f>
        <v>0</v>
      </c>
      <c r="F1200" cm="1">
        <f t="array" aca="1" ref="F1200" ca="1">[1]!s_val_pe_ttm($B$1,$A1200)</f>
        <v>-11.187206268310501</v>
      </c>
    </row>
    <row r="1201" spans="1:6">
      <c r="A1201" s="23">
        <f t="shared" ca="1" si="18"/>
        <v>44974</v>
      </c>
      <c r="B1201" cm="1">
        <f t="array" aca="1" ref="B1201" ca="1">[1]!s_dq_close($B$1,$A1201,3)</f>
        <v>25.9</v>
      </c>
      <c r="C1201" cm="1">
        <f t="array" aca="1" ref="C1201" ca="1">[1]!s_dq_volume($B$1,$A1201)</f>
        <v>1340893</v>
      </c>
      <c r="D1201" cm="1">
        <f t="array" aca="1" ref="D1201" ca="1">[1]!s_dq_amount($B$1,$A1201)</f>
        <v>34692139</v>
      </c>
      <c r="E1201" cm="1">
        <f t="array" aca="1" ref="E1201" ca="1">[1]!s_dq_turn($B$1,$A1201)</f>
        <v>0.155056803539287</v>
      </c>
      <c r="F1201" cm="1">
        <f t="array" aca="1" ref="F1201" ca="1">[1]!s_val_pe_ttm($B$1,$A1201)</f>
        <v>-11.187206268310501</v>
      </c>
    </row>
    <row r="1202" spans="1:6">
      <c r="A1202" s="23">
        <f t="shared" ca="1" si="18"/>
        <v>44973</v>
      </c>
      <c r="B1202" cm="1">
        <f t="array" aca="1" ref="B1202" ca="1">[1]!s_dq_close($B$1,$A1202,3)</f>
        <v>25.9</v>
      </c>
      <c r="C1202" cm="1">
        <f t="array" aca="1" ref="C1202" ca="1">[1]!s_dq_volume($B$1,$A1202)</f>
        <v>4917000</v>
      </c>
      <c r="D1202" cm="1">
        <f t="array" aca="1" ref="D1202" ca="1">[1]!s_dq_amount($B$1,$A1202)</f>
        <v>129541575</v>
      </c>
      <c r="E1202" cm="1">
        <f t="array" aca="1" ref="E1202" ca="1">[1]!s_dq_turn($B$1,$A1202)</f>
        <v>0.56858698121525997</v>
      </c>
      <c r="F1202" cm="1">
        <f t="array" aca="1" ref="F1202" ca="1">[1]!s_val_pe_ttm($B$1,$A1202)</f>
        <v>-11.187206268310501</v>
      </c>
    </row>
    <row r="1203" spans="1:6">
      <c r="A1203" s="23">
        <f t="shared" ca="1" si="18"/>
        <v>44972</v>
      </c>
      <c r="B1203" cm="1">
        <f t="array" aca="1" ref="B1203" ca="1">[1]!s_dq_close($B$1,$A1203,3)</f>
        <v>26.5</v>
      </c>
      <c r="C1203" cm="1">
        <f t="array" aca="1" ref="C1203" ca="1">[1]!s_dq_volume($B$1,$A1203)</f>
        <v>4312329</v>
      </c>
      <c r="D1203" cm="1">
        <f t="array" aca="1" ref="D1203" ca="1">[1]!s_dq_amount($B$1,$A1203)</f>
        <v>112840851</v>
      </c>
      <c r="E1203" cm="1">
        <f t="array" aca="1" ref="E1203" ca="1">[1]!s_dq_turn($B$1,$A1203)</f>
        <v>0.49866465896217599</v>
      </c>
      <c r="F1203" cm="1">
        <f t="array" aca="1" ref="F1203" ca="1">[1]!s_val_pe_ttm($B$1,$A1203)</f>
        <v>-11.4463701248169</v>
      </c>
    </row>
    <row r="1204" spans="1:6">
      <c r="A1204" s="23">
        <f t="shared" ca="1" si="18"/>
        <v>44971</v>
      </c>
      <c r="B1204" cm="1">
        <f t="array" aca="1" ref="B1204" ca="1">[1]!s_dq_close($B$1,$A1204,3)</f>
        <v>26.15</v>
      </c>
      <c r="C1204" cm="1">
        <f t="array" aca="1" ref="C1204" ca="1">[1]!s_dq_volume($B$1,$A1204)</f>
        <v>3666500</v>
      </c>
      <c r="D1204" cm="1">
        <f t="array" aca="1" ref="D1204" ca="1">[1]!s_dq_amount($B$1,$A1204)</f>
        <v>95310225</v>
      </c>
      <c r="E1204" cm="1">
        <f t="array" aca="1" ref="E1204" ca="1">[1]!s_dq_turn($B$1,$A1204)</f>
        <v>0.423982950300132</v>
      </c>
      <c r="F1204" cm="1">
        <f t="array" aca="1" ref="F1204" ca="1">[1]!s_val_pe_ttm($B$1,$A1204)</f>
        <v>-11.2951917648315</v>
      </c>
    </row>
    <row r="1205" spans="1:6">
      <c r="A1205" s="23">
        <f t="shared" ca="1" si="18"/>
        <v>44970</v>
      </c>
      <c r="B1205" cm="1">
        <f t="array" aca="1" ref="B1205" ca="1">[1]!s_dq_close($B$1,$A1205,3)</f>
        <v>26.4</v>
      </c>
      <c r="C1205" cm="1">
        <f t="array" aca="1" ref="C1205" ca="1">[1]!s_dq_volume($B$1,$A1205)</f>
        <v>5386870</v>
      </c>
      <c r="D1205" cm="1">
        <f t="array" aca="1" ref="D1205" ca="1">[1]!s_dq_amount($B$1,$A1205)</f>
        <v>142040507</v>
      </c>
      <c r="E1205" cm="1">
        <f t="array" aca="1" ref="E1205" ca="1">[1]!s_dq_turn($B$1,$A1205)</f>
        <v>0.62292132428290603</v>
      </c>
      <c r="F1205" cm="1">
        <f t="array" aca="1" ref="F1205" ca="1">[1]!s_val_pe_ttm($B$1,$A1205)</f>
        <v>-11.4031763076782</v>
      </c>
    </row>
    <row r="1206" spans="1:6">
      <c r="A1206" s="23">
        <f t="shared" ca="1" si="18"/>
        <v>44969</v>
      </c>
      <c r="B1206" cm="1">
        <f t="array" aca="1" ref="B1206" ca="1">[1]!s_dq_close($B$1,$A1206,3)</f>
        <v>27</v>
      </c>
      <c r="C1206" cm="1">
        <f t="array" aca="1" ref="C1206" ca="1">[1]!s_dq_volume($B$1,$A1206)</f>
        <v>0</v>
      </c>
      <c r="D1206" cm="1">
        <f t="array" aca="1" ref="D1206" ca="1">[1]!s_dq_amount($B$1,$A1206)</f>
        <v>0</v>
      </c>
      <c r="E1206" cm="1">
        <f t="array" aca="1" ref="E1206" ca="1">[1]!s_dq_turn($B$1,$A1206)</f>
        <v>0</v>
      </c>
      <c r="F1206" cm="1">
        <f t="array" aca="1" ref="F1206" ca="1">[1]!s_val_pe_ttm($B$1,$A1206)</f>
        <v>-11.6623392105103</v>
      </c>
    </row>
    <row r="1207" spans="1:6">
      <c r="A1207" s="23">
        <f t="shared" ca="1" si="18"/>
        <v>44968</v>
      </c>
      <c r="B1207" cm="1">
        <f t="array" aca="1" ref="B1207" ca="1">[1]!s_dq_close($B$1,$A1207,3)</f>
        <v>27</v>
      </c>
      <c r="C1207" cm="1">
        <f t="array" aca="1" ref="C1207" ca="1">[1]!s_dq_volume($B$1,$A1207)</f>
        <v>0</v>
      </c>
      <c r="D1207" cm="1">
        <f t="array" aca="1" ref="D1207" ca="1">[1]!s_dq_amount($B$1,$A1207)</f>
        <v>0</v>
      </c>
      <c r="E1207" cm="1">
        <f t="array" aca="1" ref="E1207" ca="1">[1]!s_dq_turn($B$1,$A1207)</f>
        <v>0</v>
      </c>
      <c r="F1207" cm="1">
        <f t="array" aca="1" ref="F1207" ca="1">[1]!s_val_pe_ttm($B$1,$A1207)</f>
        <v>-11.6623392105103</v>
      </c>
    </row>
    <row r="1208" spans="1:6">
      <c r="A1208" s="23">
        <f t="shared" ca="1" si="18"/>
        <v>44967</v>
      </c>
      <c r="B1208" cm="1">
        <f t="array" aca="1" ref="B1208" ca="1">[1]!s_dq_close($B$1,$A1208,3)</f>
        <v>27</v>
      </c>
      <c r="C1208" cm="1">
        <f t="array" aca="1" ref="C1208" ca="1">[1]!s_dq_volume($B$1,$A1208)</f>
        <v>6496170</v>
      </c>
      <c r="D1208" cm="1">
        <f t="array" aca="1" ref="D1208" ca="1">[1]!s_dq_amount($B$1,$A1208)</f>
        <v>177776029</v>
      </c>
      <c r="E1208" cm="1">
        <f t="array" aca="1" ref="E1208" ca="1">[1]!s_dq_turn($B$1,$A1208)</f>
        <v>0.75119741504192294</v>
      </c>
      <c r="F1208" cm="1">
        <f t="array" aca="1" ref="F1208" ca="1">[1]!s_val_pe_ttm($B$1,$A1208)</f>
        <v>-11.6623392105103</v>
      </c>
    </row>
    <row r="1209" spans="1:6">
      <c r="A1209" s="23">
        <f t="shared" ca="1" si="18"/>
        <v>44966</v>
      </c>
      <c r="B1209" cm="1">
        <f t="array" aca="1" ref="B1209" ca="1">[1]!s_dq_close($B$1,$A1209,3)</f>
        <v>29.35</v>
      </c>
      <c r="C1209" cm="1">
        <f t="array" aca="1" ref="C1209" ca="1">[1]!s_dq_volume($B$1,$A1209)</f>
        <v>3000132</v>
      </c>
      <c r="D1209" cm="1">
        <f t="array" aca="1" ref="D1209" ca="1">[1]!s_dq_amount($B$1,$A1209)</f>
        <v>87569224</v>
      </c>
      <c r="E1209" cm="1">
        <f t="array" aca="1" ref="E1209" ca="1">[1]!s_dq_turn($B$1,$A1209)</f>
        <v>0.34692617391240599</v>
      </c>
      <c r="F1209" cm="1">
        <f t="array" aca="1" ref="F1209" ca="1">[1]!s_val_pe_ttm($B$1,$A1209)</f>
        <v>-12.6773948669434</v>
      </c>
    </row>
    <row r="1210" spans="1:6">
      <c r="A1210" s="23">
        <f t="shared" ca="1" si="18"/>
        <v>44965</v>
      </c>
      <c r="B1210" cm="1">
        <f t="array" aca="1" ref="B1210" ca="1">[1]!s_dq_close($B$1,$A1210,3)</f>
        <v>29.7</v>
      </c>
      <c r="C1210" cm="1">
        <f t="array" aca="1" ref="C1210" ca="1">[1]!s_dq_volume($B$1,$A1210)</f>
        <v>2448000</v>
      </c>
      <c r="D1210" cm="1">
        <f t="array" aca="1" ref="D1210" ca="1">[1]!s_dq_amount($B$1,$A1210)</f>
        <v>73860500</v>
      </c>
      <c r="E1210" cm="1">
        <f t="array" aca="1" ref="E1210" ca="1">[1]!s_dq_turn($B$1,$A1210)</f>
        <v>0.28307930242321699</v>
      </c>
      <c r="F1210" cm="1">
        <f t="array" aca="1" ref="F1210" ca="1">[1]!s_val_pe_ttm($B$1,$A1210)</f>
        <v>-12.8285732269287</v>
      </c>
    </row>
    <row r="1211" spans="1:6">
      <c r="A1211" s="23">
        <f t="shared" ca="1" si="18"/>
        <v>44964</v>
      </c>
      <c r="B1211" cm="1">
        <f t="array" aca="1" ref="B1211" ca="1">[1]!s_dq_close($B$1,$A1211,3)</f>
        <v>29.2</v>
      </c>
      <c r="C1211" cm="1">
        <f t="array" aca="1" ref="C1211" ca="1">[1]!s_dq_volume($B$1,$A1211)</f>
        <v>2584359</v>
      </c>
      <c r="D1211" cm="1">
        <f t="array" aca="1" ref="D1211" ca="1">[1]!s_dq_amount($B$1,$A1211)</f>
        <v>76379623</v>
      </c>
      <c r="E1211" cm="1">
        <f t="array" aca="1" ref="E1211" ca="1">[1]!s_dq_turn($B$1,$A1211)</f>
        <v>0.29884744400782798</v>
      </c>
      <c r="F1211" cm="1">
        <f t="array" aca="1" ref="F1211" ca="1">[1]!s_val_pe_ttm($B$1,$A1211)</f>
        <v>-12.6126041412354</v>
      </c>
    </row>
    <row r="1212" spans="1:6">
      <c r="A1212" s="23">
        <f t="shared" ca="1" si="18"/>
        <v>44963</v>
      </c>
      <c r="B1212" cm="1">
        <f t="array" aca="1" ref="B1212" ca="1">[1]!s_dq_close($B$1,$A1212,3)</f>
        <v>29.2</v>
      </c>
      <c r="C1212" cm="1">
        <f t="array" aca="1" ref="C1212" ca="1">[1]!s_dq_volume($B$1,$A1212)</f>
        <v>3547500</v>
      </c>
      <c r="D1212" cm="1">
        <f t="array" aca="1" ref="D1212" ca="1">[1]!s_dq_amount($B$1,$A1212)</f>
        <v>103705281</v>
      </c>
      <c r="E1212" cm="1">
        <f t="array" aca="1" ref="E1212" ca="1">[1]!s_dq_turn($B$1,$A1212)</f>
        <v>0.41022215087678099</v>
      </c>
      <c r="F1212" cm="1">
        <f t="array" aca="1" ref="F1212" ca="1">[1]!s_val_pe_ttm($B$1,$A1212)</f>
        <v>-12.6126041412354</v>
      </c>
    </row>
    <row r="1213" spans="1:6">
      <c r="A1213" s="23">
        <f t="shared" ca="1" si="18"/>
        <v>44962</v>
      </c>
      <c r="B1213" cm="1">
        <f t="array" aca="1" ref="B1213" ca="1">[1]!s_dq_close($B$1,$A1213,3)</f>
        <v>31</v>
      </c>
      <c r="C1213" cm="1">
        <f t="array" aca="1" ref="C1213" ca="1">[1]!s_dq_volume($B$1,$A1213)</f>
        <v>0</v>
      </c>
      <c r="D1213" cm="1">
        <f t="array" aca="1" ref="D1213" ca="1">[1]!s_dq_amount($B$1,$A1213)</f>
        <v>0</v>
      </c>
      <c r="E1213" cm="1">
        <f t="array" aca="1" ref="E1213" ca="1">[1]!s_dq_turn($B$1,$A1213)</f>
        <v>0</v>
      </c>
      <c r="F1213" cm="1">
        <f t="array" aca="1" ref="F1213" ca="1">[1]!s_val_pe_ttm($B$1,$A1213)</f>
        <v>-13.390092849731399</v>
      </c>
    </row>
    <row r="1214" spans="1:6">
      <c r="A1214" s="23">
        <f t="shared" ca="1" si="18"/>
        <v>44961</v>
      </c>
      <c r="B1214" cm="1">
        <f t="array" aca="1" ref="B1214" ca="1">[1]!s_dq_close($B$1,$A1214,3)</f>
        <v>31</v>
      </c>
      <c r="C1214" cm="1">
        <f t="array" aca="1" ref="C1214" ca="1">[1]!s_dq_volume($B$1,$A1214)</f>
        <v>0</v>
      </c>
      <c r="D1214" cm="1">
        <f t="array" aca="1" ref="D1214" ca="1">[1]!s_dq_amount($B$1,$A1214)</f>
        <v>0</v>
      </c>
      <c r="E1214" cm="1">
        <f t="array" aca="1" ref="E1214" ca="1">[1]!s_dq_turn($B$1,$A1214)</f>
        <v>0</v>
      </c>
      <c r="F1214" cm="1">
        <f t="array" aca="1" ref="F1214" ca="1">[1]!s_val_pe_ttm($B$1,$A1214)</f>
        <v>-13.390092849731399</v>
      </c>
    </row>
    <row r="1215" spans="1:6">
      <c r="A1215" s="23">
        <f t="shared" ca="1" si="18"/>
        <v>44960</v>
      </c>
      <c r="B1215" cm="1">
        <f t="array" aca="1" ref="B1215" ca="1">[1]!s_dq_close($B$1,$A1215,3)</f>
        <v>31</v>
      </c>
      <c r="C1215" cm="1">
        <f t="array" aca="1" ref="C1215" ca="1">[1]!s_dq_volume($B$1,$A1215)</f>
        <v>3418645</v>
      </c>
      <c r="D1215" cm="1">
        <f t="array" aca="1" ref="D1215" ca="1">[1]!s_dq_amount($B$1,$A1215)</f>
        <v>106212566</v>
      </c>
      <c r="E1215" cm="1">
        <f t="array" aca="1" ref="E1215" ca="1">[1]!s_dq_turn($B$1,$A1215)</f>
        <v>0.39532174911463103</v>
      </c>
      <c r="F1215" cm="1">
        <f t="array" aca="1" ref="F1215" ca="1">[1]!s_val_pe_ttm($B$1,$A1215)</f>
        <v>-13.390092849731399</v>
      </c>
    </row>
    <row r="1216" spans="1:6">
      <c r="A1216" s="23">
        <f t="shared" ca="1" si="18"/>
        <v>44959</v>
      </c>
      <c r="B1216" cm="1">
        <f t="array" aca="1" ref="B1216" ca="1">[1]!s_dq_close($B$1,$A1216,3)</f>
        <v>31.5</v>
      </c>
      <c r="C1216" cm="1">
        <f t="array" aca="1" ref="C1216" ca="1">[1]!s_dq_volume($B$1,$A1216)</f>
        <v>6018328</v>
      </c>
      <c r="D1216" cm="1">
        <f t="array" aca="1" ref="D1216" ca="1">[1]!s_dq_amount($B$1,$A1216)</f>
        <v>190995096</v>
      </c>
      <c r="E1216" cm="1">
        <f t="array" aca="1" ref="E1216" ca="1">[1]!s_dq_turn($B$1,$A1216)</f>
        <v>0.69594121404988296</v>
      </c>
      <c r="F1216" cm="1">
        <f t="array" aca="1" ref="F1216" ca="1">[1]!s_val_pe_ttm($B$1,$A1216)</f>
        <v>-13.606061935424799</v>
      </c>
    </row>
    <row r="1217" spans="1:6">
      <c r="A1217" s="23">
        <f t="shared" ca="1" si="18"/>
        <v>44958</v>
      </c>
      <c r="B1217" cm="1">
        <f t="array" aca="1" ref="B1217" ca="1">[1]!s_dq_close($B$1,$A1217,3)</f>
        <v>30.4</v>
      </c>
      <c r="C1217" cm="1">
        <f t="array" aca="1" ref="C1217" ca="1">[1]!s_dq_volume($B$1,$A1217)</f>
        <v>6589000</v>
      </c>
      <c r="D1217" cm="1">
        <f t="array" aca="1" ref="D1217" ca="1">[1]!s_dq_amount($B$1,$A1217)</f>
        <v>195169136</v>
      </c>
      <c r="E1217" cm="1">
        <f t="array" aca="1" ref="E1217" ca="1">[1]!s_dq_turn($B$1,$A1217)</f>
        <v>0.76193199496183595</v>
      </c>
      <c r="F1217" cm="1">
        <f t="array" aca="1" ref="F1217" ca="1">[1]!s_val_pe_ttm($B$1,$A1217)</f>
        <v>-13.1309299468994</v>
      </c>
    </row>
    <row r="1218" spans="1:6">
      <c r="A1218" s="23">
        <f t="shared" ca="1" si="18"/>
        <v>44957</v>
      </c>
      <c r="B1218" cm="1">
        <f t="array" aca="1" ref="B1218" ca="1">[1]!s_dq_close($B$1,$A1218,3)</f>
        <v>28.8</v>
      </c>
      <c r="C1218" cm="1">
        <f t="array" aca="1" ref="C1218" ca="1">[1]!s_dq_volume($B$1,$A1218)</f>
        <v>7193000</v>
      </c>
      <c r="D1218" cm="1">
        <f t="array" aca="1" ref="D1218" ca="1">[1]!s_dq_amount($B$1,$A1218)</f>
        <v>207046233</v>
      </c>
      <c r="E1218" cm="1">
        <f t="array" aca="1" ref="E1218" ca="1">[1]!s_dq_turn($B$1,$A1218)</f>
        <v>0.83177672480808695</v>
      </c>
      <c r="F1218" cm="1">
        <f t="array" aca="1" ref="F1218" ca="1">[1]!s_val_pe_ttm($B$1,$A1218)</f>
        <v>-12.4398279190063</v>
      </c>
    </row>
    <row r="1219" spans="1:6">
      <c r="A1219" s="23">
        <f t="shared" ca="1" si="18"/>
        <v>44956</v>
      </c>
      <c r="B1219" cm="1">
        <f t="array" aca="1" ref="B1219" ca="1">[1]!s_dq_close($B$1,$A1219,3)</f>
        <v>29.5</v>
      </c>
      <c r="C1219" cm="1">
        <f t="array" aca="1" ref="C1219" ca="1">[1]!s_dq_volume($B$1,$A1219)</f>
        <v>6867000</v>
      </c>
      <c r="D1219" cm="1">
        <f t="array" aca="1" ref="D1219" ca="1">[1]!s_dq_amount($B$1,$A1219)</f>
        <v>210078850</v>
      </c>
      <c r="E1219" cm="1">
        <f t="array" aca="1" ref="E1219" ca="1">[1]!s_dq_turn($B$1,$A1219)</f>
        <v>0.79407907260630295</v>
      </c>
      <c r="F1219" cm="1">
        <f t="array" aca="1" ref="F1219" ca="1">[1]!s_val_pe_ttm($B$1,$A1219)</f>
        <v>-12.742185592651399</v>
      </c>
    </row>
    <row r="1220" spans="1:6">
      <c r="A1220" s="23">
        <f t="shared" ca="1" si="18"/>
        <v>44955</v>
      </c>
      <c r="B1220" cm="1">
        <f t="array" aca="1" ref="B1220" ca="1">[1]!s_dq_close($B$1,$A1220,3)</f>
        <v>31.75</v>
      </c>
      <c r="C1220" cm="1">
        <f t="array" aca="1" ref="C1220" ca="1">[1]!s_dq_volume($B$1,$A1220)</f>
        <v>0</v>
      </c>
      <c r="D1220" cm="1">
        <f t="array" aca="1" ref="D1220" ca="1">[1]!s_dq_amount($B$1,$A1220)</f>
        <v>0</v>
      </c>
      <c r="E1220" cm="1">
        <f t="array" aca="1" ref="E1220" ca="1">[1]!s_dq_turn($B$1,$A1220)</f>
        <v>0</v>
      </c>
      <c r="F1220" cm="1">
        <f t="array" aca="1" ref="F1220" ca="1">[1]!s_val_pe_ttm($B$1,$A1220)</f>
        <v>-13.7140464782715</v>
      </c>
    </row>
    <row r="1221" spans="1:6">
      <c r="A1221" s="23">
        <f t="shared" ca="1" si="18"/>
        <v>44954</v>
      </c>
      <c r="B1221" cm="1">
        <f t="array" aca="1" ref="B1221" ca="1">[1]!s_dq_close($B$1,$A1221,3)</f>
        <v>31.75</v>
      </c>
      <c r="C1221" cm="1">
        <f t="array" aca="1" ref="C1221" ca="1">[1]!s_dq_volume($B$1,$A1221)</f>
        <v>0</v>
      </c>
      <c r="D1221" cm="1">
        <f t="array" aca="1" ref="D1221" ca="1">[1]!s_dq_amount($B$1,$A1221)</f>
        <v>0</v>
      </c>
      <c r="E1221" cm="1">
        <f t="array" aca="1" ref="E1221" ca="1">[1]!s_dq_turn($B$1,$A1221)</f>
        <v>0</v>
      </c>
      <c r="F1221" cm="1">
        <f t="array" aca="1" ref="F1221" ca="1">[1]!s_val_pe_ttm($B$1,$A1221)</f>
        <v>-13.7140464782715</v>
      </c>
    </row>
    <row r="1222" spans="1:6">
      <c r="A1222" s="23">
        <f t="shared" ca="1" si="18"/>
        <v>44953</v>
      </c>
      <c r="B1222" cm="1">
        <f t="array" aca="1" ref="B1222" ca="1">[1]!s_dq_close($B$1,$A1222,3)</f>
        <v>31.75</v>
      </c>
      <c r="C1222" cm="1">
        <f t="array" aca="1" ref="C1222" ca="1">[1]!s_dq_volume($B$1,$A1222)</f>
        <v>4527500</v>
      </c>
      <c r="D1222" cm="1">
        <f t="array" aca="1" ref="D1222" ca="1">[1]!s_dq_amount($B$1,$A1222)</f>
        <v>144580514</v>
      </c>
      <c r="E1222" cm="1">
        <f t="array" aca="1" ref="E1222" ca="1">[1]!s_dq_turn($B$1,$A1222)</f>
        <v>0.52354638142202303</v>
      </c>
      <c r="F1222" cm="1">
        <f t="array" aca="1" ref="F1222" ca="1">[1]!s_val_pe_ttm($B$1,$A1222)</f>
        <v>-13.7140464782715</v>
      </c>
    </row>
    <row r="1223" spans="1:6">
      <c r="A1223" s="23">
        <f t="shared" ca="1" si="18"/>
        <v>44952</v>
      </c>
      <c r="B1223" cm="1">
        <f t="array" aca="1" ref="B1223" ca="1">[1]!s_dq_close($B$1,$A1223,3)</f>
        <v>31.5</v>
      </c>
      <c r="C1223" cm="1">
        <f t="array" aca="1" ref="C1223" ca="1">[1]!s_dq_volume($B$1,$A1223)</f>
        <v>3300775</v>
      </c>
      <c r="D1223" cm="1">
        <f t="array" aca="1" ref="D1223" ca="1">[1]!s_dq_amount($B$1,$A1223)</f>
        <v>100867289</v>
      </c>
      <c r="E1223" cm="1">
        <f t="array" aca="1" ref="E1223" ca="1">[1]!s_dq_turn($B$1,$A1223)</f>
        <v>0.381691619467317</v>
      </c>
      <c r="F1223" cm="1">
        <f t="array" aca="1" ref="F1223" ca="1">[1]!s_val_pe_ttm($B$1,$A1223)</f>
        <v>-13.606061935424799</v>
      </c>
    </row>
    <row r="1224" spans="1:6">
      <c r="A1224" s="23">
        <f t="shared" ca="1" si="18"/>
        <v>44951</v>
      </c>
      <c r="B1224" cm="1">
        <f t="array" aca="1" ref="B1224" ca="1">[1]!s_dq_close($B$1,$A1224,3)</f>
        <v>27.6</v>
      </c>
      <c r="C1224" cm="1">
        <f t="array" aca="1" ref="C1224" ca="1">[1]!s_dq_volume($B$1,$A1224)</f>
        <v>0</v>
      </c>
      <c r="D1224" cm="1">
        <f t="array" aca="1" ref="D1224" ca="1">[1]!s_dq_amount($B$1,$A1224)</f>
        <v>0</v>
      </c>
      <c r="E1224" cm="1">
        <f t="array" aca="1" ref="E1224" ca="1">[1]!s_dq_turn($B$1,$A1224)</f>
        <v>0</v>
      </c>
      <c r="F1224" cm="1">
        <f t="array" aca="1" ref="F1224" ca="1">[1]!s_val_pe_ttm($B$1,$A1224)</f>
        <v>-11.921502113342299</v>
      </c>
    </row>
    <row r="1225" spans="1:6">
      <c r="A1225" s="23">
        <f t="shared" ca="1" si="18"/>
        <v>44950</v>
      </c>
      <c r="B1225" cm="1">
        <f t="array" aca="1" ref="B1225" ca="1">[1]!s_dq_close($B$1,$A1225,3)</f>
        <v>27.6</v>
      </c>
      <c r="C1225" cm="1">
        <f t="array" aca="1" ref="C1225" ca="1">[1]!s_dq_volume($B$1,$A1225)</f>
        <v>0</v>
      </c>
      <c r="D1225" cm="1">
        <f t="array" aca="1" ref="D1225" ca="1">[1]!s_dq_amount($B$1,$A1225)</f>
        <v>0</v>
      </c>
      <c r="E1225" cm="1">
        <f t="array" aca="1" ref="E1225" ca="1">[1]!s_dq_turn($B$1,$A1225)</f>
        <v>0</v>
      </c>
      <c r="F1225" cm="1">
        <f t="array" aca="1" ref="F1225" ca="1">[1]!s_val_pe_ttm($B$1,$A1225)</f>
        <v>-11.921502113342299</v>
      </c>
    </row>
    <row r="1226" spans="1:6">
      <c r="A1226" s="23">
        <f t="shared" ca="1" si="18"/>
        <v>44949</v>
      </c>
      <c r="B1226" cm="1">
        <f t="array" aca="1" ref="B1226" ca="1">[1]!s_dq_close($B$1,$A1226,3)</f>
        <v>27.6</v>
      </c>
      <c r="C1226" cm="1">
        <f t="array" aca="1" ref="C1226" ca="1">[1]!s_dq_volume($B$1,$A1226)</f>
        <v>0</v>
      </c>
      <c r="D1226" cm="1">
        <f t="array" aca="1" ref="D1226" ca="1">[1]!s_dq_amount($B$1,$A1226)</f>
        <v>0</v>
      </c>
      <c r="E1226" cm="1">
        <f t="array" aca="1" ref="E1226" ca="1">[1]!s_dq_turn($B$1,$A1226)</f>
        <v>0</v>
      </c>
      <c r="F1226" cm="1">
        <f t="array" aca="1" ref="F1226" ca="1">[1]!s_val_pe_ttm($B$1,$A1226)</f>
        <v>-11.921502113342299</v>
      </c>
    </row>
    <row r="1227" spans="1:6">
      <c r="A1227" s="23">
        <f t="shared" ca="1" si="18"/>
        <v>44948</v>
      </c>
      <c r="B1227" cm="1">
        <f t="array" aca="1" ref="B1227" ca="1">[1]!s_dq_close($B$1,$A1227,3)</f>
        <v>27.6</v>
      </c>
      <c r="C1227" cm="1">
        <f t="array" aca="1" ref="C1227" ca="1">[1]!s_dq_volume($B$1,$A1227)</f>
        <v>0</v>
      </c>
      <c r="D1227" cm="1">
        <f t="array" aca="1" ref="D1227" ca="1">[1]!s_dq_amount($B$1,$A1227)</f>
        <v>0</v>
      </c>
      <c r="E1227" cm="1">
        <f t="array" aca="1" ref="E1227" ca="1">[1]!s_dq_turn($B$1,$A1227)</f>
        <v>0</v>
      </c>
      <c r="F1227" cm="1">
        <f t="array" aca="1" ref="F1227" ca="1">[1]!s_val_pe_ttm($B$1,$A1227)</f>
        <v>-11.921502113342299</v>
      </c>
    </row>
    <row r="1228" spans="1:6">
      <c r="A1228" s="23">
        <f t="shared" ca="1" si="18"/>
        <v>44947</v>
      </c>
      <c r="B1228" cm="1">
        <f t="array" aca="1" ref="B1228" ca="1">[1]!s_dq_close($B$1,$A1228,3)</f>
        <v>27.6</v>
      </c>
      <c r="C1228" cm="1">
        <f t="array" aca="1" ref="C1228" ca="1">[1]!s_dq_volume($B$1,$A1228)</f>
        <v>0</v>
      </c>
      <c r="D1228" cm="1">
        <f t="array" aca="1" ref="D1228" ca="1">[1]!s_dq_amount($B$1,$A1228)</f>
        <v>0</v>
      </c>
      <c r="E1228" cm="1">
        <f t="array" aca="1" ref="E1228" ca="1">[1]!s_dq_turn($B$1,$A1228)</f>
        <v>0</v>
      </c>
      <c r="F1228" cm="1">
        <f t="array" aca="1" ref="F1228" ca="1">[1]!s_val_pe_ttm($B$1,$A1228)</f>
        <v>-11.921502113342299</v>
      </c>
    </row>
    <row r="1229" spans="1:6">
      <c r="A1229" s="23">
        <f t="shared" ref="A1229:A1292" ca="1" si="19">A1228-1</f>
        <v>44946</v>
      </c>
      <c r="B1229" cm="1">
        <f t="array" aca="1" ref="B1229" ca="1">[1]!s_dq_close($B$1,$A1229,3)</f>
        <v>27.6</v>
      </c>
      <c r="C1229" cm="1">
        <f t="array" aca="1" ref="C1229" ca="1">[1]!s_dq_volume($B$1,$A1229)</f>
        <v>1402500</v>
      </c>
      <c r="D1229" cm="1">
        <f t="array" aca="1" ref="D1229" ca="1">[1]!s_dq_amount($B$1,$A1229)</f>
        <v>38263300</v>
      </c>
      <c r="E1229" cm="1">
        <f t="array" aca="1" ref="E1229" ca="1">[1]!s_dq_turn($B$1,$A1229)</f>
        <v>0.16218085034663501</v>
      </c>
      <c r="F1229" cm="1">
        <f t="array" aca="1" ref="F1229" ca="1">[1]!s_val_pe_ttm($B$1,$A1229)</f>
        <v>-11.921502113342299</v>
      </c>
    </row>
    <row r="1230" spans="1:6">
      <c r="A1230" s="23">
        <f t="shared" ca="1" si="19"/>
        <v>44945</v>
      </c>
      <c r="B1230" cm="1">
        <f t="array" aca="1" ref="B1230" ca="1">[1]!s_dq_close($B$1,$A1230,3)</f>
        <v>27.3</v>
      </c>
      <c r="C1230" cm="1">
        <f t="array" aca="1" ref="C1230" ca="1">[1]!s_dq_volume($B$1,$A1230)</f>
        <v>1181083</v>
      </c>
      <c r="D1230" cm="1">
        <f t="array" aca="1" ref="D1230" ca="1">[1]!s_dq_amount($B$1,$A1230)</f>
        <v>32260307</v>
      </c>
      <c r="E1230" cm="1">
        <f t="array" aca="1" ref="E1230" ca="1">[1]!s_dq_turn($B$1,$A1230)</f>
        <v>0.13657685937251601</v>
      </c>
      <c r="F1230" cm="1">
        <f t="array" aca="1" ref="F1230" ca="1">[1]!s_val_pe_ttm($B$1,$A1230)</f>
        <v>-11.7919206619263</v>
      </c>
    </row>
    <row r="1231" spans="1:6">
      <c r="A1231" s="23">
        <f t="shared" ca="1" si="19"/>
        <v>44944</v>
      </c>
      <c r="B1231" cm="1">
        <f t="array" aca="1" ref="B1231" ca="1">[1]!s_dq_close($B$1,$A1231,3)</f>
        <v>27.5</v>
      </c>
      <c r="C1231" cm="1">
        <f t="array" aca="1" ref="C1231" ca="1">[1]!s_dq_volume($B$1,$A1231)</f>
        <v>2105000</v>
      </c>
      <c r="D1231" cm="1">
        <f t="array" aca="1" ref="D1231" ca="1">[1]!s_dq_amount($B$1,$A1231)</f>
        <v>57380346</v>
      </c>
      <c r="E1231" cm="1">
        <f t="array" aca="1" ref="E1231" ca="1">[1]!s_dq_turn($B$1,$A1231)</f>
        <v>0.24341582173238199</v>
      </c>
      <c r="F1231" cm="1">
        <f t="array" aca="1" ref="F1231" ca="1">[1]!s_val_pe_ttm($B$1,$A1231)</f>
        <v>-11.878308296203601</v>
      </c>
    </row>
    <row r="1232" spans="1:6">
      <c r="A1232" s="23">
        <f t="shared" ca="1" si="19"/>
        <v>44943</v>
      </c>
      <c r="B1232" cm="1">
        <f t="array" aca="1" ref="B1232" ca="1">[1]!s_dq_close($B$1,$A1232,3)</f>
        <v>27.5</v>
      </c>
      <c r="C1232" cm="1">
        <f t="array" aca="1" ref="C1232" ca="1">[1]!s_dq_volume($B$1,$A1232)</f>
        <v>2009000</v>
      </c>
      <c r="D1232" cm="1">
        <f t="array" aca="1" ref="D1232" ca="1">[1]!s_dq_amount($B$1,$A1232)</f>
        <v>55037500</v>
      </c>
      <c r="E1232" cm="1">
        <f t="array" aca="1" ref="E1232" ca="1">[1]!s_dq_turn($B$1,$A1232)</f>
        <v>0.23231467261774599</v>
      </c>
      <c r="F1232" cm="1">
        <f t="array" aca="1" ref="F1232" ca="1">[1]!s_val_pe_ttm($B$1,$A1232)</f>
        <v>-11.878308296203601</v>
      </c>
    </row>
    <row r="1233" spans="1:6">
      <c r="A1233" s="23">
        <f t="shared" ca="1" si="19"/>
        <v>44942</v>
      </c>
      <c r="B1233" cm="1">
        <f t="array" aca="1" ref="B1233" ca="1">[1]!s_dq_close($B$1,$A1233,3)</f>
        <v>28.4</v>
      </c>
      <c r="C1233" cm="1">
        <f t="array" aca="1" ref="C1233" ca="1">[1]!s_dq_volume($B$1,$A1233)</f>
        <v>3952500</v>
      </c>
      <c r="D1233" cm="1">
        <f t="array" aca="1" ref="D1233" ca="1">[1]!s_dq_amount($B$1,$A1233)</f>
        <v>114418004</v>
      </c>
      <c r="E1233" cm="1">
        <f t="array" aca="1" ref="E1233" ca="1">[1]!s_dq_turn($B$1,$A1233)</f>
        <v>0.45705512370415202</v>
      </c>
      <c r="F1233" cm="1">
        <f t="array" aca="1" ref="F1233" ca="1">[1]!s_val_pe_ttm($B$1,$A1233)</f>
        <v>-12.267052650451699</v>
      </c>
    </row>
    <row r="1234" spans="1:6">
      <c r="A1234" s="23">
        <f t="shared" ca="1" si="19"/>
        <v>44941</v>
      </c>
      <c r="B1234" cm="1">
        <f t="array" aca="1" ref="B1234" ca="1">[1]!s_dq_close($B$1,$A1234,3)</f>
        <v>28.65</v>
      </c>
      <c r="C1234" cm="1">
        <f t="array" aca="1" ref="C1234" ca="1">[1]!s_dq_volume($B$1,$A1234)</f>
        <v>0</v>
      </c>
      <c r="D1234" cm="1">
        <f t="array" aca="1" ref="D1234" ca="1">[1]!s_dq_amount($B$1,$A1234)</f>
        <v>0</v>
      </c>
      <c r="E1234" cm="1">
        <f t="array" aca="1" ref="E1234" ca="1">[1]!s_dq_turn($B$1,$A1234)</f>
        <v>0</v>
      </c>
      <c r="F1234" cm="1">
        <f t="array" aca="1" ref="F1234" ca="1">[1]!s_val_pe_ttm($B$1,$A1234)</f>
        <v>-12.375037193298301</v>
      </c>
    </row>
    <row r="1235" spans="1:6">
      <c r="A1235" s="23">
        <f t="shared" ca="1" si="19"/>
        <v>44940</v>
      </c>
      <c r="B1235" cm="1">
        <f t="array" aca="1" ref="B1235" ca="1">[1]!s_dq_close($B$1,$A1235,3)</f>
        <v>28.65</v>
      </c>
      <c r="C1235" cm="1">
        <f t="array" aca="1" ref="C1235" ca="1">[1]!s_dq_volume($B$1,$A1235)</f>
        <v>0</v>
      </c>
      <c r="D1235" cm="1">
        <f t="array" aca="1" ref="D1235" ca="1">[1]!s_dq_amount($B$1,$A1235)</f>
        <v>0</v>
      </c>
      <c r="E1235" cm="1">
        <f t="array" aca="1" ref="E1235" ca="1">[1]!s_dq_turn($B$1,$A1235)</f>
        <v>0</v>
      </c>
      <c r="F1235" cm="1">
        <f t="array" aca="1" ref="F1235" ca="1">[1]!s_val_pe_ttm($B$1,$A1235)</f>
        <v>-12.375037193298301</v>
      </c>
    </row>
    <row r="1236" spans="1:6">
      <c r="A1236" s="23">
        <f t="shared" ca="1" si="19"/>
        <v>44939</v>
      </c>
      <c r="B1236" cm="1">
        <f t="array" aca="1" ref="B1236" ca="1">[1]!s_dq_close($B$1,$A1236,3)</f>
        <v>28.65</v>
      </c>
      <c r="C1236" cm="1">
        <f t="array" aca="1" ref="C1236" ca="1">[1]!s_dq_volume($B$1,$A1236)</f>
        <v>7877435</v>
      </c>
      <c r="D1236" cm="1">
        <f t="array" aca="1" ref="D1236" ca="1">[1]!s_dq_amount($B$1,$A1236)</f>
        <v>228006459</v>
      </c>
      <c r="E1236" cm="1">
        <f t="array" aca="1" ref="E1236" ca="1">[1]!s_dq_turn($B$1,$A1236)</f>
        <v>0.91092271433179395</v>
      </c>
      <c r="F1236" cm="1">
        <f t="array" aca="1" ref="F1236" ca="1">[1]!s_val_pe_ttm($B$1,$A1236)</f>
        <v>-12.375037193298301</v>
      </c>
    </row>
    <row r="1237" spans="1:6">
      <c r="A1237" s="23">
        <f t="shared" ca="1" si="19"/>
        <v>44938</v>
      </c>
      <c r="B1237" cm="1">
        <f t="array" aca="1" ref="B1237" ca="1">[1]!s_dq_close($B$1,$A1237,3)</f>
        <v>27.05</v>
      </c>
      <c r="C1237" cm="1">
        <f t="array" aca="1" ref="C1237" ca="1">[1]!s_dq_volume($B$1,$A1237)</f>
        <v>2669172</v>
      </c>
      <c r="D1237" cm="1">
        <f t="array" aca="1" ref="D1237" ca="1">[1]!s_dq_amount($B$1,$A1237)</f>
        <v>73631068</v>
      </c>
      <c r="E1237" cm="1">
        <f t="array" aca="1" ref="E1237" ca="1">[1]!s_dq_turn($B$1,$A1237)</f>
        <v>0.30865496233969902</v>
      </c>
      <c r="F1237" cm="1">
        <f t="array" aca="1" ref="F1237" ca="1">[1]!s_val_pe_ttm($B$1,$A1237)</f>
        <v>-11.683936119079601</v>
      </c>
    </row>
    <row r="1238" spans="1:6">
      <c r="A1238" s="23">
        <f t="shared" ca="1" si="19"/>
        <v>44937</v>
      </c>
      <c r="B1238" cm="1">
        <f t="array" aca="1" ref="B1238" ca="1">[1]!s_dq_close($B$1,$A1238,3)</f>
        <v>27.4</v>
      </c>
      <c r="C1238" cm="1">
        <f t="array" aca="1" ref="C1238" ca="1">[1]!s_dq_volume($B$1,$A1238)</f>
        <v>5801620</v>
      </c>
      <c r="D1238" cm="1">
        <f t="array" aca="1" ref="D1238" ca="1">[1]!s_dq_amount($B$1,$A1238)</f>
        <v>163611727</v>
      </c>
      <c r="E1238" cm="1">
        <f t="array" aca="1" ref="E1238" ca="1">[1]!s_dq_turn($B$1,$A1238)</f>
        <v>0.67088175756723101</v>
      </c>
      <c r="F1238" cm="1">
        <f t="array" aca="1" ref="F1238" ca="1">[1]!s_val_pe_ttm($B$1,$A1238)</f>
        <v>-11.835114479064901</v>
      </c>
    </row>
    <row r="1239" spans="1:6">
      <c r="A1239" s="23">
        <f t="shared" ca="1" si="19"/>
        <v>44936</v>
      </c>
      <c r="B1239" cm="1">
        <f t="array" aca="1" ref="B1239" ca="1">[1]!s_dq_close($B$1,$A1239,3)</f>
        <v>27.95</v>
      </c>
      <c r="C1239" cm="1">
        <f t="array" aca="1" ref="C1239" ca="1">[1]!s_dq_volume($B$1,$A1239)</f>
        <v>2701593</v>
      </c>
      <c r="D1239" cm="1">
        <f t="array" aca="1" ref="D1239" ca="1">[1]!s_dq_amount($B$1,$A1239)</f>
        <v>76281534</v>
      </c>
      <c r="E1239" cm="1">
        <f t="array" aca="1" ref="E1239" ca="1">[1]!s_dq_turn($B$1,$A1239)</f>
        <v>0.31240402854225702</v>
      </c>
      <c r="F1239" cm="1">
        <f t="array" aca="1" ref="F1239" ca="1">[1]!s_val_pe_ttm($B$1,$A1239)</f>
        <v>-12.072680473327599</v>
      </c>
    </row>
    <row r="1240" spans="1:6">
      <c r="A1240" s="23">
        <f t="shared" ca="1" si="19"/>
        <v>44935</v>
      </c>
      <c r="B1240" cm="1">
        <f t="array" aca="1" ref="B1240" ca="1">[1]!s_dq_close($B$1,$A1240,3)</f>
        <v>28.3</v>
      </c>
      <c r="C1240" cm="1">
        <f t="array" aca="1" ref="C1240" ca="1">[1]!s_dq_volume($B$1,$A1240)</f>
        <v>3840754</v>
      </c>
      <c r="D1240" cm="1">
        <f t="array" aca="1" ref="D1240" ca="1">[1]!s_dq_amount($B$1,$A1240)</f>
        <v>105877250</v>
      </c>
      <c r="E1240" cm="1">
        <f t="array" aca="1" ref="E1240" ca="1">[1]!s_dq_turn($B$1,$A1240)</f>
        <v>0.44413315486077598</v>
      </c>
      <c r="F1240" cm="1">
        <f t="array" aca="1" ref="F1240" ca="1">[1]!s_val_pe_ttm($B$1,$A1240)</f>
        <v>-12.223858833313001</v>
      </c>
    </row>
    <row r="1241" spans="1:6">
      <c r="A1241" s="23">
        <f t="shared" ca="1" si="19"/>
        <v>44934</v>
      </c>
      <c r="B1241" cm="1">
        <f t="array" aca="1" ref="B1241" ca="1">[1]!s_dq_close($B$1,$A1241,3)</f>
        <v>26.4</v>
      </c>
      <c r="C1241" cm="1">
        <f t="array" aca="1" ref="C1241" ca="1">[1]!s_dq_volume($B$1,$A1241)</f>
        <v>0</v>
      </c>
      <c r="D1241" cm="1">
        <f t="array" aca="1" ref="D1241" ca="1">[1]!s_dq_amount($B$1,$A1241)</f>
        <v>0</v>
      </c>
      <c r="E1241" cm="1">
        <f t="array" aca="1" ref="E1241" ca="1">[1]!s_dq_turn($B$1,$A1241)</f>
        <v>0</v>
      </c>
      <c r="F1241" cm="1">
        <f t="array" aca="1" ref="F1241" ca="1">[1]!s_val_pe_ttm($B$1,$A1241)</f>
        <v>-11.4031763076782</v>
      </c>
    </row>
    <row r="1242" spans="1:6">
      <c r="A1242" s="23">
        <f t="shared" ca="1" si="19"/>
        <v>44933</v>
      </c>
      <c r="B1242" cm="1">
        <f t="array" aca="1" ref="B1242" ca="1">[1]!s_dq_close($B$1,$A1242,3)</f>
        <v>26.4</v>
      </c>
      <c r="C1242" cm="1">
        <f t="array" aca="1" ref="C1242" ca="1">[1]!s_dq_volume($B$1,$A1242)</f>
        <v>0</v>
      </c>
      <c r="D1242" cm="1">
        <f t="array" aca="1" ref="D1242" ca="1">[1]!s_dq_amount($B$1,$A1242)</f>
        <v>0</v>
      </c>
      <c r="E1242" cm="1">
        <f t="array" aca="1" ref="E1242" ca="1">[1]!s_dq_turn($B$1,$A1242)</f>
        <v>0</v>
      </c>
      <c r="F1242" cm="1">
        <f t="array" aca="1" ref="F1242" ca="1">[1]!s_val_pe_ttm($B$1,$A1242)</f>
        <v>-11.4031763076782</v>
      </c>
    </row>
    <row r="1243" spans="1:6">
      <c r="A1243" s="23">
        <f t="shared" ca="1" si="19"/>
        <v>44932</v>
      </c>
      <c r="B1243" cm="1">
        <f t="array" aca="1" ref="B1243" ca="1">[1]!s_dq_close($B$1,$A1243,3)</f>
        <v>26.4</v>
      </c>
      <c r="C1243" cm="1">
        <f t="array" aca="1" ref="C1243" ca="1">[1]!s_dq_volume($B$1,$A1243)</f>
        <v>4718000</v>
      </c>
      <c r="D1243" cm="1">
        <f t="array" aca="1" ref="D1243" ca="1">[1]!s_dq_amount($B$1,$A1243)</f>
        <v>124420826</v>
      </c>
      <c r="E1243" cm="1">
        <f t="array" aca="1" ref="E1243" ca="1">[1]!s_dq_turn($B$1,$A1243)</f>
        <v>0.54557522419637905</v>
      </c>
      <c r="F1243" cm="1">
        <f t="array" aca="1" ref="F1243" ca="1">[1]!s_val_pe_ttm($B$1,$A1243)</f>
        <v>-11.4031763076782</v>
      </c>
    </row>
    <row r="1244" spans="1:6">
      <c r="A1244" s="23">
        <f t="shared" ca="1" si="19"/>
        <v>44931</v>
      </c>
      <c r="B1244" cm="1">
        <f t="array" aca="1" ref="B1244" ca="1">[1]!s_dq_close($B$1,$A1244,3)</f>
        <v>27.2</v>
      </c>
      <c r="C1244" cm="1">
        <f t="array" aca="1" ref="C1244" ca="1">[1]!s_dq_volume($B$1,$A1244)</f>
        <v>5697100</v>
      </c>
      <c r="D1244" cm="1">
        <f t="array" aca="1" ref="D1244" ca="1">[1]!s_dq_amount($B$1,$A1244)</f>
        <v>156781655</v>
      </c>
      <c r="E1244" cm="1">
        <f t="array" aca="1" ref="E1244" ca="1">[1]!s_dq_turn($B$1,$A1244)</f>
        <v>0.658795381468671</v>
      </c>
      <c r="F1244" cm="1">
        <f t="array" aca="1" ref="F1244" ca="1">[1]!s_val_pe_ttm($B$1,$A1244)</f>
        <v>-11.748726844787599</v>
      </c>
    </row>
    <row r="1245" spans="1:6">
      <c r="A1245" s="23">
        <f t="shared" ca="1" si="19"/>
        <v>44930</v>
      </c>
      <c r="B1245" cm="1">
        <f t="array" aca="1" ref="B1245" ca="1">[1]!s_dq_close($B$1,$A1245,3)</f>
        <v>27.65</v>
      </c>
      <c r="C1245" cm="1">
        <f t="array" aca="1" ref="C1245" ca="1">[1]!s_dq_volume($B$1,$A1245)</f>
        <v>5384599</v>
      </c>
      <c r="D1245" cm="1">
        <f t="array" aca="1" ref="D1245" ca="1">[1]!s_dq_amount($B$1,$A1245)</f>
        <v>147084766</v>
      </c>
      <c r="E1245" cm="1">
        <f t="array" aca="1" ref="E1245" ca="1">[1]!s_dq_turn($B$1,$A1245)</f>
        <v>0.62265871272416295</v>
      </c>
      <c r="F1245" cm="1">
        <f t="array" aca="1" ref="F1245" ca="1">[1]!s_val_pe_ttm($B$1,$A1245)</f>
        <v>-11.9430990219116</v>
      </c>
    </row>
    <row r="1246" spans="1:6">
      <c r="A1246" s="23">
        <f t="shared" ca="1" si="19"/>
        <v>44929</v>
      </c>
      <c r="B1246" cm="1">
        <f t="array" aca="1" ref="B1246" ca="1">[1]!s_dq_close($B$1,$A1246,3)</f>
        <v>24.9</v>
      </c>
      <c r="C1246" cm="1">
        <f t="array" aca="1" ref="C1246" ca="1">[1]!s_dq_volume($B$1,$A1246)</f>
        <v>2472700</v>
      </c>
      <c r="D1246" cm="1">
        <f t="array" aca="1" ref="D1246" ca="1">[1]!s_dq_amount($B$1,$A1246)</f>
        <v>60732059</v>
      </c>
      <c r="E1246" cm="1">
        <f t="array" aca="1" ref="E1246" ca="1">[1]!s_dq_turn($B$1,$A1246)</f>
        <v>0.28593553558083701</v>
      </c>
      <c r="F1246" cm="1">
        <f t="array" aca="1" ref="F1246" ca="1">[1]!s_val_pe_ttm($B$1,$A1246)</f>
        <v>-10.7552680969238</v>
      </c>
    </row>
    <row r="1247" spans="1:6">
      <c r="A1247" s="23">
        <f t="shared" ca="1" si="19"/>
        <v>44928</v>
      </c>
      <c r="B1247" cm="1">
        <f t="array" aca="1" ref="B1247" ca="1">[1]!s_dq_close($B$1,$A1247,3)</f>
        <v>24</v>
      </c>
      <c r="C1247" cm="1">
        <f t="array" aca="1" ref="C1247" ca="1">[1]!s_dq_volume($B$1,$A1247)</f>
        <v>0</v>
      </c>
      <c r="D1247" cm="1">
        <f t="array" aca="1" ref="D1247" ca="1">[1]!s_dq_amount($B$1,$A1247)</f>
        <v>0</v>
      </c>
      <c r="E1247" cm="1">
        <f t="array" aca="1" ref="E1247" ca="1">[1]!s_dq_turn($B$1,$A1247)</f>
        <v>0</v>
      </c>
      <c r="F1247" cm="1">
        <f t="array" aca="1" ref="F1247" ca="1">[1]!s_val_pe_ttm($B$1,$A1247)</f>
        <v>-10.366523742675801</v>
      </c>
    </row>
    <row r="1248" spans="1:6">
      <c r="A1248" s="23">
        <f t="shared" ca="1" si="19"/>
        <v>44927</v>
      </c>
      <c r="B1248" cm="1">
        <f t="array" aca="1" ref="B1248" ca="1">[1]!s_dq_close($B$1,$A1248,3)</f>
        <v>24</v>
      </c>
      <c r="C1248" cm="1">
        <f t="array" aca="1" ref="C1248" ca="1">[1]!s_dq_volume($B$1,$A1248)</f>
        <v>0</v>
      </c>
      <c r="D1248" cm="1">
        <f t="array" aca="1" ref="D1248" ca="1">[1]!s_dq_amount($B$1,$A1248)</f>
        <v>0</v>
      </c>
      <c r="E1248" cm="1">
        <f t="array" aca="1" ref="E1248" ca="1">[1]!s_dq_turn($B$1,$A1248)</f>
        <v>0</v>
      </c>
      <c r="F1248" cm="1">
        <f t="array" aca="1" ref="F1248" ca="1">[1]!s_val_pe_ttm($B$1,$A1248)</f>
        <v>-10.366523742675801</v>
      </c>
    </row>
    <row r="1249" spans="1:6">
      <c r="A1249" s="23">
        <f t="shared" ca="1" si="19"/>
        <v>44926</v>
      </c>
      <c r="B1249" cm="1">
        <f t="array" aca="1" ref="B1249" ca="1">[1]!s_dq_close($B$1,$A1249,3)</f>
        <v>24</v>
      </c>
      <c r="C1249" cm="1">
        <f t="array" aca="1" ref="C1249" ca="1">[1]!s_dq_volume($B$1,$A1249)</f>
        <v>0</v>
      </c>
      <c r="D1249" cm="1">
        <f t="array" aca="1" ref="D1249" ca="1">[1]!s_dq_amount($B$1,$A1249)</f>
        <v>0</v>
      </c>
      <c r="E1249" cm="1">
        <f t="array" aca="1" ref="E1249" ca="1">[1]!s_dq_turn($B$1,$A1249)</f>
        <v>0</v>
      </c>
      <c r="F1249" cm="1">
        <f t="array" aca="1" ref="F1249" ca="1">[1]!s_val_pe_ttm($B$1,$A1249)</f>
        <v>-10.366523742675801</v>
      </c>
    </row>
    <row r="1250" spans="1:6">
      <c r="A1250" s="23">
        <f t="shared" ca="1" si="19"/>
        <v>44925</v>
      </c>
      <c r="B1250" cm="1">
        <f t="array" aca="1" ref="B1250" ca="1">[1]!s_dq_close($B$1,$A1250,3)</f>
        <v>24</v>
      </c>
      <c r="C1250" cm="1">
        <f t="array" aca="1" ref="C1250" ca="1">[1]!s_dq_volume($B$1,$A1250)</f>
        <v>2649000</v>
      </c>
      <c r="D1250" cm="1">
        <f t="array" aca="1" ref="D1250" ca="1">[1]!s_dq_amount($B$1,$A1250)</f>
        <v>63520150</v>
      </c>
      <c r="E1250" cm="1">
        <f t="array" aca="1" ref="E1250" ca="1">[1]!s_dq_turn($B$1,$A1250)</f>
        <v>0.306322333381986</v>
      </c>
      <c r="F1250" cm="1">
        <f t="array" aca="1" ref="F1250" ca="1">[1]!s_val_pe_ttm($B$1,$A1250)</f>
        <v>-10.366523742675801</v>
      </c>
    </row>
    <row r="1251" spans="1:6">
      <c r="A1251" s="23">
        <f t="shared" ca="1" si="19"/>
        <v>44924</v>
      </c>
      <c r="B1251" cm="1">
        <f t="array" aca="1" ref="B1251" ca="1">[1]!s_dq_close($B$1,$A1251,3)</f>
        <v>23.85</v>
      </c>
      <c r="C1251" cm="1">
        <f t="array" aca="1" ref="C1251" ca="1">[1]!s_dq_volume($B$1,$A1251)</f>
        <v>3461000</v>
      </c>
      <c r="D1251" cm="1">
        <f t="array" aca="1" ref="D1251" ca="1">[1]!s_dq_amount($B$1,$A1251)</f>
        <v>82601037</v>
      </c>
      <c r="E1251" cm="1">
        <f t="array" aca="1" ref="E1251" ca="1">[1]!s_dq_turn($B$1,$A1251)</f>
        <v>0.40021955297661499</v>
      </c>
      <c r="F1251" cm="1">
        <f t="array" aca="1" ref="F1251" ca="1">[1]!s_val_pe_ttm($B$1,$A1251)</f>
        <v>-10.3017330169678</v>
      </c>
    </row>
    <row r="1252" spans="1:6">
      <c r="A1252" s="23">
        <f t="shared" ca="1" si="19"/>
        <v>44923</v>
      </c>
      <c r="B1252" cm="1">
        <f t="array" aca="1" ref="B1252" ca="1">[1]!s_dq_close($B$1,$A1252,3)</f>
        <v>24.2</v>
      </c>
      <c r="C1252" cm="1">
        <f t="array" aca="1" ref="C1252" ca="1">[1]!s_dq_volume($B$1,$A1252)</f>
        <v>3737500</v>
      </c>
      <c r="D1252" cm="1">
        <f t="array" aca="1" ref="D1252" ca="1">[1]!s_dq_amount($B$1,$A1252)</f>
        <v>90192000</v>
      </c>
      <c r="E1252" cm="1">
        <f t="array" aca="1" ref="E1252" ca="1">[1]!s_dq_turn($B$1,$A1252)</f>
        <v>0.43219317516616501</v>
      </c>
      <c r="F1252" cm="1">
        <f t="array" aca="1" ref="F1252" ca="1">[1]!s_val_pe_ttm($B$1,$A1252)</f>
        <v>-10.4529113769531</v>
      </c>
    </row>
    <row r="1253" spans="1:6">
      <c r="A1253" s="23">
        <f t="shared" ca="1" si="19"/>
        <v>44922</v>
      </c>
      <c r="B1253" cm="1">
        <f t="array" aca="1" ref="B1253" ca="1">[1]!s_dq_close($B$1,$A1253,3)</f>
        <v>23.85</v>
      </c>
      <c r="C1253" cm="1">
        <f t="array" aca="1" ref="C1253" ca="1">[1]!s_dq_volume($B$1,$A1253)</f>
        <v>0</v>
      </c>
      <c r="D1253" cm="1">
        <f t="array" aca="1" ref="D1253" ca="1">[1]!s_dq_amount($B$1,$A1253)</f>
        <v>0</v>
      </c>
      <c r="E1253" cm="1">
        <f t="array" aca="1" ref="E1253" ca="1">[1]!s_dq_turn($B$1,$A1253)</f>
        <v>0</v>
      </c>
      <c r="F1253" cm="1">
        <f t="array" aca="1" ref="F1253" ca="1">[1]!s_val_pe_ttm($B$1,$A1253)</f>
        <v>-10.3017330169678</v>
      </c>
    </row>
    <row r="1254" spans="1:6">
      <c r="A1254" s="23">
        <f t="shared" ca="1" si="19"/>
        <v>44921</v>
      </c>
      <c r="B1254" cm="1">
        <f t="array" aca="1" ref="B1254" ca="1">[1]!s_dq_close($B$1,$A1254,3)</f>
        <v>23.85</v>
      </c>
      <c r="C1254" cm="1">
        <f t="array" aca="1" ref="C1254" ca="1">[1]!s_dq_volume($B$1,$A1254)</f>
        <v>0</v>
      </c>
      <c r="D1254" cm="1">
        <f t="array" aca="1" ref="D1254" ca="1">[1]!s_dq_amount($B$1,$A1254)</f>
        <v>0</v>
      </c>
      <c r="E1254" cm="1">
        <f t="array" aca="1" ref="E1254" ca="1">[1]!s_dq_turn($B$1,$A1254)</f>
        <v>0</v>
      </c>
      <c r="F1254" cm="1">
        <f t="array" aca="1" ref="F1254" ca="1">[1]!s_val_pe_ttm($B$1,$A1254)</f>
        <v>-10.3017330169678</v>
      </c>
    </row>
    <row r="1255" spans="1:6">
      <c r="A1255" s="23">
        <f t="shared" ca="1" si="19"/>
        <v>44920</v>
      </c>
      <c r="B1255" cm="1">
        <f t="array" aca="1" ref="B1255" ca="1">[1]!s_dq_close($B$1,$A1255,3)</f>
        <v>23.85</v>
      </c>
      <c r="C1255" cm="1">
        <f t="array" aca="1" ref="C1255" ca="1">[1]!s_dq_volume($B$1,$A1255)</f>
        <v>0</v>
      </c>
      <c r="D1255" cm="1">
        <f t="array" aca="1" ref="D1255" ca="1">[1]!s_dq_amount($B$1,$A1255)</f>
        <v>0</v>
      </c>
      <c r="E1255" cm="1">
        <f t="array" aca="1" ref="E1255" ca="1">[1]!s_dq_turn($B$1,$A1255)</f>
        <v>0</v>
      </c>
      <c r="F1255" cm="1">
        <f t="array" aca="1" ref="F1255" ca="1">[1]!s_val_pe_ttm($B$1,$A1255)</f>
        <v>-10.3017330169678</v>
      </c>
    </row>
    <row r="1256" spans="1:6">
      <c r="A1256" s="23">
        <f t="shared" ca="1" si="19"/>
        <v>44919</v>
      </c>
      <c r="B1256" cm="1">
        <f t="array" aca="1" ref="B1256" ca="1">[1]!s_dq_close($B$1,$A1256,3)</f>
        <v>23.85</v>
      </c>
      <c r="C1256" cm="1">
        <f t="array" aca="1" ref="C1256" ca="1">[1]!s_dq_volume($B$1,$A1256)</f>
        <v>0</v>
      </c>
      <c r="D1256" cm="1">
        <f t="array" aca="1" ref="D1256" ca="1">[1]!s_dq_amount($B$1,$A1256)</f>
        <v>0</v>
      </c>
      <c r="E1256" cm="1">
        <f t="array" aca="1" ref="E1256" ca="1">[1]!s_dq_turn($B$1,$A1256)</f>
        <v>0</v>
      </c>
      <c r="F1256" cm="1">
        <f t="array" aca="1" ref="F1256" ca="1">[1]!s_val_pe_ttm($B$1,$A1256)</f>
        <v>-10.3017330169678</v>
      </c>
    </row>
    <row r="1257" spans="1:6">
      <c r="A1257" s="23">
        <f t="shared" ca="1" si="19"/>
        <v>44918</v>
      </c>
      <c r="B1257" cm="1">
        <f t="array" aca="1" ref="B1257" ca="1">[1]!s_dq_close($B$1,$A1257,3)</f>
        <v>23.85</v>
      </c>
      <c r="C1257" cm="1">
        <f t="array" aca="1" ref="C1257" ca="1">[1]!s_dq_volume($B$1,$A1257)</f>
        <v>2017040</v>
      </c>
      <c r="D1257" cm="1">
        <f t="array" aca="1" ref="D1257" ca="1">[1]!s_dq_amount($B$1,$A1257)</f>
        <v>48177660</v>
      </c>
      <c r="E1257" cm="1">
        <f t="array" aca="1" ref="E1257" ca="1">[1]!s_dq_turn($B$1,$A1257)</f>
        <v>0.23324439385609699</v>
      </c>
      <c r="F1257" cm="1">
        <f t="array" aca="1" ref="F1257" ca="1">[1]!s_val_pe_ttm($B$1,$A1257)</f>
        <v>-10.3017330169678</v>
      </c>
    </row>
    <row r="1258" spans="1:6">
      <c r="A1258" s="23">
        <f t="shared" ca="1" si="19"/>
        <v>44917</v>
      </c>
      <c r="B1258" cm="1">
        <f t="array" aca="1" ref="B1258" ca="1">[1]!s_dq_close($B$1,$A1258,3)</f>
        <v>23.8</v>
      </c>
      <c r="C1258" cm="1">
        <f t="array" aca="1" ref="C1258" ca="1">[1]!s_dq_volume($B$1,$A1258)</f>
        <v>2755074</v>
      </c>
      <c r="D1258" cm="1">
        <f t="array" aca="1" ref="D1258" ca="1">[1]!s_dq_amount($B$1,$A1258)</f>
        <v>65682024</v>
      </c>
      <c r="E1258" cm="1">
        <f t="array" aca="1" ref="E1258" ca="1">[1]!s_dq_turn($B$1,$A1258)</f>
        <v>0.31858840933183902</v>
      </c>
      <c r="F1258" cm="1">
        <f t="array" aca="1" ref="F1258" ca="1">[1]!s_val_pe_ttm($B$1,$A1258)</f>
        <v>-10.2801361083984</v>
      </c>
    </row>
    <row r="1259" spans="1:6">
      <c r="A1259" s="23">
        <f t="shared" ca="1" si="19"/>
        <v>44916</v>
      </c>
      <c r="B1259" cm="1">
        <f t="array" aca="1" ref="B1259" ca="1">[1]!s_dq_close($B$1,$A1259,3)</f>
        <v>22.25</v>
      </c>
      <c r="C1259" cm="1">
        <f t="array" aca="1" ref="C1259" ca="1">[1]!s_dq_volume($B$1,$A1259)</f>
        <v>4158943</v>
      </c>
      <c r="D1259" cm="1">
        <f t="array" aca="1" ref="D1259" ca="1">[1]!s_dq_amount($B$1,$A1259)</f>
        <v>91799171</v>
      </c>
      <c r="E1259" cm="1">
        <f t="array" aca="1" ref="E1259" ca="1">[1]!s_dq_turn($B$1,$A1259)</f>
        <v>0.48092756669032699</v>
      </c>
      <c r="F1259" cm="1">
        <f t="array" aca="1" ref="F1259" ca="1">[1]!s_val_pe_ttm($B$1,$A1259)</f>
        <v>-9.6106309890747106</v>
      </c>
    </row>
    <row r="1260" spans="1:6">
      <c r="A1260" s="23">
        <f t="shared" ca="1" si="19"/>
        <v>44915</v>
      </c>
      <c r="B1260" cm="1">
        <f t="array" aca="1" ref="B1260" ca="1">[1]!s_dq_close($B$1,$A1260,3)</f>
        <v>20.65</v>
      </c>
      <c r="C1260" cm="1">
        <f t="array" aca="1" ref="C1260" ca="1">[1]!s_dq_volume($B$1,$A1260)</f>
        <v>2566000</v>
      </c>
      <c r="D1260" cm="1">
        <f t="array" aca="1" ref="D1260" ca="1">[1]!s_dq_amount($B$1,$A1260)</f>
        <v>53995000</v>
      </c>
      <c r="E1260" cm="1">
        <f t="array" aca="1" ref="E1260" ca="1">[1]!s_dq_turn($B$1,$A1260)</f>
        <v>0.29672446487662302</v>
      </c>
      <c r="F1260" cm="1">
        <f t="array" aca="1" ref="F1260" ca="1">[1]!s_val_pe_ttm($B$1,$A1260)</f>
        <v>-8.9195299148559606</v>
      </c>
    </row>
    <row r="1261" spans="1:6">
      <c r="A1261" s="23">
        <f t="shared" ca="1" si="19"/>
        <v>44914</v>
      </c>
      <c r="B1261" cm="1">
        <f t="array" aca="1" ref="B1261" ca="1">[1]!s_dq_close($B$1,$A1261,3)</f>
        <v>21.55</v>
      </c>
      <c r="C1261" cm="1">
        <f t="array" aca="1" ref="C1261" ca="1">[1]!s_dq_volume($B$1,$A1261)</f>
        <v>2450000</v>
      </c>
      <c r="D1261" cm="1">
        <f t="array" aca="1" ref="D1261" ca="1">[1]!s_dq_amount($B$1,$A1261)</f>
        <v>52092500</v>
      </c>
      <c r="E1261" cm="1">
        <f t="array" aca="1" ref="E1261" ca="1">[1]!s_dq_turn($B$1,$A1261)</f>
        <v>0.28331057636310503</v>
      </c>
      <c r="F1261" cm="1">
        <f t="array" aca="1" ref="F1261" ca="1">[1]!s_val_pe_ttm($B$1,$A1261)</f>
        <v>-9.3082742691040004</v>
      </c>
    </row>
    <row r="1262" spans="1:6">
      <c r="A1262" s="23">
        <f t="shared" ca="1" si="19"/>
        <v>44913</v>
      </c>
      <c r="B1262" cm="1">
        <f t="array" aca="1" ref="B1262" ca="1">[1]!s_dq_close($B$1,$A1262,3)</f>
        <v>22.3</v>
      </c>
      <c r="C1262" cm="1">
        <f t="array" aca="1" ref="C1262" ca="1">[1]!s_dq_volume($B$1,$A1262)</f>
        <v>0</v>
      </c>
      <c r="D1262" cm="1">
        <f t="array" aca="1" ref="D1262" ca="1">[1]!s_dq_amount($B$1,$A1262)</f>
        <v>0</v>
      </c>
      <c r="E1262" cm="1">
        <f t="array" aca="1" ref="E1262" ca="1">[1]!s_dq_turn($B$1,$A1262)</f>
        <v>0</v>
      </c>
      <c r="F1262" cm="1">
        <f t="array" aca="1" ref="F1262" ca="1">[1]!s_val_pe_ttm($B$1,$A1262)</f>
        <v>-9.6322278976440394</v>
      </c>
    </row>
    <row r="1263" spans="1:6">
      <c r="A1263" s="23">
        <f t="shared" ca="1" si="19"/>
        <v>44912</v>
      </c>
      <c r="B1263" cm="1">
        <f t="array" aca="1" ref="B1263" ca="1">[1]!s_dq_close($B$1,$A1263,3)</f>
        <v>22.3</v>
      </c>
      <c r="C1263" cm="1">
        <f t="array" aca="1" ref="C1263" ca="1">[1]!s_dq_volume($B$1,$A1263)</f>
        <v>0</v>
      </c>
      <c r="D1263" cm="1">
        <f t="array" aca="1" ref="D1263" ca="1">[1]!s_dq_amount($B$1,$A1263)</f>
        <v>0</v>
      </c>
      <c r="E1263" cm="1">
        <f t="array" aca="1" ref="E1263" ca="1">[1]!s_dq_turn($B$1,$A1263)</f>
        <v>0</v>
      </c>
      <c r="F1263" cm="1">
        <f t="array" aca="1" ref="F1263" ca="1">[1]!s_val_pe_ttm($B$1,$A1263)</f>
        <v>-9.6322278976440394</v>
      </c>
    </row>
    <row r="1264" spans="1:6">
      <c r="A1264" s="23">
        <f t="shared" ca="1" si="19"/>
        <v>44911</v>
      </c>
      <c r="B1264" cm="1">
        <f t="array" aca="1" ref="B1264" ca="1">[1]!s_dq_close($B$1,$A1264,3)</f>
        <v>22.3</v>
      </c>
      <c r="C1264" cm="1">
        <f t="array" aca="1" ref="C1264" ca="1">[1]!s_dq_volume($B$1,$A1264)</f>
        <v>2916000</v>
      </c>
      <c r="D1264" cm="1">
        <f t="array" aca="1" ref="D1264" ca="1">[1]!s_dq_amount($B$1,$A1264)</f>
        <v>64380600</v>
      </c>
      <c r="E1264" cm="1">
        <f t="array" aca="1" ref="E1264" ca="1">[1]!s_dq_turn($B$1,$A1264)</f>
        <v>0.33719740435706702</v>
      </c>
      <c r="F1264" cm="1">
        <f t="array" aca="1" ref="F1264" ca="1">[1]!s_val_pe_ttm($B$1,$A1264)</f>
        <v>-9.6322278976440394</v>
      </c>
    </row>
    <row r="1265" spans="1:6">
      <c r="A1265" s="23">
        <f t="shared" ca="1" si="19"/>
        <v>44910</v>
      </c>
      <c r="B1265" cm="1">
        <f t="array" aca="1" ref="B1265" ca="1">[1]!s_dq_close($B$1,$A1265,3)</f>
        <v>22.1</v>
      </c>
      <c r="C1265" cm="1">
        <f t="array" aca="1" ref="C1265" ca="1">[1]!s_dq_volume($B$1,$A1265)</f>
        <v>2757673</v>
      </c>
      <c r="D1265" cm="1">
        <f t="array" aca="1" ref="D1265" ca="1">[1]!s_dq_amount($B$1,$A1265)</f>
        <v>60989423</v>
      </c>
      <c r="E1265" cm="1">
        <f t="array" aca="1" ref="E1265" ca="1">[1]!s_dq_turn($B$1,$A1265)</f>
        <v>0.318888949816723</v>
      </c>
      <c r="F1265" cm="1">
        <f t="array" aca="1" ref="F1265" ca="1">[1]!s_val_pe_ttm($B$1,$A1265)</f>
        <v>-9.5458402633666992</v>
      </c>
    </row>
    <row r="1266" spans="1:6">
      <c r="A1266" s="23">
        <f t="shared" ca="1" si="19"/>
        <v>44909</v>
      </c>
      <c r="B1266" cm="1">
        <f t="array" aca="1" ref="B1266" ca="1">[1]!s_dq_close($B$1,$A1266,3)</f>
        <v>22.9</v>
      </c>
      <c r="C1266" cm="1">
        <f t="array" aca="1" ref="C1266" ca="1">[1]!s_dq_volume($B$1,$A1266)</f>
        <v>2338820</v>
      </c>
      <c r="D1266" cm="1">
        <f t="array" aca="1" ref="D1266" ca="1">[1]!s_dq_amount($B$1,$A1266)</f>
        <v>53840776</v>
      </c>
      <c r="E1266" cm="1">
        <f t="array" aca="1" ref="E1266" ca="1">[1]!s_dq_turn($B$1,$A1266)</f>
        <v>0.27045405804471701</v>
      </c>
      <c r="F1266" cm="1">
        <f t="array" aca="1" ref="F1266" ca="1">[1]!s_val_pe_ttm($B$1,$A1266)</f>
        <v>-9.8913917541503906</v>
      </c>
    </row>
    <row r="1267" spans="1:6">
      <c r="A1267" s="23">
        <f t="shared" ca="1" si="19"/>
        <v>44908</v>
      </c>
      <c r="B1267" cm="1">
        <f t="array" aca="1" ref="B1267" ca="1">[1]!s_dq_close($B$1,$A1267,3)</f>
        <v>22.75</v>
      </c>
      <c r="C1267" cm="1">
        <f t="array" aca="1" ref="C1267" ca="1">[1]!s_dq_volume($B$1,$A1267)</f>
        <v>3938999</v>
      </c>
      <c r="D1267" cm="1">
        <f t="array" aca="1" ref="D1267" ca="1">[1]!s_dq_amount($B$1,$A1267)</f>
        <v>89961477</v>
      </c>
      <c r="E1267" cm="1">
        <f t="array" aca="1" ref="E1267" ca="1">[1]!s_dq_turn($B$1,$A1267)</f>
        <v>0.45549390897293601</v>
      </c>
      <c r="F1267" cm="1">
        <f t="array" aca="1" ref="F1267" ca="1">[1]!s_val_pe_ttm($B$1,$A1267)</f>
        <v>-9.82660007476807</v>
      </c>
    </row>
    <row r="1268" spans="1:6">
      <c r="A1268" s="23">
        <f t="shared" ca="1" si="19"/>
        <v>44907</v>
      </c>
      <c r="B1268" cm="1">
        <f t="array" aca="1" ref="B1268" ca="1">[1]!s_dq_close($B$1,$A1268,3)</f>
        <v>22.2</v>
      </c>
      <c r="C1268" cm="1">
        <f t="array" aca="1" ref="C1268" ca="1">[1]!s_dq_volume($B$1,$A1268)</f>
        <v>2747600</v>
      </c>
      <c r="D1268" cm="1">
        <f t="array" aca="1" ref="D1268" ca="1">[1]!s_dq_amount($B$1,$A1268)</f>
        <v>62101040</v>
      </c>
      <c r="E1268" cm="1">
        <f t="array" aca="1" ref="E1268" ca="1">[1]!s_dq_turn($B$1,$A1268)</f>
        <v>0.31772413861847598</v>
      </c>
      <c r="F1268" cm="1">
        <f t="array" aca="1" ref="F1268" ca="1">[1]!s_val_pe_ttm($B$1,$A1268)</f>
        <v>-9.5890340805053693</v>
      </c>
    </row>
    <row r="1269" spans="1:6">
      <c r="A1269" s="23">
        <f t="shared" ca="1" si="19"/>
        <v>44906</v>
      </c>
      <c r="B1269" cm="1">
        <f t="array" aca="1" ref="B1269" ca="1">[1]!s_dq_close($B$1,$A1269,3)</f>
        <v>22.3</v>
      </c>
      <c r="C1269" cm="1">
        <f t="array" aca="1" ref="C1269" ca="1">[1]!s_dq_volume($B$1,$A1269)</f>
        <v>0</v>
      </c>
      <c r="D1269" cm="1">
        <f t="array" aca="1" ref="D1269" ca="1">[1]!s_dq_amount($B$1,$A1269)</f>
        <v>0</v>
      </c>
      <c r="E1269" cm="1">
        <f t="array" aca="1" ref="E1269" ca="1">[1]!s_dq_turn($B$1,$A1269)</f>
        <v>0</v>
      </c>
      <c r="F1269" cm="1">
        <f t="array" aca="1" ref="F1269" ca="1">[1]!s_val_pe_ttm($B$1,$A1269)</f>
        <v>-9.6322278976440394</v>
      </c>
    </row>
    <row r="1270" spans="1:6">
      <c r="A1270" s="23">
        <f t="shared" ca="1" si="19"/>
        <v>44905</v>
      </c>
      <c r="B1270" cm="1">
        <f t="array" aca="1" ref="B1270" ca="1">[1]!s_dq_close($B$1,$A1270,3)</f>
        <v>22.3</v>
      </c>
      <c r="C1270" cm="1">
        <f t="array" aca="1" ref="C1270" ca="1">[1]!s_dq_volume($B$1,$A1270)</f>
        <v>0</v>
      </c>
      <c r="D1270" cm="1">
        <f t="array" aca="1" ref="D1270" ca="1">[1]!s_dq_amount($B$1,$A1270)</f>
        <v>0</v>
      </c>
      <c r="E1270" cm="1">
        <f t="array" aca="1" ref="E1270" ca="1">[1]!s_dq_turn($B$1,$A1270)</f>
        <v>0</v>
      </c>
      <c r="F1270" cm="1">
        <f t="array" aca="1" ref="F1270" ca="1">[1]!s_val_pe_ttm($B$1,$A1270)</f>
        <v>-9.6322278976440394</v>
      </c>
    </row>
    <row r="1271" spans="1:6">
      <c r="A1271" s="23">
        <f t="shared" ca="1" si="19"/>
        <v>44904</v>
      </c>
      <c r="B1271" cm="1">
        <f t="array" aca="1" ref="B1271" ca="1">[1]!s_dq_close($B$1,$A1271,3)</f>
        <v>22.3</v>
      </c>
      <c r="C1271" cm="1">
        <f t="array" aca="1" ref="C1271" ca="1">[1]!s_dq_volume($B$1,$A1271)</f>
        <v>5365543</v>
      </c>
      <c r="D1271" cm="1">
        <f t="array" aca="1" ref="D1271" ca="1">[1]!s_dq_amount($B$1,$A1271)</f>
        <v>121166567</v>
      </c>
      <c r="E1271" cm="1">
        <f t="array" aca="1" ref="E1271" ca="1">[1]!s_dq_turn($B$1,$A1271)</f>
        <v>0.62045513462490698</v>
      </c>
      <c r="F1271" cm="1">
        <f t="array" aca="1" ref="F1271" ca="1">[1]!s_val_pe_ttm($B$1,$A1271)</f>
        <v>-9.6322278976440394</v>
      </c>
    </row>
    <row r="1272" spans="1:6">
      <c r="A1272" s="23">
        <f t="shared" ca="1" si="19"/>
        <v>44903</v>
      </c>
      <c r="B1272" cm="1">
        <f t="array" aca="1" ref="B1272" ca="1">[1]!s_dq_close($B$1,$A1272,3)</f>
        <v>21.6</v>
      </c>
      <c r="C1272" cm="1">
        <f t="array" aca="1" ref="C1272" ca="1">[1]!s_dq_volume($B$1,$A1272)</f>
        <v>7387521</v>
      </c>
      <c r="D1272" cm="1">
        <f t="array" aca="1" ref="D1272" ca="1">[1]!s_dq_amount($B$1,$A1272)</f>
        <v>155167331</v>
      </c>
      <c r="E1272" cm="1">
        <f t="array" aca="1" ref="E1272" ca="1">[1]!s_dq_turn($B$1,$A1272)</f>
        <v>0.85427054383858803</v>
      </c>
      <c r="F1272" cm="1">
        <f t="array" aca="1" ref="F1272" ca="1">[1]!s_val_pe_ttm($B$1,$A1272)</f>
        <v>-9.3298711776733398</v>
      </c>
    </row>
    <row r="1273" spans="1:6">
      <c r="A1273" s="23">
        <f t="shared" ca="1" si="19"/>
        <v>44902</v>
      </c>
      <c r="B1273" cm="1">
        <f t="array" aca="1" ref="B1273" ca="1">[1]!s_dq_close($B$1,$A1273,3)</f>
        <v>20.6</v>
      </c>
      <c r="C1273" cm="1">
        <f t="array" aca="1" ref="C1273" ca="1">[1]!s_dq_volume($B$1,$A1273)</f>
        <v>5995000</v>
      </c>
      <c r="D1273" cm="1">
        <f t="array" aca="1" ref="D1273" ca="1">[1]!s_dq_amount($B$1,$A1273)</f>
        <v>128337161</v>
      </c>
      <c r="E1273" cm="1">
        <f t="array" aca="1" ref="E1273" ca="1">[1]!s_dq_turn($B$1,$A1273)</f>
        <v>0.69324363481502604</v>
      </c>
      <c r="F1273" cm="1">
        <f t="array" aca="1" ref="F1273" ca="1">[1]!s_val_pe_ttm($B$1,$A1273)</f>
        <v>-8.8979330062866193</v>
      </c>
    </row>
    <row r="1274" spans="1:6">
      <c r="A1274" s="23">
        <f t="shared" ca="1" si="19"/>
        <v>44901</v>
      </c>
      <c r="B1274" cm="1">
        <f t="array" aca="1" ref="B1274" ca="1">[1]!s_dq_close($B$1,$A1274,3)</f>
        <v>21.9</v>
      </c>
      <c r="C1274" cm="1">
        <f t="array" aca="1" ref="C1274" ca="1">[1]!s_dq_volume($B$1,$A1274)</f>
        <v>2760500</v>
      </c>
      <c r="D1274" cm="1">
        <f t="array" aca="1" ref="D1274" ca="1">[1]!s_dq_amount($B$1,$A1274)</f>
        <v>60836262</v>
      </c>
      <c r="E1274" cm="1">
        <f t="array" aca="1" ref="E1274" ca="1">[1]!s_dq_turn($B$1,$A1274)</f>
        <v>0.31921585553075599</v>
      </c>
      <c r="F1274" cm="1">
        <f t="array" aca="1" ref="F1274" ca="1">[1]!s_val_pe_ttm($B$1,$A1274)</f>
        <v>-9.4594526290893608</v>
      </c>
    </row>
    <row r="1275" spans="1:6">
      <c r="A1275" s="23">
        <f t="shared" ca="1" si="19"/>
        <v>44900</v>
      </c>
      <c r="B1275" cm="1">
        <f t="array" aca="1" ref="B1275" ca="1">[1]!s_dq_close($B$1,$A1275,3)</f>
        <v>22.85</v>
      </c>
      <c r="C1275" cm="1">
        <f t="array" aca="1" ref="C1275" ca="1">[1]!s_dq_volume($B$1,$A1275)</f>
        <v>7202928</v>
      </c>
      <c r="D1275" cm="1">
        <f t="array" aca="1" ref="D1275" ca="1">[1]!s_dq_amount($B$1,$A1275)</f>
        <v>161551366</v>
      </c>
      <c r="E1275" cm="1">
        <f t="array" aca="1" ref="E1275" ca="1">[1]!s_dq_turn($B$1,$A1275)</f>
        <v>0.83292476864569198</v>
      </c>
      <c r="F1275" cm="1">
        <f t="array" aca="1" ref="F1275" ca="1">[1]!s_val_pe_ttm($B$1,$A1275)</f>
        <v>-9.8697938919067401</v>
      </c>
    </row>
    <row r="1276" spans="1:6">
      <c r="A1276" s="23">
        <f t="shared" ca="1" si="19"/>
        <v>44899</v>
      </c>
      <c r="B1276" cm="1">
        <f t="array" aca="1" ref="B1276" ca="1">[1]!s_dq_close($B$1,$A1276,3)</f>
        <v>21.8</v>
      </c>
      <c r="C1276" cm="1">
        <f t="array" aca="1" ref="C1276" ca="1">[1]!s_dq_volume($B$1,$A1276)</f>
        <v>0</v>
      </c>
      <c r="D1276" cm="1">
        <f t="array" aca="1" ref="D1276" ca="1">[1]!s_dq_amount($B$1,$A1276)</f>
        <v>0</v>
      </c>
      <c r="E1276" cm="1">
        <f t="array" aca="1" ref="E1276" ca="1">[1]!s_dq_turn($B$1,$A1276)</f>
        <v>0</v>
      </c>
      <c r="F1276" cm="1">
        <f t="array" aca="1" ref="F1276" ca="1">[1]!s_val_pe_ttm($B$1,$A1276)</f>
        <v>-9.41625881195068</v>
      </c>
    </row>
    <row r="1277" spans="1:6">
      <c r="A1277" s="23">
        <f t="shared" ca="1" si="19"/>
        <v>44898</v>
      </c>
      <c r="B1277" cm="1">
        <f t="array" aca="1" ref="B1277" ca="1">[1]!s_dq_close($B$1,$A1277,3)</f>
        <v>21.8</v>
      </c>
      <c r="C1277" cm="1">
        <f t="array" aca="1" ref="C1277" ca="1">[1]!s_dq_volume($B$1,$A1277)</f>
        <v>0</v>
      </c>
      <c r="D1277" cm="1">
        <f t="array" aca="1" ref="D1277" ca="1">[1]!s_dq_amount($B$1,$A1277)</f>
        <v>0</v>
      </c>
      <c r="E1277" cm="1">
        <f t="array" aca="1" ref="E1277" ca="1">[1]!s_dq_turn($B$1,$A1277)</f>
        <v>0</v>
      </c>
      <c r="F1277" cm="1">
        <f t="array" aca="1" ref="F1277" ca="1">[1]!s_val_pe_ttm($B$1,$A1277)</f>
        <v>-9.41625881195068</v>
      </c>
    </row>
    <row r="1278" spans="1:6">
      <c r="A1278" s="23">
        <f t="shared" ca="1" si="19"/>
        <v>44897</v>
      </c>
      <c r="B1278" cm="1">
        <f t="array" aca="1" ref="B1278" ca="1">[1]!s_dq_close($B$1,$A1278,3)</f>
        <v>21.8</v>
      </c>
      <c r="C1278" cm="1">
        <f t="array" aca="1" ref="C1278" ca="1">[1]!s_dq_volume($B$1,$A1278)</f>
        <v>10943683</v>
      </c>
      <c r="D1278" cm="1">
        <f t="array" aca="1" ref="D1278" ca="1">[1]!s_dq_amount($B$1,$A1278)</f>
        <v>248453040</v>
      </c>
      <c r="E1278" cm="1">
        <f t="array" aca="1" ref="E1278" ca="1">[1]!s_dq_turn($B$1,$A1278)</f>
        <v>1.2654943421490299</v>
      </c>
      <c r="F1278" cm="1">
        <f t="array" aca="1" ref="F1278" ca="1">[1]!s_val_pe_ttm($B$1,$A1278)</f>
        <v>-9.41625881195068</v>
      </c>
    </row>
    <row r="1279" spans="1:6">
      <c r="A1279" s="23">
        <f t="shared" ca="1" si="19"/>
        <v>44896</v>
      </c>
      <c r="B1279" cm="1">
        <f t="array" aca="1" ref="B1279" ca="1">[1]!s_dq_close($B$1,$A1279,3)</f>
        <v>21.2</v>
      </c>
      <c r="C1279" cm="1">
        <f t="array" aca="1" ref="C1279" ca="1">[1]!s_dq_volume($B$1,$A1279)</f>
        <v>12961486</v>
      </c>
      <c r="D1279" cm="1">
        <f t="array" aca="1" ref="D1279" ca="1">[1]!s_dq_amount($B$1,$A1279)</f>
        <v>265633280</v>
      </c>
      <c r="E1279" cm="1">
        <f t="array" aca="1" ref="E1279" ca="1">[1]!s_dq_turn($B$1,$A1279)</f>
        <v>1.49882696701319</v>
      </c>
      <c r="F1279" cm="1">
        <f t="array" aca="1" ref="F1279" ca="1">[1]!s_val_pe_ttm($B$1,$A1279)</f>
        <v>-9.1570959091186506</v>
      </c>
    </row>
    <row r="1280" spans="1:6">
      <c r="A1280" s="23">
        <f t="shared" ca="1" si="19"/>
        <v>44895</v>
      </c>
      <c r="B1280" cm="1">
        <f t="array" aca="1" ref="B1280" ca="1">[1]!s_dq_close($B$1,$A1280,3)</f>
        <v>21.45</v>
      </c>
      <c r="C1280" cm="1">
        <f t="array" aca="1" ref="C1280" ca="1">[1]!s_dq_volume($B$1,$A1280)</f>
        <v>15027851</v>
      </c>
      <c r="D1280" cm="1">
        <f t="array" aca="1" ref="D1280" ca="1">[1]!s_dq_amount($B$1,$A1280)</f>
        <v>318628391</v>
      </c>
      <c r="E1280" cm="1">
        <f t="array" aca="1" ref="E1280" ca="1">[1]!s_dq_turn($B$1,$A1280)</f>
        <v>1.7377751544117801</v>
      </c>
      <c r="F1280" cm="1">
        <f t="array" aca="1" ref="F1280" ca="1">[1]!s_val_pe_ttm($B$1,$A1280)</f>
        <v>-9.2650804519653303</v>
      </c>
    </row>
    <row r="1281" spans="1:6">
      <c r="A1281" s="23">
        <f t="shared" ca="1" si="19"/>
        <v>44894</v>
      </c>
      <c r="B1281" cm="1">
        <f t="array" aca="1" ref="B1281" ca="1">[1]!s_dq_close($B$1,$A1281,3)</f>
        <v>19.62</v>
      </c>
      <c r="C1281" cm="1">
        <f t="array" aca="1" ref="C1281" ca="1">[1]!s_dq_volume($B$1,$A1281)</f>
        <v>7369700</v>
      </c>
      <c r="D1281" cm="1">
        <f t="array" aca="1" ref="D1281" ca="1">[1]!s_dq_amount($B$1,$A1281)</f>
        <v>141899936</v>
      </c>
      <c r="E1281" cm="1">
        <f t="array" aca="1" ref="E1281" ca="1">[1]!s_dq_turn($B$1,$A1281)</f>
        <v>0.85220977739721404</v>
      </c>
      <c r="F1281" cm="1">
        <f t="array" aca="1" ref="F1281" ca="1">[1]!s_val_pe_ttm($B$1,$A1281)</f>
        <v>-8.4746332168579102</v>
      </c>
    </row>
    <row r="1282" spans="1:6">
      <c r="A1282" s="23">
        <f t="shared" ca="1" si="19"/>
        <v>44893</v>
      </c>
      <c r="B1282" cm="1">
        <f t="array" aca="1" ref="B1282" ca="1">[1]!s_dq_close($B$1,$A1282,3)</f>
        <v>17.64</v>
      </c>
      <c r="C1282" cm="1">
        <f t="array" aca="1" ref="C1282" ca="1">[1]!s_dq_volume($B$1,$A1282)</f>
        <v>4158086</v>
      </c>
      <c r="D1282" cm="1">
        <f t="array" aca="1" ref="D1282" ca="1">[1]!s_dq_amount($B$1,$A1282)</f>
        <v>72217477</v>
      </c>
      <c r="E1282" cm="1">
        <f t="array" aca="1" ref="E1282" ca="1">[1]!s_dq_turn($B$1,$A1282)</f>
        <v>0.48082846580708499</v>
      </c>
      <c r="F1282" cm="1">
        <f t="array" aca="1" ref="F1282" ca="1">[1]!s_val_pe_ttm($B$1,$A1282)</f>
        <v>-7.6193947792053196</v>
      </c>
    </row>
    <row r="1283" spans="1:6">
      <c r="A1283" s="23">
        <f t="shared" ca="1" si="19"/>
        <v>44892</v>
      </c>
      <c r="B1283" cm="1">
        <f t="array" aca="1" ref="B1283" ca="1">[1]!s_dq_close($B$1,$A1283,3)</f>
        <v>16.88</v>
      </c>
      <c r="C1283" cm="1">
        <f t="array" aca="1" ref="C1283" ca="1">[1]!s_dq_volume($B$1,$A1283)</f>
        <v>0</v>
      </c>
      <c r="D1283" cm="1">
        <f t="array" aca="1" ref="D1283" ca="1">[1]!s_dq_amount($B$1,$A1283)</f>
        <v>0</v>
      </c>
      <c r="E1283" cm="1">
        <f t="array" aca="1" ref="E1283" ca="1">[1]!s_dq_turn($B$1,$A1283)</f>
        <v>0</v>
      </c>
      <c r="F1283" cm="1">
        <f t="array" aca="1" ref="F1283" ca="1">[1]!s_val_pe_ttm($B$1,$A1283)</f>
        <v>-7.2911214828491202</v>
      </c>
    </row>
    <row r="1284" spans="1:6">
      <c r="A1284" s="23">
        <f t="shared" ca="1" si="19"/>
        <v>44891</v>
      </c>
      <c r="B1284" cm="1">
        <f t="array" aca="1" ref="B1284" ca="1">[1]!s_dq_close($B$1,$A1284,3)</f>
        <v>16.88</v>
      </c>
      <c r="C1284" cm="1">
        <f t="array" aca="1" ref="C1284" ca="1">[1]!s_dq_volume($B$1,$A1284)</f>
        <v>0</v>
      </c>
      <c r="D1284" cm="1">
        <f t="array" aca="1" ref="D1284" ca="1">[1]!s_dq_amount($B$1,$A1284)</f>
        <v>0</v>
      </c>
      <c r="E1284" cm="1">
        <f t="array" aca="1" ref="E1284" ca="1">[1]!s_dq_turn($B$1,$A1284)</f>
        <v>0</v>
      </c>
      <c r="F1284" cm="1">
        <f t="array" aca="1" ref="F1284" ca="1">[1]!s_val_pe_ttm($B$1,$A1284)</f>
        <v>-7.2911214828491202</v>
      </c>
    </row>
    <row r="1285" spans="1:6">
      <c r="A1285" s="23">
        <f t="shared" ca="1" si="19"/>
        <v>44890</v>
      </c>
      <c r="B1285" cm="1">
        <f t="array" aca="1" ref="B1285" ca="1">[1]!s_dq_close($B$1,$A1285,3)</f>
        <v>16.88</v>
      </c>
      <c r="C1285" cm="1">
        <f t="array" aca="1" ref="C1285" ca="1">[1]!s_dq_volume($B$1,$A1285)</f>
        <v>3046055</v>
      </c>
      <c r="D1285" cm="1">
        <f t="array" aca="1" ref="D1285" ca="1">[1]!s_dq_amount($B$1,$A1285)</f>
        <v>51426784</v>
      </c>
      <c r="E1285" cm="1">
        <f t="array" aca="1" ref="E1285" ca="1">[1]!s_dq_turn($B$1,$A1285)</f>
        <v>0.35223657048314999</v>
      </c>
      <c r="F1285" cm="1">
        <f t="array" aca="1" ref="F1285" ca="1">[1]!s_val_pe_ttm($B$1,$A1285)</f>
        <v>-7.2911214828491202</v>
      </c>
    </row>
    <row r="1286" spans="1:6">
      <c r="A1286" s="23">
        <f t="shared" ca="1" si="19"/>
        <v>44889</v>
      </c>
      <c r="B1286" cm="1">
        <f t="array" aca="1" ref="B1286" ca="1">[1]!s_dq_close($B$1,$A1286,3)</f>
        <v>17.12</v>
      </c>
      <c r="C1286" cm="1">
        <f t="array" aca="1" ref="C1286" ca="1">[1]!s_dq_volume($B$1,$A1286)</f>
        <v>3790060</v>
      </c>
      <c r="D1286" cm="1">
        <f t="array" aca="1" ref="D1286" ca="1">[1]!s_dq_amount($B$1,$A1286)</f>
        <v>64710849</v>
      </c>
      <c r="E1286" cm="1">
        <f t="array" aca="1" ref="E1286" ca="1">[1]!s_dq_turn($B$1,$A1286)</f>
        <v>0.43827105430642799</v>
      </c>
      <c r="F1286" cm="1">
        <f t="array" aca="1" ref="F1286" ca="1">[1]!s_val_pe_ttm($B$1,$A1286)</f>
        <v>-7.3947868347168004</v>
      </c>
    </row>
    <row r="1287" spans="1:6">
      <c r="A1287" s="23">
        <f t="shared" ca="1" si="19"/>
        <v>44888</v>
      </c>
      <c r="B1287" cm="1">
        <f t="array" aca="1" ref="B1287" ca="1">[1]!s_dq_close($B$1,$A1287,3)</f>
        <v>16.2</v>
      </c>
      <c r="C1287" cm="1">
        <f t="array" aca="1" ref="C1287" ca="1">[1]!s_dq_volume($B$1,$A1287)</f>
        <v>3262000</v>
      </c>
      <c r="D1287" cm="1">
        <f t="array" aca="1" ref="D1287" ca="1">[1]!s_dq_amount($B$1,$A1287)</f>
        <v>52476520</v>
      </c>
      <c r="E1287" cm="1">
        <f t="array" aca="1" ref="E1287" ca="1">[1]!s_dq_turn($B$1,$A1287)</f>
        <v>0.37720779595773402</v>
      </c>
      <c r="F1287" cm="1">
        <f t="array" aca="1" ref="F1287" ca="1">[1]!s_val_pe_ttm($B$1,$A1287)</f>
        <v>-6.9974036216735804</v>
      </c>
    </row>
    <row r="1288" spans="1:6">
      <c r="A1288" s="23">
        <f t="shared" ca="1" si="19"/>
        <v>44887</v>
      </c>
      <c r="B1288" cm="1">
        <f t="array" aca="1" ref="B1288" ca="1">[1]!s_dq_close($B$1,$A1288,3)</f>
        <v>15.96</v>
      </c>
      <c r="C1288" cm="1">
        <f t="array" aca="1" ref="C1288" ca="1">[1]!s_dq_volume($B$1,$A1288)</f>
        <v>5040000</v>
      </c>
      <c r="D1288" cm="1">
        <f t="array" aca="1" ref="D1288" ca="1">[1]!s_dq_amount($B$1,$A1288)</f>
        <v>81875700</v>
      </c>
      <c r="E1288" cm="1">
        <f t="array" aca="1" ref="E1288" ca="1">[1]!s_dq_turn($B$1,$A1288)</f>
        <v>0.58281032851838699</v>
      </c>
      <c r="F1288" cm="1">
        <f t="array" aca="1" ref="F1288" ca="1">[1]!s_val_pe_ttm($B$1,$A1288)</f>
        <v>-6.89373826980591</v>
      </c>
    </row>
    <row r="1289" spans="1:6">
      <c r="A1289" s="23">
        <f t="shared" ca="1" si="19"/>
        <v>44886</v>
      </c>
      <c r="B1289" cm="1">
        <f t="array" aca="1" ref="B1289" ca="1">[1]!s_dq_close($B$1,$A1289,3)</f>
        <v>17.059999999999999</v>
      </c>
      <c r="C1289" cm="1">
        <f t="array" aca="1" ref="C1289" ca="1">[1]!s_dq_volume($B$1,$A1289)</f>
        <v>2336567</v>
      </c>
      <c r="D1289" cm="1">
        <f t="array" aca="1" ref="D1289" ca="1">[1]!s_dq_amount($B$1,$A1289)</f>
        <v>39474675</v>
      </c>
      <c r="E1289" cm="1">
        <f t="array" aca="1" ref="E1289" ca="1">[1]!s_dq_turn($B$1,$A1289)</f>
        <v>0.27019352795143298</v>
      </c>
      <c r="F1289" cm="1">
        <f t="array" aca="1" ref="F1289" ca="1">[1]!s_val_pe_ttm($B$1,$A1289)</f>
        <v>-7.3688707351684597</v>
      </c>
    </row>
    <row r="1290" spans="1:6">
      <c r="A1290" s="23">
        <f t="shared" ca="1" si="19"/>
        <v>44885</v>
      </c>
      <c r="B1290" cm="1">
        <f t="array" aca="1" ref="B1290" ca="1">[1]!s_dq_close($B$1,$A1290,3)</f>
        <v>17.36</v>
      </c>
      <c r="C1290" cm="1">
        <f t="array" aca="1" ref="C1290" ca="1">[1]!s_dq_volume($B$1,$A1290)</f>
        <v>0</v>
      </c>
      <c r="D1290" cm="1">
        <f t="array" aca="1" ref="D1290" ca="1">[1]!s_dq_amount($B$1,$A1290)</f>
        <v>0</v>
      </c>
      <c r="E1290" cm="1">
        <f t="array" aca="1" ref="E1290" ca="1">[1]!s_dq_turn($B$1,$A1290)</f>
        <v>0</v>
      </c>
      <c r="F1290" cm="1">
        <f t="array" aca="1" ref="F1290" ca="1">[1]!s_val_pe_ttm($B$1,$A1290)</f>
        <v>-7.49845218658447</v>
      </c>
    </row>
    <row r="1291" spans="1:6">
      <c r="A1291" s="23">
        <f t="shared" ca="1" si="19"/>
        <v>44884</v>
      </c>
      <c r="B1291" cm="1">
        <f t="array" aca="1" ref="B1291" ca="1">[1]!s_dq_close($B$1,$A1291,3)</f>
        <v>17.36</v>
      </c>
      <c r="C1291" cm="1">
        <f t="array" aca="1" ref="C1291" ca="1">[1]!s_dq_volume($B$1,$A1291)</f>
        <v>0</v>
      </c>
      <c r="D1291" cm="1">
        <f t="array" aca="1" ref="D1291" ca="1">[1]!s_dq_amount($B$1,$A1291)</f>
        <v>0</v>
      </c>
      <c r="E1291" cm="1">
        <f t="array" aca="1" ref="E1291" ca="1">[1]!s_dq_turn($B$1,$A1291)</f>
        <v>0</v>
      </c>
      <c r="F1291" cm="1">
        <f t="array" aca="1" ref="F1291" ca="1">[1]!s_val_pe_ttm($B$1,$A1291)</f>
        <v>-7.49845218658447</v>
      </c>
    </row>
    <row r="1292" spans="1:6">
      <c r="A1292" s="23">
        <f t="shared" ca="1" si="19"/>
        <v>44883</v>
      </c>
      <c r="B1292" cm="1">
        <f t="array" aca="1" ref="B1292" ca="1">[1]!s_dq_close($B$1,$A1292,3)</f>
        <v>17.36</v>
      </c>
      <c r="C1292" cm="1">
        <f t="array" aca="1" ref="C1292" ca="1">[1]!s_dq_volume($B$1,$A1292)</f>
        <v>2843417</v>
      </c>
      <c r="D1292" cm="1">
        <f t="array" aca="1" ref="D1292" ca="1">[1]!s_dq_amount($B$1,$A1292)</f>
        <v>50765982</v>
      </c>
      <c r="E1292" cm="1">
        <f t="array" aca="1" ref="E1292" ca="1">[1]!s_dq_turn($B$1,$A1292)</f>
        <v>0.32880412616761301</v>
      </c>
      <c r="F1292" cm="1">
        <f t="array" aca="1" ref="F1292" ca="1">[1]!s_val_pe_ttm($B$1,$A1292)</f>
        <v>-7.49845218658447</v>
      </c>
    </row>
    <row r="1293" spans="1:6">
      <c r="A1293" s="23">
        <f t="shared" ref="A1293:A1356" ca="1" si="20">A1292-1</f>
        <v>44882</v>
      </c>
      <c r="B1293" cm="1">
        <f t="array" aca="1" ref="B1293" ca="1">[1]!s_dq_close($B$1,$A1293,3)</f>
        <v>18.059999999999999</v>
      </c>
      <c r="C1293" cm="1">
        <f t="array" aca="1" ref="C1293" ca="1">[1]!s_dq_volume($B$1,$A1293)</f>
        <v>4995996</v>
      </c>
      <c r="D1293" cm="1">
        <f t="array" aca="1" ref="D1293" ca="1">[1]!s_dq_amount($B$1,$A1293)</f>
        <v>89785067</v>
      </c>
      <c r="E1293" cm="1">
        <f t="array" aca="1" ref="E1293" ca="1">[1]!s_dq_turn($B$1,$A1293)</f>
        <v>0.57772183929296606</v>
      </c>
      <c r="F1293" cm="1">
        <f t="array" aca="1" ref="F1293" ca="1">[1]!s_val_pe_ttm($B$1,$A1293)</f>
        <v>-7.8008089065551802</v>
      </c>
    </row>
    <row r="1294" spans="1:6">
      <c r="A1294" s="23">
        <f t="shared" ca="1" si="20"/>
        <v>44881</v>
      </c>
      <c r="B1294" cm="1">
        <f t="array" aca="1" ref="B1294" ca="1">[1]!s_dq_close($B$1,$A1294,3)</f>
        <v>18.7</v>
      </c>
      <c r="C1294" cm="1">
        <f t="array" aca="1" ref="C1294" ca="1">[1]!s_dq_volume($B$1,$A1294)</f>
        <v>8906064</v>
      </c>
      <c r="D1294" cm="1">
        <f t="array" aca="1" ref="D1294" ca="1">[1]!s_dq_amount($B$1,$A1294)</f>
        <v>171815298</v>
      </c>
      <c r="E1294" cm="1">
        <f t="array" aca="1" ref="E1294" ca="1">[1]!s_dq_turn($B$1,$A1294)</f>
        <v>1.02987025508845</v>
      </c>
      <c r="F1294" cm="1">
        <f t="array" aca="1" ref="F1294" ca="1">[1]!s_val_pe_ttm($B$1,$A1294)</f>
        <v>-8.0772495269775408</v>
      </c>
    </row>
    <row r="1295" spans="1:6">
      <c r="A1295" s="23">
        <f t="shared" ca="1" si="20"/>
        <v>44880</v>
      </c>
      <c r="B1295" cm="1">
        <f t="array" aca="1" ref="B1295" ca="1">[1]!s_dq_close($B$1,$A1295,3)</f>
        <v>18.8</v>
      </c>
      <c r="C1295" cm="1">
        <f t="array" aca="1" ref="C1295" ca="1">[1]!s_dq_volume($B$1,$A1295)</f>
        <v>6439211</v>
      </c>
      <c r="D1295" cm="1">
        <f t="array" aca="1" ref="D1295" ca="1">[1]!s_dq_amount($B$1,$A1295)</f>
        <v>121486446</v>
      </c>
      <c r="E1295" cm="1">
        <f t="array" aca="1" ref="E1295" ca="1">[1]!s_dq_turn($B$1,$A1295)</f>
        <v>0.74461084887087603</v>
      </c>
      <c r="F1295" cm="1">
        <f t="array" aca="1" ref="F1295" ca="1">[1]!s_val_pe_ttm($B$1,$A1295)</f>
        <v>-8.1204433441162092</v>
      </c>
    </row>
    <row r="1296" spans="1:6">
      <c r="A1296" s="23">
        <f t="shared" ca="1" si="20"/>
        <v>44879</v>
      </c>
      <c r="B1296" cm="1">
        <f t="array" aca="1" ref="B1296" ca="1">[1]!s_dq_close($B$1,$A1296,3)</f>
        <v>19.2</v>
      </c>
      <c r="C1296" cm="1">
        <f t="array" aca="1" ref="C1296" ca="1">[1]!s_dq_volume($B$1,$A1296)</f>
        <v>32558384</v>
      </c>
      <c r="D1296" cm="1">
        <f t="array" aca="1" ref="D1296" ca="1">[1]!s_dq_amount($B$1,$A1296)</f>
        <v>555858958</v>
      </c>
      <c r="E1296" cm="1">
        <f t="array" aca="1" ref="E1296" ca="1">[1]!s_dq_turn($B$1,$A1296)</f>
        <v>3.7649528720372598</v>
      </c>
      <c r="F1296" cm="1">
        <f t="array" aca="1" ref="F1296" ca="1">[1]!s_val_pe_ttm($B$1,$A1296)</f>
        <v>-8.2932186126709002</v>
      </c>
    </row>
    <row r="1297" spans="1:6">
      <c r="A1297" s="23">
        <f t="shared" ca="1" si="20"/>
        <v>44878</v>
      </c>
      <c r="B1297" cm="1">
        <f t="array" aca="1" ref="B1297" ca="1">[1]!s_dq_close($B$1,$A1297,3)</f>
        <v>15.86</v>
      </c>
      <c r="C1297" cm="1">
        <f t="array" aca="1" ref="C1297" ca="1">[1]!s_dq_volume($B$1,$A1297)</f>
        <v>0</v>
      </c>
      <c r="D1297" cm="1">
        <f t="array" aca="1" ref="D1297" ca="1">[1]!s_dq_amount($B$1,$A1297)</f>
        <v>0</v>
      </c>
      <c r="E1297" cm="1">
        <f t="array" aca="1" ref="E1297" ca="1">[1]!s_dq_turn($B$1,$A1297)</f>
        <v>0</v>
      </c>
      <c r="F1297" cm="1">
        <f t="array" aca="1" ref="F1297" ca="1">[1]!s_val_pe_ttm($B$1,$A1297)</f>
        <v>-6.8505444526672399</v>
      </c>
    </row>
    <row r="1298" spans="1:6">
      <c r="A1298" s="23">
        <f t="shared" ca="1" si="20"/>
        <v>44877</v>
      </c>
      <c r="B1298" cm="1">
        <f t="array" aca="1" ref="B1298" ca="1">[1]!s_dq_close($B$1,$A1298,3)</f>
        <v>15.86</v>
      </c>
      <c r="C1298" cm="1">
        <f t="array" aca="1" ref="C1298" ca="1">[1]!s_dq_volume($B$1,$A1298)</f>
        <v>0</v>
      </c>
      <c r="D1298" cm="1">
        <f t="array" aca="1" ref="D1298" ca="1">[1]!s_dq_amount($B$1,$A1298)</f>
        <v>0</v>
      </c>
      <c r="E1298" cm="1">
        <f t="array" aca="1" ref="E1298" ca="1">[1]!s_dq_turn($B$1,$A1298)</f>
        <v>0</v>
      </c>
      <c r="F1298" cm="1">
        <f t="array" aca="1" ref="F1298" ca="1">[1]!s_val_pe_ttm($B$1,$A1298)</f>
        <v>-6.8505444526672399</v>
      </c>
    </row>
    <row r="1299" spans="1:6">
      <c r="A1299" s="23">
        <f t="shared" ca="1" si="20"/>
        <v>44876</v>
      </c>
      <c r="B1299" cm="1">
        <f t="array" aca="1" ref="B1299" ca="1">[1]!s_dq_close($B$1,$A1299,3)</f>
        <v>15.86</v>
      </c>
      <c r="C1299" cm="1">
        <f t="array" aca="1" ref="C1299" ca="1">[1]!s_dq_volume($B$1,$A1299)</f>
        <v>9800960</v>
      </c>
      <c r="D1299" cm="1">
        <f t="array" aca="1" ref="D1299" ca="1">[1]!s_dq_amount($B$1,$A1299)</f>
        <v>152598623</v>
      </c>
      <c r="E1299" cm="1">
        <f t="array" aca="1" ref="E1299" ca="1">[1]!s_dq_turn($B$1,$A1299)</f>
        <v>1.1333533169435701</v>
      </c>
      <c r="F1299" cm="1">
        <f t="array" aca="1" ref="F1299" ca="1">[1]!s_val_pe_ttm($B$1,$A1299)</f>
        <v>-6.8505444526672399</v>
      </c>
    </row>
    <row r="1300" spans="1:6">
      <c r="A1300" s="23">
        <f t="shared" ca="1" si="20"/>
        <v>44875</v>
      </c>
      <c r="B1300" cm="1">
        <f t="array" aca="1" ref="B1300" ca="1">[1]!s_dq_close($B$1,$A1300,3)</f>
        <v>14.54</v>
      </c>
      <c r="C1300" cm="1">
        <f t="array" aca="1" ref="C1300" ca="1">[1]!s_dq_volume($B$1,$A1300)</f>
        <v>2886500</v>
      </c>
      <c r="D1300" cm="1">
        <f t="array" aca="1" ref="D1300" ca="1">[1]!s_dq_amount($B$1,$A1300)</f>
        <v>41967550</v>
      </c>
      <c r="E1300" cm="1">
        <f t="array" aca="1" ref="E1300" ca="1">[1]!s_dq_turn($B$1,$A1300)</f>
        <v>0.33378611374371497</v>
      </c>
      <c r="F1300" cm="1">
        <f t="array" aca="1" ref="F1300" ca="1">[1]!s_val_pe_ttm($B$1,$A1300)</f>
        <v>-6.2803854942321804</v>
      </c>
    </row>
    <row r="1301" spans="1:6">
      <c r="A1301" s="23">
        <f t="shared" ca="1" si="20"/>
        <v>44874</v>
      </c>
      <c r="B1301" cm="1">
        <f t="array" aca="1" ref="B1301" ca="1">[1]!s_dq_close($B$1,$A1301,3)</f>
        <v>14.88</v>
      </c>
      <c r="C1301" cm="1">
        <f t="array" aca="1" ref="C1301" ca="1">[1]!s_dq_volume($B$1,$A1301)</f>
        <v>2925263</v>
      </c>
      <c r="D1301" cm="1">
        <f t="array" aca="1" ref="D1301" ca="1">[1]!s_dq_amount($B$1,$A1301)</f>
        <v>44025643</v>
      </c>
      <c r="E1301" cm="1">
        <f t="array" aca="1" ref="E1301" ca="1">[1]!s_dq_turn($B$1,$A1301)</f>
        <v>0.33826854960965902</v>
      </c>
      <c r="F1301" cm="1">
        <f t="array" aca="1" ref="F1301" ca="1">[1]!s_val_pe_ttm($B$1,$A1301)</f>
        <v>-6.4272446632385298</v>
      </c>
    </row>
    <row r="1302" spans="1:6">
      <c r="A1302" s="23">
        <f t="shared" ca="1" si="20"/>
        <v>44873</v>
      </c>
      <c r="B1302" cm="1">
        <f t="array" aca="1" ref="B1302" ca="1">[1]!s_dq_close($B$1,$A1302,3)</f>
        <v>15.56</v>
      </c>
      <c r="C1302" cm="1">
        <f t="array" aca="1" ref="C1302" ca="1">[1]!s_dq_volume($B$1,$A1302)</f>
        <v>7780340</v>
      </c>
      <c r="D1302" cm="1">
        <f t="array" aca="1" ref="D1302" ca="1">[1]!s_dq_amount($B$1,$A1302)</f>
        <v>122322609</v>
      </c>
      <c r="E1302" cm="1">
        <f t="array" aca="1" ref="E1302" ca="1">[1]!s_dq_turn($B$1,$A1302)</f>
        <v>0.899694942735069</v>
      </c>
      <c r="F1302" cm="1">
        <f t="array" aca="1" ref="F1302" ca="1">[1]!s_val_pe_ttm($B$1,$A1302)</f>
        <v>-6.7209630012512198</v>
      </c>
    </row>
    <row r="1303" spans="1:6">
      <c r="A1303" s="23">
        <f t="shared" ca="1" si="20"/>
        <v>44872</v>
      </c>
      <c r="B1303" cm="1">
        <f t="array" aca="1" ref="B1303" ca="1">[1]!s_dq_close($B$1,$A1303,3)</f>
        <v>15.22</v>
      </c>
      <c r="C1303" cm="1">
        <f t="array" aca="1" ref="C1303" ca="1">[1]!s_dq_volume($B$1,$A1303)</f>
        <v>7723100</v>
      </c>
      <c r="D1303" cm="1">
        <f t="array" aca="1" ref="D1303" ca="1">[1]!s_dq_amount($B$1,$A1303)</f>
        <v>115133884</v>
      </c>
      <c r="E1303" cm="1">
        <f t="array" aca="1" ref="E1303" ca="1">[1]!s_dq_turn($B$1,$A1303)</f>
        <v>0.89307588257546799</v>
      </c>
      <c r="F1303" cm="1">
        <f t="array" aca="1" ref="F1303" ca="1">[1]!s_val_pe_ttm($B$1,$A1303)</f>
        <v>-6.5741038322448704</v>
      </c>
    </row>
    <row r="1304" spans="1:6">
      <c r="A1304" s="23">
        <f t="shared" ca="1" si="20"/>
        <v>44871</v>
      </c>
      <c r="B1304" cm="1">
        <f t="array" aca="1" ref="B1304" ca="1">[1]!s_dq_close($B$1,$A1304,3)</f>
        <v>13.96</v>
      </c>
      <c r="C1304" cm="1">
        <f t="array" aca="1" ref="C1304" ca="1">[1]!s_dq_volume($B$1,$A1304)</f>
        <v>0</v>
      </c>
      <c r="D1304" cm="1">
        <f t="array" aca="1" ref="D1304" ca="1">[1]!s_dq_amount($B$1,$A1304)</f>
        <v>0</v>
      </c>
      <c r="E1304" cm="1">
        <f t="array" aca="1" ref="E1304" ca="1">[1]!s_dq_turn($B$1,$A1304)</f>
        <v>0</v>
      </c>
      <c r="F1304" cm="1">
        <f t="array" aca="1" ref="F1304" ca="1">[1]!s_val_pe_ttm($B$1,$A1304)</f>
        <v>-6.0298614501953098</v>
      </c>
    </row>
    <row r="1305" spans="1:6">
      <c r="A1305" s="23">
        <f t="shared" ca="1" si="20"/>
        <v>44870</v>
      </c>
      <c r="B1305" cm="1">
        <f t="array" aca="1" ref="B1305" ca="1">[1]!s_dq_close($B$1,$A1305,3)</f>
        <v>13.96</v>
      </c>
      <c r="C1305" cm="1">
        <f t="array" aca="1" ref="C1305" ca="1">[1]!s_dq_volume($B$1,$A1305)</f>
        <v>0</v>
      </c>
      <c r="D1305" cm="1">
        <f t="array" aca="1" ref="D1305" ca="1">[1]!s_dq_amount($B$1,$A1305)</f>
        <v>0</v>
      </c>
      <c r="E1305" cm="1">
        <f t="array" aca="1" ref="E1305" ca="1">[1]!s_dq_turn($B$1,$A1305)</f>
        <v>0</v>
      </c>
      <c r="F1305" cm="1">
        <f t="array" aca="1" ref="F1305" ca="1">[1]!s_val_pe_ttm($B$1,$A1305)</f>
        <v>-6.0298614501953098</v>
      </c>
    </row>
    <row r="1306" spans="1:6">
      <c r="A1306" s="23">
        <f t="shared" ca="1" si="20"/>
        <v>44869</v>
      </c>
      <c r="B1306" cm="1">
        <f t="array" aca="1" ref="B1306" ca="1">[1]!s_dq_close($B$1,$A1306,3)</f>
        <v>13.96</v>
      </c>
      <c r="C1306" cm="1">
        <f t="array" aca="1" ref="C1306" ca="1">[1]!s_dq_volume($B$1,$A1306)</f>
        <v>4163160</v>
      </c>
      <c r="D1306" cm="1">
        <f t="array" aca="1" ref="D1306" ca="1">[1]!s_dq_amount($B$1,$A1306)</f>
        <v>58067200</v>
      </c>
      <c r="E1306" cm="1">
        <f t="array" aca="1" ref="E1306" ca="1">[1]!s_dq_turn($B$1,$A1306)</f>
        <v>0.48141520779258101</v>
      </c>
      <c r="F1306" cm="1">
        <f t="array" aca="1" ref="F1306" ca="1">[1]!s_val_pe_ttm($B$1,$A1306)</f>
        <v>-6.0298614501953098</v>
      </c>
    </row>
    <row r="1307" spans="1:6">
      <c r="A1307" s="23">
        <f t="shared" ca="1" si="20"/>
        <v>44868</v>
      </c>
      <c r="B1307" cm="1">
        <f t="array" aca="1" ref="B1307" ca="1">[1]!s_dq_close($B$1,$A1307,3)</f>
        <v>13.44</v>
      </c>
      <c r="C1307" cm="1">
        <f t="array" aca="1" ref="C1307" ca="1">[1]!s_dq_volume($B$1,$A1307)</f>
        <v>3552300</v>
      </c>
      <c r="D1307" cm="1">
        <f t="array" aca="1" ref="D1307" ca="1">[1]!s_dq_amount($B$1,$A1307)</f>
        <v>47732930</v>
      </c>
      <c r="E1307" cm="1">
        <f t="array" aca="1" ref="E1307" ca="1">[1]!s_dq_turn($B$1,$A1307)</f>
        <v>0.41077720833251302</v>
      </c>
      <c r="F1307" cm="1">
        <f t="array" aca="1" ref="F1307" ca="1">[1]!s_val_pe_ttm($B$1,$A1307)</f>
        <v>-5.8052530288696298</v>
      </c>
    </row>
    <row r="1308" spans="1:6">
      <c r="A1308" s="23">
        <f t="shared" ca="1" si="20"/>
        <v>44867</v>
      </c>
      <c r="B1308" cm="1">
        <f t="array" aca="1" ref="B1308" ca="1">[1]!s_dq_close($B$1,$A1308,3)</f>
        <v>14.3</v>
      </c>
      <c r="C1308" cm="1">
        <f t="array" aca="1" ref="C1308" ca="1">[1]!s_dq_volume($B$1,$A1308)</f>
        <v>5292700</v>
      </c>
      <c r="D1308" cm="1">
        <f t="array" aca="1" ref="D1308" ca="1">[1]!s_dq_amount($B$1,$A1308)</f>
        <v>74556717</v>
      </c>
      <c r="E1308" cm="1">
        <f t="array" aca="1" ref="E1308" ca="1">[1]!s_dq_turn($B$1,$A1308)</f>
        <v>0.61203179082326797</v>
      </c>
      <c r="F1308" cm="1">
        <f t="array" aca="1" ref="F1308" ca="1">[1]!s_val_pe_ttm($B$1,$A1308)</f>
        <v>-6.1767201423645002</v>
      </c>
    </row>
    <row r="1309" spans="1:6">
      <c r="A1309" s="23">
        <f t="shared" ca="1" si="20"/>
        <v>44866</v>
      </c>
      <c r="B1309" cm="1">
        <f t="array" aca="1" ref="B1309" ca="1">[1]!s_dq_close($B$1,$A1309,3)</f>
        <v>13.9</v>
      </c>
      <c r="C1309" cm="1">
        <f t="array" aca="1" ref="C1309" ca="1">[1]!s_dq_volume($B$1,$A1309)</f>
        <v>3797038</v>
      </c>
      <c r="D1309" cm="1">
        <f t="array" aca="1" ref="D1309" ca="1">[1]!s_dq_amount($B$1,$A1309)</f>
        <v>52076467</v>
      </c>
      <c r="E1309" cm="1">
        <f t="array" aca="1" ref="E1309" ca="1">[1]!s_dq_turn($B$1,$A1309)</f>
        <v>0.43907796908269803</v>
      </c>
      <c r="F1309" cm="1">
        <f t="array" aca="1" ref="F1309" ca="1">[1]!s_val_pe_ttm($B$1,$A1309)</f>
        <v>-6.00394487380981</v>
      </c>
    </row>
    <row r="1310" spans="1:6">
      <c r="A1310" s="23">
        <f t="shared" ca="1" si="20"/>
        <v>44865</v>
      </c>
      <c r="B1310" cm="1">
        <f t="array" aca="1" ref="B1310" ca="1">[1]!s_dq_close($B$1,$A1310,3)</f>
        <v>13.2</v>
      </c>
      <c r="C1310" cm="1">
        <f t="array" aca="1" ref="C1310" ca="1">[1]!s_dq_volume($B$1,$A1310)</f>
        <v>4237675</v>
      </c>
      <c r="D1310" cm="1">
        <f t="array" aca="1" ref="D1310" ca="1">[1]!s_dq_amount($B$1,$A1310)</f>
        <v>56796899</v>
      </c>
      <c r="E1310" cm="1">
        <f t="array" aca="1" ref="E1310" ca="1">[1]!s_dq_turn($B$1,$A1310)</f>
        <v>0.49003189660796798</v>
      </c>
      <c r="F1310" cm="1">
        <f t="array" aca="1" ref="F1310" ca="1">[1]!s_val_pe_ttm($B$1,$A1310)</f>
        <v>-5.7015881538391104</v>
      </c>
    </row>
    <row r="1311" spans="1:6">
      <c r="A1311" s="23">
        <f t="shared" ca="1" si="20"/>
        <v>44864</v>
      </c>
      <c r="B1311" cm="1">
        <f t="array" aca="1" ref="B1311" ca="1">[1]!s_dq_close($B$1,$A1311,3)</f>
        <v>12.46</v>
      </c>
      <c r="C1311" cm="1">
        <f t="array" aca="1" ref="C1311" ca="1">[1]!s_dq_volume($B$1,$A1311)</f>
        <v>0</v>
      </c>
      <c r="D1311" cm="1">
        <f t="array" aca="1" ref="D1311" ca="1">[1]!s_dq_amount($B$1,$A1311)</f>
        <v>0</v>
      </c>
      <c r="E1311" cm="1">
        <f t="array" aca="1" ref="E1311" ca="1">[1]!s_dq_turn($B$1,$A1311)</f>
        <v>0</v>
      </c>
      <c r="F1311" cm="1">
        <f t="array" aca="1" ref="F1311" ca="1">[1]!s_val_pe_ttm($B$1,$A1311)</f>
        <v>-5.3819537162780797</v>
      </c>
    </row>
    <row r="1312" spans="1:6">
      <c r="A1312" s="23">
        <f t="shared" ca="1" si="20"/>
        <v>44863</v>
      </c>
      <c r="B1312" cm="1">
        <f t="array" aca="1" ref="B1312" ca="1">[1]!s_dq_close($B$1,$A1312,3)</f>
        <v>12.46</v>
      </c>
      <c r="C1312" cm="1">
        <f t="array" aca="1" ref="C1312" ca="1">[1]!s_dq_volume($B$1,$A1312)</f>
        <v>0</v>
      </c>
      <c r="D1312" cm="1">
        <f t="array" aca="1" ref="D1312" ca="1">[1]!s_dq_amount($B$1,$A1312)</f>
        <v>0</v>
      </c>
      <c r="E1312" cm="1">
        <f t="array" aca="1" ref="E1312" ca="1">[1]!s_dq_turn($B$1,$A1312)</f>
        <v>0</v>
      </c>
      <c r="F1312" cm="1">
        <f t="array" aca="1" ref="F1312" ca="1">[1]!s_val_pe_ttm($B$1,$A1312)</f>
        <v>-5.3819537162780797</v>
      </c>
    </row>
    <row r="1313" spans="1:6">
      <c r="A1313" s="23">
        <f t="shared" ca="1" si="20"/>
        <v>44862</v>
      </c>
      <c r="B1313" cm="1">
        <f t="array" aca="1" ref="B1313" ca="1">[1]!s_dq_close($B$1,$A1313,3)</f>
        <v>12.46</v>
      </c>
      <c r="C1313" cm="1">
        <f t="array" aca="1" ref="C1313" ca="1">[1]!s_dq_volume($B$1,$A1313)</f>
        <v>2334000</v>
      </c>
      <c r="D1313" cm="1">
        <f t="array" aca="1" ref="D1313" ca="1">[1]!s_dq_amount($B$1,$A1313)</f>
        <v>29839360</v>
      </c>
      <c r="E1313" cm="1">
        <f t="array" aca="1" ref="E1313" ca="1">[1]!s_dq_turn($B$1,$A1313)</f>
        <v>0.26989668784958598</v>
      </c>
      <c r="F1313" cm="1">
        <f t="array" aca="1" ref="F1313" ca="1">[1]!s_val_pe_ttm($B$1,$A1313)</f>
        <v>-5.3819537162780797</v>
      </c>
    </row>
    <row r="1314" spans="1:6">
      <c r="A1314" s="23">
        <f t="shared" ca="1" si="20"/>
        <v>44861</v>
      </c>
      <c r="B1314" cm="1">
        <f t="array" aca="1" ref="B1314" ca="1">[1]!s_dq_close($B$1,$A1314,3)</f>
        <v>12.8</v>
      </c>
      <c r="C1314" cm="1">
        <f t="array" aca="1" ref="C1314" ca="1">[1]!s_dq_volume($B$1,$A1314)</f>
        <v>3769600</v>
      </c>
      <c r="D1314" cm="1">
        <f t="array" aca="1" ref="D1314" ca="1">[1]!s_dq_amount($B$1,$A1314)</f>
        <v>49177025</v>
      </c>
      <c r="E1314" cm="1">
        <f t="array" aca="1" ref="E1314" ca="1">[1]!s_dq_turn($B$1,$A1314)</f>
        <v>0.43590512190137198</v>
      </c>
      <c r="F1314" cm="1">
        <f t="array" aca="1" ref="F1314" ca="1">[1]!s_val_pe_ttm($B$1,$A1314)</f>
        <v>-5.5288124084472701</v>
      </c>
    </row>
    <row r="1315" spans="1:6">
      <c r="A1315" s="23">
        <f t="shared" ca="1" si="20"/>
        <v>44860</v>
      </c>
      <c r="B1315" cm="1">
        <f t="array" aca="1" ref="B1315" ca="1">[1]!s_dq_close($B$1,$A1315,3)</f>
        <v>12.5</v>
      </c>
      <c r="C1315" cm="1">
        <f t="array" aca="1" ref="C1315" ca="1">[1]!s_dq_volume($B$1,$A1315)</f>
        <v>3069600</v>
      </c>
      <c r="D1315" cm="1">
        <f t="array" aca="1" ref="D1315" ca="1">[1]!s_dq_amount($B$1,$A1315)</f>
        <v>38151584</v>
      </c>
      <c r="E1315" cm="1">
        <f t="array" aca="1" ref="E1315" ca="1">[1]!s_dq_turn($B$1,$A1315)</f>
        <v>0.35495924294048398</v>
      </c>
      <c r="F1315" cm="1">
        <f t="array" aca="1" ref="F1315" ca="1">[1]!s_val_pe_ttm($B$1,$A1315)</f>
        <v>-5.39923095703125</v>
      </c>
    </row>
    <row r="1316" spans="1:6">
      <c r="A1316" s="23">
        <f t="shared" ca="1" si="20"/>
        <v>44859</v>
      </c>
      <c r="B1316" cm="1">
        <f t="array" aca="1" ref="B1316" ca="1">[1]!s_dq_close($B$1,$A1316,3)</f>
        <v>12.1</v>
      </c>
      <c r="C1316" cm="1">
        <f t="array" aca="1" ref="C1316" ca="1">[1]!s_dq_volume($B$1,$A1316)</f>
        <v>5005001</v>
      </c>
      <c r="D1316" cm="1">
        <f t="array" aca="1" ref="D1316" ca="1">[1]!s_dq_amount($B$1,$A1316)</f>
        <v>59453031</v>
      </c>
      <c r="E1316" cm="1">
        <f t="array" aca="1" ref="E1316" ca="1">[1]!s_dq_turn($B$1,$A1316)</f>
        <v>0.57876315020731295</v>
      </c>
      <c r="F1316" cm="1">
        <f t="array" aca="1" ref="F1316" ca="1">[1]!s_val_pe_ttm($B$1,$A1316)</f>
        <v>-5.2264556884765598</v>
      </c>
    </row>
    <row r="1317" spans="1:6">
      <c r="A1317" s="23">
        <f t="shared" ca="1" si="20"/>
        <v>44858</v>
      </c>
      <c r="B1317" cm="1">
        <f t="array" aca="1" ref="B1317" ca="1">[1]!s_dq_close($B$1,$A1317,3)</f>
        <v>11.76</v>
      </c>
      <c r="C1317" cm="1">
        <f t="array" aca="1" ref="C1317" ca="1">[1]!s_dq_volume($B$1,$A1317)</f>
        <v>3700282</v>
      </c>
      <c r="D1317" cm="1">
        <f t="array" aca="1" ref="D1317" ca="1">[1]!s_dq_amount($B$1,$A1317)</f>
        <v>44940136</v>
      </c>
      <c r="E1317" cm="1">
        <f t="array" aca="1" ref="E1317" ca="1">[1]!s_dq_turn($B$1,$A1317)</f>
        <v>0.42788939841878498</v>
      </c>
      <c r="F1317" cm="1">
        <f t="array" aca="1" ref="F1317" ca="1">[1]!s_val_pe_ttm($B$1,$A1317)</f>
        <v>-5.0795965194702104</v>
      </c>
    </row>
    <row r="1318" spans="1:6">
      <c r="A1318" s="23">
        <f t="shared" ca="1" si="20"/>
        <v>44857</v>
      </c>
      <c r="B1318" cm="1">
        <f t="array" aca="1" ref="B1318" ca="1">[1]!s_dq_close($B$1,$A1318,3)</f>
        <v>13.38</v>
      </c>
      <c r="C1318" cm="1">
        <f t="array" aca="1" ref="C1318" ca="1">[1]!s_dq_volume($B$1,$A1318)</f>
        <v>0</v>
      </c>
      <c r="D1318" cm="1">
        <f t="array" aca="1" ref="D1318" ca="1">[1]!s_dq_amount($B$1,$A1318)</f>
        <v>0</v>
      </c>
      <c r="E1318" cm="1">
        <f t="array" aca="1" ref="E1318" ca="1">[1]!s_dq_turn($B$1,$A1318)</f>
        <v>0</v>
      </c>
      <c r="F1318" cm="1">
        <f t="array" aca="1" ref="F1318" ca="1">[1]!s_val_pe_ttm($B$1,$A1318)</f>
        <v>-5.77933692932129</v>
      </c>
    </row>
    <row r="1319" spans="1:6">
      <c r="A1319" s="23">
        <f t="shared" ca="1" si="20"/>
        <v>44856</v>
      </c>
      <c r="B1319" cm="1">
        <f t="array" aca="1" ref="B1319" ca="1">[1]!s_dq_close($B$1,$A1319,3)</f>
        <v>13.38</v>
      </c>
      <c r="C1319" cm="1">
        <f t="array" aca="1" ref="C1319" ca="1">[1]!s_dq_volume($B$1,$A1319)</f>
        <v>0</v>
      </c>
      <c r="D1319" cm="1">
        <f t="array" aca="1" ref="D1319" ca="1">[1]!s_dq_amount($B$1,$A1319)</f>
        <v>0</v>
      </c>
      <c r="E1319" cm="1">
        <f t="array" aca="1" ref="E1319" ca="1">[1]!s_dq_turn($B$1,$A1319)</f>
        <v>0</v>
      </c>
      <c r="F1319" cm="1">
        <f t="array" aca="1" ref="F1319" ca="1">[1]!s_val_pe_ttm($B$1,$A1319)</f>
        <v>-5.77933692932129</v>
      </c>
    </row>
    <row r="1320" spans="1:6">
      <c r="A1320" s="23">
        <f t="shared" ca="1" si="20"/>
        <v>44855</v>
      </c>
      <c r="B1320" cm="1">
        <f t="array" aca="1" ref="B1320" ca="1">[1]!s_dq_close($B$1,$A1320,3)</f>
        <v>13.38</v>
      </c>
      <c r="C1320" cm="1">
        <f t="array" aca="1" ref="C1320" ca="1">[1]!s_dq_volume($B$1,$A1320)</f>
        <v>1834000</v>
      </c>
      <c r="D1320" cm="1">
        <f t="array" aca="1" ref="D1320" ca="1">[1]!s_dq_amount($B$1,$A1320)</f>
        <v>24575580</v>
      </c>
      <c r="E1320" cm="1">
        <f t="array" aca="1" ref="E1320" ca="1">[1]!s_dq_turn($B$1,$A1320)</f>
        <v>0.21207820287752399</v>
      </c>
      <c r="F1320" cm="1">
        <f t="array" aca="1" ref="F1320" ca="1">[1]!s_val_pe_ttm($B$1,$A1320)</f>
        <v>-5.77933692932129</v>
      </c>
    </row>
    <row r="1321" spans="1:6">
      <c r="A1321" s="23">
        <f t="shared" ca="1" si="20"/>
        <v>44854</v>
      </c>
      <c r="B1321" cm="1">
        <f t="array" aca="1" ref="B1321" ca="1">[1]!s_dq_close($B$1,$A1321,3)</f>
        <v>13</v>
      </c>
      <c r="C1321" cm="1">
        <f t="array" aca="1" ref="C1321" ca="1">[1]!s_dq_volume($B$1,$A1321)</f>
        <v>1699500</v>
      </c>
      <c r="D1321" cm="1">
        <f t="array" aca="1" ref="D1321" ca="1">[1]!s_dq_amount($B$1,$A1321)</f>
        <v>22265340</v>
      </c>
      <c r="E1321" cm="1">
        <f t="array" aca="1" ref="E1321" ca="1">[1]!s_dq_turn($B$1,$A1321)</f>
        <v>0.19652503042003899</v>
      </c>
      <c r="F1321" cm="1">
        <f t="array" aca="1" ref="F1321" ca="1">[1]!s_val_pe_ttm($B$1,$A1321)</f>
        <v>-5.6152005195617702</v>
      </c>
    </row>
    <row r="1322" spans="1:6">
      <c r="A1322" s="23">
        <f t="shared" ca="1" si="20"/>
        <v>44853</v>
      </c>
      <c r="B1322" cm="1">
        <f t="array" aca="1" ref="B1322" ca="1">[1]!s_dq_close($B$1,$A1322,3)</f>
        <v>13.5</v>
      </c>
      <c r="C1322" cm="1">
        <f t="array" aca="1" ref="C1322" ca="1">[1]!s_dq_volume($B$1,$A1322)</f>
        <v>1690000</v>
      </c>
      <c r="D1322" cm="1">
        <f t="array" aca="1" ref="D1322" ca="1">[1]!s_dq_amount($B$1,$A1322)</f>
        <v>23825260</v>
      </c>
      <c r="E1322" cm="1">
        <f t="array" aca="1" ref="E1322" ca="1">[1]!s_dq_turn($B$1,$A1322)</f>
        <v>0.19542647920556999</v>
      </c>
      <c r="F1322" cm="1">
        <f t="array" aca="1" ref="F1322" ca="1">[1]!s_val_pe_ttm($B$1,$A1322)</f>
        <v>-5.8311696052551296</v>
      </c>
    </row>
    <row r="1323" spans="1:6">
      <c r="A1323" s="23">
        <f t="shared" ca="1" si="20"/>
        <v>44852</v>
      </c>
      <c r="B1323" cm="1">
        <f t="array" aca="1" ref="B1323" ca="1">[1]!s_dq_close($B$1,$A1323,3)</f>
        <v>14.6</v>
      </c>
      <c r="C1323" cm="1">
        <f t="array" aca="1" ref="C1323" ca="1">[1]!s_dq_volume($B$1,$A1323)</f>
        <v>3148436</v>
      </c>
      <c r="D1323" cm="1">
        <f t="array" aca="1" ref="D1323" ca="1">[1]!s_dq_amount($B$1,$A1323)</f>
        <v>45002494</v>
      </c>
      <c r="E1323" cm="1">
        <f t="array" aca="1" ref="E1323" ca="1">[1]!s_dq_turn($B$1,$A1323)</f>
        <v>0.36407559910299903</v>
      </c>
      <c r="F1323" cm="1">
        <f t="array" aca="1" ref="F1323" ca="1">[1]!s_val_pe_ttm($B$1,$A1323)</f>
        <v>-6.3063020706176802</v>
      </c>
    </row>
    <row r="1324" spans="1:6">
      <c r="A1324" s="23">
        <f t="shared" ca="1" si="20"/>
        <v>44851</v>
      </c>
      <c r="B1324" cm="1">
        <f t="array" aca="1" ref="B1324" ca="1">[1]!s_dq_close($B$1,$A1324,3)</f>
        <v>13.44</v>
      </c>
      <c r="C1324" cm="1">
        <f t="array" aca="1" ref="C1324" ca="1">[1]!s_dq_volume($B$1,$A1324)</f>
        <v>1786250</v>
      </c>
      <c r="D1324" cm="1">
        <f t="array" aca="1" ref="D1324" ca="1">[1]!s_dq_amount($B$1,$A1324)</f>
        <v>23683780</v>
      </c>
      <c r="E1324" cm="1">
        <f t="array" aca="1" ref="E1324" ca="1">[1]!s_dq_turn($B$1,$A1324)</f>
        <v>0.20655653756269199</v>
      </c>
      <c r="F1324" cm="1">
        <f t="array" aca="1" ref="F1324" ca="1">[1]!s_val_pe_ttm($B$1,$A1324)</f>
        <v>-5.8052530288696298</v>
      </c>
    </row>
    <row r="1325" spans="1:6">
      <c r="A1325" s="23">
        <f t="shared" ca="1" si="20"/>
        <v>44850</v>
      </c>
      <c r="B1325" cm="1">
        <f t="array" aca="1" ref="B1325" ca="1">[1]!s_dq_close($B$1,$A1325,3)</f>
        <v>13.18</v>
      </c>
      <c r="C1325" cm="1">
        <f t="array" aca="1" ref="C1325" ca="1">[1]!s_dq_volume($B$1,$A1325)</f>
        <v>0</v>
      </c>
      <c r="D1325" cm="1">
        <f t="array" aca="1" ref="D1325" ca="1">[1]!s_dq_amount($B$1,$A1325)</f>
        <v>0</v>
      </c>
      <c r="E1325" cm="1">
        <f t="array" aca="1" ref="E1325" ca="1">[1]!s_dq_turn($B$1,$A1325)</f>
        <v>0</v>
      </c>
      <c r="F1325" cm="1">
        <f t="array" aca="1" ref="F1325" ca="1">[1]!s_val_pe_ttm($B$1,$A1325)</f>
        <v>-5.6929492950439498</v>
      </c>
    </row>
    <row r="1326" spans="1:6">
      <c r="A1326" s="23">
        <f t="shared" ca="1" si="20"/>
        <v>44849</v>
      </c>
      <c r="B1326" cm="1">
        <f t="array" aca="1" ref="B1326" ca="1">[1]!s_dq_close($B$1,$A1326,3)</f>
        <v>13.18</v>
      </c>
      <c r="C1326" cm="1">
        <f t="array" aca="1" ref="C1326" ca="1">[1]!s_dq_volume($B$1,$A1326)</f>
        <v>0</v>
      </c>
      <c r="D1326" cm="1">
        <f t="array" aca="1" ref="D1326" ca="1">[1]!s_dq_amount($B$1,$A1326)</f>
        <v>0</v>
      </c>
      <c r="E1326" cm="1">
        <f t="array" aca="1" ref="E1326" ca="1">[1]!s_dq_turn($B$1,$A1326)</f>
        <v>0</v>
      </c>
      <c r="F1326" cm="1">
        <f t="array" aca="1" ref="F1326" ca="1">[1]!s_val_pe_ttm($B$1,$A1326)</f>
        <v>-5.6929492950439498</v>
      </c>
    </row>
    <row r="1327" spans="1:6">
      <c r="A1327" s="23">
        <f t="shared" ca="1" si="20"/>
        <v>44848</v>
      </c>
      <c r="B1327" cm="1">
        <f t="array" aca="1" ref="B1327" ca="1">[1]!s_dq_close($B$1,$A1327,3)</f>
        <v>13.18</v>
      </c>
      <c r="C1327" cm="1">
        <f t="array" aca="1" ref="C1327" ca="1">[1]!s_dq_volume($B$1,$A1327)</f>
        <v>2530505</v>
      </c>
      <c r="D1327" cm="1">
        <f t="array" aca="1" ref="D1327" ca="1">[1]!s_dq_amount($B$1,$A1327)</f>
        <v>33228970</v>
      </c>
      <c r="E1327" cm="1">
        <f t="array" aca="1" ref="E1327" ca="1">[1]!s_dq_turn($B$1,$A1327)</f>
        <v>0.29261993062845698</v>
      </c>
      <c r="F1327" cm="1">
        <f t="array" aca="1" ref="F1327" ca="1">[1]!s_val_pe_ttm($B$1,$A1327)</f>
        <v>-5.6929492950439498</v>
      </c>
    </row>
    <row r="1328" spans="1:6">
      <c r="A1328" s="23">
        <f t="shared" ca="1" si="20"/>
        <v>44847</v>
      </c>
      <c r="B1328" cm="1">
        <f t="array" aca="1" ref="B1328" ca="1">[1]!s_dq_close($B$1,$A1328,3)</f>
        <v>12.62</v>
      </c>
      <c r="C1328" cm="1">
        <f t="array" aca="1" ref="C1328" ca="1">[1]!s_dq_volume($B$1,$A1328)</f>
        <v>877801</v>
      </c>
      <c r="D1328" cm="1">
        <f t="array" aca="1" ref="D1328" ca="1">[1]!s_dq_amount($B$1,$A1328)</f>
        <v>11342077</v>
      </c>
      <c r="E1328" cm="1">
        <f t="array" aca="1" ref="E1328" ca="1">[1]!s_dq_turn($B$1,$A1328)</f>
        <v>0.101506247853922</v>
      </c>
      <c r="F1328" cm="1">
        <f t="array" aca="1" ref="F1328" ca="1">[1]!s_val_pe_ttm($B$1,$A1328)</f>
        <v>-5.4510636329650897</v>
      </c>
    </row>
    <row r="1329" spans="1:6">
      <c r="A1329" s="23">
        <f t="shared" ca="1" si="20"/>
        <v>44846</v>
      </c>
      <c r="B1329" cm="1">
        <f t="array" aca="1" ref="B1329" ca="1">[1]!s_dq_close($B$1,$A1329,3)</f>
        <v>12.86</v>
      </c>
      <c r="C1329" cm="1">
        <f t="array" aca="1" ref="C1329" ca="1">[1]!s_dq_volume($B$1,$A1329)</f>
        <v>1142600</v>
      </c>
      <c r="D1329" cm="1">
        <f t="array" aca="1" ref="D1329" ca="1">[1]!s_dq_amount($B$1,$A1329)</f>
        <v>14558387</v>
      </c>
      <c r="E1329" cm="1">
        <f t="array" aca="1" ref="E1329" ca="1">[1]!s_dq_turn($B$1,$A1329)</f>
        <v>0.13212680185815701</v>
      </c>
      <c r="F1329" cm="1">
        <f t="array" aca="1" ref="F1329" ca="1">[1]!s_val_pe_ttm($B$1,$A1329)</f>
        <v>-5.5547289848327601</v>
      </c>
    </row>
    <row r="1330" spans="1:6">
      <c r="A1330" s="23">
        <f t="shared" ca="1" si="20"/>
        <v>44845</v>
      </c>
      <c r="B1330" cm="1">
        <f t="array" aca="1" ref="B1330" ca="1">[1]!s_dq_close($B$1,$A1330,3)</f>
        <v>13.14</v>
      </c>
      <c r="C1330" cm="1">
        <f t="array" aca="1" ref="C1330" ca="1">[1]!s_dq_volume($B$1,$A1330)</f>
        <v>659073</v>
      </c>
      <c r="D1330" cm="1">
        <f t="array" aca="1" ref="D1330" ca="1">[1]!s_dq_amount($B$1,$A1330)</f>
        <v>8622740</v>
      </c>
      <c r="E1330" cm="1">
        <f t="array" aca="1" ref="E1330" ca="1">[1]!s_dq_turn($B$1,$A1330)</f>
        <v>7.6213204691983893E-2</v>
      </c>
      <c r="F1330" cm="1">
        <f t="array" aca="1" ref="F1330" ca="1">[1]!s_val_pe_ttm($B$1,$A1330)</f>
        <v>-5.6756715774536097</v>
      </c>
    </row>
    <row r="1331" spans="1:6">
      <c r="A1331" s="23">
        <f t="shared" ca="1" si="20"/>
        <v>44844</v>
      </c>
      <c r="B1331" cm="1">
        <f t="array" aca="1" ref="B1331" ca="1">[1]!s_dq_close($B$1,$A1331,3)</f>
        <v>13.1</v>
      </c>
      <c r="C1331" cm="1">
        <f t="array" aca="1" ref="C1331" ca="1">[1]!s_dq_volume($B$1,$A1331)</f>
        <v>864500</v>
      </c>
      <c r="D1331" cm="1">
        <f t="array" aca="1" ref="D1331" ca="1">[1]!s_dq_amount($B$1,$A1331)</f>
        <v>11436030</v>
      </c>
      <c r="E1331" cm="1">
        <f t="array" aca="1" ref="E1331" ca="1">[1]!s_dq_turn($B$1,$A1331)</f>
        <v>9.9968160516695603E-2</v>
      </c>
      <c r="F1331" cm="1">
        <f t="array" aca="1" ref="F1331" ca="1">[1]!s_val_pe_ttm($B$1,$A1331)</f>
        <v>-5.6583943367004403</v>
      </c>
    </row>
    <row r="1332" spans="1:6">
      <c r="A1332" s="23">
        <f t="shared" ca="1" si="20"/>
        <v>44843</v>
      </c>
      <c r="B1332" cm="1">
        <f t="array" aca="1" ref="B1332" ca="1">[1]!s_dq_close($B$1,$A1332,3)</f>
        <v>13.62</v>
      </c>
      <c r="C1332" cm="1">
        <f t="array" aca="1" ref="C1332" ca="1">[1]!s_dq_volume($B$1,$A1332)</f>
        <v>0</v>
      </c>
      <c r="D1332" cm="1">
        <f t="array" aca="1" ref="D1332" ca="1">[1]!s_dq_amount($B$1,$A1332)</f>
        <v>0</v>
      </c>
      <c r="E1332" cm="1">
        <f t="array" aca="1" ref="E1332" ca="1">[1]!s_dq_turn($B$1,$A1332)</f>
        <v>0</v>
      </c>
      <c r="F1332" cm="1">
        <f t="array" aca="1" ref="F1332" ca="1">[1]!s_val_pe_ttm($B$1,$A1332)</f>
        <v>-5.8830022811889604</v>
      </c>
    </row>
    <row r="1333" spans="1:6">
      <c r="A1333" s="23">
        <f t="shared" ca="1" si="20"/>
        <v>44842</v>
      </c>
      <c r="B1333" cm="1">
        <f t="array" aca="1" ref="B1333" ca="1">[1]!s_dq_close($B$1,$A1333,3)</f>
        <v>13.62</v>
      </c>
      <c r="C1333" cm="1">
        <f t="array" aca="1" ref="C1333" ca="1">[1]!s_dq_volume($B$1,$A1333)</f>
        <v>0</v>
      </c>
      <c r="D1333" cm="1">
        <f t="array" aca="1" ref="D1333" ca="1">[1]!s_dq_amount($B$1,$A1333)</f>
        <v>0</v>
      </c>
      <c r="E1333" cm="1">
        <f t="array" aca="1" ref="E1333" ca="1">[1]!s_dq_turn($B$1,$A1333)</f>
        <v>0</v>
      </c>
      <c r="F1333" cm="1">
        <f t="array" aca="1" ref="F1333" ca="1">[1]!s_val_pe_ttm($B$1,$A1333)</f>
        <v>-5.8830022811889604</v>
      </c>
    </row>
    <row r="1334" spans="1:6">
      <c r="A1334" s="23">
        <f t="shared" ca="1" si="20"/>
        <v>44841</v>
      </c>
      <c r="B1334" cm="1">
        <f t="array" aca="1" ref="B1334" ca="1">[1]!s_dq_close($B$1,$A1334,3)</f>
        <v>13.62</v>
      </c>
      <c r="C1334" cm="1">
        <f t="array" aca="1" ref="C1334" ca="1">[1]!s_dq_volume($B$1,$A1334)</f>
        <v>383000</v>
      </c>
      <c r="D1334" cm="1">
        <f t="array" aca="1" ref="D1334" ca="1">[1]!s_dq_amount($B$1,$A1334)</f>
        <v>5220415</v>
      </c>
      <c r="E1334" cm="1">
        <f t="array" aca="1" ref="E1334" ca="1">[1]!s_dq_turn($B$1,$A1334)</f>
        <v>4.4288959488599698E-2</v>
      </c>
      <c r="F1334" cm="1">
        <f t="array" aca="1" ref="F1334" ca="1">[1]!s_val_pe_ttm($B$1,$A1334)</f>
        <v>-5.8830022811889604</v>
      </c>
    </row>
    <row r="1335" spans="1:6">
      <c r="A1335" s="23">
        <f t="shared" ca="1" si="20"/>
        <v>44840</v>
      </c>
      <c r="B1335" cm="1">
        <f t="array" aca="1" ref="B1335" ca="1">[1]!s_dq_close($B$1,$A1335,3)</f>
        <v>13.98</v>
      </c>
      <c r="C1335" cm="1">
        <f t="array" aca="1" ref="C1335" ca="1">[1]!s_dq_volume($B$1,$A1335)</f>
        <v>351866</v>
      </c>
      <c r="D1335" cm="1">
        <f t="array" aca="1" ref="D1335" ca="1">[1]!s_dq_amount($B$1,$A1335)</f>
        <v>4947196</v>
      </c>
      <c r="E1335" cm="1">
        <f t="array" aca="1" ref="E1335" ca="1">[1]!s_dq_turn($B$1,$A1335)</f>
        <v>4.0688718066359299E-2</v>
      </c>
      <c r="F1335" cm="1">
        <f t="array" aca="1" ref="F1335" ca="1">[1]!s_val_pe_ttm($B$1,$A1335)</f>
        <v>-6.0384998321533203</v>
      </c>
    </row>
    <row r="1336" spans="1:6">
      <c r="A1336" s="23">
        <f t="shared" ca="1" si="20"/>
        <v>44839</v>
      </c>
      <c r="B1336" cm="1">
        <f t="array" aca="1" ref="B1336" ca="1">[1]!s_dq_close($B$1,$A1336,3)</f>
        <v>14.3</v>
      </c>
      <c r="C1336" cm="1">
        <f t="array" aca="1" ref="C1336" ca="1">[1]!s_dq_volume($B$1,$A1336)</f>
        <v>798491</v>
      </c>
      <c r="D1336" cm="1">
        <f t="array" aca="1" ref="D1336" ca="1">[1]!s_dq_amount($B$1,$A1336)</f>
        <v>11382441</v>
      </c>
      <c r="E1336" cm="1">
        <f t="array" aca="1" ref="E1336" ca="1">[1]!s_dq_turn($B$1,$A1336)</f>
        <v>9.2335079767653899E-2</v>
      </c>
      <c r="F1336" cm="1">
        <f t="array" aca="1" ref="F1336" ca="1">[1]!s_val_pe_ttm($B$1,$A1336)</f>
        <v>-6.1767201423645002</v>
      </c>
    </row>
    <row r="1337" spans="1:6">
      <c r="A1337" s="23">
        <f t="shared" ca="1" si="20"/>
        <v>44838</v>
      </c>
      <c r="B1337" cm="1">
        <f t="array" aca="1" ref="B1337" ca="1">[1]!s_dq_close($B$1,$A1337,3)</f>
        <v>13.58</v>
      </c>
      <c r="C1337" cm="1">
        <f t="array" aca="1" ref="C1337" ca="1">[1]!s_dq_volume($B$1,$A1337)</f>
        <v>0</v>
      </c>
      <c r="D1337" cm="1">
        <f t="array" aca="1" ref="D1337" ca="1">[1]!s_dq_amount($B$1,$A1337)</f>
        <v>0</v>
      </c>
      <c r="E1337" cm="1">
        <f t="array" aca="1" ref="E1337" ca="1">[1]!s_dq_turn($B$1,$A1337)</f>
        <v>0</v>
      </c>
      <c r="F1337" cm="1">
        <f t="array" aca="1" ref="F1337" ca="1">[1]!s_val_pe_ttm($B$1,$A1337)</f>
        <v>-5.8657245635986301</v>
      </c>
    </row>
    <row r="1338" spans="1:6">
      <c r="A1338" s="23">
        <f t="shared" ca="1" si="20"/>
        <v>44837</v>
      </c>
      <c r="B1338" cm="1">
        <f t="array" aca="1" ref="B1338" ca="1">[1]!s_dq_close($B$1,$A1338,3)</f>
        <v>13.58</v>
      </c>
      <c r="C1338" cm="1">
        <f t="array" aca="1" ref="C1338" ca="1">[1]!s_dq_volume($B$1,$A1338)</f>
        <v>744116</v>
      </c>
      <c r="D1338" cm="1">
        <f t="array" aca="1" ref="D1338" ca="1">[1]!s_dq_amount($B$1,$A1338)</f>
        <v>10149940</v>
      </c>
      <c r="E1338" cm="1">
        <f t="array" aca="1" ref="E1338" ca="1">[1]!s_dq_turn($B$1,$A1338)</f>
        <v>8.6047319526942098E-2</v>
      </c>
      <c r="F1338" cm="1">
        <f t="array" aca="1" ref="F1338" ca="1">[1]!s_val_pe_ttm($B$1,$A1338)</f>
        <v>-5.8657245635986301</v>
      </c>
    </row>
    <row r="1339" spans="1:6">
      <c r="A1339" s="23">
        <f t="shared" ca="1" si="20"/>
        <v>44836</v>
      </c>
      <c r="B1339" cm="1">
        <f t="array" aca="1" ref="B1339" ca="1">[1]!s_dq_close($B$1,$A1339,3)</f>
        <v>13.22</v>
      </c>
      <c r="C1339" cm="1">
        <f t="array" aca="1" ref="C1339" ca="1">[1]!s_dq_volume($B$1,$A1339)</f>
        <v>0</v>
      </c>
      <c r="D1339" cm="1">
        <f t="array" aca="1" ref="D1339" ca="1">[1]!s_dq_amount($B$1,$A1339)</f>
        <v>0</v>
      </c>
      <c r="E1339" cm="1">
        <f t="array" aca="1" ref="E1339" ca="1">[1]!s_dq_turn($B$1,$A1339)</f>
        <v>0</v>
      </c>
      <c r="F1339" cm="1">
        <f t="array" aca="1" ref="F1339" ca="1">[1]!s_val_pe_ttm($B$1,$A1339)</f>
        <v>-5.7089061737060502</v>
      </c>
    </row>
    <row r="1340" spans="1:6">
      <c r="A1340" s="23">
        <f t="shared" ca="1" si="20"/>
        <v>44835</v>
      </c>
      <c r="B1340" cm="1">
        <f t="array" aca="1" ref="B1340" ca="1">[1]!s_dq_close($B$1,$A1340,3)</f>
        <v>13.22</v>
      </c>
      <c r="C1340" cm="1">
        <f t="array" aca="1" ref="C1340" ca="1">[1]!s_dq_volume($B$1,$A1340)</f>
        <v>0</v>
      </c>
      <c r="D1340" cm="1">
        <f t="array" aca="1" ref="D1340" ca="1">[1]!s_dq_amount($B$1,$A1340)</f>
        <v>0</v>
      </c>
      <c r="E1340" cm="1">
        <f t="array" aca="1" ref="E1340" ca="1">[1]!s_dq_turn($B$1,$A1340)</f>
        <v>0</v>
      </c>
      <c r="F1340" cm="1">
        <f t="array" aca="1" ref="F1340" ca="1">[1]!s_val_pe_ttm($B$1,$A1340)</f>
        <v>-5.7089061737060502</v>
      </c>
    </row>
    <row r="1341" spans="1:6">
      <c r="A1341" s="23">
        <f t="shared" ca="1" si="20"/>
        <v>44834</v>
      </c>
      <c r="B1341" cm="1">
        <f t="array" aca="1" ref="B1341" ca="1">[1]!s_dq_close($B$1,$A1341,3)</f>
        <v>13.22</v>
      </c>
      <c r="C1341" cm="1">
        <f t="array" aca="1" ref="C1341" ca="1">[1]!s_dq_volume($B$1,$A1341)</f>
        <v>827000</v>
      </c>
      <c r="D1341" cm="1">
        <f t="array" aca="1" ref="D1341" ca="1">[1]!s_dq_amount($B$1,$A1341)</f>
        <v>11050480</v>
      </c>
      <c r="E1341" cm="1">
        <f t="array" aca="1" ref="E1341" ca="1">[1]!s_dq_turn($B$1,$A1341)</f>
        <v>9.5631774143790899E-2</v>
      </c>
      <c r="F1341" cm="1">
        <f t="array" aca="1" ref="F1341" ca="1">[1]!s_val_pe_ttm($B$1,$A1341)</f>
        <v>-5.7089061737060502</v>
      </c>
    </row>
    <row r="1342" spans="1:6">
      <c r="A1342" s="23">
        <f t="shared" ca="1" si="20"/>
        <v>44833</v>
      </c>
      <c r="B1342" cm="1">
        <f t="array" aca="1" ref="B1342" ca="1">[1]!s_dq_close($B$1,$A1342,3)</f>
        <v>13.8</v>
      </c>
      <c r="C1342" cm="1">
        <f t="array" aca="1" ref="C1342" ca="1">[1]!s_dq_volume($B$1,$A1342)</f>
        <v>708000</v>
      </c>
      <c r="D1342" cm="1">
        <f t="array" aca="1" ref="D1342" ca="1">[1]!s_dq_amount($B$1,$A1342)</f>
        <v>9834370</v>
      </c>
      <c r="E1342" cm="1">
        <f t="array" aca="1" ref="E1342" ca="1">[1]!s_dq_turn($B$1,$A1342)</f>
        <v>8.1889913723423996E-2</v>
      </c>
      <c r="F1342" cm="1">
        <f t="array" aca="1" ref="F1342" ca="1">[1]!s_val_pe_ttm($B$1,$A1342)</f>
        <v>-5.95937252044678</v>
      </c>
    </row>
    <row r="1343" spans="1:6">
      <c r="A1343" s="23">
        <f t="shared" ca="1" si="20"/>
        <v>44832</v>
      </c>
      <c r="B1343" cm="1">
        <f t="array" aca="1" ref="B1343" ca="1">[1]!s_dq_close($B$1,$A1343,3)</f>
        <v>13.52</v>
      </c>
      <c r="C1343" cm="1">
        <f t="array" aca="1" ref="C1343" ca="1">[1]!s_dq_volume($B$1,$A1343)</f>
        <v>1157500</v>
      </c>
      <c r="D1343" cm="1">
        <f t="array" aca="1" ref="D1343" ca="1">[1]!s_dq_amount($B$1,$A1343)</f>
        <v>15784840</v>
      </c>
      <c r="E1343" cm="1">
        <f t="array" aca="1" ref="E1343" ca="1">[1]!s_dq_turn($B$1,$A1343)</f>
        <v>0.13388075584020201</v>
      </c>
      <c r="F1343" cm="1">
        <f t="array" aca="1" ref="F1343" ca="1">[1]!s_val_pe_ttm($B$1,$A1343)</f>
        <v>-5.8384575843811</v>
      </c>
    </row>
    <row r="1344" spans="1:6">
      <c r="A1344" s="23">
        <f t="shared" ca="1" si="20"/>
        <v>44831</v>
      </c>
      <c r="B1344" cm="1">
        <f t="array" aca="1" ref="B1344" ca="1">[1]!s_dq_close($B$1,$A1344,3)</f>
        <v>14.3</v>
      </c>
      <c r="C1344" cm="1">
        <f t="array" aca="1" ref="C1344" ca="1">[1]!s_dq_volume($B$1,$A1344)</f>
        <v>2082501</v>
      </c>
      <c r="D1344" cm="1">
        <f t="array" aca="1" ref="D1344" ca="1">[1]!s_dq_amount($B$1,$A1344)</f>
        <v>28780891</v>
      </c>
      <c r="E1344" cm="1">
        <f t="array" aca="1" ref="E1344" ca="1">[1]!s_dq_turn($B$1,$A1344)</f>
        <v>0.24086981245613601</v>
      </c>
      <c r="F1344" cm="1">
        <f t="array" aca="1" ref="F1344" ca="1">[1]!s_val_pe_ttm($B$1,$A1344)</f>
        <v>-6.17529201507568</v>
      </c>
    </row>
    <row r="1345" spans="1:6">
      <c r="A1345" s="23">
        <f t="shared" ca="1" si="20"/>
        <v>44830</v>
      </c>
      <c r="B1345" cm="1">
        <f t="array" aca="1" ref="B1345" ca="1">[1]!s_dq_close($B$1,$A1345,3)</f>
        <v>13.62</v>
      </c>
      <c r="C1345" cm="1">
        <f t="array" aca="1" ref="C1345" ca="1">[1]!s_dq_volume($B$1,$A1345)</f>
        <v>5372500</v>
      </c>
      <c r="D1345" cm="1">
        <f t="array" aca="1" ref="D1345" ca="1">[1]!s_dq_amount($B$1,$A1345)</f>
        <v>73659250</v>
      </c>
      <c r="E1345" cm="1">
        <f t="array" aca="1" ref="E1345" ca="1">[1]!s_dq_turn($B$1,$A1345)</f>
        <v>0.62140333542245096</v>
      </c>
      <c r="F1345" cm="1">
        <f t="array" aca="1" ref="F1345" ca="1">[1]!s_val_pe_ttm($B$1,$A1345)</f>
        <v>-5.8816413879394496</v>
      </c>
    </row>
    <row r="1346" spans="1:6">
      <c r="A1346" s="23">
        <f t="shared" ca="1" si="20"/>
        <v>44829</v>
      </c>
      <c r="B1346" cm="1">
        <f t="array" aca="1" ref="B1346" ca="1">[1]!s_dq_close($B$1,$A1346,3)</f>
        <v>13.8</v>
      </c>
      <c r="C1346" cm="1">
        <f t="array" aca="1" ref="C1346" ca="1">[1]!s_dq_volume($B$1,$A1346)</f>
        <v>0</v>
      </c>
      <c r="D1346" cm="1">
        <f t="array" aca="1" ref="D1346" ca="1">[1]!s_dq_amount($B$1,$A1346)</f>
        <v>0</v>
      </c>
      <c r="E1346" cm="1">
        <f t="array" aca="1" ref="E1346" ca="1">[1]!s_dq_turn($B$1,$A1346)</f>
        <v>0</v>
      </c>
      <c r="F1346" cm="1">
        <f t="array" aca="1" ref="F1346" ca="1">[1]!s_val_pe_ttm($B$1,$A1346)</f>
        <v>-5.95937252044678</v>
      </c>
    </row>
    <row r="1347" spans="1:6">
      <c r="A1347" s="23">
        <f t="shared" ca="1" si="20"/>
        <v>44828</v>
      </c>
      <c r="B1347" cm="1">
        <f t="array" aca="1" ref="B1347" ca="1">[1]!s_dq_close($B$1,$A1347,3)</f>
        <v>13.8</v>
      </c>
      <c r="C1347" cm="1">
        <f t="array" aca="1" ref="C1347" ca="1">[1]!s_dq_volume($B$1,$A1347)</f>
        <v>0</v>
      </c>
      <c r="D1347" cm="1">
        <f t="array" aca="1" ref="D1347" ca="1">[1]!s_dq_amount($B$1,$A1347)</f>
        <v>0</v>
      </c>
      <c r="E1347" cm="1">
        <f t="array" aca="1" ref="E1347" ca="1">[1]!s_dq_turn($B$1,$A1347)</f>
        <v>0</v>
      </c>
      <c r="F1347" cm="1">
        <f t="array" aca="1" ref="F1347" ca="1">[1]!s_val_pe_ttm($B$1,$A1347)</f>
        <v>-5.95937252044678</v>
      </c>
    </row>
    <row r="1348" spans="1:6">
      <c r="A1348" s="23">
        <f t="shared" ca="1" si="20"/>
        <v>44827</v>
      </c>
      <c r="B1348" cm="1">
        <f t="array" aca="1" ref="B1348" ca="1">[1]!s_dq_close($B$1,$A1348,3)</f>
        <v>13.8</v>
      </c>
      <c r="C1348" cm="1">
        <f t="array" aca="1" ref="C1348" ca="1">[1]!s_dq_volume($B$1,$A1348)</f>
        <v>3644421</v>
      </c>
      <c r="D1348" cm="1">
        <f t="array" aca="1" ref="D1348" ca="1">[1]!s_dq_amount($B$1,$A1348)</f>
        <v>51415580</v>
      </c>
      <c r="E1348" cm="1">
        <f t="array" aca="1" ref="E1348" ca="1">[1]!s_dq_turn($B$1,$A1348)</f>
        <v>0.42152728991784599</v>
      </c>
      <c r="F1348" cm="1">
        <f t="array" aca="1" ref="F1348" ca="1">[1]!s_val_pe_ttm($B$1,$A1348)</f>
        <v>-5.95937252044678</v>
      </c>
    </row>
    <row r="1349" spans="1:6">
      <c r="A1349" s="23">
        <f t="shared" ca="1" si="20"/>
        <v>44826</v>
      </c>
      <c r="B1349" cm="1">
        <f t="array" aca="1" ref="B1349" ca="1">[1]!s_dq_close($B$1,$A1349,3)</f>
        <v>15</v>
      </c>
      <c r="C1349" cm="1">
        <f t="array" aca="1" ref="C1349" ca="1">[1]!s_dq_volume($B$1,$A1349)</f>
        <v>2840500</v>
      </c>
      <c r="D1349" cm="1">
        <f t="array" aca="1" ref="D1349" ca="1">[1]!s_dq_amount($B$1,$A1349)</f>
        <v>42092640</v>
      </c>
      <c r="E1349" cm="1">
        <f t="array" aca="1" ref="E1349" ca="1">[1]!s_dq_turn($B$1,$A1349)</f>
        <v>0.32854279651325702</v>
      </c>
      <c r="F1349" cm="1">
        <f t="array" aca="1" ref="F1349" ca="1">[1]!s_val_pe_ttm($B$1,$A1349)</f>
        <v>-6.47757863998413</v>
      </c>
    </row>
    <row r="1350" spans="1:6">
      <c r="A1350" s="23">
        <f t="shared" ca="1" si="20"/>
        <v>44825</v>
      </c>
      <c r="B1350" cm="1">
        <f t="array" aca="1" ref="B1350" ca="1">[1]!s_dq_close($B$1,$A1350,3)</f>
        <v>16.2</v>
      </c>
      <c r="C1350" cm="1">
        <f t="array" aca="1" ref="C1350" ca="1">[1]!s_dq_volume($B$1,$A1350)</f>
        <v>1724000</v>
      </c>
      <c r="D1350" cm="1">
        <f t="array" aca="1" ref="D1350" ca="1">[1]!s_dq_amount($B$1,$A1350)</f>
        <v>28165300</v>
      </c>
      <c r="E1350" cm="1">
        <f t="array" aca="1" ref="E1350" ca="1">[1]!s_dq_turn($B$1,$A1350)</f>
        <v>0.19940425319093599</v>
      </c>
      <c r="F1350" cm="1">
        <f t="array" aca="1" ref="F1350" ca="1">[1]!s_val_pe_ttm($B$1,$A1350)</f>
        <v>-6.9957852363586399</v>
      </c>
    </row>
    <row r="1351" spans="1:6">
      <c r="A1351" s="23">
        <f t="shared" ca="1" si="20"/>
        <v>44824</v>
      </c>
      <c r="B1351" cm="1">
        <f t="array" aca="1" ref="B1351" ca="1">[1]!s_dq_close($B$1,$A1351,3)</f>
        <v>17</v>
      </c>
      <c r="C1351" cm="1">
        <f t="array" aca="1" ref="C1351" ca="1">[1]!s_dq_volume($B$1,$A1351)</f>
        <v>1654100</v>
      </c>
      <c r="D1351" cm="1">
        <f t="array" aca="1" ref="D1351" ca="1">[1]!s_dq_amount($B$1,$A1351)</f>
        <v>28278478</v>
      </c>
      <c r="E1351" cm="1">
        <f t="array" aca="1" ref="E1351" ca="1">[1]!s_dq_turn($B$1,$A1351)</f>
        <v>0.19131935916654799</v>
      </c>
      <c r="F1351" cm="1">
        <f t="array" aca="1" ref="F1351" ca="1">[1]!s_val_pe_ttm($B$1,$A1351)</f>
        <v>-7.3412561416626003</v>
      </c>
    </row>
    <row r="1352" spans="1:6">
      <c r="A1352" s="23">
        <f t="shared" ca="1" si="20"/>
        <v>44823</v>
      </c>
      <c r="B1352" cm="1">
        <f t="array" aca="1" ref="B1352" ca="1">[1]!s_dq_close($B$1,$A1352,3)</f>
        <v>18.3</v>
      </c>
      <c r="C1352" cm="1">
        <f t="array" aca="1" ref="C1352" ca="1">[1]!s_dq_volume($B$1,$A1352)</f>
        <v>878600</v>
      </c>
      <c r="D1352" cm="1">
        <f t="array" aca="1" ref="D1352" ca="1">[1]!s_dq_amount($B$1,$A1352)</f>
        <v>16028468</v>
      </c>
      <c r="E1352" cm="1">
        <f t="array" aca="1" ref="E1352" ca="1">[1]!s_dq_turn($B$1,$A1352)</f>
        <v>0.101622144346611</v>
      </c>
      <c r="F1352" cm="1">
        <f t="array" aca="1" ref="F1352" ca="1">[1]!s_val_pe_ttm($B$1,$A1352)</f>
        <v>-7.9026460647582999</v>
      </c>
    </row>
    <row r="1353" spans="1:6">
      <c r="A1353" s="23">
        <f t="shared" ca="1" si="20"/>
        <v>44822</v>
      </c>
      <c r="B1353" cm="1">
        <f t="array" aca="1" ref="B1353" ca="1">[1]!s_dq_close($B$1,$A1353,3)</f>
        <v>18.7</v>
      </c>
      <c r="C1353" cm="1">
        <f t="array" aca="1" ref="C1353" ca="1">[1]!s_dq_volume($B$1,$A1353)</f>
        <v>0</v>
      </c>
      <c r="D1353" cm="1">
        <f t="array" aca="1" ref="D1353" ca="1">[1]!s_dq_amount($B$1,$A1353)</f>
        <v>0</v>
      </c>
      <c r="E1353" cm="1">
        <f t="array" aca="1" ref="E1353" ca="1">[1]!s_dq_turn($B$1,$A1353)</f>
        <v>0</v>
      </c>
      <c r="F1353" cm="1">
        <f t="array" aca="1" ref="F1353" ca="1">[1]!s_val_pe_ttm($B$1,$A1353)</f>
        <v>-8.0753812789916992</v>
      </c>
    </row>
    <row r="1354" spans="1:6">
      <c r="A1354" s="23">
        <f t="shared" ca="1" si="20"/>
        <v>44821</v>
      </c>
      <c r="B1354" cm="1">
        <f t="array" aca="1" ref="B1354" ca="1">[1]!s_dq_close($B$1,$A1354,3)</f>
        <v>18.7</v>
      </c>
      <c r="C1354" cm="1">
        <f t="array" aca="1" ref="C1354" ca="1">[1]!s_dq_volume($B$1,$A1354)</f>
        <v>0</v>
      </c>
      <c r="D1354" cm="1">
        <f t="array" aca="1" ref="D1354" ca="1">[1]!s_dq_amount($B$1,$A1354)</f>
        <v>0</v>
      </c>
      <c r="E1354" cm="1">
        <f t="array" aca="1" ref="E1354" ca="1">[1]!s_dq_turn($B$1,$A1354)</f>
        <v>0</v>
      </c>
      <c r="F1354" cm="1">
        <f t="array" aca="1" ref="F1354" ca="1">[1]!s_val_pe_ttm($B$1,$A1354)</f>
        <v>-8.0753812789916992</v>
      </c>
    </row>
    <row r="1355" spans="1:6">
      <c r="A1355" s="23">
        <f t="shared" ca="1" si="20"/>
        <v>44820</v>
      </c>
      <c r="B1355" cm="1">
        <f t="array" aca="1" ref="B1355" ca="1">[1]!s_dq_close($B$1,$A1355,3)</f>
        <v>18.7</v>
      </c>
      <c r="C1355" cm="1">
        <f t="array" aca="1" ref="C1355" ca="1">[1]!s_dq_volume($B$1,$A1355)</f>
        <v>861210</v>
      </c>
      <c r="D1355" cm="1">
        <f t="array" aca="1" ref="D1355" ca="1">[1]!s_dq_amount($B$1,$A1355)</f>
        <v>16165909</v>
      </c>
      <c r="E1355" cm="1">
        <f t="array" aca="1" ref="E1355" ca="1">[1]!s_dq_turn($B$1,$A1355)</f>
        <v>9.9610752256709095E-2</v>
      </c>
      <c r="F1355" cm="1">
        <f t="array" aca="1" ref="F1355" ca="1">[1]!s_val_pe_ttm($B$1,$A1355)</f>
        <v>-8.0753812789916992</v>
      </c>
    </row>
    <row r="1356" spans="1:6">
      <c r="A1356" s="23">
        <f t="shared" ca="1" si="20"/>
        <v>44819</v>
      </c>
      <c r="B1356" cm="1">
        <f t="array" aca="1" ref="B1356" ca="1">[1]!s_dq_close($B$1,$A1356,3)</f>
        <v>19.440000000000001</v>
      </c>
      <c r="C1356" cm="1">
        <f t="array" aca="1" ref="C1356" ca="1">[1]!s_dq_volume($B$1,$A1356)</f>
        <v>1721500</v>
      </c>
      <c r="D1356" cm="1">
        <f t="array" aca="1" ref="D1356" ca="1">[1]!s_dq_amount($B$1,$A1356)</f>
        <v>33572015</v>
      </c>
      <c r="E1356" cm="1">
        <f t="array" aca="1" ref="E1356" ca="1">[1]!s_dq_turn($B$1,$A1356)</f>
        <v>0.19911509389106599</v>
      </c>
      <c r="F1356" cm="1">
        <f t="array" aca="1" ref="F1356" ca="1">[1]!s_val_pe_ttm($B$1,$A1356)</f>
        <v>-8.3949422836303693</v>
      </c>
    </row>
    <row r="1357" spans="1:6">
      <c r="A1357" s="23">
        <f t="shared" ref="A1357:A1364" ca="1" si="21">A1356-1</f>
        <v>44818</v>
      </c>
      <c r="B1357" cm="1">
        <f t="array" aca="1" ref="B1357" ca="1">[1]!s_dq_close($B$1,$A1357,3)</f>
        <v>19.66</v>
      </c>
      <c r="C1357" cm="1">
        <f t="array" aca="1" ref="C1357" ca="1">[1]!s_dq_volume($B$1,$A1357)</f>
        <v>1071822</v>
      </c>
      <c r="D1357" cm="1">
        <f t="array" aca="1" ref="D1357" ca="1">[1]!s_dq_amount($B$1,$A1357)</f>
        <v>21031212</v>
      </c>
      <c r="E1357" cm="1">
        <f t="array" aca="1" ref="E1357" ca="1">[1]!s_dq_turn($B$1,$A1357)</f>
        <v>0.12397091964246899</v>
      </c>
      <c r="F1357" cm="1">
        <f t="array" aca="1" ref="F1357" ca="1">[1]!s_val_pe_ttm($B$1,$A1357)</f>
        <v>-8.4899463653564506</v>
      </c>
    </row>
    <row r="1358" spans="1:6">
      <c r="A1358" s="23">
        <f t="shared" ca="1" si="21"/>
        <v>44817</v>
      </c>
      <c r="B1358" cm="1">
        <f t="array" aca="1" ref="B1358" ca="1">[1]!s_dq_close($B$1,$A1358,3)</f>
        <v>20.5</v>
      </c>
      <c r="C1358" cm="1">
        <f t="array" aca="1" ref="C1358" ca="1">[1]!s_dq_volume($B$1,$A1358)</f>
        <v>1343000</v>
      </c>
      <c r="D1358" cm="1">
        <f t="array" aca="1" ref="D1358" ca="1">[1]!s_dq_amount($B$1,$A1358)</f>
        <v>28082562</v>
      </c>
      <c r="E1358" cm="1">
        <f t="array" aca="1" ref="E1358" ca="1">[1]!s_dq_turn($B$1,$A1358)</f>
        <v>0.15533637589061899</v>
      </c>
      <c r="F1358" cm="1">
        <f t="array" aca="1" ref="F1358" ca="1">[1]!s_val_pe_ttm($B$1,$A1358)</f>
        <v>-8.8526906967163104</v>
      </c>
    </row>
    <row r="1359" spans="1:6">
      <c r="A1359" s="23">
        <f t="shared" ca="1" si="21"/>
        <v>44816</v>
      </c>
      <c r="B1359" cm="1">
        <f t="array" aca="1" ref="B1359" ca="1">[1]!s_dq_close($B$1,$A1359,3)</f>
        <v>20.399999999999999</v>
      </c>
      <c r="C1359" cm="1">
        <f t="array" aca="1" ref="C1359" ca="1">[1]!s_dq_volume($B$1,$A1359)</f>
        <v>0</v>
      </c>
      <c r="D1359" cm="1">
        <f t="array" aca="1" ref="D1359" ca="1">[1]!s_dq_amount($B$1,$A1359)</f>
        <v>0</v>
      </c>
      <c r="E1359" cm="1">
        <f t="array" aca="1" ref="E1359" ca="1">[1]!s_dq_turn($B$1,$A1359)</f>
        <v>0</v>
      </c>
      <c r="F1359" cm="1">
        <f t="array" aca="1" ref="F1359" ca="1">[1]!s_val_pe_ttm($B$1,$A1359)</f>
        <v>-8.8095073699951207</v>
      </c>
    </row>
    <row r="1360" spans="1:6">
      <c r="A1360" s="23">
        <f t="shared" ca="1" si="21"/>
        <v>44815</v>
      </c>
      <c r="B1360" cm="1">
        <f t="array" aca="1" ref="B1360" ca="1">[1]!s_dq_close($B$1,$A1360,3)</f>
        <v>20.399999999999999</v>
      </c>
      <c r="C1360" cm="1">
        <f t="array" aca="1" ref="C1360" ca="1">[1]!s_dq_volume($B$1,$A1360)</f>
        <v>0</v>
      </c>
      <c r="D1360" cm="1">
        <f t="array" aca="1" ref="D1360" ca="1">[1]!s_dq_amount($B$1,$A1360)</f>
        <v>0</v>
      </c>
      <c r="E1360" cm="1">
        <f t="array" aca="1" ref="E1360" ca="1">[1]!s_dq_turn($B$1,$A1360)</f>
        <v>0</v>
      </c>
      <c r="F1360" cm="1">
        <f t="array" aca="1" ref="F1360" ca="1">[1]!s_val_pe_ttm($B$1,$A1360)</f>
        <v>-8.8095073699951207</v>
      </c>
    </row>
    <row r="1361" spans="1:6">
      <c r="A1361" s="23">
        <f t="shared" ca="1" si="21"/>
        <v>44814</v>
      </c>
      <c r="B1361" cm="1">
        <f t="array" aca="1" ref="B1361" ca="1">[1]!s_dq_close($B$1,$A1361,3)</f>
        <v>20.399999999999999</v>
      </c>
      <c r="C1361" cm="1">
        <f t="array" aca="1" ref="C1361" ca="1">[1]!s_dq_volume($B$1,$A1361)</f>
        <v>0</v>
      </c>
      <c r="D1361" cm="1">
        <f t="array" aca="1" ref="D1361" ca="1">[1]!s_dq_amount($B$1,$A1361)</f>
        <v>0</v>
      </c>
      <c r="E1361" cm="1">
        <f t="array" aca="1" ref="E1361" ca="1">[1]!s_dq_turn($B$1,$A1361)</f>
        <v>0</v>
      </c>
      <c r="F1361" cm="1">
        <f t="array" aca="1" ref="F1361" ca="1">[1]!s_val_pe_ttm($B$1,$A1361)</f>
        <v>-8.8095073699951207</v>
      </c>
    </row>
    <row r="1362" spans="1:6">
      <c r="A1362" s="23">
        <f t="shared" ca="1" si="21"/>
        <v>44813</v>
      </c>
      <c r="B1362" cm="1">
        <f t="array" aca="1" ref="B1362" ca="1">[1]!s_dq_close($B$1,$A1362,3)</f>
        <v>20.399999999999999</v>
      </c>
      <c r="C1362" cm="1">
        <f t="array" aca="1" ref="C1362" ca="1">[1]!s_dq_volume($B$1,$A1362)</f>
        <v>2494934</v>
      </c>
      <c r="D1362" cm="1">
        <f t="array" aca="1" ref="D1362" ca="1">[1]!s_dq_amount($B$1,$A1362)</f>
        <v>50512125</v>
      </c>
      <c r="E1362" cm="1">
        <f t="array" aca="1" ref="E1362" ca="1">[1]!s_dq_turn($B$1,$A1362)</f>
        <v>0.28857334746558899</v>
      </c>
      <c r="F1362" cm="1">
        <f t="array" aca="1" ref="F1362" ca="1">[1]!s_val_pe_ttm($B$1,$A1362)</f>
        <v>-8.8095073699951207</v>
      </c>
    </row>
    <row r="1363" spans="1:6">
      <c r="A1363" s="23">
        <f t="shared" ca="1" si="21"/>
        <v>44812</v>
      </c>
      <c r="B1363" cm="1">
        <f t="array" aca="1" ref="B1363" ca="1">[1]!s_dq_close($B$1,$A1363,3)</f>
        <v>19.52</v>
      </c>
      <c r="C1363" cm="1">
        <f t="array" aca="1" ref="C1363" ca="1">[1]!s_dq_volume($B$1,$A1363)</f>
        <v>1293500</v>
      </c>
      <c r="D1363" cm="1">
        <f t="array" aca="1" ref="D1363" ca="1">[1]!s_dq_amount($B$1,$A1363)</f>
        <v>25150870</v>
      </c>
      <c r="E1363" cm="1">
        <f t="array" aca="1" ref="E1363" ca="1">[1]!s_dq_turn($B$1,$A1363)</f>
        <v>0.149611021753177</v>
      </c>
      <c r="F1363" cm="1">
        <f t="array" aca="1" ref="F1363" ca="1">[1]!s_val_pe_ttm($B$1,$A1363)</f>
        <v>-8.4294891357421893</v>
      </c>
    </row>
    <row r="1364" spans="1:6">
      <c r="A1364" s="23">
        <f t="shared" ca="1" si="21"/>
        <v>44811</v>
      </c>
      <c r="B1364" cm="1">
        <f t="array" aca="1" ref="B1364" ca="1">[1]!s_dq_close($B$1,$A1364,3)</f>
        <v>19.02</v>
      </c>
      <c r="C1364" cm="1">
        <f t="array" aca="1" ref="C1364" ca="1">[1]!s_dq_volume($B$1,$A1364)</f>
        <v>512000</v>
      </c>
      <c r="D1364" cm="1">
        <f t="array" aca="1" ref="D1364" ca="1">[1]!s_dq_amount($B$1,$A1364)</f>
        <v>9759410</v>
      </c>
      <c r="E1364" cm="1">
        <f t="array" aca="1" ref="E1364" ca="1">[1]!s_dq_turn($B$1,$A1364)</f>
        <v>5.9219824613549597E-2</v>
      </c>
      <c r="F1364" cm="1">
        <f t="array" aca="1" ref="F1364" ca="1">[1]!s_val_pe_ttm($B$1,$A1364)</f>
        <v>-8.2135696411132795</v>
      </c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6D69D-12FE-944A-94EE-9923DAC1DE03}">
  <dimension ref="A1:F34"/>
  <sheetViews>
    <sheetView topLeftCell="A17" workbookViewId="0">
      <selection activeCell="E6" sqref="E6"/>
    </sheetView>
  </sheetViews>
  <sheetFormatPr baseColWidth="10" defaultRowHeight="14"/>
  <cols>
    <col min="2" max="2" width="16" customWidth="1"/>
    <col min="3" max="3" width="21.33203125" customWidth="1"/>
    <col min="4" max="4" width="14" customWidth="1"/>
    <col min="5" max="5" width="19.5" customWidth="1"/>
  </cols>
  <sheetData>
    <row r="1" spans="1:6" ht="15">
      <c r="A1" t="str">
        <f>[1]!S_INFO_NAME($B$1)</f>
        <v>和黄医药</v>
      </c>
      <c r="B1" s="24" t="s">
        <v>11</v>
      </c>
      <c r="C1" t="s">
        <v>10</v>
      </c>
      <c r="D1" s="23">
        <f ca="1">TODAY()</f>
        <v>46164</v>
      </c>
    </row>
    <row r="2" spans="1:6">
      <c r="D2" s="23">
        <f ca="1">D1-1</f>
        <v>46163</v>
      </c>
    </row>
    <row r="3" spans="1:6">
      <c r="A3" s="29" t="s">
        <v>233</v>
      </c>
      <c r="B3" s="29" t="s">
        <v>234</v>
      </c>
      <c r="C3" t="s">
        <v>235</v>
      </c>
      <c r="D3" s="23">
        <f t="shared" ref="D3:D34" ca="1" si="0">D2-1</f>
        <v>46162</v>
      </c>
      <c r="E3" s="29" t="s">
        <v>236</v>
      </c>
      <c r="F3" s="29" t="s">
        <v>237</v>
      </c>
    </row>
    <row r="4" spans="1:6">
      <c r="A4" t="str">
        <f>[1]!S_INFO_NAME($B$1)</f>
        <v>和黄医药</v>
      </c>
      <c r="B4" t="str">
        <f ca="1">[1]!hks_info_industry_sw_2021(B1,D1,1)</f>
        <v>医药生物</v>
      </c>
      <c r="C4" t="str">
        <f ca="1">[1]!hks_info_industry_sw_2021(B1,D1,2)</f>
        <v>化学制药</v>
      </c>
      <c r="D4" s="23">
        <f t="shared" ca="1" si="0"/>
        <v>46161</v>
      </c>
      <c r="E4">
        <f ca="1">[1]!S_VAL_MV($B$1,D1,100000000)</f>
        <v>164.609637144</v>
      </c>
      <c r="F4" t="str">
        <f>[1]!s_ipo_listeddate(B1)</f>
        <v>2021-06-30</v>
      </c>
    </row>
    <row r="5" spans="1:6">
      <c r="D5" s="23">
        <f t="shared" ca="1" si="0"/>
        <v>46160</v>
      </c>
      <c r="E5">
        <f ca="1">[1]!S_VAL_MV($B$1,D2,100000000)</f>
        <v>164.609637144</v>
      </c>
    </row>
    <row r="6" spans="1:6">
      <c r="D6" s="23">
        <f t="shared" ca="1" si="0"/>
        <v>46159</v>
      </c>
      <c r="E6">
        <f ca="1">[1]!S_VAL_MV($B$1,D3,100000000)</f>
        <v>164.173469584</v>
      </c>
    </row>
    <row r="7" spans="1:6">
      <c r="D7" s="23">
        <f t="shared" ca="1" si="0"/>
        <v>46158</v>
      </c>
      <c r="E7">
        <f ca="1">[1]!S_VAL_MV($B$1,D4,100000000)</f>
        <v>165.74367280000001</v>
      </c>
    </row>
    <row r="8" spans="1:6">
      <c r="D8" s="23">
        <f t="shared" ca="1" si="0"/>
        <v>46157</v>
      </c>
      <c r="E8">
        <f ca="1">[1]!S_VAL_MV($B$1,D5,100000000)</f>
        <v>166.87770845599999</v>
      </c>
    </row>
    <row r="9" spans="1:6">
      <c r="D9" s="23">
        <f t="shared" ca="1" si="0"/>
        <v>46156</v>
      </c>
      <c r="E9">
        <f ca="1">[1]!S_VAL_MV($B$1,D6,100000000)</f>
        <v>173.507455368</v>
      </c>
    </row>
    <row r="10" spans="1:6">
      <c r="D10" s="23">
        <f t="shared" ca="1" si="0"/>
        <v>46155</v>
      </c>
      <c r="E10">
        <f ca="1">[1]!S_VAL_MV($B$1,D7,100000000)</f>
        <v>173.507455368</v>
      </c>
    </row>
    <row r="11" spans="1:6">
      <c r="D11" s="23">
        <f t="shared" ca="1" si="0"/>
        <v>46154</v>
      </c>
      <c r="E11">
        <f ca="1">[1]!S_VAL_MV($B$1,D8,100000000)</f>
        <v>173.507455368</v>
      </c>
    </row>
    <row r="12" spans="1:6">
      <c r="D12" s="23">
        <f t="shared" ca="1" si="0"/>
        <v>46153</v>
      </c>
      <c r="E12">
        <f ca="1">[1]!S_VAL_MV($B$1,D9,100000000)</f>
        <v>173.85638941599998</v>
      </c>
    </row>
    <row r="13" spans="1:6">
      <c r="D13" s="23">
        <f t="shared" ca="1" si="0"/>
        <v>46152</v>
      </c>
      <c r="E13">
        <f ca="1">[1]!S_VAL_MV($B$1,D10,100000000)</f>
        <v>173.07128780799999</v>
      </c>
    </row>
    <row r="14" spans="1:6">
      <c r="D14" s="23">
        <f t="shared" ca="1" si="0"/>
        <v>46151</v>
      </c>
      <c r="E14">
        <f ca="1">[1]!S_VAL_MV($B$1,D11,100000000)</f>
        <v>175.33935912000001</v>
      </c>
    </row>
    <row r="15" spans="1:6">
      <c r="D15" s="23">
        <f t="shared" ca="1" si="0"/>
        <v>46150</v>
      </c>
      <c r="E15">
        <f ca="1">[1]!S_VAL_MV($B$1,D12,100000000)</f>
        <v>177.25849638400001</v>
      </c>
    </row>
    <row r="16" spans="1:6">
      <c r="D16" s="23">
        <f t="shared" ca="1" si="0"/>
        <v>46149</v>
      </c>
      <c r="E16">
        <f ca="1">[1]!S_VAL_MV($B$1,D13,100000000)</f>
        <v>183.19037520000001</v>
      </c>
    </row>
    <row r="17" spans="4:5">
      <c r="D17" s="23">
        <f t="shared" ca="1" si="0"/>
        <v>46148</v>
      </c>
      <c r="E17">
        <f ca="1">[1]!S_VAL_MV($B$1,D14,100000000)</f>
        <v>183.19037520000001</v>
      </c>
    </row>
    <row r="18" spans="4:5">
      <c r="D18" s="23">
        <f t="shared" ca="1" si="0"/>
        <v>46147</v>
      </c>
      <c r="E18">
        <f ca="1">[1]!S_VAL_MV($B$1,D15,100000000)</f>
        <v>183.19037520000001</v>
      </c>
    </row>
    <row r="19" spans="4:5">
      <c r="D19" s="23">
        <f t="shared" ca="1" si="0"/>
        <v>46146</v>
      </c>
      <c r="E19">
        <f ca="1">[1]!S_VAL_MV($B$1,D16,100000000)</f>
        <v>185.45844651199999</v>
      </c>
    </row>
    <row r="20" spans="4:5">
      <c r="D20" s="23">
        <f t="shared" ca="1" si="0"/>
        <v>46145</v>
      </c>
      <c r="E20">
        <f ca="1">[1]!S_VAL_MV($B$1,D17,100000000)</f>
        <v>181.27123793599998</v>
      </c>
    </row>
    <row r="21" spans="4:5">
      <c r="D21" s="23">
        <f t="shared" ca="1" si="0"/>
        <v>46144</v>
      </c>
      <c r="E21">
        <f ca="1">[1]!S_VAL_MV($B$1,D18,100000000)</f>
        <v>181.27123793599998</v>
      </c>
    </row>
    <row r="22" spans="4:5">
      <c r="D22" s="23">
        <f t="shared" ca="1" si="0"/>
        <v>46143</v>
      </c>
      <c r="E22">
        <f ca="1">[1]!S_VAL_MV($B$1,D19,100000000)</f>
        <v>183.539309248</v>
      </c>
    </row>
    <row r="23" spans="4:5">
      <c r="D23" s="23">
        <f t="shared" ca="1" si="0"/>
        <v>46142</v>
      </c>
      <c r="E23">
        <f ca="1">[1]!S_VAL_MV($B$1,D20,100000000)</f>
        <v>184.411644368</v>
      </c>
    </row>
    <row r="24" spans="4:5">
      <c r="D24" s="23">
        <f t="shared" ca="1" si="0"/>
        <v>46141</v>
      </c>
      <c r="E24">
        <f ca="1">[1]!S_VAL_MV($B$1,D21,100000000)</f>
        <v>184.411644368</v>
      </c>
    </row>
    <row r="25" spans="4:5">
      <c r="D25" s="23">
        <f t="shared" ca="1" si="0"/>
        <v>46140</v>
      </c>
      <c r="E25">
        <f ca="1">[1]!S_VAL_MV($B$1,D22,100000000)</f>
        <v>184.411644368</v>
      </c>
    </row>
    <row r="26" spans="4:5">
      <c r="D26" s="23">
        <f t="shared" ca="1" si="0"/>
        <v>46139</v>
      </c>
      <c r="E26">
        <f ca="1">[1]!S_VAL_MV($B$1,D23,100000000)</f>
        <v>184.411644368</v>
      </c>
    </row>
    <row r="27" spans="4:5">
      <c r="D27" s="23">
        <f t="shared" ca="1" si="0"/>
        <v>46138</v>
      </c>
      <c r="E27">
        <f ca="1">[1]!S_VAL_MV($B$1,D24,100000000)</f>
        <v>185.80578306000001</v>
      </c>
    </row>
    <row r="28" spans="4:5">
      <c r="D28" s="23">
        <f t="shared" ca="1" si="0"/>
        <v>46137</v>
      </c>
      <c r="E28">
        <f ca="1">[1]!S_VAL_MV($B$1,D25,100000000)</f>
        <v>184.93345543999999</v>
      </c>
    </row>
    <row r="29" spans="4:5">
      <c r="D29" s="23">
        <f t="shared" ca="1" si="0"/>
        <v>46136</v>
      </c>
      <c r="E29">
        <f ca="1">[1]!S_VAL_MV($B$1,D26,100000000)</f>
        <v>185.63131753599998</v>
      </c>
    </row>
    <row r="30" spans="4:5">
      <c r="D30" s="23">
        <f t="shared" ca="1" si="0"/>
        <v>46135</v>
      </c>
      <c r="E30">
        <f ca="1">[1]!S_VAL_MV($B$1,D27,100000000)</f>
        <v>190.865283256</v>
      </c>
    </row>
    <row r="31" spans="4:5">
      <c r="D31" s="23">
        <f t="shared" ca="1" si="0"/>
        <v>46134</v>
      </c>
      <c r="E31">
        <f ca="1">[1]!S_VAL_MV($B$1,D28,100000000)</f>
        <v>190.865283256</v>
      </c>
    </row>
    <row r="32" spans="4:5">
      <c r="D32" s="23">
        <f t="shared" ca="1" si="0"/>
        <v>46133</v>
      </c>
      <c r="E32">
        <f ca="1">[1]!S_VAL_MV($B$1,D29,100000000)</f>
        <v>190.865283256</v>
      </c>
    </row>
    <row r="33" spans="4:5">
      <c r="D33" s="23">
        <f t="shared" ca="1" si="0"/>
        <v>46132</v>
      </c>
      <c r="E33">
        <f ca="1">[1]!S_VAL_MV($B$1,D30,100000000)</f>
        <v>191.21421430400002</v>
      </c>
    </row>
    <row r="34" spans="4:5">
      <c r="D34" s="23">
        <f t="shared" ca="1" si="0"/>
        <v>46131</v>
      </c>
      <c r="E34">
        <f ca="1">[1]!S_VAL_MV($B$1,D31,100000000)</f>
        <v>198.36730078799999</v>
      </c>
    </row>
  </sheetData>
  <phoneticPr fontId="7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B2693-FFFF-D34D-92E7-CBB8666F53C0}">
  <dimension ref="A1:C1443"/>
  <sheetViews>
    <sheetView tabSelected="1" workbookViewId="0">
      <selection activeCell="C12" sqref="C12:C13"/>
    </sheetView>
  </sheetViews>
  <sheetFormatPr baseColWidth="10" defaultRowHeight="14"/>
  <cols>
    <col min="2" max="2" width="42" customWidth="1"/>
  </cols>
  <sheetData>
    <row r="1" spans="1:3">
      <c r="A1" s="29" t="s">
        <v>18</v>
      </c>
      <c r="B1" s="29" t="s">
        <v>19</v>
      </c>
      <c r="C1" s="29" t="s">
        <v>20</v>
      </c>
    </row>
    <row r="2" spans="1:3">
      <c r="A2" s="23">
        <f ca="1">TODAY()-IF(WEEKDAY(TODAY(),2)=6,1,IF(WEEKDAY(TODAY(),2)=7,2,0))</f>
        <v>46164</v>
      </c>
      <c r="B2" cm="1">
        <f t="array" aca="1" ref="B2" ca="1">[1]!s_dq_close("HSTECH.HI",$A2,3)</f>
        <v>4768.8999999999996</v>
      </c>
      <c r="C2" cm="1">
        <f t="array" aca="1" ref="C2" ca="1">[1]!s_dq_close("HSI.HI",$A2,3)</f>
        <v>25386.52</v>
      </c>
    </row>
    <row r="3" spans="1:3">
      <c r="A3" s="23">
        <f ca="1">A2-1</f>
        <v>46163</v>
      </c>
      <c r="B3" cm="1">
        <f t="array" aca="1" ref="B3" ca="1">[1]!s_dq_close("HSTECH.HI",$A3,3)</f>
        <v>4768.8999999999996</v>
      </c>
      <c r="C3" cm="1">
        <f t="array" aca="1" ref="C3" ca="1">[1]!s_dq_close("HSI.HI",$A3,3)</f>
        <v>25386.52</v>
      </c>
    </row>
    <row r="4" spans="1:3">
      <c r="A4" s="23">
        <f t="shared" ref="A4:A67" ca="1" si="0">A3-1</f>
        <v>46162</v>
      </c>
      <c r="B4" cm="1">
        <f t="array" aca="1" ref="B4" ca="1">[1]!s_dq_close("HSTECH.HI",$A4,3)</f>
        <v>4873.82</v>
      </c>
      <c r="C4" cm="1">
        <f t="array" aca="1" ref="C4" ca="1">[1]!s_dq_close("HSI.HI",$A4,3)</f>
        <v>25651.119999999999</v>
      </c>
    </row>
    <row r="5" spans="1:3">
      <c r="A5" s="23">
        <f t="shared" ca="1" si="0"/>
        <v>46161</v>
      </c>
      <c r="B5" cm="1">
        <f t="array" aca="1" ref="B5" ca="1">[1]!s_dq_close("HSTECH.HI",$A5,3)</f>
        <v>4857.46</v>
      </c>
      <c r="C5" cm="1">
        <f t="array" aca="1" ref="C5" ca="1">[1]!s_dq_close("HSI.HI",$A5,3)</f>
        <v>25797.85</v>
      </c>
    </row>
    <row r="6" spans="1:3">
      <c r="A6" s="23">
        <f t="shared" ca="1" si="0"/>
        <v>46160</v>
      </c>
      <c r="B6" cm="1">
        <f t="array" aca="1" ref="B6" ca="1">[1]!s_dq_close("HSTECH.HI",$A6,3)</f>
        <v>4844.9399999999996</v>
      </c>
      <c r="C6" cm="1">
        <f t="array" aca="1" ref="C6" ca="1">[1]!s_dq_close("HSI.HI",$A6,3)</f>
        <v>25675.18</v>
      </c>
    </row>
    <row r="7" spans="1:3">
      <c r="A7" s="23">
        <f t="shared" ca="1" si="0"/>
        <v>46159</v>
      </c>
      <c r="B7" cm="1">
        <f t="array" aca="1" ref="B7" ca="1">[1]!s_dq_close("HSTECH.HI",$A7,3)</f>
        <v>4941.1400000000003</v>
      </c>
      <c r="C7" cm="1">
        <f t="array" aca="1" ref="C7" ca="1">[1]!s_dq_close("HSI.HI",$A7,3)</f>
        <v>25962.73</v>
      </c>
    </row>
    <row r="8" spans="1:3">
      <c r="A8" s="23">
        <f t="shared" ca="1" si="0"/>
        <v>46158</v>
      </c>
      <c r="B8" cm="1">
        <f t="array" aca="1" ref="B8" ca="1">[1]!s_dq_close("HSTECH.HI",$A8,3)</f>
        <v>4941.1400000000003</v>
      </c>
      <c r="C8" cm="1">
        <f t="array" aca="1" ref="C8" ca="1">[1]!s_dq_close("HSI.HI",$A8,3)</f>
        <v>25962.73</v>
      </c>
    </row>
    <row r="9" spans="1:3">
      <c r="A9" s="23">
        <f t="shared" ca="1" si="0"/>
        <v>46157</v>
      </c>
      <c r="B9" cm="1">
        <f t="array" aca="1" ref="B9" ca="1">[1]!s_dq_close("HSTECH.HI",$A9,3)</f>
        <v>4941.1400000000003</v>
      </c>
      <c r="C9" cm="1">
        <f t="array" aca="1" ref="C9" ca="1">[1]!s_dq_close("HSI.HI",$A9,3)</f>
        <v>25962.73</v>
      </c>
    </row>
    <row r="10" spans="1:3">
      <c r="A10" s="23">
        <f t="shared" ca="1" si="0"/>
        <v>46156</v>
      </c>
      <c r="B10" cm="1">
        <f t="array" aca="1" ref="B10" ca="1">[1]!s_dq_close("HSTECH.HI",$A10,3)</f>
        <v>5076.2</v>
      </c>
      <c r="C10" cm="1">
        <f t="array" aca="1" ref="C10" ca="1">[1]!s_dq_close("HSI.HI",$A10,3)</f>
        <v>26389.040000000001</v>
      </c>
    </row>
    <row r="11" spans="1:3">
      <c r="A11" s="23">
        <f t="shared" ca="1" si="0"/>
        <v>46155</v>
      </c>
      <c r="B11" cm="1">
        <f t="array" aca="1" ref="B11" ca="1">[1]!s_dq_close("HSTECH.HI",$A11,3)</f>
        <v>5093.8500000000004</v>
      </c>
      <c r="C11" cm="1">
        <f t="array" aca="1" ref="C11" ca="1">[1]!s_dq_close("HSI.HI",$A11,3)</f>
        <v>26388.44</v>
      </c>
    </row>
    <row r="12" spans="1:3">
      <c r="A12" s="23">
        <f t="shared" ca="1" si="0"/>
        <v>46154</v>
      </c>
      <c r="B12" cm="1">
        <f t="array" aca="1" ref="B12" ca="1">[1]!s_dq_close("HSTECH.HI",$A12,3)</f>
        <v>5070.6099999999997</v>
      </c>
      <c r="C12" cm="1">
        <f t="array" aca="1" ref="C12" ca="1">[1]!s_dq_close("HSI.HI",$A12,3)</f>
        <v>26347.91</v>
      </c>
    </row>
    <row r="13" spans="1:3">
      <c r="A13" s="23">
        <f t="shared" ca="1" si="0"/>
        <v>46153</v>
      </c>
      <c r="B13" cm="1">
        <f t="array" aca="1" ref="B13" ca="1">[1]!s_dq_close("HSTECH.HI",$A13,3)</f>
        <v>5106.3999999999996</v>
      </c>
      <c r="C13" cm="1">
        <f t="array" aca="1" ref="C13" ca="1">[1]!s_dq_close("HSI.HI",$A13,3)</f>
        <v>26406.84</v>
      </c>
    </row>
    <row r="14" spans="1:3">
      <c r="A14" s="23">
        <f t="shared" ca="1" si="0"/>
        <v>46152</v>
      </c>
      <c r="B14" cm="1">
        <f t="array" aca="1" ref="B14" ca="1">[1]!s_dq_close("HSTECH.HI",$A14,3)</f>
        <v>5102.79</v>
      </c>
      <c r="C14" cm="1">
        <f t="array" aca="1" ref="C14" ca="1">[1]!s_dq_close("HSI.HI",$A14,3)</f>
        <v>26393.71</v>
      </c>
    </row>
    <row r="15" spans="1:3">
      <c r="A15" s="23">
        <f t="shared" ca="1" si="0"/>
        <v>46151</v>
      </c>
      <c r="B15" cm="1">
        <f t="array" aca="1" ref="B15" ca="1">[1]!s_dq_close("HSTECH.HI",$A15,3)</f>
        <v>5102.79</v>
      </c>
      <c r="C15" cm="1">
        <f t="array" aca="1" ref="C15" ca="1">[1]!s_dq_close("HSI.HI",$A15,3)</f>
        <v>26393.71</v>
      </c>
    </row>
    <row r="16" spans="1:3">
      <c r="A16" s="23">
        <f t="shared" ca="1" si="0"/>
        <v>46150</v>
      </c>
      <c r="B16" cm="1">
        <f t="array" aca="1" ref="B16" ca="1">[1]!s_dq_close("HSTECH.HI",$A16,3)</f>
        <v>5102.79</v>
      </c>
      <c r="C16" cm="1">
        <f t="array" aca="1" ref="C16" ca="1">[1]!s_dq_close("HSI.HI",$A16,3)</f>
        <v>26393.71</v>
      </c>
    </row>
    <row r="17" spans="1:3">
      <c r="A17" s="23">
        <f t="shared" ca="1" si="0"/>
        <v>46149</v>
      </c>
      <c r="B17" cm="1">
        <f t="array" aca="1" ref="B17" ca="1">[1]!s_dq_close("HSTECH.HI",$A17,3)</f>
        <v>5121.1000000000004</v>
      </c>
      <c r="C17" cm="1">
        <f t="array" aca="1" ref="C17" ca="1">[1]!s_dq_close("HSI.HI",$A17,3)</f>
        <v>26626.28</v>
      </c>
    </row>
    <row r="18" spans="1:3">
      <c r="A18" s="23">
        <f t="shared" ca="1" si="0"/>
        <v>46148</v>
      </c>
      <c r="B18" cm="1">
        <f t="array" aca="1" ref="B18" ca="1">[1]!s_dq_close("HSTECH.HI",$A18,3)</f>
        <v>4969.2</v>
      </c>
      <c r="C18" cm="1">
        <f t="array" aca="1" ref="C18" ca="1">[1]!s_dq_close("HSI.HI",$A18,3)</f>
        <v>26213.78</v>
      </c>
    </row>
    <row r="19" spans="1:3">
      <c r="A19" s="23">
        <f t="shared" ca="1" si="0"/>
        <v>46147</v>
      </c>
      <c r="B19" cm="1">
        <f t="array" aca="1" ref="B19" ca="1">[1]!s_dq_close("HSTECH.HI",$A19,3)</f>
        <v>4929.68</v>
      </c>
      <c r="C19" cm="1">
        <f t="array" aca="1" ref="C19" ca="1">[1]!s_dq_close("HSI.HI",$A19,3)</f>
        <v>25898.61</v>
      </c>
    </row>
    <row r="20" spans="1:3">
      <c r="A20" s="23">
        <f t="shared" ca="1" si="0"/>
        <v>46146</v>
      </c>
      <c r="B20" cm="1">
        <f t="array" aca="1" ref="B20" ca="1">[1]!s_dq_close("HSTECH.HI",$A20,3)</f>
        <v>4976.7</v>
      </c>
      <c r="C20" cm="1">
        <f t="array" aca="1" ref="C20" ca="1">[1]!s_dq_close("HSI.HI",$A20,3)</f>
        <v>26095.88</v>
      </c>
    </row>
    <row r="21" spans="1:3">
      <c r="A21" s="23">
        <f t="shared" ca="1" si="0"/>
        <v>46145</v>
      </c>
      <c r="B21" cm="1">
        <f t="array" aca="1" ref="B21" ca="1">[1]!s_dq_close("HSTECH.HI",$A21,3)</f>
        <v>4871.32</v>
      </c>
      <c r="C21" cm="1">
        <f t="array" aca="1" ref="C21" ca="1">[1]!s_dq_close("HSI.HI",$A21,3)</f>
        <v>25776.53</v>
      </c>
    </row>
    <row r="22" spans="1:3">
      <c r="A22" s="23">
        <f t="shared" ca="1" si="0"/>
        <v>46144</v>
      </c>
      <c r="B22" cm="1">
        <f t="array" aca="1" ref="B22" ca="1">[1]!s_dq_close("HSTECH.HI",$A22,3)</f>
        <v>4871.32</v>
      </c>
      <c r="C22" cm="1">
        <f t="array" aca="1" ref="C22" ca="1">[1]!s_dq_close("HSI.HI",$A22,3)</f>
        <v>25776.53</v>
      </c>
    </row>
    <row r="23" spans="1:3">
      <c r="A23" s="23">
        <f t="shared" ca="1" si="0"/>
        <v>46143</v>
      </c>
      <c r="B23" cm="1">
        <f t="array" aca="1" ref="B23" ca="1">[1]!s_dq_close("HSTECH.HI",$A23,3)</f>
        <v>4871.32</v>
      </c>
      <c r="C23" cm="1">
        <f t="array" aca="1" ref="C23" ca="1">[1]!s_dq_close("HSI.HI",$A23,3)</f>
        <v>25776.53</v>
      </c>
    </row>
    <row r="24" spans="1:3">
      <c r="A24" s="23">
        <f t="shared" ca="1" si="0"/>
        <v>46142</v>
      </c>
      <c r="B24" cm="1">
        <f t="array" aca="1" ref="B24" ca="1">[1]!s_dq_close("HSTECH.HI",$A24,3)</f>
        <v>4871.32</v>
      </c>
      <c r="C24" cm="1">
        <f t="array" aca="1" ref="C24" ca="1">[1]!s_dq_close("HSI.HI",$A24,3)</f>
        <v>25776.53</v>
      </c>
    </row>
    <row r="25" spans="1:3">
      <c r="A25" s="23">
        <f t="shared" ca="1" si="0"/>
        <v>46141</v>
      </c>
      <c r="B25" cm="1">
        <f t="array" aca="1" ref="B25" ca="1">[1]!s_dq_close("HSTECH.HI",$A25,3)</f>
        <v>4910.0200000000004</v>
      </c>
      <c r="C25" cm="1">
        <f t="array" aca="1" ref="C25" ca="1">[1]!s_dq_close("HSI.HI",$A25,3)</f>
        <v>26111.84</v>
      </c>
    </row>
    <row r="26" spans="1:3">
      <c r="A26" s="23">
        <f t="shared" ca="1" si="0"/>
        <v>46140</v>
      </c>
      <c r="B26" cm="1">
        <f t="array" aca="1" ref="B26" ca="1">[1]!s_dq_close("HSTECH.HI",$A26,3)</f>
        <v>4827.1899999999996</v>
      </c>
      <c r="C26" cm="1">
        <f t="array" aca="1" ref="C26" ca="1">[1]!s_dq_close("HSI.HI",$A26,3)</f>
        <v>25679.78</v>
      </c>
    </row>
    <row r="27" spans="1:3">
      <c r="A27" s="23">
        <f t="shared" ca="1" si="0"/>
        <v>46139</v>
      </c>
      <c r="B27" cm="1">
        <f t="array" aca="1" ref="B27" ca="1">[1]!s_dq_close("HSTECH.HI",$A27,3)</f>
        <v>4939.84</v>
      </c>
      <c r="C27" cm="1">
        <f t="array" aca="1" ref="C27" ca="1">[1]!s_dq_close("HSI.HI",$A27,3)</f>
        <v>25925.65</v>
      </c>
    </row>
    <row r="28" spans="1:3">
      <c r="A28" s="23">
        <f t="shared" ca="1" si="0"/>
        <v>46138</v>
      </c>
      <c r="B28" cm="1">
        <f t="array" aca="1" ref="B28" ca="1">[1]!s_dq_close("HSTECH.HI",$A28,3)</f>
        <v>4902.2</v>
      </c>
      <c r="C28" cm="1">
        <f t="array" aca="1" ref="C28" ca="1">[1]!s_dq_close("HSI.HI",$A28,3)</f>
        <v>25978.07</v>
      </c>
    </row>
    <row r="29" spans="1:3">
      <c r="A29" s="23">
        <f t="shared" ca="1" si="0"/>
        <v>46137</v>
      </c>
      <c r="B29" cm="1">
        <f t="array" aca="1" ref="B29" ca="1">[1]!s_dq_close("HSTECH.HI",$A29,3)</f>
        <v>4902.2</v>
      </c>
      <c r="C29" cm="1">
        <f t="array" aca="1" ref="C29" ca="1">[1]!s_dq_close("HSI.HI",$A29,3)</f>
        <v>25978.07</v>
      </c>
    </row>
    <row r="30" spans="1:3">
      <c r="A30" s="23">
        <f t="shared" ca="1" si="0"/>
        <v>46136</v>
      </c>
      <c r="B30" cm="1">
        <f t="array" aca="1" ref="B30" ca="1">[1]!s_dq_close("HSTECH.HI",$A30,3)</f>
        <v>4902.2</v>
      </c>
      <c r="C30" cm="1">
        <f t="array" aca="1" ref="C30" ca="1">[1]!s_dq_close("HSI.HI",$A30,3)</f>
        <v>25978.07</v>
      </c>
    </row>
    <row r="31" spans="1:3">
      <c r="A31" s="23">
        <f t="shared" ca="1" si="0"/>
        <v>46135</v>
      </c>
      <c r="B31" cm="1">
        <f t="array" aca="1" ref="B31" ca="1">[1]!s_dq_close("HSTECH.HI",$A31,3)</f>
        <v>4865.5200000000004</v>
      </c>
      <c r="C31" cm="1">
        <f t="array" aca="1" ref="C31" ca="1">[1]!s_dq_close("HSI.HI",$A31,3)</f>
        <v>25915.200000000001</v>
      </c>
    </row>
    <row r="32" spans="1:3">
      <c r="A32" s="23">
        <f t="shared" ca="1" si="0"/>
        <v>46134</v>
      </c>
      <c r="B32" cm="1">
        <f t="array" aca="1" ref="B32" ca="1">[1]!s_dq_close("HSTECH.HI",$A32,3)</f>
        <v>4963.9399999999996</v>
      </c>
      <c r="C32" cm="1">
        <f t="array" aca="1" ref="C32" ca="1">[1]!s_dq_close("HSI.HI",$A32,3)</f>
        <v>26163.24</v>
      </c>
    </row>
    <row r="33" spans="1:3">
      <c r="A33" s="23">
        <f t="shared" ca="1" si="0"/>
        <v>46133</v>
      </c>
      <c r="B33" cm="1">
        <f t="array" aca="1" ref="B33" ca="1">[1]!s_dq_close("HSTECH.HI",$A33,3)</f>
        <v>5061.5</v>
      </c>
      <c r="C33" cm="1">
        <f t="array" aca="1" ref="C33" ca="1">[1]!s_dq_close("HSI.HI",$A33,3)</f>
        <v>26487.48</v>
      </c>
    </row>
    <row r="34" spans="1:3">
      <c r="A34" s="23">
        <f t="shared" ca="1" si="0"/>
        <v>46132</v>
      </c>
      <c r="B34" cm="1">
        <f t="array" aca="1" ref="B34" ca="1">[1]!s_dq_close("HSTECH.HI",$A34,3)</f>
        <v>5065.63</v>
      </c>
      <c r="C34" cm="1">
        <f t="array" aca="1" ref="C34" ca="1">[1]!s_dq_close("HSI.HI",$A34,3)</f>
        <v>26361.07</v>
      </c>
    </row>
    <row r="35" spans="1:3">
      <c r="A35" s="23">
        <f t="shared" ca="1" si="0"/>
        <v>46131</v>
      </c>
      <c r="B35" cm="1">
        <f t="array" aca="1" ref="B35" ca="1">[1]!s_dq_close("HSTECH.HI",$A35,3)</f>
        <v>5042.68</v>
      </c>
      <c r="C35" cm="1">
        <f t="array" aca="1" ref="C35" ca="1">[1]!s_dq_close("HSI.HI",$A35,3)</f>
        <v>26160.33</v>
      </c>
    </row>
    <row r="36" spans="1:3">
      <c r="A36" s="23">
        <f t="shared" ca="1" si="0"/>
        <v>46130</v>
      </c>
      <c r="B36" cm="1">
        <f t="array" aca="1" ref="B36" ca="1">[1]!s_dq_close("HSTECH.HI",$A36,3)</f>
        <v>5042.68</v>
      </c>
      <c r="C36" cm="1">
        <f t="array" aca="1" ref="C36" ca="1">[1]!s_dq_close("HSI.HI",$A36,3)</f>
        <v>26160.33</v>
      </c>
    </row>
    <row r="37" spans="1:3">
      <c r="A37" s="23">
        <f t="shared" ca="1" si="0"/>
        <v>46129</v>
      </c>
      <c r="B37" cm="1">
        <f t="array" aca="1" ref="B37" ca="1">[1]!s_dq_close("HSTECH.HI",$A37,3)</f>
        <v>5042.68</v>
      </c>
      <c r="C37" cm="1">
        <f t="array" aca="1" ref="C37" ca="1">[1]!s_dq_close("HSI.HI",$A37,3)</f>
        <v>26160.33</v>
      </c>
    </row>
    <row r="38" spans="1:3">
      <c r="A38" s="23">
        <f t="shared" ca="1" si="0"/>
        <v>46128</v>
      </c>
      <c r="B38" cm="1">
        <f t="array" aca="1" ref="B38" ca="1">[1]!s_dq_close("HSTECH.HI",$A38,3)</f>
        <v>5092.08</v>
      </c>
      <c r="C38" cm="1">
        <f t="array" aca="1" ref="C38" ca="1">[1]!s_dq_close("HSI.HI",$A38,3)</f>
        <v>26394.26</v>
      </c>
    </row>
    <row r="39" spans="1:3">
      <c r="A39" s="23">
        <f t="shared" ca="1" si="0"/>
        <v>46127</v>
      </c>
      <c r="B39" cm="1">
        <f t="array" aca="1" ref="B39" ca="1">[1]!s_dq_close("HSTECH.HI",$A39,3)</f>
        <v>4911.79</v>
      </c>
      <c r="C39" cm="1">
        <f t="array" aca="1" ref="C39" ca="1">[1]!s_dq_close("HSI.HI",$A39,3)</f>
        <v>25947.32</v>
      </c>
    </row>
    <row r="40" spans="1:3">
      <c r="A40" s="23">
        <f t="shared" ca="1" si="0"/>
        <v>46126</v>
      </c>
      <c r="B40" cm="1">
        <f t="array" aca="1" ref="B40" ca="1">[1]!s_dq_close("HSTECH.HI",$A40,3)</f>
        <v>4851.96</v>
      </c>
      <c r="C40" cm="1">
        <f t="array" aca="1" ref="C40" ca="1">[1]!s_dq_close("HSI.HI",$A40,3)</f>
        <v>25872.32</v>
      </c>
    </row>
    <row r="41" spans="1:3">
      <c r="A41" s="23">
        <f t="shared" ca="1" si="0"/>
        <v>46125</v>
      </c>
      <c r="B41" cm="1">
        <f t="array" aca="1" ref="B41" ca="1">[1]!s_dq_close("HSTECH.HI",$A41,3)</f>
        <v>4822.01</v>
      </c>
      <c r="C41" cm="1">
        <f t="array" aca="1" ref="C41" ca="1">[1]!s_dq_close("HSI.HI",$A41,3)</f>
        <v>25660.85</v>
      </c>
    </row>
    <row r="42" spans="1:3">
      <c r="A42" s="23">
        <f t="shared" ca="1" si="0"/>
        <v>46124</v>
      </c>
      <c r="B42" cm="1">
        <f t="array" aca="1" ref="B42" ca="1">[1]!s_dq_close("HSTECH.HI",$A42,3)</f>
        <v>4860.26</v>
      </c>
      <c r="C42" cm="1">
        <f t="array" aca="1" ref="C42" ca="1">[1]!s_dq_close("HSI.HI",$A42,3)</f>
        <v>25893.54</v>
      </c>
    </row>
    <row r="43" spans="1:3">
      <c r="A43" s="23">
        <f t="shared" ca="1" si="0"/>
        <v>46123</v>
      </c>
      <c r="B43" cm="1">
        <f t="array" aca="1" ref="B43" ca="1">[1]!s_dq_close("HSTECH.HI",$A43,3)</f>
        <v>4860.26</v>
      </c>
      <c r="C43" cm="1">
        <f t="array" aca="1" ref="C43" ca="1">[1]!s_dq_close("HSI.HI",$A43,3)</f>
        <v>25893.54</v>
      </c>
    </row>
    <row r="44" spans="1:3">
      <c r="A44" s="23">
        <f t="shared" ca="1" si="0"/>
        <v>46122</v>
      </c>
      <c r="B44" cm="1">
        <f t="array" aca="1" ref="B44" ca="1">[1]!s_dq_close("HSTECH.HI",$A44,3)</f>
        <v>4860.26</v>
      </c>
      <c r="C44" cm="1">
        <f t="array" aca="1" ref="C44" ca="1">[1]!s_dq_close("HSI.HI",$A44,3)</f>
        <v>25893.54</v>
      </c>
    </row>
    <row r="45" spans="1:3">
      <c r="A45" s="23">
        <f t="shared" ca="1" si="0"/>
        <v>46121</v>
      </c>
      <c r="B45" cm="1">
        <f t="array" aca="1" ref="B45" ca="1">[1]!s_dq_close("HSTECH.HI",$A45,3)</f>
        <v>4821.67</v>
      </c>
      <c r="C45" cm="1">
        <f t="array" aca="1" ref="C45" ca="1">[1]!s_dq_close("HSI.HI",$A45,3)</f>
        <v>25752.400000000001</v>
      </c>
    </row>
    <row r="46" spans="1:3">
      <c r="A46" s="23">
        <f t="shared" ca="1" si="0"/>
        <v>46120</v>
      </c>
      <c r="B46" cm="1">
        <f t="array" aca="1" ref="B46" ca="1">[1]!s_dq_close("HSTECH.HI",$A46,3)</f>
        <v>4923.25</v>
      </c>
      <c r="C46" cm="1">
        <f t="array" aca="1" ref="C46" ca="1">[1]!s_dq_close("HSI.HI",$A46,3)</f>
        <v>25893.02</v>
      </c>
    </row>
    <row r="47" spans="1:3">
      <c r="A47" s="23">
        <f t="shared" ca="1" si="0"/>
        <v>46119</v>
      </c>
      <c r="B47" cm="1">
        <f t="array" aca="1" ref="B47" ca="1">[1]!s_dq_close("HSTECH.HI",$A47,3)</f>
        <v>4679.1000000000004</v>
      </c>
      <c r="C47" cm="1">
        <f t="array" aca="1" ref="C47" ca="1">[1]!s_dq_close("HSI.HI",$A47,3)</f>
        <v>25116.53</v>
      </c>
    </row>
    <row r="48" spans="1:3">
      <c r="A48" s="23">
        <f t="shared" ca="1" si="0"/>
        <v>46118</v>
      </c>
      <c r="B48" cm="1">
        <f t="array" aca="1" ref="B48" ca="1">[1]!s_dq_close("HSTECH.HI",$A48,3)</f>
        <v>4679.1000000000004</v>
      </c>
      <c r="C48" cm="1">
        <f t="array" aca="1" ref="C48" ca="1">[1]!s_dq_close("HSI.HI",$A48,3)</f>
        <v>25116.53</v>
      </c>
    </row>
    <row r="49" spans="1:3">
      <c r="A49" s="23">
        <f t="shared" ca="1" si="0"/>
        <v>46117</v>
      </c>
      <c r="B49" cm="1">
        <f t="array" aca="1" ref="B49" ca="1">[1]!s_dq_close("HSTECH.HI",$A49,3)</f>
        <v>4679.1000000000004</v>
      </c>
      <c r="C49" cm="1">
        <f t="array" aca="1" ref="C49" ca="1">[1]!s_dq_close("HSI.HI",$A49,3)</f>
        <v>25116.53</v>
      </c>
    </row>
    <row r="50" spans="1:3">
      <c r="A50" s="23">
        <f t="shared" ca="1" si="0"/>
        <v>46116</v>
      </c>
      <c r="B50" cm="1">
        <f t="array" aca="1" ref="B50" ca="1">[1]!s_dq_close("HSTECH.HI",$A50,3)</f>
        <v>4679.1000000000004</v>
      </c>
      <c r="C50" cm="1">
        <f t="array" aca="1" ref="C50" ca="1">[1]!s_dq_close("HSI.HI",$A50,3)</f>
        <v>25116.53</v>
      </c>
    </row>
    <row r="51" spans="1:3">
      <c r="A51" s="23">
        <f t="shared" ca="1" si="0"/>
        <v>46115</v>
      </c>
      <c r="B51" cm="1">
        <f t="array" aca="1" ref="B51" ca="1">[1]!s_dq_close("HSTECH.HI",$A51,3)</f>
        <v>4679.1000000000004</v>
      </c>
      <c r="C51" cm="1">
        <f t="array" aca="1" ref="C51" ca="1">[1]!s_dq_close("HSI.HI",$A51,3)</f>
        <v>25116.53</v>
      </c>
    </row>
    <row r="52" spans="1:3">
      <c r="A52" s="23">
        <f t="shared" ca="1" si="0"/>
        <v>46114</v>
      </c>
      <c r="B52" cm="1">
        <f t="array" aca="1" ref="B52" ca="1">[1]!s_dq_close("HSTECH.HI",$A52,3)</f>
        <v>4679.1000000000004</v>
      </c>
      <c r="C52" cm="1">
        <f t="array" aca="1" ref="C52" ca="1">[1]!s_dq_close("HSI.HI",$A52,3)</f>
        <v>25116.53</v>
      </c>
    </row>
    <row r="53" spans="1:3">
      <c r="A53" s="23">
        <f t="shared" ca="1" si="0"/>
        <v>46113</v>
      </c>
      <c r="B53" cm="1">
        <f t="array" aca="1" ref="B53" ca="1">[1]!s_dq_close("HSTECH.HI",$A53,3)</f>
        <v>4756.45</v>
      </c>
      <c r="C53" cm="1">
        <f t="array" aca="1" ref="C53" ca="1">[1]!s_dq_close("HSI.HI",$A53,3)</f>
        <v>25294.03</v>
      </c>
    </row>
    <row r="54" spans="1:3">
      <c r="A54" s="23">
        <f t="shared" ca="1" si="0"/>
        <v>46112</v>
      </c>
      <c r="B54" cm="1">
        <f t="array" aca="1" ref="B54" ca="1">[1]!s_dq_close("HSTECH.HI",$A54,3)</f>
        <v>4649.82</v>
      </c>
      <c r="C54" cm="1">
        <f t="array" aca="1" ref="C54" ca="1">[1]!s_dq_close("HSI.HI",$A54,3)</f>
        <v>24788.14</v>
      </c>
    </row>
    <row r="55" spans="1:3">
      <c r="A55" s="23">
        <f t="shared" ca="1" si="0"/>
        <v>46111</v>
      </c>
      <c r="B55" cm="1">
        <f t="array" aca="1" ref="B55" ca="1">[1]!s_dq_close("HSTECH.HI",$A55,3)</f>
        <v>4690.08</v>
      </c>
      <c r="C55" cm="1">
        <f t="array" aca="1" ref="C55" ca="1">[1]!s_dq_close("HSI.HI",$A55,3)</f>
        <v>24750.79</v>
      </c>
    </row>
    <row r="56" spans="1:3">
      <c r="A56" s="23">
        <f t="shared" ca="1" si="0"/>
        <v>46110</v>
      </c>
      <c r="B56" cm="1">
        <f t="array" aca="1" ref="B56" ca="1">[1]!s_dq_close("HSTECH.HI",$A56,3)</f>
        <v>4778.01</v>
      </c>
      <c r="C56" cm="1">
        <f t="array" aca="1" ref="C56" ca="1">[1]!s_dq_close("HSI.HI",$A56,3)</f>
        <v>24951.88</v>
      </c>
    </row>
    <row r="57" spans="1:3">
      <c r="A57" s="23">
        <f t="shared" ca="1" si="0"/>
        <v>46109</v>
      </c>
      <c r="B57" cm="1">
        <f t="array" aca="1" ref="B57" ca="1">[1]!s_dq_close("HSTECH.HI",$A57,3)</f>
        <v>4778.01</v>
      </c>
      <c r="C57" cm="1">
        <f t="array" aca="1" ref="C57" ca="1">[1]!s_dq_close("HSI.HI",$A57,3)</f>
        <v>24951.88</v>
      </c>
    </row>
    <row r="58" spans="1:3">
      <c r="A58" s="23">
        <f t="shared" ca="1" si="0"/>
        <v>46108</v>
      </c>
      <c r="B58" cm="1">
        <f t="array" aca="1" ref="B58" ca="1">[1]!s_dq_close("HSTECH.HI",$A58,3)</f>
        <v>4778.01</v>
      </c>
      <c r="C58" cm="1">
        <f t="array" aca="1" ref="C58" ca="1">[1]!s_dq_close("HSI.HI",$A58,3)</f>
        <v>24951.88</v>
      </c>
    </row>
    <row r="59" spans="1:3">
      <c r="A59" s="23">
        <f t="shared" ca="1" si="0"/>
        <v>46107</v>
      </c>
      <c r="B59" cm="1">
        <f t="array" aca="1" ref="B59" ca="1">[1]!s_dq_close("HSTECH.HI",$A59,3)</f>
        <v>4761.54</v>
      </c>
      <c r="C59" cm="1">
        <f t="array" aca="1" ref="C59" ca="1">[1]!s_dq_close("HSI.HI",$A59,3)</f>
        <v>24856.43</v>
      </c>
    </row>
    <row r="60" spans="1:3">
      <c r="A60" s="23">
        <f t="shared" ca="1" si="0"/>
        <v>46106</v>
      </c>
      <c r="B60" cm="1">
        <f t="array" aca="1" ref="B60" ca="1">[1]!s_dq_close("HSTECH.HI",$A60,3)</f>
        <v>4922.9399999999996</v>
      </c>
      <c r="C60" cm="1">
        <f t="array" aca="1" ref="C60" ca="1">[1]!s_dq_close("HSI.HI",$A60,3)</f>
        <v>25335.95</v>
      </c>
    </row>
    <row r="61" spans="1:3">
      <c r="A61" s="23">
        <f t="shared" ca="1" si="0"/>
        <v>46105</v>
      </c>
      <c r="B61" cm="1">
        <f t="array" aca="1" ref="B61" ca="1">[1]!s_dq_close("HSTECH.HI",$A61,3)</f>
        <v>4830.8900000000003</v>
      </c>
      <c r="C61" cm="1">
        <f t="array" aca="1" ref="C61" ca="1">[1]!s_dq_close("HSI.HI",$A61,3)</f>
        <v>25063.71</v>
      </c>
    </row>
    <row r="62" spans="1:3">
      <c r="A62" s="23">
        <f t="shared" ca="1" si="0"/>
        <v>46104</v>
      </c>
      <c r="B62" cm="1">
        <f t="array" aca="1" ref="B62" ca="1">[1]!s_dq_close("HSTECH.HI",$A62,3)</f>
        <v>4712.4799999999996</v>
      </c>
      <c r="C62" cm="1">
        <f t="array" aca="1" ref="C62" ca="1">[1]!s_dq_close("HSI.HI",$A62,3)</f>
        <v>24382.47</v>
      </c>
    </row>
    <row r="63" spans="1:3">
      <c r="A63" s="23">
        <f t="shared" ca="1" si="0"/>
        <v>46103</v>
      </c>
      <c r="B63" cm="1">
        <f t="array" aca="1" ref="B63" ca="1">[1]!s_dq_close("HSTECH.HI",$A63,3)</f>
        <v>4872.38</v>
      </c>
      <c r="C63" cm="1">
        <f t="array" aca="1" ref="C63" ca="1">[1]!s_dq_close("HSI.HI",$A63,3)</f>
        <v>25277.32</v>
      </c>
    </row>
    <row r="64" spans="1:3">
      <c r="A64" s="23">
        <f t="shared" ca="1" si="0"/>
        <v>46102</v>
      </c>
      <c r="B64" cm="1">
        <f t="array" aca="1" ref="B64" ca="1">[1]!s_dq_close("HSTECH.HI",$A64,3)</f>
        <v>4872.38</v>
      </c>
      <c r="C64" cm="1">
        <f t="array" aca="1" ref="C64" ca="1">[1]!s_dq_close("HSI.HI",$A64,3)</f>
        <v>25277.32</v>
      </c>
    </row>
    <row r="65" spans="1:3">
      <c r="A65" s="23">
        <f t="shared" ca="1" si="0"/>
        <v>46101</v>
      </c>
      <c r="B65" cm="1">
        <f t="array" aca="1" ref="B65" ca="1">[1]!s_dq_close("HSTECH.HI",$A65,3)</f>
        <v>4872.38</v>
      </c>
      <c r="C65" cm="1">
        <f t="array" aca="1" ref="C65" ca="1">[1]!s_dq_close("HSI.HI",$A65,3)</f>
        <v>25277.32</v>
      </c>
    </row>
    <row r="66" spans="1:3">
      <c r="A66" s="23">
        <f t="shared" ca="1" si="0"/>
        <v>46100</v>
      </c>
      <c r="B66" cm="1">
        <f t="array" aca="1" ref="B66" ca="1">[1]!s_dq_close("HSTECH.HI",$A66,3)</f>
        <v>4996.28</v>
      </c>
      <c r="C66" cm="1">
        <f t="array" aca="1" ref="C66" ca="1">[1]!s_dq_close("HSI.HI",$A66,3)</f>
        <v>25500.58</v>
      </c>
    </row>
    <row r="67" spans="1:3">
      <c r="A67" s="23">
        <f t="shared" ca="1" si="0"/>
        <v>46099</v>
      </c>
      <c r="B67" cm="1">
        <f t="array" aca="1" ref="B67" ca="1">[1]!s_dq_close("HSTECH.HI",$A67,3)</f>
        <v>5108.3</v>
      </c>
      <c r="C67" cm="1">
        <f t="array" aca="1" ref="C67" ca="1">[1]!s_dq_close("HSI.HI",$A67,3)</f>
        <v>26025.42</v>
      </c>
    </row>
    <row r="68" spans="1:3">
      <c r="A68" s="23">
        <f t="shared" ref="A68:A131" ca="1" si="1">A67-1</f>
        <v>46098</v>
      </c>
      <c r="B68" cm="1">
        <f t="array" aca="1" ref="B68" ca="1">[1]!s_dq_close("HSTECH.HI",$A68,3)</f>
        <v>5107.6400000000003</v>
      </c>
      <c r="C68" cm="1">
        <f t="array" aca="1" ref="C68" ca="1">[1]!s_dq_close("HSI.HI",$A68,3)</f>
        <v>25868.54</v>
      </c>
    </row>
    <row r="69" spans="1:3">
      <c r="A69" s="23">
        <f t="shared" ca="1" si="1"/>
        <v>46097</v>
      </c>
      <c r="B69" cm="1">
        <f t="array" aca="1" ref="B69" ca="1">[1]!s_dq_close("HSTECH.HI",$A69,3)</f>
        <v>5111.78</v>
      </c>
      <c r="C69" cm="1">
        <f t="array" aca="1" ref="C69" ca="1">[1]!s_dq_close("HSI.HI",$A69,3)</f>
        <v>25834.02</v>
      </c>
    </row>
    <row r="70" spans="1:3">
      <c r="A70" s="23">
        <f t="shared" ca="1" si="1"/>
        <v>46096</v>
      </c>
      <c r="B70" cm="1">
        <f t="array" aca="1" ref="B70" ca="1">[1]!s_dq_close("HSTECH.HI",$A70,3)</f>
        <v>4978.08</v>
      </c>
      <c r="C70" cm="1">
        <f t="array" aca="1" ref="C70" ca="1">[1]!s_dq_close("HSI.HI",$A70,3)</f>
        <v>25465.599999999999</v>
      </c>
    </row>
    <row r="71" spans="1:3">
      <c r="A71" s="23">
        <f t="shared" ca="1" si="1"/>
        <v>46095</v>
      </c>
      <c r="B71" cm="1">
        <f t="array" aca="1" ref="B71" ca="1">[1]!s_dq_close("HSTECH.HI",$A71,3)</f>
        <v>4978.08</v>
      </c>
      <c r="C71" cm="1">
        <f t="array" aca="1" ref="C71" ca="1">[1]!s_dq_close("HSI.HI",$A71,3)</f>
        <v>25465.599999999999</v>
      </c>
    </row>
    <row r="72" spans="1:3">
      <c r="A72" s="23">
        <f t="shared" ca="1" si="1"/>
        <v>46094</v>
      </c>
      <c r="B72" cm="1">
        <f t="array" aca="1" ref="B72" ca="1">[1]!s_dq_close("HSTECH.HI",$A72,3)</f>
        <v>4978.08</v>
      </c>
      <c r="C72" cm="1">
        <f t="array" aca="1" ref="C72" ca="1">[1]!s_dq_close("HSI.HI",$A72,3)</f>
        <v>25465.599999999999</v>
      </c>
    </row>
    <row r="73" spans="1:3">
      <c r="A73" s="23">
        <f t="shared" ca="1" si="1"/>
        <v>46093</v>
      </c>
      <c r="B73" cm="1">
        <f t="array" aca="1" ref="B73" ca="1">[1]!s_dq_close("HSTECH.HI",$A73,3)</f>
        <v>5027.6400000000003</v>
      </c>
      <c r="C73" cm="1">
        <f t="array" aca="1" ref="C73" ca="1">[1]!s_dq_close("HSI.HI",$A73,3)</f>
        <v>25716.76</v>
      </c>
    </row>
    <row r="74" spans="1:3">
      <c r="A74" s="23">
        <f t="shared" ca="1" si="1"/>
        <v>46092</v>
      </c>
      <c r="B74" cm="1">
        <f t="array" aca="1" ref="B74" ca="1">[1]!s_dq_close("HSTECH.HI",$A74,3)</f>
        <v>5054.8500000000004</v>
      </c>
      <c r="C74" cm="1">
        <f t="array" aca="1" ref="C74" ca="1">[1]!s_dq_close("HSI.HI",$A74,3)</f>
        <v>25898.76</v>
      </c>
    </row>
    <row r="75" spans="1:3">
      <c r="A75" s="23">
        <f t="shared" ca="1" si="1"/>
        <v>46091</v>
      </c>
      <c r="B75" cm="1">
        <f t="array" aca="1" ref="B75" ca="1">[1]!s_dq_close("HSTECH.HI",$A75,3)</f>
        <v>5060.53</v>
      </c>
      <c r="C75" cm="1">
        <f t="array" aca="1" ref="C75" ca="1">[1]!s_dq_close("HSI.HI",$A75,3)</f>
        <v>25959.9</v>
      </c>
    </row>
    <row r="76" spans="1:3">
      <c r="A76" s="23">
        <f t="shared" ca="1" si="1"/>
        <v>46090</v>
      </c>
      <c r="B76" cm="1">
        <f t="array" aca="1" ref="B76" ca="1">[1]!s_dq_close("HSTECH.HI",$A76,3)</f>
        <v>4941.7299999999996</v>
      </c>
      <c r="C76" cm="1">
        <f t="array" aca="1" ref="C76" ca="1">[1]!s_dq_close("HSI.HI",$A76,3)</f>
        <v>25408.46</v>
      </c>
    </row>
    <row r="77" spans="1:3">
      <c r="A77" s="23">
        <f t="shared" ca="1" si="1"/>
        <v>46089</v>
      </c>
      <c r="B77" cm="1">
        <f t="array" aca="1" ref="B77" ca="1">[1]!s_dq_close("HSTECH.HI",$A77,3)</f>
        <v>4947.5</v>
      </c>
      <c r="C77" cm="1">
        <f t="array" aca="1" ref="C77" ca="1">[1]!s_dq_close("HSI.HI",$A77,3)</f>
        <v>25757.29</v>
      </c>
    </row>
    <row r="78" spans="1:3">
      <c r="A78" s="23">
        <f t="shared" ca="1" si="1"/>
        <v>46088</v>
      </c>
      <c r="B78" cm="1">
        <f t="array" aca="1" ref="B78" ca="1">[1]!s_dq_close("HSTECH.HI",$A78,3)</f>
        <v>4947.5</v>
      </c>
      <c r="C78" cm="1">
        <f t="array" aca="1" ref="C78" ca="1">[1]!s_dq_close("HSI.HI",$A78,3)</f>
        <v>25757.29</v>
      </c>
    </row>
    <row r="79" spans="1:3">
      <c r="A79" s="23">
        <f t="shared" ca="1" si="1"/>
        <v>46087</v>
      </c>
      <c r="B79" cm="1">
        <f t="array" aca="1" ref="B79" ca="1">[1]!s_dq_close("HSTECH.HI",$A79,3)</f>
        <v>4947.5</v>
      </c>
      <c r="C79" cm="1">
        <f t="array" aca="1" ref="C79" ca="1">[1]!s_dq_close("HSI.HI",$A79,3)</f>
        <v>25757.29</v>
      </c>
    </row>
    <row r="80" spans="1:3">
      <c r="A80" s="23">
        <f t="shared" ca="1" si="1"/>
        <v>46086</v>
      </c>
      <c r="B80" cm="1">
        <f t="array" aca="1" ref="B80" ca="1">[1]!s_dq_close("HSTECH.HI",$A80,3)</f>
        <v>4796.33</v>
      </c>
      <c r="C80" cm="1">
        <f t="array" aca="1" ref="C80" ca="1">[1]!s_dq_close("HSI.HI",$A80,3)</f>
        <v>25321.34</v>
      </c>
    </row>
    <row r="81" spans="1:3">
      <c r="A81" s="23">
        <f t="shared" ca="1" si="1"/>
        <v>46085</v>
      </c>
      <c r="B81" cm="1">
        <f t="array" aca="1" ref="B81" ca="1">[1]!s_dq_close("HSTECH.HI",$A81,3)</f>
        <v>4829.5</v>
      </c>
      <c r="C81" cm="1">
        <f t="array" aca="1" ref="C81" ca="1">[1]!s_dq_close("HSI.HI",$A81,3)</f>
        <v>25249.48</v>
      </c>
    </row>
    <row r="82" spans="1:3">
      <c r="A82" s="23">
        <f t="shared" ca="1" si="1"/>
        <v>46084</v>
      </c>
      <c r="B82" cm="1">
        <f t="array" aca="1" ref="B82" ca="1">[1]!s_dq_close("HSTECH.HI",$A82,3)</f>
        <v>4876.53</v>
      </c>
      <c r="C82" cm="1">
        <f t="array" aca="1" ref="C82" ca="1">[1]!s_dq_close("HSI.HI",$A82,3)</f>
        <v>25768.080000000002</v>
      </c>
    </row>
    <row r="83" spans="1:3">
      <c r="A83" s="23">
        <f t="shared" ca="1" si="1"/>
        <v>46083</v>
      </c>
      <c r="B83" cm="1">
        <f t="array" aca="1" ref="B83" ca="1">[1]!s_dq_close("HSTECH.HI",$A83,3)</f>
        <v>4989.37</v>
      </c>
      <c r="C83" cm="1">
        <f t="array" aca="1" ref="C83" ca="1">[1]!s_dq_close("HSI.HI",$A83,3)</f>
        <v>26059.85</v>
      </c>
    </row>
    <row r="84" spans="1:3">
      <c r="A84" s="23">
        <f t="shared" ca="1" si="1"/>
        <v>46082</v>
      </c>
      <c r="B84" cm="1">
        <f t="array" aca="1" ref="B84" ca="1">[1]!s_dq_close("HSTECH.HI",$A84,3)</f>
        <v>5137.84</v>
      </c>
      <c r="C84" cm="1">
        <f t="array" aca="1" ref="C84" ca="1">[1]!s_dq_close("HSI.HI",$A84,3)</f>
        <v>26630.54</v>
      </c>
    </row>
    <row r="85" spans="1:3">
      <c r="A85" s="23">
        <f t="shared" ca="1" si="1"/>
        <v>46081</v>
      </c>
      <c r="B85" cm="1">
        <f t="array" aca="1" ref="B85" ca="1">[1]!s_dq_close("HSTECH.HI",$A85,3)</f>
        <v>5137.84</v>
      </c>
      <c r="C85" cm="1">
        <f t="array" aca="1" ref="C85" ca="1">[1]!s_dq_close("HSI.HI",$A85,3)</f>
        <v>26630.54</v>
      </c>
    </row>
    <row r="86" spans="1:3">
      <c r="A86" s="23">
        <f t="shared" ca="1" si="1"/>
        <v>46080</v>
      </c>
      <c r="B86" cm="1">
        <f t="array" aca="1" ref="B86" ca="1">[1]!s_dq_close("HSTECH.HI",$A86,3)</f>
        <v>5137.84</v>
      </c>
      <c r="C86" cm="1">
        <f t="array" aca="1" ref="C86" ca="1">[1]!s_dq_close("HSI.HI",$A86,3)</f>
        <v>26630.54</v>
      </c>
    </row>
    <row r="87" spans="1:3">
      <c r="A87" s="23">
        <f t="shared" ca="1" si="1"/>
        <v>46079</v>
      </c>
      <c r="B87" cm="1">
        <f t="array" aca="1" ref="B87" ca="1">[1]!s_dq_close("HSTECH.HI",$A87,3)</f>
        <v>5109.33</v>
      </c>
      <c r="C87" cm="1">
        <f t="array" aca="1" ref="C87" ca="1">[1]!s_dq_close("HSI.HI",$A87,3)</f>
        <v>26381.02</v>
      </c>
    </row>
    <row r="88" spans="1:3">
      <c r="A88" s="23">
        <f t="shared" ca="1" si="1"/>
        <v>46078</v>
      </c>
      <c r="B88" cm="1">
        <f t="array" aca="1" ref="B88" ca="1">[1]!s_dq_close("HSTECH.HI",$A88,3)</f>
        <v>5260.5</v>
      </c>
      <c r="C88" cm="1">
        <f t="array" aca="1" ref="C88" ca="1">[1]!s_dq_close("HSI.HI",$A88,3)</f>
        <v>26765.72</v>
      </c>
    </row>
    <row r="89" spans="1:3">
      <c r="A89" s="23">
        <f t="shared" ca="1" si="1"/>
        <v>46077</v>
      </c>
      <c r="B89" cm="1">
        <f t="array" aca="1" ref="B89" ca="1">[1]!s_dq_close("HSTECH.HI",$A89,3)</f>
        <v>5270.7</v>
      </c>
      <c r="C89" cm="1">
        <f t="array" aca="1" ref="C89" ca="1">[1]!s_dq_close("HSI.HI",$A89,3)</f>
        <v>26590.32</v>
      </c>
    </row>
    <row r="90" spans="1:3">
      <c r="A90" s="23">
        <f t="shared" ca="1" si="1"/>
        <v>46076</v>
      </c>
      <c r="B90" cm="1">
        <f t="array" aca="1" ref="B90" ca="1">[1]!s_dq_close("HSTECH.HI",$A90,3)</f>
        <v>5385.35</v>
      </c>
      <c r="C90" cm="1">
        <f t="array" aca="1" ref="C90" ca="1">[1]!s_dq_close("HSI.HI",$A90,3)</f>
        <v>27081.91</v>
      </c>
    </row>
    <row r="91" spans="1:3">
      <c r="A91" s="23">
        <f t="shared" ca="1" si="1"/>
        <v>46075</v>
      </c>
      <c r="B91" cm="1">
        <f t="array" aca="1" ref="B91" ca="1">[1]!s_dq_close("HSTECH.HI",$A91,3)</f>
        <v>5211.5</v>
      </c>
      <c r="C91" cm="1">
        <f t="array" aca="1" ref="C91" ca="1">[1]!s_dq_close("HSI.HI",$A91,3)</f>
        <v>26413.35</v>
      </c>
    </row>
    <row r="92" spans="1:3">
      <c r="A92" s="23">
        <f t="shared" ca="1" si="1"/>
        <v>46074</v>
      </c>
      <c r="B92" cm="1">
        <f t="array" aca="1" ref="B92" ca="1">[1]!s_dq_close("HSTECH.HI",$A92,3)</f>
        <v>5211.5</v>
      </c>
      <c r="C92" cm="1">
        <f t="array" aca="1" ref="C92" ca="1">[1]!s_dq_close("HSI.HI",$A92,3)</f>
        <v>26413.35</v>
      </c>
    </row>
    <row r="93" spans="1:3">
      <c r="A93" s="23">
        <f t="shared" ca="1" si="1"/>
        <v>46073</v>
      </c>
      <c r="B93" cm="1">
        <f t="array" aca="1" ref="B93" ca="1">[1]!s_dq_close("HSTECH.HI",$A93,3)</f>
        <v>5211.5</v>
      </c>
      <c r="C93" cm="1">
        <f t="array" aca="1" ref="C93" ca="1">[1]!s_dq_close("HSI.HI",$A93,3)</f>
        <v>26413.35</v>
      </c>
    </row>
    <row r="94" spans="1:3">
      <c r="A94" s="23">
        <f t="shared" ca="1" si="1"/>
        <v>46072</v>
      </c>
      <c r="B94" cm="1">
        <f t="array" aca="1" ref="B94" ca="1">[1]!s_dq_close("HSTECH.HI",$A94,3)</f>
        <v>5367.52</v>
      </c>
      <c r="C94" cm="1">
        <f t="array" aca="1" ref="C94" ca="1">[1]!s_dq_close("HSI.HI",$A94,3)</f>
        <v>26705.94</v>
      </c>
    </row>
    <row r="95" spans="1:3">
      <c r="A95" s="23">
        <f t="shared" ca="1" si="1"/>
        <v>46071</v>
      </c>
      <c r="B95" cm="1">
        <f t="array" aca="1" ref="B95" ca="1">[1]!s_dq_close("HSTECH.HI",$A95,3)</f>
        <v>5367.52</v>
      </c>
      <c r="C95" cm="1">
        <f t="array" aca="1" ref="C95" ca="1">[1]!s_dq_close("HSI.HI",$A95,3)</f>
        <v>26705.94</v>
      </c>
    </row>
    <row r="96" spans="1:3">
      <c r="A96" s="23">
        <f t="shared" ca="1" si="1"/>
        <v>46070</v>
      </c>
      <c r="B96" cm="1">
        <f t="array" aca="1" ref="B96" ca="1">[1]!s_dq_close("HSTECH.HI",$A96,3)</f>
        <v>5367.52</v>
      </c>
      <c r="C96" cm="1">
        <f t="array" aca="1" ref="C96" ca="1">[1]!s_dq_close("HSI.HI",$A96,3)</f>
        <v>26705.94</v>
      </c>
    </row>
    <row r="97" spans="1:3">
      <c r="A97" s="23">
        <f t="shared" ca="1" si="1"/>
        <v>46069</v>
      </c>
      <c r="B97" cm="1">
        <f t="array" aca="1" ref="B97" ca="1">[1]!s_dq_close("HSTECH.HI",$A97,3)</f>
        <v>5367.52</v>
      </c>
      <c r="C97" cm="1">
        <f t="array" aca="1" ref="C97" ca="1">[1]!s_dq_close("HSI.HI",$A97,3)</f>
        <v>26705.94</v>
      </c>
    </row>
    <row r="98" spans="1:3">
      <c r="A98" s="23">
        <f t="shared" ca="1" si="1"/>
        <v>46068</v>
      </c>
      <c r="B98" cm="1">
        <f t="array" aca="1" ref="B98" ca="1">[1]!s_dq_close("HSTECH.HI",$A98,3)</f>
        <v>5360.42</v>
      </c>
      <c r="C98" cm="1">
        <f t="array" aca="1" ref="C98" ca="1">[1]!s_dq_close("HSI.HI",$A98,3)</f>
        <v>26567.119999999999</v>
      </c>
    </row>
    <row r="99" spans="1:3">
      <c r="A99" s="23">
        <f t="shared" ca="1" si="1"/>
        <v>46067</v>
      </c>
      <c r="B99" cm="1">
        <f t="array" aca="1" ref="B99" ca="1">[1]!s_dq_close("HSTECH.HI",$A99,3)</f>
        <v>5360.42</v>
      </c>
      <c r="C99" cm="1">
        <f t="array" aca="1" ref="C99" ca="1">[1]!s_dq_close("HSI.HI",$A99,3)</f>
        <v>26567.119999999999</v>
      </c>
    </row>
    <row r="100" spans="1:3">
      <c r="A100" s="23">
        <f t="shared" ca="1" si="1"/>
        <v>46066</v>
      </c>
      <c r="B100" cm="1">
        <f t="array" aca="1" ref="B100" ca="1">[1]!s_dq_close("HSTECH.HI",$A100,3)</f>
        <v>5360.42</v>
      </c>
      <c r="C100" cm="1">
        <f t="array" aca="1" ref="C100" ca="1">[1]!s_dq_close("HSI.HI",$A100,3)</f>
        <v>26567.119999999999</v>
      </c>
    </row>
    <row r="101" spans="1:3">
      <c r="A101" s="23">
        <f t="shared" ca="1" si="1"/>
        <v>46065</v>
      </c>
      <c r="B101" cm="1">
        <f t="array" aca="1" ref="B101" ca="1">[1]!s_dq_close("HSTECH.HI",$A101,3)</f>
        <v>5408.98</v>
      </c>
      <c r="C101" cm="1">
        <f t="array" aca="1" ref="C101" ca="1">[1]!s_dq_close("HSI.HI",$A101,3)</f>
        <v>27032.54</v>
      </c>
    </row>
    <row r="102" spans="1:3">
      <c r="A102" s="23">
        <f t="shared" ca="1" si="1"/>
        <v>46064</v>
      </c>
      <c r="B102" cm="1">
        <f t="array" aca="1" ref="B102" ca="1">[1]!s_dq_close("HSTECH.HI",$A102,3)</f>
        <v>5499.99</v>
      </c>
      <c r="C102" cm="1">
        <f t="array" aca="1" ref="C102" ca="1">[1]!s_dq_close("HSI.HI",$A102,3)</f>
        <v>27266.38</v>
      </c>
    </row>
    <row r="103" spans="1:3">
      <c r="A103" s="23">
        <f t="shared" ca="1" si="1"/>
        <v>46063</v>
      </c>
      <c r="B103" cm="1">
        <f t="array" aca="1" ref="B103" ca="1">[1]!s_dq_close("HSTECH.HI",$A103,3)</f>
        <v>5451.03</v>
      </c>
      <c r="C103" cm="1">
        <f t="array" aca="1" ref="C103" ca="1">[1]!s_dq_close("HSI.HI",$A103,3)</f>
        <v>27183.15</v>
      </c>
    </row>
    <row r="104" spans="1:3">
      <c r="A104" s="23">
        <f t="shared" ca="1" si="1"/>
        <v>46062</v>
      </c>
      <c r="B104" cm="1">
        <f t="array" aca="1" ref="B104" ca="1">[1]!s_dq_close("HSTECH.HI",$A104,3)</f>
        <v>5417.6</v>
      </c>
      <c r="C104" cm="1">
        <f t="array" aca="1" ref="C104" ca="1">[1]!s_dq_close("HSI.HI",$A104,3)</f>
        <v>27027.16</v>
      </c>
    </row>
    <row r="105" spans="1:3">
      <c r="A105" s="23">
        <f t="shared" ca="1" si="1"/>
        <v>46061</v>
      </c>
      <c r="B105" cm="1">
        <f t="array" aca="1" ref="B105" ca="1">[1]!s_dq_close("HSTECH.HI",$A105,3)</f>
        <v>5346.2</v>
      </c>
      <c r="C105" cm="1">
        <f t="array" aca="1" ref="C105" ca="1">[1]!s_dq_close("HSI.HI",$A105,3)</f>
        <v>26559.95</v>
      </c>
    </row>
    <row r="106" spans="1:3">
      <c r="A106" s="23">
        <f t="shared" ca="1" si="1"/>
        <v>46060</v>
      </c>
      <c r="B106" cm="1">
        <f t="array" aca="1" ref="B106" ca="1">[1]!s_dq_close("HSTECH.HI",$A106,3)</f>
        <v>5346.2</v>
      </c>
      <c r="C106" cm="1">
        <f t="array" aca="1" ref="C106" ca="1">[1]!s_dq_close("HSI.HI",$A106,3)</f>
        <v>26559.95</v>
      </c>
    </row>
    <row r="107" spans="1:3">
      <c r="A107" s="23">
        <f t="shared" ca="1" si="1"/>
        <v>46059</v>
      </c>
      <c r="B107" cm="1">
        <f t="array" aca="1" ref="B107" ca="1">[1]!s_dq_close("HSTECH.HI",$A107,3)</f>
        <v>5346.2</v>
      </c>
      <c r="C107" cm="1">
        <f t="array" aca="1" ref="C107" ca="1">[1]!s_dq_close("HSI.HI",$A107,3)</f>
        <v>26559.95</v>
      </c>
    </row>
    <row r="108" spans="1:3">
      <c r="A108" s="23">
        <f t="shared" ca="1" si="1"/>
        <v>46058</v>
      </c>
      <c r="B108" cm="1">
        <f t="array" aca="1" ref="B108" ca="1">[1]!s_dq_close("HSTECH.HI",$A108,3)</f>
        <v>5406.13</v>
      </c>
      <c r="C108" cm="1">
        <f t="array" aca="1" ref="C108" ca="1">[1]!s_dq_close("HSI.HI",$A108,3)</f>
        <v>26885.24</v>
      </c>
    </row>
    <row r="109" spans="1:3">
      <c r="A109" s="23">
        <f t="shared" ca="1" si="1"/>
        <v>46057</v>
      </c>
      <c r="B109" cm="1">
        <f t="array" aca="1" ref="B109" ca="1">[1]!s_dq_close("HSTECH.HI",$A109,3)</f>
        <v>5366.44</v>
      </c>
      <c r="C109" cm="1">
        <f t="array" aca="1" ref="C109" ca="1">[1]!s_dq_close("HSI.HI",$A109,3)</f>
        <v>26847.32</v>
      </c>
    </row>
    <row r="110" spans="1:3">
      <c r="A110" s="23">
        <f t="shared" ca="1" si="1"/>
        <v>46056</v>
      </c>
      <c r="B110" cm="1">
        <f t="array" aca="1" ref="B110" ca="1">[1]!s_dq_close("HSTECH.HI",$A110,3)</f>
        <v>5467.26</v>
      </c>
      <c r="C110" cm="1">
        <f t="array" aca="1" ref="C110" ca="1">[1]!s_dq_close("HSI.HI",$A110,3)</f>
        <v>26834.77</v>
      </c>
    </row>
    <row r="111" spans="1:3">
      <c r="A111" s="23">
        <f t="shared" ca="1" si="1"/>
        <v>46055</v>
      </c>
      <c r="B111" cm="1">
        <f t="array" aca="1" ref="B111" ca="1">[1]!s_dq_close("HSTECH.HI",$A111,3)</f>
        <v>5526.31</v>
      </c>
      <c r="C111" cm="1">
        <f t="array" aca="1" ref="C111" ca="1">[1]!s_dq_close("HSI.HI",$A111,3)</f>
        <v>26775.57</v>
      </c>
    </row>
    <row r="112" spans="1:3">
      <c r="A112" s="23">
        <f t="shared" ca="1" si="1"/>
        <v>46054</v>
      </c>
      <c r="B112" cm="1">
        <f t="array" aca="1" ref="B112" ca="1">[1]!s_dq_close("HSTECH.HI",$A112,3)</f>
        <v>5718.18</v>
      </c>
      <c r="C112" cm="1">
        <f t="array" aca="1" ref="C112" ca="1">[1]!s_dq_close("HSI.HI",$A112,3)</f>
        <v>27387.11</v>
      </c>
    </row>
    <row r="113" spans="1:3">
      <c r="A113" s="23">
        <f t="shared" ca="1" si="1"/>
        <v>46053</v>
      </c>
      <c r="B113" cm="1">
        <f t="array" aca="1" ref="B113" ca="1">[1]!s_dq_close("HSTECH.HI",$A113,3)</f>
        <v>5718.18</v>
      </c>
      <c r="C113" cm="1">
        <f t="array" aca="1" ref="C113" ca="1">[1]!s_dq_close("HSI.HI",$A113,3)</f>
        <v>27387.11</v>
      </c>
    </row>
    <row r="114" spans="1:3">
      <c r="A114" s="23">
        <f t="shared" ca="1" si="1"/>
        <v>46052</v>
      </c>
      <c r="B114" cm="1">
        <f t="array" aca="1" ref="B114" ca="1">[1]!s_dq_close("HSTECH.HI",$A114,3)</f>
        <v>5718.18</v>
      </c>
      <c r="C114" cm="1">
        <f t="array" aca="1" ref="C114" ca="1">[1]!s_dq_close("HSI.HI",$A114,3)</f>
        <v>27387.11</v>
      </c>
    </row>
    <row r="115" spans="1:3">
      <c r="A115" s="23">
        <f t="shared" ca="1" si="1"/>
        <v>46051</v>
      </c>
      <c r="B115" cm="1">
        <f t="array" aca="1" ref="B115" ca="1">[1]!s_dq_close("HSTECH.HI",$A115,3)</f>
        <v>5841.1</v>
      </c>
      <c r="C115" cm="1">
        <f t="array" aca="1" ref="C115" ca="1">[1]!s_dq_close("HSI.HI",$A115,3)</f>
        <v>27968.09</v>
      </c>
    </row>
    <row r="116" spans="1:3">
      <c r="A116" s="23">
        <f t="shared" ca="1" si="1"/>
        <v>46050</v>
      </c>
      <c r="B116" cm="1">
        <f t="array" aca="1" ref="B116" ca="1">[1]!s_dq_close("HSTECH.HI",$A116,3)</f>
        <v>5900.16</v>
      </c>
      <c r="C116" cm="1">
        <f t="array" aca="1" ref="C116" ca="1">[1]!s_dq_close("HSI.HI",$A116,3)</f>
        <v>27826.91</v>
      </c>
    </row>
    <row r="117" spans="1:3">
      <c r="A117" s="23">
        <f t="shared" ca="1" si="1"/>
        <v>46049</v>
      </c>
      <c r="B117" cm="1">
        <f t="array" aca="1" ref="B117" ca="1">[1]!s_dq_close("HSTECH.HI",$A117,3)</f>
        <v>5754.72</v>
      </c>
      <c r="C117" cm="1">
        <f t="array" aca="1" ref="C117" ca="1">[1]!s_dq_close("HSI.HI",$A117,3)</f>
        <v>27126.95</v>
      </c>
    </row>
    <row r="118" spans="1:3">
      <c r="A118" s="23">
        <f t="shared" ca="1" si="1"/>
        <v>46048</v>
      </c>
      <c r="B118" cm="1">
        <f t="array" aca="1" ref="B118" ca="1">[1]!s_dq_close("HSTECH.HI",$A118,3)</f>
        <v>5725.99</v>
      </c>
      <c r="C118" cm="1">
        <f t="array" aca="1" ref="C118" ca="1">[1]!s_dq_close("HSI.HI",$A118,3)</f>
        <v>26765.52</v>
      </c>
    </row>
    <row r="119" spans="1:3">
      <c r="A119" s="23">
        <f t="shared" ca="1" si="1"/>
        <v>46047</v>
      </c>
      <c r="B119" cm="1">
        <f t="array" aca="1" ref="B119" ca="1">[1]!s_dq_close("HSTECH.HI",$A119,3)</f>
        <v>5798.01</v>
      </c>
      <c r="C119" cm="1">
        <f t="array" aca="1" ref="C119" ca="1">[1]!s_dq_close("HSI.HI",$A119,3)</f>
        <v>26749.51</v>
      </c>
    </row>
    <row r="120" spans="1:3">
      <c r="A120" s="23">
        <f t="shared" ca="1" si="1"/>
        <v>46046</v>
      </c>
      <c r="B120" cm="1">
        <f t="array" aca="1" ref="B120" ca="1">[1]!s_dq_close("HSTECH.HI",$A120,3)</f>
        <v>5798.01</v>
      </c>
      <c r="C120" cm="1">
        <f t="array" aca="1" ref="C120" ca="1">[1]!s_dq_close("HSI.HI",$A120,3)</f>
        <v>26749.51</v>
      </c>
    </row>
    <row r="121" spans="1:3">
      <c r="A121" s="23">
        <f t="shared" ca="1" si="1"/>
        <v>46045</v>
      </c>
      <c r="B121" cm="1">
        <f t="array" aca="1" ref="B121" ca="1">[1]!s_dq_close("HSTECH.HI",$A121,3)</f>
        <v>5798.01</v>
      </c>
      <c r="C121" cm="1">
        <f t="array" aca="1" ref="C121" ca="1">[1]!s_dq_close("HSI.HI",$A121,3)</f>
        <v>26749.51</v>
      </c>
    </row>
    <row r="122" spans="1:3">
      <c r="A122" s="23">
        <f t="shared" ca="1" si="1"/>
        <v>46044</v>
      </c>
      <c r="B122" cm="1">
        <f t="array" aca="1" ref="B122" ca="1">[1]!s_dq_close("HSTECH.HI",$A122,3)</f>
        <v>5762.44</v>
      </c>
      <c r="C122" cm="1">
        <f t="array" aca="1" ref="C122" ca="1">[1]!s_dq_close("HSI.HI",$A122,3)</f>
        <v>26629.96</v>
      </c>
    </row>
    <row r="123" spans="1:3">
      <c r="A123" s="23">
        <f t="shared" ca="1" si="1"/>
        <v>46043</v>
      </c>
      <c r="B123" cm="1">
        <f t="array" aca="1" ref="B123" ca="1">[1]!s_dq_close("HSTECH.HI",$A123,3)</f>
        <v>5746.3</v>
      </c>
      <c r="C123" cm="1">
        <f t="array" aca="1" ref="C123" ca="1">[1]!s_dq_close("HSI.HI",$A123,3)</f>
        <v>26585.06</v>
      </c>
    </row>
    <row r="124" spans="1:3">
      <c r="A124" s="23">
        <f t="shared" ca="1" si="1"/>
        <v>46042</v>
      </c>
      <c r="B124" cm="1">
        <f t="array" aca="1" ref="B124" ca="1">[1]!s_dq_close("HSTECH.HI",$A124,3)</f>
        <v>5683.44</v>
      </c>
      <c r="C124" cm="1">
        <f t="array" aca="1" ref="C124" ca="1">[1]!s_dq_close("HSI.HI",$A124,3)</f>
        <v>26487.51</v>
      </c>
    </row>
    <row r="125" spans="1:3">
      <c r="A125" s="23">
        <f t="shared" ca="1" si="1"/>
        <v>46041</v>
      </c>
      <c r="B125" cm="1">
        <f t="array" aca="1" ref="B125" ca="1">[1]!s_dq_close("HSTECH.HI",$A125,3)</f>
        <v>5749.98</v>
      </c>
      <c r="C125" cm="1">
        <f t="array" aca="1" ref="C125" ca="1">[1]!s_dq_close("HSI.HI",$A125,3)</f>
        <v>26563.9</v>
      </c>
    </row>
    <row r="126" spans="1:3">
      <c r="A126" s="23">
        <f t="shared" ca="1" si="1"/>
        <v>46040</v>
      </c>
      <c r="B126" cm="1">
        <f t="array" aca="1" ref="B126" ca="1">[1]!s_dq_close("HSTECH.HI",$A126,3)</f>
        <v>5822.18</v>
      </c>
      <c r="C126" cm="1">
        <f t="array" aca="1" ref="C126" ca="1">[1]!s_dq_close("HSI.HI",$A126,3)</f>
        <v>26844.959999999999</v>
      </c>
    </row>
    <row r="127" spans="1:3">
      <c r="A127" s="23">
        <f t="shared" ca="1" si="1"/>
        <v>46039</v>
      </c>
      <c r="B127" cm="1">
        <f t="array" aca="1" ref="B127" ca="1">[1]!s_dq_close("HSTECH.HI",$A127,3)</f>
        <v>5822.18</v>
      </c>
      <c r="C127" cm="1">
        <f t="array" aca="1" ref="C127" ca="1">[1]!s_dq_close("HSI.HI",$A127,3)</f>
        <v>26844.959999999999</v>
      </c>
    </row>
    <row r="128" spans="1:3">
      <c r="A128" s="23">
        <f t="shared" ca="1" si="1"/>
        <v>46038</v>
      </c>
      <c r="B128" cm="1">
        <f t="array" aca="1" ref="B128" ca="1">[1]!s_dq_close("HSTECH.HI",$A128,3)</f>
        <v>5822.18</v>
      </c>
      <c r="C128" cm="1">
        <f t="array" aca="1" ref="C128" ca="1">[1]!s_dq_close("HSI.HI",$A128,3)</f>
        <v>26844.959999999999</v>
      </c>
    </row>
    <row r="129" spans="1:3">
      <c r="A129" s="23">
        <f t="shared" ca="1" si="1"/>
        <v>46037</v>
      </c>
      <c r="B129" cm="1">
        <f t="array" aca="1" ref="B129" ca="1">[1]!s_dq_close("HSTECH.HI",$A129,3)</f>
        <v>5828.35</v>
      </c>
      <c r="C129" cm="1">
        <f t="array" aca="1" ref="C129" ca="1">[1]!s_dq_close("HSI.HI",$A129,3)</f>
        <v>26923.62</v>
      </c>
    </row>
    <row r="130" spans="1:3">
      <c r="A130" s="23">
        <f t="shared" ca="1" si="1"/>
        <v>46036</v>
      </c>
      <c r="B130" cm="1">
        <f t="array" aca="1" ref="B130" ca="1">[1]!s_dq_close("HSTECH.HI",$A130,3)</f>
        <v>5908.26</v>
      </c>
      <c r="C130" cm="1">
        <f t="array" aca="1" ref="C130" ca="1">[1]!s_dq_close("HSI.HI",$A130,3)</f>
        <v>26999.81</v>
      </c>
    </row>
    <row r="131" spans="1:3">
      <c r="A131" s="23">
        <f t="shared" ca="1" si="1"/>
        <v>46035</v>
      </c>
      <c r="B131" cm="1">
        <f t="array" aca="1" ref="B131" ca="1">[1]!s_dq_close("HSTECH.HI",$A131,3)</f>
        <v>5869.79</v>
      </c>
      <c r="C131" cm="1">
        <f t="array" aca="1" ref="C131" ca="1">[1]!s_dq_close("HSI.HI",$A131,3)</f>
        <v>26848.47</v>
      </c>
    </row>
    <row r="132" spans="1:3">
      <c r="A132" s="23">
        <f t="shared" ref="A132:A195" ca="1" si="2">A131-1</f>
        <v>46034</v>
      </c>
      <c r="B132" cm="1">
        <f t="array" aca="1" ref="B132" ca="1">[1]!s_dq_close("HSTECH.HI",$A132,3)</f>
        <v>5863.2</v>
      </c>
      <c r="C132" cm="1">
        <f t="array" aca="1" ref="C132" ca="1">[1]!s_dq_close("HSI.HI",$A132,3)</f>
        <v>26608.48</v>
      </c>
    </row>
    <row r="133" spans="1:3">
      <c r="A133" s="23">
        <f t="shared" ca="1" si="2"/>
        <v>46033</v>
      </c>
      <c r="B133" cm="1">
        <f t="array" aca="1" ref="B133" ca="1">[1]!s_dq_close("HSTECH.HI",$A133,3)</f>
        <v>5687.14</v>
      </c>
      <c r="C133" cm="1">
        <f t="array" aca="1" ref="C133" ca="1">[1]!s_dq_close("HSI.HI",$A133,3)</f>
        <v>26231.79</v>
      </c>
    </row>
    <row r="134" spans="1:3">
      <c r="A134" s="23">
        <f t="shared" ca="1" si="2"/>
        <v>46032</v>
      </c>
      <c r="B134" cm="1">
        <f t="array" aca="1" ref="B134" ca="1">[1]!s_dq_close("HSTECH.HI",$A134,3)</f>
        <v>5687.14</v>
      </c>
      <c r="C134" cm="1">
        <f t="array" aca="1" ref="C134" ca="1">[1]!s_dq_close("HSI.HI",$A134,3)</f>
        <v>26231.79</v>
      </c>
    </row>
    <row r="135" spans="1:3">
      <c r="A135" s="23">
        <f t="shared" ca="1" si="2"/>
        <v>46031</v>
      </c>
      <c r="B135" cm="1">
        <f t="array" aca="1" ref="B135" ca="1">[1]!s_dq_close("HSTECH.HI",$A135,3)</f>
        <v>5687.14</v>
      </c>
      <c r="C135" cm="1">
        <f t="array" aca="1" ref="C135" ca="1">[1]!s_dq_close("HSI.HI",$A135,3)</f>
        <v>26231.79</v>
      </c>
    </row>
    <row r="136" spans="1:3">
      <c r="A136" s="23">
        <f t="shared" ca="1" si="2"/>
        <v>46030</v>
      </c>
      <c r="B136" cm="1">
        <f t="array" aca="1" ref="B136" ca="1">[1]!s_dq_close("HSTECH.HI",$A136,3)</f>
        <v>5678.34</v>
      </c>
      <c r="C136" cm="1">
        <f t="array" aca="1" ref="C136" ca="1">[1]!s_dq_close("HSI.HI",$A136,3)</f>
        <v>26149.31</v>
      </c>
    </row>
    <row r="137" spans="1:3">
      <c r="A137" s="23">
        <f t="shared" ca="1" si="2"/>
        <v>46029</v>
      </c>
      <c r="B137" cm="1">
        <f t="array" aca="1" ref="B137" ca="1">[1]!s_dq_close("HSTECH.HI",$A137,3)</f>
        <v>5738.52</v>
      </c>
      <c r="C137" cm="1">
        <f t="array" aca="1" ref="C137" ca="1">[1]!s_dq_close("HSI.HI",$A137,3)</f>
        <v>26458.95</v>
      </c>
    </row>
    <row r="138" spans="1:3">
      <c r="A138" s="23">
        <f t="shared" ca="1" si="2"/>
        <v>46028</v>
      </c>
      <c r="B138" cm="1">
        <f t="array" aca="1" ref="B138" ca="1">[1]!s_dq_close("HSTECH.HI",$A138,3)</f>
        <v>5825.26</v>
      </c>
      <c r="C138" cm="1">
        <f t="array" aca="1" ref="C138" ca="1">[1]!s_dq_close("HSI.HI",$A138,3)</f>
        <v>26710.45</v>
      </c>
    </row>
    <row r="139" spans="1:3">
      <c r="A139" s="23">
        <f t="shared" ca="1" si="2"/>
        <v>46027</v>
      </c>
      <c r="B139" cm="1">
        <f t="array" aca="1" ref="B139" ca="1">[1]!s_dq_close("HSTECH.HI",$A139,3)</f>
        <v>5741.63</v>
      </c>
      <c r="C139" cm="1">
        <f t="array" aca="1" ref="C139" ca="1">[1]!s_dq_close("HSI.HI",$A139,3)</f>
        <v>26347.24</v>
      </c>
    </row>
    <row r="140" spans="1:3">
      <c r="A140" s="23">
        <f t="shared" ca="1" si="2"/>
        <v>46026</v>
      </c>
      <c r="B140" cm="1">
        <f t="array" aca="1" ref="B140" ca="1">[1]!s_dq_close("HSTECH.HI",$A140,3)</f>
        <v>5736.44</v>
      </c>
      <c r="C140" cm="1">
        <f t="array" aca="1" ref="C140" ca="1">[1]!s_dq_close("HSI.HI",$A140,3)</f>
        <v>26338.47</v>
      </c>
    </row>
    <row r="141" spans="1:3">
      <c r="A141" s="23">
        <f t="shared" ca="1" si="2"/>
        <v>46025</v>
      </c>
      <c r="B141" cm="1">
        <f t="array" aca="1" ref="B141" ca="1">[1]!s_dq_close("HSTECH.HI",$A141,3)</f>
        <v>5736.44</v>
      </c>
      <c r="C141" cm="1">
        <f t="array" aca="1" ref="C141" ca="1">[1]!s_dq_close("HSI.HI",$A141,3)</f>
        <v>26338.47</v>
      </c>
    </row>
    <row r="142" spans="1:3">
      <c r="A142" s="23">
        <f t="shared" ca="1" si="2"/>
        <v>46024</v>
      </c>
      <c r="B142" cm="1">
        <f t="array" aca="1" ref="B142" ca="1">[1]!s_dq_close("HSTECH.HI",$A142,3)</f>
        <v>5736.44</v>
      </c>
      <c r="C142" cm="1">
        <f t="array" aca="1" ref="C142" ca="1">[1]!s_dq_close("HSI.HI",$A142,3)</f>
        <v>26338.47</v>
      </c>
    </row>
    <row r="143" spans="1:3">
      <c r="A143" s="23">
        <f t="shared" ca="1" si="2"/>
        <v>46023</v>
      </c>
      <c r="B143" cm="1">
        <f t="array" aca="1" ref="B143" ca="1">[1]!s_dq_close("HSTECH.HI",$A143,3)</f>
        <v>5515.98</v>
      </c>
      <c r="C143" cm="1">
        <f t="array" aca="1" ref="C143" ca="1">[1]!s_dq_close("HSI.HI",$A143,3)</f>
        <v>25630.54</v>
      </c>
    </row>
    <row r="144" spans="1:3">
      <c r="A144" s="23">
        <f t="shared" ca="1" si="2"/>
        <v>46022</v>
      </c>
      <c r="B144" cm="1">
        <f t="array" aca="1" ref="B144" ca="1">[1]!s_dq_close("HSTECH.HI",$A144,3)</f>
        <v>5515.98</v>
      </c>
      <c r="C144" cm="1">
        <f t="array" aca="1" ref="C144" ca="1">[1]!s_dq_close("HSI.HI",$A144,3)</f>
        <v>25630.54</v>
      </c>
    </row>
    <row r="145" spans="1:3">
      <c r="A145" s="23">
        <f t="shared" ca="1" si="2"/>
        <v>46021</v>
      </c>
      <c r="B145" cm="1">
        <f t="array" aca="1" ref="B145" ca="1">[1]!s_dq_close("HSTECH.HI",$A145,3)</f>
        <v>5578.38</v>
      </c>
      <c r="C145" cm="1">
        <f t="array" aca="1" ref="C145" ca="1">[1]!s_dq_close("HSI.HI",$A145,3)</f>
        <v>25854.6</v>
      </c>
    </row>
    <row r="146" spans="1:3">
      <c r="A146" s="23">
        <f t="shared" ca="1" si="2"/>
        <v>46020</v>
      </c>
      <c r="B146" cm="1">
        <f t="array" aca="1" ref="B146" ca="1">[1]!s_dq_close("HSTECH.HI",$A146,3)</f>
        <v>5483.01</v>
      </c>
      <c r="C146" cm="1">
        <f t="array" aca="1" ref="C146" ca="1">[1]!s_dq_close("HSI.HI",$A146,3)</f>
        <v>25635.23</v>
      </c>
    </row>
    <row r="147" spans="1:3">
      <c r="A147" s="23">
        <f t="shared" ca="1" si="2"/>
        <v>46019</v>
      </c>
      <c r="B147" cm="1">
        <f t="array" aca="1" ref="B147" ca="1">[1]!s_dq_close("HSTECH.HI",$A147,3)</f>
        <v>5499.3</v>
      </c>
      <c r="C147" cm="1">
        <f t="array" aca="1" ref="C147" ca="1">[1]!s_dq_close("HSI.HI",$A147,3)</f>
        <v>25818.93</v>
      </c>
    </row>
    <row r="148" spans="1:3">
      <c r="A148" s="23">
        <f t="shared" ca="1" si="2"/>
        <v>46018</v>
      </c>
      <c r="B148" cm="1">
        <f t="array" aca="1" ref="B148" ca="1">[1]!s_dq_close("HSTECH.HI",$A148,3)</f>
        <v>5499.3</v>
      </c>
      <c r="C148" cm="1">
        <f t="array" aca="1" ref="C148" ca="1">[1]!s_dq_close("HSI.HI",$A148,3)</f>
        <v>25818.93</v>
      </c>
    </row>
    <row r="149" spans="1:3">
      <c r="A149" s="23">
        <f t="shared" ca="1" si="2"/>
        <v>46017</v>
      </c>
      <c r="B149" cm="1">
        <f t="array" aca="1" ref="B149" ca="1">[1]!s_dq_close("HSTECH.HI",$A149,3)</f>
        <v>5499.3</v>
      </c>
      <c r="C149" cm="1">
        <f t="array" aca="1" ref="C149" ca="1">[1]!s_dq_close("HSI.HI",$A149,3)</f>
        <v>25818.93</v>
      </c>
    </row>
    <row r="150" spans="1:3">
      <c r="A150" s="23">
        <f t="shared" ca="1" si="2"/>
        <v>46016</v>
      </c>
      <c r="B150" cm="1">
        <f t="array" aca="1" ref="B150" ca="1">[1]!s_dq_close("HSTECH.HI",$A150,3)</f>
        <v>5499.3</v>
      </c>
      <c r="C150" cm="1">
        <f t="array" aca="1" ref="C150" ca="1">[1]!s_dq_close("HSI.HI",$A150,3)</f>
        <v>25818.93</v>
      </c>
    </row>
    <row r="151" spans="1:3">
      <c r="A151" s="23">
        <f t="shared" ca="1" si="2"/>
        <v>46015</v>
      </c>
      <c r="B151" cm="1">
        <f t="array" aca="1" ref="B151" ca="1">[1]!s_dq_close("HSTECH.HI",$A151,3)</f>
        <v>5499.3</v>
      </c>
      <c r="C151" cm="1">
        <f t="array" aca="1" ref="C151" ca="1">[1]!s_dq_close("HSI.HI",$A151,3)</f>
        <v>25818.93</v>
      </c>
    </row>
    <row r="152" spans="1:3">
      <c r="A152" s="23">
        <f t="shared" ca="1" si="2"/>
        <v>46014</v>
      </c>
      <c r="B152" cm="1">
        <f t="array" aca="1" ref="B152" ca="1">[1]!s_dq_close("HSTECH.HI",$A152,3)</f>
        <v>5488.89</v>
      </c>
      <c r="C152" cm="1">
        <f t="array" aca="1" ref="C152" ca="1">[1]!s_dq_close("HSI.HI",$A152,3)</f>
        <v>25774.14</v>
      </c>
    </row>
    <row r="153" spans="1:3">
      <c r="A153" s="23">
        <f t="shared" ca="1" si="2"/>
        <v>46013</v>
      </c>
      <c r="B153" cm="1">
        <f t="array" aca="1" ref="B153" ca="1">[1]!s_dq_close("HSTECH.HI",$A153,3)</f>
        <v>5526.83</v>
      </c>
      <c r="C153" cm="1">
        <f t="array" aca="1" ref="C153" ca="1">[1]!s_dq_close("HSI.HI",$A153,3)</f>
        <v>25801.77</v>
      </c>
    </row>
    <row r="154" spans="1:3">
      <c r="A154" s="23">
        <f t="shared" ca="1" si="2"/>
        <v>46012</v>
      </c>
      <c r="B154" cm="1">
        <f t="array" aca="1" ref="B154" ca="1">[1]!s_dq_close("HSTECH.HI",$A154,3)</f>
        <v>5479.04</v>
      </c>
      <c r="C154" cm="1">
        <f t="array" aca="1" ref="C154" ca="1">[1]!s_dq_close("HSI.HI",$A154,3)</f>
        <v>25690.53</v>
      </c>
    </row>
    <row r="155" spans="1:3">
      <c r="A155" s="23">
        <f t="shared" ca="1" si="2"/>
        <v>46011</v>
      </c>
      <c r="B155" cm="1">
        <f t="array" aca="1" ref="B155" ca="1">[1]!s_dq_close("HSTECH.HI",$A155,3)</f>
        <v>5479.04</v>
      </c>
      <c r="C155" cm="1">
        <f t="array" aca="1" ref="C155" ca="1">[1]!s_dq_close("HSI.HI",$A155,3)</f>
        <v>25690.53</v>
      </c>
    </row>
    <row r="156" spans="1:3">
      <c r="A156" s="23">
        <f t="shared" ca="1" si="2"/>
        <v>46010</v>
      </c>
      <c r="B156" cm="1">
        <f t="array" aca="1" ref="B156" ca="1">[1]!s_dq_close("HSTECH.HI",$A156,3)</f>
        <v>5479.04</v>
      </c>
      <c r="C156" cm="1">
        <f t="array" aca="1" ref="C156" ca="1">[1]!s_dq_close("HSI.HI",$A156,3)</f>
        <v>25690.53</v>
      </c>
    </row>
    <row r="157" spans="1:3">
      <c r="A157" s="23">
        <f t="shared" ca="1" si="2"/>
        <v>46009</v>
      </c>
      <c r="B157" cm="1">
        <f t="array" aca="1" ref="B157" ca="1">[1]!s_dq_close("HSTECH.HI",$A157,3)</f>
        <v>5418.29</v>
      </c>
      <c r="C157" cm="1">
        <f t="array" aca="1" ref="C157" ca="1">[1]!s_dq_close("HSI.HI",$A157,3)</f>
        <v>25498.13</v>
      </c>
    </row>
    <row r="158" spans="1:3">
      <c r="A158" s="23">
        <f t="shared" ca="1" si="2"/>
        <v>46008</v>
      </c>
      <c r="B158" cm="1">
        <f t="array" aca="1" ref="B158" ca="1">[1]!s_dq_close("HSTECH.HI",$A158,3)</f>
        <v>5457.95</v>
      </c>
      <c r="C158" cm="1">
        <f t="array" aca="1" ref="C158" ca="1">[1]!s_dq_close("HSI.HI",$A158,3)</f>
        <v>25468.78</v>
      </c>
    </row>
    <row r="159" spans="1:3">
      <c r="A159" s="23">
        <f t="shared" ca="1" si="2"/>
        <v>46007</v>
      </c>
      <c r="B159" cm="1">
        <f t="array" aca="1" ref="B159" ca="1">[1]!s_dq_close("HSTECH.HI",$A159,3)</f>
        <v>5402.51</v>
      </c>
      <c r="C159" cm="1">
        <f t="array" aca="1" ref="C159" ca="1">[1]!s_dq_close("HSI.HI",$A159,3)</f>
        <v>25235.41</v>
      </c>
    </row>
    <row r="160" spans="1:3">
      <c r="A160" s="23">
        <f t="shared" ca="1" si="2"/>
        <v>46006</v>
      </c>
      <c r="B160" cm="1">
        <f t="array" aca="1" ref="B160" ca="1">[1]!s_dq_close("HSTECH.HI",$A160,3)</f>
        <v>5498.42</v>
      </c>
      <c r="C160" cm="1">
        <f t="array" aca="1" ref="C160" ca="1">[1]!s_dq_close("HSI.HI",$A160,3)</f>
        <v>25628.880000000001</v>
      </c>
    </row>
    <row r="161" spans="1:3">
      <c r="A161" s="23">
        <f t="shared" ca="1" si="2"/>
        <v>46005</v>
      </c>
      <c r="B161" cm="1">
        <f t="array" aca="1" ref="B161" ca="1">[1]!s_dq_close("HSTECH.HI",$A161,3)</f>
        <v>5638.05</v>
      </c>
      <c r="C161" cm="1">
        <f t="array" aca="1" ref="C161" ca="1">[1]!s_dq_close("HSI.HI",$A161,3)</f>
        <v>25976.79</v>
      </c>
    </row>
    <row r="162" spans="1:3">
      <c r="A162" s="23">
        <f t="shared" ca="1" si="2"/>
        <v>46004</v>
      </c>
      <c r="B162" cm="1">
        <f t="array" aca="1" ref="B162" ca="1">[1]!s_dq_close("HSTECH.HI",$A162,3)</f>
        <v>5638.05</v>
      </c>
      <c r="C162" cm="1">
        <f t="array" aca="1" ref="C162" ca="1">[1]!s_dq_close("HSI.HI",$A162,3)</f>
        <v>25976.79</v>
      </c>
    </row>
    <row r="163" spans="1:3">
      <c r="A163" s="23">
        <f t="shared" ca="1" si="2"/>
        <v>46003</v>
      </c>
      <c r="B163" cm="1">
        <f t="array" aca="1" ref="B163" ca="1">[1]!s_dq_close("HSTECH.HI",$A163,3)</f>
        <v>5638.05</v>
      </c>
      <c r="C163" cm="1">
        <f t="array" aca="1" ref="C163" ca="1">[1]!s_dq_close("HSI.HI",$A163,3)</f>
        <v>25976.79</v>
      </c>
    </row>
    <row r="164" spans="1:3">
      <c r="A164" s="23">
        <f t="shared" ca="1" si="2"/>
        <v>46002</v>
      </c>
      <c r="B164" cm="1">
        <f t="array" aca="1" ref="B164" ca="1">[1]!s_dq_close("HSTECH.HI",$A164,3)</f>
        <v>5534.59</v>
      </c>
      <c r="C164" cm="1">
        <f t="array" aca="1" ref="C164" ca="1">[1]!s_dq_close("HSI.HI",$A164,3)</f>
        <v>25530.51</v>
      </c>
    </row>
    <row r="165" spans="1:3">
      <c r="A165" s="23">
        <f t="shared" ca="1" si="2"/>
        <v>46001</v>
      </c>
      <c r="B165" cm="1">
        <f t="array" aca="1" ref="B165" ca="1">[1]!s_dq_close("HSTECH.HI",$A165,3)</f>
        <v>5581.1</v>
      </c>
      <c r="C165" cm="1">
        <f t="array" aca="1" ref="C165" ca="1">[1]!s_dq_close("HSI.HI",$A165,3)</f>
        <v>25540.78</v>
      </c>
    </row>
    <row r="166" spans="1:3">
      <c r="A166" s="23">
        <f t="shared" ca="1" si="2"/>
        <v>46000</v>
      </c>
      <c r="B166" cm="1">
        <f t="array" aca="1" ref="B166" ca="1">[1]!s_dq_close("HSTECH.HI",$A166,3)</f>
        <v>5554.68</v>
      </c>
      <c r="C166" cm="1">
        <f t="array" aca="1" ref="C166" ca="1">[1]!s_dq_close("HSI.HI",$A166,3)</f>
        <v>25434.23</v>
      </c>
    </row>
    <row r="167" spans="1:3">
      <c r="A167" s="23">
        <f t="shared" ca="1" si="2"/>
        <v>45999</v>
      </c>
      <c r="B167" cm="1">
        <f t="array" aca="1" ref="B167" ca="1">[1]!s_dq_close("HSTECH.HI",$A167,3)</f>
        <v>5662.55</v>
      </c>
      <c r="C167" cm="1">
        <f t="array" aca="1" ref="C167" ca="1">[1]!s_dq_close("HSI.HI",$A167,3)</f>
        <v>25765.360000000001</v>
      </c>
    </row>
    <row r="168" spans="1:3">
      <c r="A168" s="23">
        <f t="shared" ca="1" si="2"/>
        <v>45998</v>
      </c>
      <c r="B168" cm="1">
        <f t="array" aca="1" ref="B168" ca="1">[1]!s_dq_close("HSTECH.HI",$A168,3)</f>
        <v>5662.46</v>
      </c>
      <c r="C168" cm="1">
        <f t="array" aca="1" ref="C168" ca="1">[1]!s_dq_close("HSI.HI",$A168,3)</f>
        <v>26085.08</v>
      </c>
    </row>
    <row r="169" spans="1:3">
      <c r="A169" s="23">
        <f t="shared" ca="1" si="2"/>
        <v>45997</v>
      </c>
      <c r="B169" cm="1">
        <f t="array" aca="1" ref="B169" ca="1">[1]!s_dq_close("HSTECH.HI",$A169,3)</f>
        <v>5662.46</v>
      </c>
      <c r="C169" cm="1">
        <f t="array" aca="1" ref="C169" ca="1">[1]!s_dq_close("HSI.HI",$A169,3)</f>
        <v>26085.08</v>
      </c>
    </row>
    <row r="170" spans="1:3">
      <c r="A170" s="23">
        <f t="shared" ca="1" si="2"/>
        <v>45996</v>
      </c>
      <c r="B170" cm="1">
        <f t="array" aca="1" ref="B170" ca="1">[1]!s_dq_close("HSTECH.HI",$A170,3)</f>
        <v>5662.46</v>
      </c>
      <c r="C170" cm="1">
        <f t="array" aca="1" ref="C170" ca="1">[1]!s_dq_close("HSI.HI",$A170,3)</f>
        <v>26085.08</v>
      </c>
    </row>
    <row r="171" spans="1:3">
      <c r="A171" s="23">
        <f t="shared" ca="1" si="2"/>
        <v>45995</v>
      </c>
      <c r="B171" cm="1">
        <f t="array" aca="1" ref="B171" ca="1">[1]!s_dq_close("HSTECH.HI",$A171,3)</f>
        <v>5615.43</v>
      </c>
      <c r="C171" cm="1">
        <f t="array" aca="1" ref="C171" ca="1">[1]!s_dq_close("HSI.HI",$A171,3)</f>
        <v>25935.9</v>
      </c>
    </row>
    <row r="172" spans="1:3">
      <c r="A172" s="23">
        <f t="shared" ca="1" si="2"/>
        <v>45994</v>
      </c>
      <c r="B172" cm="1">
        <f t="array" aca="1" ref="B172" ca="1">[1]!s_dq_close("HSTECH.HI",$A172,3)</f>
        <v>5534.92</v>
      </c>
      <c r="C172" cm="1">
        <f t="array" aca="1" ref="C172" ca="1">[1]!s_dq_close("HSI.HI",$A172,3)</f>
        <v>25760.73</v>
      </c>
    </row>
    <row r="173" spans="1:3">
      <c r="A173" s="23">
        <f t="shared" ca="1" si="2"/>
        <v>45993</v>
      </c>
      <c r="B173" cm="1">
        <f t="array" aca="1" ref="B173" ca="1">[1]!s_dq_close("HSTECH.HI",$A173,3)</f>
        <v>5624.04</v>
      </c>
      <c r="C173" cm="1">
        <f t="array" aca="1" ref="C173" ca="1">[1]!s_dq_close("HSI.HI",$A173,3)</f>
        <v>26095.05</v>
      </c>
    </row>
    <row r="174" spans="1:3">
      <c r="A174" s="23">
        <f t="shared" ca="1" si="2"/>
        <v>45992</v>
      </c>
      <c r="B174" cm="1">
        <f t="array" aca="1" ref="B174" ca="1">[1]!s_dq_close("HSTECH.HI",$A174,3)</f>
        <v>5644.76</v>
      </c>
      <c r="C174" cm="1">
        <f t="array" aca="1" ref="C174" ca="1">[1]!s_dq_close("HSI.HI",$A174,3)</f>
        <v>26033.26</v>
      </c>
    </row>
    <row r="175" spans="1:3">
      <c r="A175" s="23">
        <f t="shared" ca="1" si="2"/>
        <v>45991</v>
      </c>
      <c r="B175" cm="1">
        <f t="array" aca="1" ref="B175" ca="1">[1]!s_dq_close("HSTECH.HI",$A175,3)</f>
        <v>5599.11</v>
      </c>
      <c r="C175" cm="1">
        <f t="array" aca="1" ref="C175" ca="1">[1]!s_dq_close("HSI.HI",$A175,3)</f>
        <v>25858.89</v>
      </c>
    </row>
    <row r="176" spans="1:3">
      <c r="A176" s="23">
        <f t="shared" ca="1" si="2"/>
        <v>45990</v>
      </c>
      <c r="B176" cm="1">
        <f t="array" aca="1" ref="B176" ca="1">[1]!s_dq_close("HSTECH.HI",$A176,3)</f>
        <v>5599.11</v>
      </c>
      <c r="C176" cm="1">
        <f t="array" aca="1" ref="C176" ca="1">[1]!s_dq_close("HSI.HI",$A176,3)</f>
        <v>25858.89</v>
      </c>
    </row>
    <row r="177" spans="1:3">
      <c r="A177" s="23">
        <f t="shared" ca="1" si="2"/>
        <v>45989</v>
      </c>
      <c r="B177" cm="1">
        <f t="array" aca="1" ref="B177" ca="1">[1]!s_dq_close("HSTECH.HI",$A177,3)</f>
        <v>5599.11</v>
      </c>
      <c r="C177" cm="1">
        <f t="array" aca="1" ref="C177" ca="1">[1]!s_dq_close("HSI.HI",$A177,3)</f>
        <v>25858.89</v>
      </c>
    </row>
    <row r="178" spans="1:3">
      <c r="A178" s="23">
        <f t="shared" ca="1" si="2"/>
        <v>45988</v>
      </c>
      <c r="B178" cm="1">
        <f t="array" aca="1" ref="B178" ca="1">[1]!s_dq_close("HSTECH.HI",$A178,3)</f>
        <v>5598.05</v>
      </c>
      <c r="C178" cm="1">
        <f t="array" aca="1" ref="C178" ca="1">[1]!s_dq_close("HSI.HI",$A178,3)</f>
        <v>25945.93</v>
      </c>
    </row>
    <row r="179" spans="1:3">
      <c r="A179" s="23">
        <f t="shared" ca="1" si="2"/>
        <v>45987</v>
      </c>
      <c r="B179" cm="1">
        <f t="array" aca="1" ref="B179" ca="1">[1]!s_dq_close("HSTECH.HI",$A179,3)</f>
        <v>5618.36</v>
      </c>
      <c r="C179" cm="1">
        <f t="array" aca="1" ref="C179" ca="1">[1]!s_dq_close("HSI.HI",$A179,3)</f>
        <v>25928.080000000002</v>
      </c>
    </row>
    <row r="180" spans="1:3">
      <c r="A180" s="23">
        <f t="shared" ca="1" si="2"/>
        <v>45986</v>
      </c>
      <c r="B180" cm="1">
        <f t="array" aca="1" ref="B180" ca="1">[1]!s_dq_close("HSTECH.HI",$A180,3)</f>
        <v>5612.03</v>
      </c>
      <c r="C180" cm="1">
        <f t="array" aca="1" ref="C180" ca="1">[1]!s_dq_close("HSI.HI",$A180,3)</f>
        <v>25894.55</v>
      </c>
    </row>
    <row r="181" spans="1:3">
      <c r="A181" s="23">
        <f t="shared" ca="1" si="2"/>
        <v>45985</v>
      </c>
      <c r="B181" cm="1">
        <f t="array" aca="1" ref="B181" ca="1">[1]!s_dq_close("HSTECH.HI",$A181,3)</f>
        <v>5545.56</v>
      </c>
      <c r="C181" cm="1">
        <f t="array" aca="1" ref="C181" ca="1">[1]!s_dq_close("HSI.HI",$A181,3)</f>
        <v>25716.5</v>
      </c>
    </row>
    <row r="182" spans="1:3">
      <c r="A182" s="23">
        <f t="shared" ca="1" si="2"/>
        <v>45984</v>
      </c>
      <c r="B182" cm="1">
        <f t="array" aca="1" ref="B182" ca="1">[1]!s_dq_close("HSTECH.HI",$A182,3)</f>
        <v>5395.49</v>
      </c>
      <c r="C182" cm="1">
        <f t="array" aca="1" ref="C182" ca="1">[1]!s_dq_close("HSI.HI",$A182,3)</f>
        <v>25220.02</v>
      </c>
    </row>
    <row r="183" spans="1:3">
      <c r="A183" s="23">
        <f t="shared" ca="1" si="2"/>
        <v>45983</v>
      </c>
      <c r="B183" cm="1">
        <f t="array" aca="1" ref="B183" ca="1">[1]!s_dq_close("HSTECH.HI",$A183,3)</f>
        <v>5395.49</v>
      </c>
      <c r="C183" cm="1">
        <f t="array" aca="1" ref="C183" ca="1">[1]!s_dq_close("HSI.HI",$A183,3)</f>
        <v>25220.02</v>
      </c>
    </row>
    <row r="184" spans="1:3">
      <c r="A184" s="23">
        <f t="shared" ca="1" si="2"/>
        <v>45982</v>
      </c>
      <c r="B184" cm="1">
        <f t="array" aca="1" ref="B184" ca="1">[1]!s_dq_close("HSTECH.HI",$A184,3)</f>
        <v>5395.49</v>
      </c>
      <c r="C184" cm="1">
        <f t="array" aca="1" ref="C184" ca="1">[1]!s_dq_close("HSI.HI",$A184,3)</f>
        <v>25220.02</v>
      </c>
    </row>
    <row r="185" spans="1:3">
      <c r="A185" s="23">
        <f t="shared" ca="1" si="2"/>
        <v>45981</v>
      </c>
      <c r="B185" cm="1">
        <f t="array" aca="1" ref="B185" ca="1">[1]!s_dq_close("HSTECH.HI",$A185,3)</f>
        <v>5574.59</v>
      </c>
      <c r="C185" cm="1">
        <f t="array" aca="1" ref="C185" ca="1">[1]!s_dq_close("HSI.HI",$A185,3)</f>
        <v>25835.57</v>
      </c>
    </row>
    <row r="186" spans="1:3">
      <c r="A186" s="23">
        <f t="shared" ca="1" si="2"/>
        <v>45980</v>
      </c>
      <c r="B186" cm="1">
        <f t="array" aca="1" ref="B186" ca="1">[1]!s_dq_close("HSTECH.HI",$A186,3)</f>
        <v>5606.9</v>
      </c>
      <c r="C186" cm="1">
        <f t="array" aca="1" ref="C186" ca="1">[1]!s_dq_close("HSI.HI",$A186,3)</f>
        <v>25830.65</v>
      </c>
    </row>
    <row r="187" spans="1:3">
      <c r="A187" s="23">
        <f t="shared" ca="1" si="2"/>
        <v>45979</v>
      </c>
      <c r="B187" cm="1">
        <f t="array" aca="1" ref="B187" ca="1">[1]!s_dq_close("HSTECH.HI",$A187,3)</f>
        <v>5645.73</v>
      </c>
      <c r="C187" cm="1">
        <f t="array" aca="1" ref="C187" ca="1">[1]!s_dq_close("HSI.HI",$A187,3)</f>
        <v>25930.03</v>
      </c>
    </row>
    <row r="188" spans="1:3">
      <c r="A188" s="23">
        <f t="shared" ca="1" si="2"/>
        <v>45978</v>
      </c>
      <c r="B188" cm="1">
        <f t="array" aca="1" ref="B188" ca="1">[1]!s_dq_close("HSTECH.HI",$A188,3)</f>
        <v>5756.88</v>
      </c>
      <c r="C188" cm="1">
        <f t="array" aca="1" ref="C188" ca="1">[1]!s_dq_close("HSI.HI",$A188,3)</f>
        <v>26384.28</v>
      </c>
    </row>
    <row r="189" spans="1:3">
      <c r="A189" s="23">
        <f t="shared" ca="1" si="2"/>
        <v>45977</v>
      </c>
      <c r="B189" cm="1">
        <f t="array" aca="1" ref="B189" ca="1">[1]!s_dq_close("HSTECH.HI",$A189,3)</f>
        <v>5812.8</v>
      </c>
      <c r="C189" cm="1">
        <f t="array" aca="1" ref="C189" ca="1">[1]!s_dq_close("HSI.HI",$A189,3)</f>
        <v>26572.46</v>
      </c>
    </row>
    <row r="190" spans="1:3">
      <c r="A190" s="23">
        <f t="shared" ca="1" si="2"/>
        <v>45976</v>
      </c>
      <c r="B190" cm="1">
        <f t="array" aca="1" ref="B190" ca="1">[1]!s_dq_close("HSTECH.HI",$A190,3)</f>
        <v>5812.8</v>
      </c>
      <c r="C190" cm="1">
        <f t="array" aca="1" ref="C190" ca="1">[1]!s_dq_close("HSI.HI",$A190,3)</f>
        <v>26572.46</v>
      </c>
    </row>
    <row r="191" spans="1:3">
      <c r="A191" s="23">
        <f t="shared" ca="1" si="2"/>
        <v>45975</v>
      </c>
      <c r="B191" cm="1">
        <f t="array" aca="1" ref="B191" ca="1">[1]!s_dq_close("HSTECH.HI",$A191,3)</f>
        <v>5812.8</v>
      </c>
      <c r="C191" cm="1">
        <f t="array" aca="1" ref="C191" ca="1">[1]!s_dq_close("HSI.HI",$A191,3)</f>
        <v>26572.46</v>
      </c>
    </row>
    <row r="192" spans="1:3">
      <c r="A192" s="23">
        <f t="shared" ca="1" si="2"/>
        <v>45974</v>
      </c>
      <c r="B192" cm="1">
        <f t="array" aca="1" ref="B192" ca="1">[1]!s_dq_close("HSTECH.HI",$A192,3)</f>
        <v>5981.3</v>
      </c>
      <c r="C192" cm="1">
        <f t="array" aca="1" ref="C192" ca="1">[1]!s_dq_close("HSI.HI",$A192,3)</f>
        <v>27073.03</v>
      </c>
    </row>
    <row r="193" spans="1:3">
      <c r="A193" s="23">
        <f t="shared" ca="1" si="2"/>
        <v>45973</v>
      </c>
      <c r="B193" cm="1">
        <f t="array" aca="1" ref="B193" ca="1">[1]!s_dq_close("HSTECH.HI",$A193,3)</f>
        <v>5933.99</v>
      </c>
      <c r="C193" cm="1">
        <f t="array" aca="1" ref="C193" ca="1">[1]!s_dq_close("HSI.HI",$A193,3)</f>
        <v>26922.73</v>
      </c>
    </row>
    <row r="194" spans="1:3">
      <c r="A194" s="23">
        <f t="shared" ca="1" si="2"/>
        <v>45972</v>
      </c>
      <c r="B194" cm="1">
        <f t="array" aca="1" ref="B194" ca="1">[1]!s_dq_close("HSTECH.HI",$A194,3)</f>
        <v>5924.39</v>
      </c>
      <c r="C194" cm="1">
        <f t="array" aca="1" ref="C194" ca="1">[1]!s_dq_close("HSI.HI",$A194,3)</f>
        <v>26696.41</v>
      </c>
    </row>
    <row r="195" spans="1:3">
      <c r="A195" s="23">
        <f t="shared" ca="1" si="2"/>
        <v>45971</v>
      </c>
      <c r="B195" cm="1">
        <f t="array" aca="1" ref="B195" ca="1">[1]!s_dq_close("HSTECH.HI",$A195,3)</f>
        <v>5915.56</v>
      </c>
      <c r="C195" cm="1">
        <f t="array" aca="1" ref="C195" ca="1">[1]!s_dq_close("HSI.HI",$A195,3)</f>
        <v>26649.06</v>
      </c>
    </row>
    <row r="196" spans="1:3">
      <c r="A196" s="23">
        <f t="shared" ref="A196:A259" ca="1" si="3">A195-1</f>
        <v>45970</v>
      </c>
      <c r="B196" cm="1">
        <f t="array" aca="1" ref="B196" ca="1">[1]!s_dq_close("HSTECH.HI",$A196,3)</f>
        <v>5837.36</v>
      </c>
      <c r="C196" cm="1">
        <f t="array" aca="1" ref="C196" ca="1">[1]!s_dq_close("HSI.HI",$A196,3)</f>
        <v>26241.83</v>
      </c>
    </row>
    <row r="197" spans="1:3">
      <c r="A197" s="23">
        <f t="shared" ca="1" si="3"/>
        <v>45969</v>
      </c>
      <c r="B197" cm="1">
        <f t="array" aca="1" ref="B197" ca="1">[1]!s_dq_close("HSTECH.HI",$A197,3)</f>
        <v>5837.36</v>
      </c>
      <c r="C197" cm="1">
        <f t="array" aca="1" ref="C197" ca="1">[1]!s_dq_close("HSI.HI",$A197,3)</f>
        <v>26241.83</v>
      </c>
    </row>
    <row r="198" spans="1:3">
      <c r="A198" s="23">
        <f t="shared" ca="1" si="3"/>
        <v>45968</v>
      </c>
      <c r="B198" cm="1">
        <f t="array" aca="1" ref="B198" ca="1">[1]!s_dq_close("HSTECH.HI",$A198,3)</f>
        <v>5837.36</v>
      </c>
      <c r="C198" cm="1">
        <f t="array" aca="1" ref="C198" ca="1">[1]!s_dq_close("HSI.HI",$A198,3)</f>
        <v>26241.83</v>
      </c>
    </row>
    <row r="199" spans="1:3">
      <c r="A199" s="23">
        <f t="shared" ca="1" si="3"/>
        <v>45967</v>
      </c>
      <c r="B199" cm="1">
        <f t="array" aca="1" ref="B199" ca="1">[1]!s_dq_close("HSTECH.HI",$A199,3)</f>
        <v>5944.22</v>
      </c>
      <c r="C199" cm="1">
        <f t="array" aca="1" ref="C199" ca="1">[1]!s_dq_close("HSI.HI",$A199,3)</f>
        <v>26485.9</v>
      </c>
    </row>
    <row r="200" spans="1:3">
      <c r="A200" s="23">
        <f t="shared" ca="1" si="3"/>
        <v>45966</v>
      </c>
      <c r="B200" cm="1">
        <f t="array" aca="1" ref="B200" ca="1">[1]!s_dq_close("HSTECH.HI",$A200,3)</f>
        <v>5785.85</v>
      </c>
      <c r="C200" cm="1">
        <f t="array" aca="1" ref="C200" ca="1">[1]!s_dq_close("HSI.HI",$A200,3)</f>
        <v>25935.41</v>
      </c>
    </row>
    <row r="201" spans="1:3">
      <c r="A201" s="23">
        <f t="shared" ca="1" si="3"/>
        <v>45965</v>
      </c>
      <c r="B201" cm="1">
        <f t="array" aca="1" ref="B201" ca="1">[1]!s_dq_close("HSTECH.HI",$A201,3)</f>
        <v>5818.29</v>
      </c>
      <c r="C201" cm="1">
        <f t="array" aca="1" ref="C201" ca="1">[1]!s_dq_close("HSI.HI",$A201,3)</f>
        <v>25952.400000000001</v>
      </c>
    </row>
    <row r="202" spans="1:3">
      <c r="A202" s="23">
        <f t="shared" ca="1" si="3"/>
        <v>45964</v>
      </c>
      <c r="B202" cm="1">
        <f t="array" aca="1" ref="B202" ca="1">[1]!s_dq_close("HSTECH.HI",$A202,3)</f>
        <v>5922.48</v>
      </c>
      <c r="C202" cm="1">
        <f t="array" aca="1" ref="C202" ca="1">[1]!s_dq_close("HSI.HI",$A202,3)</f>
        <v>26158.36</v>
      </c>
    </row>
    <row r="203" spans="1:3">
      <c r="A203" s="23">
        <f t="shared" ca="1" si="3"/>
        <v>45963</v>
      </c>
      <c r="B203" cm="1">
        <f t="array" aca="1" ref="B203" ca="1">[1]!s_dq_close("HSTECH.HI",$A203,3)</f>
        <v>5908.08</v>
      </c>
      <c r="C203" cm="1">
        <f t="array" aca="1" ref="C203" ca="1">[1]!s_dq_close("HSI.HI",$A203,3)</f>
        <v>25906.65</v>
      </c>
    </row>
    <row r="204" spans="1:3">
      <c r="A204" s="23">
        <f t="shared" ca="1" si="3"/>
        <v>45962</v>
      </c>
      <c r="B204" cm="1">
        <f t="array" aca="1" ref="B204" ca="1">[1]!s_dq_close("HSTECH.HI",$A204,3)</f>
        <v>5908.08</v>
      </c>
      <c r="C204" cm="1">
        <f t="array" aca="1" ref="C204" ca="1">[1]!s_dq_close("HSI.HI",$A204,3)</f>
        <v>25906.65</v>
      </c>
    </row>
    <row r="205" spans="1:3">
      <c r="A205" s="23">
        <f t="shared" ca="1" si="3"/>
        <v>45961</v>
      </c>
      <c r="B205" cm="1">
        <f t="array" aca="1" ref="B205" ca="1">[1]!s_dq_close("HSTECH.HI",$A205,3)</f>
        <v>5908.08</v>
      </c>
      <c r="C205" cm="1">
        <f t="array" aca="1" ref="C205" ca="1">[1]!s_dq_close("HSI.HI",$A205,3)</f>
        <v>25906.65</v>
      </c>
    </row>
    <row r="206" spans="1:3">
      <c r="A206" s="23">
        <f t="shared" ca="1" si="3"/>
        <v>45960</v>
      </c>
      <c r="B206" cm="1">
        <f t="array" aca="1" ref="B206" ca="1">[1]!s_dq_close("HSTECH.HI",$A206,3)</f>
        <v>6051.76</v>
      </c>
      <c r="C206" cm="1">
        <f t="array" aca="1" ref="C206" ca="1">[1]!s_dq_close("HSI.HI",$A206,3)</f>
        <v>26282.69</v>
      </c>
    </row>
    <row r="207" spans="1:3">
      <c r="A207" s="23">
        <f t="shared" ca="1" si="3"/>
        <v>45959</v>
      </c>
      <c r="B207" cm="1">
        <f t="array" aca="1" ref="B207" ca="1">[1]!s_dq_close("HSTECH.HI",$A207,3)</f>
        <v>6093.44</v>
      </c>
      <c r="C207" cm="1">
        <f t="array" aca="1" ref="C207" ca="1">[1]!s_dq_close("HSI.HI",$A207,3)</f>
        <v>26346.14</v>
      </c>
    </row>
    <row r="208" spans="1:3">
      <c r="A208" s="23">
        <f t="shared" ca="1" si="3"/>
        <v>45958</v>
      </c>
      <c r="B208" cm="1">
        <f t="array" aca="1" ref="B208" ca="1">[1]!s_dq_close("HSTECH.HI",$A208,3)</f>
        <v>6093.44</v>
      </c>
      <c r="C208" cm="1">
        <f t="array" aca="1" ref="C208" ca="1">[1]!s_dq_close("HSI.HI",$A208,3)</f>
        <v>26346.14</v>
      </c>
    </row>
    <row r="209" spans="1:3">
      <c r="A209" s="23">
        <f t="shared" ca="1" si="3"/>
        <v>45957</v>
      </c>
      <c r="B209" cm="1">
        <f t="array" aca="1" ref="B209" ca="1">[1]!s_dq_close("HSTECH.HI",$A209,3)</f>
        <v>6171.08</v>
      </c>
      <c r="C209" cm="1">
        <f t="array" aca="1" ref="C209" ca="1">[1]!s_dq_close("HSI.HI",$A209,3)</f>
        <v>26433.7</v>
      </c>
    </row>
    <row r="210" spans="1:3">
      <c r="A210" s="23">
        <f t="shared" ca="1" si="3"/>
        <v>45956</v>
      </c>
      <c r="B210" cm="1">
        <f t="array" aca="1" ref="B210" ca="1">[1]!s_dq_close("HSTECH.HI",$A210,3)</f>
        <v>6059.89</v>
      </c>
      <c r="C210" cm="1">
        <f t="array" aca="1" ref="C210" ca="1">[1]!s_dq_close("HSI.HI",$A210,3)</f>
        <v>26160.15</v>
      </c>
    </row>
    <row r="211" spans="1:3">
      <c r="A211" s="23">
        <f t="shared" ca="1" si="3"/>
        <v>45955</v>
      </c>
      <c r="B211" cm="1">
        <f t="array" aca="1" ref="B211" ca="1">[1]!s_dq_close("HSTECH.HI",$A211,3)</f>
        <v>6059.89</v>
      </c>
      <c r="C211" cm="1">
        <f t="array" aca="1" ref="C211" ca="1">[1]!s_dq_close("HSI.HI",$A211,3)</f>
        <v>26160.15</v>
      </c>
    </row>
    <row r="212" spans="1:3">
      <c r="A212" s="23">
        <f t="shared" ca="1" si="3"/>
        <v>45954</v>
      </c>
      <c r="B212" cm="1">
        <f t="array" aca="1" ref="B212" ca="1">[1]!s_dq_close("HSTECH.HI",$A212,3)</f>
        <v>6059.89</v>
      </c>
      <c r="C212" cm="1">
        <f t="array" aca="1" ref="C212" ca="1">[1]!s_dq_close("HSI.HI",$A212,3)</f>
        <v>26160.15</v>
      </c>
    </row>
    <row r="213" spans="1:3">
      <c r="A213" s="23">
        <f t="shared" ca="1" si="3"/>
        <v>45953</v>
      </c>
      <c r="B213" cm="1">
        <f t="array" aca="1" ref="B213" ca="1">[1]!s_dq_close("HSTECH.HI",$A213,3)</f>
        <v>5951.45</v>
      </c>
      <c r="C213" cm="1">
        <f t="array" aca="1" ref="C213" ca="1">[1]!s_dq_close("HSI.HI",$A213,3)</f>
        <v>25967.98</v>
      </c>
    </row>
    <row r="214" spans="1:3">
      <c r="A214" s="23">
        <f t="shared" ca="1" si="3"/>
        <v>45952</v>
      </c>
      <c r="B214" cm="1">
        <f t="array" aca="1" ref="B214" ca="1">[1]!s_dq_close("HSTECH.HI",$A214,3)</f>
        <v>5923.09</v>
      </c>
      <c r="C214" cm="1">
        <f t="array" aca="1" ref="C214" ca="1">[1]!s_dq_close("HSI.HI",$A214,3)</f>
        <v>25781.77</v>
      </c>
    </row>
    <row r="215" spans="1:3">
      <c r="A215" s="23">
        <f t="shared" ca="1" si="3"/>
        <v>45951</v>
      </c>
      <c r="B215" cm="1">
        <f t="array" aca="1" ref="B215" ca="1">[1]!s_dq_close("HSTECH.HI",$A215,3)</f>
        <v>6007.94</v>
      </c>
      <c r="C215" cm="1">
        <f t="array" aca="1" ref="C215" ca="1">[1]!s_dq_close("HSI.HI",$A215,3)</f>
        <v>26027.55</v>
      </c>
    </row>
    <row r="216" spans="1:3">
      <c r="A216" s="23">
        <f t="shared" ca="1" si="3"/>
        <v>45950</v>
      </c>
      <c r="B216" cm="1">
        <f t="array" aca="1" ref="B216" ca="1">[1]!s_dq_close("HSTECH.HI",$A216,3)</f>
        <v>5933.17</v>
      </c>
      <c r="C216" cm="1">
        <f t="array" aca="1" ref="C216" ca="1">[1]!s_dq_close("HSI.HI",$A216,3)</f>
        <v>25858.83</v>
      </c>
    </row>
    <row r="217" spans="1:3">
      <c r="A217" s="23">
        <f t="shared" ca="1" si="3"/>
        <v>45949</v>
      </c>
      <c r="B217" cm="1">
        <f t="array" aca="1" ref="B217" ca="1">[1]!s_dq_close("HSTECH.HI",$A217,3)</f>
        <v>5760.38</v>
      </c>
      <c r="C217" cm="1">
        <f t="array" aca="1" ref="C217" ca="1">[1]!s_dq_close("HSI.HI",$A217,3)</f>
        <v>25247.1</v>
      </c>
    </row>
    <row r="218" spans="1:3">
      <c r="A218" s="23">
        <f t="shared" ca="1" si="3"/>
        <v>45948</v>
      </c>
      <c r="B218" cm="1">
        <f t="array" aca="1" ref="B218" ca="1">[1]!s_dq_close("HSTECH.HI",$A218,3)</f>
        <v>5760.38</v>
      </c>
      <c r="C218" cm="1">
        <f t="array" aca="1" ref="C218" ca="1">[1]!s_dq_close("HSI.HI",$A218,3)</f>
        <v>25247.1</v>
      </c>
    </row>
    <row r="219" spans="1:3">
      <c r="A219" s="23">
        <f t="shared" ca="1" si="3"/>
        <v>45947</v>
      </c>
      <c r="B219" cm="1">
        <f t="array" aca="1" ref="B219" ca="1">[1]!s_dq_close("HSTECH.HI",$A219,3)</f>
        <v>5760.38</v>
      </c>
      <c r="C219" cm="1">
        <f t="array" aca="1" ref="C219" ca="1">[1]!s_dq_close("HSI.HI",$A219,3)</f>
        <v>25247.1</v>
      </c>
    </row>
    <row r="220" spans="1:3">
      <c r="A220" s="23">
        <f t="shared" ca="1" si="3"/>
        <v>45946</v>
      </c>
      <c r="B220" cm="1">
        <f t="array" aca="1" ref="B220" ca="1">[1]!s_dq_close("HSTECH.HI",$A220,3)</f>
        <v>6003.56</v>
      </c>
      <c r="C220" cm="1">
        <f t="array" aca="1" ref="C220" ca="1">[1]!s_dq_close("HSI.HI",$A220,3)</f>
        <v>25888.51</v>
      </c>
    </row>
    <row r="221" spans="1:3">
      <c r="A221" s="23">
        <f t="shared" ca="1" si="3"/>
        <v>45945</v>
      </c>
      <c r="B221" cm="1">
        <f t="array" aca="1" ref="B221" ca="1">[1]!s_dq_close("HSTECH.HI",$A221,3)</f>
        <v>6075.27</v>
      </c>
      <c r="C221" cm="1">
        <f t="array" aca="1" ref="C221" ca="1">[1]!s_dq_close("HSI.HI",$A221,3)</f>
        <v>25910.6</v>
      </c>
    </row>
    <row r="222" spans="1:3">
      <c r="A222" s="23">
        <f t="shared" ca="1" si="3"/>
        <v>45944</v>
      </c>
      <c r="B222" cm="1">
        <f t="array" aca="1" ref="B222" ca="1">[1]!s_dq_close("HSTECH.HI",$A222,3)</f>
        <v>5923.26</v>
      </c>
      <c r="C222" cm="1">
        <f t="array" aca="1" ref="C222" ca="1">[1]!s_dq_close("HSI.HI",$A222,3)</f>
        <v>25441.35</v>
      </c>
    </row>
    <row r="223" spans="1:3">
      <c r="A223" s="23">
        <f t="shared" ca="1" si="3"/>
        <v>45943</v>
      </c>
      <c r="B223" cm="1">
        <f t="array" aca="1" ref="B223" ca="1">[1]!s_dq_close("HSTECH.HI",$A223,3)</f>
        <v>6145.51</v>
      </c>
      <c r="C223" cm="1">
        <f t="array" aca="1" ref="C223" ca="1">[1]!s_dq_close("HSI.HI",$A223,3)</f>
        <v>25889.48</v>
      </c>
    </row>
    <row r="224" spans="1:3">
      <c r="A224" s="23">
        <f t="shared" ca="1" si="3"/>
        <v>45942</v>
      </c>
      <c r="B224" cm="1">
        <f t="array" aca="1" ref="B224" ca="1">[1]!s_dq_close("HSTECH.HI",$A224,3)</f>
        <v>6259.75</v>
      </c>
      <c r="C224" cm="1">
        <f t="array" aca="1" ref="C224" ca="1">[1]!s_dq_close("HSI.HI",$A224,3)</f>
        <v>26290.32</v>
      </c>
    </row>
    <row r="225" spans="1:3">
      <c r="A225" s="23">
        <f t="shared" ca="1" si="3"/>
        <v>45941</v>
      </c>
      <c r="B225" cm="1">
        <f t="array" aca="1" ref="B225" ca="1">[1]!s_dq_close("HSTECH.HI",$A225,3)</f>
        <v>6259.75</v>
      </c>
      <c r="C225" cm="1">
        <f t="array" aca="1" ref="C225" ca="1">[1]!s_dq_close("HSI.HI",$A225,3)</f>
        <v>26290.32</v>
      </c>
    </row>
    <row r="226" spans="1:3">
      <c r="A226" s="23">
        <f t="shared" ca="1" si="3"/>
        <v>45940</v>
      </c>
      <c r="B226" cm="1">
        <f t="array" aca="1" ref="B226" ca="1">[1]!s_dq_close("HSTECH.HI",$A226,3)</f>
        <v>6259.75</v>
      </c>
      <c r="C226" cm="1">
        <f t="array" aca="1" ref="C226" ca="1">[1]!s_dq_close("HSI.HI",$A226,3)</f>
        <v>26290.32</v>
      </c>
    </row>
    <row r="227" spans="1:3">
      <c r="A227" s="23">
        <f t="shared" ca="1" si="3"/>
        <v>45939</v>
      </c>
      <c r="B227" cm="1">
        <f t="array" aca="1" ref="B227" ca="1">[1]!s_dq_close("HSTECH.HI",$A227,3)</f>
        <v>6471.34</v>
      </c>
      <c r="C227" cm="1">
        <f t="array" aca="1" ref="C227" ca="1">[1]!s_dq_close("HSI.HI",$A227,3)</f>
        <v>26752.59</v>
      </c>
    </row>
    <row r="228" spans="1:3">
      <c r="A228" s="23">
        <f t="shared" ca="1" si="3"/>
        <v>45938</v>
      </c>
      <c r="B228" cm="1">
        <f t="array" aca="1" ref="B228" ca="1">[1]!s_dq_close("HSTECH.HI",$A228,3)</f>
        <v>6514.19</v>
      </c>
      <c r="C228" cm="1">
        <f t="array" aca="1" ref="C228" ca="1">[1]!s_dq_close("HSI.HI",$A228,3)</f>
        <v>26829.46</v>
      </c>
    </row>
    <row r="229" spans="1:3">
      <c r="A229" s="23">
        <f t="shared" ca="1" si="3"/>
        <v>45937</v>
      </c>
      <c r="B229" cm="1">
        <f t="array" aca="1" ref="B229" ca="1">[1]!s_dq_close("HSTECH.HI",$A229,3)</f>
        <v>6550.3</v>
      </c>
      <c r="C229" cm="1">
        <f t="array" aca="1" ref="C229" ca="1">[1]!s_dq_close("HSI.HI",$A229,3)</f>
        <v>26957.77</v>
      </c>
    </row>
    <row r="230" spans="1:3">
      <c r="A230" s="23">
        <f t="shared" ca="1" si="3"/>
        <v>45936</v>
      </c>
      <c r="B230" cm="1">
        <f t="array" aca="1" ref="B230" ca="1">[1]!s_dq_close("HSTECH.HI",$A230,3)</f>
        <v>6550.3</v>
      </c>
      <c r="C230" cm="1">
        <f t="array" aca="1" ref="C230" ca="1">[1]!s_dq_close("HSI.HI",$A230,3)</f>
        <v>26957.77</v>
      </c>
    </row>
    <row r="231" spans="1:3">
      <c r="A231" s="23">
        <f t="shared" ca="1" si="3"/>
        <v>45935</v>
      </c>
      <c r="B231" cm="1">
        <f t="array" aca="1" ref="B231" ca="1">[1]!s_dq_close("HSTECH.HI",$A231,3)</f>
        <v>6622.85</v>
      </c>
      <c r="C231" cm="1">
        <f t="array" aca="1" ref="C231" ca="1">[1]!s_dq_close("HSI.HI",$A231,3)</f>
        <v>27140.92</v>
      </c>
    </row>
    <row r="232" spans="1:3">
      <c r="A232" s="23">
        <f t="shared" ca="1" si="3"/>
        <v>45934</v>
      </c>
      <c r="B232" cm="1">
        <f t="array" aca="1" ref="B232" ca="1">[1]!s_dq_close("HSTECH.HI",$A232,3)</f>
        <v>6622.85</v>
      </c>
      <c r="C232" cm="1">
        <f t="array" aca="1" ref="C232" ca="1">[1]!s_dq_close("HSI.HI",$A232,3)</f>
        <v>27140.92</v>
      </c>
    </row>
    <row r="233" spans="1:3">
      <c r="A233" s="23">
        <f t="shared" ca="1" si="3"/>
        <v>45933</v>
      </c>
      <c r="B233" cm="1">
        <f t="array" aca="1" ref="B233" ca="1">[1]!s_dq_close("HSTECH.HI",$A233,3)</f>
        <v>6622.85</v>
      </c>
      <c r="C233" cm="1">
        <f t="array" aca="1" ref="C233" ca="1">[1]!s_dq_close("HSI.HI",$A233,3)</f>
        <v>27140.92</v>
      </c>
    </row>
    <row r="234" spans="1:3">
      <c r="A234" s="23">
        <f t="shared" ca="1" si="3"/>
        <v>45932</v>
      </c>
      <c r="B234" cm="1">
        <f t="array" aca="1" ref="B234" ca="1">[1]!s_dq_close("HSTECH.HI",$A234,3)</f>
        <v>6682.86</v>
      </c>
      <c r="C234" cm="1">
        <f t="array" aca="1" ref="C234" ca="1">[1]!s_dq_close("HSI.HI",$A234,3)</f>
        <v>27287.119999999999</v>
      </c>
    </row>
    <row r="235" spans="1:3">
      <c r="A235" s="23">
        <f t="shared" ca="1" si="3"/>
        <v>45931</v>
      </c>
      <c r="B235" cm="1">
        <f t="array" aca="1" ref="B235" ca="1">[1]!s_dq_close("HSTECH.HI",$A235,3)</f>
        <v>6465.66</v>
      </c>
      <c r="C235" cm="1">
        <f t="array" aca="1" ref="C235" ca="1">[1]!s_dq_close("HSI.HI",$A235,3)</f>
        <v>26855.56</v>
      </c>
    </row>
    <row r="236" spans="1:3">
      <c r="A236" s="23">
        <f t="shared" ca="1" si="3"/>
        <v>45930</v>
      </c>
      <c r="B236" cm="1">
        <f t="array" aca="1" ref="B236" ca="1">[1]!s_dq_close("HSTECH.HI",$A236,3)</f>
        <v>6465.66</v>
      </c>
      <c r="C236" cm="1">
        <f t="array" aca="1" ref="C236" ca="1">[1]!s_dq_close("HSI.HI",$A236,3)</f>
        <v>26855.56</v>
      </c>
    </row>
    <row r="237" spans="1:3">
      <c r="A237" s="23">
        <f t="shared" ca="1" si="3"/>
        <v>45929</v>
      </c>
      <c r="B237" cm="1">
        <f t="array" aca="1" ref="B237" ca="1">[1]!s_dq_close("HSTECH.HI",$A237,3)</f>
        <v>6324.25</v>
      </c>
      <c r="C237" cm="1">
        <f t="array" aca="1" ref="C237" ca="1">[1]!s_dq_close("HSI.HI",$A237,3)</f>
        <v>26622.880000000001</v>
      </c>
    </row>
    <row r="238" spans="1:3">
      <c r="A238" s="23">
        <f t="shared" ca="1" si="3"/>
        <v>45928</v>
      </c>
      <c r="B238" cm="1">
        <f t="array" aca="1" ref="B238" ca="1">[1]!s_dq_close("HSTECH.HI",$A238,3)</f>
        <v>6195.11</v>
      </c>
      <c r="C238" cm="1">
        <f t="array" aca="1" ref="C238" ca="1">[1]!s_dq_close("HSI.HI",$A238,3)</f>
        <v>26128.2</v>
      </c>
    </row>
    <row r="239" spans="1:3">
      <c r="A239" s="23">
        <f t="shared" ca="1" si="3"/>
        <v>45927</v>
      </c>
      <c r="B239" cm="1">
        <f t="array" aca="1" ref="B239" ca="1">[1]!s_dq_close("HSTECH.HI",$A239,3)</f>
        <v>6195.11</v>
      </c>
      <c r="C239" cm="1">
        <f t="array" aca="1" ref="C239" ca="1">[1]!s_dq_close("HSI.HI",$A239,3)</f>
        <v>26128.2</v>
      </c>
    </row>
    <row r="240" spans="1:3">
      <c r="A240" s="23">
        <f t="shared" ca="1" si="3"/>
        <v>45926</v>
      </c>
      <c r="B240" cm="1">
        <f t="array" aca="1" ref="B240" ca="1">[1]!s_dq_close("HSTECH.HI",$A240,3)</f>
        <v>6195.11</v>
      </c>
      <c r="C240" cm="1">
        <f t="array" aca="1" ref="C240" ca="1">[1]!s_dq_close("HSI.HI",$A240,3)</f>
        <v>26128.2</v>
      </c>
    </row>
    <row r="241" spans="1:3">
      <c r="A241" s="23">
        <f t="shared" ca="1" si="3"/>
        <v>45925</v>
      </c>
      <c r="B241" cm="1">
        <f t="array" aca="1" ref="B241" ca="1">[1]!s_dq_close("HSTECH.HI",$A241,3)</f>
        <v>6379.19</v>
      </c>
      <c r="C241" cm="1">
        <f t="array" aca="1" ref="C241" ca="1">[1]!s_dq_close("HSI.HI",$A241,3)</f>
        <v>26484.68</v>
      </c>
    </row>
    <row r="242" spans="1:3">
      <c r="A242" s="23">
        <f t="shared" ca="1" si="3"/>
        <v>45924</v>
      </c>
      <c r="B242" cm="1">
        <f t="array" aca="1" ref="B242" ca="1">[1]!s_dq_close("HSTECH.HI",$A242,3)</f>
        <v>6323.15</v>
      </c>
      <c r="C242" cm="1">
        <f t="array" aca="1" ref="C242" ca="1">[1]!s_dq_close("HSI.HI",$A242,3)</f>
        <v>26518.65</v>
      </c>
    </row>
    <row r="243" spans="1:3">
      <c r="A243" s="23">
        <f t="shared" ca="1" si="3"/>
        <v>45923</v>
      </c>
      <c r="B243" cm="1">
        <f t="array" aca="1" ref="B243" ca="1">[1]!s_dq_close("HSTECH.HI",$A243,3)</f>
        <v>6167.06</v>
      </c>
      <c r="C243" cm="1">
        <f t="array" aca="1" ref="C243" ca="1">[1]!s_dq_close("HSI.HI",$A243,3)</f>
        <v>26159.119999999999</v>
      </c>
    </row>
    <row r="244" spans="1:3">
      <c r="A244" s="23">
        <f t="shared" ca="1" si="3"/>
        <v>45922</v>
      </c>
      <c r="B244" cm="1">
        <f t="array" aca="1" ref="B244" ca="1">[1]!s_dq_close("HSTECH.HI",$A244,3)</f>
        <v>6257.91</v>
      </c>
      <c r="C244" cm="1">
        <f t="array" aca="1" ref="C244" ca="1">[1]!s_dq_close("HSI.HI",$A244,3)</f>
        <v>26344.14</v>
      </c>
    </row>
    <row r="245" spans="1:3">
      <c r="A245" s="23">
        <f t="shared" ca="1" si="3"/>
        <v>45921</v>
      </c>
      <c r="B245" cm="1">
        <f t="array" aca="1" ref="B245" ca="1">[1]!s_dq_close("HSTECH.HI",$A245,3)</f>
        <v>6294.42</v>
      </c>
      <c r="C245" cm="1">
        <f t="array" aca="1" ref="C245" ca="1">[1]!s_dq_close("HSI.HI",$A245,3)</f>
        <v>26545.1</v>
      </c>
    </row>
    <row r="246" spans="1:3">
      <c r="A246" s="23">
        <f t="shared" ca="1" si="3"/>
        <v>45920</v>
      </c>
      <c r="B246" cm="1">
        <f t="array" aca="1" ref="B246" ca="1">[1]!s_dq_close("HSTECH.HI",$A246,3)</f>
        <v>6294.42</v>
      </c>
      <c r="C246" cm="1">
        <f t="array" aca="1" ref="C246" ca="1">[1]!s_dq_close("HSI.HI",$A246,3)</f>
        <v>26545.1</v>
      </c>
    </row>
    <row r="247" spans="1:3">
      <c r="A247" s="23">
        <f t="shared" ca="1" si="3"/>
        <v>45919</v>
      </c>
      <c r="B247" cm="1">
        <f t="array" aca="1" ref="B247" ca="1">[1]!s_dq_close("HSTECH.HI",$A247,3)</f>
        <v>6294.42</v>
      </c>
      <c r="C247" cm="1">
        <f t="array" aca="1" ref="C247" ca="1">[1]!s_dq_close("HSI.HI",$A247,3)</f>
        <v>26545.1</v>
      </c>
    </row>
    <row r="248" spans="1:3">
      <c r="A248" s="23">
        <f t="shared" ca="1" si="3"/>
        <v>45918</v>
      </c>
      <c r="B248" cm="1">
        <f t="array" aca="1" ref="B248" ca="1">[1]!s_dq_close("HSTECH.HI",$A248,3)</f>
        <v>6271.22</v>
      </c>
      <c r="C248" cm="1">
        <f t="array" aca="1" ref="C248" ca="1">[1]!s_dq_close("HSI.HI",$A248,3)</f>
        <v>26544.85</v>
      </c>
    </row>
    <row r="249" spans="1:3">
      <c r="A249" s="23">
        <f t="shared" ca="1" si="3"/>
        <v>45917</v>
      </c>
      <c r="B249" cm="1">
        <f t="array" aca="1" ref="B249" ca="1">[1]!s_dq_close("HSTECH.HI",$A249,3)</f>
        <v>6334.24</v>
      </c>
      <c r="C249" cm="1">
        <f t="array" aca="1" ref="C249" ca="1">[1]!s_dq_close("HSI.HI",$A249,3)</f>
        <v>26908.39</v>
      </c>
    </row>
    <row r="250" spans="1:3">
      <c r="A250" s="23">
        <f t="shared" ca="1" si="3"/>
        <v>45916</v>
      </c>
      <c r="B250" cm="1">
        <f t="array" aca="1" ref="B250" ca="1">[1]!s_dq_close("HSTECH.HI",$A250,3)</f>
        <v>6077.66</v>
      </c>
      <c r="C250" cm="1">
        <f t="array" aca="1" ref="C250" ca="1">[1]!s_dq_close("HSI.HI",$A250,3)</f>
        <v>26438.51</v>
      </c>
    </row>
    <row r="251" spans="1:3">
      <c r="A251" s="23">
        <f t="shared" ca="1" si="3"/>
        <v>45915</v>
      </c>
      <c r="B251" cm="1">
        <f t="array" aca="1" ref="B251" ca="1">[1]!s_dq_close("HSTECH.HI",$A251,3)</f>
        <v>6043.61</v>
      </c>
      <c r="C251" cm="1">
        <f t="array" aca="1" ref="C251" ca="1">[1]!s_dq_close("HSI.HI",$A251,3)</f>
        <v>26446.560000000001</v>
      </c>
    </row>
    <row r="252" spans="1:3">
      <c r="A252" s="23">
        <f t="shared" ca="1" si="3"/>
        <v>45914</v>
      </c>
      <c r="B252" cm="1">
        <f t="array" aca="1" ref="B252" ca="1">[1]!s_dq_close("HSTECH.HI",$A252,3)</f>
        <v>5989.27</v>
      </c>
      <c r="C252" cm="1">
        <f t="array" aca="1" ref="C252" ca="1">[1]!s_dq_close("HSI.HI",$A252,3)</f>
        <v>26388.16</v>
      </c>
    </row>
    <row r="253" spans="1:3">
      <c r="A253" s="23">
        <f t="shared" ca="1" si="3"/>
        <v>45913</v>
      </c>
      <c r="B253" cm="1">
        <f t="array" aca="1" ref="B253" ca="1">[1]!s_dq_close("HSTECH.HI",$A253,3)</f>
        <v>5989.27</v>
      </c>
      <c r="C253" cm="1">
        <f t="array" aca="1" ref="C253" ca="1">[1]!s_dq_close("HSI.HI",$A253,3)</f>
        <v>26388.16</v>
      </c>
    </row>
    <row r="254" spans="1:3">
      <c r="A254" s="23">
        <f t="shared" ca="1" si="3"/>
        <v>45912</v>
      </c>
      <c r="B254" cm="1">
        <f t="array" aca="1" ref="B254" ca="1">[1]!s_dq_close("HSTECH.HI",$A254,3)</f>
        <v>5989.27</v>
      </c>
      <c r="C254" cm="1">
        <f t="array" aca="1" ref="C254" ca="1">[1]!s_dq_close("HSI.HI",$A254,3)</f>
        <v>26388.16</v>
      </c>
    </row>
    <row r="255" spans="1:3">
      <c r="A255" s="23">
        <f t="shared" ca="1" si="3"/>
        <v>45911</v>
      </c>
      <c r="B255" cm="1">
        <f t="array" aca="1" ref="B255" ca="1">[1]!s_dq_close("HSTECH.HI",$A255,3)</f>
        <v>5888.77</v>
      </c>
      <c r="C255" cm="1">
        <f t="array" aca="1" ref="C255" ca="1">[1]!s_dq_close("HSI.HI",$A255,3)</f>
        <v>26086.32</v>
      </c>
    </row>
    <row r="256" spans="1:3">
      <c r="A256" s="23">
        <f t="shared" ca="1" si="3"/>
        <v>45910</v>
      </c>
      <c r="B256" cm="1">
        <f t="array" aca="1" ref="B256" ca="1">[1]!s_dq_close("HSTECH.HI",$A256,3)</f>
        <v>5902.69</v>
      </c>
      <c r="C256" cm="1">
        <f t="array" aca="1" ref="C256" ca="1">[1]!s_dq_close("HSI.HI",$A256,3)</f>
        <v>26200.26</v>
      </c>
    </row>
    <row r="257" spans="1:3">
      <c r="A257" s="23">
        <f t="shared" ca="1" si="3"/>
        <v>45909</v>
      </c>
      <c r="B257" cm="1">
        <f t="array" aca="1" ref="B257" ca="1">[1]!s_dq_close("HSTECH.HI",$A257,3)</f>
        <v>5828.74</v>
      </c>
      <c r="C257" cm="1">
        <f t="array" aca="1" ref="C257" ca="1">[1]!s_dq_close("HSI.HI",$A257,3)</f>
        <v>25938.13</v>
      </c>
    </row>
    <row r="258" spans="1:3">
      <c r="A258" s="23">
        <f t="shared" ca="1" si="3"/>
        <v>45908</v>
      </c>
      <c r="B258" cm="1">
        <f t="array" aca="1" ref="B258" ca="1">[1]!s_dq_close("HSTECH.HI",$A258,3)</f>
        <v>5753.75</v>
      </c>
      <c r="C258" cm="1">
        <f t="array" aca="1" ref="C258" ca="1">[1]!s_dq_close("HSI.HI",$A258,3)</f>
        <v>25633.91</v>
      </c>
    </row>
    <row r="259" spans="1:3">
      <c r="A259" s="23">
        <f t="shared" ca="1" si="3"/>
        <v>45907</v>
      </c>
      <c r="B259" cm="1">
        <f t="array" aca="1" ref="B259" ca="1">[1]!s_dq_close("HSTECH.HI",$A259,3)</f>
        <v>5687.45</v>
      </c>
      <c r="C259" cm="1">
        <f t="array" aca="1" ref="C259" ca="1">[1]!s_dq_close("HSI.HI",$A259,3)</f>
        <v>25417.98</v>
      </c>
    </row>
    <row r="260" spans="1:3">
      <c r="A260" s="23">
        <f t="shared" ref="A260:A323" ca="1" si="4">A259-1</f>
        <v>45906</v>
      </c>
      <c r="B260" cm="1">
        <f t="array" aca="1" ref="B260" ca="1">[1]!s_dq_close("HSTECH.HI",$A260,3)</f>
        <v>5687.45</v>
      </c>
      <c r="C260" cm="1">
        <f t="array" aca="1" ref="C260" ca="1">[1]!s_dq_close("HSI.HI",$A260,3)</f>
        <v>25417.98</v>
      </c>
    </row>
    <row r="261" spans="1:3">
      <c r="A261" s="23">
        <f t="shared" ca="1" si="4"/>
        <v>45905</v>
      </c>
      <c r="B261" cm="1">
        <f t="array" aca="1" ref="B261" ca="1">[1]!s_dq_close("HSTECH.HI",$A261,3)</f>
        <v>5687.45</v>
      </c>
      <c r="C261" cm="1">
        <f t="array" aca="1" ref="C261" ca="1">[1]!s_dq_close("HSI.HI",$A261,3)</f>
        <v>25417.98</v>
      </c>
    </row>
    <row r="262" spans="1:3">
      <c r="A262" s="23">
        <f t="shared" ca="1" si="4"/>
        <v>45904</v>
      </c>
      <c r="B262" cm="1">
        <f t="array" aca="1" ref="B262" ca="1">[1]!s_dq_close("HSTECH.HI",$A262,3)</f>
        <v>5578.86</v>
      </c>
      <c r="C262" cm="1">
        <f t="array" aca="1" ref="C262" ca="1">[1]!s_dq_close("HSI.HI",$A262,3)</f>
        <v>25058.51</v>
      </c>
    </row>
    <row r="263" spans="1:3">
      <c r="A263" s="23">
        <f t="shared" ca="1" si="4"/>
        <v>45903</v>
      </c>
      <c r="B263" cm="1">
        <f t="array" aca="1" ref="B263" ca="1">[1]!s_dq_close("HSTECH.HI",$A263,3)</f>
        <v>5683.74</v>
      </c>
      <c r="C263" cm="1">
        <f t="array" aca="1" ref="C263" ca="1">[1]!s_dq_close("HSI.HI",$A263,3)</f>
        <v>25343.43</v>
      </c>
    </row>
    <row r="264" spans="1:3">
      <c r="A264" s="23">
        <f t="shared" ca="1" si="4"/>
        <v>45902</v>
      </c>
      <c r="B264" cm="1">
        <f t="array" aca="1" ref="B264" ca="1">[1]!s_dq_close("HSTECH.HI",$A264,3)</f>
        <v>5728.46</v>
      </c>
      <c r="C264" cm="1">
        <f t="array" aca="1" ref="C264" ca="1">[1]!s_dq_close("HSI.HI",$A264,3)</f>
        <v>25496.55</v>
      </c>
    </row>
    <row r="265" spans="1:3">
      <c r="A265" s="23">
        <f t="shared" ca="1" si="4"/>
        <v>45901</v>
      </c>
      <c r="B265" cm="1">
        <f t="array" aca="1" ref="B265" ca="1">[1]!s_dq_close("HSTECH.HI",$A265,3)</f>
        <v>5798.96</v>
      </c>
      <c r="C265" cm="1">
        <f t="array" aca="1" ref="C265" ca="1">[1]!s_dq_close("HSI.HI",$A265,3)</f>
        <v>25617.42</v>
      </c>
    </row>
    <row r="266" spans="1:3">
      <c r="A266" s="23">
        <f t="shared" ca="1" si="4"/>
        <v>45900</v>
      </c>
      <c r="B266" cm="1">
        <f t="array" aca="1" ref="B266" ca="1">[1]!s_dq_close("HSTECH.HI",$A266,3)</f>
        <v>5674.31</v>
      </c>
      <c r="C266" cm="1">
        <f t="array" aca="1" ref="C266" ca="1">[1]!s_dq_close("HSI.HI",$A266,3)</f>
        <v>25077.62</v>
      </c>
    </row>
    <row r="267" spans="1:3">
      <c r="A267" s="23">
        <f t="shared" ca="1" si="4"/>
        <v>45899</v>
      </c>
      <c r="B267" cm="1">
        <f t="array" aca="1" ref="B267" ca="1">[1]!s_dq_close("HSTECH.HI",$A267,3)</f>
        <v>5674.31</v>
      </c>
      <c r="C267" cm="1">
        <f t="array" aca="1" ref="C267" ca="1">[1]!s_dq_close("HSI.HI",$A267,3)</f>
        <v>25077.62</v>
      </c>
    </row>
    <row r="268" spans="1:3">
      <c r="A268" s="23">
        <f t="shared" ca="1" si="4"/>
        <v>45898</v>
      </c>
      <c r="B268" cm="1">
        <f t="array" aca="1" ref="B268" ca="1">[1]!s_dq_close("HSTECH.HI",$A268,3)</f>
        <v>5674.31</v>
      </c>
      <c r="C268" cm="1">
        <f t="array" aca="1" ref="C268" ca="1">[1]!s_dq_close("HSI.HI",$A268,3)</f>
        <v>25077.62</v>
      </c>
    </row>
    <row r="269" spans="1:3">
      <c r="A269" s="23">
        <f t="shared" ca="1" si="4"/>
        <v>45897</v>
      </c>
      <c r="B269" cm="1">
        <f t="array" aca="1" ref="B269" ca="1">[1]!s_dq_close("HSTECH.HI",$A269,3)</f>
        <v>5644.02</v>
      </c>
      <c r="C269" cm="1">
        <f t="array" aca="1" ref="C269" ca="1">[1]!s_dq_close("HSI.HI",$A269,3)</f>
        <v>24998.82</v>
      </c>
    </row>
    <row r="270" spans="1:3">
      <c r="A270" s="23">
        <f t="shared" ca="1" si="4"/>
        <v>45896</v>
      </c>
      <c r="B270" cm="1">
        <f t="array" aca="1" ref="B270" ca="1">[1]!s_dq_close("HSTECH.HI",$A270,3)</f>
        <v>5697.53</v>
      </c>
      <c r="C270" cm="1">
        <f t="array" aca="1" ref="C270" ca="1">[1]!s_dq_close("HSI.HI",$A270,3)</f>
        <v>25201.759999999998</v>
      </c>
    </row>
    <row r="271" spans="1:3">
      <c r="A271" s="23">
        <f t="shared" ca="1" si="4"/>
        <v>45895</v>
      </c>
      <c r="B271" cm="1">
        <f t="array" aca="1" ref="B271" ca="1">[1]!s_dq_close("HSTECH.HI",$A271,3)</f>
        <v>5782.24</v>
      </c>
      <c r="C271" cm="1">
        <f t="array" aca="1" ref="C271" ca="1">[1]!s_dq_close("HSI.HI",$A271,3)</f>
        <v>25524.92</v>
      </c>
    </row>
    <row r="272" spans="1:3">
      <c r="A272" s="23">
        <f t="shared" ca="1" si="4"/>
        <v>45894</v>
      </c>
      <c r="B272" cm="1">
        <f t="array" aca="1" ref="B272" ca="1">[1]!s_dq_close("HSTECH.HI",$A272,3)</f>
        <v>5825.09</v>
      </c>
      <c r="C272" cm="1">
        <f t="array" aca="1" ref="C272" ca="1">[1]!s_dq_close("HSI.HI",$A272,3)</f>
        <v>25829.91</v>
      </c>
    </row>
    <row r="273" spans="1:3">
      <c r="A273" s="23">
        <f t="shared" ca="1" si="4"/>
        <v>45893</v>
      </c>
      <c r="B273" cm="1">
        <f t="array" aca="1" ref="B273" ca="1">[1]!s_dq_close("HSTECH.HI",$A273,3)</f>
        <v>5647.68</v>
      </c>
      <c r="C273" cm="1">
        <f t="array" aca="1" ref="C273" ca="1">[1]!s_dq_close("HSI.HI",$A273,3)</f>
        <v>25339.14</v>
      </c>
    </row>
    <row r="274" spans="1:3">
      <c r="A274" s="23">
        <f t="shared" ca="1" si="4"/>
        <v>45892</v>
      </c>
      <c r="B274" cm="1">
        <f t="array" aca="1" ref="B274" ca="1">[1]!s_dq_close("HSTECH.HI",$A274,3)</f>
        <v>5647.68</v>
      </c>
      <c r="C274" cm="1">
        <f t="array" aca="1" ref="C274" ca="1">[1]!s_dq_close("HSI.HI",$A274,3)</f>
        <v>25339.14</v>
      </c>
    </row>
    <row r="275" spans="1:3">
      <c r="A275" s="23">
        <f t="shared" ca="1" si="4"/>
        <v>45891</v>
      </c>
      <c r="B275" cm="1">
        <f t="array" aca="1" ref="B275" ca="1">[1]!s_dq_close("HSTECH.HI",$A275,3)</f>
        <v>5647.68</v>
      </c>
      <c r="C275" cm="1">
        <f t="array" aca="1" ref="C275" ca="1">[1]!s_dq_close("HSI.HI",$A275,3)</f>
        <v>25339.14</v>
      </c>
    </row>
    <row r="276" spans="1:3">
      <c r="A276" s="23">
        <f t="shared" ca="1" si="4"/>
        <v>45890</v>
      </c>
      <c r="B276" cm="1">
        <f t="array" aca="1" ref="B276" ca="1">[1]!s_dq_close("HSTECH.HI",$A276,3)</f>
        <v>5498.5</v>
      </c>
      <c r="C276" cm="1">
        <f t="array" aca="1" ref="C276" ca="1">[1]!s_dq_close("HSI.HI",$A276,3)</f>
        <v>25104.61</v>
      </c>
    </row>
    <row r="277" spans="1:3">
      <c r="A277" s="23">
        <f t="shared" ca="1" si="4"/>
        <v>45889</v>
      </c>
      <c r="B277" cm="1">
        <f t="array" aca="1" ref="B277" ca="1">[1]!s_dq_close("HSTECH.HI",$A277,3)</f>
        <v>5541.27</v>
      </c>
      <c r="C277" cm="1">
        <f t="array" aca="1" ref="C277" ca="1">[1]!s_dq_close("HSI.HI",$A277,3)</f>
        <v>25165.94</v>
      </c>
    </row>
    <row r="278" spans="1:3">
      <c r="A278" s="23">
        <f t="shared" ca="1" si="4"/>
        <v>45888</v>
      </c>
      <c r="B278" cm="1">
        <f t="array" aca="1" ref="B278" ca="1">[1]!s_dq_close("HSTECH.HI",$A278,3)</f>
        <v>5542.03</v>
      </c>
      <c r="C278" cm="1">
        <f t="array" aca="1" ref="C278" ca="1">[1]!s_dq_close("HSI.HI",$A278,3)</f>
        <v>25122.9</v>
      </c>
    </row>
    <row r="279" spans="1:3">
      <c r="A279" s="23">
        <f t="shared" ca="1" si="4"/>
        <v>45887</v>
      </c>
      <c r="B279" cm="1">
        <f t="array" aca="1" ref="B279" ca="1">[1]!s_dq_close("HSTECH.HI",$A279,3)</f>
        <v>5579.18</v>
      </c>
      <c r="C279" cm="1">
        <f t="array" aca="1" ref="C279" ca="1">[1]!s_dq_close("HSI.HI",$A279,3)</f>
        <v>25176.85</v>
      </c>
    </row>
    <row r="280" spans="1:3">
      <c r="A280" s="23">
        <f t="shared" ca="1" si="4"/>
        <v>45886</v>
      </c>
      <c r="B280" cm="1">
        <f t="array" aca="1" ref="B280" ca="1">[1]!s_dq_close("HSTECH.HI",$A280,3)</f>
        <v>5543.17</v>
      </c>
      <c r="C280" cm="1">
        <f t="array" aca="1" ref="C280" ca="1">[1]!s_dq_close("HSI.HI",$A280,3)</f>
        <v>25270.07</v>
      </c>
    </row>
    <row r="281" spans="1:3">
      <c r="A281" s="23">
        <f t="shared" ca="1" si="4"/>
        <v>45885</v>
      </c>
      <c r="B281" cm="1">
        <f t="array" aca="1" ref="B281" ca="1">[1]!s_dq_close("HSTECH.HI",$A281,3)</f>
        <v>5543.17</v>
      </c>
      <c r="C281" cm="1">
        <f t="array" aca="1" ref="C281" ca="1">[1]!s_dq_close("HSI.HI",$A281,3)</f>
        <v>25270.07</v>
      </c>
    </row>
    <row r="282" spans="1:3">
      <c r="A282" s="23">
        <f t="shared" ca="1" si="4"/>
        <v>45884</v>
      </c>
      <c r="B282" cm="1">
        <f t="array" aca="1" ref="B282" ca="1">[1]!s_dq_close("HSTECH.HI",$A282,3)</f>
        <v>5543.17</v>
      </c>
      <c r="C282" cm="1">
        <f t="array" aca="1" ref="C282" ca="1">[1]!s_dq_close("HSI.HI",$A282,3)</f>
        <v>25270.07</v>
      </c>
    </row>
    <row r="283" spans="1:3">
      <c r="A283" s="23">
        <f t="shared" ca="1" si="4"/>
        <v>45883</v>
      </c>
      <c r="B283" cm="1">
        <f t="array" aca="1" ref="B283" ca="1">[1]!s_dq_close("HSTECH.HI",$A283,3)</f>
        <v>5576.03</v>
      </c>
      <c r="C283" cm="1">
        <f t="array" aca="1" ref="C283" ca="1">[1]!s_dq_close("HSI.HI",$A283,3)</f>
        <v>25519.32</v>
      </c>
    </row>
    <row r="284" spans="1:3">
      <c r="A284" s="23">
        <f t="shared" ca="1" si="4"/>
        <v>45882</v>
      </c>
      <c r="B284" cm="1">
        <f t="array" aca="1" ref="B284" ca="1">[1]!s_dq_close("HSTECH.HI",$A284,3)</f>
        <v>5630.78</v>
      </c>
      <c r="C284" cm="1">
        <f t="array" aca="1" ref="C284" ca="1">[1]!s_dq_close("HSI.HI",$A284,3)</f>
        <v>25613.67</v>
      </c>
    </row>
    <row r="285" spans="1:3">
      <c r="A285" s="23">
        <f t="shared" ca="1" si="4"/>
        <v>45881</v>
      </c>
      <c r="B285" cm="1">
        <f t="array" aca="1" ref="B285" ca="1">[1]!s_dq_close("HSTECH.HI",$A285,3)</f>
        <v>5439.16</v>
      </c>
      <c r="C285" cm="1">
        <f t="array" aca="1" ref="C285" ca="1">[1]!s_dq_close("HSI.HI",$A285,3)</f>
        <v>24969.68</v>
      </c>
    </row>
    <row r="286" spans="1:3">
      <c r="A286" s="23">
        <f t="shared" ca="1" si="4"/>
        <v>45880</v>
      </c>
      <c r="B286" cm="1">
        <f t="array" aca="1" ref="B286" ca="1">[1]!s_dq_close("HSTECH.HI",$A286,3)</f>
        <v>5460.02</v>
      </c>
      <c r="C286" cm="1">
        <f t="array" aca="1" ref="C286" ca="1">[1]!s_dq_close("HSI.HI",$A286,3)</f>
        <v>24906.81</v>
      </c>
    </row>
    <row r="287" spans="1:3">
      <c r="A287" s="23">
        <f t="shared" ca="1" si="4"/>
        <v>45879</v>
      </c>
      <c r="B287" cm="1">
        <f t="array" aca="1" ref="B287" ca="1">[1]!s_dq_close("HSTECH.HI",$A287,3)</f>
        <v>5460.3</v>
      </c>
      <c r="C287" cm="1">
        <f t="array" aca="1" ref="C287" ca="1">[1]!s_dq_close("HSI.HI",$A287,3)</f>
        <v>24858.82</v>
      </c>
    </row>
    <row r="288" spans="1:3">
      <c r="A288" s="23">
        <f t="shared" ca="1" si="4"/>
        <v>45878</v>
      </c>
      <c r="B288" cm="1">
        <f t="array" aca="1" ref="B288" ca="1">[1]!s_dq_close("HSTECH.HI",$A288,3)</f>
        <v>5460.3</v>
      </c>
      <c r="C288" cm="1">
        <f t="array" aca="1" ref="C288" ca="1">[1]!s_dq_close("HSI.HI",$A288,3)</f>
        <v>24858.82</v>
      </c>
    </row>
    <row r="289" spans="1:3">
      <c r="A289" s="23">
        <f t="shared" ca="1" si="4"/>
        <v>45877</v>
      </c>
      <c r="B289" cm="1">
        <f t="array" aca="1" ref="B289" ca="1">[1]!s_dq_close("HSTECH.HI",$A289,3)</f>
        <v>5460.3</v>
      </c>
      <c r="C289" cm="1">
        <f t="array" aca="1" ref="C289" ca="1">[1]!s_dq_close("HSI.HI",$A289,3)</f>
        <v>24858.82</v>
      </c>
    </row>
    <row r="290" spans="1:3">
      <c r="A290" s="23">
        <f t="shared" ca="1" si="4"/>
        <v>45876</v>
      </c>
      <c r="B290" cm="1">
        <f t="array" aca="1" ref="B290" ca="1">[1]!s_dq_close("HSTECH.HI",$A290,3)</f>
        <v>5546.73</v>
      </c>
      <c r="C290" cm="1">
        <f t="array" aca="1" ref="C290" ca="1">[1]!s_dq_close("HSI.HI",$A290,3)</f>
        <v>25081.63</v>
      </c>
    </row>
    <row r="291" spans="1:3">
      <c r="A291" s="23">
        <f t="shared" ca="1" si="4"/>
        <v>45875</v>
      </c>
      <c r="B291" cm="1">
        <f t="array" aca="1" ref="B291" ca="1">[1]!s_dq_close("HSTECH.HI",$A291,3)</f>
        <v>5532.17</v>
      </c>
      <c r="C291" cm="1">
        <f t="array" aca="1" ref="C291" ca="1">[1]!s_dq_close("HSI.HI",$A291,3)</f>
        <v>24910.63</v>
      </c>
    </row>
    <row r="292" spans="1:3">
      <c r="A292" s="23">
        <f t="shared" ca="1" si="4"/>
        <v>45874</v>
      </c>
      <c r="B292" cm="1">
        <f t="array" aca="1" ref="B292" ca="1">[1]!s_dq_close("HSTECH.HI",$A292,3)</f>
        <v>5521.07</v>
      </c>
      <c r="C292" cm="1">
        <f t="array" aca="1" ref="C292" ca="1">[1]!s_dq_close("HSI.HI",$A292,3)</f>
        <v>24902.53</v>
      </c>
    </row>
    <row r="293" spans="1:3">
      <c r="A293" s="23">
        <f t="shared" ca="1" si="4"/>
        <v>45873</v>
      </c>
      <c r="B293" cm="1">
        <f t="array" aca="1" ref="B293" ca="1">[1]!s_dq_close("HSTECH.HI",$A293,3)</f>
        <v>5481.25</v>
      </c>
      <c r="C293" cm="1">
        <f t="array" aca="1" ref="C293" ca="1">[1]!s_dq_close("HSI.HI",$A293,3)</f>
        <v>24733.45</v>
      </c>
    </row>
    <row r="294" spans="1:3">
      <c r="A294" s="23">
        <f t="shared" ca="1" si="4"/>
        <v>45872</v>
      </c>
      <c r="B294" cm="1">
        <f t="array" aca="1" ref="B294" ca="1">[1]!s_dq_close("HSTECH.HI",$A294,3)</f>
        <v>5397.4</v>
      </c>
      <c r="C294" cm="1">
        <f t="array" aca="1" ref="C294" ca="1">[1]!s_dq_close("HSI.HI",$A294,3)</f>
        <v>24507.81</v>
      </c>
    </row>
    <row r="295" spans="1:3">
      <c r="A295" s="23">
        <f t="shared" ca="1" si="4"/>
        <v>45871</v>
      </c>
      <c r="B295" cm="1">
        <f t="array" aca="1" ref="B295" ca="1">[1]!s_dq_close("HSTECH.HI",$A295,3)</f>
        <v>5397.4</v>
      </c>
      <c r="C295" cm="1">
        <f t="array" aca="1" ref="C295" ca="1">[1]!s_dq_close("HSI.HI",$A295,3)</f>
        <v>24507.81</v>
      </c>
    </row>
    <row r="296" spans="1:3">
      <c r="A296" s="23">
        <f t="shared" ca="1" si="4"/>
        <v>45870</v>
      </c>
      <c r="B296" cm="1">
        <f t="array" aca="1" ref="B296" ca="1">[1]!s_dq_close("HSTECH.HI",$A296,3)</f>
        <v>5397.4</v>
      </c>
      <c r="C296" cm="1">
        <f t="array" aca="1" ref="C296" ca="1">[1]!s_dq_close("HSI.HI",$A296,3)</f>
        <v>24507.81</v>
      </c>
    </row>
    <row r="297" spans="1:3">
      <c r="A297" s="23">
        <f t="shared" ca="1" si="4"/>
        <v>45869</v>
      </c>
      <c r="B297" cm="1">
        <f t="array" aca="1" ref="B297" ca="1">[1]!s_dq_close("HSTECH.HI",$A297,3)</f>
        <v>5453.14</v>
      </c>
      <c r="C297" cm="1">
        <f t="array" aca="1" ref="C297" ca="1">[1]!s_dq_close("HSI.HI",$A297,3)</f>
        <v>24773.33</v>
      </c>
    </row>
    <row r="298" spans="1:3">
      <c r="A298" s="23">
        <f t="shared" ca="1" si="4"/>
        <v>45868</v>
      </c>
      <c r="B298" cm="1">
        <f t="array" aca="1" ref="B298" ca="1">[1]!s_dq_close("HSTECH.HI",$A298,3)</f>
        <v>5490.76</v>
      </c>
      <c r="C298" cm="1">
        <f t="array" aca="1" ref="C298" ca="1">[1]!s_dq_close("HSI.HI",$A298,3)</f>
        <v>25176.93</v>
      </c>
    </row>
    <row r="299" spans="1:3">
      <c r="A299" s="23">
        <f t="shared" ca="1" si="4"/>
        <v>45867</v>
      </c>
      <c r="B299" cm="1">
        <f t="array" aca="1" ref="B299" ca="1">[1]!s_dq_close("HSTECH.HI",$A299,3)</f>
        <v>5644.38</v>
      </c>
      <c r="C299" cm="1">
        <f t="array" aca="1" ref="C299" ca="1">[1]!s_dq_close("HSI.HI",$A299,3)</f>
        <v>25524.45</v>
      </c>
    </row>
    <row r="300" spans="1:3">
      <c r="A300" s="23">
        <f t="shared" ca="1" si="4"/>
        <v>45866</v>
      </c>
      <c r="B300" cm="1">
        <f t="array" aca="1" ref="B300" ca="1">[1]!s_dq_close("HSTECH.HI",$A300,3)</f>
        <v>5664.02</v>
      </c>
      <c r="C300" cm="1">
        <f t="array" aca="1" ref="C300" ca="1">[1]!s_dq_close("HSI.HI",$A300,3)</f>
        <v>25562.13</v>
      </c>
    </row>
    <row r="301" spans="1:3">
      <c r="A301" s="23">
        <f t="shared" ca="1" si="4"/>
        <v>45865</v>
      </c>
      <c r="B301" cm="1">
        <f t="array" aca="1" ref="B301" ca="1">[1]!s_dq_close("HSTECH.HI",$A301,3)</f>
        <v>5677.9</v>
      </c>
      <c r="C301" cm="1">
        <f t="array" aca="1" ref="C301" ca="1">[1]!s_dq_close("HSI.HI",$A301,3)</f>
        <v>25388.35</v>
      </c>
    </row>
    <row r="302" spans="1:3">
      <c r="A302" s="23">
        <f t="shared" ca="1" si="4"/>
        <v>45864</v>
      </c>
      <c r="B302" cm="1">
        <f t="array" aca="1" ref="B302" ca="1">[1]!s_dq_close("HSTECH.HI",$A302,3)</f>
        <v>5677.9</v>
      </c>
      <c r="C302" cm="1">
        <f t="array" aca="1" ref="C302" ca="1">[1]!s_dq_close("HSI.HI",$A302,3)</f>
        <v>25388.35</v>
      </c>
    </row>
    <row r="303" spans="1:3">
      <c r="A303" s="23">
        <f t="shared" ca="1" si="4"/>
        <v>45863</v>
      </c>
      <c r="B303" cm="1">
        <f t="array" aca="1" ref="B303" ca="1">[1]!s_dq_close("HSTECH.HI",$A303,3)</f>
        <v>5677.9</v>
      </c>
      <c r="C303" cm="1">
        <f t="array" aca="1" ref="C303" ca="1">[1]!s_dq_close("HSI.HI",$A303,3)</f>
        <v>25388.35</v>
      </c>
    </row>
    <row r="304" spans="1:3">
      <c r="A304" s="23">
        <f t="shared" ca="1" si="4"/>
        <v>45862</v>
      </c>
      <c r="B304" cm="1">
        <f t="array" aca="1" ref="B304" ca="1">[1]!s_dq_close("HSTECH.HI",$A304,3)</f>
        <v>5743</v>
      </c>
      <c r="C304" cm="1">
        <f t="array" aca="1" ref="C304" ca="1">[1]!s_dq_close("HSI.HI",$A304,3)</f>
        <v>25667.18</v>
      </c>
    </row>
    <row r="305" spans="1:3">
      <c r="A305" s="23">
        <f t="shared" ca="1" si="4"/>
        <v>45861</v>
      </c>
      <c r="B305" cm="1">
        <f t="array" aca="1" ref="B305" ca="1">[1]!s_dq_close("HSTECH.HI",$A305,3)</f>
        <v>5745.74</v>
      </c>
      <c r="C305" cm="1">
        <f t="array" aca="1" ref="C305" ca="1">[1]!s_dq_close("HSI.HI",$A305,3)</f>
        <v>25538.07</v>
      </c>
    </row>
    <row r="306" spans="1:3">
      <c r="A306" s="23">
        <f t="shared" ca="1" si="4"/>
        <v>45860</v>
      </c>
      <c r="B306" cm="1">
        <f t="array" aca="1" ref="B306" ca="1">[1]!s_dq_close("HSTECH.HI",$A306,3)</f>
        <v>5606.83</v>
      </c>
      <c r="C306" cm="1">
        <f t="array" aca="1" ref="C306" ca="1">[1]!s_dq_close("HSI.HI",$A306,3)</f>
        <v>25130.03</v>
      </c>
    </row>
    <row r="307" spans="1:3">
      <c r="A307" s="23">
        <f t="shared" ca="1" si="4"/>
        <v>45859</v>
      </c>
      <c r="B307" cm="1">
        <f t="array" aca="1" ref="B307" ca="1">[1]!s_dq_close("HSTECH.HI",$A307,3)</f>
        <v>5585.5</v>
      </c>
      <c r="C307" cm="1">
        <f t="array" aca="1" ref="C307" ca="1">[1]!s_dq_close("HSI.HI",$A307,3)</f>
        <v>24994.14</v>
      </c>
    </row>
    <row r="308" spans="1:3">
      <c r="A308" s="23">
        <f t="shared" ca="1" si="4"/>
        <v>45858</v>
      </c>
      <c r="B308" cm="1">
        <f t="array" aca="1" ref="B308" ca="1">[1]!s_dq_close("HSTECH.HI",$A308,3)</f>
        <v>5538.83</v>
      </c>
      <c r="C308" cm="1">
        <f t="array" aca="1" ref="C308" ca="1">[1]!s_dq_close("HSI.HI",$A308,3)</f>
        <v>24825.66</v>
      </c>
    </row>
    <row r="309" spans="1:3">
      <c r="A309" s="23">
        <f t="shared" ca="1" si="4"/>
        <v>45857</v>
      </c>
      <c r="B309" cm="1">
        <f t="array" aca="1" ref="B309" ca="1">[1]!s_dq_close("HSTECH.HI",$A309,3)</f>
        <v>5538.83</v>
      </c>
      <c r="C309" cm="1">
        <f t="array" aca="1" ref="C309" ca="1">[1]!s_dq_close("HSI.HI",$A309,3)</f>
        <v>24825.66</v>
      </c>
    </row>
    <row r="310" spans="1:3">
      <c r="A310" s="23">
        <f t="shared" ca="1" si="4"/>
        <v>45856</v>
      </c>
      <c r="B310" cm="1">
        <f t="array" aca="1" ref="B310" ca="1">[1]!s_dq_close("HSTECH.HI",$A310,3)</f>
        <v>5538.83</v>
      </c>
      <c r="C310" cm="1">
        <f t="array" aca="1" ref="C310" ca="1">[1]!s_dq_close("HSI.HI",$A310,3)</f>
        <v>24825.66</v>
      </c>
    </row>
    <row r="311" spans="1:3">
      <c r="A311" s="23">
        <f t="shared" ca="1" si="4"/>
        <v>45855</v>
      </c>
      <c r="B311" cm="1">
        <f t="array" aca="1" ref="B311" ca="1">[1]!s_dq_close("HSTECH.HI",$A311,3)</f>
        <v>5448.85</v>
      </c>
      <c r="C311" cm="1">
        <f t="array" aca="1" ref="C311" ca="1">[1]!s_dq_close("HSI.HI",$A311,3)</f>
        <v>24498.95</v>
      </c>
    </row>
    <row r="312" spans="1:3">
      <c r="A312" s="23">
        <f t="shared" ca="1" si="4"/>
        <v>45854</v>
      </c>
      <c r="B312" cm="1">
        <f t="array" aca="1" ref="B312" ca="1">[1]!s_dq_close("HSTECH.HI",$A312,3)</f>
        <v>5418.4</v>
      </c>
      <c r="C312" cm="1">
        <f t="array" aca="1" ref="C312" ca="1">[1]!s_dq_close("HSI.HI",$A312,3)</f>
        <v>24517.759999999998</v>
      </c>
    </row>
    <row r="313" spans="1:3">
      <c r="A313" s="23">
        <f t="shared" ca="1" si="4"/>
        <v>45853</v>
      </c>
      <c r="B313" cm="1">
        <f t="array" aca="1" ref="B313" ca="1">[1]!s_dq_close("HSTECH.HI",$A313,3)</f>
        <v>5431.29</v>
      </c>
      <c r="C313" cm="1">
        <f t="array" aca="1" ref="C313" ca="1">[1]!s_dq_close("HSI.HI",$A313,3)</f>
        <v>24590.12</v>
      </c>
    </row>
    <row r="314" spans="1:3">
      <c r="A314" s="23">
        <f t="shared" ca="1" si="4"/>
        <v>45852</v>
      </c>
      <c r="B314" cm="1">
        <f t="array" aca="1" ref="B314" ca="1">[1]!s_dq_close("HSTECH.HI",$A314,3)</f>
        <v>5283.5</v>
      </c>
      <c r="C314" cm="1">
        <f t="array" aca="1" ref="C314" ca="1">[1]!s_dq_close("HSI.HI",$A314,3)</f>
        <v>24203.32</v>
      </c>
    </row>
    <row r="315" spans="1:3">
      <c r="A315" s="23">
        <f t="shared" ca="1" si="4"/>
        <v>45851</v>
      </c>
      <c r="B315" cm="1">
        <f t="array" aca="1" ref="B315" ca="1">[1]!s_dq_close("HSTECH.HI",$A315,3)</f>
        <v>5248.48</v>
      </c>
      <c r="C315" cm="1">
        <f t="array" aca="1" ref="C315" ca="1">[1]!s_dq_close("HSI.HI",$A315,3)</f>
        <v>24139.57</v>
      </c>
    </row>
    <row r="316" spans="1:3">
      <c r="A316" s="23">
        <f t="shared" ca="1" si="4"/>
        <v>45850</v>
      </c>
      <c r="B316" cm="1">
        <f t="array" aca="1" ref="B316" ca="1">[1]!s_dq_close("HSTECH.HI",$A316,3)</f>
        <v>5248.48</v>
      </c>
      <c r="C316" cm="1">
        <f t="array" aca="1" ref="C316" ca="1">[1]!s_dq_close("HSI.HI",$A316,3)</f>
        <v>24139.57</v>
      </c>
    </row>
    <row r="317" spans="1:3">
      <c r="A317" s="23">
        <f t="shared" ca="1" si="4"/>
        <v>45849</v>
      </c>
      <c r="B317" cm="1">
        <f t="array" aca="1" ref="B317" ca="1">[1]!s_dq_close("HSTECH.HI",$A317,3)</f>
        <v>5248.48</v>
      </c>
      <c r="C317" cm="1">
        <f t="array" aca="1" ref="C317" ca="1">[1]!s_dq_close("HSI.HI",$A317,3)</f>
        <v>24139.57</v>
      </c>
    </row>
    <row r="318" spans="1:3">
      <c r="A318" s="23">
        <f t="shared" ca="1" si="4"/>
        <v>45848</v>
      </c>
      <c r="B318" cm="1">
        <f t="array" aca="1" ref="B318" ca="1">[1]!s_dq_close("HSTECH.HI",$A318,3)</f>
        <v>5216.6000000000004</v>
      </c>
      <c r="C318" cm="1">
        <f t="array" aca="1" ref="C318" ca="1">[1]!s_dq_close("HSI.HI",$A318,3)</f>
        <v>24028.37</v>
      </c>
    </row>
    <row r="319" spans="1:3">
      <c r="A319" s="23">
        <f t="shared" ca="1" si="4"/>
        <v>45847</v>
      </c>
      <c r="B319" cm="1">
        <f t="array" aca="1" ref="B319" ca="1">[1]!s_dq_close("HSTECH.HI",$A319,3)</f>
        <v>5231.99</v>
      </c>
      <c r="C319" cm="1">
        <f t="array" aca="1" ref="C319" ca="1">[1]!s_dq_close("HSI.HI",$A319,3)</f>
        <v>23892.32</v>
      </c>
    </row>
    <row r="320" spans="1:3">
      <c r="A320" s="23">
        <f t="shared" ca="1" si="4"/>
        <v>45846</v>
      </c>
      <c r="B320" cm="1">
        <f t="array" aca="1" ref="B320" ca="1">[1]!s_dq_close("HSTECH.HI",$A320,3)</f>
        <v>5325.95</v>
      </c>
      <c r="C320" cm="1">
        <f t="array" aca="1" ref="C320" ca="1">[1]!s_dq_close("HSI.HI",$A320,3)</f>
        <v>24148.07</v>
      </c>
    </row>
    <row r="321" spans="1:3">
      <c r="A321" s="23">
        <f t="shared" ca="1" si="4"/>
        <v>45845</v>
      </c>
      <c r="B321" cm="1">
        <f t="array" aca="1" ref="B321" ca="1">[1]!s_dq_close("HSTECH.HI",$A321,3)</f>
        <v>5229.5600000000004</v>
      </c>
      <c r="C321" cm="1">
        <f t="array" aca="1" ref="C321" ca="1">[1]!s_dq_close("HSI.HI",$A321,3)</f>
        <v>23887.83</v>
      </c>
    </row>
    <row r="322" spans="1:3">
      <c r="A322" s="23">
        <f t="shared" ca="1" si="4"/>
        <v>45844</v>
      </c>
      <c r="B322" cm="1">
        <f t="array" aca="1" ref="B322" ca="1">[1]!s_dq_close("HSTECH.HI",$A322,3)</f>
        <v>5216.26</v>
      </c>
      <c r="C322" cm="1">
        <f t="array" aca="1" ref="C322" ca="1">[1]!s_dq_close("HSI.HI",$A322,3)</f>
        <v>23916.06</v>
      </c>
    </row>
    <row r="323" spans="1:3">
      <c r="A323" s="23">
        <f t="shared" ca="1" si="4"/>
        <v>45843</v>
      </c>
      <c r="B323" cm="1">
        <f t="array" aca="1" ref="B323" ca="1">[1]!s_dq_close("HSTECH.HI",$A323,3)</f>
        <v>5216.26</v>
      </c>
      <c r="C323" cm="1">
        <f t="array" aca="1" ref="C323" ca="1">[1]!s_dq_close("HSI.HI",$A323,3)</f>
        <v>23916.06</v>
      </c>
    </row>
    <row r="324" spans="1:3">
      <c r="A324" s="23">
        <f t="shared" ref="A324:A387" ca="1" si="5">A323-1</f>
        <v>45842</v>
      </c>
      <c r="B324" cm="1">
        <f t="array" aca="1" ref="B324" ca="1">[1]!s_dq_close("HSTECH.HI",$A324,3)</f>
        <v>5216.26</v>
      </c>
      <c r="C324" cm="1">
        <f t="array" aca="1" ref="C324" ca="1">[1]!s_dq_close("HSI.HI",$A324,3)</f>
        <v>23916.06</v>
      </c>
    </row>
    <row r="325" spans="1:3">
      <c r="A325" s="23">
        <f t="shared" ca="1" si="5"/>
        <v>45841</v>
      </c>
      <c r="B325" cm="1">
        <f t="array" aca="1" ref="B325" ca="1">[1]!s_dq_close("HSTECH.HI",$A325,3)</f>
        <v>5233.71</v>
      </c>
      <c r="C325" cm="1">
        <f t="array" aca="1" ref="C325" ca="1">[1]!s_dq_close("HSI.HI",$A325,3)</f>
        <v>24069.94</v>
      </c>
    </row>
    <row r="326" spans="1:3">
      <c r="A326" s="23">
        <f t="shared" ca="1" si="5"/>
        <v>45840</v>
      </c>
      <c r="B326" cm="1">
        <f t="array" aca="1" ref="B326" ca="1">[1]!s_dq_close("HSTECH.HI",$A326,3)</f>
        <v>5269.11</v>
      </c>
      <c r="C326" cm="1">
        <f t="array" aca="1" ref="C326" ca="1">[1]!s_dq_close("HSI.HI",$A326,3)</f>
        <v>24221.41</v>
      </c>
    </row>
    <row r="327" spans="1:3">
      <c r="A327" s="23">
        <f t="shared" ca="1" si="5"/>
        <v>45839</v>
      </c>
      <c r="B327" cm="1">
        <f t="array" aca="1" ref="B327" ca="1">[1]!s_dq_close("HSTECH.HI",$A327,3)</f>
        <v>5302.82</v>
      </c>
      <c r="C327" cm="1">
        <f t="array" aca="1" ref="C327" ca="1">[1]!s_dq_close("HSI.HI",$A327,3)</f>
        <v>24072.28</v>
      </c>
    </row>
    <row r="328" spans="1:3">
      <c r="A328" s="23">
        <f t="shared" ca="1" si="5"/>
        <v>45838</v>
      </c>
      <c r="B328" cm="1">
        <f t="array" aca="1" ref="B328" ca="1">[1]!s_dq_close("HSTECH.HI",$A328,3)</f>
        <v>5302.82</v>
      </c>
      <c r="C328" cm="1">
        <f t="array" aca="1" ref="C328" ca="1">[1]!s_dq_close("HSI.HI",$A328,3)</f>
        <v>24072.28</v>
      </c>
    </row>
    <row r="329" spans="1:3">
      <c r="A329" s="23">
        <f t="shared" ca="1" si="5"/>
        <v>45837</v>
      </c>
      <c r="B329" cm="1">
        <f t="array" aca="1" ref="B329" ca="1">[1]!s_dq_close("HSTECH.HI",$A329,3)</f>
        <v>5341.43</v>
      </c>
      <c r="C329" cm="1">
        <f t="array" aca="1" ref="C329" ca="1">[1]!s_dq_close("HSI.HI",$A329,3)</f>
        <v>24284.15</v>
      </c>
    </row>
    <row r="330" spans="1:3">
      <c r="A330" s="23">
        <f t="shared" ca="1" si="5"/>
        <v>45836</v>
      </c>
      <c r="B330" cm="1">
        <f t="array" aca="1" ref="B330" ca="1">[1]!s_dq_close("HSTECH.HI",$A330,3)</f>
        <v>5341.43</v>
      </c>
      <c r="C330" cm="1">
        <f t="array" aca="1" ref="C330" ca="1">[1]!s_dq_close("HSI.HI",$A330,3)</f>
        <v>24284.15</v>
      </c>
    </row>
    <row r="331" spans="1:3">
      <c r="A331" s="23">
        <f t="shared" ca="1" si="5"/>
        <v>45835</v>
      </c>
      <c r="B331" cm="1">
        <f t="array" aca="1" ref="B331" ca="1">[1]!s_dq_close("HSTECH.HI",$A331,3)</f>
        <v>5341.43</v>
      </c>
      <c r="C331" cm="1">
        <f t="array" aca="1" ref="C331" ca="1">[1]!s_dq_close("HSI.HI",$A331,3)</f>
        <v>24284.15</v>
      </c>
    </row>
    <row r="332" spans="1:3">
      <c r="A332" s="23">
        <f t="shared" ca="1" si="5"/>
        <v>45834</v>
      </c>
      <c r="B332" cm="1">
        <f t="array" aca="1" ref="B332" ca="1">[1]!s_dq_close("HSTECH.HI",$A332,3)</f>
        <v>5345.16</v>
      </c>
      <c r="C332" cm="1">
        <f t="array" aca="1" ref="C332" ca="1">[1]!s_dq_close("HSI.HI",$A332,3)</f>
        <v>24325.4</v>
      </c>
    </row>
    <row r="333" spans="1:3">
      <c r="A333" s="23">
        <f t="shared" ca="1" si="5"/>
        <v>45833</v>
      </c>
      <c r="B333" cm="1">
        <f t="array" aca="1" ref="B333" ca="1">[1]!s_dq_close("HSTECH.HI",$A333,3)</f>
        <v>5359.02</v>
      </c>
      <c r="C333" cm="1">
        <f t="array" aca="1" ref="C333" ca="1">[1]!s_dq_close("HSI.HI",$A333,3)</f>
        <v>24474.67</v>
      </c>
    </row>
    <row r="334" spans="1:3">
      <c r="A334" s="23">
        <f t="shared" ca="1" si="5"/>
        <v>45832</v>
      </c>
      <c r="B334" cm="1">
        <f t="array" aca="1" ref="B334" ca="1">[1]!s_dq_close("HSTECH.HI",$A334,3)</f>
        <v>5297.96</v>
      </c>
      <c r="C334" cm="1">
        <f t="array" aca="1" ref="C334" ca="1">[1]!s_dq_close("HSI.HI",$A334,3)</f>
        <v>24177.07</v>
      </c>
    </row>
    <row r="335" spans="1:3">
      <c r="A335" s="23">
        <f t="shared" ca="1" si="5"/>
        <v>45831</v>
      </c>
      <c r="B335" cm="1">
        <f t="array" aca="1" ref="B335" ca="1">[1]!s_dq_close("HSTECH.HI",$A335,3)</f>
        <v>5187.01</v>
      </c>
      <c r="C335" cm="1">
        <f t="array" aca="1" ref="C335" ca="1">[1]!s_dq_close("HSI.HI",$A335,3)</f>
        <v>23689.13</v>
      </c>
    </row>
    <row r="336" spans="1:3">
      <c r="A336" s="23">
        <f t="shared" ca="1" si="5"/>
        <v>45830</v>
      </c>
      <c r="B336" cm="1">
        <f t="array" aca="1" ref="B336" ca="1">[1]!s_dq_close("HSTECH.HI",$A336,3)</f>
        <v>5133.1400000000003</v>
      </c>
      <c r="C336" cm="1">
        <f t="array" aca="1" ref="C336" ca="1">[1]!s_dq_close("HSI.HI",$A336,3)</f>
        <v>23530.48</v>
      </c>
    </row>
    <row r="337" spans="1:3">
      <c r="A337" s="23">
        <f t="shared" ca="1" si="5"/>
        <v>45829</v>
      </c>
      <c r="B337" cm="1">
        <f t="array" aca="1" ref="B337" ca="1">[1]!s_dq_close("HSTECH.HI",$A337,3)</f>
        <v>5133.1400000000003</v>
      </c>
      <c r="C337" cm="1">
        <f t="array" aca="1" ref="C337" ca="1">[1]!s_dq_close("HSI.HI",$A337,3)</f>
        <v>23530.48</v>
      </c>
    </row>
    <row r="338" spans="1:3">
      <c r="A338" s="23">
        <f t="shared" ca="1" si="5"/>
        <v>45828</v>
      </c>
      <c r="B338" cm="1">
        <f t="array" aca="1" ref="B338" ca="1">[1]!s_dq_close("HSTECH.HI",$A338,3)</f>
        <v>5133.1400000000003</v>
      </c>
      <c r="C338" cm="1">
        <f t="array" aca="1" ref="C338" ca="1">[1]!s_dq_close("HSI.HI",$A338,3)</f>
        <v>23530.48</v>
      </c>
    </row>
    <row r="339" spans="1:3">
      <c r="A339" s="23">
        <f t="shared" ca="1" si="5"/>
        <v>45827</v>
      </c>
      <c r="B339" cm="1">
        <f t="array" aca="1" ref="B339" ca="1">[1]!s_dq_close("HSTECH.HI",$A339,3)</f>
        <v>5088.32</v>
      </c>
      <c r="C339" cm="1">
        <f t="array" aca="1" ref="C339" ca="1">[1]!s_dq_close("HSI.HI",$A339,3)</f>
        <v>23237.74</v>
      </c>
    </row>
    <row r="340" spans="1:3">
      <c r="A340" s="23">
        <f t="shared" ca="1" si="5"/>
        <v>45826</v>
      </c>
      <c r="B340" cm="1">
        <f t="array" aca="1" ref="B340" ca="1">[1]!s_dq_close("HSTECH.HI",$A340,3)</f>
        <v>5214.41</v>
      </c>
      <c r="C340" cm="1">
        <f t="array" aca="1" ref="C340" ca="1">[1]!s_dq_close("HSI.HI",$A340,3)</f>
        <v>23710.69</v>
      </c>
    </row>
    <row r="341" spans="1:3">
      <c r="A341" s="23">
        <f t="shared" ca="1" si="5"/>
        <v>45825</v>
      </c>
      <c r="B341" cm="1">
        <f t="array" aca="1" ref="B341" ca="1">[1]!s_dq_close("HSTECH.HI",$A341,3)</f>
        <v>5291.85</v>
      </c>
      <c r="C341" cm="1">
        <f t="array" aca="1" ref="C341" ca="1">[1]!s_dq_close("HSI.HI",$A341,3)</f>
        <v>23980.3</v>
      </c>
    </row>
    <row r="342" spans="1:3">
      <c r="A342" s="23">
        <f t="shared" ca="1" si="5"/>
        <v>45824</v>
      </c>
      <c r="B342" cm="1">
        <f t="array" aca="1" ref="B342" ca="1">[1]!s_dq_close("HSTECH.HI",$A342,3)</f>
        <v>5299.91</v>
      </c>
      <c r="C342" cm="1">
        <f t="array" aca="1" ref="C342" ca="1">[1]!s_dq_close("HSI.HI",$A342,3)</f>
        <v>24060.99</v>
      </c>
    </row>
    <row r="343" spans="1:3">
      <c r="A343" s="23">
        <f t="shared" ca="1" si="5"/>
        <v>45823</v>
      </c>
      <c r="B343" cm="1">
        <f t="array" aca="1" ref="B343" ca="1">[1]!s_dq_close("HSTECH.HI",$A343,3)</f>
        <v>5239.71</v>
      </c>
      <c r="C343" cm="1">
        <f t="array" aca="1" ref="C343" ca="1">[1]!s_dq_close("HSI.HI",$A343,3)</f>
        <v>23892.560000000001</v>
      </c>
    </row>
    <row r="344" spans="1:3">
      <c r="A344" s="23">
        <f t="shared" ca="1" si="5"/>
        <v>45822</v>
      </c>
      <c r="B344" cm="1">
        <f t="array" aca="1" ref="B344" ca="1">[1]!s_dq_close("HSTECH.HI",$A344,3)</f>
        <v>5239.71</v>
      </c>
      <c r="C344" cm="1">
        <f t="array" aca="1" ref="C344" ca="1">[1]!s_dq_close("HSI.HI",$A344,3)</f>
        <v>23892.560000000001</v>
      </c>
    </row>
    <row r="345" spans="1:3">
      <c r="A345" s="23">
        <f t="shared" ca="1" si="5"/>
        <v>45821</v>
      </c>
      <c r="B345" cm="1">
        <f t="array" aca="1" ref="B345" ca="1">[1]!s_dq_close("HSTECH.HI",$A345,3)</f>
        <v>5239.71</v>
      </c>
      <c r="C345" cm="1">
        <f t="array" aca="1" ref="C345" ca="1">[1]!s_dq_close("HSI.HI",$A345,3)</f>
        <v>23892.560000000001</v>
      </c>
    </row>
    <row r="346" spans="1:3">
      <c r="A346" s="23">
        <f t="shared" ca="1" si="5"/>
        <v>45820</v>
      </c>
      <c r="B346" cm="1">
        <f t="array" aca="1" ref="B346" ca="1">[1]!s_dq_close("HSTECH.HI",$A346,3)</f>
        <v>5331.33</v>
      </c>
      <c r="C346" cm="1">
        <f t="array" aca="1" ref="C346" ca="1">[1]!s_dq_close("HSI.HI",$A346,3)</f>
        <v>24035.38</v>
      </c>
    </row>
    <row r="347" spans="1:3">
      <c r="A347" s="23">
        <f t="shared" ca="1" si="5"/>
        <v>45819</v>
      </c>
      <c r="B347" cm="1">
        <f t="array" aca="1" ref="B347" ca="1">[1]!s_dq_close("HSTECH.HI",$A347,3)</f>
        <v>5451.2</v>
      </c>
      <c r="C347" cm="1">
        <f t="array" aca="1" ref="C347" ca="1">[1]!s_dq_close("HSI.HI",$A347,3)</f>
        <v>24366.94</v>
      </c>
    </row>
    <row r="348" spans="1:3">
      <c r="A348" s="23">
        <f t="shared" ca="1" si="5"/>
        <v>45818</v>
      </c>
      <c r="B348" cm="1">
        <f t="array" aca="1" ref="B348" ca="1">[1]!s_dq_close("HSTECH.HI",$A348,3)</f>
        <v>5392.19</v>
      </c>
      <c r="C348" cm="1">
        <f t="array" aca="1" ref="C348" ca="1">[1]!s_dq_close("HSI.HI",$A348,3)</f>
        <v>24162.87</v>
      </c>
    </row>
    <row r="349" spans="1:3">
      <c r="A349" s="23">
        <f t="shared" ca="1" si="5"/>
        <v>45817</v>
      </c>
      <c r="B349" cm="1">
        <f t="array" aca="1" ref="B349" ca="1">[1]!s_dq_close("HSTECH.HI",$A349,3)</f>
        <v>5433.23</v>
      </c>
      <c r="C349" cm="1">
        <f t="array" aca="1" ref="C349" ca="1">[1]!s_dq_close("HSI.HI",$A349,3)</f>
        <v>24181.43</v>
      </c>
    </row>
    <row r="350" spans="1:3">
      <c r="A350" s="23">
        <f t="shared" ca="1" si="5"/>
        <v>45816</v>
      </c>
      <c r="B350" cm="1">
        <f t="array" aca="1" ref="B350" ca="1">[1]!s_dq_close("HSTECH.HI",$A350,3)</f>
        <v>5286.52</v>
      </c>
      <c r="C350" cm="1">
        <f t="array" aca="1" ref="C350" ca="1">[1]!s_dq_close("HSI.HI",$A350,3)</f>
        <v>23792.54</v>
      </c>
    </row>
    <row r="351" spans="1:3">
      <c r="A351" s="23">
        <f t="shared" ca="1" si="5"/>
        <v>45815</v>
      </c>
      <c r="B351" cm="1">
        <f t="array" aca="1" ref="B351" ca="1">[1]!s_dq_close("HSTECH.HI",$A351,3)</f>
        <v>5286.52</v>
      </c>
      <c r="C351" cm="1">
        <f t="array" aca="1" ref="C351" ca="1">[1]!s_dq_close("HSI.HI",$A351,3)</f>
        <v>23792.54</v>
      </c>
    </row>
    <row r="352" spans="1:3">
      <c r="A352" s="23">
        <f t="shared" ca="1" si="5"/>
        <v>45814</v>
      </c>
      <c r="B352" cm="1">
        <f t="array" aca="1" ref="B352" ca="1">[1]!s_dq_close("HSTECH.HI",$A352,3)</f>
        <v>5286.52</v>
      </c>
      <c r="C352" cm="1">
        <f t="array" aca="1" ref="C352" ca="1">[1]!s_dq_close("HSI.HI",$A352,3)</f>
        <v>23792.54</v>
      </c>
    </row>
    <row r="353" spans="1:3">
      <c r="A353" s="23">
        <f t="shared" ca="1" si="5"/>
        <v>45813</v>
      </c>
      <c r="B353" cm="1">
        <f t="array" aca="1" ref="B353" ca="1">[1]!s_dq_close("HSTECH.HI",$A353,3)</f>
        <v>5319.96</v>
      </c>
      <c r="C353" cm="1">
        <f t="array" aca="1" ref="C353" ca="1">[1]!s_dq_close("HSI.HI",$A353,3)</f>
        <v>23906.97</v>
      </c>
    </row>
    <row r="354" spans="1:3">
      <c r="A354" s="23">
        <f t="shared" ca="1" si="5"/>
        <v>45812</v>
      </c>
      <c r="B354" cm="1">
        <f t="array" aca="1" ref="B354" ca="1">[1]!s_dq_close("HSTECH.HI",$A354,3)</f>
        <v>5219.0200000000004</v>
      </c>
      <c r="C354" cm="1">
        <f t="array" aca="1" ref="C354" ca="1">[1]!s_dq_close("HSI.HI",$A354,3)</f>
        <v>23654.03</v>
      </c>
    </row>
    <row r="355" spans="1:3">
      <c r="A355" s="23">
        <f t="shared" ca="1" si="5"/>
        <v>45811</v>
      </c>
      <c r="B355" cm="1">
        <f t="array" aca="1" ref="B355" ca="1">[1]!s_dq_close("HSTECH.HI",$A355,3)</f>
        <v>5189.49</v>
      </c>
      <c r="C355" cm="1">
        <f t="array" aca="1" ref="C355" ca="1">[1]!s_dq_close("HSI.HI",$A355,3)</f>
        <v>23512.49</v>
      </c>
    </row>
    <row r="356" spans="1:3">
      <c r="A356" s="23">
        <f t="shared" ca="1" si="5"/>
        <v>45810</v>
      </c>
      <c r="B356" cm="1">
        <f t="array" aca="1" ref="B356" ca="1">[1]!s_dq_close("HSTECH.HI",$A356,3)</f>
        <v>5134.1099999999997</v>
      </c>
      <c r="C356" cm="1">
        <f t="array" aca="1" ref="C356" ca="1">[1]!s_dq_close("HSI.HI",$A356,3)</f>
        <v>23157.97</v>
      </c>
    </row>
    <row r="357" spans="1:3">
      <c r="A357" s="23">
        <f t="shared" ca="1" si="5"/>
        <v>45809</v>
      </c>
      <c r="B357" cm="1">
        <f t="array" aca="1" ref="B357" ca="1">[1]!s_dq_close("HSTECH.HI",$A357,3)</f>
        <v>5170.43</v>
      </c>
      <c r="C357" cm="1">
        <f t="array" aca="1" ref="C357" ca="1">[1]!s_dq_close("HSI.HI",$A357,3)</f>
        <v>23289.77</v>
      </c>
    </row>
    <row r="358" spans="1:3">
      <c r="A358" s="23">
        <f t="shared" ca="1" si="5"/>
        <v>45808</v>
      </c>
      <c r="B358" cm="1">
        <f t="array" aca="1" ref="B358" ca="1">[1]!s_dq_close("HSTECH.HI",$A358,3)</f>
        <v>5170.43</v>
      </c>
      <c r="C358" cm="1">
        <f t="array" aca="1" ref="C358" ca="1">[1]!s_dq_close("HSI.HI",$A358,3)</f>
        <v>23289.77</v>
      </c>
    </row>
    <row r="359" spans="1:3">
      <c r="A359" s="23">
        <f t="shared" ca="1" si="5"/>
        <v>45807</v>
      </c>
      <c r="B359" cm="1">
        <f t="array" aca="1" ref="B359" ca="1">[1]!s_dq_close("HSTECH.HI",$A359,3)</f>
        <v>5170.43</v>
      </c>
      <c r="C359" cm="1">
        <f t="array" aca="1" ref="C359" ca="1">[1]!s_dq_close("HSI.HI",$A359,3)</f>
        <v>23289.77</v>
      </c>
    </row>
    <row r="360" spans="1:3">
      <c r="A360" s="23">
        <f t="shared" ca="1" si="5"/>
        <v>45806</v>
      </c>
      <c r="B360" cm="1">
        <f t="array" aca="1" ref="B360" ca="1">[1]!s_dq_close("HSTECH.HI",$A360,3)</f>
        <v>5301.92</v>
      </c>
      <c r="C360" cm="1">
        <f t="array" aca="1" ref="C360" ca="1">[1]!s_dq_close("HSI.HI",$A360,3)</f>
        <v>23573.38</v>
      </c>
    </row>
    <row r="361" spans="1:3">
      <c r="A361" s="23">
        <f t="shared" ca="1" si="5"/>
        <v>45805</v>
      </c>
      <c r="B361" cm="1">
        <f t="array" aca="1" ref="B361" ca="1">[1]!s_dq_close("HSTECH.HI",$A361,3)</f>
        <v>5174.6400000000003</v>
      </c>
      <c r="C361" cm="1">
        <f t="array" aca="1" ref="C361" ca="1">[1]!s_dq_close("HSI.HI",$A361,3)</f>
        <v>23258.31</v>
      </c>
    </row>
    <row r="362" spans="1:3">
      <c r="A362" s="23">
        <f t="shared" ca="1" si="5"/>
        <v>45804</v>
      </c>
      <c r="B362" cm="1">
        <f t="array" aca="1" ref="B362" ca="1">[1]!s_dq_close("HSTECH.HI",$A362,3)</f>
        <v>5182.6000000000004</v>
      </c>
      <c r="C362" cm="1">
        <f t="array" aca="1" ref="C362" ca="1">[1]!s_dq_close("HSI.HI",$A362,3)</f>
        <v>23381.99</v>
      </c>
    </row>
    <row r="363" spans="1:3">
      <c r="A363" s="23">
        <f t="shared" ca="1" si="5"/>
        <v>45803</v>
      </c>
      <c r="B363" cm="1">
        <f t="array" aca="1" ref="B363" ca="1">[1]!s_dq_close("HSTECH.HI",$A363,3)</f>
        <v>5157.6499999999996</v>
      </c>
      <c r="C363" cm="1">
        <f t="array" aca="1" ref="C363" ca="1">[1]!s_dq_close("HSI.HI",$A363,3)</f>
        <v>23282.33</v>
      </c>
    </row>
    <row r="364" spans="1:3">
      <c r="A364" s="23">
        <f t="shared" ca="1" si="5"/>
        <v>45802</v>
      </c>
      <c r="B364" cm="1">
        <f t="array" aca="1" ref="B364" ca="1">[1]!s_dq_close("HSTECH.HI",$A364,3)</f>
        <v>5246.87</v>
      </c>
      <c r="C364" cm="1">
        <f t="array" aca="1" ref="C364" ca="1">[1]!s_dq_close("HSI.HI",$A364,3)</f>
        <v>23601.26</v>
      </c>
    </row>
    <row r="365" spans="1:3">
      <c r="A365" s="23">
        <f t="shared" ca="1" si="5"/>
        <v>45801</v>
      </c>
      <c r="B365" cm="1">
        <f t="array" aca="1" ref="B365" ca="1">[1]!s_dq_close("HSTECH.HI",$A365,3)</f>
        <v>5246.87</v>
      </c>
      <c r="C365" cm="1">
        <f t="array" aca="1" ref="C365" ca="1">[1]!s_dq_close("HSI.HI",$A365,3)</f>
        <v>23601.26</v>
      </c>
    </row>
    <row r="366" spans="1:3">
      <c r="A366" s="23">
        <f t="shared" ca="1" si="5"/>
        <v>45800</v>
      </c>
      <c r="B366" cm="1">
        <f t="array" aca="1" ref="B366" ca="1">[1]!s_dq_close("HSTECH.HI",$A366,3)</f>
        <v>5246.87</v>
      </c>
      <c r="C366" cm="1">
        <f t="array" aca="1" ref="C366" ca="1">[1]!s_dq_close("HSI.HI",$A366,3)</f>
        <v>23601.26</v>
      </c>
    </row>
    <row r="367" spans="1:3">
      <c r="A367" s="23">
        <f t="shared" ca="1" si="5"/>
        <v>45799</v>
      </c>
      <c r="B367" cm="1">
        <f t="array" aca="1" ref="B367" ca="1">[1]!s_dq_close("HSTECH.HI",$A367,3)</f>
        <v>5251.75</v>
      </c>
      <c r="C367" cm="1">
        <f t="array" aca="1" ref="C367" ca="1">[1]!s_dq_close("HSI.HI",$A367,3)</f>
        <v>23544.31</v>
      </c>
    </row>
    <row r="368" spans="1:3">
      <c r="A368" s="23">
        <f t="shared" ca="1" si="5"/>
        <v>45798</v>
      </c>
      <c r="B368" cm="1">
        <f t="array" aca="1" ref="B368" ca="1">[1]!s_dq_close("HSTECH.HI",$A368,3)</f>
        <v>5342.41</v>
      </c>
      <c r="C368" cm="1">
        <f t="array" aca="1" ref="C368" ca="1">[1]!s_dq_close("HSI.HI",$A368,3)</f>
        <v>23827.78</v>
      </c>
    </row>
    <row r="369" spans="1:3">
      <c r="A369" s="23">
        <f t="shared" ca="1" si="5"/>
        <v>45797</v>
      </c>
      <c r="B369" cm="1">
        <f t="array" aca="1" ref="B369" ca="1">[1]!s_dq_close("HSTECH.HI",$A369,3)</f>
        <v>5315.56</v>
      </c>
      <c r="C369" cm="1">
        <f t="array" aca="1" ref="C369" ca="1">[1]!s_dq_close("HSI.HI",$A369,3)</f>
        <v>23681.48</v>
      </c>
    </row>
    <row r="370" spans="1:3">
      <c r="A370" s="23">
        <f t="shared" ca="1" si="5"/>
        <v>45796</v>
      </c>
      <c r="B370" cm="1">
        <f t="array" aca="1" ref="B370" ca="1">[1]!s_dq_close("HSTECH.HI",$A370,3)</f>
        <v>5255.06</v>
      </c>
      <c r="C370" cm="1">
        <f t="array" aca="1" ref="C370" ca="1">[1]!s_dq_close("HSI.HI",$A370,3)</f>
        <v>23332.720000000001</v>
      </c>
    </row>
    <row r="371" spans="1:3">
      <c r="A371" s="23">
        <f t="shared" ca="1" si="5"/>
        <v>45795</v>
      </c>
      <c r="B371" cm="1">
        <f t="array" aca="1" ref="B371" ca="1">[1]!s_dq_close("HSTECH.HI",$A371,3)</f>
        <v>5281.34</v>
      </c>
      <c r="C371" cm="1">
        <f t="array" aca="1" ref="C371" ca="1">[1]!s_dq_close("HSI.HI",$A371,3)</f>
        <v>23345.05</v>
      </c>
    </row>
    <row r="372" spans="1:3">
      <c r="A372" s="23">
        <f t="shared" ca="1" si="5"/>
        <v>45794</v>
      </c>
      <c r="B372" cm="1">
        <f t="array" aca="1" ref="B372" ca="1">[1]!s_dq_close("HSTECH.HI",$A372,3)</f>
        <v>5281.34</v>
      </c>
      <c r="C372" cm="1">
        <f t="array" aca="1" ref="C372" ca="1">[1]!s_dq_close("HSI.HI",$A372,3)</f>
        <v>23345.05</v>
      </c>
    </row>
    <row r="373" spans="1:3">
      <c r="A373" s="23">
        <f t="shared" ca="1" si="5"/>
        <v>45793</v>
      </c>
      <c r="B373" cm="1">
        <f t="array" aca="1" ref="B373" ca="1">[1]!s_dq_close("HSTECH.HI",$A373,3)</f>
        <v>5281.34</v>
      </c>
      <c r="C373" cm="1">
        <f t="array" aca="1" ref="C373" ca="1">[1]!s_dq_close("HSI.HI",$A373,3)</f>
        <v>23345.05</v>
      </c>
    </row>
    <row r="374" spans="1:3">
      <c r="A374" s="23">
        <f t="shared" ca="1" si="5"/>
        <v>45792</v>
      </c>
      <c r="B374" cm="1">
        <f t="array" aca="1" ref="B374" ca="1">[1]!s_dq_close("HSTECH.HI",$A374,3)</f>
        <v>5297.84</v>
      </c>
      <c r="C374" cm="1">
        <f t="array" aca="1" ref="C374" ca="1">[1]!s_dq_close("HSI.HI",$A374,3)</f>
        <v>23453.16</v>
      </c>
    </row>
    <row r="375" spans="1:3">
      <c r="A375" s="23">
        <f t="shared" ca="1" si="5"/>
        <v>45791</v>
      </c>
      <c r="B375" cm="1">
        <f t="array" aca="1" ref="B375" ca="1">[1]!s_dq_close("HSTECH.HI",$A375,3)</f>
        <v>5381.78</v>
      </c>
      <c r="C375" cm="1">
        <f t="array" aca="1" ref="C375" ca="1">[1]!s_dq_close("HSI.HI",$A375,3)</f>
        <v>23640.65</v>
      </c>
    </row>
    <row r="376" spans="1:3">
      <c r="A376" s="23">
        <f t="shared" ca="1" si="5"/>
        <v>45790</v>
      </c>
      <c r="B376" cm="1">
        <f t="array" aca="1" ref="B376" ca="1">[1]!s_dq_close("HSTECH.HI",$A376,3)</f>
        <v>5269.66</v>
      </c>
      <c r="C376" cm="1">
        <f t="array" aca="1" ref="C376" ca="1">[1]!s_dq_close("HSI.HI",$A376,3)</f>
        <v>23108.27</v>
      </c>
    </row>
    <row r="377" spans="1:3">
      <c r="A377" s="23">
        <f t="shared" ca="1" si="5"/>
        <v>45789</v>
      </c>
      <c r="B377" cm="1">
        <f t="array" aca="1" ref="B377" ca="1">[1]!s_dq_close("HSTECH.HI",$A377,3)</f>
        <v>5447.35</v>
      </c>
      <c r="C377" cm="1">
        <f t="array" aca="1" ref="C377" ca="1">[1]!s_dq_close("HSI.HI",$A377,3)</f>
        <v>23549.46</v>
      </c>
    </row>
    <row r="378" spans="1:3">
      <c r="A378" s="23">
        <f t="shared" ca="1" si="5"/>
        <v>45788</v>
      </c>
      <c r="B378" cm="1">
        <f t="array" aca="1" ref="B378" ca="1">[1]!s_dq_close("HSTECH.HI",$A378,3)</f>
        <v>5180.25</v>
      </c>
      <c r="C378" cm="1">
        <f t="array" aca="1" ref="C378" ca="1">[1]!s_dq_close("HSI.HI",$A378,3)</f>
        <v>22867.74</v>
      </c>
    </row>
    <row r="379" spans="1:3">
      <c r="A379" s="23">
        <f t="shared" ca="1" si="5"/>
        <v>45787</v>
      </c>
      <c r="B379" cm="1">
        <f t="array" aca="1" ref="B379" ca="1">[1]!s_dq_close("HSTECH.HI",$A379,3)</f>
        <v>5180.25</v>
      </c>
      <c r="C379" cm="1">
        <f t="array" aca="1" ref="C379" ca="1">[1]!s_dq_close("HSI.HI",$A379,3)</f>
        <v>22867.74</v>
      </c>
    </row>
    <row r="380" spans="1:3">
      <c r="A380" s="23">
        <f t="shared" ca="1" si="5"/>
        <v>45786</v>
      </c>
      <c r="B380" cm="1">
        <f t="array" aca="1" ref="B380" ca="1">[1]!s_dq_close("HSTECH.HI",$A380,3)</f>
        <v>5180.25</v>
      </c>
      <c r="C380" cm="1">
        <f t="array" aca="1" ref="C380" ca="1">[1]!s_dq_close("HSI.HI",$A380,3)</f>
        <v>22867.74</v>
      </c>
    </row>
    <row r="381" spans="1:3">
      <c r="A381" s="23">
        <f t="shared" ca="1" si="5"/>
        <v>45785</v>
      </c>
      <c r="B381" cm="1">
        <f t="array" aca="1" ref="B381" ca="1">[1]!s_dq_close("HSTECH.HI",$A381,3)</f>
        <v>5228.91</v>
      </c>
      <c r="C381" cm="1">
        <f t="array" aca="1" ref="C381" ca="1">[1]!s_dq_close("HSI.HI",$A381,3)</f>
        <v>22775.919999999998</v>
      </c>
    </row>
    <row r="382" spans="1:3">
      <c r="A382" s="23">
        <f t="shared" ca="1" si="5"/>
        <v>45784</v>
      </c>
      <c r="B382" cm="1">
        <f t="array" aca="1" ref="B382" ca="1">[1]!s_dq_close("HSTECH.HI",$A382,3)</f>
        <v>5200.04</v>
      </c>
      <c r="C382" cm="1">
        <f t="array" aca="1" ref="C382" ca="1">[1]!s_dq_close("HSI.HI",$A382,3)</f>
        <v>22691.88</v>
      </c>
    </row>
    <row r="383" spans="1:3">
      <c r="A383" s="23">
        <f t="shared" ca="1" si="5"/>
        <v>45783</v>
      </c>
      <c r="B383" cm="1">
        <f t="array" aca="1" ref="B383" ca="1">[1]!s_dq_close("HSTECH.HI",$A383,3)</f>
        <v>5239.5</v>
      </c>
      <c r="C383" cm="1">
        <f t="array" aca="1" ref="C383" ca="1">[1]!s_dq_close("HSI.HI",$A383,3)</f>
        <v>22662.71</v>
      </c>
    </row>
    <row r="384" spans="1:3">
      <c r="A384" s="23">
        <f t="shared" ca="1" si="5"/>
        <v>45782</v>
      </c>
      <c r="B384" cm="1">
        <f t="array" aca="1" ref="B384" ca="1">[1]!s_dq_close("HSTECH.HI",$A384,3)</f>
        <v>5244.06</v>
      </c>
      <c r="C384" cm="1">
        <f t="array" aca="1" ref="C384" ca="1">[1]!s_dq_close("HSI.HI",$A384,3)</f>
        <v>22504.68</v>
      </c>
    </row>
    <row r="385" spans="1:3">
      <c r="A385" s="23">
        <f t="shared" ca="1" si="5"/>
        <v>45781</v>
      </c>
      <c r="B385" cm="1">
        <f t="array" aca="1" ref="B385" ca="1">[1]!s_dq_close("HSTECH.HI",$A385,3)</f>
        <v>5244.06</v>
      </c>
      <c r="C385" cm="1">
        <f t="array" aca="1" ref="C385" ca="1">[1]!s_dq_close("HSI.HI",$A385,3)</f>
        <v>22504.68</v>
      </c>
    </row>
    <row r="386" spans="1:3">
      <c r="A386" s="23">
        <f t="shared" ca="1" si="5"/>
        <v>45780</v>
      </c>
      <c r="B386" cm="1">
        <f t="array" aca="1" ref="B386" ca="1">[1]!s_dq_close("HSTECH.HI",$A386,3)</f>
        <v>5244.06</v>
      </c>
      <c r="C386" cm="1">
        <f t="array" aca="1" ref="C386" ca="1">[1]!s_dq_close("HSI.HI",$A386,3)</f>
        <v>22504.68</v>
      </c>
    </row>
    <row r="387" spans="1:3">
      <c r="A387" s="23">
        <f t="shared" ca="1" si="5"/>
        <v>45779</v>
      </c>
      <c r="B387" cm="1">
        <f t="array" aca="1" ref="B387" ca="1">[1]!s_dq_close("HSTECH.HI",$A387,3)</f>
        <v>5244.06</v>
      </c>
      <c r="C387" cm="1">
        <f t="array" aca="1" ref="C387" ca="1">[1]!s_dq_close("HSI.HI",$A387,3)</f>
        <v>22504.68</v>
      </c>
    </row>
    <row r="388" spans="1:3">
      <c r="A388" s="23">
        <f t="shared" ref="A388:A451" ca="1" si="6">A387-1</f>
        <v>45778</v>
      </c>
      <c r="B388" cm="1">
        <f t="array" aca="1" ref="B388" ca="1">[1]!s_dq_close("HSTECH.HI",$A388,3)</f>
        <v>5087.42</v>
      </c>
      <c r="C388" cm="1">
        <f t="array" aca="1" ref="C388" ca="1">[1]!s_dq_close("HSI.HI",$A388,3)</f>
        <v>22119.41</v>
      </c>
    </row>
    <row r="389" spans="1:3">
      <c r="A389" s="23">
        <f t="shared" ca="1" si="6"/>
        <v>45777</v>
      </c>
      <c r="B389" cm="1">
        <f t="array" aca="1" ref="B389" ca="1">[1]!s_dq_close("HSTECH.HI",$A389,3)</f>
        <v>5087.42</v>
      </c>
      <c r="C389" cm="1">
        <f t="array" aca="1" ref="C389" ca="1">[1]!s_dq_close("HSI.HI",$A389,3)</f>
        <v>22119.41</v>
      </c>
    </row>
    <row r="390" spans="1:3">
      <c r="A390" s="23">
        <f t="shared" ca="1" si="6"/>
        <v>45776</v>
      </c>
      <c r="B390" cm="1">
        <f t="array" aca="1" ref="B390" ca="1">[1]!s_dq_close("HSTECH.HI",$A390,3)</f>
        <v>5019.7299999999996</v>
      </c>
      <c r="C390" cm="1">
        <f t="array" aca="1" ref="C390" ca="1">[1]!s_dq_close("HSI.HI",$A390,3)</f>
        <v>22008.11</v>
      </c>
    </row>
    <row r="391" spans="1:3">
      <c r="A391" s="23">
        <f t="shared" ca="1" si="6"/>
        <v>45775</v>
      </c>
      <c r="B391" cm="1">
        <f t="array" aca="1" ref="B391" ca="1">[1]!s_dq_close("HSTECH.HI",$A391,3)</f>
        <v>4988.9399999999996</v>
      </c>
      <c r="C391" cm="1">
        <f t="array" aca="1" ref="C391" ca="1">[1]!s_dq_close("HSI.HI",$A391,3)</f>
        <v>21971.96</v>
      </c>
    </row>
    <row r="392" spans="1:3">
      <c r="A392" s="23">
        <f t="shared" ca="1" si="6"/>
        <v>45774</v>
      </c>
      <c r="B392" cm="1">
        <f t="array" aca="1" ref="B392" ca="1">[1]!s_dq_close("HSTECH.HI",$A392,3)</f>
        <v>4982.96</v>
      </c>
      <c r="C392" cm="1">
        <f t="array" aca="1" ref="C392" ca="1">[1]!s_dq_close("HSI.HI",$A392,3)</f>
        <v>21980.74</v>
      </c>
    </row>
    <row r="393" spans="1:3">
      <c r="A393" s="23">
        <f t="shared" ca="1" si="6"/>
        <v>45773</v>
      </c>
      <c r="B393" cm="1">
        <f t="array" aca="1" ref="B393" ca="1">[1]!s_dq_close("HSTECH.HI",$A393,3)</f>
        <v>4982.96</v>
      </c>
      <c r="C393" cm="1">
        <f t="array" aca="1" ref="C393" ca="1">[1]!s_dq_close("HSI.HI",$A393,3)</f>
        <v>21980.74</v>
      </c>
    </row>
    <row r="394" spans="1:3">
      <c r="A394" s="23">
        <f t="shared" ca="1" si="6"/>
        <v>45772</v>
      </c>
      <c r="B394" cm="1">
        <f t="array" aca="1" ref="B394" ca="1">[1]!s_dq_close("HSTECH.HI",$A394,3)</f>
        <v>4982.96</v>
      </c>
      <c r="C394" cm="1">
        <f t="array" aca="1" ref="C394" ca="1">[1]!s_dq_close("HSI.HI",$A394,3)</f>
        <v>21980.74</v>
      </c>
    </row>
    <row r="395" spans="1:3">
      <c r="A395" s="23">
        <f t="shared" ca="1" si="6"/>
        <v>45771</v>
      </c>
      <c r="B395" cm="1">
        <f t="array" aca="1" ref="B395" ca="1">[1]!s_dq_close("HSTECH.HI",$A395,3)</f>
        <v>4975.8900000000003</v>
      </c>
      <c r="C395" cm="1">
        <f t="array" aca="1" ref="C395" ca="1">[1]!s_dq_close("HSI.HI",$A395,3)</f>
        <v>21909.759999999998</v>
      </c>
    </row>
    <row r="396" spans="1:3">
      <c r="A396" s="23">
        <f t="shared" ca="1" si="6"/>
        <v>45770</v>
      </c>
      <c r="B396" cm="1">
        <f t="array" aca="1" ref="B396" ca="1">[1]!s_dq_close("HSTECH.HI",$A396,3)</f>
        <v>5049.3999999999996</v>
      </c>
      <c r="C396" cm="1">
        <f t="array" aca="1" ref="C396" ca="1">[1]!s_dq_close("HSI.HI",$A396,3)</f>
        <v>22072.62</v>
      </c>
    </row>
    <row r="397" spans="1:3">
      <c r="A397" s="23">
        <f t="shared" ca="1" si="6"/>
        <v>45769</v>
      </c>
      <c r="B397" cm="1">
        <f t="array" aca="1" ref="B397" ca="1">[1]!s_dq_close("HSTECH.HI",$A397,3)</f>
        <v>4899.21</v>
      </c>
      <c r="C397" cm="1">
        <f t="array" aca="1" ref="C397" ca="1">[1]!s_dq_close("HSI.HI",$A397,3)</f>
        <v>21562.32</v>
      </c>
    </row>
    <row r="398" spans="1:3">
      <c r="A398" s="23">
        <f t="shared" ca="1" si="6"/>
        <v>45768</v>
      </c>
      <c r="B398" cm="1">
        <f t="array" aca="1" ref="B398" ca="1">[1]!s_dq_close("HSTECH.HI",$A398,3)</f>
        <v>4887.37</v>
      </c>
      <c r="C398" cm="1">
        <f t="array" aca="1" ref="C398" ca="1">[1]!s_dq_close("HSI.HI",$A398,3)</f>
        <v>21395.14</v>
      </c>
    </row>
    <row r="399" spans="1:3">
      <c r="A399" s="23">
        <f t="shared" ca="1" si="6"/>
        <v>45767</v>
      </c>
      <c r="B399" cm="1">
        <f t="array" aca="1" ref="B399" ca="1">[1]!s_dq_close("HSTECH.HI",$A399,3)</f>
        <v>4887.37</v>
      </c>
      <c r="C399" cm="1">
        <f t="array" aca="1" ref="C399" ca="1">[1]!s_dq_close("HSI.HI",$A399,3)</f>
        <v>21395.14</v>
      </c>
    </row>
    <row r="400" spans="1:3">
      <c r="A400" s="23">
        <f t="shared" ca="1" si="6"/>
        <v>45766</v>
      </c>
      <c r="B400" cm="1">
        <f t="array" aca="1" ref="B400" ca="1">[1]!s_dq_close("HSTECH.HI",$A400,3)</f>
        <v>4887.37</v>
      </c>
      <c r="C400" cm="1">
        <f t="array" aca="1" ref="C400" ca="1">[1]!s_dq_close("HSI.HI",$A400,3)</f>
        <v>21395.14</v>
      </c>
    </row>
    <row r="401" spans="1:3">
      <c r="A401" s="23">
        <f t="shared" ca="1" si="6"/>
        <v>45765</v>
      </c>
      <c r="B401" cm="1">
        <f t="array" aca="1" ref="B401" ca="1">[1]!s_dq_close("HSTECH.HI",$A401,3)</f>
        <v>4887.37</v>
      </c>
      <c r="C401" cm="1">
        <f t="array" aca="1" ref="C401" ca="1">[1]!s_dq_close("HSI.HI",$A401,3)</f>
        <v>21395.14</v>
      </c>
    </row>
    <row r="402" spans="1:3">
      <c r="A402" s="23">
        <f t="shared" ca="1" si="6"/>
        <v>45764</v>
      </c>
      <c r="B402" cm="1">
        <f t="array" aca="1" ref="B402" ca="1">[1]!s_dq_close("HSTECH.HI",$A402,3)</f>
        <v>4887.37</v>
      </c>
      <c r="C402" cm="1">
        <f t="array" aca="1" ref="C402" ca="1">[1]!s_dq_close("HSI.HI",$A402,3)</f>
        <v>21395.14</v>
      </c>
    </row>
    <row r="403" spans="1:3">
      <c r="A403" s="23">
        <f t="shared" ca="1" si="6"/>
        <v>45763</v>
      </c>
      <c r="B403" cm="1">
        <f t="array" aca="1" ref="B403" ca="1">[1]!s_dq_close("HSTECH.HI",$A403,3)</f>
        <v>4796.28</v>
      </c>
      <c r="C403" cm="1">
        <f t="array" aca="1" ref="C403" ca="1">[1]!s_dq_close("HSI.HI",$A403,3)</f>
        <v>21056.98</v>
      </c>
    </row>
    <row r="404" spans="1:3">
      <c r="A404" s="23">
        <f t="shared" ca="1" si="6"/>
        <v>45762</v>
      </c>
      <c r="B404" cm="1">
        <f t="array" aca="1" ref="B404" ca="1">[1]!s_dq_close("HSTECH.HI",$A404,3)</f>
        <v>4981.6000000000004</v>
      </c>
      <c r="C404" cm="1">
        <f t="array" aca="1" ref="C404" ca="1">[1]!s_dq_close("HSI.HI",$A404,3)</f>
        <v>21466.27</v>
      </c>
    </row>
    <row r="405" spans="1:3">
      <c r="A405" s="23">
        <f t="shared" ca="1" si="6"/>
        <v>45761</v>
      </c>
      <c r="B405" cm="1">
        <f t="array" aca="1" ref="B405" ca="1">[1]!s_dq_close("HSTECH.HI",$A405,3)</f>
        <v>5015.12</v>
      </c>
      <c r="C405" cm="1">
        <f t="array" aca="1" ref="C405" ca="1">[1]!s_dq_close("HSI.HI",$A405,3)</f>
        <v>21417.4</v>
      </c>
    </row>
    <row r="406" spans="1:3">
      <c r="A406" s="23">
        <f t="shared" ca="1" si="6"/>
        <v>45760</v>
      </c>
      <c r="B406" cm="1">
        <f t="array" aca="1" ref="B406" ca="1">[1]!s_dq_close("HSTECH.HI",$A406,3)</f>
        <v>4900.43</v>
      </c>
      <c r="C406" cm="1">
        <f t="array" aca="1" ref="C406" ca="1">[1]!s_dq_close("HSI.HI",$A406,3)</f>
        <v>20914.689999999999</v>
      </c>
    </row>
    <row r="407" spans="1:3">
      <c r="A407" s="23">
        <f t="shared" ca="1" si="6"/>
        <v>45759</v>
      </c>
      <c r="B407" cm="1">
        <f t="array" aca="1" ref="B407" ca="1">[1]!s_dq_close("HSTECH.HI",$A407,3)</f>
        <v>4900.43</v>
      </c>
      <c r="C407" cm="1">
        <f t="array" aca="1" ref="C407" ca="1">[1]!s_dq_close("HSI.HI",$A407,3)</f>
        <v>20914.689999999999</v>
      </c>
    </row>
    <row r="408" spans="1:3">
      <c r="A408" s="23">
        <f t="shared" ca="1" si="6"/>
        <v>45758</v>
      </c>
      <c r="B408" cm="1">
        <f t="array" aca="1" ref="B408" ca="1">[1]!s_dq_close("HSTECH.HI",$A408,3)</f>
        <v>4900.43</v>
      </c>
      <c r="C408" cm="1">
        <f t="array" aca="1" ref="C408" ca="1">[1]!s_dq_close("HSI.HI",$A408,3)</f>
        <v>20914.689999999999</v>
      </c>
    </row>
    <row r="409" spans="1:3">
      <c r="A409" s="23">
        <f t="shared" ca="1" si="6"/>
        <v>45757</v>
      </c>
      <c r="B409" cm="1">
        <f t="array" aca="1" ref="B409" ca="1">[1]!s_dq_close("HSTECH.HI",$A409,3)</f>
        <v>4813.74</v>
      </c>
      <c r="C409" cm="1">
        <f t="array" aca="1" ref="C409" ca="1">[1]!s_dq_close("HSI.HI",$A409,3)</f>
        <v>20681.78</v>
      </c>
    </row>
    <row r="410" spans="1:3">
      <c r="A410" s="23">
        <f t="shared" ca="1" si="6"/>
        <v>45756</v>
      </c>
      <c r="B410" cm="1">
        <f t="array" aca="1" ref="B410" ca="1">[1]!s_dq_close("HSTECH.HI",$A410,3)</f>
        <v>4689.1899999999996</v>
      </c>
      <c r="C410" cm="1">
        <f t="array" aca="1" ref="C410" ca="1">[1]!s_dq_close("HSI.HI",$A410,3)</f>
        <v>20264.490000000002</v>
      </c>
    </row>
    <row r="411" spans="1:3">
      <c r="A411" s="23">
        <f t="shared" ca="1" si="6"/>
        <v>45755</v>
      </c>
      <c r="B411" cm="1">
        <f t="array" aca="1" ref="B411" ca="1">[1]!s_dq_close("HSTECH.HI",$A411,3)</f>
        <v>4568.38</v>
      </c>
      <c r="C411" cm="1">
        <f t="array" aca="1" ref="C411" ca="1">[1]!s_dq_close("HSI.HI",$A411,3)</f>
        <v>20127.68</v>
      </c>
    </row>
    <row r="412" spans="1:3">
      <c r="A412" s="23">
        <f t="shared" ca="1" si="6"/>
        <v>45754</v>
      </c>
      <c r="B412" cm="1">
        <f t="array" aca="1" ref="B412" ca="1">[1]!s_dq_close("HSTECH.HI",$A412,3)</f>
        <v>4401.51</v>
      </c>
      <c r="C412" cm="1">
        <f t="array" aca="1" ref="C412" ca="1">[1]!s_dq_close("HSI.HI",$A412,3)</f>
        <v>19828.3</v>
      </c>
    </row>
    <row r="413" spans="1:3">
      <c r="A413" s="23">
        <f t="shared" ca="1" si="6"/>
        <v>45753</v>
      </c>
      <c r="B413" cm="1">
        <f t="array" aca="1" ref="B413" ca="1">[1]!s_dq_close("HSTECH.HI",$A413,3)</f>
        <v>5313.26</v>
      </c>
      <c r="C413" cm="1">
        <f t="array" aca="1" ref="C413" ca="1">[1]!s_dq_close("HSI.HI",$A413,3)</f>
        <v>22849.81</v>
      </c>
    </row>
    <row r="414" spans="1:3">
      <c r="A414" s="23">
        <f t="shared" ca="1" si="6"/>
        <v>45752</v>
      </c>
      <c r="B414" cm="1">
        <f t="array" aca="1" ref="B414" ca="1">[1]!s_dq_close("HSTECH.HI",$A414,3)</f>
        <v>5313.26</v>
      </c>
      <c r="C414" cm="1">
        <f t="array" aca="1" ref="C414" ca="1">[1]!s_dq_close("HSI.HI",$A414,3)</f>
        <v>22849.81</v>
      </c>
    </row>
    <row r="415" spans="1:3">
      <c r="A415" s="23">
        <f t="shared" ca="1" si="6"/>
        <v>45751</v>
      </c>
      <c r="B415" cm="1">
        <f t="array" aca="1" ref="B415" ca="1">[1]!s_dq_close("HSTECH.HI",$A415,3)</f>
        <v>5313.26</v>
      </c>
      <c r="C415" cm="1">
        <f t="array" aca="1" ref="C415" ca="1">[1]!s_dq_close("HSI.HI",$A415,3)</f>
        <v>22849.81</v>
      </c>
    </row>
    <row r="416" spans="1:3">
      <c r="A416" s="23">
        <f t="shared" ca="1" si="6"/>
        <v>45750</v>
      </c>
      <c r="B416" cm="1">
        <f t="array" aca="1" ref="B416" ca="1">[1]!s_dq_close("HSTECH.HI",$A416,3)</f>
        <v>5313.26</v>
      </c>
      <c r="C416" cm="1">
        <f t="array" aca="1" ref="C416" ca="1">[1]!s_dq_close("HSI.HI",$A416,3)</f>
        <v>22849.81</v>
      </c>
    </row>
    <row r="417" spans="1:3">
      <c r="A417" s="23">
        <f t="shared" ca="1" si="6"/>
        <v>45749</v>
      </c>
      <c r="B417" cm="1">
        <f t="array" aca="1" ref="B417" ca="1">[1]!s_dq_close("HSTECH.HI",$A417,3)</f>
        <v>5426.44</v>
      </c>
      <c r="C417" cm="1">
        <f t="array" aca="1" ref="C417" ca="1">[1]!s_dq_close("HSI.HI",$A417,3)</f>
        <v>23202.53</v>
      </c>
    </row>
    <row r="418" spans="1:3">
      <c r="A418" s="23">
        <f t="shared" ca="1" si="6"/>
        <v>45748</v>
      </c>
      <c r="B418" cm="1">
        <f t="array" aca="1" ref="B418" ca="1">[1]!s_dq_close("HSTECH.HI",$A418,3)</f>
        <v>5407.38</v>
      </c>
      <c r="C418" cm="1">
        <f t="array" aca="1" ref="C418" ca="1">[1]!s_dq_close("HSI.HI",$A418,3)</f>
        <v>23206.84</v>
      </c>
    </row>
    <row r="419" spans="1:3">
      <c r="A419" s="23">
        <f t="shared" ca="1" si="6"/>
        <v>45747</v>
      </c>
      <c r="B419" cm="1">
        <f t="array" aca="1" ref="B419" ca="1">[1]!s_dq_close("HSTECH.HI",$A419,3)</f>
        <v>5394.72</v>
      </c>
      <c r="C419" cm="1">
        <f t="array" aca="1" ref="C419" ca="1">[1]!s_dq_close("HSI.HI",$A419,3)</f>
        <v>23119.58</v>
      </c>
    </row>
    <row r="420" spans="1:3">
      <c r="A420" s="23">
        <f t="shared" ca="1" si="6"/>
        <v>45746</v>
      </c>
      <c r="B420" cm="1">
        <f t="array" aca="1" ref="B420" ca="1">[1]!s_dq_close("HSTECH.HI",$A420,3)</f>
        <v>5506.47</v>
      </c>
      <c r="C420" cm="1">
        <f t="array" aca="1" ref="C420" ca="1">[1]!s_dq_close("HSI.HI",$A420,3)</f>
        <v>23426.6</v>
      </c>
    </row>
    <row r="421" spans="1:3">
      <c r="A421" s="23">
        <f t="shared" ca="1" si="6"/>
        <v>45745</v>
      </c>
      <c r="B421" cm="1">
        <f t="array" aca="1" ref="B421" ca="1">[1]!s_dq_close("HSTECH.HI",$A421,3)</f>
        <v>5506.47</v>
      </c>
      <c r="C421" cm="1">
        <f t="array" aca="1" ref="C421" ca="1">[1]!s_dq_close("HSI.HI",$A421,3)</f>
        <v>23426.6</v>
      </c>
    </row>
    <row r="422" spans="1:3">
      <c r="A422" s="23">
        <f t="shared" ca="1" si="6"/>
        <v>45744</v>
      </c>
      <c r="B422" cm="1">
        <f t="array" aca="1" ref="B422" ca="1">[1]!s_dq_close("HSTECH.HI",$A422,3)</f>
        <v>5506.47</v>
      </c>
      <c r="C422" cm="1">
        <f t="array" aca="1" ref="C422" ca="1">[1]!s_dq_close("HSI.HI",$A422,3)</f>
        <v>23426.6</v>
      </c>
    </row>
    <row r="423" spans="1:3">
      <c r="A423" s="23">
        <f t="shared" ca="1" si="6"/>
        <v>45743</v>
      </c>
      <c r="B423" cm="1">
        <f t="array" aca="1" ref="B423" ca="1">[1]!s_dq_close("HSTECH.HI",$A423,3)</f>
        <v>5589.12</v>
      </c>
      <c r="C423" cm="1">
        <f t="array" aca="1" ref="C423" ca="1">[1]!s_dq_close("HSI.HI",$A423,3)</f>
        <v>23578.799999999999</v>
      </c>
    </row>
    <row r="424" spans="1:3">
      <c r="A424" s="23">
        <f t="shared" ca="1" si="6"/>
        <v>45742</v>
      </c>
      <c r="B424" cm="1">
        <f t="array" aca="1" ref="B424" ca="1">[1]!s_dq_close("HSTECH.HI",$A424,3)</f>
        <v>5573.04</v>
      </c>
      <c r="C424" cm="1">
        <f t="array" aca="1" ref="C424" ca="1">[1]!s_dq_close("HSI.HI",$A424,3)</f>
        <v>23483.32</v>
      </c>
    </row>
    <row r="425" spans="1:3">
      <c r="A425" s="23">
        <f t="shared" ca="1" si="6"/>
        <v>45741</v>
      </c>
      <c r="B425" cm="1">
        <f t="array" aca="1" ref="B425" ca="1">[1]!s_dq_close("HSTECH.HI",$A425,3)</f>
        <v>5517.52</v>
      </c>
      <c r="C425" cm="1">
        <f t="array" aca="1" ref="C425" ca="1">[1]!s_dq_close("HSI.HI",$A425,3)</f>
        <v>23344.25</v>
      </c>
    </row>
    <row r="426" spans="1:3">
      <c r="A426" s="23">
        <f t="shared" ca="1" si="6"/>
        <v>45740</v>
      </c>
      <c r="B426" cm="1">
        <f t="array" aca="1" ref="B426" ca="1">[1]!s_dq_close("HSTECH.HI",$A426,3)</f>
        <v>5736.83</v>
      </c>
      <c r="C426" cm="1">
        <f t="array" aca="1" ref="C426" ca="1">[1]!s_dq_close("HSI.HI",$A426,3)</f>
        <v>23905.56</v>
      </c>
    </row>
    <row r="427" spans="1:3">
      <c r="A427" s="23">
        <f t="shared" ca="1" si="6"/>
        <v>45739</v>
      </c>
      <c r="B427" cm="1">
        <f t="array" aca="1" ref="B427" ca="1">[1]!s_dq_close("HSTECH.HI",$A427,3)</f>
        <v>5639.56</v>
      </c>
      <c r="C427" cm="1">
        <f t="array" aca="1" ref="C427" ca="1">[1]!s_dq_close("HSI.HI",$A427,3)</f>
        <v>23689.72</v>
      </c>
    </row>
    <row r="428" spans="1:3">
      <c r="A428" s="23">
        <f t="shared" ca="1" si="6"/>
        <v>45738</v>
      </c>
      <c r="B428" cm="1">
        <f t="array" aca="1" ref="B428" ca="1">[1]!s_dq_close("HSTECH.HI",$A428,3)</f>
        <v>5639.56</v>
      </c>
      <c r="C428" cm="1">
        <f t="array" aca="1" ref="C428" ca="1">[1]!s_dq_close("HSI.HI",$A428,3)</f>
        <v>23689.72</v>
      </c>
    </row>
    <row r="429" spans="1:3">
      <c r="A429" s="23">
        <f t="shared" ca="1" si="6"/>
        <v>45737</v>
      </c>
      <c r="B429" cm="1">
        <f t="array" aca="1" ref="B429" ca="1">[1]!s_dq_close("HSTECH.HI",$A429,3)</f>
        <v>5639.56</v>
      </c>
      <c r="C429" cm="1">
        <f t="array" aca="1" ref="C429" ca="1">[1]!s_dq_close("HSI.HI",$A429,3)</f>
        <v>23689.72</v>
      </c>
    </row>
    <row r="430" spans="1:3">
      <c r="A430" s="23">
        <f t="shared" ca="1" si="6"/>
        <v>45736</v>
      </c>
      <c r="B430" cm="1">
        <f t="array" aca="1" ref="B430" ca="1">[1]!s_dq_close("HSTECH.HI",$A430,3)</f>
        <v>5836.28</v>
      </c>
      <c r="C430" cm="1">
        <f t="array" aca="1" ref="C430" ca="1">[1]!s_dq_close("HSI.HI",$A430,3)</f>
        <v>24219.95</v>
      </c>
    </row>
    <row r="431" spans="1:3">
      <c r="A431" s="23">
        <f t="shared" ca="1" si="6"/>
        <v>45735</v>
      </c>
      <c r="B431" cm="1">
        <f t="array" aca="1" ref="B431" ca="1">[1]!s_dq_close("HSTECH.HI",$A431,3)</f>
        <v>6041.19</v>
      </c>
      <c r="C431" cm="1">
        <f t="array" aca="1" ref="C431" ca="1">[1]!s_dq_close("HSI.HI",$A431,3)</f>
        <v>24771.14</v>
      </c>
    </row>
    <row r="432" spans="1:3">
      <c r="A432" s="23">
        <f t="shared" ca="1" si="6"/>
        <v>45734</v>
      </c>
      <c r="B432" cm="1">
        <f t="array" aca="1" ref="B432" ca="1">[1]!s_dq_close("HSTECH.HI",$A432,3)</f>
        <v>6105.5</v>
      </c>
      <c r="C432" cm="1">
        <f t="array" aca="1" ref="C432" ca="1">[1]!s_dq_close("HSI.HI",$A432,3)</f>
        <v>24740.57</v>
      </c>
    </row>
    <row r="433" spans="1:3">
      <c r="A433" s="23">
        <f t="shared" ca="1" si="6"/>
        <v>45733</v>
      </c>
      <c r="B433" cm="1">
        <f t="array" aca="1" ref="B433" ca="1">[1]!s_dq_close("HSTECH.HI",$A433,3)</f>
        <v>5872.81</v>
      </c>
      <c r="C433" cm="1">
        <f t="array" aca="1" ref="C433" ca="1">[1]!s_dq_close("HSI.HI",$A433,3)</f>
        <v>24145.57</v>
      </c>
    </row>
    <row r="434" spans="1:3">
      <c r="A434" s="23">
        <f t="shared" ca="1" si="6"/>
        <v>45732</v>
      </c>
      <c r="B434" cm="1">
        <f t="array" aca="1" ref="B434" ca="1">[1]!s_dq_close("HSTECH.HI",$A434,3)</f>
        <v>5880.78</v>
      </c>
      <c r="C434" cm="1">
        <f t="array" aca="1" ref="C434" ca="1">[1]!s_dq_close("HSI.HI",$A434,3)</f>
        <v>23959.98</v>
      </c>
    </row>
    <row r="435" spans="1:3">
      <c r="A435" s="23">
        <f t="shared" ca="1" si="6"/>
        <v>45731</v>
      </c>
      <c r="B435" cm="1">
        <f t="array" aca="1" ref="B435" ca="1">[1]!s_dq_close("HSTECH.HI",$A435,3)</f>
        <v>5880.78</v>
      </c>
      <c r="C435" cm="1">
        <f t="array" aca="1" ref="C435" ca="1">[1]!s_dq_close("HSI.HI",$A435,3)</f>
        <v>23959.98</v>
      </c>
    </row>
    <row r="436" spans="1:3">
      <c r="A436" s="23">
        <f t="shared" ca="1" si="6"/>
        <v>45730</v>
      </c>
      <c r="B436" cm="1">
        <f t="array" aca="1" ref="B436" ca="1">[1]!s_dq_close("HSTECH.HI",$A436,3)</f>
        <v>5880.78</v>
      </c>
      <c r="C436" cm="1">
        <f t="array" aca="1" ref="C436" ca="1">[1]!s_dq_close("HSI.HI",$A436,3)</f>
        <v>23959.98</v>
      </c>
    </row>
    <row r="437" spans="1:3">
      <c r="A437" s="23">
        <f t="shared" ca="1" si="6"/>
        <v>45729</v>
      </c>
      <c r="B437" cm="1">
        <f t="array" aca="1" ref="B437" ca="1">[1]!s_dq_close("HSTECH.HI",$A437,3)</f>
        <v>5747.77</v>
      </c>
      <c r="C437" cm="1">
        <f t="array" aca="1" ref="C437" ca="1">[1]!s_dq_close("HSI.HI",$A437,3)</f>
        <v>23462.65</v>
      </c>
    </row>
    <row r="438" spans="1:3">
      <c r="A438" s="23">
        <f t="shared" ca="1" si="6"/>
        <v>45728</v>
      </c>
      <c r="B438" cm="1">
        <f t="array" aca="1" ref="B438" ca="1">[1]!s_dq_close("HSTECH.HI",$A438,3)</f>
        <v>5845.36</v>
      </c>
      <c r="C438" cm="1">
        <f t="array" aca="1" ref="C438" ca="1">[1]!s_dq_close("HSI.HI",$A438,3)</f>
        <v>23600.31</v>
      </c>
    </row>
    <row r="439" spans="1:3">
      <c r="A439" s="23">
        <f t="shared" ca="1" si="6"/>
        <v>45727</v>
      </c>
      <c r="B439" cm="1">
        <f t="array" aca="1" ref="B439" ca="1">[1]!s_dq_close("HSTECH.HI",$A439,3)</f>
        <v>5967.23</v>
      </c>
      <c r="C439" cm="1">
        <f t="array" aca="1" ref="C439" ca="1">[1]!s_dq_close("HSI.HI",$A439,3)</f>
        <v>23782.14</v>
      </c>
    </row>
    <row r="440" spans="1:3">
      <c r="A440" s="23">
        <f t="shared" ca="1" si="6"/>
        <v>45726</v>
      </c>
      <c r="B440" cm="1">
        <f t="array" aca="1" ref="B440" ca="1">[1]!s_dq_close("HSTECH.HI",$A440,3)</f>
        <v>5885.49</v>
      </c>
      <c r="C440" cm="1">
        <f t="array" aca="1" ref="C440" ca="1">[1]!s_dq_close("HSI.HI",$A440,3)</f>
        <v>23783.49</v>
      </c>
    </row>
    <row r="441" spans="1:3">
      <c r="A441" s="23">
        <f t="shared" ca="1" si="6"/>
        <v>45725</v>
      </c>
      <c r="B441" cm="1">
        <f t="array" aca="1" ref="B441" ca="1">[1]!s_dq_close("HSTECH.HI",$A441,3)</f>
        <v>6037.44</v>
      </c>
      <c r="C441" cm="1">
        <f t="array" aca="1" ref="C441" ca="1">[1]!s_dq_close("HSI.HI",$A441,3)</f>
        <v>24231.3</v>
      </c>
    </row>
    <row r="442" spans="1:3">
      <c r="A442" s="23">
        <f t="shared" ca="1" si="6"/>
        <v>45724</v>
      </c>
      <c r="B442" cm="1">
        <f t="array" aca="1" ref="B442" ca="1">[1]!s_dq_close("HSTECH.HI",$A442,3)</f>
        <v>6037.44</v>
      </c>
      <c r="C442" cm="1">
        <f t="array" aca="1" ref="C442" ca="1">[1]!s_dq_close("HSI.HI",$A442,3)</f>
        <v>24231.3</v>
      </c>
    </row>
    <row r="443" spans="1:3">
      <c r="A443" s="23">
        <f t="shared" ca="1" si="6"/>
        <v>45723</v>
      </c>
      <c r="B443" cm="1">
        <f t="array" aca="1" ref="B443" ca="1">[1]!s_dq_close("HSTECH.HI",$A443,3)</f>
        <v>6037.44</v>
      </c>
      <c r="C443" cm="1">
        <f t="array" aca="1" ref="C443" ca="1">[1]!s_dq_close("HSI.HI",$A443,3)</f>
        <v>24231.3</v>
      </c>
    </row>
    <row r="444" spans="1:3">
      <c r="A444" s="23">
        <f t="shared" ca="1" si="6"/>
        <v>45722</v>
      </c>
      <c r="B444" cm="1">
        <f t="array" aca="1" ref="B444" ca="1">[1]!s_dq_close("HSTECH.HI",$A444,3)</f>
        <v>6068.77</v>
      </c>
      <c r="C444" cm="1">
        <f t="array" aca="1" ref="C444" ca="1">[1]!s_dq_close("HSI.HI",$A444,3)</f>
        <v>24369.71</v>
      </c>
    </row>
    <row r="445" spans="1:3">
      <c r="A445" s="23">
        <f t="shared" ca="1" si="6"/>
        <v>45721</v>
      </c>
      <c r="B445" cm="1">
        <f t="array" aca="1" ref="B445" ca="1">[1]!s_dq_close("HSTECH.HI",$A445,3)</f>
        <v>5757.94</v>
      </c>
      <c r="C445" cm="1">
        <f t="array" aca="1" ref="C445" ca="1">[1]!s_dq_close("HSI.HI",$A445,3)</f>
        <v>23594.21</v>
      </c>
    </row>
    <row r="446" spans="1:3">
      <c r="A446" s="23">
        <f t="shared" ca="1" si="6"/>
        <v>45720</v>
      </c>
      <c r="B446" cm="1">
        <f t="array" aca="1" ref="B446" ca="1">[1]!s_dq_close("HSTECH.HI",$A446,3)</f>
        <v>5535.64</v>
      </c>
      <c r="C446" cm="1">
        <f t="array" aca="1" ref="C446" ca="1">[1]!s_dq_close("HSI.HI",$A446,3)</f>
        <v>22941.77</v>
      </c>
    </row>
    <row r="447" spans="1:3">
      <c r="A447" s="23">
        <f t="shared" ca="1" si="6"/>
        <v>45719</v>
      </c>
      <c r="B447" cm="1">
        <f t="array" aca="1" ref="B447" ca="1">[1]!s_dq_close("HSTECH.HI",$A447,3)</f>
        <v>5535.86</v>
      </c>
      <c r="C447" cm="1">
        <f t="array" aca="1" ref="C447" ca="1">[1]!s_dq_close("HSI.HI",$A447,3)</f>
        <v>23006.27</v>
      </c>
    </row>
    <row r="448" spans="1:3">
      <c r="A448" s="23">
        <f t="shared" ca="1" si="6"/>
        <v>45718</v>
      </c>
      <c r="B448" cm="1">
        <f t="array" aca="1" ref="B448" ca="1">[1]!s_dq_close("HSTECH.HI",$A448,3)</f>
        <v>5568.14</v>
      </c>
      <c r="C448" cm="1">
        <f t="array" aca="1" ref="C448" ca="1">[1]!s_dq_close("HSI.HI",$A448,3)</f>
        <v>22941.32</v>
      </c>
    </row>
    <row r="449" spans="1:3">
      <c r="A449" s="23">
        <f t="shared" ca="1" si="6"/>
        <v>45717</v>
      </c>
      <c r="B449" cm="1">
        <f t="array" aca="1" ref="B449" ca="1">[1]!s_dq_close("HSTECH.HI",$A449,3)</f>
        <v>5568.14</v>
      </c>
      <c r="C449" cm="1">
        <f t="array" aca="1" ref="C449" ca="1">[1]!s_dq_close("HSI.HI",$A449,3)</f>
        <v>22941.32</v>
      </c>
    </row>
    <row r="450" spans="1:3">
      <c r="A450" s="23">
        <f t="shared" ca="1" si="6"/>
        <v>45716</v>
      </c>
      <c r="B450" cm="1">
        <f t="array" aca="1" ref="B450" ca="1">[1]!s_dq_close("HSTECH.HI",$A450,3)</f>
        <v>5568.14</v>
      </c>
      <c r="C450" cm="1">
        <f t="array" aca="1" ref="C450" ca="1">[1]!s_dq_close("HSI.HI",$A450,3)</f>
        <v>22941.32</v>
      </c>
    </row>
    <row r="451" spans="1:3">
      <c r="A451" s="23">
        <f t="shared" ca="1" si="6"/>
        <v>45715</v>
      </c>
      <c r="B451" cm="1">
        <f t="array" aca="1" ref="B451" ca="1">[1]!s_dq_close("HSTECH.HI",$A451,3)</f>
        <v>5881.01</v>
      </c>
      <c r="C451" cm="1">
        <f t="array" aca="1" ref="C451" ca="1">[1]!s_dq_close("HSI.HI",$A451,3)</f>
        <v>23718.29</v>
      </c>
    </row>
    <row r="452" spans="1:3">
      <c r="A452" s="23">
        <f t="shared" ref="A452:A515" ca="1" si="7">A451-1</f>
        <v>45714</v>
      </c>
      <c r="B452" cm="1">
        <f t="array" aca="1" ref="B452" ca="1">[1]!s_dq_close("HSTECH.HI",$A452,3)</f>
        <v>5953.79</v>
      </c>
      <c r="C452" cm="1">
        <f t="array" aca="1" ref="C452" ca="1">[1]!s_dq_close("HSI.HI",$A452,3)</f>
        <v>23787.93</v>
      </c>
    </row>
    <row r="453" spans="1:3">
      <c r="A453" s="23">
        <f t="shared" ca="1" si="7"/>
        <v>45713</v>
      </c>
      <c r="B453" cm="1">
        <f t="array" aca="1" ref="B453" ca="1">[1]!s_dq_close("HSTECH.HI",$A453,3)</f>
        <v>5698.82</v>
      </c>
      <c r="C453" cm="1">
        <f t="array" aca="1" ref="C453" ca="1">[1]!s_dq_close("HSI.HI",$A453,3)</f>
        <v>23034.02</v>
      </c>
    </row>
    <row r="454" spans="1:3">
      <c r="A454" s="23">
        <f t="shared" ca="1" si="7"/>
        <v>45712</v>
      </c>
      <c r="B454" cm="1">
        <f t="array" aca="1" ref="B454" ca="1">[1]!s_dq_close("HSTECH.HI",$A454,3)</f>
        <v>5789.52</v>
      </c>
      <c r="C454" cm="1">
        <f t="array" aca="1" ref="C454" ca="1">[1]!s_dq_close("HSI.HI",$A454,3)</f>
        <v>23341.61</v>
      </c>
    </row>
    <row r="455" spans="1:3">
      <c r="A455" s="23">
        <f t="shared" ca="1" si="7"/>
        <v>45711</v>
      </c>
      <c r="B455" cm="1">
        <f t="array" aca="1" ref="B455" ca="1">[1]!s_dq_close("HSTECH.HI",$A455,3)</f>
        <v>5859.3</v>
      </c>
      <c r="C455" cm="1">
        <f t="array" aca="1" ref="C455" ca="1">[1]!s_dq_close("HSI.HI",$A455,3)</f>
        <v>23477.919999999998</v>
      </c>
    </row>
    <row r="456" spans="1:3">
      <c r="A456" s="23">
        <f t="shared" ca="1" si="7"/>
        <v>45710</v>
      </c>
      <c r="B456" cm="1">
        <f t="array" aca="1" ref="B456" ca="1">[1]!s_dq_close("HSTECH.HI",$A456,3)</f>
        <v>5859.3</v>
      </c>
      <c r="C456" cm="1">
        <f t="array" aca="1" ref="C456" ca="1">[1]!s_dq_close("HSI.HI",$A456,3)</f>
        <v>23477.919999999998</v>
      </c>
    </row>
    <row r="457" spans="1:3">
      <c r="A457" s="23">
        <f t="shared" ca="1" si="7"/>
        <v>45709</v>
      </c>
      <c r="B457" cm="1">
        <f t="array" aca="1" ref="B457" ca="1">[1]!s_dq_close("HSTECH.HI",$A457,3)</f>
        <v>5859.3</v>
      </c>
      <c r="C457" cm="1">
        <f t="array" aca="1" ref="C457" ca="1">[1]!s_dq_close("HSI.HI",$A457,3)</f>
        <v>23477.919999999998</v>
      </c>
    </row>
    <row r="458" spans="1:3">
      <c r="A458" s="23">
        <f t="shared" ca="1" si="7"/>
        <v>45708</v>
      </c>
      <c r="B458" cm="1">
        <f t="array" aca="1" ref="B458" ca="1">[1]!s_dq_close("HSTECH.HI",$A458,3)</f>
        <v>5500.02</v>
      </c>
      <c r="C458" cm="1">
        <f t="array" aca="1" ref="C458" ca="1">[1]!s_dq_close("HSI.HI",$A458,3)</f>
        <v>22576.98</v>
      </c>
    </row>
    <row r="459" spans="1:3">
      <c r="A459" s="23">
        <f t="shared" ca="1" si="7"/>
        <v>45707</v>
      </c>
      <c r="B459" cm="1">
        <f t="array" aca="1" ref="B459" ca="1">[1]!s_dq_close("HSTECH.HI",$A459,3)</f>
        <v>5672.24</v>
      </c>
      <c r="C459" cm="1">
        <f t="array" aca="1" ref="C459" ca="1">[1]!s_dq_close("HSI.HI",$A459,3)</f>
        <v>22944.240000000002</v>
      </c>
    </row>
    <row r="460" spans="1:3">
      <c r="A460" s="23">
        <f t="shared" ca="1" si="7"/>
        <v>45706</v>
      </c>
      <c r="B460" cm="1">
        <f t="array" aca="1" ref="B460" ca="1">[1]!s_dq_close("HSTECH.HI",$A460,3)</f>
        <v>5639.05</v>
      </c>
      <c r="C460" cm="1">
        <f t="array" aca="1" ref="C460" ca="1">[1]!s_dq_close("HSI.HI",$A460,3)</f>
        <v>22976.81</v>
      </c>
    </row>
    <row r="461" spans="1:3">
      <c r="A461" s="23">
        <f t="shared" ca="1" si="7"/>
        <v>45705</v>
      </c>
      <c r="B461" cm="1">
        <f t="array" aca="1" ref="B461" ca="1">[1]!s_dq_close("HSTECH.HI",$A461,3)</f>
        <v>5499.26</v>
      </c>
      <c r="C461" cm="1">
        <f t="array" aca="1" ref="C461" ca="1">[1]!s_dq_close("HSI.HI",$A461,3)</f>
        <v>22616.23</v>
      </c>
    </row>
    <row r="462" spans="1:3">
      <c r="A462" s="23">
        <f t="shared" ca="1" si="7"/>
        <v>45704</v>
      </c>
      <c r="B462" cm="1">
        <f t="array" aca="1" ref="B462" ca="1">[1]!s_dq_close("HSTECH.HI",$A462,3)</f>
        <v>5526.22</v>
      </c>
      <c r="C462" cm="1">
        <f t="array" aca="1" ref="C462" ca="1">[1]!s_dq_close("HSI.HI",$A462,3)</f>
        <v>22620.33</v>
      </c>
    </row>
    <row r="463" spans="1:3">
      <c r="A463" s="23">
        <f t="shared" ca="1" si="7"/>
        <v>45703</v>
      </c>
      <c r="B463" cm="1">
        <f t="array" aca="1" ref="B463" ca="1">[1]!s_dq_close("HSTECH.HI",$A463,3)</f>
        <v>5526.22</v>
      </c>
      <c r="C463" cm="1">
        <f t="array" aca="1" ref="C463" ca="1">[1]!s_dq_close("HSI.HI",$A463,3)</f>
        <v>22620.33</v>
      </c>
    </row>
    <row r="464" spans="1:3">
      <c r="A464" s="23">
        <f t="shared" ca="1" si="7"/>
        <v>45702</v>
      </c>
      <c r="B464" cm="1">
        <f t="array" aca="1" ref="B464" ca="1">[1]!s_dq_close("HSTECH.HI",$A464,3)</f>
        <v>5526.22</v>
      </c>
      <c r="C464" cm="1">
        <f t="array" aca="1" ref="C464" ca="1">[1]!s_dq_close("HSI.HI",$A464,3)</f>
        <v>22620.33</v>
      </c>
    </row>
    <row r="465" spans="1:3">
      <c r="A465" s="23">
        <f t="shared" ca="1" si="7"/>
        <v>45701</v>
      </c>
      <c r="B465" cm="1">
        <f t="array" aca="1" ref="B465" ca="1">[1]!s_dq_close("HSTECH.HI",$A465,3)</f>
        <v>5235.28</v>
      </c>
      <c r="C465" cm="1">
        <f t="array" aca="1" ref="C465" ca="1">[1]!s_dq_close("HSI.HI",$A465,3)</f>
        <v>21814.37</v>
      </c>
    </row>
    <row r="466" spans="1:3">
      <c r="A466" s="23">
        <f t="shared" ca="1" si="7"/>
        <v>45700</v>
      </c>
      <c r="B466" cm="1">
        <f t="array" aca="1" ref="B466" ca="1">[1]!s_dq_close("HSTECH.HI",$A466,3)</f>
        <v>5281.18</v>
      </c>
      <c r="C466" cm="1">
        <f t="array" aca="1" ref="C466" ca="1">[1]!s_dq_close("HSI.HI",$A466,3)</f>
        <v>21857.919999999998</v>
      </c>
    </row>
    <row r="467" spans="1:3">
      <c r="A467" s="23">
        <f t="shared" ca="1" si="7"/>
        <v>45699</v>
      </c>
      <c r="B467" cm="1">
        <f t="array" aca="1" ref="B467" ca="1">[1]!s_dq_close("HSTECH.HI",$A467,3)</f>
        <v>5142.3100000000004</v>
      </c>
      <c r="C467" cm="1">
        <f t="array" aca="1" ref="C467" ca="1">[1]!s_dq_close("HSI.HI",$A467,3)</f>
        <v>21294.86</v>
      </c>
    </row>
    <row r="468" spans="1:3">
      <c r="A468" s="23">
        <f t="shared" ca="1" si="7"/>
        <v>45698</v>
      </c>
      <c r="B468" cm="1">
        <f t="array" aca="1" ref="B468" ca="1">[1]!s_dq_close("HSTECH.HI",$A468,3)</f>
        <v>5286.66</v>
      </c>
      <c r="C468" cm="1">
        <f t="array" aca="1" ref="C468" ca="1">[1]!s_dq_close("HSI.HI",$A468,3)</f>
        <v>21521.98</v>
      </c>
    </row>
    <row r="469" spans="1:3">
      <c r="A469" s="23">
        <f t="shared" ca="1" si="7"/>
        <v>45697</v>
      </c>
      <c r="B469" cm="1">
        <f t="array" aca="1" ref="B469" ca="1">[1]!s_dq_close("HSTECH.HI",$A469,3)</f>
        <v>5150.3500000000004</v>
      </c>
      <c r="C469" cm="1">
        <f t="array" aca="1" ref="C469" ca="1">[1]!s_dq_close("HSI.HI",$A469,3)</f>
        <v>21133.54</v>
      </c>
    </row>
    <row r="470" spans="1:3">
      <c r="A470" s="23">
        <f t="shared" ca="1" si="7"/>
        <v>45696</v>
      </c>
      <c r="B470" cm="1">
        <f t="array" aca="1" ref="B470" ca="1">[1]!s_dq_close("HSTECH.HI",$A470,3)</f>
        <v>5150.3500000000004</v>
      </c>
      <c r="C470" cm="1">
        <f t="array" aca="1" ref="C470" ca="1">[1]!s_dq_close("HSI.HI",$A470,3)</f>
        <v>21133.54</v>
      </c>
    </row>
    <row r="471" spans="1:3">
      <c r="A471" s="23">
        <f t="shared" ca="1" si="7"/>
        <v>45695</v>
      </c>
      <c r="B471" cm="1">
        <f t="array" aca="1" ref="B471" ca="1">[1]!s_dq_close("HSTECH.HI",$A471,3)</f>
        <v>5150.3500000000004</v>
      </c>
      <c r="C471" cm="1">
        <f t="array" aca="1" ref="C471" ca="1">[1]!s_dq_close("HSI.HI",$A471,3)</f>
        <v>21133.54</v>
      </c>
    </row>
    <row r="472" spans="1:3">
      <c r="A472" s="23">
        <f t="shared" ca="1" si="7"/>
        <v>45694</v>
      </c>
      <c r="B472" cm="1">
        <f t="array" aca="1" ref="B472" ca="1">[1]!s_dq_close("HSTECH.HI",$A472,3)</f>
        <v>5059.38</v>
      </c>
      <c r="C472" cm="1">
        <f t="array" aca="1" ref="C472" ca="1">[1]!s_dq_close("HSI.HI",$A472,3)</f>
        <v>20891.62</v>
      </c>
    </row>
    <row r="473" spans="1:3">
      <c r="A473" s="23">
        <f t="shared" ca="1" si="7"/>
        <v>45693</v>
      </c>
      <c r="B473" cm="1">
        <f t="array" aca="1" ref="B473" ca="1">[1]!s_dq_close("HSTECH.HI",$A473,3)</f>
        <v>4930.2</v>
      </c>
      <c r="C473" cm="1">
        <f t="array" aca="1" ref="C473" ca="1">[1]!s_dq_close("HSI.HI",$A473,3)</f>
        <v>20597.09</v>
      </c>
    </row>
    <row r="474" spans="1:3">
      <c r="A474" s="23">
        <f t="shared" ca="1" si="7"/>
        <v>45692</v>
      </c>
      <c r="B474" cm="1">
        <f t="array" aca="1" ref="B474" ca="1">[1]!s_dq_close("HSTECH.HI",$A474,3)</f>
        <v>4977.38</v>
      </c>
      <c r="C474" cm="1">
        <f t="array" aca="1" ref="C474" ca="1">[1]!s_dq_close("HSI.HI",$A474,3)</f>
        <v>20789.96</v>
      </c>
    </row>
    <row r="475" spans="1:3">
      <c r="A475" s="23">
        <f t="shared" ca="1" si="7"/>
        <v>45691</v>
      </c>
      <c r="B475" cm="1">
        <f t="array" aca="1" ref="B475" ca="1">[1]!s_dq_close("HSTECH.HI",$A475,3)</f>
        <v>4737.46</v>
      </c>
      <c r="C475" cm="1">
        <f t="array" aca="1" ref="C475" ca="1">[1]!s_dq_close("HSI.HI",$A475,3)</f>
        <v>20217.259999999998</v>
      </c>
    </row>
    <row r="476" spans="1:3">
      <c r="A476" s="23">
        <f t="shared" ca="1" si="7"/>
        <v>45690</v>
      </c>
      <c r="B476" cm="1">
        <f t="array" aca="1" ref="B476" ca="1">[1]!s_dq_close("HSTECH.HI",$A476,3)</f>
        <v>4723.63</v>
      </c>
      <c r="C476" cm="1">
        <f t="array" aca="1" ref="C476" ca="1">[1]!s_dq_close("HSI.HI",$A476,3)</f>
        <v>20225.11</v>
      </c>
    </row>
    <row r="477" spans="1:3">
      <c r="A477" s="23">
        <f t="shared" ca="1" si="7"/>
        <v>45689</v>
      </c>
      <c r="B477" cm="1">
        <f t="array" aca="1" ref="B477" ca="1">[1]!s_dq_close("HSTECH.HI",$A477,3)</f>
        <v>4723.63</v>
      </c>
      <c r="C477" cm="1">
        <f t="array" aca="1" ref="C477" ca="1">[1]!s_dq_close("HSI.HI",$A477,3)</f>
        <v>20225.11</v>
      </c>
    </row>
    <row r="478" spans="1:3">
      <c r="A478" s="23">
        <f t="shared" ca="1" si="7"/>
        <v>45688</v>
      </c>
      <c r="B478" cm="1">
        <f t="array" aca="1" ref="B478" ca="1">[1]!s_dq_close("HSTECH.HI",$A478,3)</f>
        <v>4723.63</v>
      </c>
      <c r="C478" cm="1">
        <f t="array" aca="1" ref="C478" ca="1">[1]!s_dq_close("HSI.HI",$A478,3)</f>
        <v>20225.11</v>
      </c>
    </row>
    <row r="479" spans="1:3">
      <c r="A479" s="23">
        <f t="shared" ca="1" si="7"/>
        <v>45687</v>
      </c>
      <c r="B479" cm="1">
        <f t="array" aca="1" ref="B479" ca="1">[1]!s_dq_close("HSTECH.HI",$A479,3)</f>
        <v>4723.63</v>
      </c>
      <c r="C479" cm="1">
        <f t="array" aca="1" ref="C479" ca="1">[1]!s_dq_close("HSI.HI",$A479,3)</f>
        <v>20225.11</v>
      </c>
    </row>
    <row r="480" spans="1:3">
      <c r="A480" s="23">
        <f t="shared" ca="1" si="7"/>
        <v>45686</v>
      </c>
      <c r="B480" cm="1">
        <f t="array" aca="1" ref="B480" ca="1">[1]!s_dq_close("HSTECH.HI",$A480,3)</f>
        <v>4723.63</v>
      </c>
      <c r="C480" cm="1">
        <f t="array" aca="1" ref="C480" ca="1">[1]!s_dq_close("HSI.HI",$A480,3)</f>
        <v>20225.11</v>
      </c>
    </row>
    <row r="481" spans="1:3">
      <c r="A481" s="23">
        <f t="shared" ca="1" si="7"/>
        <v>45685</v>
      </c>
      <c r="B481" cm="1">
        <f t="array" aca="1" ref="B481" ca="1">[1]!s_dq_close("HSTECH.HI",$A481,3)</f>
        <v>4723.63</v>
      </c>
      <c r="C481" cm="1">
        <f t="array" aca="1" ref="C481" ca="1">[1]!s_dq_close("HSI.HI",$A481,3)</f>
        <v>20225.11</v>
      </c>
    </row>
    <row r="482" spans="1:3">
      <c r="A482" s="23">
        <f t="shared" ca="1" si="7"/>
        <v>45684</v>
      </c>
      <c r="B482" cm="1">
        <f t="array" aca="1" ref="B482" ca="1">[1]!s_dq_close("HSTECH.HI",$A482,3)</f>
        <v>4687.34</v>
      </c>
      <c r="C482" cm="1">
        <f t="array" aca="1" ref="C482" ca="1">[1]!s_dq_close("HSI.HI",$A482,3)</f>
        <v>20197.77</v>
      </c>
    </row>
    <row r="483" spans="1:3">
      <c r="A483" s="23">
        <f t="shared" ca="1" si="7"/>
        <v>45683</v>
      </c>
      <c r="B483" cm="1">
        <f t="array" aca="1" ref="B483" ca="1">[1]!s_dq_close("HSTECH.HI",$A483,3)</f>
        <v>4657.6099999999997</v>
      </c>
      <c r="C483" cm="1">
        <f t="array" aca="1" ref="C483" ca="1">[1]!s_dq_close("HSI.HI",$A483,3)</f>
        <v>20066.189999999999</v>
      </c>
    </row>
    <row r="484" spans="1:3">
      <c r="A484" s="23">
        <f t="shared" ca="1" si="7"/>
        <v>45682</v>
      </c>
      <c r="B484" cm="1">
        <f t="array" aca="1" ref="B484" ca="1">[1]!s_dq_close("HSTECH.HI",$A484,3)</f>
        <v>4657.6099999999997</v>
      </c>
      <c r="C484" cm="1">
        <f t="array" aca="1" ref="C484" ca="1">[1]!s_dq_close("HSI.HI",$A484,3)</f>
        <v>20066.189999999999</v>
      </c>
    </row>
    <row r="485" spans="1:3">
      <c r="A485" s="23">
        <f t="shared" ca="1" si="7"/>
        <v>45681</v>
      </c>
      <c r="B485" cm="1">
        <f t="array" aca="1" ref="B485" ca="1">[1]!s_dq_close("HSTECH.HI",$A485,3)</f>
        <v>4657.6099999999997</v>
      </c>
      <c r="C485" cm="1">
        <f t="array" aca="1" ref="C485" ca="1">[1]!s_dq_close("HSI.HI",$A485,3)</f>
        <v>20066.189999999999</v>
      </c>
    </row>
    <row r="486" spans="1:3">
      <c r="A486" s="23">
        <f t="shared" ca="1" si="7"/>
        <v>45680</v>
      </c>
      <c r="B486" cm="1">
        <f t="array" aca="1" ref="B486" ca="1">[1]!s_dq_close("HSTECH.HI",$A486,3)</f>
        <v>4515.4799999999996</v>
      </c>
      <c r="C486" cm="1">
        <f t="array" aca="1" ref="C486" ca="1">[1]!s_dq_close("HSI.HI",$A486,3)</f>
        <v>19700.560000000001</v>
      </c>
    </row>
    <row r="487" spans="1:3">
      <c r="A487" s="23">
        <f t="shared" ca="1" si="7"/>
        <v>45679</v>
      </c>
      <c r="B487" cm="1">
        <f t="array" aca="1" ref="B487" ca="1">[1]!s_dq_close("HSTECH.HI",$A487,3)</f>
        <v>4581.09</v>
      </c>
      <c r="C487" cm="1">
        <f t="array" aca="1" ref="C487" ca="1">[1]!s_dq_close("HSI.HI",$A487,3)</f>
        <v>19778.77</v>
      </c>
    </row>
    <row r="488" spans="1:3">
      <c r="A488" s="23">
        <f t="shared" ca="1" si="7"/>
        <v>45678</v>
      </c>
      <c r="B488" cm="1">
        <f t="array" aca="1" ref="B488" ca="1">[1]!s_dq_close("HSTECH.HI",$A488,3)</f>
        <v>4693.72</v>
      </c>
      <c r="C488" cm="1">
        <f t="array" aca="1" ref="C488" ca="1">[1]!s_dq_close("HSI.HI",$A488,3)</f>
        <v>20106.55</v>
      </c>
    </row>
    <row r="489" spans="1:3">
      <c r="A489" s="23">
        <f t="shared" ca="1" si="7"/>
        <v>45677</v>
      </c>
      <c r="B489" cm="1">
        <f t="array" aca="1" ref="B489" ca="1">[1]!s_dq_close("HSTECH.HI",$A489,3)</f>
        <v>4595.2</v>
      </c>
      <c r="C489" cm="1">
        <f t="array" aca="1" ref="C489" ca="1">[1]!s_dq_close("HSI.HI",$A489,3)</f>
        <v>19925.810000000001</v>
      </c>
    </row>
    <row r="490" spans="1:3">
      <c r="A490" s="23">
        <f t="shared" ca="1" si="7"/>
        <v>45676</v>
      </c>
      <c r="B490" cm="1">
        <f t="array" aca="1" ref="B490" ca="1">[1]!s_dq_close("HSTECH.HI",$A490,3)</f>
        <v>4479.1899999999996</v>
      </c>
      <c r="C490" cm="1">
        <f t="array" aca="1" ref="C490" ca="1">[1]!s_dq_close("HSI.HI",$A490,3)</f>
        <v>19584.060000000001</v>
      </c>
    </row>
    <row r="491" spans="1:3">
      <c r="A491" s="23">
        <f t="shared" ca="1" si="7"/>
        <v>45675</v>
      </c>
      <c r="B491" cm="1">
        <f t="array" aca="1" ref="B491" ca="1">[1]!s_dq_close("HSTECH.HI",$A491,3)</f>
        <v>4479.1899999999996</v>
      </c>
      <c r="C491" cm="1">
        <f t="array" aca="1" ref="C491" ca="1">[1]!s_dq_close("HSI.HI",$A491,3)</f>
        <v>19584.060000000001</v>
      </c>
    </row>
    <row r="492" spans="1:3">
      <c r="A492" s="23">
        <f t="shared" ca="1" si="7"/>
        <v>45674</v>
      </c>
      <c r="B492" cm="1">
        <f t="array" aca="1" ref="B492" ca="1">[1]!s_dq_close("HSTECH.HI",$A492,3)</f>
        <v>4479.1899999999996</v>
      </c>
      <c r="C492" cm="1">
        <f t="array" aca="1" ref="C492" ca="1">[1]!s_dq_close("HSI.HI",$A492,3)</f>
        <v>19584.060000000001</v>
      </c>
    </row>
    <row r="493" spans="1:3">
      <c r="A493" s="23">
        <f t="shared" ca="1" si="7"/>
        <v>45673</v>
      </c>
      <c r="B493" cm="1">
        <f t="array" aca="1" ref="B493" ca="1">[1]!s_dq_close("HSTECH.HI",$A493,3)</f>
        <v>4417.37</v>
      </c>
      <c r="C493" cm="1">
        <f t="array" aca="1" ref="C493" ca="1">[1]!s_dq_close("HSI.HI",$A493,3)</f>
        <v>19522.89</v>
      </c>
    </row>
    <row r="494" spans="1:3">
      <c r="A494" s="23">
        <f t="shared" ca="1" si="7"/>
        <v>45672</v>
      </c>
      <c r="B494" cm="1">
        <f t="array" aca="1" ref="B494" ca="1">[1]!s_dq_close("HSTECH.HI",$A494,3)</f>
        <v>4363.79</v>
      </c>
      <c r="C494" cm="1">
        <f t="array" aca="1" ref="C494" ca="1">[1]!s_dq_close("HSI.HI",$A494,3)</f>
        <v>19286.07</v>
      </c>
    </row>
    <row r="495" spans="1:3">
      <c r="A495" s="23">
        <f t="shared" ca="1" si="7"/>
        <v>45671</v>
      </c>
      <c r="B495" cm="1">
        <f t="array" aca="1" ref="B495" ca="1">[1]!s_dq_close("HSTECH.HI",$A495,3)</f>
        <v>4352.04</v>
      </c>
      <c r="C495" cm="1">
        <f t="array" aca="1" ref="C495" ca="1">[1]!s_dq_close("HSI.HI",$A495,3)</f>
        <v>19219.78</v>
      </c>
    </row>
    <row r="496" spans="1:3">
      <c r="A496" s="23">
        <f t="shared" ca="1" si="7"/>
        <v>45670</v>
      </c>
      <c r="B496" cm="1">
        <f t="array" aca="1" ref="B496" ca="1">[1]!s_dq_close("HSTECH.HI",$A496,3)</f>
        <v>4221.92</v>
      </c>
      <c r="C496" cm="1">
        <f t="array" aca="1" ref="C496" ca="1">[1]!s_dq_close("HSI.HI",$A496,3)</f>
        <v>18874.14</v>
      </c>
    </row>
    <row r="497" spans="1:3">
      <c r="A497" s="23">
        <f t="shared" ca="1" si="7"/>
        <v>45669</v>
      </c>
      <c r="B497" cm="1">
        <f t="array" aca="1" ref="B497" ca="1">[1]!s_dq_close("HSTECH.HI",$A497,3)</f>
        <v>4260.82</v>
      </c>
      <c r="C497" cm="1">
        <f t="array" aca="1" ref="C497" ca="1">[1]!s_dq_close("HSI.HI",$A497,3)</f>
        <v>19064.29</v>
      </c>
    </row>
    <row r="498" spans="1:3">
      <c r="A498" s="23">
        <f t="shared" ca="1" si="7"/>
        <v>45668</v>
      </c>
      <c r="B498" cm="1">
        <f t="array" aca="1" ref="B498" ca="1">[1]!s_dq_close("HSTECH.HI",$A498,3)</f>
        <v>4260.82</v>
      </c>
      <c r="C498" cm="1">
        <f t="array" aca="1" ref="C498" ca="1">[1]!s_dq_close("HSI.HI",$A498,3)</f>
        <v>19064.29</v>
      </c>
    </row>
    <row r="499" spans="1:3">
      <c r="A499" s="23">
        <f t="shared" ca="1" si="7"/>
        <v>45667</v>
      </c>
      <c r="B499" cm="1">
        <f t="array" aca="1" ref="B499" ca="1">[1]!s_dq_close("HSTECH.HI",$A499,3)</f>
        <v>4260.82</v>
      </c>
      <c r="C499" cm="1">
        <f t="array" aca="1" ref="C499" ca="1">[1]!s_dq_close("HSI.HI",$A499,3)</f>
        <v>19064.29</v>
      </c>
    </row>
    <row r="500" spans="1:3">
      <c r="A500" s="23">
        <f t="shared" ca="1" si="7"/>
        <v>45666</v>
      </c>
      <c r="B500" cm="1">
        <f t="array" aca="1" ref="B500" ca="1">[1]!s_dq_close("HSTECH.HI",$A500,3)</f>
        <v>4311.54</v>
      </c>
      <c r="C500" cm="1">
        <f t="array" aca="1" ref="C500" ca="1">[1]!s_dq_close("HSI.HI",$A500,3)</f>
        <v>19240.89</v>
      </c>
    </row>
    <row r="501" spans="1:3">
      <c r="A501" s="23">
        <f t="shared" ca="1" si="7"/>
        <v>45665</v>
      </c>
      <c r="B501" cm="1">
        <f t="array" aca="1" ref="B501" ca="1">[1]!s_dq_close("HSTECH.HI",$A501,3)</f>
        <v>4307.3999999999996</v>
      </c>
      <c r="C501" cm="1">
        <f t="array" aca="1" ref="C501" ca="1">[1]!s_dq_close("HSI.HI",$A501,3)</f>
        <v>19279.84</v>
      </c>
    </row>
    <row r="502" spans="1:3">
      <c r="A502" s="23">
        <f t="shared" ca="1" si="7"/>
        <v>45664</v>
      </c>
      <c r="B502" cm="1">
        <f t="array" aca="1" ref="B502" ca="1">[1]!s_dq_close("HSTECH.HI",$A502,3)</f>
        <v>4354.8</v>
      </c>
      <c r="C502" cm="1">
        <f t="array" aca="1" ref="C502" ca="1">[1]!s_dq_close("HSI.HI",$A502,3)</f>
        <v>19447.580000000002</v>
      </c>
    </row>
    <row r="503" spans="1:3">
      <c r="A503" s="23">
        <f t="shared" ca="1" si="7"/>
        <v>45663</v>
      </c>
      <c r="B503" cm="1">
        <f t="array" aca="1" ref="B503" ca="1">[1]!s_dq_close("HSTECH.HI",$A503,3)</f>
        <v>4395.08</v>
      </c>
      <c r="C503" cm="1">
        <f t="array" aca="1" ref="C503" ca="1">[1]!s_dq_close("HSI.HI",$A503,3)</f>
        <v>19688.29</v>
      </c>
    </row>
    <row r="504" spans="1:3">
      <c r="A504" s="23">
        <f t="shared" ca="1" si="7"/>
        <v>45662</v>
      </c>
      <c r="B504" cm="1">
        <f t="array" aca="1" ref="B504" ca="1">[1]!s_dq_close("HSTECH.HI",$A504,3)</f>
        <v>4403.12</v>
      </c>
      <c r="C504" cm="1">
        <f t="array" aca="1" ref="C504" ca="1">[1]!s_dq_close("HSI.HI",$A504,3)</f>
        <v>19760.27</v>
      </c>
    </row>
    <row r="505" spans="1:3">
      <c r="A505" s="23">
        <f t="shared" ca="1" si="7"/>
        <v>45661</v>
      </c>
      <c r="B505" cm="1">
        <f t="array" aca="1" ref="B505" ca="1">[1]!s_dq_close("HSTECH.HI",$A505,3)</f>
        <v>4403.12</v>
      </c>
      <c r="C505" cm="1">
        <f t="array" aca="1" ref="C505" ca="1">[1]!s_dq_close("HSI.HI",$A505,3)</f>
        <v>19760.27</v>
      </c>
    </row>
    <row r="506" spans="1:3">
      <c r="A506" s="23">
        <f t="shared" ca="1" si="7"/>
        <v>45660</v>
      </c>
      <c r="B506" cm="1">
        <f t="array" aca="1" ref="B506" ca="1">[1]!s_dq_close("HSTECH.HI",$A506,3)</f>
        <v>4403.12</v>
      </c>
      <c r="C506" cm="1">
        <f t="array" aca="1" ref="C506" ca="1">[1]!s_dq_close("HSI.HI",$A506,3)</f>
        <v>19760.27</v>
      </c>
    </row>
    <row r="507" spans="1:3">
      <c r="A507" s="23">
        <f t="shared" ca="1" si="7"/>
        <v>45659</v>
      </c>
      <c r="B507" cm="1">
        <f t="array" aca="1" ref="B507" ca="1">[1]!s_dq_close("HSTECH.HI",$A507,3)</f>
        <v>4357.53</v>
      </c>
      <c r="C507" cm="1">
        <f t="array" aca="1" ref="C507" ca="1">[1]!s_dq_close("HSI.HI",$A507,3)</f>
        <v>19623.32</v>
      </c>
    </row>
    <row r="508" spans="1:3">
      <c r="A508" s="23">
        <f t="shared" ca="1" si="7"/>
        <v>45658</v>
      </c>
      <c r="B508" cm="1">
        <f t="array" aca="1" ref="B508" ca="1">[1]!s_dq_close("HSTECH.HI",$A508,3)</f>
        <v>4468.1099999999997</v>
      </c>
      <c r="C508" cm="1">
        <f t="array" aca="1" ref="C508" ca="1">[1]!s_dq_close("HSI.HI",$A508,3)</f>
        <v>20059.95</v>
      </c>
    </row>
    <row r="509" spans="1:3">
      <c r="A509" s="23">
        <f t="shared" ca="1" si="7"/>
        <v>45657</v>
      </c>
      <c r="B509" cm="1">
        <f t="array" aca="1" ref="B509" ca="1">[1]!s_dq_close("HSTECH.HI",$A509,3)</f>
        <v>4468.1099999999997</v>
      </c>
      <c r="C509" cm="1">
        <f t="array" aca="1" ref="C509" ca="1">[1]!s_dq_close("HSI.HI",$A509,3)</f>
        <v>20059.95</v>
      </c>
    </row>
    <row r="510" spans="1:3">
      <c r="A510" s="23">
        <f t="shared" ca="1" si="7"/>
        <v>45656</v>
      </c>
      <c r="B510" cm="1">
        <f t="array" aca="1" ref="B510" ca="1">[1]!s_dq_close("HSTECH.HI",$A510,3)</f>
        <v>4500.6000000000004</v>
      </c>
      <c r="C510" cm="1">
        <f t="array" aca="1" ref="C510" ca="1">[1]!s_dq_close("HSI.HI",$A510,3)</f>
        <v>20041.419999999998</v>
      </c>
    </row>
    <row r="511" spans="1:3">
      <c r="A511" s="23">
        <f t="shared" ca="1" si="7"/>
        <v>45655</v>
      </c>
      <c r="B511" cm="1">
        <f t="array" aca="1" ref="B511" ca="1">[1]!s_dq_close("HSTECH.HI",$A511,3)</f>
        <v>4538.59</v>
      </c>
      <c r="C511" cm="1">
        <f t="array" aca="1" ref="C511" ca="1">[1]!s_dq_close("HSI.HI",$A511,3)</f>
        <v>20090.46</v>
      </c>
    </row>
    <row r="512" spans="1:3">
      <c r="A512" s="23">
        <f t="shared" ca="1" si="7"/>
        <v>45654</v>
      </c>
      <c r="B512" cm="1">
        <f t="array" aca="1" ref="B512" ca="1">[1]!s_dq_close("HSTECH.HI",$A512,3)</f>
        <v>4538.59</v>
      </c>
      <c r="C512" cm="1">
        <f t="array" aca="1" ref="C512" ca="1">[1]!s_dq_close("HSI.HI",$A512,3)</f>
        <v>20090.46</v>
      </c>
    </row>
    <row r="513" spans="1:3">
      <c r="A513" s="23">
        <f t="shared" ca="1" si="7"/>
        <v>45653</v>
      </c>
      <c r="B513" cm="1">
        <f t="array" aca="1" ref="B513" ca="1">[1]!s_dq_close("HSTECH.HI",$A513,3)</f>
        <v>4538.59</v>
      </c>
      <c r="C513" cm="1">
        <f t="array" aca="1" ref="C513" ca="1">[1]!s_dq_close("HSI.HI",$A513,3)</f>
        <v>20090.46</v>
      </c>
    </row>
    <row r="514" spans="1:3">
      <c r="A514" s="23">
        <f t="shared" ca="1" si="7"/>
        <v>45652</v>
      </c>
      <c r="B514" cm="1">
        <f t="array" aca="1" ref="B514" ca="1">[1]!s_dq_close("HSTECH.HI",$A514,3)</f>
        <v>4507.6499999999996</v>
      </c>
      <c r="C514" cm="1">
        <f t="array" aca="1" ref="C514" ca="1">[1]!s_dq_close("HSI.HI",$A514,3)</f>
        <v>20098.29</v>
      </c>
    </row>
    <row r="515" spans="1:3">
      <c r="A515" s="23">
        <f t="shared" ca="1" si="7"/>
        <v>45651</v>
      </c>
      <c r="B515" cm="1">
        <f t="array" aca="1" ref="B515" ca="1">[1]!s_dq_close("HSTECH.HI",$A515,3)</f>
        <v>4507.6499999999996</v>
      </c>
      <c r="C515" cm="1">
        <f t="array" aca="1" ref="C515" ca="1">[1]!s_dq_close("HSI.HI",$A515,3)</f>
        <v>20098.29</v>
      </c>
    </row>
    <row r="516" spans="1:3">
      <c r="A516" s="23">
        <f t="shared" ref="A516:A579" ca="1" si="8">A515-1</f>
        <v>45650</v>
      </c>
      <c r="B516" cm="1">
        <f t="array" aca="1" ref="B516" ca="1">[1]!s_dq_close("HSTECH.HI",$A516,3)</f>
        <v>4507.6499999999996</v>
      </c>
      <c r="C516" cm="1">
        <f t="array" aca="1" ref="C516" ca="1">[1]!s_dq_close("HSI.HI",$A516,3)</f>
        <v>20098.29</v>
      </c>
    </row>
    <row r="517" spans="1:3">
      <c r="A517" s="23">
        <f t="shared" ca="1" si="8"/>
        <v>45649</v>
      </c>
      <c r="B517" cm="1">
        <f t="array" aca="1" ref="B517" ca="1">[1]!s_dq_close("HSTECH.HI",$A517,3)</f>
        <v>4457.8500000000004</v>
      </c>
      <c r="C517" cm="1">
        <f t="array" aca="1" ref="C517" ca="1">[1]!s_dq_close("HSI.HI",$A517,3)</f>
        <v>19883.13</v>
      </c>
    </row>
    <row r="518" spans="1:3">
      <c r="A518" s="23">
        <f t="shared" ca="1" si="8"/>
        <v>45648</v>
      </c>
      <c r="B518" cm="1">
        <f t="array" aca="1" ref="B518" ca="1">[1]!s_dq_close("HSTECH.HI",$A518,3)</f>
        <v>4444.1899999999996</v>
      </c>
      <c r="C518" cm="1">
        <f t="array" aca="1" ref="C518" ca="1">[1]!s_dq_close("HSI.HI",$A518,3)</f>
        <v>19720.7</v>
      </c>
    </row>
    <row r="519" spans="1:3">
      <c r="A519" s="23">
        <f t="shared" ca="1" si="8"/>
        <v>45647</v>
      </c>
      <c r="B519" cm="1">
        <f t="array" aca="1" ref="B519" ca="1">[1]!s_dq_close("HSTECH.HI",$A519,3)</f>
        <v>4444.1899999999996</v>
      </c>
      <c r="C519" cm="1">
        <f t="array" aca="1" ref="C519" ca="1">[1]!s_dq_close("HSI.HI",$A519,3)</f>
        <v>19720.7</v>
      </c>
    </row>
    <row r="520" spans="1:3">
      <c r="A520" s="23">
        <f t="shared" ca="1" si="8"/>
        <v>45646</v>
      </c>
      <c r="B520" cm="1">
        <f t="array" aca="1" ref="B520" ca="1">[1]!s_dq_close("HSTECH.HI",$A520,3)</f>
        <v>4444.1899999999996</v>
      </c>
      <c r="C520" cm="1">
        <f t="array" aca="1" ref="C520" ca="1">[1]!s_dq_close("HSI.HI",$A520,3)</f>
        <v>19720.7</v>
      </c>
    </row>
    <row r="521" spans="1:3">
      <c r="A521" s="23">
        <f t="shared" ca="1" si="8"/>
        <v>45645</v>
      </c>
      <c r="B521" cm="1">
        <f t="array" aca="1" ref="B521" ca="1">[1]!s_dq_close("HSTECH.HI",$A521,3)</f>
        <v>4439.47</v>
      </c>
      <c r="C521" cm="1">
        <f t="array" aca="1" ref="C521" ca="1">[1]!s_dq_close("HSI.HI",$A521,3)</f>
        <v>19752.509999999998</v>
      </c>
    </row>
    <row r="522" spans="1:3">
      <c r="A522" s="23">
        <f t="shared" ca="1" si="8"/>
        <v>45644</v>
      </c>
      <c r="B522" cm="1">
        <f t="array" aca="1" ref="B522" ca="1">[1]!s_dq_close("HSTECH.HI",$A522,3)</f>
        <v>4468.8500000000004</v>
      </c>
      <c r="C522" cm="1">
        <f t="array" aca="1" ref="C522" ca="1">[1]!s_dq_close("HSI.HI",$A522,3)</f>
        <v>19864.55</v>
      </c>
    </row>
    <row r="523" spans="1:3">
      <c r="A523" s="23">
        <f t="shared" ca="1" si="8"/>
        <v>45643</v>
      </c>
      <c r="B523" cm="1">
        <f t="array" aca="1" ref="B523" ca="1">[1]!s_dq_close("HSTECH.HI",$A523,3)</f>
        <v>4389.08</v>
      </c>
      <c r="C523" cm="1">
        <f t="array" aca="1" ref="C523" ca="1">[1]!s_dq_close("HSI.HI",$A523,3)</f>
        <v>19700.48</v>
      </c>
    </row>
    <row r="524" spans="1:3">
      <c r="A524" s="23">
        <f t="shared" ca="1" si="8"/>
        <v>45642</v>
      </c>
      <c r="B524" cm="1">
        <f t="array" aca="1" ref="B524" ca="1">[1]!s_dq_close("HSTECH.HI",$A524,3)</f>
        <v>4414.7</v>
      </c>
      <c r="C524" cm="1">
        <f t="array" aca="1" ref="C524" ca="1">[1]!s_dq_close("HSI.HI",$A524,3)</f>
        <v>19795.490000000002</v>
      </c>
    </row>
    <row r="525" spans="1:3">
      <c r="A525" s="23">
        <f t="shared" ca="1" si="8"/>
        <v>45641</v>
      </c>
      <c r="B525" cm="1">
        <f t="array" aca="1" ref="B525" ca="1">[1]!s_dq_close("HSTECH.HI",$A525,3)</f>
        <v>4479.6000000000004</v>
      </c>
      <c r="C525" cm="1">
        <f t="array" aca="1" ref="C525" ca="1">[1]!s_dq_close("HSI.HI",$A525,3)</f>
        <v>19971.240000000002</v>
      </c>
    </row>
    <row r="526" spans="1:3">
      <c r="A526" s="23">
        <f t="shared" ca="1" si="8"/>
        <v>45640</v>
      </c>
      <c r="B526" cm="1">
        <f t="array" aca="1" ref="B526" ca="1">[1]!s_dq_close("HSTECH.HI",$A526,3)</f>
        <v>4479.6000000000004</v>
      </c>
      <c r="C526" cm="1">
        <f t="array" aca="1" ref="C526" ca="1">[1]!s_dq_close("HSI.HI",$A526,3)</f>
        <v>19971.240000000002</v>
      </c>
    </row>
    <row r="527" spans="1:3">
      <c r="A527" s="23">
        <f t="shared" ca="1" si="8"/>
        <v>45639</v>
      </c>
      <c r="B527" cm="1">
        <f t="array" aca="1" ref="B527" ca="1">[1]!s_dq_close("HSTECH.HI",$A527,3)</f>
        <v>4479.6000000000004</v>
      </c>
      <c r="C527" cm="1">
        <f t="array" aca="1" ref="C527" ca="1">[1]!s_dq_close("HSI.HI",$A527,3)</f>
        <v>19971.240000000002</v>
      </c>
    </row>
    <row r="528" spans="1:3">
      <c r="A528" s="23">
        <f t="shared" ca="1" si="8"/>
        <v>45638</v>
      </c>
      <c r="B528" cm="1">
        <f t="array" aca="1" ref="B528" ca="1">[1]!s_dq_close("HSTECH.HI",$A528,3)</f>
        <v>4600.82</v>
      </c>
      <c r="C528" cm="1">
        <f t="array" aca="1" ref="C528" ca="1">[1]!s_dq_close("HSI.HI",$A528,3)</f>
        <v>20397.05</v>
      </c>
    </row>
    <row r="529" spans="1:3">
      <c r="A529" s="23">
        <f t="shared" ca="1" si="8"/>
        <v>45637</v>
      </c>
      <c r="B529" cm="1">
        <f t="array" aca="1" ref="B529" ca="1">[1]!s_dq_close("HSTECH.HI",$A529,3)</f>
        <v>4531.58</v>
      </c>
      <c r="C529" cm="1">
        <f t="array" aca="1" ref="C529" ca="1">[1]!s_dq_close("HSI.HI",$A529,3)</f>
        <v>20155.05</v>
      </c>
    </row>
    <row r="530" spans="1:3">
      <c r="A530" s="23">
        <f t="shared" ca="1" si="8"/>
        <v>45636</v>
      </c>
      <c r="B530" cm="1">
        <f t="array" aca="1" ref="B530" ca="1">[1]!s_dq_close("HSTECH.HI",$A530,3)</f>
        <v>4591.9399999999996</v>
      </c>
      <c r="C530" cm="1">
        <f t="array" aca="1" ref="C530" ca="1">[1]!s_dq_close("HSI.HI",$A530,3)</f>
        <v>20311.28</v>
      </c>
    </row>
    <row r="531" spans="1:3">
      <c r="A531" s="23">
        <f t="shared" ca="1" si="8"/>
        <v>45635</v>
      </c>
      <c r="B531" cm="1">
        <f t="array" aca="1" ref="B531" ca="1">[1]!s_dq_close("HSTECH.HI",$A531,3)</f>
        <v>4656.8</v>
      </c>
      <c r="C531" cm="1">
        <f t="array" aca="1" ref="C531" ca="1">[1]!s_dq_close("HSI.HI",$A531,3)</f>
        <v>20414.09</v>
      </c>
    </row>
    <row r="532" spans="1:3">
      <c r="A532" s="23">
        <f t="shared" ca="1" si="8"/>
        <v>45634</v>
      </c>
      <c r="B532" cm="1">
        <f t="array" aca="1" ref="B532" ca="1">[1]!s_dq_close("HSTECH.HI",$A532,3)</f>
        <v>4464.6499999999996</v>
      </c>
      <c r="C532" cm="1">
        <f t="array" aca="1" ref="C532" ca="1">[1]!s_dq_close("HSI.HI",$A532,3)</f>
        <v>19865.849999999999</v>
      </c>
    </row>
    <row r="533" spans="1:3">
      <c r="A533" s="23">
        <f t="shared" ca="1" si="8"/>
        <v>45633</v>
      </c>
      <c r="B533" cm="1">
        <f t="array" aca="1" ref="B533" ca="1">[1]!s_dq_close("HSTECH.HI",$A533,3)</f>
        <v>4464.6499999999996</v>
      </c>
      <c r="C533" cm="1">
        <f t="array" aca="1" ref="C533" ca="1">[1]!s_dq_close("HSI.HI",$A533,3)</f>
        <v>19865.849999999999</v>
      </c>
    </row>
    <row r="534" spans="1:3">
      <c r="A534" s="23">
        <f t="shared" ca="1" si="8"/>
        <v>45632</v>
      </c>
      <c r="B534" cm="1">
        <f t="array" aca="1" ref="B534" ca="1">[1]!s_dq_close("HSTECH.HI",$A534,3)</f>
        <v>4464.6499999999996</v>
      </c>
      <c r="C534" cm="1">
        <f t="array" aca="1" ref="C534" ca="1">[1]!s_dq_close("HSI.HI",$A534,3)</f>
        <v>19865.849999999999</v>
      </c>
    </row>
    <row r="535" spans="1:3">
      <c r="A535" s="23">
        <f t="shared" ca="1" si="8"/>
        <v>45631</v>
      </c>
      <c r="B535" cm="1">
        <f t="array" aca="1" ref="B535" ca="1">[1]!s_dq_close("HSTECH.HI",$A535,3)</f>
        <v>4370.22</v>
      </c>
      <c r="C535" cm="1">
        <f t="array" aca="1" ref="C535" ca="1">[1]!s_dq_close("HSI.HI",$A535,3)</f>
        <v>19560.439999999999</v>
      </c>
    </row>
    <row r="536" spans="1:3">
      <c r="A536" s="23">
        <f t="shared" ca="1" si="8"/>
        <v>45630</v>
      </c>
      <c r="B536" cm="1">
        <f t="array" aca="1" ref="B536" ca="1">[1]!s_dq_close("HSTECH.HI",$A536,3)</f>
        <v>4404.04</v>
      </c>
      <c r="C536" cm="1">
        <f t="array" aca="1" ref="C536" ca="1">[1]!s_dq_close("HSI.HI",$A536,3)</f>
        <v>19742.46</v>
      </c>
    </row>
    <row r="537" spans="1:3">
      <c r="A537" s="23">
        <f t="shared" ca="1" si="8"/>
        <v>45629</v>
      </c>
      <c r="B537" cm="1">
        <f t="array" aca="1" ref="B537" ca="1">[1]!s_dq_close("HSTECH.HI",$A537,3)</f>
        <v>4417.99</v>
      </c>
      <c r="C537" cm="1">
        <f t="array" aca="1" ref="C537" ca="1">[1]!s_dq_close("HSI.HI",$A537,3)</f>
        <v>19746.32</v>
      </c>
    </row>
    <row r="538" spans="1:3">
      <c r="A538" s="23">
        <f t="shared" ca="1" si="8"/>
        <v>45628</v>
      </c>
      <c r="B538" cm="1">
        <f t="array" aca="1" ref="B538" ca="1">[1]!s_dq_close("HSTECH.HI",$A538,3)</f>
        <v>4405.95</v>
      </c>
      <c r="C538" cm="1">
        <f t="array" aca="1" ref="C538" ca="1">[1]!s_dq_close("HSI.HI",$A538,3)</f>
        <v>19550.29</v>
      </c>
    </row>
    <row r="539" spans="1:3">
      <c r="A539" s="23">
        <f t="shared" ca="1" si="8"/>
        <v>45627</v>
      </c>
      <c r="B539" cm="1">
        <f t="array" aca="1" ref="B539" ca="1">[1]!s_dq_close("HSTECH.HI",$A539,3)</f>
        <v>4353.55</v>
      </c>
      <c r="C539" cm="1">
        <f t="array" aca="1" ref="C539" ca="1">[1]!s_dq_close("HSI.HI",$A539,3)</f>
        <v>19423.61</v>
      </c>
    </row>
    <row r="540" spans="1:3">
      <c r="A540" s="23">
        <f t="shared" ca="1" si="8"/>
        <v>45626</v>
      </c>
      <c r="B540" cm="1">
        <f t="array" aca="1" ref="B540" ca="1">[1]!s_dq_close("HSTECH.HI",$A540,3)</f>
        <v>4353.55</v>
      </c>
      <c r="C540" cm="1">
        <f t="array" aca="1" ref="C540" ca="1">[1]!s_dq_close("HSI.HI",$A540,3)</f>
        <v>19423.61</v>
      </c>
    </row>
    <row r="541" spans="1:3">
      <c r="A541" s="23">
        <f t="shared" ca="1" si="8"/>
        <v>45625</v>
      </c>
      <c r="B541" cm="1">
        <f t="array" aca="1" ref="B541" ca="1">[1]!s_dq_close("HSTECH.HI",$A541,3)</f>
        <v>4353.55</v>
      </c>
      <c r="C541" cm="1">
        <f t="array" aca="1" ref="C541" ca="1">[1]!s_dq_close("HSI.HI",$A541,3)</f>
        <v>19423.61</v>
      </c>
    </row>
    <row r="542" spans="1:3">
      <c r="A542" s="23">
        <f t="shared" ca="1" si="8"/>
        <v>45624</v>
      </c>
      <c r="B542" cm="1">
        <f t="array" aca="1" ref="B542" ca="1">[1]!s_dq_close("HSTECH.HI",$A542,3)</f>
        <v>4307.75</v>
      </c>
      <c r="C542" cm="1">
        <f t="array" aca="1" ref="C542" ca="1">[1]!s_dq_close("HSI.HI",$A542,3)</f>
        <v>19366.96</v>
      </c>
    </row>
    <row r="543" spans="1:3">
      <c r="A543" s="23">
        <f t="shared" ca="1" si="8"/>
        <v>45623</v>
      </c>
      <c r="B543" cm="1">
        <f t="array" aca="1" ref="B543" ca="1">[1]!s_dq_close("HSTECH.HI",$A543,3)</f>
        <v>4374.4399999999996</v>
      </c>
      <c r="C543" cm="1">
        <f t="array" aca="1" ref="C543" ca="1">[1]!s_dq_close("HSI.HI",$A543,3)</f>
        <v>19603.13</v>
      </c>
    </row>
    <row r="544" spans="1:3">
      <c r="A544" s="23">
        <f t="shared" ca="1" si="8"/>
        <v>45622</v>
      </c>
      <c r="B544" cm="1">
        <f t="array" aca="1" ref="B544" ca="1">[1]!s_dq_close("HSTECH.HI",$A544,3)</f>
        <v>4221.99</v>
      </c>
      <c r="C544" cm="1">
        <f t="array" aca="1" ref="C544" ca="1">[1]!s_dq_close("HSI.HI",$A544,3)</f>
        <v>19159.2</v>
      </c>
    </row>
    <row r="545" spans="1:3">
      <c r="A545" s="23">
        <f t="shared" ca="1" si="8"/>
        <v>45621</v>
      </c>
      <c r="B545" cm="1">
        <f t="array" aca="1" ref="B545" ca="1">[1]!s_dq_close("HSTECH.HI",$A545,3)</f>
        <v>4235.3100000000004</v>
      </c>
      <c r="C545" cm="1">
        <f t="array" aca="1" ref="C545" ca="1">[1]!s_dq_close("HSI.HI",$A545,3)</f>
        <v>19150.990000000002</v>
      </c>
    </row>
    <row r="546" spans="1:3">
      <c r="A546" s="23">
        <f t="shared" ca="1" si="8"/>
        <v>45620</v>
      </c>
      <c r="B546" cm="1">
        <f t="array" aca="1" ref="B546" ca="1">[1]!s_dq_close("HSTECH.HI",$A546,3)</f>
        <v>4246.2</v>
      </c>
      <c r="C546" cm="1">
        <f t="array" aca="1" ref="C546" ca="1">[1]!s_dq_close("HSI.HI",$A546,3)</f>
        <v>19229.97</v>
      </c>
    </row>
    <row r="547" spans="1:3">
      <c r="A547" s="23">
        <f t="shared" ca="1" si="8"/>
        <v>45619</v>
      </c>
      <c r="B547" cm="1">
        <f t="array" aca="1" ref="B547" ca="1">[1]!s_dq_close("HSTECH.HI",$A547,3)</f>
        <v>4246.2</v>
      </c>
      <c r="C547" cm="1">
        <f t="array" aca="1" ref="C547" ca="1">[1]!s_dq_close("HSI.HI",$A547,3)</f>
        <v>19229.97</v>
      </c>
    </row>
    <row r="548" spans="1:3">
      <c r="A548" s="23">
        <f t="shared" ca="1" si="8"/>
        <v>45618</v>
      </c>
      <c r="B548" cm="1">
        <f t="array" aca="1" ref="B548" ca="1">[1]!s_dq_close("HSTECH.HI",$A548,3)</f>
        <v>4246.2</v>
      </c>
      <c r="C548" cm="1">
        <f t="array" aca="1" ref="C548" ca="1">[1]!s_dq_close("HSI.HI",$A548,3)</f>
        <v>19229.97</v>
      </c>
    </row>
    <row r="549" spans="1:3">
      <c r="A549" s="23">
        <f t="shared" ca="1" si="8"/>
        <v>45617</v>
      </c>
      <c r="B549" cm="1">
        <f t="array" aca="1" ref="B549" ca="1">[1]!s_dq_close("HSTECH.HI",$A549,3)</f>
        <v>4358.1499999999996</v>
      </c>
      <c r="C549" cm="1">
        <f t="array" aca="1" ref="C549" ca="1">[1]!s_dq_close("HSI.HI",$A549,3)</f>
        <v>19601.11</v>
      </c>
    </row>
    <row r="550" spans="1:3">
      <c r="A550" s="23">
        <f t="shared" ca="1" si="8"/>
        <v>45616</v>
      </c>
      <c r="B550" cm="1">
        <f t="array" aca="1" ref="B550" ca="1">[1]!s_dq_close("HSTECH.HI",$A550,3)</f>
        <v>4413.08</v>
      </c>
      <c r="C550" cm="1">
        <f t="array" aca="1" ref="C550" ca="1">[1]!s_dq_close("HSI.HI",$A550,3)</f>
        <v>19705.009999999998</v>
      </c>
    </row>
    <row r="551" spans="1:3">
      <c r="A551" s="23">
        <f t="shared" ca="1" si="8"/>
        <v>45615</v>
      </c>
      <c r="B551" cm="1">
        <f t="array" aca="1" ref="B551" ca="1">[1]!s_dq_close("HSTECH.HI",$A551,3)</f>
        <v>4395.04</v>
      </c>
      <c r="C551" cm="1">
        <f t="array" aca="1" ref="C551" ca="1">[1]!s_dq_close("HSI.HI",$A551,3)</f>
        <v>19663.669999999998</v>
      </c>
    </row>
    <row r="552" spans="1:3">
      <c r="A552" s="23">
        <f t="shared" ca="1" si="8"/>
        <v>45614</v>
      </c>
      <c r="B552" cm="1">
        <f t="array" aca="1" ref="B552" ca="1">[1]!s_dq_close("HSTECH.HI",$A552,3)</f>
        <v>4341.53</v>
      </c>
      <c r="C552" cm="1">
        <f t="array" aca="1" ref="C552" ca="1">[1]!s_dq_close("HSI.HI",$A552,3)</f>
        <v>19576.61</v>
      </c>
    </row>
    <row r="553" spans="1:3">
      <c r="A553" s="23">
        <f t="shared" ca="1" si="8"/>
        <v>45613</v>
      </c>
      <c r="B553" cm="1">
        <f t="array" aca="1" ref="B553" ca="1">[1]!s_dq_close("HSTECH.HI",$A553,3)</f>
        <v>4327.84</v>
      </c>
      <c r="C553" cm="1">
        <f t="array" aca="1" ref="C553" ca="1">[1]!s_dq_close("HSI.HI",$A553,3)</f>
        <v>19426.34</v>
      </c>
    </row>
    <row r="554" spans="1:3">
      <c r="A554" s="23">
        <f t="shared" ca="1" si="8"/>
        <v>45612</v>
      </c>
      <c r="B554" cm="1">
        <f t="array" aca="1" ref="B554" ca="1">[1]!s_dq_close("HSTECH.HI",$A554,3)</f>
        <v>4327.84</v>
      </c>
      <c r="C554" cm="1">
        <f t="array" aca="1" ref="C554" ca="1">[1]!s_dq_close("HSI.HI",$A554,3)</f>
        <v>19426.34</v>
      </c>
    </row>
    <row r="555" spans="1:3">
      <c r="A555" s="23">
        <f t="shared" ca="1" si="8"/>
        <v>45611</v>
      </c>
      <c r="B555" cm="1">
        <f t="array" aca="1" ref="B555" ca="1">[1]!s_dq_close("HSTECH.HI",$A555,3)</f>
        <v>4327.84</v>
      </c>
      <c r="C555" cm="1">
        <f t="array" aca="1" ref="C555" ca="1">[1]!s_dq_close("HSI.HI",$A555,3)</f>
        <v>19426.34</v>
      </c>
    </row>
    <row r="556" spans="1:3">
      <c r="A556" s="23">
        <f t="shared" ca="1" si="8"/>
        <v>45610</v>
      </c>
      <c r="B556" cm="1">
        <f t="array" aca="1" ref="B556" ca="1">[1]!s_dq_close("HSTECH.HI",$A556,3)</f>
        <v>4318.32</v>
      </c>
      <c r="C556" cm="1">
        <f t="array" aca="1" ref="C556" ca="1">[1]!s_dq_close("HSI.HI",$A556,3)</f>
        <v>19435.810000000001</v>
      </c>
    </row>
    <row r="557" spans="1:3">
      <c r="A557" s="23">
        <f t="shared" ca="1" si="8"/>
        <v>45609</v>
      </c>
      <c r="B557" cm="1">
        <f t="array" aca="1" ref="B557" ca="1">[1]!s_dq_close("HSTECH.HI",$A557,3)</f>
        <v>4455.67</v>
      </c>
      <c r="C557" cm="1">
        <f t="array" aca="1" ref="C557" ca="1">[1]!s_dq_close("HSI.HI",$A557,3)</f>
        <v>19823.45</v>
      </c>
    </row>
    <row r="558" spans="1:3">
      <c r="A558" s="23">
        <f t="shared" ca="1" si="8"/>
        <v>45608</v>
      </c>
      <c r="B558" cm="1">
        <f t="array" aca="1" ref="B558" ca="1">[1]!s_dq_close("HSTECH.HI",$A558,3)</f>
        <v>4456.8599999999997</v>
      </c>
      <c r="C558" cm="1">
        <f t="array" aca="1" ref="C558" ca="1">[1]!s_dq_close("HSI.HI",$A558,3)</f>
        <v>19846.88</v>
      </c>
    </row>
    <row r="559" spans="1:3">
      <c r="A559" s="23">
        <f t="shared" ca="1" si="8"/>
        <v>45607</v>
      </c>
      <c r="B559" cm="1">
        <f t="array" aca="1" ref="B559" ca="1">[1]!s_dq_close("HSTECH.HI",$A559,3)</f>
        <v>4651.71</v>
      </c>
      <c r="C559" cm="1">
        <f t="array" aca="1" ref="C559" ca="1">[1]!s_dq_close("HSI.HI",$A559,3)</f>
        <v>20426.93</v>
      </c>
    </row>
    <row r="560" spans="1:3">
      <c r="A560" s="23">
        <f t="shared" ca="1" si="8"/>
        <v>45606</v>
      </c>
      <c r="B560" cm="1">
        <f t="array" aca="1" ref="B560" ca="1">[1]!s_dq_close("HSTECH.HI",$A560,3)</f>
        <v>4668.26</v>
      </c>
      <c r="C560" cm="1">
        <f t="array" aca="1" ref="C560" ca="1">[1]!s_dq_close("HSI.HI",$A560,3)</f>
        <v>20728.189999999999</v>
      </c>
    </row>
    <row r="561" spans="1:3">
      <c r="A561" s="23">
        <f t="shared" ca="1" si="8"/>
        <v>45605</v>
      </c>
      <c r="B561" cm="1">
        <f t="array" aca="1" ref="B561" ca="1">[1]!s_dq_close("HSTECH.HI",$A561,3)</f>
        <v>4668.26</v>
      </c>
      <c r="C561" cm="1">
        <f t="array" aca="1" ref="C561" ca="1">[1]!s_dq_close("HSI.HI",$A561,3)</f>
        <v>20728.189999999999</v>
      </c>
    </row>
    <row r="562" spans="1:3">
      <c r="A562" s="23">
        <f t="shared" ca="1" si="8"/>
        <v>45604</v>
      </c>
      <c r="B562" cm="1">
        <f t="array" aca="1" ref="B562" ca="1">[1]!s_dq_close("HSTECH.HI",$A562,3)</f>
        <v>4668.26</v>
      </c>
      <c r="C562" cm="1">
        <f t="array" aca="1" ref="C562" ca="1">[1]!s_dq_close("HSI.HI",$A562,3)</f>
        <v>20728.189999999999</v>
      </c>
    </row>
    <row r="563" spans="1:3">
      <c r="A563" s="23">
        <f t="shared" ca="1" si="8"/>
        <v>45603</v>
      </c>
      <c r="B563" cm="1">
        <f t="array" aca="1" ref="B563" ca="1">[1]!s_dq_close("HSTECH.HI",$A563,3)</f>
        <v>4677.6400000000003</v>
      </c>
      <c r="C563" cm="1">
        <f t="array" aca="1" ref="C563" ca="1">[1]!s_dq_close("HSI.HI",$A563,3)</f>
        <v>20953.34</v>
      </c>
    </row>
    <row r="564" spans="1:3">
      <c r="A564" s="23">
        <f t="shared" ca="1" si="8"/>
        <v>45602</v>
      </c>
      <c r="B564" cm="1">
        <f t="array" aca="1" ref="B564" ca="1">[1]!s_dq_close("HSTECH.HI",$A564,3)</f>
        <v>4574.5</v>
      </c>
      <c r="C564" cm="1">
        <f t="array" aca="1" ref="C564" ca="1">[1]!s_dq_close("HSI.HI",$A564,3)</f>
        <v>20538.38</v>
      </c>
    </row>
    <row r="565" spans="1:3">
      <c r="A565" s="23">
        <f t="shared" ca="1" si="8"/>
        <v>45601</v>
      </c>
      <c r="B565" cm="1">
        <f t="array" aca="1" ref="B565" ca="1">[1]!s_dq_close("HSTECH.HI",$A565,3)</f>
        <v>4693.8500000000004</v>
      </c>
      <c r="C565" cm="1">
        <f t="array" aca="1" ref="C565" ca="1">[1]!s_dq_close("HSI.HI",$A565,3)</f>
        <v>21006.97</v>
      </c>
    </row>
    <row r="566" spans="1:3">
      <c r="A566" s="23">
        <f t="shared" ca="1" si="8"/>
        <v>45600</v>
      </c>
      <c r="B566" cm="1">
        <f t="array" aca="1" ref="B566" ca="1">[1]!s_dq_close("HSTECH.HI",$A566,3)</f>
        <v>4532.18</v>
      </c>
      <c r="C566" cm="1">
        <f t="array" aca="1" ref="C566" ca="1">[1]!s_dq_close("HSI.HI",$A566,3)</f>
        <v>20567.52</v>
      </c>
    </row>
    <row r="567" spans="1:3">
      <c r="A567" s="23">
        <f t="shared" ca="1" si="8"/>
        <v>45599</v>
      </c>
      <c r="B567" cm="1">
        <f t="array" aca="1" ref="B567" ca="1">[1]!s_dq_close("HSTECH.HI",$A567,3)</f>
        <v>4483.91</v>
      </c>
      <c r="C567" cm="1">
        <f t="array" aca="1" ref="C567" ca="1">[1]!s_dq_close("HSI.HI",$A567,3)</f>
        <v>20506.43</v>
      </c>
    </row>
    <row r="568" spans="1:3">
      <c r="A568" s="23">
        <f t="shared" ca="1" si="8"/>
        <v>45598</v>
      </c>
      <c r="B568" cm="1">
        <f t="array" aca="1" ref="B568" ca="1">[1]!s_dq_close("HSTECH.HI",$A568,3)</f>
        <v>4483.91</v>
      </c>
      <c r="C568" cm="1">
        <f t="array" aca="1" ref="C568" ca="1">[1]!s_dq_close("HSI.HI",$A568,3)</f>
        <v>20506.43</v>
      </c>
    </row>
    <row r="569" spans="1:3">
      <c r="A569" s="23">
        <f t="shared" ca="1" si="8"/>
        <v>45597</v>
      </c>
      <c r="B569" cm="1">
        <f t="array" aca="1" ref="B569" ca="1">[1]!s_dq_close("HSTECH.HI",$A569,3)</f>
        <v>4483.91</v>
      </c>
      <c r="C569" cm="1">
        <f t="array" aca="1" ref="C569" ca="1">[1]!s_dq_close("HSI.HI",$A569,3)</f>
        <v>20506.43</v>
      </c>
    </row>
    <row r="570" spans="1:3">
      <c r="A570" s="23">
        <f t="shared" ca="1" si="8"/>
        <v>45596</v>
      </c>
      <c r="B570" cm="1">
        <f t="array" aca="1" ref="B570" ca="1">[1]!s_dq_close("HSTECH.HI",$A570,3)</f>
        <v>4499.1499999999996</v>
      </c>
      <c r="C570" cm="1">
        <f t="array" aca="1" ref="C570" ca="1">[1]!s_dq_close("HSI.HI",$A570,3)</f>
        <v>20317.330000000002</v>
      </c>
    </row>
    <row r="571" spans="1:3">
      <c r="A571" s="23">
        <f t="shared" ca="1" si="8"/>
        <v>45595</v>
      </c>
      <c r="B571" cm="1">
        <f t="array" aca="1" ref="B571" ca="1">[1]!s_dq_close("HSTECH.HI",$A571,3)</f>
        <v>4513.68</v>
      </c>
      <c r="C571" cm="1">
        <f t="array" aca="1" ref="C571" ca="1">[1]!s_dq_close("HSI.HI",$A571,3)</f>
        <v>20380.64</v>
      </c>
    </row>
    <row r="572" spans="1:3">
      <c r="A572" s="23">
        <f t="shared" ca="1" si="8"/>
        <v>45594</v>
      </c>
      <c r="B572" cm="1">
        <f t="array" aca="1" ref="B572" ca="1">[1]!s_dq_close("HSTECH.HI",$A572,3)</f>
        <v>4623.84</v>
      </c>
      <c r="C572" cm="1">
        <f t="array" aca="1" ref="C572" ca="1">[1]!s_dq_close("HSI.HI",$A572,3)</f>
        <v>20701.14</v>
      </c>
    </row>
    <row r="573" spans="1:3">
      <c r="A573" s="23">
        <f t="shared" ca="1" si="8"/>
        <v>45593</v>
      </c>
      <c r="B573" cm="1">
        <f t="array" aca="1" ref="B573" ca="1">[1]!s_dq_close("HSTECH.HI",$A573,3)</f>
        <v>4574.07</v>
      </c>
      <c r="C573" cm="1">
        <f t="array" aca="1" ref="C573" ca="1">[1]!s_dq_close("HSI.HI",$A573,3)</f>
        <v>20599.36</v>
      </c>
    </row>
    <row r="574" spans="1:3">
      <c r="A574" s="23">
        <f t="shared" ca="1" si="8"/>
        <v>45592</v>
      </c>
      <c r="B574" cm="1">
        <f t="array" aca="1" ref="B574" ca="1">[1]!s_dq_close("HSTECH.HI",$A574,3)</f>
        <v>4538.03</v>
      </c>
      <c r="C574" cm="1">
        <f t="array" aca="1" ref="C574" ca="1">[1]!s_dq_close("HSI.HI",$A574,3)</f>
        <v>20590.150000000001</v>
      </c>
    </row>
    <row r="575" spans="1:3">
      <c r="A575" s="23">
        <f t="shared" ca="1" si="8"/>
        <v>45591</v>
      </c>
      <c r="B575" cm="1">
        <f t="array" aca="1" ref="B575" ca="1">[1]!s_dq_close("HSTECH.HI",$A575,3)</f>
        <v>4538.03</v>
      </c>
      <c r="C575" cm="1">
        <f t="array" aca="1" ref="C575" ca="1">[1]!s_dq_close("HSI.HI",$A575,3)</f>
        <v>20590.150000000001</v>
      </c>
    </row>
    <row r="576" spans="1:3">
      <c r="A576" s="23">
        <f t="shared" ca="1" si="8"/>
        <v>45590</v>
      </c>
      <c r="B576" cm="1">
        <f t="array" aca="1" ref="B576" ca="1">[1]!s_dq_close("HSTECH.HI",$A576,3)</f>
        <v>4538.03</v>
      </c>
      <c r="C576" cm="1">
        <f t="array" aca="1" ref="C576" ca="1">[1]!s_dq_close("HSI.HI",$A576,3)</f>
        <v>20590.150000000001</v>
      </c>
    </row>
    <row r="577" spans="1:3">
      <c r="A577" s="23">
        <f t="shared" ca="1" si="8"/>
        <v>45589</v>
      </c>
      <c r="B577" cm="1">
        <f t="array" aca="1" ref="B577" ca="1">[1]!s_dq_close("HSTECH.HI",$A577,3)</f>
        <v>4483.99</v>
      </c>
      <c r="C577" cm="1">
        <f t="array" aca="1" ref="C577" ca="1">[1]!s_dq_close("HSI.HI",$A577,3)</f>
        <v>20489.62</v>
      </c>
    </row>
    <row r="578" spans="1:3">
      <c r="A578" s="23">
        <f t="shared" ca="1" si="8"/>
        <v>45588</v>
      </c>
      <c r="B578" cm="1">
        <f t="array" aca="1" ref="B578" ca="1">[1]!s_dq_close("HSTECH.HI",$A578,3)</f>
        <v>4605.62</v>
      </c>
      <c r="C578" cm="1">
        <f t="array" aca="1" ref="C578" ca="1">[1]!s_dq_close("HSI.HI",$A578,3)</f>
        <v>20760.150000000001</v>
      </c>
    </row>
    <row r="579" spans="1:3">
      <c r="A579" s="23">
        <f t="shared" ca="1" si="8"/>
        <v>45587</v>
      </c>
      <c r="B579" cm="1">
        <f t="array" aca="1" ref="B579" ca="1">[1]!s_dq_close("HSTECH.HI",$A579,3)</f>
        <v>4521.63</v>
      </c>
      <c r="C579" cm="1">
        <f t="array" aca="1" ref="C579" ca="1">[1]!s_dq_close("HSI.HI",$A579,3)</f>
        <v>20498.95</v>
      </c>
    </row>
    <row r="580" spans="1:3">
      <c r="A580" s="23">
        <f t="shared" ref="A580:A643" ca="1" si="9">A579-1</f>
        <v>45586</v>
      </c>
      <c r="B580" cm="1">
        <f t="array" aca="1" ref="B580" ca="1">[1]!s_dq_close("HSTECH.HI",$A580,3)</f>
        <v>4491.8999999999996</v>
      </c>
      <c r="C580" cm="1">
        <f t="array" aca="1" ref="C580" ca="1">[1]!s_dq_close("HSI.HI",$A580,3)</f>
        <v>20478.46</v>
      </c>
    </row>
    <row r="581" spans="1:3">
      <c r="A581" s="23">
        <f t="shared" ca="1" si="9"/>
        <v>45585</v>
      </c>
      <c r="B581" cm="1">
        <f t="array" aca="1" ref="B581" ca="1">[1]!s_dq_close("HSTECH.HI",$A581,3)</f>
        <v>4600.8500000000004</v>
      </c>
      <c r="C581" cm="1">
        <f t="array" aca="1" ref="C581" ca="1">[1]!s_dq_close("HSI.HI",$A581,3)</f>
        <v>20804.11</v>
      </c>
    </row>
    <row r="582" spans="1:3">
      <c r="A582" s="23">
        <f t="shared" ca="1" si="9"/>
        <v>45584</v>
      </c>
      <c r="B582" cm="1">
        <f t="array" aca="1" ref="B582" ca="1">[1]!s_dq_close("HSTECH.HI",$A582,3)</f>
        <v>4600.8500000000004</v>
      </c>
      <c r="C582" cm="1">
        <f t="array" aca="1" ref="C582" ca="1">[1]!s_dq_close("HSI.HI",$A582,3)</f>
        <v>20804.11</v>
      </c>
    </row>
    <row r="583" spans="1:3">
      <c r="A583" s="23">
        <f t="shared" ca="1" si="9"/>
        <v>45583</v>
      </c>
      <c r="B583" cm="1">
        <f t="array" aca="1" ref="B583" ca="1">[1]!s_dq_close("HSTECH.HI",$A583,3)</f>
        <v>4600.8500000000004</v>
      </c>
      <c r="C583" cm="1">
        <f t="array" aca="1" ref="C583" ca="1">[1]!s_dq_close("HSI.HI",$A583,3)</f>
        <v>20804.11</v>
      </c>
    </row>
    <row r="584" spans="1:3">
      <c r="A584" s="23">
        <f t="shared" ca="1" si="9"/>
        <v>45582</v>
      </c>
      <c r="B584" cm="1">
        <f t="array" aca="1" ref="B584" ca="1">[1]!s_dq_close("HSTECH.HI",$A584,3)</f>
        <v>4349.7700000000004</v>
      </c>
      <c r="C584" cm="1">
        <f t="array" aca="1" ref="C584" ca="1">[1]!s_dq_close("HSI.HI",$A584,3)</f>
        <v>20079.099999999999</v>
      </c>
    </row>
    <row r="585" spans="1:3">
      <c r="A585" s="23">
        <f t="shared" ca="1" si="9"/>
        <v>45581</v>
      </c>
      <c r="B585" cm="1">
        <f t="array" aca="1" ref="B585" ca="1">[1]!s_dq_close("HSTECH.HI",$A585,3)</f>
        <v>4402.37</v>
      </c>
      <c r="C585" cm="1">
        <f t="array" aca="1" ref="C585" ca="1">[1]!s_dq_close("HSI.HI",$A585,3)</f>
        <v>20286.849999999999</v>
      </c>
    </row>
    <row r="586" spans="1:3">
      <c r="A586" s="23">
        <f t="shared" ca="1" si="9"/>
        <v>45580</v>
      </c>
      <c r="B586" cm="1">
        <f t="array" aca="1" ref="B586" ca="1">[1]!s_dq_close("HSTECH.HI",$A586,3)</f>
        <v>4450.95</v>
      </c>
      <c r="C586" cm="1">
        <f t="array" aca="1" ref="C586" ca="1">[1]!s_dq_close("HSI.HI",$A586,3)</f>
        <v>20318.79</v>
      </c>
    </row>
    <row r="587" spans="1:3">
      <c r="A587" s="23">
        <f t="shared" ca="1" si="9"/>
        <v>45579</v>
      </c>
      <c r="B587" cm="1">
        <f t="array" aca="1" ref="B587" ca="1">[1]!s_dq_close("HSTECH.HI",$A587,3)</f>
        <v>4668.18</v>
      </c>
      <c r="C587" cm="1">
        <f t="array" aca="1" ref="C587" ca="1">[1]!s_dq_close("HSI.HI",$A587,3)</f>
        <v>21092.87</v>
      </c>
    </row>
    <row r="588" spans="1:3">
      <c r="A588" s="23">
        <f t="shared" ca="1" si="9"/>
        <v>45578</v>
      </c>
      <c r="B588" cm="1">
        <f t="array" aca="1" ref="B588" ca="1">[1]!s_dq_close("HSTECH.HI",$A588,3)</f>
        <v>4736.1000000000004</v>
      </c>
      <c r="C588" cm="1">
        <f t="array" aca="1" ref="C588" ca="1">[1]!s_dq_close("HSI.HI",$A588,3)</f>
        <v>21251.98</v>
      </c>
    </row>
    <row r="589" spans="1:3">
      <c r="A589" s="23">
        <f t="shared" ca="1" si="9"/>
        <v>45577</v>
      </c>
      <c r="B589" cm="1">
        <f t="array" aca="1" ref="B589" ca="1">[1]!s_dq_close("HSTECH.HI",$A589,3)</f>
        <v>4736.1000000000004</v>
      </c>
      <c r="C589" cm="1">
        <f t="array" aca="1" ref="C589" ca="1">[1]!s_dq_close("HSI.HI",$A589,3)</f>
        <v>21251.98</v>
      </c>
    </row>
    <row r="590" spans="1:3">
      <c r="A590" s="23">
        <f t="shared" ca="1" si="9"/>
        <v>45576</v>
      </c>
      <c r="B590" cm="1">
        <f t="array" aca="1" ref="B590" ca="1">[1]!s_dq_close("HSTECH.HI",$A590,3)</f>
        <v>4736.1000000000004</v>
      </c>
      <c r="C590" cm="1">
        <f t="array" aca="1" ref="C590" ca="1">[1]!s_dq_close("HSI.HI",$A590,3)</f>
        <v>21251.98</v>
      </c>
    </row>
    <row r="591" spans="1:3">
      <c r="A591" s="23">
        <f t="shared" ca="1" si="9"/>
        <v>45575</v>
      </c>
      <c r="B591" cm="1">
        <f t="array" aca="1" ref="B591" ca="1">[1]!s_dq_close("HSTECH.HI",$A591,3)</f>
        <v>4736.1000000000004</v>
      </c>
      <c r="C591" cm="1">
        <f t="array" aca="1" ref="C591" ca="1">[1]!s_dq_close("HSI.HI",$A591,3)</f>
        <v>21251.98</v>
      </c>
    </row>
    <row r="592" spans="1:3">
      <c r="A592" s="23">
        <f t="shared" ca="1" si="9"/>
        <v>45574</v>
      </c>
      <c r="B592" cm="1">
        <f t="array" aca="1" ref="B592" ca="1">[1]!s_dq_close("HSTECH.HI",$A592,3)</f>
        <v>4640.75</v>
      </c>
      <c r="C592" cm="1">
        <f t="array" aca="1" ref="C592" ca="1">[1]!s_dq_close("HSI.HI",$A592,3)</f>
        <v>20637.240000000002</v>
      </c>
    </row>
    <row r="593" spans="1:3">
      <c r="A593" s="23">
        <f t="shared" ca="1" si="9"/>
        <v>45573</v>
      </c>
      <c r="B593" cm="1">
        <f t="array" aca="1" ref="B593" ca="1">[1]!s_dq_close("HSTECH.HI",$A593,3)</f>
        <v>4695.8100000000004</v>
      </c>
      <c r="C593" cm="1">
        <f t="array" aca="1" ref="C593" ca="1">[1]!s_dq_close("HSI.HI",$A593,3)</f>
        <v>20926.79</v>
      </c>
    </row>
    <row r="594" spans="1:3">
      <c r="A594" s="23">
        <f t="shared" ca="1" si="9"/>
        <v>45572</v>
      </c>
      <c r="B594" cm="1">
        <f t="array" aca="1" ref="B594" ca="1">[1]!s_dq_close("HSTECH.HI",$A594,3)</f>
        <v>5386.48</v>
      </c>
      <c r="C594" cm="1">
        <f t="array" aca="1" ref="C594" ca="1">[1]!s_dq_close("HSI.HI",$A594,3)</f>
        <v>23099.78</v>
      </c>
    </row>
    <row r="595" spans="1:3">
      <c r="A595" s="23">
        <f t="shared" ca="1" si="9"/>
        <v>45571</v>
      </c>
      <c r="B595" cm="1">
        <f t="array" aca="1" ref="B595" ca="1">[1]!s_dq_close("HSTECH.HI",$A595,3)</f>
        <v>5227.13</v>
      </c>
      <c r="C595" cm="1">
        <f t="array" aca="1" ref="C595" ca="1">[1]!s_dq_close("HSI.HI",$A595,3)</f>
        <v>22736.87</v>
      </c>
    </row>
    <row r="596" spans="1:3">
      <c r="A596" s="23">
        <f t="shared" ca="1" si="9"/>
        <v>45570</v>
      </c>
      <c r="B596" cm="1">
        <f t="array" aca="1" ref="B596" ca="1">[1]!s_dq_close("HSTECH.HI",$A596,3)</f>
        <v>5227.13</v>
      </c>
      <c r="C596" cm="1">
        <f t="array" aca="1" ref="C596" ca="1">[1]!s_dq_close("HSI.HI",$A596,3)</f>
        <v>22736.87</v>
      </c>
    </row>
    <row r="597" spans="1:3">
      <c r="A597" s="23">
        <f t="shared" ca="1" si="9"/>
        <v>45569</v>
      </c>
      <c r="B597" cm="1">
        <f t="array" aca="1" ref="B597" ca="1">[1]!s_dq_close("HSTECH.HI",$A597,3)</f>
        <v>5227.13</v>
      </c>
      <c r="C597" cm="1">
        <f t="array" aca="1" ref="C597" ca="1">[1]!s_dq_close("HSI.HI",$A597,3)</f>
        <v>22736.87</v>
      </c>
    </row>
    <row r="598" spans="1:3">
      <c r="A598" s="23">
        <f t="shared" ca="1" si="9"/>
        <v>45568</v>
      </c>
      <c r="B598" cm="1">
        <f t="array" aca="1" ref="B598" ca="1">[1]!s_dq_close("HSTECH.HI",$A598,3)</f>
        <v>4978.6400000000003</v>
      </c>
      <c r="C598" cm="1">
        <f t="array" aca="1" ref="C598" ca="1">[1]!s_dq_close("HSI.HI",$A598,3)</f>
        <v>22113.51</v>
      </c>
    </row>
    <row r="599" spans="1:3">
      <c r="A599" s="23">
        <f t="shared" ca="1" si="9"/>
        <v>45567</v>
      </c>
      <c r="B599" cm="1">
        <f t="array" aca="1" ref="B599" ca="1">[1]!s_dq_close("HSTECH.HI",$A599,3)</f>
        <v>5157.08</v>
      </c>
      <c r="C599" cm="1">
        <f t="array" aca="1" ref="C599" ca="1">[1]!s_dq_close("HSI.HI",$A599,3)</f>
        <v>22443.73</v>
      </c>
    </row>
    <row r="600" spans="1:3">
      <c r="A600" s="23">
        <f t="shared" ca="1" si="9"/>
        <v>45566</v>
      </c>
      <c r="B600" cm="1">
        <f t="array" aca="1" ref="B600" ca="1">[1]!s_dq_close("HSTECH.HI",$A600,3)</f>
        <v>4751.8100000000004</v>
      </c>
      <c r="C600" cm="1">
        <f t="array" aca="1" ref="C600" ca="1">[1]!s_dq_close("HSI.HI",$A600,3)</f>
        <v>21133.68</v>
      </c>
    </row>
    <row r="601" spans="1:3">
      <c r="A601" s="23">
        <f t="shared" ca="1" si="9"/>
        <v>45565</v>
      </c>
      <c r="B601" cm="1">
        <f t="array" aca="1" ref="B601" ca="1">[1]!s_dq_close("HSTECH.HI",$A601,3)</f>
        <v>4751.8100000000004</v>
      </c>
      <c r="C601" cm="1">
        <f t="array" aca="1" ref="C601" ca="1">[1]!s_dq_close("HSI.HI",$A601,3)</f>
        <v>21133.68</v>
      </c>
    </row>
    <row r="602" spans="1:3">
      <c r="A602" s="23">
        <f t="shared" ca="1" si="9"/>
        <v>45564</v>
      </c>
      <c r="B602" cm="1">
        <f t="array" aca="1" ref="B602" ca="1">[1]!s_dq_close("HSTECH.HI",$A602,3)</f>
        <v>4453.24</v>
      </c>
      <c r="C602" cm="1">
        <f t="array" aca="1" ref="C602" ca="1">[1]!s_dq_close("HSI.HI",$A602,3)</f>
        <v>20632.3</v>
      </c>
    </row>
    <row r="603" spans="1:3">
      <c r="A603" s="23">
        <f t="shared" ca="1" si="9"/>
        <v>45563</v>
      </c>
      <c r="B603" cm="1">
        <f t="array" aca="1" ref="B603" ca="1">[1]!s_dq_close("HSTECH.HI",$A603,3)</f>
        <v>4453.24</v>
      </c>
      <c r="C603" cm="1">
        <f t="array" aca="1" ref="C603" ca="1">[1]!s_dq_close("HSI.HI",$A603,3)</f>
        <v>20632.3</v>
      </c>
    </row>
    <row r="604" spans="1:3">
      <c r="A604" s="23">
        <f t="shared" ca="1" si="9"/>
        <v>45562</v>
      </c>
      <c r="B604" cm="1">
        <f t="array" aca="1" ref="B604" ca="1">[1]!s_dq_close("HSTECH.HI",$A604,3)</f>
        <v>4453.24</v>
      </c>
      <c r="C604" cm="1">
        <f t="array" aca="1" ref="C604" ca="1">[1]!s_dq_close("HSI.HI",$A604,3)</f>
        <v>20632.3</v>
      </c>
    </row>
    <row r="605" spans="1:3">
      <c r="A605" s="23">
        <f t="shared" ca="1" si="9"/>
        <v>45561</v>
      </c>
      <c r="B605" cm="1">
        <f t="array" aca="1" ref="B605" ca="1">[1]!s_dq_close("HSTECH.HI",$A605,3)</f>
        <v>4209.71</v>
      </c>
      <c r="C605" cm="1">
        <f t="array" aca="1" ref="C605" ca="1">[1]!s_dq_close("HSI.HI",$A605,3)</f>
        <v>19924.580000000002</v>
      </c>
    </row>
    <row r="606" spans="1:3">
      <c r="A606" s="23">
        <f t="shared" ca="1" si="9"/>
        <v>45560</v>
      </c>
      <c r="B606" cm="1">
        <f t="array" aca="1" ref="B606" ca="1">[1]!s_dq_close("HSTECH.HI",$A606,3)</f>
        <v>3924.45</v>
      </c>
      <c r="C606" cm="1">
        <f t="array" aca="1" ref="C606" ca="1">[1]!s_dq_close("HSI.HI",$A606,3)</f>
        <v>19129.099999999999</v>
      </c>
    </row>
    <row r="607" spans="1:3">
      <c r="A607" s="23">
        <f t="shared" ca="1" si="9"/>
        <v>45559</v>
      </c>
      <c r="B607" cm="1">
        <f t="array" aca="1" ref="B607" ca="1">[1]!s_dq_close("HSTECH.HI",$A607,3)</f>
        <v>3915.58</v>
      </c>
      <c r="C607" cm="1">
        <f t="array" aca="1" ref="C607" ca="1">[1]!s_dq_close("HSI.HI",$A607,3)</f>
        <v>19000.560000000001</v>
      </c>
    </row>
    <row r="608" spans="1:3">
      <c r="A608" s="23">
        <f t="shared" ca="1" si="9"/>
        <v>45558</v>
      </c>
      <c r="B608" cm="1">
        <f t="array" aca="1" ref="B608" ca="1">[1]!s_dq_close("HSTECH.HI",$A608,3)</f>
        <v>3698.27</v>
      </c>
      <c r="C608" cm="1">
        <f t="array" aca="1" ref="C608" ca="1">[1]!s_dq_close("HSI.HI",$A608,3)</f>
        <v>18247.11</v>
      </c>
    </row>
    <row r="609" spans="1:3">
      <c r="A609" s="23">
        <f t="shared" ca="1" si="9"/>
        <v>45557</v>
      </c>
      <c r="B609" cm="1">
        <f t="array" aca="1" ref="B609" ca="1">[1]!s_dq_close("HSTECH.HI",$A609,3)</f>
        <v>3703.84</v>
      </c>
      <c r="C609" cm="1">
        <f t="array" aca="1" ref="C609" ca="1">[1]!s_dq_close("HSI.HI",$A609,3)</f>
        <v>18258.57</v>
      </c>
    </row>
    <row r="610" spans="1:3">
      <c r="A610" s="23">
        <f t="shared" ca="1" si="9"/>
        <v>45556</v>
      </c>
      <c r="B610" cm="1">
        <f t="array" aca="1" ref="B610" ca="1">[1]!s_dq_close("HSTECH.HI",$A610,3)</f>
        <v>3703.84</v>
      </c>
      <c r="C610" cm="1">
        <f t="array" aca="1" ref="C610" ca="1">[1]!s_dq_close("HSI.HI",$A610,3)</f>
        <v>18258.57</v>
      </c>
    </row>
    <row r="611" spans="1:3">
      <c r="A611" s="23">
        <f t="shared" ca="1" si="9"/>
        <v>45555</v>
      </c>
      <c r="B611" cm="1">
        <f t="array" aca="1" ref="B611" ca="1">[1]!s_dq_close("HSTECH.HI",$A611,3)</f>
        <v>3703.84</v>
      </c>
      <c r="C611" cm="1">
        <f t="array" aca="1" ref="C611" ca="1">[1]!s_dq_close("HSI.HI",$A611,3)</f>
        <v>18258.57</v>
      </c>
    </row>
    <row r="612" spans="1:3">
      <c r="A612" s="23">
        <f t="shared" ca="1" si="9"/>
        <v>45554</v>
      </c>
      <c r="B612" cm="1">
        <f t="array" aca="1" ref="B612" ca="1">[1]!s_dq_close("HSTECH.HI",$A612,3)</f>
        <v>3651.56</v>
      </c>
      <c r="C612" cm="1">
        <f t="array" aca="1" ref="C612" ca="1">[1]!s_dq_close("HSI.HI",$A612,3)</f>
        <v>18013.16</v>
      </c>
    </row>
    <row r="613" spans="1:3">
      <c r="A613" s="23">
        <f t="shared" ca="1" si="9"/>
        <v>45553</v>
      </c>
      <c r="B613" cm="1">
        <f t="array" aca="1" ref="B613" ca="1">[1]!s_dq_close("HSTECH.HI",$A613,3)</f>
        <v>3536.57</v>
      </c>
      <c r="C613" cm="1">
        <f t="array" aca="1" ref="C613" ca="1">[1]!s_dq_close("HSI.HI",$A613,3)</f>
        <v>17660.02</v>
      </c>
    </row>
    <row r="614" spans="1:3">
      <c r="A614" s="23">
        <f t="shared" ca="1" si="9"/>
        <v>45552</v>
      </c>
      <c r="B614" cm="1">
        <f t="array" aca="1" ref="B614" ca="1">[1]!s_dq_close("HSTECH.HI",$A614,3)</f>
        <v>3536.57</v>
      </c>
      <c r="C614" cm="1">
        <f t="array" aca="1" ref="C614" ca="1">[1]!s_dq_close("HSI.HI",$A614,3)</f>
        <v>17660.02</v>
      </c>
    </row>
    <row r="615" spans="1:3">
      <c r="A615" s="23">
        <f t="shared" ca="1" si="9"/>
        <v>45551</v>
      </c>
      <c r="B615" cm="1">
        <f t="array" aca="1" ref="B615" ca="1">[1]!s_dq_close("HSTECH.HI",$A615,3)</f>
        <v>3497.45</v>
      </c>
      <c r="C615" cm="1">
        <f t="array" aca="1" ref="C615" ca="1">[1]!s_dq_close("HSI.HI",$A615,3)</f>
        <v>17422.12</v>
      </c>
    </row>
    <row r="616" spans="1:3">
      <c r="A616" s="23">
        <f t="shared" ca="1" si="9"/>
        <v>45550</v>
      </c>
      <c r="B616" cm="1">
        <f t="array" aca="1" ref="B616" ca="1">[1]!s_dq_close("HSTECH.HI",$A616,3)</f>
        <v>3479.8</v>
      </c>
      <c r="C616" cm="1">
        <f t="array" aca="1" ref="C616" ca="1">[1]!s_dq_close("HSI.HI",$A616,3)</f>
        <v>17369.09</v>
      </c>
    </row>
    <row r="617" spans="1:3">
      <c r="A617" s="23">
        <f t="shared" ca="1" si="9"/>
        <v>45549</v>
      </c>
      <c r="B617" cm="1">
        <f t="array" aca="1" ref="B617" ca="1">[1]!s_dq_close("HSTECH.HI",$A617,3)</f>
        <v>3479.8</v>
      </c>
      <c r="C617" cm="1">
        <f t="array" aca="1" ref="C617" ca="1">[1]!s_dq_close("HSI.HI",$A617,3)</f>
        <v>17369.09</v>
      </c>
    </row>
    <row r="618" spans="1:3">
      <c r="A618" s="23">
        <f t="shared" ca="1" si="9"/>
        <v>45548</v>
      </c>
      <c r="B618" cm="1">
        <f t="array" aca="1" ref="B618" ca="1">[1]!s_dq_close("HSTECH.HI",$A618,3)</f>
        <v>3479.8</v>
      </c>
      <c r="C618" cm="1">
        <f t="array" aca="1" ref="C618" ca="1">[1]!s_dq_close("HSI.HI",$A618,3)</f>
        <v>17369.09</v>
      </c>
    </row>
    <row r="619" spans="1:3">
      <c r="A619" s="23">
        <f t="shared" ca="1" si="9"/>
        <v>45547</v>
      </c>
      <c r="B619" cm="1">
        <f t="array" aca="1" ref="B619" ca="1">[1]!s_dq_close("HSTECH.HI",$A619,3)</f>
        <v>3475.25</v>
      </c>
      <c r="C619" cm="1">
        <f t="array" aca="1" ref="C619" ca="1">[1]!s_dq_close("HSI.HI",$A619,3)</f>
        <v>17240.39</v>
      </c>
    </row>
    <row r="620" spans="1:3">
      <c r="A620" s="23">
        <f t="shared" ca="1" si="9"/>
        <v>45546</v>
      </c>
      <c r="B620" cm="1">
        <f t="array" aca="1" ref="B620" ca="1">[1]!s_dq_close("HSTECH.HI",$A620,3)</f>
        <v>3450.92</v>
      </c>
      <c r="C620" cm="1">
        <f t="array" aca="1" ref="C620" ca="1">[1]!s_dq_close("HSI.HI",$A620,3)</f>
        <v>17108.71</v>
      </c>
    </row>
    <row r="621" spans="1:3">
      <c r="A621" s="23">
        <f t="shared" ca="1" si="9"/>
        <v>45545</v>
      </c>
      <c r="B621" cm="1">
        <f t="array" aca="1" ref="B621" ca="1">[1]!s_dq_close("HSTECH.HI",$A621,3)</f>
        <v>3450.73</v>
      </c>
      <c r="C621" cm="1">
        <f t="array" aca="1" ref="C621" ca="1">[1]!s_dq_close("HSI.HI",$A621,3)</f>
        <v>17234.09</v>
      </c>
    </row>
    <row r="622" spans="1:3">
      <c r="A622" s="23">
        <f t="shared" ca="1" si="9"/>
        <v>45544</v>
      </c>
      <c r="B622" cm="1">
        <f t="array" aca="1" ref="B622" ca="1">[1]!s_dq_close("HSTECH.HI",$A622,3)</f>
        <v>3436.75</v>
      </c>
      <c r="C622" cm="1">
        <f t="array" aca="1" ref="C622" ca="1">[1]!s_dq_close("HSI.HI",$A622,3)</f>
        <v>17196.96</v>
      </c>
    </row>
    <row r="623" spans="1:3">
      <c r="A623" s="23">
        <f t="shared" ca="1" si="9"/>
        <v>45543</v>
      </c>
      <c r="B623" cm="1">
        <f t="array" aca="1" ref="B623" ca="1">[1]!s_dq_close("HSTECH.HI",$A623,3)</f>
        <v>3487.8</v>
      </c>
      <c r="C623" cm="1">
        <f t="array" aca="1" ref="C623" ca="1">[1]!s_dq_close("HSI.HI",$A623,3)</f>
        <v>17444.3</v>
      </c>
    </row>
    <row r="624" spans="1:3">
      <c r="A624" s="23">
        <f t="shared" ca="1" si="9"/>
        <v>45542</v>
      </c>
      <c r="B624" cm="1">
        <f t="array" aca="1" ref="B624" ca="1">[1]!s_dq_close("HSTECH.HI",$A624,3)</f>
        <v>3487.8</v>
      </c>
      <c r="C624" cm="1">
        <f t="array" aca="1" ref="C624" ca="1">[1]!s_dq_close("HSI.HI",$A624,3)</f>
        <v>17444.3</v>
      </c>
    </row>
    <row r="625" spans="1:3">
      <c r="A625" s="23">
        <f t="shared" ca="1" si="9"/>
        <v>45541</v>
      </c>
      <c r="B625" cm="1">
        <f t="array" aca="1" ref="B625" ca="1">[1]!s_dq_close("HSTECH.HI",$A625,3)</f>
        <v>3487.8</v>
      </c>
      <c r="C625" cm="1">
        <f t="array" aca="1" ref="C625" ca="1">[1]!s_dq_close("HSI.HI",$A625,3)</f>
        <v>17444.3</v>
      </c>
    </row>
    <row r="626" spans="1:3">
      <c r="A626" s="23">
        <f t="shared" ca="1" si="9"/>
        <v>45540</v>
      </c>
      <c r="B626" cm="1">
        <f t="array" aca="1" ref="B626" ca="1">[1]!s_dq_close("HSTECH.HI",$A626,3)</f>
        <v>3487.8</v>
      </c>
      <c r="C626" cm="1">
        <f t="array" aca="1" ref="C626" ca="1">[1]!s_dq_close("HSI.HI",$A626,3)</f>
        <v>17444.3</v>
      </c>
    </row>
    <row r="627" spans="1:3">
      <c r="A627" s="23">
        <f t="shared" ca="1" si="9"/>
        <v>45539</v>
      </c>
      <c r="B627" cm="1">
        <f t="array" aca="1" ref="B627" ca="1">[1]!s_dq_close("HSTECH.HI",$A627,3)</f>
        <v>3482.84</v>
      </c>
      <c r="C627" cm="1">
        <f t="array" aca="1" ref="C627" ca="1">[1]!s_dq_close("HSI.HI",$A627,3)</f>
        <v>17457.34</v>
      </c>
    </row>
    <row r="628" spans="1:3">
      <c r="A628" s="23">
        <f t="shared" ca="1" si="9"/>
        <v>45538</v>
      </c>
      <c r="B628" cm="1">
        <f t="array" aca="1" ref="B628" ca="1">[1]!s_dq_close("HSTECH.HI",$A628,3)</f>
        <v>3496.49</v>
      </c>
      <c r="C628" cm="1">
        <f t="array" aca="1" ref="C628" ca="1">[1]!s_dq_close("HSI.HI",$A628,3)</f>
        <v>17651.490000000002</v>
      </c>
    </row>
    <row r="629" spans="1:3">
      <c r="A629" s="23">
        <f t="shared" ca="1" si="9"/>
        <v>45537</v>
      </c>
      <c r="B629" cm="1">
        <f t="array" aca="1" ref="B629" ca="1">[1]!s_dq_close("HSTECH.HI",$A629,3)</f>
        <v>3486.4</v>
      </c>
      <c r="C629" cm="1">
        <f t="array" aca="1" ref="C629" ca="1">[1]!s_dq_close("HSI.HI",$A629,3)</f>
        <v>17691.97</v>
      </c>
    </row>
    <row r="630" spans="1:3">
      <c r="A630" s="23">
        <f t="shared" ca="1" si="9"/>
        <v>45536</v>
      </c>
      <c r="B630" cm="1">
        <f t="array" aca="1" ref="B630" ca="1">[1]!s_dq_close("HSTECH.HI",$A630,3)</f>
        <v>3560.61</v>
      </c>
      <c r="C630" cm="1">
        <f t="array" aca="1" ref="C630" ca="1">[1]!s_dq_close("HSI.HI",$A630,3)</f>
        <v>17989.07</v>
      </c>
    </row>
    <row r="631" spans="1:3">
      <c r="A631" s="23">
        <f t="shared" ca="1" si="9"/>
        <v>45535</v>
      </c>
      <c r="B631" cm="1">
        <f t="array" aca="1" ref="B631" ca="1">[1]!s_dq_close("HSTECH.HI",$A631,3)</f>
        <v>3560.61</v>
      </c>
      <c r="C631" cm="1">
        <f t="array" aca="1" ref="C631" ca="1">[1]!s_dq_close("HSI.HI",$A631,3)</f>
        <v>17989.07</v>
      </c>
    </row>
    <row r="632" spans="1:3">
      <c r="A632" s="23">
        <f t="shared" ca="1" si="9"/>
        <v>45534</v>
      </c>
      <c r="B632" cm="1">
        <f t="array" aca="1" ref="B632" ca="1">[1]!s_dq_close("HSTECH.HI",$A632,3)</f>
        <v>3560.61</v>
      </c>
      <c r="C632" cm="1">
        <f t="array" aca="1" ref="C632" ca="1">[1]!s_dq_close("HSI.HI",$A632,3)</f>
        <v>17989.07</v>
      </c>
    </row>
    <row r="633" spans="1:3">
      <c r="A633" s="23">
        <f t="shared" ca="1" si="9"/>
        <v>45533</v>
      </c>
      <c r="B633" cm="1">
        <f t="array" aca="1" ref="B633" ca="1">[1]!s_dq_close("HSTECH.HI",$A633,3)</f>
        <v>3461.22</v>
      </c>
      <c r="C633" cm="1">
        <f t="array" aca="1" ref="C633" ca="1">[1]!s_dq_close("HSI.HI",$A633,3)</f>
        <v>17786.32</v>
      </c>
    </row>
    <row r="634" spans="1:3">
      <c r="A634" s="23">
        <f t="shared" ca="1" si="9"/>
        <v>45532</v>
      </c>
      <c r="B634" cm="1">
        <f t="array" aca="1" ref="B634" ca="1">[1]!s_dq_close("HSTECH.HI",$A634,3)</f>
        <v>3445.46</v>
      </c>
      <c r="C634" cm="1">
        <f t="array" aca="1" ref="C634" ca="1">[1]!s_dq_close("HSI.HI",$A634,3)</f>
        <v>17692.45</v>
      </c>
    </row>
    <row r="635" spans="1:3">
      <c r="A635" s="23">
        <f t="shared" ca="1" si="9"/>
        <v>45531</v>
      </c>
      <c r="B635" cm="1">
        <f t="array" aca="1" ref="B635" ca="1">[1]!s_dq_close("HSTECH.HI",$A635,3)</f>
        <v>3501.29</v>
      </c>
      <c r="C635" cm="1">
        <f t="array" aca="1" ref="C635" ca="1">[1]!s_dq_close("HSI.HI",$A635,3)</f>
        <v>17874.669999999998</v>
      </c>
    </row>
    <row r="636" spans="1:3">
      <c r="A636" s="23">
        <f t="shared" ca="1" si="9"/>
        <v>45530</v>
      </c>
      <c r="B636" cm="1">
        <f t="array" aca="1" ref="B636" ca="1">[1]!s_dq_close("HSTECH.HI",$A636,3)</f>
        <v>3502.96</v>
      </c>
      <c r="C636" cm="1">
        <f t="array" aca="1" ref="C636" ca="1">[1]!s_dq_close("HSI.HI",$A636,3)</f>
        <v>17798.73</v>
      </c>
    </row>
    <row r="637" spans="1:3">
      <c r="A637" s="23">
        <f t="shared" ca="1" si="9"/>
        <v>45529</v>
      </c>
      <c r="B637" cm="1">
        <f t="array" aca="1" ref="B637" ca="1">[1]!s_dq_close("HSTECH.HI",$A637,3)</f>
        <v>3468.94</v>
      </c>
      <c r="C637" cm="1">
        <f t="array" aca="1" ref="C637" ca="1">[1]!s_dq_close("HSI.HI",$A637,3)</f>
        <v>17612.099999999999</v>
      </c>
    </row>
    <row r="638" spans="1:3">
      <c r="A638" s="23">
        <f t="shared" ca="1" si="9"/>
        <v>45528</v>
      </c>
      <c r="B638" cm="1">
        <f t="array" aca="1" ref="B638" ca="1">[1]!s_dq_close("HSTECH.HI",$A638,3)</f>
        <v>3468.94</v>
      </c>
      <c r="C638" cm="1">
        <f t="array" aca="1" ref="C638" ca="1">[1]!s_dq_close("HSI.HI",$A638,3)</f>
        <v>17612.099999999999</v>
      </c>
    </row>
    <row r="639" spans="1:3">
      <c r="A639" s="23">
        <f t="shared" ca="1" si="9"/>
        <v>45527</v>
      </c>
      <c r="B639" cm="1">
        <f t="array" aca="1" ref="B639" ca="1">[1]!s_dq_close("HSTECH.HI",$A639,3)</f>
        <v>3468.94</v>
      </c>
      <c r="C639" cm="1">
        <f t="array" aca="1" ref="C639" ca="1">[1]!s_dq_close("HSI.HI",$A639,3)</f>
        <v>17612.099999999999</v>
      </c>
    </row>
    <row r="640" spans="1:3">
      <c r="A640" s="23">
        <f t="shared" ca="1" si="9"/>
        <v>45526</v>
      </c>
      <c r="B640" cm="1">
        <f t="array" aca="1" ref="B640" ca="1">[1]!s_dq_close("HSTECH.HI",$A640,3)</f>
        <v>3508.61</v>
      </c>
      <c r="C640" cm="1">
        <f t="array" aca="1" ref="C640" ca="1">[1]!s_dq_close("HSI.HI",$A640,3)</f>
        <v>17641</v>
      </c>
    </row>
    <row r="641" spans="1:3">
      <c r="A641" s="23">
        <f t="shared" ca="1" si="9"/>
        <v>45525</v>
      </c>
      <c r="B641" cm="1">
        <f t="array" aca="1" ref="B641" ca="1">[1]!s_dq_close("HSTECH.HI",$A641,3)</f>
        <v>3434.39</v>
      </c>
      <c r="C641" cm="1">
        <f t="array" aca="1" ref="C641" ca="1">[1]!s_dq_close("HSI.HI",$A641,3)</f>
        <v>17391.009999999998</v>
      </c>
    </row>
    <row r="642" spans="1:3">
      <c r="A642" s="23">
        <f t="shared" ca="1" si="9"/>
        <v>45524</v>
      </c>
      <c r="B642" cm="1">
        <f t="array" aca="1" ref="B642" ca="1">[1]!s_dq_close("HSTECH.HI",$A642,3)</f>
        <v>3498.08</v>
      </c>
      <c r="C642" cm="1">
        <f t="array" aca="1" ref="C642" ca="1">[1]!s_dq_close("HSI.HI",$A642,3)</f>
        <v>17511.080000000002</v>
      </c>
    </row>
    <row r="643" spans="1:3">
      <c r="A643" s="23">
        <f t="shared" ca="1" si="9"/>
        <v>45523</v>
      </c>
      <c r="B643" cm="1">
        <f t="array" aca="1" ref="B643" ca="1">[1]!s_dq_close("HSTECH.HI",$A643,3)</f>
        <v>3517.09</v>
      </c>
      <c r="C643" cm="1">
        <f t="array" aca="1" ref="C643" ca="1">[1]!s_dq_close("HSI.HI",$A643,3)</f>
        <v>17569.57</v>
      </c>
    </row>
    <row r="644" spans="1:3">
      <c r="A644" s="23">
        <f t="shared" ref="A644:A707" ca="1" si="10">A643-1</f>
        <v>45522</v>
      </c>
      <c r="B644" cm="1">
        <f t="array" aca="1" ref="B644" ca="1">[1]!s_dq_close("HSTECH.HI",$A644,3)</f>
        <v>3459.09</v>
      </c>
      <c r="C644" cm="1">
        <f t="array" aca="1" ref="C644" ca="1">[1]!s_dq_close("HSI.HI",$A644,3)</f>
        <v>17430.16</v>
      </c>
    </row>
    <row r="645" spans="1:3">
      <c r="A645" s="23">
        <f t="shared" ca="1" si="10"/>
        <v>45521</v>
      </c>
      <c r="B645" cm="1">
        <f t="array" aca="1" ref="B645" ca="1">[1]!s_dq_close("HSTECH.HI",$A645,3)</f>
        <v>3459.09</v>
      </c>
      <c r="C645" cm="1">
        <f t="array" aca="1" ref="C645" ca="1">[1]!s_dq_close("HSI.HI",$A645,3)</f>
        <v>17430.16</v>
      </c>
    </row>
    <row r="646" spans="1:3">
      <c r="A646" s="23">
        <f t="shared" ca="1" si="10"/>
        <v>45520</v>
      </c>
      <c r="B646" cm="1">
        <f t="array" aca="1" ref="B646" ca="1">[1]!s_dq_close("HSTECH.HI",$A646,3)</f>
        <v>3459.09</v>
      </c>
      <c r="C646" cm="1">
        <f t="array" aca="1" ref="C646" ca="1">[1]!s_dq_close("HSI.HI",$A646,3)</f>
        <v>17430.16</v>
      </c>
    </row>
    <row r="647" spans="1:3">
      <c r="A647" s="23">
        <f t="shared" ca="1" si="10"/>
        <v>45519</v>
      </c>
      <c r="B647" cm="1">
        <f t="array" aca="1" ref="B647" ca="1">[1]!s_dq_close("HSTECH.HI",$A647,3)</f>
        <v>3384.38</v>
      </c>
      <c r="C647" cm="1">
        <f t="array" aca="1" ref="C647" ca="1">[1]!s_dq_close("HSI.HI",$A647,3)</f>
        <v>17109.14</v>
      </c>
    </row>
    <row r="648" spans="1:3">
      <c r="A648" s="23">
        <f t="shared" ca="1" si="10"/>
        <v>45518</v>
      </c>
      <c r="B648" cm="1">
        <f t="array" aca="1" ref="B648" ca="1">[1]!s_dq_close("HSTECH.HI",$A648,3)</f>
        <v>3395.7</v>
      </c>
      <c r="C648" cm="1">
        <f t="array" aca="1" ref="C648" ca="1">[1]!s_dq_close("HSI.HI",$A648,3)</f>
        <v>17113.36</v>
      </c>
    </row>
    <row r="649" spans="1:3">
      <c r="A649" s="23">
        <f t="shared" ca="1" si="10"/>
        <v>45517</v>
      </c>
      <c r="B649" cm="1">
        <f t="array" aca="1" ref="B649" ca="1">[1]!s_dq_close("HSTECH.HI",$A649,3)</f>
        <v>3429.69</v>
      </c>
      <c r="C649" cm="1">
        <f t="array" aca="1" ref="C649" ca="1">[1]!s_dq_close("HSI.HI",$A649,3)</f>
        <v>17174.060000000001</v>
      </c>
    </row>
    <row r="650" spans="1:3">
      <c r="A650" s="23">
        <f t="shared" ca="1" si="10"/>
        <v>45516</v>
      </c>
      <c r="B650" cm="1">
        <f t="array" aca="1" ref="B650" ca="1">[1]!s_dq_close("HSTECH.HI",$A650,3)</f>
        <v>3429.84</v>
      </c>
      <c r="C650" cm="1">
        <f t="array" aca="1" ref="C650" ca="1">[1]!s_dq_close("HSI.HI",$A650,3)</f>
        <v>17111.650000000001</v>
      </c>
    </row>
    <row r="651" spans="1:3">
      <c r="A651" s="23">
        <f t="shared" ca="1" si="10"/>
        <v>45515</v>
      </c>
      <c r="B651" cm="1">
        <f t="array" aca="1" ref="B651" ca="1">[1]!s_dq_close("HSTECH.HI",$A651,3)</f>
        <v>3436.8</v>
      </c>
      <c r="C651" cm="1">
        <f t="array" aca="1" ref="C651" ca="1">[1]!s_dq_close("HSI.HI",$A651,3)</f>
        <v>17090.23</v>
      </c>
    </row>
    <row r="652" spans="1:3">
      <c r="A652" s="23">
        <f t="shared" ca="1" si="10"/>
        <v>45514</v>
      </c>
      <c r="B652" cm="1">
        <f t="array" aca="1" ref="B652" ca="1">[1]!s_dq_close("HSTECH.HI",$A652,3)</f>
        <v>3436.8</v>
      </c>
      <c r="C652" cm="1">
        <f t="array" aca="1" ref="C652" ca="1">[1]!s_dq_close("HSI.HI",$A652,3)</f>
        <v>17090.23</v>
      </c>
    </row>
    <row r="653" spans="1:3">
      <c r="A653" s="23">
        <f t="shared" ca="1" si="10"/>
        <v>45513</v>
      </c>
      <c r="B653" cm="1">
        <f t="array" aca="1" ref="B653" ca="1">[1]!s_dq_close("HSTECH.HI",$A653,3)</f>
        <v>3436.8</v>
      </c>
      <c r="C653" cm="1">
        <f t="array" aca="1" ref="C653" ca="1">[1]!s_dq_close("HSI.HI",$A653,3)</f>
        <v>17090.23</v>
      </c>
    </row>
    <row r="654" spans="1:3">
      <c r="A654" s="23">
        <f t="shared" ca="1" si="10"/>
        <v>45512</v>
      </c>
      <c r="B654" cm="1">
        <f t="array" aca="1" ref="B654" ca="1">[1]!s_dq_close("HSTECH.HI",$A654,3)</f>
        <v>3366.68</v>
      </c>
      <c r="C654" cm="1">
        <f t="array" aca="1" ref="C654" ca="1">[1]!s_dq_close("HSI.HI",$A654,3)</f>
        <v>16891.830000000002</v>
      </c>
    </row>
    <row r="655" spans="1:3">
      <c r="A655" s="23">
        <f t="shared" ca="1" si="10"/>
        <v>45511</v>
      </c>
      <c r="B655" cm="1">
        <f t="array" aca="1" ref="B655" ca="1">[1]!s_dq_close("HSTECH.HI",$A655,3)</f>
        <v>3382.42</v>
      </c>
      <c r="C655" cm="1">
        <f t="array" aca="1" ref="C655" ca="1">[1]!s_dq_close("HSI.HI",$A655,3)</f>
        <v>16877.86</v>
      </c>
    </row>
    <row r="656" spans="1:3">
      <c r="A656" s="23">
        <f t="shared" ca="1" si="10"/>
        <v>45510</v>
      </c>
      <c r="B656" cm="1">
        <f t="array" aca="1" ref="B656" ca="1">[1]!s_dq_close("HSTECH.HI",$A656,3)</f>
        <v>3342.52</v>
      </c>
      <c r="C656" cm="1">
        <f t="array" aca="1" ref="C656" ca="1">[1]!s_dq_close("HSI.HI",$A656,3)</f>
        <v>16647.34</v>
      </c>
    </row>
    <row r="657" spans="1:3">
      <c r="A657" s="23">
        <f t="shared" ca="1" si="10"/>
        <v>45509</v>
      </c>
      <c r="B657" cm="1">
        <f t="array" aca="1" ref="B657" ca="1">[1]!s_dq_close("HSTECH.HI",$A657,3)</f>
        <v>3339.42</v>
      </c>
      <c r="C657" cm="1">
        <f t="array" aca="1" ref="C657" ca="1">[1]!s_dq_close("HSI.HI",$A657,3)</f>
        <v>16698.36</v>
      </c>
    </row>
    <row r="658" spans="1:3">
      <c r="A658" s="23">
        <f t="shared" ca="1" si="10"/>
        <v>45508</v>
      </c>
      <c r="B658" cm="1">
        <f t="array" aca="1" ref="B658" ca="1">[1]!s_dq_close("HSTECH.HI",$A658,3)</f>
        <v>3385.6</v>
      </c>
      <c r="C658" cm="1">
        <f t="array" aca="1" ref="C658" ca="1">[1]!s_dq_close("HSI.HI",$A658,3)</f>
        <v>16945.509999999998</v>
      </c>
    </row>
    <row r="659" spans="1:3">
      <c r="A659" s="23">
        <f t="shared" ca="1" si="10"/>
        <v>45507</v>
      </c>
      <c r="B659" cm="1">
        <f t="array" aca="1" ref="B659" ca="1">[1]!s_dq_close("HSTECH.HI",$A659,3)</f>
        <v>3385.6</v>
      </c>
      <c r="C659" cm="1">
        <f t="array" aca="1" ref="C659" ca="1">[1]!s_dq_close("HSI.HI",$A659,3)</f>
        <v>16945.509999999998</v>
      </c>
    </row>
    <row r="660" spans="1:3">
      <c r="A660" s="23">
        <f t="shared" ca="1" si="10"/>
        <v>45506</v>
      </c>
      <c r="B660" cm="1">
        <f t="array" aca="1" ref="B660" ca="1">[1]!s_dq_close("HSTECH.HI",$A660,3)</f>
        <v>3385.6</v>
      </c>
      <c r="C660" cm="1">
        <f t="array" aca="1" ref="C660" ca="1">[1]!s_dq_close("HSI.HI",$A660,3)</f>
        <v>16945.509999999998</v>
      </c>
    </row>
    <row r="661" spans="1:3">
      <c r="A661" s="23">
        <f t="shared" ca="1" si="10"/>
        <v>45505</v>
      </c>
      <c r="B661" cm="1">
        <f t="array" aca="1" ref="B661" ca="1">[1]!s_dq_close("HSTECH.HI",$A661,3)</f>
        <v>3476.58</v>
      </c>
      <c r="C661" cm="1">
        <f t="array" aca="1" ref="C661" ca="1">[1]!s_dq_close("HSI.HI",$A661,3)</f>
        <v>17304.96</v>
      </c>
    </row>
    <row r="662" spans="1:3">
      <c r="A662" s="23">
        <f t="shared" ca="1" si="10"/>
        <v>45504</v>
      </c>
      <c r="B662" cm="1">
        <f t="array" aca="1" ref="B662" ca="1">[1]!s_dq_close("HSTECH.HI",$A662,3)</f>
        <v>3516.87</v>
      </c>
      <c r="C662" cm="1">
        <f t="array" aca="1" ref="C662" ca="1">[1]!s_dq_close("HSI.HI",$A662,3)</f>
        <v>17344.599999999999</v>
      </c>
    </row>
    <row r="663" spans="1:3">
      <c r="A663" s="23">
        <f t="shared" ca="1" si="10"/>
        <v>45503</v>
      </c>
      <c r="B663" cm="1">
        <f t="array" aca="1" ref="B663" ca="1">[1]!s_dq_close("HSTECH.HI",$A663,3)</f>
        <v>3414.04</v>
      </c>
      <c r="C663" cm="1">
        <f t="array" aca="1" ref="C663" ca="1">[1]!s_dq_close("HSI.HI",$A663,3)</f>
        <v>17002.91</v>
      </c>
    </row>
    <row r="664" spans="1:3">
      <c r="A664" s="23">
        <f t="shared" ca="1" si="10"/>
        <v>45502</v>
      </c>
      <c r="B664" cm="1">
        <f t="array" aca="1" ref="B664" ca="1">[1]!s_dq_close("HSTECH.HI",$A664,3)</f>
        <v>3466.6</v>
      </c>
      <c r="C664" cm="1">
        <f t="array" aca="1" ref="C664" ca="1">[1]!s_dq_close("HSI.HI",$A664,3)</f>
        <v>17238.34</v>
      </c>
    </row>
    <row r="665" spans="1:3">
      <c r="A665" s="23">
        <f t="shared" ca="1" si="10"/>
        <v>45501</v>
      </c>
      <c r="B665" cm="1">
        <f t="array" aca="1" ref="B665" ca="1">[1]!s_dq_close("HSTECH.HI",$A665,3)</f>
        <v>3443.73</v>
      </c>
      <c r="C665" cm="1">
        <f t="array" aca="1" ref="C665" ca="1">[1]!s_dq_close("HSI.HI",$A665,3)</f>
        <v>17021.310000000001</v>
      </c>
    </row>
    <row r="666" spans="1:3">
      <c r="A666" s="23">
        <f t="shared" ca="1" si="10"/>
        <v>45500</v>
      </c>
      <c r="B666" cm="1">
        <f t="array" aca="1" ref="B666" ca="1">[1]!s_dq_close("HSTECH.HI",$A666,3)</f>
        <v>3443.73</v>
      </c>
      <c r="C666" cm="1">
        <f t="array" aca="1" ref="C666" ca="1">[1]!s_dq_close("HSI.HI",$A666,3)</f>
        <v>17021.310000000001</v>
      </c>
    </row>
    <row r="667" spans="1:3">
      <c r="A667" s="23">
        <f t="shared" ca="1" si="10"/>
        <v>45499</v>
      </c>
      <c r="B667" cm="1">
        <f t="array" aca="1" ref="B667" ca="1">[1]!s_dq_close("HSTECH.HI",$A667,3)</f>
        <v>3443.73</v>
      </c>
      <c r="C667" cm="1">
        <f t="array" aca="1" ref="C667" ca="1">[1]!s_dq_close("HSI.HI",$A667,3)</f>
        <v>17021.310000000001</v>
      </c>
    </row>
    <row r="668" spans="1:3">
      <c r="A668" s="23">
        <f t="shared" ca="1" si="10"/>
        <v>45498</v>
      </c>
      <c r="B668" cm="1">
        <f t="array" aca="1" ref="B668" ca="1">[1]!s_dq_close("HSTECH.HI",$A668,3)</f>
        <v>3421.26</v>
      </c>
      <c r="C668" cm="1">
        <f t="array" aca="1" ref="C668" ca="1">[1]!s_dq_close("HSI.HI",$A668,3)</f>
        <v>17004.97</v>
      </c>
    </row>
    <row r="669" spans="1:3">
      <c r="A669" s="23">
        <f t="shared" ca="1" si="10"/>
        <v>45497</v>
      </c>
      <c r="B669" cm="1">
        <f t="array" aca="1" ref="B669" ca="1">[1]!s_dq_close("HSTECH.HI",$A669,3)</f>
        <v>3491.2</v>
      </c>
      <c r="C669" cm="1">
        <f t="array" aca="1" ref="C669" ca="1">[1]!s_dq_close("HSI.HI",$A669,3)</f>
        <v>17311.05</v>
      </c>
    </row>
    <row r="670" spans="1:3">
      <c r="A670" s="23">
        <f t="shared" ca="1" si="10"/>
        <v>45496</v>
      </c>
      <c r="B670" cm="1">
        <f t="array" aca="1" ref="B670" ca="1">[1]!s_dq_close("HSTECH.HI",$A670,3)</f>
        <v>3545.09</v>
      </c>
      <c r="C670" cm="1">
        <f t="array" aca="1" ref="C670" ca="1">[1]!s_dq_close("HSI.HI",$A670,3)</f>
        <v>17469.36</v>
      </c>
    </row>
    <row r="671" spans="1:3">
      <c r="A671" s="23">
        <f t="shared" ca="1" si="10"/>
        <v>45495</v>
      </c>
      <c r="B671" cm="1">
        <f t="array" aca="1" ref="B671" ca="1">[1]!s_dq_close("HSTECH.HI",$A671,3)</f>
        <v>3610.71</v>
      </c>
      <c r="C671" cm="1">
        <f t="array" aca="1" ref="C671" ca="1">[1]!s_dq_close("HSI.HI",$A671,3)</f>
        <v>17635.88</v>
      </c>
    </row>
    <row r="672" spans="1:3">
      <c r="A672" s="23">
        <f t="shared" ca="1" si="10"/>
        <v>45494</v>
      </c>
      <c r="B672" cm="1">
        <f t="array" aca="1" ref="B672" ca="1">[1]!s_dq_close("HSTECH.HI",$A672,3)</f>
        <v>3536.54</v>
      </c>
      <c r="C672" cm="1">
        <f t="array" aca="1" ref="C672" ca="1">[1]!s_dq_close("HSI.HI",$A672,3)</f>
        <v>17417.68</v>
      </c>
    </row>
    <row r="673" spans="1:3">
      <c r="A673" s="23">
        <f t="shared" ca="1" si="10"/>
        <v>45493</v>
      </c>
      <c r="B673" cm="1">
        <f t="array" aca="1" ref="B673" ca="1">[1]!s_dq_close("HSTECH.HI",$A673,3)</f>
        <v>3536.54</v>
      </c>
      <c r="C673" cm="1">
        <f t="array" aca="1" ref="C673" ca="1">[1]!s_dq_close("HSI.HI",$A673,3)</f>
        <v>17417.68</v>
      </c>
    </row>
    <row r="674" spans="1:3">
      <c r="A674" s="23">
        <f t="shared" ca="1" si="10"/>
        <v>45492</v>
      </c>
      <c r="B674" cm="1">
        <f t="array" aca="1" ref="B674" ca="1">[1]!s_dq_close("HSTECH.HI",$A674,3)</f>
        <v>3536.54</v>
      </c>
      <c r="C674" cm="1">
        <f t="array" aca="1" ref="C674" ca="1">[1]!s_dq_close("HSI.HI",$A674,3)</f>
        <v>17417.68</v>
      </c>
    </row>
    <row r="675" spans="1:3">
      <c r="A675" s="23">
        <f t="shared" ca="1" si="10"/>
        <v>45491</v>
      </c>
      <c r="B675" cm="1">
        <f t="array" aca="1" ref="B675" ca="1">[1]!s_dq_close("HSTECH.HI",$A675,3)</f>
        <v>3613.13</v>
      </c>
      <c r="C675" cm="1">
        <f t="array" aca="1" ref="C675" ca="1">[1]!s_dq_close("HSI.HI",$A675,3)</f>
        <v>17778.41</v>
      </c>
    </row>
    <row r="676" spans="1:3">
      <c r="A676" s="23">
        <f t="shared" ca="1" si="10"/>
        <v>45490</v>
      </c>
      <c r="B676" cm="1">
        <f t="array" aca="1" ref="B676" ca="1">[1]!s_dq_close("HSTECH.HI",$A676,3)</f>
        <v>3640.88</v>
      </c>
      <c r="C676" cm="1">
        <f t="array" aca="1" ref="C676" ca="1">[1]!s_dq_close("HSI.HI",$A676,3)</f>
        <v>17739.41</v>
      </c>
    </row>
    <row r="677" spans="1:3">
      <c r="A677" s="23">
        <f t="shared" ca="1" si="10"/>
        <v>45489</v>
      </c>
      <c r="B677" cm="1">
        <f t="array" aca="1" ref="B677" ca="1">[1]!s_dq_close("HSTECH.HI",$A677,3)</f>
        <v>3622.84</v>
      </c>
      <c r="C677" cm="1">
        <f t="array" aca="1" ref="C677" ca="1">[1]!s_dq_close("HSI.HI",$A677,3)</f>
        <v>17727.98</v>
      </c>
    </row>
    <row r="678" spans="1:3">
      <c r="A678" s="23">
        <f t="shared" ca="1" si="10"/>
        <v>45488</v>
      </c>
      <c r="B678" cm="1">
        <f t="array" aca="1" ref="B678" ca="1">[1]!s_dq_close("HSTECH.HI",$A678,3)</f>
        <v>3672.58</v>
      </c>
      <c r="C678" cm="1">
        <f t="array" aca="1" ref="C678" ca="1">[1]!s_dq_close("HSI.HI",$A678,3)</f>
        <v>18015.939999999999</v>
      </c>
    </row>
    <row r="679" spans="1:3">
      <c r="A679" s="23">
        <f t="shared" ca="1" si="10"/>
        <v>45487</v>
      </c>
      <c r="B679" cm="1">
        <f t="array" aca="1" ref="B679" ca="1">[1]!s_dq_close("HSTECH.HI",$A679,3)</f>
        <v>3782.08</v>
      </c>
      <c r="C679" cm="1">
        <f t="array" aca="1" ref="C679" ca="1">[1]!s_dq_close("HSI.HI",$A679,3)</f>
        <v>18293.38</v>
      </c>
    </row>
    <row r="680" spans="1:3">
      <c r="A680" s="23">
        <f t="shared" ca="1" si="10"/>
        <v>45486</v>
      </c>
      <c r="B680" cm="1">
        <f t="array" aca="1" ref="B680" ca="1">[1]!s_dq_close("HSTECH.HI",$A680,3)</f>
        <v>3782.08</v>
      </c>
      <c r="C680" cm="1">
        <f t="array" aca="1" ref="C680" ca="1">[1]!s_dq_close("HSI.HI",$A680,3)</f>
        <v>18293.38</v>
      </c>
    </row>
    <row r="681" spans="1:3">
      <c r="A681" s="23">
        <f t="shared" ca="1" si="10"/>
        <v>45485</v>
      </c>
      <c r="B681" cm="1">
        <f t="array" aca="1" ref="B681" ca="1">[1]!s_dq_close("HSTECH.HI",$A681,3)</f>
        <v>3782.08</v>
      </c>
      <c r="C681" cm="1">
        <f t="array" aca="1" ref="C681" ca="1">[1]!s_dq_close("HSI.HI",$A681,3)</f>
        <v>18293.38</v>
      </c>
    </row>
    <row r="682" spans="1:3">
      <c r="A682" s="23">
        <f t="shared" ca="1" si="10"/>
        <v>45484</v>
      </c>
      <c r="B682" cm="1">
        <f t="array" aca="1" ref="B682" ca="1">[1]!s_dq_close("HSTECH.HI",$A682,3)</f>
        <v>3696.49</v>
      </c>
      <c r="C682" cm="1">
        <f t="array" aca="1" ref="C682" ca="1">[1]!s_dq_close("HSI.HI",$A682,3)</f>
        <v>17832.330000000002</v>
      </c>
    </row>
    <row r="683" spans="1:3">
      <c r="A683" s="23">
        <f t="shared" ca="1" si="10"/>
        <v>45483</v>
      </c>
      <c r="B683" cm="1">
        <f t="array" aca="1" ref="B683" ca="1">[1]!s_dq_close("HSTECH.HI",$A683,3)</f>
        <v>3600.49</v>
      </c>
      <c r="C683" cm="1">
        <f t="array" aca="1" ref="C683" ca="1">[1]!s_dq_close("HSI.HI",$A683,3)</f>
        <v>17471.669999999998</v>
      </c>
    </row>
    <row r="684" spans="1:3">
      <c r="A684" s="23">
        <f t="shared" ca="1" si="10"/>
        <v>45482</v>
      </c>
      <c r="B684" cm="1">
        <f t="array" aca="1" ref="B684" ca="1">[1]!s_dq_close("HSTECH.HI",$A684,3)</f>
        <v>3600.9</v>
      </c>
      <c r="C684" cm="1">
        <f t="array" aca="1" ref="C684" ca="1">[1]!s_dq_close("HSI.HI",$A684,3)</f>
        <v>17523.23</v>
      </c>
    </row>
    <row r="685" spans="1:3">
      <c r="A685" s="23">
        <f t="shared" ca="1" si="10"/>
        <v>45481</v>
      </c>
      <c r="B685" cm="1">
        <f t="array" aca="1" ref="B685" ca="1">[1]!s_dq_close("HSTECH.HI",$A685,3)</f>
        <v>3566.63</v>
      </c>
      <c r="C685" cm="1">
        <f t="array" aca="1" ref="C685" ca="1">[1]!s_dq_close("HSI.HI",$A685,3)</f>
        <v>17524.060000000001</v>
      </c>
    </row>
    <row r="686" spans="1:3">
      <c r="A686" s="23">
        <f t="shared" ca="1" si="10"/>
        <v>45480</v>
      </c>
      <c r="B686" cm="1">
        <f t="array" aca="1" ref="B686" ca="1">[1]!s_dq_close("HSTECH.HI",$A686,3)</f>
        <v>3596.8</v>
      </c>
      <c r="C686" cm="1">
        <f t="array" aca="1" ref="C686" ca="1">[1]!s_dq_close("HSI.HI",$A686,3)</f>
        <v>17799.61</v>
      </c>
    </row>
    <row r="687" spans="1:3">
      <c r="A687" s="23">
        <f t="shared" ca="1" si="10"/>
        <v>45479</v>
      </c>
      <c r="B687" cm="1">
        <f t="array" aca="1" ref="B687" ca="1">[1]!s_dq_close("HSTECH.HI",$A687,3)</f>
        <v>3596.8</v>
      </c>
      <c r="C687" cm="1">
        <f t="array" aca="1" ref="C687" ca="1">[1]!s_dq_close("HSI.HI",$A687,3)</f>
        <v>17799.61</v>
      </c>
    </row>
    <row r="688" spans="1:3">
      <c r="A688" s="23">
        <f t="shared" ca="1" si="10"/>
        <v>45478</v>
      </c>
      <c r="B688" cm="1">
        <f t="array" aca="1" ref="B688" ca="1">[1]!s_dq_close("HSTECH.HI",$A688,3)</f>
        <v>3596.8</v>
      </c>
      <c r="C688" cm="1">
        <f t="array" aca="1" ref="C688" ca="1">[1]!s_dq_close("HSI.HI",$A688,3)</f>
        <v>17799.61</v>
      </c>
    </row>
    <row r="689" spans="1:3">
      <c r="A689" s="23">
        <f t="shared" ca="1" si="10"/>
        <v>45477</v>
      </c>
      <c r="B689" cm="1">
        <f t="array" aca="1" ref="B689" ca="1">[1]!s_dq_close("HSTECH.HI",$A689,3)</f>
        <v>3649.67</v>
      </c>
      <c r="C689" cm="1">
        <f t="array" aca="1" ref="C689" ca="1">[1]!s_dq_close("HSI.HI",$A689,3)</f>
        <v>18028.28</v>
      </c>
    </row>
    <row r="690" spans="1:3">
      <c r="A690" s="23">
        <f t="shared" ca="1" si="10"/>
        <v>45476</v>
      </c>
      <c r="B690" cm="1">
        <f t="array" aca="1" ref="B690" ca="1">[1]!s_dq_close("HSTECH.HI",$A690,3)</f>
        <v>3626.93</v>
      </c>
      <c r="C690" cm="1">
        <f t="array" aca="1" ref="C690" ca="1">[1]!s_dq_close("HSI.HI",$A690,3)</f>
        <v>17978.57</v>
      </c>
    </row>
    <row r="691" spans="1:3">
      <c r="A691" s="23">
        <f t="shared" ca="1" si="10"/>
        <v>45475</v>
      </c>
      <c r="B691" cm="1">
        <f t="array" aca="1" ref="B691" ca="1">[1]!s_dq_close("HSTECH.HI",$A691,3)</f>
        <v>3539.13</v>
      </c>
      <c r="C691" cm="1">
        <f t="array" aca="1" ref="C691" ca="1">[1]!s_dq_close("HSI.HI",$A691,3)</f>
        <v>17769.14</v>
      </c>
    </row>
    <row r="692" spans="1:3">
      <c r="A692" s="23">
        <f t="shared" ca="1" si="10"/>
        <v>45474</v>
      </c>
      <c r="B692" cm="1">
        <f t="array" aca="1" ref="B692" ca="1">[1]!s_dq_close("HSTECH.HI",$A692,3)</f>
        <v>3554.45</v>
      </c>
      <c r="C692" cm="1">
        <f t="array" aca="1" ref="C692" ca="1">[1]!s_dq_close("HSI.HI",$A692,3)</f>
        <v>17718.61</v>
      </c>
    </row>
    <row r="693" spans="1:3">
      <c r="A693" s="23">
        <f t="shared" ca="1" si="10"/>
        <v>45473</v>
      </c>
      <c r="B693" cm="1">
        <f t="array" aca="1" ref="B693" ca="1">[1]!s_dq_close("HSTECH.HI",$A693,3)</f>
        <v>3554.45</v>
      </c>
      <c r="C693" cm="1">
        <f t="array" aca="1" ref="C693" ca="1">[1]!s_dq_close("HSI.HI",$A693,3)</f>
        <v>17718.61</v>
      </c>
    </row>
    <row r="694" spans="1:3">
      <c r="A694" s="23">
        <f t="shared" ca="1" si="10"/>
        <v>45472</v>
      </c>
      <c r="B694" cm="1">
        <f t="array" aca="1" ref="B694" ca="1">[1]!s_dq_close("HSTECH.HI",$A694,3)</f>
        <v>3554.45</v>
      </c>
      <c r="C694" cm="1">
        <f t="array" aca="1" ref="C694" ca="1">[1]!s_dq_close("HSI.HI",$A694,3)</f>
        <v>17718.61</v>
      </c>
    </row>
    <row r="695" spans="1:3">
      <c r="A695" s="23">
        <f t="shared" ca="1" si="10"/>
        <v>45471</v>
      </c>
      <c r="B695" cm="1">
        <f t="array" aca="1" ref="B695" ca="1">[1]!s_dq_close("HSTECH.HI",$A695,3)</f>
        <v>3554.45</v>
      </c>
      <c r="C695" cm="1">
        <f t="array" aca="1" ref="C695" ca="1">[1]!s_dq_close("HSI.HI",$A695,3)</f>
        <v>17718.61</v>
      </c>
    </row>
    <row r="696" spans="1:3">
      <c r="A696" s="23">
        <f t="shared" ca="1" si="10"/>
        <v>45470</v>
      </c>
      <c r="B696" cm="1">
        <f t="array" aca="1" ref="B696" ca="1">[1]!s_dq_close("HSTECH.HI",$A696,3)</f>
        <v>3588.86</v>
      </c>
      <c r="C696" cm="1">
        <f t="array" aca="1" ref="C696" ca="1">[1]!s_dq_close("HSI.HI",$A696,3)</f>
        <v>17716.47</v>
      </c>
    </row>
    <row r="697" spans="1:3">
      <c r="A697" s="23">
        <f t="shared" ca="1" si="10"/>
        <v>45469</v>
      </c>
      <c r="B697" cm="1">
        <f t="array" aca="1" ref="B697" ca="1">[1]!s_dq_close("HSTECH.HI",$A697,3)</f>
        <v>3689.68</v>
      </c>
      <c r="C697" cm="1">
        <f t="array" aca="1" ref="C697" ca="1">[1]!s_dq_close("HSI.HI",$A697,3)</f>
        <v>18089.93</v>
      </c>
    </row>
    <row r="698" spans="1:3">
      <c r="A698" s="23">
        <f t="shared" ca="1" si="10"/>
        <v>45468</v>
      </c>
      <c r="B698" cm="1">
        <f t="array" aca="1" ref="B698" ca="1">[1]!s_dq_close("HSTECH.HI",$A698,3)</f>
        <v>3655.46</v>
      </c>
      <c r="C698" cm="1">
        <f t="array" aca="1" ref="C698" ca="1">[1]!s_dq_close("HSI.HI",$A698,3)</f>
        <v>18072.900000000001</v>
      </c>
    </row>
    <row r="699" spans="1:3">
      <c r="A699" s="23">
        <f t="shared" ca="1" si="10"/>
        <v>45467</v>
      </c>
      <c r="B699" cm="1">
        <f t="array" aca="1" ref="B699" ca="1">[1]!s_dq_close("HSTECH.HI",$A699,3)</f>
        <v>3677.51</v>
      </c>
      <c r="C699" cm="1">
        <f t="array" aca="1" ref="C699" ca="1">[1]!s_dq_close("HSI.HI",$A699,3)</f>
        <v>18027.71</v>
      </c>
    </row>
    <row r="700" spans="1:3">
      <c r="A700" s="23">
        <f t="shared" ca="1" si="10"/>
        <v>45466</v>
      </c>
      <c r="B700" cm="1">
        <f t="array" aca="1" ref="B700" ca="1">[1]!s_dq_close("HSTECH.HI",$A700,3)</f>
        <v>3701.4</v>
      </c>
      <c r="C700" cm="1">
        <f t="array" aca="1" ref="C700" ca="1">[1]!s_dq_close("HSI.HI",$A700,3)</f>
        <v>18028.52</v>
      </c>
    </row>
    <row r="701" spans="1:3">
      <c r="A701" s="23">
        <f t="shared" ca="1" si="10"/>
        <v>45465</v>
      </c>
      <c r="B701" cm="1">
        <f t="array" aca="1" ref="B701" ca="1">[1]!s_dq_close("HSTECH.HI",$A701,3)</f>
        <v>3701.4</v>
      </c>
      <c r="C701" cm="1">
        <f t="array" aca="1" ref="C701" ca="1">[1]!s_dq_close("HSI.HI",$A701,3)</f>
        <v>18028.52</v>
      </c>
    </row>
    <row r="702" spans="1:3">
      <c r="A702" s="23">
        <f t="shared" ca="1" si="10"/>
        <v>45464</v>
      </c>
      <c r="B702" cm="1">
        <f t="array" aca="1" ref="B702" ca="1">[1]!s_dq_close("HSTECH.HI",$A702,3)</f>
        <v>3701.4</v>
      </c>
      <c r="C702" cm="1">
        <f t="array" aca="1" ref="C702" ca="1">[1]!s_dq_close("HSI.HI",$A702,3)</f>
        <v>18028.52</v>
      </c>
    </row>
    <row r="703" spans="1:3">
      <c r="A703" s="23">
        <f t="shared" ca="1" si="10"/>
        <v>45463</v>
      </c>
      <c r="B703" cm="1">
        <f t="array" aca="1" ref="B703" ca="1">[1]!s_dq_close("HSTECH.HI",$A703,3)</f>
        <v>3767.88</v>
      </c>
      <c r="C703" cm="1">
        <f t="array" aca="1" ref="C703" ca="1">[1]!s_dq_close("HSI.HI",$A703,3)</f>
        <v>18335.32</v>
      </c>
    </row>
    <row r="704" spans="1:3">
      <c r="A704" s="23">
        <f t="shared" ca="1" si="10"/>
        <v>45462</v>
      </c>
      <c r="B704" cm="1">
        <f t="array" aca="1" ref="B704" ca="1">[1]!s_dq_close("HSTECH.HI",$A704,3)</f>
        <v>3832.32</v>
      </c>
      <c r="C704" cm="1">
        <f t="array" aca="1" ref="C704" ca="1">[1]!s_dq_close("HSI.HI",$A704,3)</f>
        <v>18430.39</v>
      </c>
    </row>
    <row r="705" spans="1:3">
      <c r="A705" s="23">
        <f t="shared" ca="1" si="10"/>
        <v>45461</v>
      </c>
      <c r="B705" cm="1">
        <f t="array" aca="1" ref="B705" ca="1">[1]!s_dq_close("HSTECH.HI",$A705,3)</f>
        <v>3697.21</v>
      </c>
      <c r="C705" cm="1">
        <f t="array" aca="1" ref="C705" ca="1">[1]!s_dq_close("HSI.HI",$A705,3)</f>
        <v>17915.55</v>
      </c>
    </row>
    <row r="706" spans="1:3">
      <c r="A706" s="23">
        <f t="shared" ca="1" si="10"/>
        <v>45460</v>
      </c>
      <c r="B706" cm="1">
        <f t="array" aca="1" ref="B706" ca="1">[1]!s_dq_close("HSTECH.HI",$A706,3)</f>
        <v>3709.35</v>
      </c>
      <c r="C706" cm="1">
        <f t="array" aca="1" ref="C706" ca="1">[1]!s_dq_close("HSI.HI",$A706,3)</f>
        <v>17936.12</v>
      </c>
    </row>
    <row r="707" spans="1:3">
      <c r="A707" s="23">
        <f t="shared" ca="1" si="10"/>
        <v>45459</v>
      </c>
      <c r="B707" cm="1">
        <f t="array" aca="1" ref="B707" ca="1">[1]!s_dq_close("HSTECH.HI",$A707,3)</f>
        <v>3707.62</v>
      </c>
      <c r="C707" cm="1">
        <f t="array" aca="1" ref="C707" ca="1">[1]!s_dq_close("HSI.HI",$A707,3)</f>
        <v>17941.78</v>
      </c>
    </row>
    <row r="708" spans="1:3">
      <c r="A708" s="23">
        <f t="shared" ref="A708:A771" ca="1" si="11">A707-1</f>
        <v>45458</v>
      </c>
      <c r="B708" cm="1">
        <f t="array" aca="1" ref="B708" ca="1">[1]!s_dq_close("HSTECH.HI",$A708,3)</f>
        <v>3707.62</v>
      </c>
      <c r="C708" cm="1">
        <f t="array" aca="1" ref="C708" ca="1">[1]!s_dq_close("HSI.HI",$A708,3)</f>
        <v>17941.78</v>
      </c>
    </row>
    <row r="709" spans="1:3">
      <c r="A709" s="23">
        <f t="shared" ca="1" si="11"/>
        <v>45457</v>
      </c>
      <c r="B709" cm="1">
        <f t="array" aca="1" ref="B709" ca="1">[1]!s_dq_close("HSTECH.HI",$A709,3)</f>
        <v>3707.62</v>
      </c>
      <c r="C709" cm="1">
        <f t="array" aca="1" ref="C709" ca="1">[1]!s_dq_close("HSI.HI",$A709,3)</f>
        <v>17941.78</v>
      </c>
    </row>
    <row r="710" spans="1:3">
      <c r="A710" s="23">
        <f t="shared" ca="1" si="11"/>
        <v>45456</v>
      </c>
      <c r="B710" cm="1">
        <f t="array" aca="1" ref="B710" ca="1">[1]!s_dq_close("HSTECH.HI",$A710,3)</f>
        <v>3739.14</v>
      </c>
      <c r="C710" cm="1">
        <f t="array" aca="1" ref="C710" ca="1">[1]!s_dq_close("HSI.HI",$A710,3)</f>
        <v>18112.63</v>
      </c>
    </row>
    <row r="711" spans="1:3">
      <c r="A711" s="23">
        <f t="shared" ca="1" si="11"/>
        <v>45455</v>
      </c>
      <c r="B711" cm="1">
        <f t="array" aca="1" ref="B711" ca="1">[1]!s_dq_close("HSTECH.HI",$A711,3)</f>
        <v>3691.28</v>
      </c>
      <c r="C711" cm="1">
        <f t="array" aca="1" ref="C711" ca="1">[1]!s_dq_close("HSI.HI",$A711,3)</f>
        <v>17937.84</v>
      </c>
    </row>
    <row r="712" spans="1:3">
      <c r="A712" s="23">
        <f t="shared" ca="1" si="11"/>
        <v>45454</v>
      </c>
      <c r="B712" cm="1">
        <f t="array" aca="1" ref="B712" ca="1">[1]!s_dq_close("HSTECH.HI",$A712,3)</f>
        <v>3755.42</v>
      </c>
      <c r="C712" cm="1">
        <f t="array" aca="1" ref="C712" ca="1">[1]!s_dq_close("HSI.HI",$A712,3)</f>
        <v>18176.34</v>
      </c>
    </row>
    <row r="713" spans="1:3">
      <c r="A713" s="23">
        <f t="shared" ca="1" si="11"/>
        <v>45453</v>
      </c>
      <c r="B713" cm="1">
        <f t="array" aca="1" ref="B713" ca="1">[1]!s_dq_close("HSTECH.HI",$A713,3)</f>
        <v>3772.47</v>
      </c>
      <c r="C713" cm="1">
        <f t="array" aca="1" ref="C713" ca="1">[1]!s_dq_close("HSI.HI",$A713,3)</f>
        <v>18366.95</v>
      </c>
    </row>
    <row r="714" spans="1:3">
      <c r="A714" s="23">
        <f t="shared" ca="1" si="11"/>
        <v>45452</v>
      </c>
      <c r="B714" cm="1">
        <f t="array" aca="1" ref="B714" ca="1">[1]!s_dq_close("HSTECH.HI",$A714,3)</f>
        <v>3772.47</v>
      </c>
      <c r="C714" cm="1">
        <f t="array" aca="1" ref="C714" ca="1">[1]!s_dq_close("HSI.HI",$A714,3)</f>
        <v>18366.95</v>
      </c>
    </row>
    <row r="715" spans="1:3">
      <c r="A715" s="23">
        <f t="shared" ca="1" si="11"/>
        <v>45451</v>
      </c>
      <c r="B715" cm="1">
        <f t="array" aca="1" ref="B715" ca="1">[1]!s_dq_close("HSTECH.HI",$A715,3)</f>
        <v>3772.47</v>
      </c>
      <c r="C715" cm="1">
        <f t="array" aca="1" ref="C715" ca="1">[1]!s_dq_close("HSI.HI",$A715,3)</f>
        <v>18366.95</v>
      </c>
    </row>
    <row r="716" spans="1:3">
      <c r="A716" s="23">
        <f t="shared" ca="1" si="11"/>
        <v>45450</v>
      </c>
      <c r="B716" cm="1">
        <f t="array" aca="1" ref="B716" ca="1">[1]!s_dq_close("HSTECH.HI",$A716,3)</f>
        <v>3772.47</v>
      </c>
      <c r="C716" cm="1">
        <f t="array" aca="1" ref="C716" ca="1">[1]!s_dq_close("HSI.HI",$A716,3)</f>
        <v>18366.95</v>
      </c>
    </row>
    <row r="717" spans="1:3">
      <c r="A717" s="23">
        <f t="shared" ca="1" si="11"/>
        <v>45449</v>
      </c>
      <c r="B717" cm="1">
        <f t="array" aca="1" ref="B717" ca="1">[1]!s_dq_close("HSTECH.HI",$A717,3)</f>
        <v>3840.66</v>
      </c>
      <c r="C717" cm="1">
        <f t="array" aca="1" ref="C717" ca="1">[1]!s_dq_close("HSI.HI",$A717,3)</f>
        <v>18476.8</v>
      </c>
    </row>
    <row r="718" spans="1:3">
      <c r="A718" s="23">
        <f t="shared" ca="1" si="11"/>
        <v>45448</v>
      </c>
      <c r="B718" cm="1">
        <f t="array" aca="1" ref="B718" ca="1">[1]!s_dq_close("HSTECH.HI",$A718,3)</f>
        <v>3807.73</v>
      </c>
      <c r="C718" cm="1">
        <f t="array" aca="1" ref="C718" ca="1">[1]!s_dq_close("HSI.HI",$A718,3)</f>
        <v>18424.96</v>
      </c>
    </row>
    <row r="719" spans="1:3">
      <c r="A719" s="23">
        <f t="shared" ca="1" si="11"/>
        <v>45447</v>
      </c>
      <c r="B719" cm="1">
        <f t="array" aca="1" ref="B719" ca="1">[1]!s_dq_close("HSTECH.HI",$A719,3)</f>
        <v>3796.17</v>
      </c>
      <c r="C719" cm="1">
        <f t="array" aca="1" ref="C719" ca="1">[1]!s_dq_close("HSI.HI",$A719,3)</f>
        <v>18444.11</v>
      </c>
    </row>
    <row r="720" spans="1:3">
      <c r="A720" s="23">
        <f t="shared" ca="1" si="11"/>
        <v>45446</v>
      </c>
      <c r="B720" cm="1">
        <f t="array" aca="1" ref="B720" ca="1">[1]!s_dq_close("HSTECH.HI",$A720,3)</f>
        <v>3784.04</v>
      </c>
      <c r="C720" cm="1">
        <f t="array" aca="1" ref="C720" ca="1">[1]!s_dq_close("HSI.HI",$A720,3)</f>
        <v>18403.04</v>
      </c>
    </row>
    <row r="721" spans="1:3">
      <c r="A721" s="23">
        <f t="shared" ca="1" si="11"/>
        <v>45445</v>
      </c>
      <c r="B721" cm="1">
        <f t="array" aca="1" ref="B721" ca="1">[1]!s_dq_close("HSTECH.HI",$A721,3)</f>
        <v>3690.76</v>
      </c>
      <c r="C721" cm="1">
        <f t="array" aca="1" ref="C721" ca="1">[1]!s_dq_close("HSI.HI",$A721,3)</f>
        <v>18079.61</v>
      </c>
    </row>
    <row r="722" spans="1:3">
      <c r="A722" s="23">
        <f t="shared" ca="1" si="11"/>
        <v>45444</v>
      </c>
      <c r="B722" cm="1">
        <f t="array" aca="1" ref="B722" ca="1">[1]!s_dq_close("HSTECH.HI",$A722,3)</f>
        <v>3690.76</v>
      </c>
      <c r="C722" cm="1">
        <f t="array" aca="1" ref="C722" ca="1">[1]!s_dq_close("HSI.HI",$A722,3)</f>
        <v>18079.61</v>
      </c>
    </row>
    <row r="723" spans="1:3">
      <c r="A723" s="23">
        <f t="shared" ca="1" si="11"/>
        <v>45443</v>
      </c>
      <c r="B723" cm="1">
        <f t="array" aca="1" ref="B723" ca="1">[1]!s_dq_close("HSTECH.HI",$A723,3)</f>
        <v>3690.76</v>
      </c>
      <c r="C723" cm="1">
        <f t="array" aca="1" ref="C723" ca="1">[1]!s_dq_close("HSI.HI",$A723,3)</f>
        <v>18079.61</v>
      </c>
    </row>
    <row r="724" spans="1:3">
      <c r="A724" s="23">
        <f t="shared" ca="1" si="11"/>
        <v>45442</v>
      </c>
      <c r="B724" cm="1">
        <f t="array" aca="1" ref="B724" ca="1">[1]!s_dq_close("HSTECH.HI",$A724,3)</f>
        <v>3752.76</v>
      </c>
      <c r="C724" cm="1">
        <f t="array" aca="1" ref="C724" ca="1">[1]!s_dq_close("HSI.HI",$A724,3)</f>
        <v>18230.189999999999</v>
      </c>
    </row>
    <row r="725" spans="1:3">
      <c r="A725" s="23">
        <f t="shared" ca="1" si="11"/>
        <v>45441</v>
      </c>
      <c r="B725" cm="1">
        <f t="array" aca="1" ref="B725" ca="1">[1]!s_dq_close("HSTECH.HI",$A725,3)</f>
        <v>3765.24</v>
      </c>
      <c r="C725" cm="1">
        <f t="array" aca="1" ref="C725" ca="1">[1]!s_dq_close("HSI.HI",$A725,3)</f>
        <v>18477.009999999998</v>
      </c>
    </row>
    <row r="726" spans="1:3">
      <c r="A726" s="23">
        <f t="shared" ca="1" si="11"/>
        <v>45440</v>
      </c>
      <c r="B726" cm="1">
        <f t="array" aca="1" ref="B726" ca="1">[1]!s_dq_close("HSTECH.HI",$A726,3)</f>
        <v>3854.57</v>
      </c>
      <c r="C726" cm="1">
        <f t="array" aca="1" ref="C726" ca="1">[1]!s_dq_close("HSI.HI",$A726,3)</f>
        <v>18821.16</v>
      </c>
    </row>
    <row r="727" spans="1:3">
      <c r="A727" s="23">
        <f t="shared" ca="1" si="11"/>
        <v>45439</v>
      </c>
      <c r="B727" cm="1">
        <f t="array" aca="1" ref="B727" ca="1">[1]!s_dq_close("HSTECH.HI",$A727,3)</f>
        <v>3864.48</v>
      </c>
      <c r="C727" cm="1">
        <f t="array" aca="1" ref="C727" ca="1">[1]!s_dq_close("HSI.HI",$A727,3)</f>
        <v>18827.349999999999</v>
      </c>
    </row>
    <row r="728" spans="1:3">
      <c r="A728" s="23">
        <f t="shared" ca="1" si="11"/>
        <v>45438</v>
      </c>
      <c r="B728" cm="1">
        <f t="array" aca="1" ref="B728" ca="1">[1]!s_dq_close("HSTECH.HI",$A728,3)</f>
        <v>3799.47</v>
      </c>
      <c r="C728" cm="1">
        <f t="array" aca="1" ref="C728" ca="1">[1]!s_dq_close("HSI.HI",$A728,3)</f>
        <v>18608.939999999999</v>
      </c>
    </row>
    <row r="729" spans="1:3">
      <c r="A729" s="23">
        <f t="shared" ca="1" si="11"/>
        <v>45437</v>
      </c>
      <c r="B729" cm="1">
        <f t="array" aca="1" ref="B729" ca="1">[1]!s_dq_close("HSTECH.HI",$A729,3)</f>
        <v>3799.47</v>
      </c>
      <c r="C729" cm="1">
        <f t="array" aca="1" ref="C729" ca="1">[1]!s_dq_close("HSI.HI",$A729,3)</f>
        <v>18608.939999999999</v>
      </c>
    </row>
    <row r="730" spans="1:3">
      <c r="A730" s="23">
        <f t="shared" ca="1" si="11"/>
        <v>45436</v>
      </c>
      <c r="B730" cm="1">
        <f t="array" aca="1" ref="B730" ca="1">[1]!s_dq_close("HSTECH.HI",$A730,3)</f>
        <v>3799.47</v>
      </c>
      <c r="C730" cm="1">
        <f t="array" aca="1" ref="C730" ca="1">[1]!s_dq_close("HSI.HI",$A730,3)</f>
        <v>18608.939999999999</v>
      </c>
    </row>
    <row r="731" spans="1:3">
      <c r="A731" s="23">
        <f t="shared" ca="1" si="11"/>
        <v>45435</v>
      </c>
      <c r="B731" cm="1">
        <f t="array" aca="1" ref="B731" ca="1">[1]!s_dq_close("HSTECH.HI",$A731,3)</f>
        <v>3896.19</v>
      </c>
      <c r="C731" cm="1">
        <f t="array" aca="1" ref="C731" ca="1">[1]!s_dq_close("HSI.HI",$A731,3)</f>
        <v>18868.71</v>
      </c>
    </row>
    <row r="732" spans="1:3">
      <c r="A732" s="23">
        <f t="shared" ca="1" si="11"/>
        <v>45434</v>
      </c>
      <c r="B732" cm="1">
        <f t="array" aca="1" ref="B732" ca="1">[1]!s_dq_close("HSTECH.HI",$A732,3)</f>
        <v>3992.59</v>
      </c>
      <c r="C732" cm="1">
        <f t="array" aca="1" ref="C732" ca="1">[1]!s_dq_close("HSI.HI",$A732,3)</f>
        <v>19195.599999999999</v>
      </c>
    </row>
    <row r="733" spans="1:3">
      <c r="A733" s="23">
        <f t="shared" ca="1" si="11"/>
        <v>45433</v>
      </c>
      <c r="B733" cm="1">
        <f t="array" aca="1" ref="B733" ca="1">[1]!s_dq_close("HSTECH.HI",$A733,3)</f>
        <v>3980.63</v>
      </c>
      <c r="C733" cm="1">
        <f t="array" aca="1" ref="C733" ca="1">[1]!s_dq_close("HSI.HI",$A733,3)</f>
        <v>19220.62</v>
      </c>
    </row>
    <row r="734" spans="1:3">
      <c r="A734" s="23">
        <f t="shared" ca="1" si="11"/>
        <v>45432</v>
      </c>
      <c r="B734" cm="1">
        <f t="array" aca="1" ref="B734" ca="1">[1]!s_dq_close("HSTECH.HI",$A734,3)</f>
        <v>4135.38</v>
      </c>
      <c r="C734" cm="1">
        <f t="array" aca="1" ref="C734" ca="1">[1]!s_dq_close("HSI.HI",$A734,3)</f>
        <v>19636.22</v>
      </c>
    </row>
    <row r="735" spans="1:3">
      <c r="A735" s="23">
        <f t="shared" ca="1" si="11"/>
        <v>45431</v>
      </c>
      <c r="B735" cm="1">
        <f t="array" aca="1" ref="B735" ca="1">[1]!s_dq_close("HSTECH.HI",$A735,3)</f>
        <v>4112.59</v>
      </c>
      <c r="C735" cm="1">
        <f t="array" aca="1" ref="C735" ca="1">[1]!s_dq_close("HSI.HI",$A735,3)</f>
        <v>19553.61</v>
      </c>
    </row>
    <row r="736" spans="1:3">
      <c r="A736" s="23">
        <f t="shared" ca="1" si="11"/>
        <v>45430</v>
      </c>
      <c r="B736" cm="1">
        <f t="array" aca="1" ref="B736" ca="1">[1]!s_dq_close("HSTECH.HI",$A736,3)</f>
        <v>4112.59</v>
      </c>
      <c r="C736" cm="1">
        <f t="array" aca="1" ref="C736" ca="1">[1]!s_dq_close("HSI.HI",$A736,3)</f>
        <v>19553.61</v>
      </c>
    </row>
    <row r="737" spans="1:3">
      <c r="A737" s="23">
        <f t="shared" ca="1" si="11"/>
        <v>45429</v>
      </c>
      <c r="B737" cm="1">
        <f t="array" aca="1" ref="B737" ca="1">[1]!s_dq_close("HSTECH.HI",$A737,3)</f>
        <v>4112.59</v>
      </c>
      <c r="C737" cm="1">
        <f t="array" aca="1" ref="C737" ca="1">[1]!s_dq_close("HSI.HI",$A737,3)</f>
        <v>19553.61</v>
      </c>
    </row>
    <row r="738" spans="1:3">
      <c r="A738" s="23">
        <f t="shared" ca="1" si="11"/>
        <v>45428</v>
      </c>
      <c r="B738" cm="1">
        <f t="array" aca="1" ref="B738" ca="1">[1]!s_dq_close("HSTECH.HI",$A738,3)</f>
        <v>4072.15</v>
      </c>
      <c r="C738" cm="1">
        <f t="array" aca="1" ref="C738" ca="1">[1]!s_dq_close("HSI.HI",$A738,3)</f>
        <v>19376.53</v>
      </c>
    </row>
    <row r="739" spans="1:3">
      <c r="A739" s="23">
        <f t="shared" ca="1" si="11"/>
        <v>45427</v>
      </c>
      <c r="B739" cm="1">
        <f t="array" aca="1" ref="B739" ca="1">[1]!s_dq_close("HSTECH.HI",$A739,3)</f>
        <v>4041.45</v>
      </c>
      <c r="C739" cm="1">
        <f t="array" aca="1" ref="C739" ca="1">[1]!s_dq_close("HSI.HI",$A739,3)</f>
        <v>19073.71</v>
      </c>
    </row>
    <row r="740" spans="1:3">
      <c r="A740" s="23">
        <f t="shared" ca="1" si="11"/>
        <v>45426</v>
      </c>
      <c r="B740" cm="1">
        <f t="array" aca="1" ref="B740" ca="1">[1]!s_dq_close("HSTECH.HI",$A740,3)</f>
        <v>4041.45</v>
      </c>
      <c r="C740" cm="1">
        <f t="array" aca="1" ref="C740" ca="1">[1]!s_dq_close("HSI.HI",$A740,3)</f>
        <v>19073.71</v>
      </c>
    </row>
    <row r="741" spans="1:3">
      <c r="A741" s="23">
        <f t="shared" ca="1" si="11"/>
        <v>45425</v>
      </c>
      <c r="B741" cm="1">
        <f t="array" aca="1" ref="B741" ca="1">[1]!s_dq_close("HSTECH.HI",$A741,3)</f>
        <v>4018.69</v>
      </c>
      <c r="C741" cm="1">
        <f t="array" aca="1" ref="C741" ca="1">[1]!s_dq_close("HSI.HI",$A741,3)</f>
        <v>19115.060000000001</v>
      </c>
    </row>
    <row r="742" spans="1:3">
      <c r="A742" s="23">
        <f t="shared" ca="1" si="11"/>
        <v>45424</v>
      </c>
      <c r="B742" cm="1">
        <f t="array" aca="1" ref="B742" ca="1">[1]!s_dq_close("HSTECH.HI",$A742,3)</f>
        <v>3962.32</v>
      </c>
      <c r="C742" cm="1">
        <f t="array" aca="1" ref="C742" ca="1">[1]!s_dq_close("HSI.HI",$A742,3)</f>
        <v>18963.68</v>
      </c>
    </row>
    <row r="743" spans="1:3">
      <c r="A743" s="23">
        <f t="shared" ca="1" si="11"/>
        <v>45423</v>
      </c>
      <c r="B743" cm="1">
        <f t="array" aca="1" ref="B743" ca="1">[1]!s_dq_close("HSTECH.HI",$A743,3)</f>
        <v>3962.32</v>
      </c>
      <c r="C743" cm="1">
        <f t="array" aca="1" ref="C743" ca="1">[1]!s_dq_close("HSI.HI",$A743,3)</f>
        <v>18963.68</v>
      </c>
    </row>
    <row r="744" spans="1:3">
      <c r="A744" s="23">
        <f t="shared" ca="1" si="11"/>
        <v>45422</v>
      </c>
      <c r="B744" cm="1">
        <f t="array" aca="1" ref="B744" ca="1">[1]!s_dq_close("HSTECH.HI",$A744,3)</f>
        <v>3962.32</v>
      </c>
      <c r="C744" cm="1">
        <f t="array" aca="1" ref="C744" ca="1">[1]!s_dq_close("HSI.HI",$A744,3)</f>
        <v>18963.68</v>
      </c>
    </row>
    <row r="745" spans="1:3">
      <c r="A745" s="23">
        <f t="shared" ca="1" si="11"/>
        <v>45421</v>
      </c>
      <c r="B745" cm="1">
        <f t="array" aca="1" ref="B745" ca="1">[1]!s_dq_close("HSTECH.HI",$A745,3)</f>
        <v>3947.41</v>
      </c>
      <c r="C745" cm="1">
        <f t="array" aca="1" ref="C745" ca="1">[1]!s_dq_close("HSI.HI",$A745,3)</f>
        <v>18537.810000000001</v>
      </c>
    </row>
    <row r="746" spans="1:3">
      <c r="A746" s="23">
        <f t="shared" ca="1" si="11"/>
        <v>45420</v>
      </c>
      <c r="B746" cm="1">
        <f t="array" aca="1" ref="B746" ca="1">[1]!s_dq_close("HSTECH.HI",$A746,3)</f>
        <v>3872.01</v>
      </c>
      <c r="C746" cm="1">
        <f t="array" aca="1" ref="C746" ca="1">[1]!s_dq_close("HSI.HI",$A746,3)</f>
        <v>18313.86</v>
      </c>
    </row>
    <row r="747" spans="1:3">
      <c r="A747" s="23">
        <f t="shared" ca="1" si="11"/>
        <v>45419</v>
      </c>
      <c r="B747" cm="1">
        <f t="array" aca="1" ref="B747" ca="1">[1]!s_dq_close("HSTECH.HI",$A747,3)</f>
        <v>3922.54</v>
      </c>
      <c r="C747" cm="1">
        <f t="array" aca="1" ref="C747" ca="1">[1]!s_dq_close("HSI.HI",$A747,3)</f>
        <v>18479.37</v>
      </c>
    </row>
    <row r="748" spans="1:3">
      <c r="A748" s="23">
        <f t="shared" ca="1" si="11"/>
        <v>45418</v>
      </c>
      <c r="B748" cm="1">
        <f t="array" aca="1" ref="B748" ca="1">[1]!s_dq_close("HSTECH.HI",$A748,3)</f>
        <v>4007.78</v>
      </c>
      <c r="C748" cm="1">
        <f t="array" aca="1" ref="C748" ca="1">[1]!s_dq_close("HSI.HI",$A748,3)</f>
        <v>18578.3</v>
      </c>
    </row>
    <row r="749" spans="1:3">
      <c r="A749" s="23">
        <f t="shared" ca="1" si="11"/>
        <v>45417</v>
      </c>
      <c r="B749" cm="1">
        <f t="array" aca="1" ref="B749" ca="1">[1]!s_dq_close("HSTECH.HI",$A749,3)</f>
        <v>3971.29</v>
      </c>
      <c r="C749" cm="1">
        <f t="array" aca="1" ref="C749" ca="1">[1]!s_dq_close("HSI.HI",$A749,3)</f>
        <v>18475.919999999998</v>
      </c>
    </row>
    <row r="750" spans="1:3">
      <c r="A750" s="23">
        <f t="shared" ca="1" si="11"/>
        <v>45416</v>
      </c>
      <c r="B750" cm="1">
        <f t="array" aca="1" ref="B750" ca="1">[1]!s_dq_close("HSTECH.HI",$A750,3)</f>
        <v>3971.29</v>
      </c>
      <c r="C750" cm="1">
        <f t="array" aca="1" ref="C750" ca="1">[1]!s_dq_close("HSI.HI",$A750,3)</f>
        <v>18475.919999999998</v>
      </c>
    </row>
    <row r="751" spans="1:3">
      <c r="A751" s="23">
        <f t="shared" ca="1" si="11"/>
        <v>45415</v>
      </c>
      <c r="B751" cm="1">
        <f t="array" aca="1" ref="B751" ca="1">[1]!s_dq_close("HSTECH.HI",$A751,3)</f>
        <v>3971.29</v>
      </c>
      <c r="C751" cm="1">
        <f t="array" aca="1" ref="C751" ca="1">[1]!s_dq_close("HSI.HI",$A751,3)</f>
        <v>18475.919999999998</v>
      </c>
    </row>
    <row r="752" spans="1:3">
      <c r="A752" s="23">
        <f t="shared" ca="1" si="11"/>
        <v>45414</v>
      </c>
      <c r="B752" cm="1">
        <f t="array" aca="1" ref="B752" ca="1">[1]!s_dq_close("HSTECH.HI",$A752,3)</f>
        <v>3865.48</v>
      </c>
      <c r="C752" cm="1">
        <f t="array" aca="1" ref="C752" ca="1">[1]!s_dq_close("HSI.HI",$A752,3)</f>
        <v>18207.13</v>
      </c>
    </row>
    <row r="753" spans="1:3">
      <c r="A753" s="23">
        <f t="shared" ca="1" si="11"/>
        <v>45413</v>
      </c>
      <c r="B753" cm="1">
        <f t="array" aca="1" ref="B753" ca="1">[1]!s_dq_close("HSTECH.HI",$A753,3)</f>
        <v>3700.67</v>
      </c>
      <c r="C753" cm="1">
        <f t="array" aca="1" ref="C753" ca="1">[1]!s_dq_close("HSI.HI",$A753,3)</f>
        <v>17763.03</v>
      </c>
    </row>
    <row r="754" spans="1:3">
      <c r="A754" s="23">
        <f t="shared" ca="1" si="11"/>
        <v>45412</v>
      </c>
      <c r="B754" cm="1">
        <f t="array" aca="1" ref="B754" ca="1">[1]!s_dq_close("HSTECH.HI",$A754,3)</f>
        <v>3700.67</v>
      </c>
      <c r="C754" cm="1">
        <f t="array" aca="1" ref="C754" ca="1">[1]!s_dq_close("HSI.HI",$A754,3)</f>
        <v>17763.03</v>
      </c>
    </row>
    <row r="755" spans="1:3">
      <c r="A755" s="23">
        <f t="shared" ca="1" si="11"/>
        <v>45411</v>
      </c>
      <c r="B755" cm="1">
        <f t="array" aca="1" ref="B755" ca="1">[1]!s_dq_close("HSTECH.HI",$A755,3)</f>
        <v>3713.32</v>
      </c>
      <c r="C755" cm="1">
        <f t="array" aca="1" ref="C755" ca="1">[1]!s_dq_close("HSI.HI",$A755,3)</f>
        <v>17746.91</v>
      </c>
    </row>
    <row r="756" spans="1:3">
      <c r="A756" s="23">
        <f t="shared" ca="1" si="11"/>
        <v>45410</v>
      </c>
      <c r="B756" cm="1">
        <f t="array" aca="1" ref="B756" ca="1">[1]!s_dq_close("HSTECH.HI",$A756,3)</f>
        <v>3718.27</v>
      </c>
      <c r="C756" cm="1">
        <f t="array" aca="1" ref="C756" ca="1">[1]!s_dq_close("HSI.HI",$A756,3)</f>
        <v>17651.150000000001</v>
      </c>
    </row>
    <row r="757" spans="1:3">
      <c r="A757" s="23">
        <f t="shared" ca="1" si="11"/>
        <v>45409</v>
      </c>
      <c r="B757" cm="1">
        <f t="array" aca="1" ref="B757" ca="1">[1]!s_dq_close("HSTECH.HI",$A757,3)</f>
        <v>3718.27</v>
      </c>
      <c r="C757" cm="1">
        <f t="array" aca="1" ref="C757" ca="1">[1]!s_dq_close("HSI.HI",$A757,3)</f>
        <v>17651.150000000001</v>
      </c>
    </row>
    <row r="758" spans="1:3">
      <c r="A758" s="23">
        <f t="shared" ca="1" si="11"/>
        <v>45408</v>
      </c>
      <c r="B758" cm="1">
        <f t="array" aca="1" ref="B758" ca="1">[1]!s_dq_close("HSTECH.HI",$A758,3)</f>
        <v>3718.27</v>
      </c>
      <c r="C758" cm="1">
        <f t="array" aca="1" ref="C758" ca="1">[1]!s_dq_close("HSI.HI",$A758,3)</f>
        <v>17651.150000000001</v>
      </c>
    </row>
    <row r="759" spans="1:3">
      <c r="A759" s="23">
        <f t="shared" ca="1" si="11"/>
        <v>45407</v>
      </c>
      <c r="B759" cm="1">
        <f t="array" aca="1" ref="B759" ca="1">[1]!s_dq_close("HSTECH.HI",$A759,3)</f>
        <v>3554.3</v>
      </c>
      <c r="C759" cm="1">
        <f t="array" aca="1" ref="C759" ca="1">[1]!s_dq_close("HSI.HI",$A759,3)</f>
        <v>17284.54</v>
      </c>
    </row>
    <row r="760" spans="1:3">
      <c r="A760" s="23">
        <f t="shared" ca="1" si="11"/>
        <v>45406</v>
      </c>
      <c r="B760" cm="1">
        <f t="array" aca="1" ref="B760" ca="1">[1]!s_dq_close("HSTECH.HI",$A760,3)</f>
        <v>3573.59</v>
      </c>
      <c r="C760" cm="1">
        <f t="array" aca="1" ref="C760" ca="1">[1]!s_dq_close("HSI.HI",$A760,3)</f>
        <v>17201.27</v>
      </c>
    </row>
    <row r="761" spans="1:3">
      <c r="A761" s="23">
        <f t="shared" ca="1" si="11"/>
        <v>45405</v>
      </c>
      <c r="B761" cm="1">
        <f t="array" aca="1" ref="B761" ca="1">[1]!s_dq_close("HSTECH.HI",$A761,3)</f>
        <v>3449.1</v>
      </c>
      <c r="C761" cm="1">
        <f t="array" aca="1" ref="C761" ca="1">[1]!s_dq_close("HSI.HI",$A761,3)</f>
        <v>16828.93</v>
      </c>
    </row>
    <row r="762" spans="1:3">
      <c r="A762" s="23">
        <f t="shared" ca="1" si="11"/>
        <v>45404</v>
      </c>
      <c r="B762" cm="1">
        <f t="array" aca="1" ref="B762" ca="1">[1]!s_dq_close("HSTECH.HI",$A762,3)</f>
        <v>3336.35</v>
      </c>
      <c r="C762" cm="1">
        <f t="array" aca="1" ref="C762" ca="1">[1]!s_dq_close("HSI.HI",$A762,3)</f>
        <v>16511.689999999999</v>
      </c>
    </row>
    <row r="763" spans="1:3">
      <c r="A763" s="23">
        <f t="shared" ca="1" si="11"/>
        <v>45403</v>
      </c>
      <c r="B763" cm="1">
        <f t="array" aca="1" ref="B763" ca="1">[1]!s_dq_close("HSTECH.HI",$A763,3)</f>
        <v>3278.06</v>
      </c>
      <c r="C763" cm="1">
        <f t="array" aca="1" ref="C763" ca="1">[1]!s_dq_close("HSI.HI",$A763,3)</f>
        <v>16224.14</v>
      </c>
    </row>
    <row r="764" spans="1:3">
      <c r="A764" s="23">
        <f t="shared" ca="1" si="11"/>
        <v>45402</v>
      </c>
      <c r="B764" cm="1">
        <f t="array" aca="1" ref="B764" ca="1">[1]!s_dq_close("HSTECH.HI",$A764,3)</f>
        <v>3278.06</v>
      </c>
      <c r="C764" cm="1">
        <f t="array" aca="1" ref="C764" ca="1">[1]!s_dq_close("HSI.HI",$A764,3)</f>
        <v>16224.14</v>
      </c>
    </row>
    <row r="765" spans="1:3">
      <c r="A765" s="23">
        <f t="shared" ca="1" si="11"/>
        <v>45401</v>
      </c>
      <c r="B765" cm="1">
        <f t="array" aca="1" ref="B765" ca="1">[1]!s_dq_close("HSTECH.HI",$A765,3)</f>
        <v>3278.06</v>
      </c>
      <c r="C765" cm="1">
        <f t="array" aca="1" ref="C765" ca="1">[1]!s_dq_close("HSI.HI",$A765,3)</f>
        <v>16224.14</v>
      </c>
    </row>
    <row r="766" spans="1:3">
      <c r="A766" s="23">
        <f t="shared" ca="1" si="11"/>
        <v>45400</v>
      </c>
      <c r="B766" cm="1">
        <f t="array" aca="1" ref="B766" ca="1">[1]!s_dq_close("HSTECH.HI",$A766,3)</f>
        <v>3356.82</v>
      </c>
      <c r="C766" cm="1">
        <f t="array" aca="1" ref="C766" ca="1">[1]!s_dq_close("HSI.HI",$A766,3)</f>
        <v>16385.87</v>
      </c>
    </row>
    <row r="767" spans="1:3">
      <c r="A767" s="23">
        <f t="shared" ca="1" si="11"/>
        <v>45399</v>
      </c>
      <c r="B767" cm="1">
        <f t="array" aca="1" ref="B767" ca="1">[1]!s_dq_close("HSTECH.HI",$A767,3)</f>
        <v>3340.22</v>
      </c>
      <c r="C767" cm="1">
        <f t="array" aca="1" ref="C767" ca="1">[1]!s_dq_close("HSI.HI",$A767,3)</f>
        <v>16251.84</v>
      </c>
    </row>
    <row r="768" spans="1:3">
      <c r="A768" s="23">
        <f t="shared" ca="1" si="11"/>
        <v>45398</v>
      </c>
      <c r="B768" cm="1">
        <f t="array" aca="1" ref="B768" ca="1">[1]!s_dq_close("HSTECH.HI",$A768,3)</f>
        <v>3337.85</v>
      </c>
      <c r="C768" cm="1">
        <f t="array" aca="1" ref="C768" ca="1">[1]!s_dq_close("HSI.HI",$A768,3)</f>
        <v>16248.97</v>
      </c>
    </row>
    <row r="769" spans="1:3">
      <c r="A769" s="23">
        <f t="shared" ca="1" si="11"/>
        <v>45397</v>
      </c>
      <c r="B769" cm="1">
        <f t="array" aca="1" ref="B769" ca="1">[1]!s_dq_close("HSTECH.HI",$A769,3)</f>
        <v>3442.49</v>
      </c>
      <c r="C769" cm="1">
        <f t="array" aca="1" ref="C769" ca="1">[1]!s_dq_close("HSI.HI",$A769,3)</f>
        <v>16600.46</v>
      </c>
    </row>
    <row r="770" spans="1:3">
      <c r="A770" s="23">
        <f t="shared" ca="1" si="11"/>
        <v>45396</v>
      </c>
      <c r="B770" cm="1">
        <f t="array" aca="1" ref="B770" ca="1">[1]!s_dq_close("HSTECH.HI",$A770,3)</f>
        <v>3474.47</v>
      </c>
      <c r="C770" cm="1">
        <f t="array" aca="1" ref="C770" ca="1">[1]!s_dq_close("HSI.HI",$A770,3)</f>
        <v>16721.689999999999</v>
      </c>
    </row>
    <row r="771" spans="1:3">
      <c r="A771" s="23">
        <f t="shared" ca="1" si="11"/>
        <v>45395</v>
      </c>
      <c r="B771" cm="1">
        <f t="array" aca="1" ref="B771" ca="1">[1]!s_dq_close("HSTECH.HI",$A771,3)</f>
        <v>3474.47</v>
      </c>
      <c r="C771" cm="1">
        <f t="array" aca="1" ref="C771" ca="1">[1]!s_dq_close("HSI.HI",$A771,3)</f>
        <v>16721.689999999999</v>
      </c>
    </row>
    <row r="772" spans="1:3">
      <c r="A772" s="23">
        <f t="shared" ref="A772:A835" ca="1" si="12">A771-1</f>
        <v>45394</v>
      </c>
      <c r="B772" cm="1">
        <f t="array" aca="1" ref="B772" ca="1">[1]!s_dq_close("HSTECH.HI",$A772,3)</f>
        <v>3474.47</v>
      </c>
      <c r="C772" cm="1">
        <f t="array" aca="1" ref="C772" ca="1">[1]!s_dq_close("HSI.HI",$A772,3)</f>
        <v>16721.689999999999</v>
      </c>
    </row>
    <row r="773" spans="1:3">
      <c r="A773" s="23">
        <f t="shared" ca="1" si="12"/>
        <v>45393</v>
      </c>
      <c r="B773" cm="1">
        <f t="array" aca="1" ref="B773" ca="1">[1]!s_dq_close("HSTECH.HI",$A773,3)</f>
        <v>3538.39</v>
      </c>
      <c r="C773" cm="1">
        <f t="array" aca="1" ref="C773" ca="1">[1]!s_dq_close("HSI.HI",$A773,3)</f>
        <v>17095.03</v>
      </c>
    </row>
    <row r="774" spans="1:3">
      <c r="A774" s="23">
        <f t="shared" ca="1" si="12"/>
        <v>45392</v>
      </c>
      <c r="B774" cm="1">
        <f t="array" aca="1" ref="B774" ca="1">[1]!s_dq_close("HSTECH.HI",$A774,3)</f>
        <v>3552.01</v>
      </c>
      <c r="C774" cm="1">
        <f t="array" aca="1" ref="C774" ca="1">[1]!s_dq_close("HSI.HI",$A774,3)</f>
        <v>17139.169999999998</v>
      </c>
    </row>
    <row r="775" spans="1:3">
      <c r="A775" s="23">
        <f t="shared" ca="1" si="12"/>
        <v>45391</v>
      </c>
      <c r="B775" cm="1">
        <f t="array" aca="1" ref="B775" ca="1">[1]!s_dq_close("HSTECH.HI",$A775,3)</f>
        <v>3478.24</v>
      </c>
      <c r="C775" cm="1">
        <f t="array" aca="1" ref="C775" ca="1">[1]!s_dq_close("HSI.HI",$A775,3)</f>
        <v>16828.07</v>
      </c>
    </row>
    <row r="776" spans="1:3">
      <c r="A776" s="23">
        <f t="shared" ca="1" si="12"/>
        <v>45390</v>
      </c>
      <c r="B776" cm="1">
        <f t="array" aca="1" ref="B776" ca="1">[1]!s_dq_close("HSTECH.HI",$A776,3)</f>
        <v>3444.61</v>
      </c>
      <c r="C776" cm="1">
        <f t="array" aca="1" ref="C776" ca="1">[1]!s_dq_close("HSI.HI",$A776,3)</f>
        <v>16732.849999999999</v>
      </c>
    </row>
    <row r="777" spans="1:3">
      <c r="A777" s="23">
        <f t="shared" ca="1" si="12"/>
        <v>45389</v>
      </c>
      <c r="B777" cm="1">
        <f t="array" aca="1" ref="B777" ca="1">[1]!s_dq_close("HSTECH.HI",$A777,3)</f>
        <v>3450.89</v>
      </c>
      <c r="C777" cm="1">
        <f t="array" aca="1" ref="C777" ca="1">[1]!s_dq_close("HSI.HI",$A777,3)</f>
        <v>16723.919999999998</v>
      </c>
    </row>
    <row r="778" spans="1:3">
      <c r="A778" s="23">
        <f t="shared" ca="1" si="12"/>
        <v>45388</v>
      </c>
      <c r="B778" cm="1">
        <f t="array" aca="1" ref="B778" ca="1">[1]!s_dq_close("HSTECH.HI",$A778,3)</f>
        <v>3450.89</v>
      </c>
      <c r="C778" cm="1">
        <f t="array" aca="1" ref="C778" ca="1">[1]!s_dq_close("HSI.HI",$A778,3)</f>
        <v>16723.919999999998</v>
      </c>
    </row>
    <row r="779" spans="1:3">
      <c r="A779" s="23">
        <f t="shared" ca="1" si="12"/>
        <v>45387</v>
      </c>
      <c r="B779" cm="1">
        <f t="array" aca="1" ref="B779" ca="1">[1]!s_dq_close("HSTECH.HI",$A779,3)</f>
        <v>3450.89</v>
      </c>
      <c r="C779" cm="1">
        <f t="array" aca="1" ref="C779" ca="1">[1]!s_dq_close("HSI.HI",$A779,3)</f>
        <v>16723.919999999998</v>
      </c>
    </row>
    <row r="780" spans="1:3">
      <c r="A780" s="23">
        <f t="shared" ca="1" si="12"/>
        <v>45386</v>
      </c>
      <c r="B780" cm="1">
        <f t="array" aca="1" ref="B780" ca="1">[1]!s_dq_close("HSTECH.HI",$A780,3)</f>
        <v>3460.87</v>
      </c>
      <c r="C780" cm="1">
        <f t="array" aca="1" ref="C780" ca="1">[1]!s_dq_close("HSI.HI",$A780,3)</f>
        <v>16725.099999999999</v>
      </c>
    </row>
    <row r="781" spans="1:3">
      <c r="A781" s="23">
        <f t="shared" ca="1" si="12"/>
        <v>45385</v>
      </c>
      <c r="B781" cm="1">
        <f t="array" aca="1" ref="B781" ca="1">[1]!s_dq_close("HSTECH.HI",$A781,3)</f>
        <v>3460.87</v>
      </c>
      <c r="C781" cm="1">
        <f t="array" aca="1" ref="C781" ca="1">[1]!s_dq_close("HSI.HI",$A781,3)</f>
        <v>16725.099999999999</v>
      </c>
    </row>
    <row r="782" spans="1:3">
      <c r="A782" s="23">
        <f t="shared" ca="1" si="12"/>
        <v>45384</v>
      </c>
      <c r="B782" cm="1">
        <f t="array" aca="1" ref="B782" ca="1">[1]!s_dq_close("HSTECH.HI",$A782,3)</f>
        <v>3543.12</v>
      </c>
      <c r="C782" cm="1">
        <f t="array" aca="1" ref="C782" ca="1">[1]!s_dq_close("HSI.HI",$A782,3)</f>
        <v>16931.52</v>
      </c>
    </row>
    <row r="783" spans="1:3">
      <c r="A783" s="23">
        <f t="shared" ca="1" si="12"/>
        <v>45383</v>
      </c>
      <c r="B783" cm="1">
        <f t="array" aca="1" ref="B783" ca="1">[1]!s_dq_close("HSTECH.HI",$A783,3)</f>
        <v>3477.55</v>
      </c>
      <c r="C783" cm="1">
        <f t="array" aca="1" ref="C783" ca="1">[1]!s_dq_close("HSI.HI",$A783,3)</f>
        <v>16541.419999999998</v>
      </c>
    </row>
    <row r="784" spans="1:3">
      <c r="A784" s="23">
        <f t="shared" ca="1" si="12"/>
        <v>45382</v>
      </c>
      <c r="B784" cm="1">
        <f t="array" aca="1" ref="B784" ca="1">[1]!s_dq_close("HSTECH.HI",$A784,3)</f>
        <v>3477.55</v>
      </c>
      <c r="C784" cm="1">
        <f t="array" aca="1" ref="C784" ca="1">[1]!s_dq_close("HSI.HI",$A784,3)</f>
        <v>16541.419999999998</v>
      </c>
    </row>
    <row r="785" spans="1:3">
      <c r="A785" s="23">
        <f t="shared" ca="1" si="12"/>
        <v>45381</v>
      </c>
      <c r="B785" cm="1">
        <f t="array" aca="1" ref="B785" ca="1">[1]!s_dq_close("HSTECH.HI",$A785,3)</f>
        <v>3477.55</v>
      </c>
      <c r="C785" cm="1">
        <f t="array" aca="1" ref="C785" ca="1">[1]!s_dq_close("HSI.HI",$A785,3)</f>
        <v>16541.419999999998</v>
      </c>
    </row>
    <row r="786" spans="1:3">
      <c r="A786" s="23">
        <f t="shared" ca="1" si="12"/>
        <v>45380</v>
      </c>
      <c r="B786" cm="1">
        <f t="array" aca="1" ref="B786" ca="1">[1]!s_dq_close("HSTECH.HI",$A786,3)</f>
        <v>3477.55</v>
      </c>
      <c r="C786" cm="1">
        <f t="array" aca="1" ref="C786" ca="1">[1]!s_dq_close("HSI.HI",$A786,3)</f>
        <v>16541.419999999998</v>
      </c>
    </row>
    <row r="787" spans="1:3">
      <c r="A787" s="23">
        <f t="shared" ca="1" si="12"/>
        <v>45379</v>
      </c>
      <c r="B787" cm="1">
        <f t="array" aca="1" ref="B787" ca="1">[1]!s_dq_close("HSTECH.HI",$A787,3)</f>
        <v>3477.55</v>
      </c>
      <c r="C787" cm="1">
        <f t="array" aca="1" ref="C787" ca="1">[1]!s_dq_close("HSI.HI",$A787,3)</f>
        <v>16541.419999999998</v>
      </c>
    </row>
    <row r="788" spans="1:3">
      <c r="A788" s="23">
        <f t="shared" ca="1" si="12"/>
        <v>45378</v>
      </c>
      <c r="B788" cm="1">
        <f t="array" aca="1" ref="B788" ca="1">[1]!s_dq_close("HSTECH.HI",$A788,3)</f>
        <v>3393.43</v>
      </c>
      <c r="C788" cm="1">
        <f t="array" aca="1" ref="C788" ca="1">[1]!s_dq_close("HSI.HI",$A788,3)</f>
        <v>16392.84</v>
      </c>
    </row>
    <row r="789" spans="1:3">
      <c r="A789" s="23">
        <f t="shared" ca="1" si="12"/>
        <v>45377</v>
      </c>
      <c r="B789" cm="1">
        <f t="array" aca="1" ref="B789" ca="1">[1]!s_dq_close("HSTECH.HI",$A789,3)</f>
        <v>3471.49</v>
      </c>
      <c r="C789" cm="1">
        <f t="array" aca="1" ref="C789" ca="1">[1]!s_dq_close("HSI.HI",$A789,3)</f>
        <v>16618.32</v>
      </c>
    </row>
    <row r="790" spans="1:3">
      <c r="A790" s="23">
        <f t="shared" ca="1" si="12"/>
        <v>45376</v>
      </c>
      <c r="B790" cm="1">
        <f t="array" aca="1" ref="B790" ca="1">[1]!s_dq_close("HSTECH.HI",$A790,3)</f>
        <v>3437.2</v>
      </c>
      <c r="C790" cm="1">
        <f t="array" aca="1" ref="C790" ca="1">[1]!s_dq_close("HSI.HI",$A790,3)</f>
        <v>16473.64</v>
      </c>
    </row>
    <row r="791" spans="1:3">
      <c r="A791" s="23">
        <f t="shared" ca="1" si="12"/>
        <v>45375</v>
      </c>
      <c r="B791" cm="1">
        <f t="array" aca="1" ref="B791" ca="1">[1]!s_dq_close("HSTECH.HI",$A791,3)</f>
        <v>3455.88</v>
      </c>
      <c r="C791" cm="1">
        <f t="array" aca="1" ref="C791" ca="1">[1]!s_dq_close("HSI.HI",$A791,3)</f>
        <v>16499.47</v>
      </c>
    </row>
    <row r="792" spans="1:3">
      <c r="A792" s="23">
        <f t="shared" ca="1" si="12"/>
        <v>45374</v>
      </c>
      <c r="B792" cm="1">
        <f t="array" aca="1" ref="B792" ca="1">[1]!s_dq_close("HSTECH.HI",$A792,3)</f>
        <v>3455.88</v>
      </c>
      <c r="C792" cm="1">
        <f t="array" aca="1" ref="C792" ca="1">[1]!s_dq_close("HSI.HI",$A792,3)</f>
        <v>16499.47</v>
      </c>
    </row>
    <row r="793" spans="1:3">
      <c r="A793" s="23">
        <f t="shared" ca="1" si="12"/>
        <v>45373</v>
      </c>
      <c r="B793" cm="1">
        <f t="array" aca="1" ref="B793" ca="1">[1]!s_dq_close("HSTECH.HI",$A793,3)</f>
        <v>3455.88</v>
      </c>
      <c r="C793" cm="1">
        <f t="array" aca="1" ref="C793" ca="1">[1]!s_dq_close("HSI.HI",$A793,3)</f>
        <v>16499.47</v>
      </c>
    </row>
    <row r="794" spans="1:3">
      <c r="A794" s="23">
        <f t="shared" ca="1" si="12"/>
        <v>45372</v>
      </c>
      <c r="B794" cm="1">
        <f t="array" aca="1" ref="B794" ca="1">[1]!s_dq_close("HSTECH.HI",$A794,3)</f>
        <v>3582.9</v>
      </c>
      <c r="C794" cm="1">
        <f t="array" aca="1" ref="C794" ca="1">[1]!s_dq_close("HSI.HI",$A794,3)</f>
        <v>16863.099999999999</v>
      </c>
    </row>
    <row r="795" spans="1:3">
      <c r="A795" s="23">
        <f t="shared" ca="1" si="12"/>
        <v>45371</v>
      </c>
      <c r="B795" cm="1">
        <f t="array" aca="1" ref="B795" ca="1">[1]!s_dq_close("HSTECH.HI",$A795,3)</f>
        <v>3551.42</v>
      </c>
      <c r="C795" cm="1">
        <f t="array" aca="1" ref="C795" ca="1">[1]!s_dq_close("HSI.HI",$A795,3)</f>
        <v>16543.07</v>
      </c>
    </row>
    <row r="796" spans="1:3">
      <c r="A796" s="23">
        <f t="shared" ca="1" si="12"/>
        <v>45370</v>
      </c>
      <c r="B796" cm="1">
        <f t="array" aca="1" ref="B796" ca="1">[1]!s_dq_close("HSTECH.HI",$A796,3)</f>
        <v>3528.47</v>
      </c>
      <c r="C796" cm="1">
        <f t="array" aca="1" ref="C796" ca="1">[1]!s_dq_close("HSI.HI",$A796,3)</f>
        <v>16529.48</v>
      </c>
    </row>
    <row r="797" spans="1:3">
      <c r="A797" s="23">
        <f t="shared" ca="1" si="12"/>
        <v>45369</v>
      </c>
      <c r="B797" cm="1">
        <f t="array" aca="1" ref="B797" ca="1">[1]!s_dq_close("HSTECH.HI",$A797,3)</f>
        <v>3594.22</v>
      </c>
      <c r="C797" cm="1">
        <f t="array" aca="1" ref="C797" ca="1">[1]!s_dq_close("HSI.HI",$A797,3)</f>
        <v>16737.12</v>
      </c>
    </row>
    <row r="798" spans="1:3">
      <c r="A798" s="23">
        <f t="shared" ca="1" si="12"/>
        <v>45368</v>
      </c>
      <c r="B798" cm="1">
        <f t="array" aca="1" ref="B798" ca="1">[1]!s_dq_close("HSTECH.HI",$A798,3)</f>
        <v>3549.84</v>
      </c>
      <c r="C798" cm="1">
        <f t="array" aca="1" ref="C798" ca="1">[1]!s_dq_close("HSI.HI",$A798,3)</f>
        <v>16720.89</v>
      </c>
    </row>
    <row r="799" spans="1:3">
      <c r="A799" s="23">
        <f t="shared" ca="1" si="12"/>
        <v>45367</v>
      </c>
      <c r="B799" cm="1">
        <f t="array" aca="1" ref="B799" ca="1">[1]!s_dq_close("HSTECH.HI",$A799,3)</f>
        <v>3549.84</v>
      </c>
      <c r="C799" cm="1">
        <f t="array" aca="1" ref="C799" ca="1">[1]!s_dq_close("HSI.HI",$A799,3)</f>
        <v>16720.89</v>
      </c>
    </row>
    <row r="800" spans="1:3">
      <c r="A800" s="23">
        <f t="shared" ca="1" si="12"/>
        <v>45366</v>
      </c>
      <c r="B800" cm="1">
        <f t="array" aca="1" ref="B800" ca="1">[1]!s_dq_close("HSTECH.HI",$A800,3)</f>
        <v>3549.84</v>
      </c>
      <c r="C800" cm="1">
        <f t="array" aca="1" ref="C800" ca="1">[1]!s_dq_close("HSI.HI",$A800,3)</f>
        <v>16720.89</v>
      </c>
    </row>
    <row r="801" spans="1:3">
      <c r="A801" s="23">
        <f t="shared" ca="1" si="12"/>
        <v>45365</v>
      </c>
      <c r="B801" cm="1">
        <f t="array" aca="1" ref="B801" ca="1">[1]!s_dq_close("HSTECH.HI",$A801,3)</f>
        <v>3603.83</v>
      </c>
      <c r="C801" cm="1">
        <f t="array" aca="1" ref="C801" ca="1">[1]!s_dq_close("HSI.HI",$A801,3)</f>
        <v>16961.66</v>
      </c>
    </row>
    <row r="802" spans="1:3">
      <c r="A802" s="23">
        <f t="shared" ca="1" si="12"/>
        <v>45364</v>
      </c>
      <c r="B802" cm="1">
        <f t="array" aca="1" ref="B802" ca="1">[1]!s_dq_close("HSTECH.HI",$A802,3)</f>
        <v>3656.3</v>
      </c>
      <c r="C802" cm="1">
        <f t="array" aca="1" ref="C802" ca="1">[1]!s_dq_close("HSI.HI",$A802,3)</f>
        <v>17082.11</v>
      </c>
    </row>
    <row r="803" spans="1:3">
      <c r="A803" s="23">
        <f t="shared" ca="1" si="12"/>
        <v>45363</v>
      </c>
      <c r="B803" cm="1">
        <f t="array" aca="1" ref="B803" ca="1">[1]!s_dq_close("HSTECH.HI",$A803,3)</f>
        <v>3643.91</v>
      </c>
      <c r="C803" cm="1">
        <f t="array" aca="1" ref="C803" ca="1">[1]!s_dq_close("HSI.HI",$A803,3)</f>
        <v>17093.5</v>
      </c>
    </row>
    <row r="804" spans="1:3">
      <c r="A804" s="23">
        <f t="shared" ca="1" si="12"/>
        <v>45362</v>
      </c>
      <c r="B804" cm="1">
        <f t="array" aca="1" ref="B804" ca="1">[1]!s_dq_close("HSTECH.HI",$A804,3)</f>
        <v>3482.29</v>
      </c>
      <c r="C804" cm="1">
        <f t="array" aca="1" ref="C804" ca="1">[1]!s_dq_close("HSI.HI",$A804,3)</f>
        <v>16587.57</v>
      </c>
    </row>
    <row r="805" spans="1:3">
      <c r="A805" s="23">
        <f t="shared" ca="1" si="12"/>
        <v>45361</v>
      </c>
      <c r="B805" cm="1">
        <f t="array" aca="1" ref="B805" ca="1">[1]!s_dq_close("HSTECH.HI",$A805,3)</f>
        <v>3385.58</v>
      </c>
      <c r="C805" cm="1">
        <f t="array" aca="1" ref="C805" ca="1">[1]!s_dq_close("HSI.HI",$A805,3)</f>
        <v>16353.39</v>
      </c>
    </row>
    <row r="806" spans="1:3">
      <c r="A806" s="23">
        <f t="shared" ca="1" si="12"/>
        <v>45360</v>
      </c>
      <c r="B806" cm="1">
        <f t="array" aca="1" ref="B806" ca="1">[1]!s_dq_close("HSTECH.HI",$A806,3)</f>
        <v>3385.58</v>
      </c>
      <c r="C806" cm="1">
        <f t="array" aca="1" ref="C806" ca="1">[1]!s_dq_close("HSI.HI",$A806,3)</f>
        <v>16353.39</v>
      </c>
    </row>
    <row r="807" spans="1:3">
      <c r="A807" s="23">
        <f t="shared" ca="1" si="12"/>
        <v>45359</v>
      </c>
      <c r="B807" cm="1">
        <f t="array" aca="1" ref="B807" ca="1">[1]!s_dq_close("HSTECH.HI",$A807,3)</f>
        <v>3385.58</v>
      </c>
      <c r="C807" cm="1">
        <f t="array" aca="1" ref="C807" ca="1">[1]!s_dq_close("HSI.HI",$A807,3)</f>
        <v>16353.39</v>
      </c>
    </row>
    <row r="808" spans="1:3">
      <c r="A808" s="23">
        <f t="shared" ca="1" si="12"/>
        <v>45358</v>
      </c>
      <c r="B808" cm="1">
        <f t="array" aca="1" ref="B808" ca="1">[1]!s_dq_close("HSTECH.HI",$A808,3)</f>
        <v>3359.34</v>
      </c>
      <c r="C808" cm="1">
        <f t="array" aca="1" ref="C808" ca="1">[1]!s_dq_close("HSI.HI",$A808,3)</f>
        <v>16229.78</v>
      </c>
    </row>
    <row r="809" spans="1:3">
      <c r="A809" s="23">
        <f t="shared" ca="1" si="12"/>
        <v>45357</v>
      </c>
      <c r="B809" cm="1">
        <f t="array" aca="1" ref="B809" ca="1">[1]!s_dq_close("HSTECH.HI",$A809,3)</f>
        <v>3412.57</v>
      </c>
      <c r="C809" cm="1">
        <f t="array" aca="1" ref="C809" ca="1">[1]!s_dq_close("HSI.HI",$A809,3)</f>
        <v>16438.09</v>
      </c>
    </row>
    <row r="810" spans="1:3">
      <c r="A810" s="23">
        <f t="shared" ca="1" si="12"/>
        <v>45356</v>
      </c>
      <c r="B810" cm="1">
        <f t="array" aca="1" ref="B810" ca="1">[1]!s_dq_close("HSTECH.HI",$A810,3)</f>
        <v>3323.89</v>
      </c>
      <c r="C810" cm="1">
        <f t="array" aca="1" ref="C810" ca="1">[1]!s_dq_close("HSI.HI",$A810,3)</f>
        <v>16162.64</v>
      </c>
    </row>
    <row r="811" spans="1:3">
      <c r="A811" s="23">
        <f t="shared" ca="1" si="12"/>
        <v>45355</v>
      </c>
      <c r="B811" cm="1">
        <f t="array" aca="1" ref="B811" ca="1">[1]!s_dq_close("HSTECH.HI",$A811,3)</f>
        <v>3474.77</v>
      </c>
      <c r="C811" cm="1">
        <f t="array" aca="1" ref="C811" ca="1">[1]!s_dq_close("HSI.HI",$A811,3)</f>
        <v>16595.97</v>
      </c>
    </row>
    <row r="812" spans="1:3">
      <c r="A812" s="23">
        <f t="shared" ca="1" si="12"/>
        <v>45354</v>
      </c>
      <c r="B812" cm="1">
        <f t="array" aca="1" ref="B812" ca="1">[1]!s_dq_close("HSTECH.HI",$A812,3)</f>
        <v>3488.13</v>
      </c>
      <c r="C812" cm="1">
        <f t="array" aca="1" ref="C812" ca="1">[1]!s_dq_close("HSI.HI",$A812,3)</f>
        <v>16589.439999999999</v>
      </c>
    </row>
    <row r="813" spans="1:3">
      <c r="A813" s="23">
        <f t="shared" ca="1" si="12"/>
        <v>45353</v>
      </c>
      <c r="B813" cm="1">
        <f t="array" aca="1" ref="B813" ca="1">[1]!s_dq_close("HSTECH.HI",$A813,3)</f>
        <v>3488.13</v>
      </c>
      <c r="C813" cm="1">
        <f t="array" aca="1" ref="C813" ca="1">[1]!s_dq_close("HSI.HI",$A813,3)</f>
        <v>16589.439999999999</v>
      </c>
    </row>
    <row r="814" spans="1:3">
      <c r="A814" s="23">
        <f t="shared" ca="1" si="12"/>
        <v>45352</v>
      </c>
      <c r="B814" cm="1">
        <f t="array" aca="1" ref="B814" ca="1">[1]!s_dq_close("HSTECH.HI",$A814,3)</f>
        <v>3488.13</v>
      </c>
      <c r="C814" cm="1">
        <f t="array" aca="1" ref="C814" ca="1">[1]!s_dq_close("HSI.HI",$A814,3)</f>
        <v>16589.439999999999</v>
      </c>
    </row>
    <row r="815" spans="1:3">
      <c r="A815" s="23">
        <f t="shared" ca="1" si="12"/>
        <v>45351</v>
      </c>
      <c r="B815" cm="1">
        <f t="array" aca="1" ref="B815" ca="1">[1]!s_dq_close("HSTECH.HI",$A815,3)</f>
        <v>3431.3</v>
      </c>
      <c r="C815" cm="1">
        <f t="array" aca="1" ref="C815" ca="1">[1]!s_dq_close("HSI.HI",$A815,3)</f>
        <v>16511.439999999999</v>
      </c>
    </row>
    <row r="816" spans="1:3">
      <c r="A816" s="23">
        <f t="shared" ca="1" si="12"/>
        <v>45350</v>
      </c>
      <c r="B816" cm="1">
        <f t="array" aca="1" ref="B816" ca="1">[1]!s_dq_close("HSTECH.HI",$A816,3)</f>
        <v>3426.61</v>
      </c>
      <c r="C816" cm="1">
        <f t="array" aca="1" ref="C816" ca="1">[1]!s_dq_close("HSI.HI",$A816,3)</f>
        <v>16536.849999999999</v>
      </c>
    </row>
    <row r="817" spans="1:3">
      <c r="A817" s="23">
        <f t="shared" ca="1" si="12"/>
        <v>45349</v>
      </c>
      <c r="B817" cm="1">
        <f t="array" aca="1" ref="B817" ca="1">[1]!s_dq_close("HSTECH.HI",$A817,3)</f>
        <v>3503.17</v>
      </c>
      <c r="C817" cm="1">
        <f t="array" aca="1" ref="C817" ca="1">[1]!s_dq_close("HSI.HI",$A817,3)</f>
        <v>16790.8</v>
      </c>
    </row>
    <row r="818" spans="1:3">
      <c r="A818" s="23">
        <f t="shared" ca="1" si="12"/>
        <v>45348</v>
      </c>
      <c r="B818" cm="1">
        <f t="array" aca="1" ref="B818" ca="1">[1]!s_dq_close("HSTECH.HI",$A818,3)</f>
        <v>3393.29</v>
      </c>
      <c r="C818" cm="1">
        <f t="array" aca="1" ref="C818" ca="1">[1]!s_dq_close("HSI.HI",$A818,3)</f>
        <v>16634.740000000002</v>
      </c>
    </row>
    <row r="819" spans="1:3">
      <c r="A819" s="23">
        <f t="shared" ca="1" si="12"/>
        <v>45347</v>
      </c>
      <c r="B819" cm="1">
        <f t="array" aca="1" ref="B819" ca="1">[1]!s_dq_close("HSTECH.HI",$A819,3)</f>
        <v>3399.84</v>
      </c>
      <c r="C819" cm="1">
        <f t="array" aca="1" ref="C819" ca="1">[1]!s_dq_close("HSI.HI",$A819,3)</f>
        <v>16725.86</v>
      </c>
    </row>
    <row r="820" spans="1:3">
      <c r="A820" s="23">
        <f t="shared" ca="1" si="12"/>
        <v>45346</v>
      </c>
      <c r="B820" cm="1">
        <f t="array" aca="1" ref="B820" ca="1">[1]!s_dq_close("HSTECH.HI",$A820,3)</f>
        <v>3399.84</v>
      </c>
      <c r="C820" cm="1">
        <f t="array" aca="1" ref="C820" ca="1">[1]!s_dq_close("HSI.HI",$A820,3)</f>
        <v>16725.86</v>
      </c>
    </row>
    <row r="821" spans="1:3">
      <c r="A821" s="23">
        <f t="shared" ca="1" si="12"/>
        <v>45345</v>
      </c>
      <c r="B821" cm="1">
        <f t="array" aca="1" ref="B821" ca="1">[1]!s_dq_close("HSTECH.HI",$A821,3)</f>
        <v>3399.84</v>
      </c>
      <c r="C821" cm="1">
        <f t="array" aca="1" ref="C821" ca="1">[1]!s_dq_close("HSI.HI",$A821,3)</f>
        <v>16725.86</v>
      </c>
    </row>
    <row r="822" spans="1:3">
      <c r="A822" s="23">
        <f t="shared" ca="1" si="12"/>
        <v>45344</v>
      </c>
      <c r="B822" cm="1">
        <f t="array" aca="1" ref="B822" ca="1">[1]!s_dq_close("HSTECH.HI",$A822,3)</f>
        <v>3410.02</v>
      </c>
      <c r="C822" cm="1">
        <f t="array" aca="1" ref="C822" ca="1">[1]!s_dq_close("HSI.HI",$A822,3)</f>
        <v>16742.95</v>
      </c>
    </row>
    <row r="823" spans="1:3">
      <c r="A823" s="23">
        <f t="shared" ca="1" si="12"/>
        <v>45343</v>
      </c>
      <c r="B823" cm="1">
        <f t="array" aca="1" ref="B823" ca="1">[1]!s_dq_close("HSTECH.HI",$A823,3)</f>
        <v>3351.22</v>
      </c>
      <c r="C823" cm="1">
        <f t="array" aca="1" ref="C823" ca="1">[1]!s_dq_close("HSI.HI",$A823,3)</f>
        <v>16503.099999999999</v>
      </c>
    </row>
    <row r="824" spans="1:3">
      <c r="A824" s="23">
        <f t="shared" ca="1" si="12"/>
        <v>45342</v>
      </c>
      <c r="B824" cm="1">
        <f t="array" aca="1" ref="B824" ca="1">[1]!s_dq_close("HSTECH.HI",$A824,3)</f>
        <v>3264.4</v>
      </c>
      <c r="C824" cm="1">
        <f t="array" aca="1" ref="C824" ca="1">[1]!s_dq_close("HSI.HI",$A824,3)</f>
        <v>16247.51</v>
      </c>
    </row>
    <row r="825" spans="1:3">
      <c r="A825" s="23">
        <f t="shared" ca="1" si="12"/>
        <v>45341</v>
      </c>
      <c r="B825" cm="1">
        <f t="array" aca="1" ref="B825" ca="1">[1]!s_dq_close("HSTECH.HI",$A825,3)</f>
        <v>3253.09</v>
      </c>
      <c r="C825" cm="1">
        <f t="array" aca="1" ref="C825" ca="1">[1]!s_dq_close("HSI.HI",$A825,3)</f>
        <v>16155.61</v>
      </c>
    </row>
    <row r="826" spans="1:3">
      <c r="A826" s="23">
        <f t="shared" ca="1" si="12"/>
        <v>45340</v>
      </c>
      <c r="B826" cm="1">
        <f t="array" aca="1" ref="B826" ca="1">[1]!s_dq_close("HSTECH.HI",$A826,3)</f>
        <v>3342.73</v>
      </c>
      <c r="C826" cm="1">
        <f t="array" aca="1" ref="C826" ca="1">[1]!s_dq_close("HSI.HI",$A826,3)</f>
        <v>16339.96</v>
      </c>
    </row>
    <row r="827" spans="1:3">
      <c r="A827" s="23">
        <f t="shared" ca="1" si="12"/>
        <v>45339</v>
      </c>
      <c r="B827" cm="1">
        <f t="array" aca="1" ref="B827" ca="1">[1]!s_dq_close("HSTECH.HI",$A827,3)</f>
        <v>3342.73</v>
      </c>
      <c r="C827" cm="1">
        <f t="array" aca="1" ref="C827" ca="1">[1]!s_dq_close("HSI.HI",$A827,3)</f>
        <v>16339.96</v>
      </c>
    </row>
    <row r="828" spans="1:3">
      <c r="A828" s="23">
        <f t="shared" ca="1" si="12"/>
        <v>45338</v>
      </c>
      <c r="B828" cm="1">
        <f t="array" aca="1" ref="B828" ca="1">[1]!s_dq_close("HSTECH.HI",$A828,3)</f>
        <v>3342.73</v>
      </c>
      <c r="C828" cm="1">
        <f t="array" aca="1" ref="C828" ca="1">[1]!s_dq_close("HSI.HI",$A828,3)</f>
        <v>16339.96</v>
      </c>
    </row>
    <row r="829" spans="1:3">
      <c r="A829" s="23">
        <f t="shared" ca="1" si="12"/>
        <v>45337</v>
      </c>
      <c r="B829" cm="1">
        <f t="array" aca="1" ref="B829" ca="1">[1]!s_dq_close("HSTECH.HI",$A829,3)</f>
        <v>3223.1</v>
      </c>
      <c r="C829" cm="1">
        <f t="array" aca="1" ref="C829" ca="1">[1]!s_dq_close("HSI.HI",$A829,3)</f>
        <v>15944.63</v>
      </c>
    </row>
    <row r="830" spans="1:3">
      <c r="A830" s="23">
        <f t="shared" ca="1" si="12"/>
        <v>45336</v>
      </c>
      <c r="B830" cm="1">
        <f t="array" aca="1" ref="B830" ca="1">[1]!s_dq_close("HSTECH.HI",$A830,3)</f>
        <v>3197.87</v>
      </c>
      <c r="C830" cm="1">
        <f t="array" aca="1" ref="C830" ca="1">[1]!s_dq_close("HSI.HI",$A830,3)</f>
        <v>15879.38</v>
      </c>
    </row>
    <row r="831" spans="1:3">
      <c r="A831" s="23">
        <f t="shared" ca="1" si="12"/>
        <v>45335</v>
      </c>
      <c r="B831" cm="1">
        <f t="array" aca="1" ref="B831" ca="1">[1]!s_dq_close("HSTECH.HI",$A831,3)</f>
        <v>3127.22</v>
      </c>
      <c r="C831" cm="1">
        <f t="array" aca="1" ref="C831" ca="1">[1]!s_dq_close("HSI.HI",$A831,3)</f>
        <v>15746.58</v>
      </c>
    </row>
    <row r="832" spans="1:3">
      <c r="A832" s="23">
        <f t="shared" ca="1" si="12"/>
        <v>45334</v>
      </c>
      <c r="B832" cm="1">
        <f t="array" aca="1" ref="B832" ca="1">[1]!s_dq_close("HSTECH.HI",$A832,3)</f>
        <v>3127.22</v>
      </c>
      <c r="C832" cm="1">
        <f t="array" aca="1" ref="C832" ca="1">[1]!s_dq_close("HSI.HI",$A832,3)</f>
        <v>15746.58</v>
      </c>
    </row>
    <row r="833" spans="1:3">
      <c r="A833" s="23">
        <f t="shared" ca="1" si="12"/>
        <v>45333</v>
      </c>
      <c r="B833" cm="1">
        <f t="array" aca="1" ref="B833" ca="1">[1]!s_dq_close("HSTECH.HI",$A833,3)</f>
        <v>3127.22</v>
      </c>
      <c r="C833" cm="1">
        <f t="array" aca="1" ref="C833" ca="1">[1]!s_dq_close("HSI.HI",$A833,3)</f>
        <v>15746.58</v>
      </c>
    </row>
    <row r="834" spans="1:3">
      <c r="A834" s="23">
        <f t="shared" ca="1" si="12"/>
        <v>45332</v>
      </c>
      <c r="B834" cm="1">
        <f t="array" aca="1" ref="B834" ca="1">[1]!s_dq_close("HSTECH.HI",$A834,3)</f>
        <v>3127.22</v>
      </c>
      <c r="C834" cm="1">
        <f t="array" aca="1" ref="C834" ca="1">[1]!s_dq_close("HSI.HI",$A834,3)</f>
        <v>15746.58</v>
      </c>
    </row>
    <row r="835" spans="1:3">
      <c r="A835" s="23">
        <f t="shared" ca="1" si="12"/>
        <v>45331</v>
      </c>
      <c r="B835" cm="1">
        <f t="array" aca="1" ref="B835" ca="1">[1]!s_dq_close("HSTECH.HI",$A835,3)</f>
        <v>3127.22</v>
      </c>
      <c r="C835" cm="1">
        <f t="array" aca="1" ref="C835" ca="1">[1]!s_dq_close("HSI.HI",$A835,3)</f>
        <v>15746.58</v>
      </c>
    </row>
    <row r="836" spans="1:3">
      <c r="A836" s="23">
        <f t="shared" ref="A836:A899" ca="1" si="13">A835-1</f>
        <v>45330</v>
      </c>
      <c r="B836" cm="1">
        <f t="array" aca="1" ref="B836" ca="1">[1]!s_dq_close("HSTECH.HI",$A836,3)</f>
        <v>3168.55</v>
      </c>
      <c r="C836" cm="1">
        <f t="array" aca="1" ref="C836" ca="1">[1]!s_dq_close("HSI.HI",$A836,3)</f>
        <v>15878.07</v>
      </c>
    </row>
    <row r="837" spans="1:3">
      <c r="A837" s="23">
        <f t="shared" ca="1" si="13"/>
        <v>45329</v>
      </c>
      <c r="B837" cm="1">
        <f t="array" aca="1" ref="B837" ca="1">[1]!s_dq_close("HSTECH.HI",$A837,3)</f>
        <v>3190.68</v>
      </c>
      <c r="C837" cm="1">
        <f t="array" aca="1" ref="C837" ca="1">[1]!s_dq_close("HSI.HI",$A837,3)</f>
        <v>16081.89</v>
      </c>
    </row>
    <row r="838" spans="1:3">
      <c r="A838" s="23">
        <f t="shared" ca="1" si="13"/>
        <v>45328</v>
      </c>
      <c r="B838" cm="1">
        <f t="array" aca="1" ref="B838" ca="1">[1]!s_dq_close("HSTECH.HI",$A838,3)</f>
        <v>3243.81</v>
      </c>
      <c r="C838" cm="1">
        <f t="array" aca="1" ref="C838" ca="1">[1]!s_dq_close("HSI.HI",$A838,3)</f>
        <v>16136.87</v>
      </c>
    </row>
    <row r="839" spans="1:3">
      <c r="A839" s="23">
        <f t="shared" ca="1" si="13"/>
        <v>45327</v>
      </c>
      <c r="B839" cm="1">
        <f t="array" aca="1" ref="B839" ca="1">[1]!s_dq_close("HSTECH.HI",$A839,3)</f>
        <v>3038.84</v>
      </c>
      <c r="C839" cm="1">
        <f t="array" aca="1" ref="C839" ca="1">[1]!s_dq_close("HSI.HI",$A839,3)</f>
        <v>15510.01</v>
      </c>
    </row>
    <row r="840" spans="1:3">
      <c r="A840" s="23">
        <f t="shared" ca="1" si="13"/>
        <v>45326</v>
      </c>
      <c r="B840" cm="1">
        <f t="array" aca="1" ref="B840" ca="1">[1]!s_dq_close("HSTECH.HI",$A840,3)</f>
        <v>3043.9</v>
      </c>
      <c r="C840" cm="1">
        <f t="array" aca="1" ref="C840" ca="1">[1]!s_dq_close("HSI.HI",$A840,3)</f>
        <v>15533.56</v>
      </c>
    </row>
    <row r="841" spans="1:3">
      <c r="A841" s="23">
        <f t="shared" ca="1" si="13"/>
        <v>45325</v>
      </c>
      <c r="B841" cm="1">
        <f t="array" aca="1" ref="B841" ca="1">[1]!s_dq_close("HSTECH.HI",$A841,3)</f>
        <v>3043.9</v>
      </c>
      <c r="C841" cm="1">
        <f t="array" aca="1" ref="C841" ca="1">[1]!s_dq_close("HSI.HI",$A841,3)</f>
        <v>15533.56</v>
      </c>
    </row>
    <row r="842" spans="1:3">
      <c r="A842" s="23">
        <f t="shared" ca="1" si="13"/>
        <v>45324</v>
      </c>
      <c r="B842" cm="1">
        <f t="array" aca="1" ref="B842" ca="1">[1]!s_dq_close("HSTECH.HI",$A842,3)</f>
        <v>3043.9</v>
      </c>
      <c r="C842" cm="1">
        <f t="array" aca="1" ref="C842" ca="1">[1]!s_dq_close("HSI.HI",$A842,3)</f>
        <v>15533.56</v>
      </c>
    </row>
    <row r="843" spans="1:3">
      <c r="A843" s="23">
        <f t="shared" ca="1" si="13"/>
        <v>45323</v>
      </c>
      <c r="B843" cm="1">
        <f t="array" aca="1" ref="B843" ca="1">[1]!s_dq_close("HSTECH.HI",$A843,3)</f>
        <v>3065.95</v>
      </c>
      <c r="C843" cm="1">
        <f t="array" aca="1" ref="C843" ca="1">[1]!s_dq_close("HSI.HI",$A843,3)</f>
        <v>15566.21</v>
      </c>
    </row>
    <row r="844" spans="1:3">
      <c r="A844" s="23">
        <f t="shared" ca="1" si="13"/>
        <v>45322</v>
      </c>
      <c r="B844" cm="1">
        <f t="array" aca="1" ref="B844" ca="1">[1]!s_dq_close("HSTECH.HI",$A844,3)</f>
        <v>3005.8</v>
      </c>
      <c r="C844" cm="1">
        <f t="array" aca="1" ref="C844" ca="1">[1]!s_dq_close("HSI.HI",$A844,3)</f>
        <v>15485.07</v>
      </c>
    </row>
    <row r="845" spans="1:3">
      <c r="A845" s="23">
        <f t="shared" ca="1" si="13"/>
        <v>45321</v>
      </c>
      <c r="B845" cm="1">
        <f t="array" aca="1" ref="B845" ca="1">[1]!s_dq_close("HSTECH.HI",$A845,3)</f>
        <v>3098.87</v>
      </c>
      <c r="C845" cm="1">
        <f t="array" aca="1" ref="C845" ca="1">[1]!s_dq_close("HSI.HI",$A845,3)</f>
        <v>15703.45</v>
      </c>
    </row>
    <row r="846" spans="1:3">
      <c r="A846" s="23">
        <f t="shared" ca="1" si="13"/>
        <v>45320</v>
      </c>
      <c r="B846" cm="1">
        <f t="array" aca="1" ref="B846" ca="1">[1]!s_dq_close("HSTECH.HI",$A846,3)</f>
        <v>3203.59</v>
      </c>
      <c r="C846" cm="1">
        <f t="array" aca="1" ref="C846" ca="1">[1]!s_dq_close("HSI.HI",$A846,3)</f>
        <v>16077.24</v>
      </c>
    </row>
    <row r="847" spans="1:3">
      <c r="A847" s="23">
        <f t="shared" ca="1" si="13"/>
        <v>45319</v>
      </c>
      <c r="B847" cm="1">
        <f t="array" aca="1" ref="B847" ca="1">[1]!s_dq_close("HSTECH.HI",$A847,3)</f>
        <v>3186.49</v>
      </c>
      <c r="C847" cm="1">
        <f t="array" aca="1" ref="C847" ca="1">[1]!s_dq_close("HSI.HI",$A847,3)</f>
        <v>15952.23</v>
      </c>
    </row>
    <row r="848" spans="1:3">
      <c r="A848" s="23">
        <f t="shared" ca="1" si="13"/>
        <v>45318</v>
      </c>
      <c r="B848" cm="1">
        <f t="array" aca="1" ref="B848" ca="1">[1]!s_dq_close("HSTECH.HI",$A848,3)</f>
        <v>3186.49</v>
      </c>
      <c r="C848" cm="1">
        <f t="array" aca="1" ref="C848" ca="1">[1]!s_dq_close("HSI.HI",$A848,3)</f>
        <v>15952.23</v>
      </c>
    </row>
    <row r="849" spans="1:3">
      <c r="A849" s="23">
        <f t="shared" ca="1" si="13"/>
        <v>45317</v>
      </c>
      <c r="B849" cm="1">
        <f t="array" aca="1" ref="B849" ca="1">[1]!s_dq_close("HSTECH.HI",$A849,3)</f>
        <v>3186.49</v>
      </c>
      <c r="C849" cm="1">
        <f t="array" aca="1" ref="C849" ca="1">[1]!s_dq_close("HSI.HI",$A849,3)</f>
        <v>15952.23</v>
      </c>
    </row>
    <row r="850" spans="1:3">
      <c r="A850" s="23">
        <f t="shared" ca="1" si="13"/>
        <v>45316</v>
      </c>
      <c r="B850" cm="1">
        <f t="array" aca="1" ref="B850" ca="1">[1]!s_dq_close("HSTECH.HI",$A850,3)</f>
        <v>3310.69</v>
      </c>
      <c r="C850" cm="1">
        <f t="array" aca="1" ref="C850" ca="1">[1]!s_dq_close("HSI.HI",$A850,3)</f>
        <v>16211.96</v>
      </c>
    </row>
    <row r="851" spans="1:3">
      <c r="A851" s="23">
        <f t="shared" ca="1" si="13"/>
        <v>45315</v>
      </c>
      <c r="B851" cm="1">
        <f t="array" aca="1" ref="B851" ca="1">[1]!s_dq_close("HSTECH.HI",$A851,3)</f>
        <v>3281.16</v>
      </c>
      <c r="C851" cm="1">
        <f t="array" aca="1" ref="C851" ca="1">[1]!s_dq_close("HSI.HI",$A851,3)</f>
        <v>15899.87</v>
      </c>
    </row>
    <row r="852" spans="1:3">
      <c r="A852" s="23">
        <f t="shared" ca="1" si="13"/>
        <v>45314</v>
      </c>
      <c r="B852" cm="1">
        <f t="array" aca="1" ref="B852" ca="1">[1]!s_dq_close("HSTECH.HI",$A852,3)</f>
        <v>3147.81</v>
      </c>
      <c r="C852" cm="1">
        <f t="array" aca="1" ref="C852" ca="1">[1]!s_dq_close("HSI.HI",$A852,3)</f>
        <v>15353.98</v>
      </c>
    </row>
    <row r="853" spans="1:3">
      <c r="A853" s="23">
        <f t="shared" ca="1" si="13"/>
        <v>45313</v>
      </c>
      <c r="B853" cm="1">
        <f t="array" aca="1" ref="B853" ca="1">[1]!s_dq_close("HSTECH.HI",$A853,3)</f>
        <v>3035.47</v>
      </c>
      <c r="C853" cm="1">
        <f t="array" aca="1" ref="C853" ca="1">[1]!s_dq_close("HSI.HI",$A853,3)</f>
        <v>14961.18</v>
      </c>
    </row>
    <row r="854" spans="1:3">
      <c r="A854" s="23">
        <f t="shared" ca="1" si="13"/>
        <v>45312</v>
      </c>
      <c r="B854" cm="1">
        <f t="array" aca="1" ref="B854" ca="1">[1]!s_dq_close("HSTECH.HI",$A854,3)</f>
        <v>3129.92</v>
      </c>
      <c r="C854" cm="1">
        <f t="array" aca="1" ref="C854" ca="1">[1]!s_dq_close("HSI.HI",$A854,3)</f>
        <v>15308.69</v>
      </c>
    </row>
    <row r="855" spans="1:3">
      <c r="A855" s="23">
        <f t="shared" ca="1" si="13"/>
        <v>45311</v>
      </c>
      <c r="B855" cm="1">
        <f t="array" aca="1" ref="B855" ca="1">[1]!s_dq_close("HSTECH.HI",$A855,3)</f>
        <v>3129.92</v>
      </c>
      <c r="C855" cm="1">
        <f t="array" aca="1" ref="C855" ca="1">[1]!s_dq_close("HSI.HI",$A855,3)</f>
        <v>15308.69</v>
      </c>
    </row>
    <row r="856" spans="1:3">
      <c r="A856" s="23">
        <f t="shared" ca="1" si="13"/>
        <v>45310</v>
      </c>
      <c r="B856" cm="1">
        <f t="array" aca="1" ref="B856" ca="1">[1]!s_dq_close("HSTECH.HI",$A856,3)</f>
        <v>3129.92</v>
      </c>
      <c r="C856" cm="1">
        <f t="array" aca="1" ref="C856" ca="1">[1]!s_dq_close("HSI.HI",$A856,3)</f>
        <v>15308.69</v>
      </c>
    </row>
    <row r="857" spans="1:3">
      <c r="A857" s="23">
        <f t="shared" ca="1" si="13"/>
        <v>45309</v>
      </c>
      <c r="B857" cm="1">
        <f t="array" aca="1" ref="B857" ca="1">[1]!s_dq_close("HSTECH.HI",$A857,3)</f>
        <v>3176.08</v>
      </c>
      <c r="C857" cm="1">
        <f t="array" aca="1" ref="C857" ca="1">[1]!s_dq_close("HSI.HI",$A857,3)</f>
        <v>15391.79</v>
      </c>
    </row>
    <row r="858" spans="1:3">
      <c r="A858" s="23">
        <f t="shared" ca="1" si="13"/>
        <v>45308</v>
      </c>
      <c r="B858" cm="1">
        <f t="array" aca="1" ref="B858" ca="1">[1]!s_dq_close("HSTECH.HI",$A858,3)</f>
        <v>3160</v>
      </c>
      <c r="C858" cm="1">
        <f t="array" aca="1" ref="C858" ca="1">[1]!s_dq_close("HSI.HI",$A858,3)</f>
        <v>15276.9</v>
      </c>
    </row>
    <row r="859" spans="1:3">
      <c r="A859" s="23">
        <f t="shared" ca="1" si="13"/>
        <v>45307</v>
      </c>
      <c r="B859" cm="1">
        <f t="array" aca="1" ref="B859" ca="1">[1]!s_dq_close("HSTECH.HI",$A859,3)</f>
        <v>3325.93</v>
      </c>
      <c r="C859" cm="1">
        <f t="array" aca="1" ref="C859" ca="1">[1]!s_dq_close("HSI.HI",$A859,3)</f>
        <v>15865.92</v>
      </c>
    </row>
    <row r="860" spans="1:3">
      <c r="A860" s="23">
        <f t="shared" ca="1" si="13"/>
        <v>45306</v>
      </c>
      <c r="B860" cm="1">
        <f t="array" aca="1" ref="B860" ca="1">[1]!s_dq_close("HSTECH.HI",$A860,3)</f>
        <v>3404</v>
      </c>
      <c r="C860" cm="1">
        <f t="array" aca="1" ref="C860" ca="1">[1]!s_dq_close("HSI.HI",$A860,3)</f>
        <v>16216.33</v>
      </c>
    </row>
    <row r="861" spans="1:3">
      <c r="A861" s="23">
        <f t="shared" ca="1" si="13"/>
        <v>45305</v>
      </c>
      <c r="B861" cm="1">
        <f t="array" aca="1" ref="B861" ca="1">[1]!s_dq_close("HSTECH.HI",$A861,3)</f>
        <v>3470.64</v>
      </c>
      <c r="C861" cm="1">
        <f t="array" aca="1" ref="C861" ca="1">[1]!s_dq_close("HSI.HI",$A861,3)</f>
        <v>16244.58</v>
      </c>
    </row>
    <row r="862" spans="1:3">
      <c r="A862" s="23">
        <f t="shared" ca="1" si="13"/>
        <v>45304</v>
      </c>
      <c r="B862" cm="1">
        <f t="array" aca="1" ref="B862" ca="1">[1]!s_dq_close("HSTECH.HI",$A862,3)</f>
        <v>3470.64</v>
      </c>
      <c r="C862" cm="1">
        <f t="array" aca="1" ref="C862" ca="1">[1]!s_dq_close("HSI.HI",$A862,3)</f>
        <v>16244.58</v>
      </c>
    </row>
    <row r="863" spans="1:3">
      <c r="A863" s="23">
        <f t="shared" ca="1" si="13"/>
        <v>45303</v>
      </c>
      <c r="B863" cm="1">
        <f t="array" aca="1" ref="B863" ca="1">[1]!s_dq_close("HSTECH.HI",$A863,3)</f>
        <v>3470.64</v>
      </c>
      <c r="C863" cm="1">
        <f t="array" aca="1" ref="C863" ca="1">[1]!s_dq_close("HSI.HI",$A863,3)</f>
        <v>16244.58</v>
      </c>
    </row>
    <row r="864" spans="1:3">
      <c r="A864" s="23">
        <f t="shared" ca="1" si="13"/>
        <v>45302</v>
      </c>
      <c r="B864" cm="1">
        <f t="array" aca="1" ref="B864" ca="1">[1]!s_dq_close("HSTECH.HI",$A864,3)</f>
        <v>3503.02</v>
      </c>
      <c r="C864" cm="1">
        <f t="array" aca="1" ref="C864" ca="1">[1]!s_dq_close("HSI.HI",$A864,3)</f>
        <v>16302.04</v>
      </c>
    </row>
    <row r="865" spans="1:3">
      <c r="A865" s="23">
        <f t="shared" ca="1" si="13"/>
        <v>45301</v>
      </c>
      <c r="B865" cm="1">
        <f t="array" aca="1" ref="B865" ca="1">[1]!s_dq_close("HSTECH.HI",$A865,3)</f>
        <v>3428.2</v>
      </c>
      <c r="C865" cm="1">
        <f t="array" aca="1" ref="C865" ca="1">[1]!s_dq_close("HSI.HI",$A865,3)</f>
        <v>16097.28</v>
      </c>
    </row>
    <row r="866" spans="1:3">
      <c r="A866" s="23">
        <f t="shared" ca="1" si="13"/>
        <v>45300</v>
      </c>
      <c r="B866" cm="1">
        <f t="array" aca="1" ref="B866" ca="1">[1]!s_dq_close("HSTECH.HI",$A866,3)</f>
        <v>3454.5</v>
      </c>
      <c r="C866" cm="1">
        <f t="array" aca="1" ref="C866" ca="1">[1]!s_dq_close("HSI.HI",$A866,3)</f>
        <v>16190.02</v>
      </c>
    </row>
    <row r="867" spans="1:3">
      <c r="A867" s="23">
        <f t="shared" ca="1" si="13"/>
        <v>45299</v>
      </c>
      <c r="B867" cm="1">
        <f t="array" aca="1" ref="B867" ca="1">[1]!s_dq_close("HSTECH.HI",$A867,3)</f>
        <v>3484.75</v>
      </c>
      <c r="C867" cm="1">
        <f t="array" aca="1" ref="C867" ca="1">[1]!s_dq_close("HSI.HI",$A867,3)</f>
        <v>16224.45</v>
      </c>
    </row>
    <row r="868" spans="1:3">
      <c r="A868" s="23">
        <f t="shared" ca="1" si="13"/>
        <v>45298</v>
      </c>
      <c r="B868" cm="1">
        <f t="array" aca="1" ref="B868" ca="1">[1]!s_dq_close("HSTECH.HI",$A868,3)</f>
        <v>3592.33</v>
      </c>
      <c r="C868" cm="1">
        <f t="array" aca="1" ref="C868" ca="1">[1]!s_dq_close("HSI.HI",$A868,3)</f>
        <v>16535.330000000002</v>
      </c>
    </row>
    <row r="869" spans="1:3">
      <c r="A869" s="23">
        <f t="shared" ca="1" si="13"/>
        <v>45297</v>
      </c>
      <c r="B869" cm="1">
        <f t="array" aca="1" ref="B869" ca="1">[1]!s_dq_close("HSTECH.HI",$A869,3)</f>
        <v>3592.33</v>
      </c>
      <c r="C869" cm="1">
        <f t="array" aca="1" ref="C869" ca="1">[1]!s_dq_close("HSI.HI",$A869,3)</f>
        <v>16535.330000000002</v>
      </c>
    </row>
    <row r="870" spans="1:3">
      <c r="A870" s="23">
        <f t="shared" ca="1" si="13"/>
        <v>45296</v>
      </c>
      <c r="B870" cm="1">
        <f t="array" aca="1" ref="B870" ca="1">[1]!s_dq_close("HSTECH.HI",$A870,3)</f>
        <v>3592.33</v>
      </c>
      <c r="C870" cm="1">
        <f t="array" aca="1" ref="C870" ca="1">[1]!s_dq_close("HSI.HI",$A870,3)</f>
        <v>16535.330000000002</v>
      </c>
    </row>
    <row r="871" spans="1:3">
      <c r="A871" s="23">
        <f t="shared" ca="1" si="13"/>
        <v>45295</v>
      </c>
      <c r="B871" cm="1">
        <f t="array" aca="1" ref="B871" ca="1">[1]!s_dq_close("HSTECH.HI",$A871,3)</f>
        <v>3654.94</v>
      </c>
      <c r="C871" cm="1">
        <f t="array" aca="1" ref="C871" ca="1">[1]!s_dq_close("HSI.HI",$A871,3)</f>
        <v>16645.98</v>
      </c>
    </row>
    <row r="872" spans="1:3">
      <c r="A872" s="23">
        <f t="shared" ca="1" si="13"/>
        <v>45294</v>
      </c>
      <c r="B872" cm="1">
        <f t="array" aca="1" ref="B872" ca="1">[1]!s_dq_close("HSTECH.HI",$A872,3)</f>
        <v>3646.39</v>
      </c>
      <c r="C872" cm="1">
        <f t="array" aca="1" ref="C872" ca="1">[1]!s_dq_close("HSI.HI",$A872,3)</f>
        <v>16646.41</v>
      </c>
    </row>
    <row r="873" spans="1:3">
      <c r="A873" s="23">
        <f t="shared" ca="1" si="13"/>
        <v>45293</v>
      </c>
      <c r="B873" cm="1">
        <f t="array" aca="1" ref="B873" ca="1">[1]!s_dq_close("HSTECH.HI",$A873,3)</f>
        <v>3714.77</v>
      </c>
      <c r="C873" cm="1">
        <f t="array" aca="1" ref="C873" ca="1">[1]!s_dq_close("HSI.HI",$A873,3)</f>
        <v>16788.55</v>
      </c>
    </row>
    <row r="874" spans="1:3">
      <c r="A874" s="23">
        <f t="shared" ca="1" si="13"/>
        <v>45292</v>
      </c>
      <c r="B874" cm="1">
        <f t="array" aca="1" ref="B874" ca="1">[1]!s_dq_close("HSTECH.HI",$A874,3)</f>
        <v>3764.29</v>
      </c>
      <c r="C874" cm="1">
        <f t="array" aca="1" ref="C874" ca="1">[1]!s_dq_close("HSI.HI",$A874,3)</f>
        <v>17047.39</v>
      </c>
    </row>
    <row r="875" spans="1:3">
      <c r="A875" s="23">
        <f t="shared" ca="1" si="13"/>
        <v>45291</v>
      </c>
      <c r="B875" cm="1">
        <f t="array" aca="1" ref="B875" ca="1">[1]!s_dq_close("HSTECH.HI",$A875,3)</f>
        <v>3764.29</v>
      </c>
      <c r="C875" cm="1">
        <f t="array" aca="1" ref="C875" ca="1">[1]!s_dq_close("HSI.HI",$A875,3)</f>
        <v>17047.39</v>
      </c>
    </row>
    <row r="876" spans="1:3">
      <c r="A876" s="23">
        <f t="shared" ca="1" si="13"/>
        <v>45290</v>
      </c>
      <c r="B876" cm="1">
        <f t="array" aca="1" ref="B876" ca="1">[1]!s_dq_close("HSTECH.HI",$A876,3)</f>
        <v>3764.29</v>
      </c>
      <c r="C876" cm="1">
        <f t="array" aca="1" ref="C876" ca="1">[1]!s_dq_close("HSI.HI",$A876,3)</f>
        <v>17047.39</v>
      </c>
    </row>
    <row r="877" spans="1:3">
      <c r="A877" s="23">
        <f t="shared" ca="1" si="13"/>
        <v>45289</v>
      </c>
      <c r="B877" cm="1">
        <f t="array" aca="1" ref="B877" ca="1">[1]!s_dq_close("HSTECH.HI",$A877,3)</f>
        <v>3764.29</v>
      </c>
      <c r="C877" cm="1">
        <f t="array" aca="1" ref="C877" ca="1">[1]!s_dq_close("HSI.HI",$A877,3)</f>
        <v>17047.39</v>
      </c>
    </row>
    <row r="878" spans="1:3">
      <c r="A878" s="23">
        <f t="shared" ca="1" si="13"/>
        <v>45288</v>
      </c>
      <c r="B878" cm="1">
        <f t="array" aca="1" ref="B878" ca="1">[1]!s_dq_close("HSTECH.HI",$A878,3)</f>
        <v>3763.9</v>
      </c>
      <c r="C878" cm="1">
        <f t="array" aca="1" ref="C878" ca="1">[1]!s_dq_close("HSI.HI",$A878,3)</f>
        <v>17043.53</v>
      </c>
    </row>
    <row r="879" spans="1:3">
      <c r="A879" s="23">
        <f t="shared" ca="1" si="13"/>
        <v>45287</v>
      </c>
      <c r="B879" cm="1">
        <f t="array" aca="1" ref="B879" ca="1">[1]!s_dq_close("HSTECH.HI",$A879,3)</f>
        <v>3639.76</v>
      </c>
      <c r="C879" cm="1">
        <f t="array" aca="1" ref="C879" ca="1">[1]!s_dq_close("HSI.HI",$A879,3)</f>
        <v>16624.84</v>
      </c>
    </row>
    <row r="880" spans="1:3">
      <c r="A880" s="23">
        <f t="shared" ca="1" si="13"/>
        <v>45286</v>
      </c>
      <c r="B880" cm="1">
        <f t="array" aca="1" ref="B880" ca="1">[1]!s_dq_close("HSTECH.HI",$A880,3)</f>
        <v>3548.05</v>
      </c>
      <c r="C880" cm="1">
        <f t="array" aca="1" ref="C880" ca="1">[1]!s_dq_close("HSI.HI",$A880,3)</f>
        <v>16340.41</v>
      </c>
    </row>
    <row r="881" spans="1:3">
      <c r="A881" s="23">
        <f t="shared" ca="1" si="13"/>
        <v>45285</v>
      </c>
      <c r="B881" cm="1">
        <f t="array" aca="1" ref="B881" ca="1">[1]!s_dq_close("HSTECH.HI",$A881,3)</f>
        <v>3548.05</v>
      </c>
      <c r="C881" cm="1">
        <f t="array" aca="1" ref="C881" ca="1">[1]!s_dq_close("HSI.HI",$A881,3)</f>
        <v>16340.41</v>
      </c>
    </row>
    <row r="882" spans="1:3">
      <c r="A882" s="23">
        <f t="shared" ca="1" si="13"/>
        <v>45284</v>
      </c>
      <c r="B882" cm="1">
        <f t="array" aca="1" ref="B882" ca="1">[1]!s_dq_close("HSTECH.HI",$A882,3)</f>
        <v>3548.05</v>
      </c>
      <c r="C882" cm="1">
        <f t="array" aca="1" ref="C882" ca="1">[1]!s_dq_close("HSI.HI",$A882,3)</f>
        <v>16340.41</v>
      </c>
    </row>
    <row r="883" spans="1:3">
      <c r="A883" s="23">
        <f t="shared" ca="1" si="13"/>
        <v>45283</v>
      </c>
      <c r="B883" cm="1">
        <f t="array" aca="1" ref="B883" ca="1">[1]!s_dq_close("HSTECH.HI",$A883,3)</f>
        <v>3548.05</v>
      </c>
      <c r="C883" cm="1">
        <f t="array" aca="1" ref="C883" ca="1">[1]!s_dq_close("HSI.HI",$A883,3)</f>
        <v>16340.41</v>
      </c>
    </row>
    <row r="884" spans="1:3">
      <c r="A884" s="23">
        <f t="shared" ca="1" si="13"/>
        <v>45282</v>
      </c>
      <c r="B884" cm="1">
        <f t="array" aca="1" ref="B884" ca="1">[1]!s_dq_close("HSTECH.HI",$A884,3)</f>
        <v>3548.05</v>
      </c>
      <c r="C884" cm="1">
        <f t="array" aca="1" ref="C884" ca="1">[1]!s_dq_close("HSI.HI",$A884,3)</f>
        <v>16340.41</v>
      </c>
    </row>
    <row r="885" spans="1:3">
      <c r="A885" s="23">
        <f t="shared" ca="1" si="13"/>
        <v>45281</v>
      </c>
      <c r="B885" cm="1">
        <f t="array" aca="1" ref="B885" ca="1">[1]!s_dq_close("HSTECH.HI",$A885,3)</f>
        <v>3710.22</v>
      </c>
      <c r="C885" cm="1">
        <f t="array" aca="1" ref="C885" ca="1">[1]!s_dq_close("HSI.HI",$A885,3)</f>
        <v>16621.13</v>
      </c>
    </row>
    <row r="886" spans="1:3">
      <c r="A886" s="23">
        <f t="shared" ca="1" si="13"/>
        <v>45280</v>
      </c>
      <c r="B886" cm="1">
        <f t="array" aca="1" ref="B886" ca="1">[1]!s_dq_close("HSTECH.HI",$A886,3)</f>
        <v>3726.5</v>
      </c>
      <c r="C886" cm="1">
        <f t="array" aca="1" ref="C886" ca="1">[1]!s_dq_close("HSI.HI",$A886,3)</f>
        <v>16613.810000000001</v>
      </c>
    </row>
    <row r="887" spans="1:3">
      <c r="A887" s="23">
        <f t="shared" ca="1" si="13"/>
        <v>45279</v>
      </c>
      <c r="B887" cm="1">
        <f t="array" aca="1" ref="B887" ca="1">[1]!s_dq_close("HSTECH.HI",$A887,3)</f>
        <v>3707.76</v>
      </c>
      <c r="C887" cm="1">
        <f t="array" aca="1" ref="C887" ca="1">[1]!s_dq_close("HSI.HI",$A887,3)</f>
        <v>16505</v>
      </c>
    </row>
    <row r="888" spans="1:3">
      <c r="A888" s="23">
        <f t="shared" ca="1" si="13"/>
        <v>45278</v>
      </c>
      <c r="B888" cm="1">
        <f t="array" aca="1" ref="B888" ca="1">[1]!s_dq_close("HSTECH.HI",$A888,3)</f>
        <v>3730.66</v>
      </c>
      <c r="C888" cm="1">
        <f t="array" aca="1" ref="C888" ca="1">[1]!s_dq_close("HSI.HI",$A888,3)</f>
        <v>16629.23</v>
      </c>
    </row>
    <row r="889" spans="1:3">
      <c r="A889" s="23">
        <f t="shared" ca="1" si="13"/>
        <v>45277</v>
      </c>
      <c r="B889" cm="1">
        <f t="array" aca="1" ref="B889" ca="1">[1]!s_dq_close("HSTECH.HI",$A889,3)</f>
        <v>3780.69</v>
      </c>
      <c r="C889" cm="1">
        <f t="array" aca="1" ref="C889" ca="1">[1]!s_dq_close("HSI.HI",$A889,3)</f>
        <v>16792.189999999999</v>
      </c>
    </row>
    <row r="890" spans="1:3">
      <c r="A890" s="23">
        <f t="shared" ca="1" si="13"/>
        <v>45276</v>
      </c>
      <c r="B890" cm="1">
        <f t="array" aca="1" ref="B890" ca="1">[1]!s_dq_close("HSTECH.HI",$A890,3)</f>
        <v>3780.69</v>
      </c>
      <c r="C890" cm="1">
        <f t="array" aca="1" ref="C890" ca="1">[1]!s_dq_close("HSI.HI",$A890,3)</f>
        <v>16792.189999999999</v>
      </c>
    </row>
    <row r="891" spans="1:3">
      <c r="A891" s="23">
        <f t="shared" ca="1" si="13"/>
        <v>45275</v>
      </c>
      <c r="B891" cm="1">
        <f t="array" aca="1" ref="B891" ca="1">[1]!s_dq_close("HSTECH.HI",$A891,3)</f>
        <v>3780.69</v>
      </c>
      <c r="C891" cm="1">
        <f t="array" aca="1" ref="C891" ca="1">[1]!s_dq_close("HSI.HI",$A891,3)</f>
        <v>16792.189999999999</v>
      </c>
    </row>
    <row r="892" spans="1:3">
      <c r="A892" s="23">
        <f t="shared" ca="1" si="13"/>
        <v>45274</v>
      </c>
      <c r="B892" cm="1">
        <f t="array" aca="1" ref="B892" ca="1">[1]!s_dq_close("HSTECH.HI",$A892,3)</f>
        <v>3698.57</v>
      </c>
      <c r="C892" cm="1">
        <f t="array" aca="1" ref="C892" ca="1">[1]!s_dq_close("HSI.HI",$A892,3)</f>
        <v>16402.189999999999</v>
      </c>
    </row>
    <row r="893" spans="1:3">
      <c r="A893" s="23">
        <f t="shared" ca="1" si="13"/>
        <v>45273</v>
      </c>
      <c r="B893" cm="1">
        <f t="array" aca="1" ref="B893" ca="1">[1]!s_dq_close("HSTECH.HI",$A893,3)</f>
        <v>3686.21</v>
      </c>
      <c r="C893" cm="1">
        <f t="array" aca="1" ref="C893" ca="1">[1]!s_dq_close("HSI.HI",$A893,3)</f>
        <v>16228.75</v>
      </c>
    </row>
    <row r="894" spans="1:3">
      <c r="A894" s="23">
        <f t="shared" ca="1" si="13"/>
        <v>45272</v>
      </c>
      <c r="B894" cm="1">
        <f t="array" aca="1" ref="B894" ca="1">[1]!s_dq_close("HSTECH.HI",$A894,3)</f>
        <v>3730.25</v>
      </c>
      <c r="C894" cm="1">
        <f t="array" aca="1" ref="C894" ca="1">[1]!s_dq_close("HSI.HI",$A894,3)</f>
        <v>16374.5</v>
      </c>
    </row>
    <row r="895" spans="1:3">
      <c r="A895" s="23">
        <f t="shared" ca="1" si="13"/>
        <v>45271</v>
      </c>
      <c r="B895" cm="1">
        <f t="array" aca="1" ref="B895" ca="1">[1]!s_dq_close("HSTECH.HI",$A895,3)</f>
        <v>3666.51</v>
      </c>
      <c r="C895" cm="1">
        <f t="array" aca="1" ref="C895" ca="1">[1]!s_dq_close("HSI.HI",$A895,3)</f>
        <v>16201.49</v>
      </c>
    </row>
    <row r="896" spans="1:3">
      <c r="A896" s="23">
        <f t="shared" ca="1" si="13"/>
        <v>45270</v>
      </c>
      <c r="B896" cm="1">
        <f t="array" aca="1" ref="B896" ca="1">[1]!s_dq_close("HSTECH.HI",$A896,3)</f>
        <v>3705.93</v>
      </c>
      <c r="C896" cm="1">
        <f t="array" aca="1" ref="C896" ca="1">[1]!s_dq_close("HSI.HI",$A896,3)</f>
        <v>16334.37</v>
      </c>
    </row>
    <row r="897" spans="1:3">
      <c r="A897" s="23">
        <f t="shared" ca="1" si="13"/>
        <v>45269</v>
      </c>
      <c r="B897" cm="1">
        <f t="array" aca="1" ref="B897" ca="1">[1]!s_dq_close("HSTECH.HI",$A897,3)</f>
        <v>3705.93</v>
      </c>
      <c r="C897" cm="1">
        <f t="array" aca="1" ref="C897" ca="1">[1]!s_dq_close("HSI.HI",$A897,3)</f>
        <v>16334.37</v>
      </c>
    </row>
    <row r="898" spans="1:3">
      <c r="A898" s="23">
        <f t="shared" ca="1" si="13"/>
        <v>45268</v>
      </c>
      <c r="B898" cm="1">
        <f t="array" aca="1" ref="B898" ca="1">[1]!s_dq_close("HSTECH.HI",$A898,3)</f>
        <v>3705.93</v>
      </c>
      <c r="C898" cm="1">
        <f t="array" aca="1" ref="C898" ca="1">[1]!s_dq_close("HSI.HI",$A898,3)</f>
        <v>16334.37</v>
      </c>
    </row>
    <row r="899" spans="1:3">
      <c r="A899" s="23">
        <f t="shared" ca="1" si="13"/>
        <v>45267</v>
      </c>
      <c r="B899" cm="1">
        <f t="array" aca="1" ref="B899" ca="1">[1]!s_dq_close("HSTECH.HI",$A899,3)</f>
        <v>3720.21</v>
      </c>
      <c r="C899" cm="1">
        <f t="array" aca="1" ref="C899" ca="1">[1]!s_dq_close("HSI.HI",$A899,3)</f>
        <v>16345.89</v>
      </c>
    </row>
    <row r="900" spans="1:3">
      <c r="A900" s="23">
        <f t="shared" ref="A900:A963" ca="1" si="14">A899-1</f>
        <v>45266</v>
      </c>
      <c r="B900" cm="1">
        <f t="array" aca="1" ref="B900" ca="1">[1]!s_dq_close("HSTECH.HI",$A900,3)</f>
        <v>3747.58</v>
      </c>
      <c r="C900" cm="1">
        <f t="array" aca="1" ref="C900" ca="1">[1]!s_dq_close("HSI.HI",$A900,3)</f>
        <v>16463.259999999998</v>
      </c>
    </row>
    <row r="901" spans="1:3">
      <c r="A901" s="23">
        <f t="shared" ca="1" si="14"/>
        <v>45265</v>
      </c>
      <c r="B901" cm="1">
        <f t="array" aca="1" ref="B901" ca="1">[1]!s_dq_close("HSTECH.HI",$A901,3)</f>
        <v>3682.67</v>
      </c>
      <c r="C901" cm="1">
        <f t="array" aca="1" ref="C901" ca="1">[1]!s_dq_close("HSI.HI",$A901,3)</f>
        <v>16327.86</v>
      </c>
    </row>
    <row r="902" spans="1:3">
      <c r="A902" s="23">
        <f t="shared" ca="1" si="14"/>
        <v>45264</v>
      </c>
      <c r="B902" cm="1">
        <f t="array" aca="1" ref="B902" ca="1">[1]!s_dq_close("HSTECH.HI",$A902,3)</f>
        <v>3759.72</v>
      </c>
      <c r="C902" cm="1">
        <f t="array" aca="1" ref="C902" ca="1">[1]!s_dq_close("HSI.HI",$A902,3)</f>
        <v>16646.05</v>
      </c>
    </row>
    <row r="903" spans="1:3">
      <c r="A903" s="23">
        <f t="shared" ca="1" si="14"/>
        <v>45263</v>
      </c>
      <c r="B903" cm="1">
        <f t="array" aca="1" ref="B903" ca="1">[1]!s_dq_close("HSTECH.HI",$A903,3)</f>
        <v>3830.92</v>
      </c>
      <c r="C903" cm="1">
        <f t="array" aca="1" ref="C903" ca="1">[1]!s_dq_close("HSI.HI",$A903,3)</f>
        <v>16830.3</v>
      </c>
    </row>
    <row r="904" spans="1:3">
      <c r="A904" s="23">
        <f t="shared" ca="1" si="14"/>
        <v>45262</v>
      </c>
      <c r="B904" cm="1">
        <f t="array" aca="1" ref="B904" ca="1">[1]!s_dq_close("HSTECH.HI",$A904,3)</f>
        <v>3830.92</v>
      </c>
      <c r="C904" cm="1">
        <f t="array" aca="1" ref="C904" ca="1">[1]!s_dq_close("HSI.HI",$A904,3)</f>
        <v>16830.3</v>
      </c>
    </row>
    <row r="905" spans="1:3">
      <c r="A905" s="23">
        <f t="shared" ca="1" si="14"/>
        <v>45261</v>
      </c>
      <c r="B905" cm="1">
        <f t="array" aca="1" ref="B905" ca="1">[1]!s_dq_close("HSTECH.HI",$A905,3)</f>
        <v>3830.92</v>
      </c>
      <c r="C905" cm="1">
        <f t="array" aca="1" ref="C905" ca="1">[1]!s_dq_close("HSI.HI",$A905,3)</f>
        <v>16830.3</v>
      </c>
    </row>
    <row r="906" spans="1:3">
      <c r="A906" s="23">
        <f t="shared" ca="1" si="14"/>
        <v>45260</v>
      </c>
      <c r="B906" cm="1">
        <f t="array" aca="1" ref="B906" ca="1">[1]!s_dq_close("HSTECH.HI",$A906,3)</f>
        <v>3899.64</v>
      </c>
      <c r="C906" cm="1">
        <f t="array" aca="1" ref="C906" ca="1">[1]!s_dq_close("HSI.HI",$A906,3)</f>
        <v>17042.88</v>
      </c>
    </row>
    <row r="907" spans="1:3">
      <c r="A907" s="23">
        <f t="shared" ca="1" si="14"/>
        <v>45259</v>
      </c>
      <c r="B907" cm="1">
        <f t="array" aca="1" ref="B907" ca="1">[1]!s_dq_close("HSTECH.HI",$A907,3)</f>
        <v>3910.24</v>
      </c>
      <c r="C907" cm="1">
        <f t="array" aca="1" ref="C907" ca="1">[1]!s_dq_close("HSI.HI",$A907,3)</f>
        <v>16993.439999999999</v>
      </c>
    </row>
    <row r="908" spans="1:3">
      <c r="A908" s="23">
        <f t="shared" ca="1" si="14"/>
        <v>45258</v>
      </c>
      <c r="B908" cm="1">
        <f t="array" aca="1" ref="B908" ca="1">[1]!s_dq_close("HSTECH.HI",$A908,3)</f>
        <v>4000.42</v>
      </c>
      <c r="C908" cm="1">
        <f t="array" aca="1" ref="C908" ca="1">[1]!s_dq_close("HSI.HI",$A908,3)</f>
        <v>17354.14</v>
      </c>
    </row>
    <row r="909" spans="1:3">
      <c r="A909" s="23">
        <f t="shared" ca="1" si="14"/>
        <v>45257</v>
      </c>
      <c r="B909" cm="1">
        <f t="array" aca="1" ref="B909" ca="1">[1]!s_dq_close("HSTECH.HI",$A909,3)</f>
        <v>4031.66</v>
      </c>
      <c r="C909" cm="1">
        <f t="array" aca="1" ref="C909" ca="1">[1]!s_dq_close("HSI.HI",$A909,3)</f>
        <v>17525.060000000001</v>
      </c>
    </row>
    <row r="910" spans="1:3">
      <c r="A910" s="23">
        <f t="shared" ca="1" si="14"/>
        <v>45256</v>
      </c>
      <c r="B910" cm="1">
        <f t="array" aca="1" ref="B910" ca="1">[1]!s_dq_close("HSTECH.HI",$A910,3)</f>
        <v>4024.83</v>
      </c>
      <c r="C910" cm="1">
        <f t="array" aca="1" ref="C910" ca="1">[1]!s_dq_close("HSI.HI",$A910,3)</f>
        <v>17559.419999999998</v>
      </c>
    </row>
    <row r="911" spans="1:3">
      <c r="A911" s="23">
        <f t="shared" ca="1" si="14"/>
        <v>45255</v>
      </c>
      <c r="B911" cm="1">
        <f t="array" aca="1" ref="B911" ca="1">[1]!s_dq_close("HSTECH.HI",$A911,3)</f>
        <v>4024.83</v>
      </c>
      <c r="C911" cm="1">
        <f t="array" aca="1" ref="C911" ca="1">[1]!s_dq_close("HSI.HI",$A911,3)</f>
        <v>17559.419999999998</v>
      </c>
    </row>
    <row r="912" spans="1:3">
      <c r="A912" s="23">
        <f t="shared" ca="1" si="14"/>
        <v>45254</v>
      </c>
      <c r="B912" cm="1">
        <f t="array" aca="1" ref="B912" ca="1">[1]!s_dq_close("HSTECH.HI",$A912,3)</f>
        <v>4024.83</v>
      </c>
      <c r="C912" cm="1">
        <f t="array" aca="1" ref="C912" ca="1">[1]!s_dq_close("HSI.HI",$A912,3)</f>
        <v>17559.419999999998</v>
      </c>
    </row>
    <row r="913" spans="1:3">
      <c r="A913" s="23">
        <f t="shared" ca="1" si="14"/>
        <v>45253</v>
      </c>
      <c r="B913" cm="1">
        <f t="array" aca="1" ref="B913" ca="1">[1]!s_dq_close("HSTECH.HI",$A913,3)</f>
        <v>4117.12</v>
      </c>
      <c r="C913" cm="1">
        <f t="array" aca="1" ref="C913" ca="1">[1]!s_dq_close("HSI.HI",$A913,3)</f>
        <v>17910.84</v>
      </c>
    </row>
    <row r="914" spans="1:3">
      <c r="A914" s="23">
        <f t="shared" ca="1" si="14"/>
        <v>45252</v>
      </c>
      <c r="B914" cm="1">
        <f t="array" aca="1" ref="B914" ca="1">[1]!s_dq_close("HSTECH.HI",$A914,3)</f>
        <v>4029.82</v>
      </c>
      <c r="C914" cm="1">
        <f t="array" aca="1" ref="C914" ca="1">[1]!s_dq_close("HSI.HI",$A914,3)</f>
        <v>17734.599999999999</v>
      </c>
    </row>
    <row r="915" spans="1:3">
      <c r="A915" s="23">
        <f t="shared" ca="1" si="14"/>
        <v>45251</v>
      </c>
      <c r="B915" cm="1">
        <f t="array" aca="1" ref="B915" ca="1">[1]!s_dq_close("HSTECH.HI",$A915,3)</f>
        <v>4037.07</v>
      </c>
      <c r="C915" cm="1">
        <f t="array" aca="1" ref="C915" ca="1">[1]!s_dq_close("HSI.HI",$A915,3)</f>
        <v>17733.89</v>
      </c>
    </row>
    <row r="916" spans="1:3">
      <c r="A916" s="23">
        <f t="shared" ca="1" si="14"/>
        <v>45250</v>
      </c>
      <c r="B916" cm="1">
        <f t="array" aca="1" ref="B916" ca="1">[1]!s_dq_close("HSTECH.HI",$A916,3)</f>
        <v>4077.58</v>
      </c>
      <c r="C916" cm="1">
        <f t="array" aca="1" ref="C916" ca="1">[1]!s_dq_close("HSI.HI",$A916,3)</f>
        <v>17778.07</v>
      </c>
    </row>
    <row r="917" spans="1:3">
      <c r="A917" s="23">
        <f t="shared" ca="1" si="14"/>
        <v>45249</v>
      </c>
      <c r="B917" cm="1">
        <f t="array" aca="1" ref="B917" ca="1">[1]!s_dq_close("HSTECH.HI",$A917,3)</f>
        <v>3980.15</v>
      </c>
      <c r="C917" cm="1">
        <f t="array" aca="1" ref="C917" ca="1">[1]!s_dq_close("HSI.HI",$A917,3)</f>
        <v>17454.189999999999</v>
      </c>
    </row>
    <row r="918" spans="1:3">
      <c r="A918" s="23">
        <f t="shared" ca="1" si="14"/>
        <v>45248</v>
      </c>
      <c r="B918" cm="1">
        <f t="array" aca="1" ref="B918" ca="1">[1]!s_dq_close("HSTECH.HI",$A918,3)</f>
        <v>3980.15</v>
      </c>
      <c r="C918" cm="1">
        <f t="array" aca="1" ref="C918" ca="1">[1]!s_dq_close("HSI.HI",$A918,3)</f>
        <v>17454.189999999999</v>
      </c>
    </row>
    <row r="919" spans="1:3">
      <c r="A919" s="23">
        <f t="shared" ca="1" si="14"/>
        <v>45247</v>
      </c>
      <c r="B919" cm="1">
        <f t="array" aca="1" ref="B919" ca="1">[1]!s_dq_close("HSTECH.HI",$A919,3)</f>
        <v>3980.15</v>
      </c>
      <c r="C919" cm="1">
        <f t="array" aca="1" ref="C919" ca="1">[1]!s_dq_close("HSI.HI",$A919,3)</f>
        <v>17454.189999999999</v>
      </c>
    </row>
    <row r="920" spans="1:3">
      <c r="A920" s="23">
        <f t="shared" ca="1" si="14"/>
        <v>45246</v>
      </c>
      <c r="B920" cm="1">
        <f t="array" aca="1" ref="B920" ca="1">[1]!s_dq_close("HSTECH.HI",$A920,3)</f>
        <v>4049.72</v>
      </c>
      <c r="C920" cm="1">
        <f t="array" aca="1" ref="C920" ca="1">[1]!s_dq_close("HSI.HI",$A920,3)</f>
        <v>17832.82</v>
      </c>
    </row>
    <row r="921" spans="1:3">
      <c r="A921" s="23">
        <f t="shared" ca="1" si="14"/>
        <v>45245</v>
      </c>
      <c r="B921" cm="1">
        <f t="array" aca="1" ref="B921" ca="1">[1]!s_dq_close("HSTECH.HI",$A921,3)</f>
        <v>4125.87</v>
      </c>
      <c r="C921" cm="1">
        <f t="array" aca="1" ref="C921" ca="1">[1]!s_dq_close("HSI.HI",$A921,3)</f>
        <v>18079</v>
      </c>
    </row>
    <row r="922" spans="1:3">
      <c r="A922" s="23">
        <f t="shared" ca="1" si="14"/>
        <v>45244</v>
      </c>
      <c r="B922" cm="1">
        <f t="array" aca="1" ref="B922" ca="1">[1]!s_dq_close("HSTECH.HI",$A922,3)</f>
        <v>3951.75</v>
      </c>
      <c r="C922" cm="1">
        <f t="array" aca="1" ref="C922" ca="1">[1]!s_dq_close("HSI.HI",$A922,3)</f>
        <v>17396.86</v>
      </c>
    </row>
    <row r="923" spans="1:3">
      <c r="A923" s="23">
        <f t="shared" ca="1" si="14"/>
        <v>45243</v>
      </c>
      <c r="B923" cm="1">
        <f t="array" aca="1" ref="B923" ca="1">[1]!s_dq_close("HSTECH.HI",$A923,3)</f>
        <v>3981.27</v>
      </c>
      <c r="C923" cm="1">
        <f t="array" aca="1" ref="C923" ca="1">[1]!s_dq_close("HSI.HI",$A923,3)</f>
        <v>17426.21</v>
      </c>
    </row>
    <row r="924" spans="1:3">
      <c r="A924" s="23">
        <f t="shared" ca="1" si="14"/>
        <v>45242</v>
      </c>
      <c r="B924" cm="1">
        <f t="array" aca="1" ref="B924" ca="1">[1]!s_dq_close("HSTECH.HI",$A924,3)</f>
        <v>3892.44</v>
      </c>
      <c r="C924" cm="1">
        <f t="array" aca="1" ref="C924" ca="1">[1]!s_dq_close("HSI.HI",$A924,3)</f>
        <v>17203.259999999998</v>
      </c>
    </row>
    <row r="925" spans="1:3">
      <c r="A925" s="23">
        <f t="shared" ca="1" si="14"/>
        <v>45241</v>
      </c>
      <c r="B925" cm="1">
        <f t="array" aca="1" ref="B925" ca="1">[1]!s_dq_close("HSTECH.HI",$A925,3)</f>
        <v>3892.44</v>
      </c>
      <c r="C925" cm="1">
        <f t="array" aca="1" ref="C925" ca="1">[1]!s_dq_close("HSI.HI",$A925,3)</f>
        <v>17203.259999999998</v>
      </c>
    </row>
    <row r="926" spans="1:3">
      <c r="A926" s="23">
        <f t="shared" ca="1" si="14"/>
        <v>45240</v>
      </c>
      <c r="B926" cm="1">
        <f t="array" aca="1" ref="B926" ca="1">[1]!s_dq_close("HSTECH.HI",$A926,3)</f>
        <v>3892.44</v>
      </c>
      <c r="C926" cm="1">
        <f t="array" aca="1" ref="C926" ca="1">[1]!s_dq_close("HSI.HI",$A926,3)</f>
        <v>17203.259999999998</v>
      </c>
    </row>
    <row r="927" spans="1:3">
      <c r="A927" s="23">
        <f t="shared" ca="1" si="14"/>
        <v>45239</v>
      </c>
      <c r="B927" cm="1">
        <f t="array" aca="1" ref="B927" ca="1">[1]!s_dq_close("HSTECH.HI",$A927,3)</f>
        <v>4024.24</v>
      </c>
      <c r="C927" cm="1">
        <f t="array" aca="1" ref="C927" ca="1">[1]!s_dq_close("HSI.HI",$A927,3)</f>
        <v>17511.29</v>
      </c>
    </row>
    <row r="928" spans="1:3">
      <c r="A928" s="23">
        <f t="shared" ca="1" si="14"/>
        <v>45238</v>
      </c>
      <c r="B928" cm="1">
        <f t="array" aca="1" ref="B928" ca="1">[1]!s_dq_close("HSTECH.HI",$A928,3)</f>
        <v>4020.84</v>
      </c>
      <c r="C928" cm="1">
        <f t="array" aca="1" ref="C928" ca="1">[1]!s_dq_close("HSI.HI",$A928,3)</f>
        <v>17568.46</v>
      </c>
    </row>
    <row r="929" spans="1:3">
      <c r="A929" s="23">
        <f t="shared" ca="1" si="14"/>
        <v>45237</v>
      </c>
      <c r="B929" cm="1">
        <f t="array" aca="1" ref="B929" ca="1">[1]!s_dq_close("HSTECH.HI",$A929,3)</f>
        <v>4055.84</v>
      </c>
      <c r="C929" cm="1">
        <f t="array" aca="1" ref="C929" ca="1">[1]!s_dq_close("HSI.HI",$A929,3)</f>
        <v>17670.16</v>
      </c>
    </row>
    <row r="930" spans="1:3">
      <c r="A930" s="23">
        <f t="shared" ca="1" si="14"/>
        <v>45236</v>
      </c>
      <c r="B930" cm="1">
        <f t="array" aca="1" ref="B930" ca="1">[1]!s_dq_close("HSTECH.HI",$A930,3)</f>
        <v>4098.58</v>
      </c>
      <c r="C930" cm="1">
        <f t="array" aca="1" ref="C930" ca="1">[1]!s_dq_close("HSI.HI",$A930,3)</f>
        <v>17966.59</v>
      </c>
    </row>
    <row r="931" spans="1:3">
      <c r="A931" s="23">
        <f t="shared" ca="1" si="14"/>
        <v>45235</v>
      </c>
      <c r="B931" cm="1">
        <f t="array" aca="1" ref="B931" ca="1">[1]!s_dq_close("HSTECH.HI",$A931,3)</f>
        <v>3937.37</v>
      </c>
      <c r="C931" cm="1">
        <f t="array" aca="1" ref="C931" ca="1">[1]!s_dq_close("HSI.HI",$A931,3)</f>
        <v>17664.12</v>
      </c>
    </row>
    <row r="932" spans="1:3">
      <c r="A932" s="23">
        <f t="shared" ca="1" si="14"/>
        <v>45234</v>
      </c>
      <c r="B932" cm="1">
        <f t="array" aca="1" ref="B932" ca="1">[1]!s_dq_close("HSTECH.HI",$A932,3)</f>
        <v>3937.37</v>
      </c>
      <c r="C932" cm="1">
        <f t="array" aca="1" ref="C932" ca="1">[1]!s_dq_close("HSI.HI",$A932,3)</f>
        <v>17664.12</v>
      </c>
    </row>
    <row r="933" spans="1:3">
      <c r="A933" s="23">
        <f t="shared" ca="1" si="14"/>
        <v>45233</v>
      </c>
      <c r="B933" cm="1">
        <f t="array" aca="1" ref="B933" ca="1">[1]!s_dq_close("HSTECH.HI",$A933,3)</f>
        <v>3937.37</v>
      </c>
      <c r="C933" cm="1">
        <f t="array" aca="1" ref="C933" ca="1">[1]!s_dq_close("HSI.HI",$A933,3)</f>
        <v>17664.12</v>
      </c>
    </row>
    <row r="934" spans="1:3">
      <c r="A934" s="23">
        <f t="shared" ca="1" si="14"/>
        <v>45232</v>
      </c>
      <c r="B934" cm="1">
        <f t="array" aca="1" ref="B934" ca="1">[1]!s_dq_close("HSTECH.HI",$A934,3)</f>
        <v>3813.42</v>
      </c>
      <c r="C934" cm="1">
        <f t="array" aca="1" ref="C934" ca="1">[1]!s_dq_close("HSI.HI",$A934,3)</f>
        <v>17230.59</v>
      </c>
    </row>
    <row r="935" spans="1:3">
      <c r="A935" s="23">
        <f t="shared" ca="1" si="14"/>
        <v>45231</v>
      </c>
      <c r="B935" cm="1">
        <f t="array" aca="1" ref="B935" ca="1">[1]!s_dq_close("HSTECH.HI",$A935,3)</f>
        <v>3752.37</v>
      </c>
      <c r="C935" cm="1">
        <f t="array" aca="1" ref="C935" ca="1">[1]!s_dq_close("HSI.HI",$A935,3)</f>
        <v>17101.78</v>
      </c>
    </row>
    <row r="936" spans="1:3">
      <c r="A936" s="23">
        <f t="shared" ca="1" si="14"/>
        <v>45230</v>
      </c>
      <c r="B936" cm="1">
        <f t="array" aca="1" ref="B936" ca="1">[1]!s_dq_close("HSTECH.HI",$A936,3)</f>
        <v>3759.16</v>
      </c>
      <c r="C936" cm="1">
        <f t="array" aca="1" ref="C936" ca="1">[1]!s_dq_close("HSI.HI",$A936,3)</f>
        <v>17112.48</v>
      </c>
    </row>
    <row r="937" spans="1:3">
      <c r="A937" s="23">
        <f t="shared" ca="1" si="14"/>
        <v>45229</v>
      </c>
      <c r="B937" cm="1">
        <f t="array" aca="1" ref="B937" ca="1">[1]!s_dq_close("HSTECH.HI",$A937,3)</f>
        <v>3854.31</v>
      </c>
      <c r="C937" cm="1">
        <f t="array" aca="1" ref="C937" ca="1">[1]!s_dq_close("HSI.HI",$A937,3)</f>
        <v>17406.36</v>
      </c>
    </row>
    <row r="938" spans="1:3">
      <c r="A938" s="23">
        <f t="shared" ca="1" si="14"/>
        <v>45228</v>
      </c>
      <c r="B938" cm="1">
        <f t="array" aca="1" ref="B938" ca="1">[1]!s_dq_close("HSTECH.HI",$A938,3)</f>
        <v>3806.1</v>
      </c>
      <c r="C938" cm="1">
        <f t="array" aca="1" ref="C938" ca="1">[1]!s_dq_close("HSI.HI",$A938,3)</f>
        <v>17398.73</v>
      </c>
    </row>
    <row r="939" spans="1:3">
      <c r="A939" s="23">
        <f t="shared" ca="1" si="14"/>
        <v>45227</v>
      </c>
      <c r="B939" cm="1">
        <f t="array" aca="1" ref="B939" ca="1">[1]!s_dq_close("HSTECH.HI",$A939,3)</f>
        <v>3806.1</v>
      </c>
      <c r="C939" cm="1">
        <f t="array" aca="1" ref="C939" ca="1">[1]!s_dq_close("HSI.HI",$A939,3)</f>
        <v>17398.73</v>
      </c>
    </row>
    <row r="940" spans="1:3">
      <c r="A940" s="23">
        <f t="shared" ca="1" si="14"/>
        <v>45226</v>
      </c>
      <c r="B940" cm="1">
        <f t="array" aca="1" ref="B940" ca="1">[1]!s_dq_close("HSTECH.HI",$A940,3)</f>
        <v>3806.1</v>
      </c>
      <c r="C940" cm="1">
        <f t="array" aca="1" ref="C940" ca="1">[1]!s_dq_close("HSI.HI",$A940,3)</f>
        <v>17398.73</v>
      </c>
    </row>
    <row r="941" spans="1:3">
      <c r="A941" s="23">
        <f t="shared" ca="1" si="14"/>
        <v>45225</v>
      </c>
      <c r="B941" cm="1">
        <f t="array" aca="1" ref="B941" ca="1">[1]!s_dq_close("HSTECH.HI",$A941,3)</f>
        <v>3712.55</v>
      </c>
      <c r="C941" cm="1">
        <f t="array" aca="1" ref="C941" ca="1">[1]!s_dq_close("HSI.HI",$A941,3)</f>
        <v>17044.61</v>
      </c>
    </row>
    <row r="942" spans="1:3">
      <c r="A942" s="23">
        <f t="shared" ca="1" si="14"/>
        <v>45224</v>
      </c>
      <c r="B942" cm="1">
        <f t="array" aca="1" ref="B942" ca="1">[1]!s_dq_close("HSTECH.HI",$A942,3)</f>
        <v>3700.94</v>
      </c>
      <c r="C942" cm="1">
        <f t="array" aca="1" ref="C942" ca="1">[1]!s_dq_close("HSI.HI",$A942,3)</f>
        <v>17085.330000000002</v>
      </c>
    </row>
    <row r="943" spans="1:3">
      <c r="A943" s="23">
        <f t="shared" ca="1" si="14"/>
        <v>45223</v>
      </c>
      <c r="B943" cm="1">
        <f t="array" aca="1" ref="B943" ca="1">[1]!s_dq_close("HSTECH.HI",$A943,3)</f>
        <v>3622.86</v>
      </c>
      <c r="C943" cm="1">
        <f t="array" aca="1" ref="C943" ca="1">[1]!s_dq_close("HSI.HI",$A943,3)</f>
        <v>16991.53</v>
      </c>
    </row>
    <row r="944" spans="1:3">
      <c r="A944" s="23">
        <f t="shared" ca="1" si="14"/>
        <v>45222</v>
      </c>
      <c r="B944" cm="1">
        <f t="array" aca="1" ref="B944" ca="1">[1]!s_dq_close("HSTECH.HI",$A944,3)</f>
        <v>3662.15</v>
      </c>
      <c r="C944" cm="1">
        <f t="array" aca="1" ref="C944" ca="1">[1]!s_dq_close("HSI.HI",$A944,3)</f>
        <v>17172.13</v>
      </c>
    </row>
    <row r="945" spans="1:3">
      <c r="A945" s="23">
        <f t="shared" ca="1" si="14"/>
        <v>45221</v>
      </c>
      <c r="B945" cm="1">
        <f t="array" aca="1" ref="B945" ca="1">[1]!s_dq_close("HSTECH.HI",$A945,3)</f>
        <v>3662.15</v>
      </c>
      <c r="C945" cm="1">
        <f t="array" aca="1" ref="C945" ca="1">[1]!s_dq_close("HSI.HI",$A945,3)</f>
        <v>17172.13</v>
      </c>
    </row>
    <row r="946" spans="1:3">
      <c r="A946" s="23">
        <f t="shared" ca="1" si="14"/>
        <v>45220</v>
      </c>
      <c r="B946" cm="1">
        <f t="array" aca="1" ref="B946" ca="1">[1]!s_dq_close("HSTECH.HI",$A946,3)</f>
        <v>3662.15</v>
      </c>
      <c r="C946" cm="1">
        <f t="array" aca="1" ref="C946" ca="1">[1]!s_dq_close("HSI.HI",$A946,3)</f>
        <v>17172.13</v>
      </c>
    </row>
    <row r="947" spans="1:3">
      <c r="A947" s="23">
        <f t="shared" ca="1" si="14"/>
        <v>45219</v>
      </c>
      <c r="B947" cm="1">
        <f t="array" aca="1" ref="B947" ca="1">[1]!s_dq_close("HSTECH.HI",$A947,3)</f>
        <v>3662.15</v>
      </c>
      <c r="C947" cm="1">
        <f t="array" aca="1" ref="C947" ca="1">[1]!s_dq_close("HSI.HI",$A947,3)</f>
        <v>17172.13</v>
      </c>
    </row>
    <row r="948" spans="1:3">
      <c r="A948" s="23">
        <f t="shared" ca="1" si="14"/>
        <v>45218</v>
      </c>
      <c r="B948" cm="1">
        <f t="array" aca="1" ref="B948" ca="1">[1]!s_dq_close("HSTECH.HI",$A948,3)</f>
        <v>3700.15</v>
      </c>
      <c r="C948" cm="1">
        <f t="array" aca="1" ref="C948" ca="1">[1]!s_dq_close("HSI.HI",$A948,3)</f>
        <v>17295.89</v>
      </c>
    </row>
    <row r="949" spans="1:3">
      <c r="A949" s="23">
        <f t="shared" ca="1" si="14"/>
        <v>45217</v>
      </c>
      <c r="B949" cm="1">
        <f t="array" aca="1" ref="B949" ca="1">[1]!s_dq_close("HSTECH.HI",$A949,3)</f>
        <v>3771.92</v>
      </c>
      <c r="C949" cm="1">
        <f t="array" aca="1" ref="C949" ca="1">[1]!s_dq_close("HSI.HI",$A949,3)</f>
        <v>17732.52</v>
      </c>
    </row>
    <row r="950" spans="1:3">
      <c r="A950" s="23">
        <f t="shared" ca="1" si="14"/>
        <v>45216</v>
      </c>
      <c r="B950" cm="1">
        <f t="array" aca="1" ref="B950" ca="1">[1]!s_dq_close("HSTECH.HI",$A950,3)</f>
        <v>3836.05</v>
      </c>
      <c r="C950" cm="1">
        <f t="array" aca="1" ref="C950" ca="1">[1]!s_dq_close("HSI.HI",$A950,3)</f>
        <v>17773.34</v>
      </c>
    </row>
    <row r="951" spans="1:3">
      <c r="A951" s="23">
        <f t="shared" ca="1" si="14"/>
        <v>45215</v>
      </c>
      <c r="B951" cm="1">
        <f t="array" aca="1" ref="B951" ca="1">[1]!s_dq_close("HSTECH.HI",$A951,3)</f>
        <v>3811.68</v>
      </c>
      <c r="C951" cm="1">
        <f t="array" aca="1" ref="C951" ca="1">[1]!s_dq_close("HSI.HI",$A951,3)</f>
        <v>17640.36</v>
      </c>
    </row>
    <row r="952" spans="1:3">
      <c r="A952" s="23">
        <f t="shared" ca="1" si="14"/>
        <v>45214</v>
      </c>
      <c r="B952" cm="1">
        <f t="array" aca="1" ref="B952" ca="1">[1]!s_dq_close("HSTECH.HI",$A952,3)</f>
        <v>3879.84</v>
      </c>
      <c r="C952" cm="1">
        <f t="array" aca="1" ref="C952" ca="1">[1]!s_dq_close("HSI.HI",$A952,3)</f>
        <v>17813.45</v>
      </c>
    </row>
    <row r="953" spans="1:3">
      <c r="A953" s="23">
        <f t="shared" ca="1" si="14"/>
        <v>45213</v>
      </c>
      <c r="B953" cm="1">
        <f t="array" aca="1" ref="B953" ca="1">[1]!s_dq_close("HSTECH.HI",$A953,3)</f>
        <v>3879.84</v>
      </c>
      <c r="C953" cm="1">
        <f t="array" aca="1" ref="C953" ca="1">[1]!s_dq_close("HSI.HI",$A953,3)</f>
        <v>17813.45</v>
      </c>
    </row>
    <row r="954" spans="1:3">
      <c r="A954" s="23">
        <f t="shared" ca="1" si="14"/>
        <v>45212</v>
      </c>
      <c r="B954" cm="1">
        <f t="array" aca="1" ref="B954" ca="1">[1]!s_dq_close("HSTECH.HI",$A954,3)</f>
        <v>3879.84</v>
      </c>
      <c r="C954" cm="1">
        <f t="array" aca="1" ref="C954" ca="1">[1]!s_dq_close("HSI.HI",$A954,3)</f>
        <v>17813.45</v>
      </c>
    </row>
    <row r="955" spans="1:3">
      <c r="A955" s="23">
        <f t="shared" ca="1" si="14"/>
        <v>45211</v>
      </c>
      <c r="B955" cm="1">
        <f t="array" aca="1" ref="B955" ca="1">[1]!s_dq_close("HSTECH.HI",$A955,3)</f>
        <v>4019.05</v>
      </c>
      <c r="C955" cm="1">
        <f t="array" aca="1" ref="C955" ca="1">[1]!s_dq_close("HSI.HI",$A955,3)</f>
        <v>18238.21</v>
      </c>
    </row>
    <row r="956" spans="1:3">
      <c r="A956" s="23">
        <f t="shared" ca="1" si="14"/>
        <v>45210</v>
      </c>
      <c r="B956" cm="1">
        <f t="array" aca="1" ref="B956" ca="1">[1]!s_dq_close("HSTECH.HI",$A956,3)</f>
        <v>3952.5</v>
      </c>
      <c r="C956" cm="1">
        <f t="array" aca="1" ref="C956" ca="1">[1]!s_dq_close("HSI.HI",$A956,3)</f>
        <v>17893.099999999999</v>
      </c>
    </row>
    <row r="957" spans="1:3">
      <c r="A957" s="23">
        <f t="shared" ca="1" si="14"/>
        <v>45209</v>
      </c>
      <c r="B957" cm="1">
        <f t="array" aca="1" ref="B957" ca="1">[1]!s_dq_close("HSTECH.HI",$A957,3)</f>
        <v>3874.67</v>
      </c>
      <c r="C957" cm="1">
        <f t="array" aca="1" ref="C957" ca="1">[1]!s_dq_close("HSI.HI",$A957,3)</f>
        <v>17664.73</v>
      </c>
    </row>
    <row r="958" spans="1:3">
      <c r="A958" s="23">
        <f t="shared" ca="1" si="14"/>
        <v>45208</v>
      </c>
      <c r="B958" cm="1">
        <f t="array" aca="1" ref="B958" ca="1">[1]!s_dq_close("HSTECH.HI",$A958,3)</f>
        <v>3825.48</v>
      </c>
      <c r="C958" cm="1">
        <f t="array" aca="1" ref="C958" ca="1">[1]!s_dq_close("HSI.HI",$A958,3)</f>
        <v>17517.400000000001</v>
      </c>
    </row>
    <row r="959" spans="1:3">
      <c r="A959" s="23">
        <f t="shared" ca="1" si="14"/>
        <v>45207</v>
      </c>
      <c r="B959" cm="1">
        <f t="array" aca="1" ref="B959" ca="1">[1]!s_dq_close("HSTECH.HI",$A959,3)</f>
        <v>3816.15</v>
      </c>
      <c r="C959" cm="1">
        <f t="array" aca="1" ref="C959" ca="1">[1]!s_dq_close("HSI.HI",$A959,3)</f>
        <v>17485.98</v>
      </c>
    </row>
    <row r="960" spans="1:3">
      <c r="A960" s="23">
        <f t="shared" ca="1" si="14"/>
        <v>45206</v>
      </c>
      <c r="B960" cm="1">
        <f t="array" aca="1" ref="B960" ca="1">[1]!s_dq_close("HSTECH.HI",$A960,3)</f>
        <v>3816.15</v>
      </c>
      <c r="C960" cm="1">
        <f t="array" aca="1" ref="C960" ca="1">[1]!s_dq_close("HSI.HI",$A960,3)</f>
        <v>17485.98</v>
      </c>
    </row>
    <row r="961" spans="1:3">
      <c r="A961" s="23">
        <f t="shared" ca="1" si="14"/>
        <v>45205</v>
      </c>
      <c r="B961" cm="1">
        <f t="array" aca="1" ref="B961" ca="1">[1]!s_dq_close("HSTECH.HI",$A961,3)</f>
        <v>3816.15</v>
      </c>
      <c r="C961" cm="1">
        <f t="array" aca="1" ref="C961" ca="1">[1]!s_dq_close("HSI.HI",$A961,3)</f>
        <v>17485.98</v>
      </c>
    </row>
    <row r="962" spans="1:3">
      <c r="A962" s="23">
        <f t="shared" ca="1" si="14"/>
        <v>45204</v>
      </c>
      <c r="B962" cm="1">
        <f t="array" aca="1" ref="B962" ca="1">[1]!s_dq_close("HSTECH.HI",$A962,3)</f>
        <v>3757.82</v>
      </c>
      <c r="C962" cm="1">
        <f t="array" aca="1" ref="C962" ca="1">[1]!s_dq_close("HSI.HI",$A962,3)</f>
        <v>17213.87</v>
      </c>
    </row>
    <row r="963" spans="1:3">
      <c r="A963" s="23">
        <f t="shared" ca="1" si="14"/>
        <v>45203</v>
      </c>
      <c r="B963" cm="1">
        <f t="array" aca="1" ref="B963" ca="1">[1]!s_dq_close("HSTECH.HI",$A963,3)</f>
        <v>3752.42</v>
      </c>
      <c r="C963" cm="1">
        <f t="array" aca="1" ref="C963" ca="1">[1]!s_dq_close("HSI.HI",$A963,3)</f>
        <v>17195.84</v>
      </c>
    </row>
    <row r="964" spans="1:3">
      <c r="A964" s="23">
        <f t="shared" ref="A964:A1027" ca="1" si="15">A963-1</f>
        <v>45202</v>
      </c>
      <c r="B964" cm="1">
        <f t="array" aca="1" ref="B964" ca="1">[1]!s_dq_close("HSTECH.HI",$A964,3)</f>
        <v>3817.52</v>
      </c>
      <c r="C964" cm="1">
        <f t="array" aca="1" ref="C964" ca="1">[1]!s_dq_close("HSI.HI",$A964,3)</f>
        <v>17331.22</v>
      </c>
    </row>
    <row r="965" spans="1:3">
      <c r="A965" s="23">
        <f t="shared" ca="1" si="15"/>
        <v>45201</v>
      </c>
      <c r="B965" cm="1">
        <f t="array" aca="1" ref="B965" ca="1">[1]!s_dq_close("HSTECH.HI",$A965,3)</f>
        <v>3920.59</v>
      </c>
      <c r="C965" cm="1">
        <f t="array" aca="1" ref="C965" ca="1">[1]!s_dq_close("HSI.HI",$A965,3)</f>
        <v>17809.66</v>
      </c>
    </row>
    <row r="966" spans="1:3">
      <c r="A966" s="23">
        <f t="shared" ca="1" si="15"/>
        <v>45200</v>
      </c>
      <c r="B966" cm="1">
        <f t="array" aca="1" ref="B966" ca="1">[1]!s_dq_close("HSTECH.HI",$A966,3)</f>
        <v>3920.59</v>
      </c>
      <c r="C966" cm="1">
        <f t="array" aca="1" ref="C966" ca="1">[1]!s_dq_close("HSI.HI",$A966,3)</f>
        <v>17809.66</v>
      </c>
    </row>
    <row r="967" spans="1:3">
      <c r="A967" s="23">
        <f t="shared" ca="1" si="15"/>
        <v>45199</v>
      </c>
      <c r="B967" cm="1">
        <f t="array" aca="1" ref="B967" ca="1">[1]!s_dq_close("HSTECH.HI",$A967,3)</f>
        <v>3920.59</v>
      </c>
      <c r="C967" cm="1">
        <f t="array" aca="1" ref="C967" ca="1">[1]!s_dq_close("HSI.HI",$A967,3)</f>
        <v>17809.66</v>
      </c>
    </row>
    <row r="968" spans="1:3">
      <c r="A968" s="23">
        <f t="shared" ca="1" si="15"/>
        <v>45198</v>
      </c>
      <c r="B968" cm="1">
        <f t="array" aca="1" ref="B968" ca="1">[1]!s_dq_close("HSTECH.HI",$A968,3)</f>
        <v>3920.59</v>
      </c>
      <c r="C968" cm="1">
        <f t="array" aca="1" ref="C968" ca="1">[1]!s_dq_close("HSI.HI",$A968,3)</f>
        <v>17809.66</v>
      </c>
    </row>
    <row r="969" spans="1:3">
      <c r="A969" s="23">
        <f t="shared" ca="1" si="15"/>
        <v>45197</v>
      </c>
      <c r="B969" cm="1">
        <f t="array" aca="1" ref="B969" ca="1">[1]!s_dq_close("HSTECH.HI",$A969,3)</f>
        <v>3778.12</v>
      </c>
      <c r="C969" cm="1">
        <f t="array" aca="1" ref="C969" ca="1">[1]!s_dq_close("HSI.HI",$A969,3)</f>
        <v>17373.03</v>
      </c>
    </row>
    <row r="970" spans="1:3">
      <c r="A970" s="23">
        <f t="shared" ca="1" si="15"/>
        <v>45196</v>
      </c>
      <c r="B970" cm="1">
        <f t="array" aca="1" ref="B970" ca="1">[1]!s_dq_close("HSTECH.HI",$A970,3)</f>
        <v>3833.87</v>
      </c>
      <c r="C970" cm="1">
        <f t="array" aca="1" ref="C970" ca="1">[1]!s_dq_close("HSI.HI",$A970,3)</f>
        <v>17611.87</v>
      </c>
    </row>
    <row r="971" spans="1:3">
      <c r="A971" s="23">
        <f t="shared" ca="1" si="15"/>
        <v>45195</v>
      </c>
      <c r="B971" cm="1">
        <f t="array" aca="1" ref="B971" ca="1">[1]!s_dq_close("HSTECH.HI",$A971,3)</f>
        <v>3817.27</v>
      </c>
      <c r="C971" cm="1">
        <f t="array" aca="1" ref="C971" ca="1">[1]!s_dq_close("HSI.HI",$A971,3)</f>
        <v>17466.900000000001</v>
      </c>
    </row>
    <row r="972" spans="1:3">
      <c r="A972" s="23">
        <f t="shared" ca="1" si="15"/>
        <v>45194</v>
      </c>
      <c r="B972" cm="1">
        <f t="array" aca="1" ref="B972" ca="1">[1]!s_dq_close("HSTECH.HI",$A972,3)</f>
        <v>3882.9</v>
      </c>
      <c r="C972" cm="1">
        <f t="array" aca="1" ref="C972" ca="1">[1]!s_dq_close("HSI.HI",$A972,3)</f>
        <v>17729.29</v>
      </c>
    </row>
    <row r="973" spans="1:3">
      <c r="A973" s="23">
        <f t="shared" ca="1" si="15"/>
        <v>45193</v>
      </c>
      <c r="B973" cm="1">
        <f t="array" aca="1" ref="B973" ca="1">[1]!s_dq_close("HSTECH.HI",$A973,3)</f>
        <v>3991.33</v>
      </c>
      <c r="C973" cm="1">
        <f t="array" aca="1" ref="C973" ca="1">[1]!s_dq_close("HSI.HI",$A973,3)</f>
        <v>18057.45</v>
      </c>
    </row>
    <row r="974" spans="1:3">
      <c r="A974" s="23">
        <f t="shared" ca="1" si="15"/>
        <v>45192</v>
      </c>
      <c r="B974" cm="1">
        <f t="array" aca="1" ref="B974" ca="1">[1]!s_dq_close("HSTECH.HI",$A974,3)</f>
        <v>3991.33</v>
      </c>
      <c r="C974" cm="1">
        <f t="array" aca="1" ref="C974" ca="1">[1]!s_dq_close("HSI.HI",$A974,3)</f>
        <v>18057.45</v>
      </c>
    </row>
    <row r="975" spans="1:3">
      <c r="A975" s="23">
        <f t="shared" ca="1" si="15"/>
        <v>45191</v>
      </c>
      <c r="B975" cm="1">
        <f t="array" aca="1" ref="B975" ca="1">[1]!s_dq_close("HSTECH.HI",$A975,3)</f>
        <v>3991.33</v>
      </c>
      <c r="C975" cm="1">
        <f t="array" aca="1" ref="C975" ca="1">[1]!s_dq_close("HSI.HI",$A975,3)</f>
        <v>18057.45</v>
      </c>
    </row>
    <row r="976" spans="1:3">
      <c r="A976" s="23">
        <f t="shared" ca="1" si="15"/>
        <v>45190</v>
      </c>
      <c r="B976" cm="1">
        <f t="array" aca="1" ref="B976" ca="1">[1]!s_dq_close("HSTECH.HI",$A976,3)</f>
        <v>3849.27</v>
      </c>
      <c r="C976" cm="1">
        <f t="array" aca="1" ref="C976" ca="1">[1]!s_dq_close("HSI.HI",$A976,3)</f>
        <v>17655.41</v>
      </c>
    </row>
    <row r="977" spans="1:3">
      <c r="A977" s="23">
        <f t="shared" ca="1" si="15"/>
        <v>45189</v>
      </c>
      <c r="B977" cm="1">
        <f t="array" aca="1" ref="B977" ca="1">[1]!s_dq_close("HSTECH.HI",$A977,3)</f>
        <v>3921.83</v>
      </c>
      <c r="C977" cm="1">
        <f t="array" aca="1" ref="C977" ca="1">[1]!s_dq_close("HSI.HI",$A977,3)</f>
        <v>17885.599999999999</v>
      </c>
    </row>
    <row r="978" spans="1:3">
      <c r="A978" s="23">
        <f t="shared" ca="1" si="15"/>
        <v>45188</v>
      </c>
      <c r="B978" cm="1">
        <f t="array" aca="1" ref="B978" ca="1">[1]!s_dq_close("HSTECH.HI",$A978,3)</f>
        <v>3984.79</v>
      </c>
      <c r="C978" cm="1">
        <f t="array" aca="1" ref="C978" ca="1">[1]!s_dq_close("HSI.HI",$A978,3)</f>
        <v>17997.169999999998</v>
      </c>
    </row>
    <row r="979" spans="1:3">
      <c r="A979" s="23">
        <f t="shared" ca="1" si="15"/>
        <v>45187</v>
      </c>
      <c r="B979" cm="1">
        <f t="array" aca="1" ref="B979" ca="1">[1]!s_dq_close("HSTECH.HI",$A979,3)</f>
        <v>3987.35</v>
      </c>
      <c r="C979" cm="1">
        <f t="array" aca="1" ref="C979" ca="1">[1]!s_dq_close("HSI.HI",$A979,3)</f>
        <v>17930.55</v>
      </c>
    </row>
    <row r="980" spans="1:3">
      <c r="A980" s="23">
        <f t="shared" ca="1" si="15"/>
        <v>45186</v>
      </c>
      <c r="B980" cm="1">
        <f t="array" aca="1" ref="B980" ca="1">[1]!s_dq_close("HSTECH.HI",$A980,3)</f>
        <v>4077.91</v>
      </c>
      <c r="C980" cm="1">
        <f t="array" aca="1" ref="C980" ca="1">[1]!s_dq_close("HSI.HI",$A980,3)</f>
        <v>18182.89</v>
      </c>
    </row>
    <row r="981" spans="1:3">
      <c r="A981" s="23">
        <f t="shared" ca="1" si="15"/>
        <v>45185</v>
      </c>
      <c r="B981" cm="1">
        <f t="array" aca="1" ref="B981" ca="1">[1]!s_dq_close("HSTECH.HI",$A981,3)</f>
        <v>4077.91</v>
      </c>
      <c r="C981" cm="1">
        <f t="array" aca="1" ref="C981" ca="1">[1]!s_dq_close("HSI.HI",$A981,3)</f>
        <v>18182.89</v>
      </c>
    </row>
    <row r="982" spans="1:3">
      <c r="A982" s="23">
        <f t="shared" ca="1" si="15"/>
        <v>45184</v>
      </c>
      <c r="B982" cm="1">
        <f t="array" aca="1" ref="B982" ca="1">[1]!s_dq_close("HSTECH.HI",$A982,3)</f>
        <v>4077.91</v>
      </c>
      <c r="C982" cm="1">
        <f t="array" aca="1" ref="C982" ca="1">[1]!s_dq_close("HSI.HI",$A982,3)</f>
        <v>18182.89</v>
      </c>
    </row>
    <row r="983" spans="1:3">
      <c r="A983" s="23">
        <f t="shared" ca="1" si="15"/>
        <v>45183</v>
      </c>
      <c r="B983" cm="1">
        <f t="array" aca="1" ref="B983" ca="1">[1]!s_dq_close("HSTECH.HI",$A983,3)</f>
        <v>4059.15</v>
      </c>
      <c r="C983" cm="1">
        <f t="array" aca="1" ref="C983" ca="1">[1]!s_dq_close("HSI.HI",$A983,3)</f>
        <v>18047.919999999998</v>
      </c>
    </row>
    <row r="984" spans="1:3">
      <c r="A984" s="23">
        <f t="shared" ca="1" si="15"/>
        <v>45182</v>
      </c>
      <c r="B984" cm="1">
        <f t="array" aca="1" ref="B984" ca="1">[1]!s_dq_close("HSTECH.HI",$A984,3)</f>
        <v>4041.19</v>
      </c>
      <c r="C984" cm="1">
        <f t="array" aca="1" ref="C984" ca="1">[1]!s_dq_close("HSI.HI",$A984,3)</f>
        <v>18009.22</v>
      </c>
    </row>
    <row r="985" spans="1:3">
      <c r="A985" s="23">
        <f t="shared" ca="1" si="15"/>
        <v>45181</v>
      </c>
      <c r="B985" cm="1">
        <f t="array" aca="1" ref="B985" ca="1">[1]!s_dq_close("HSTECH.HI",$A985,3)</f>
        <v>4063.96</v>
      </c>
      <c r="C985" cm="1">
        <f t="array" aca="1" ref="C985" ca="1">[1]!s_dq_close("HSI.HI",$A985,3)</f>
        <v>18025.89</v>
      </c>
    </row>
    <row r="986" spans="1:3">
      <c r="A986" s="23">
        <f t="shared" ca="1" si="15"/>
        <v>45180</v>
      </c>
      <c r="B986" cm="1">
        <f t="array" aca="1" ref="B986" ca="1">[1]!s_dq_close("HSTECH.HI",$A986,3)</f>
        <v>4083.14</v>
      </c>
      <c r="C986" cm="1">
        <f t="array" aca="1" ref="C986" ca="1">[1]!s_dq_close("HSI.HI",$A986,3)</f>
        <v>18096.45</v>
      </c>
    </row>
    <row r="987" spans="1:3">
      <c r="A987" s="23">
        <f t="shared" ca="1" si="15"/>
        <v>45179</v>
      </c>
      <c r="B987" cm="1">
        <f t="array" aca="1" ref="B987" ca="1">[1]!s_dq_close("HSTECH.HI",$A987,3)</f>
        <v>4091.65</v>
      </c>
      <c r="C987" cm="1">
        <f t="array" aca="1" ref="C987" ca="1">[1]!s_dq_close("HSI.HI",$A987,3)</f>
        <v>18202.07</v>
      </c>
    </row>
    <row r="988" spans="1:3">
      <c r="A988" s="23">
        <f t="shared" ca="1" si="15"/>
        <v>45178</v>
      </c>
      <c r="B988" cm="1">
        <f t="array" aca="1" ref="B988" ca="1">[1]!s_dq_close("HSTECH.HI",$A988,3)</f>
        <v>4091.65</v>
      </c>
      <c r="C988" cm="1">
        <f t="array" aca="1" ref="C988" ca="1">[1]!s_dq_close("HSI.HI",$A988,3)</f>
        <v>18202.07</v>
      </c>
    </row>
    <row r="989" spans="1:3">
      <c r="A989" s="23">
        <f t="shared" ca="1" si="15"/>
        <v>45177</v>
      </c>
      <c r="B989" cm="1">
        <f t="array" aca="1" ref="B989" ca="1">[1]!s_dq_close("HSTECH.HI",$A989,3)</f>
        <v>4091.65</v>
      </c>
      <c r="C989" cm="1">
        <f t="array" aca="1" ref="C989" ca="1">[1]!s_dq_close("HSI.HI",$A989,3)</f>
        <v>18202.07</v>
      </c>
    </row>
    <row r="990" spans="1:3">
      <c r="A990" s="23">
        <f t="shared" ca="1" si="15"/>
        <v>45176</v>
      </c>
      <c r="B990" cm="1">
        <f t="array" aca="1" ref="B990" ca="1">[1]!s_dq_close("HSTECH.HI",$A990,3)</f>
        <v>4091.65</v>
      </c>
      <c r="C990" cm="1">
        <f t="array" aca="1" ref="C990" ca="1">[1]!s_dq_close("HSI.HI",$A990,3)</f>
        <v>18202.07</v>
      </c>
    </row>
    <row r="991" spans="1:3">
      <c r="A991" s="23">
        <f t="shared" ca="1" si="15"/>
        <v>45175</v>
      </c>
      <c r="B991" cm="1">
        <f t="array" aca="1" ref="B991" ca="1">[1]!s_dq_close("HSTECH.HI",$A991,3)</f>
        <v>4176.84</v>
      </c>
      <c r="C991" cm="1">
        <f t="array" aca="1" ref="C991" ca="1">[1]!s_dq_close("HSI.HI",$A991,3)</f>
        <v>18449.98</v>
      </c>
    </row>
    <row r="992" spans="1:3">
      <c r="A992" s="23">
        <f t="shared" ca="1" si="15"/>
        <v>45174</v>
      </c>
      <c r="B992" cm="1">
        <f t="array" aca="1" ref="B992" ca="1">[1]!s_dq_close("HSTECH.HI",$A992,3)</f>
        <v>4193.45</v>
      </c>
      <c r="C992" cm="1">
        <f t="array" aca="1" ref="C992" ca="1">[1]!s_dq_close("HSI.HI",$A992,3)</f>
        <v>18456.91</v>
      </c>
    </row>
    <row r="993" spans="1:3">
      <c r="A993" s="23">
        <f t="shared" ca="1" si="15"/>
        <v>45173</v>
      </c>
      <c r="B993" cm="1">
        <f t="array" aca="1" ref="B993" ca="1">[1]!s_dq_close("HSTECH.HI",$A993,3)</f>
        <v>4305.0200000000004</v>
      </c>
      <c r="C993" cm="1">
        <f t="array" aca="1" ref="C993" ca="1">[1]!s_dq_close("HSI.HI",$A993,3)</f>
        <v>18844.16</v>
      </c>
    </row>
    <row r="994" spans="1:3">
      <c r="A994" s="23">
        <f t="shared" ca="1" si="15"/>
        <v>45172</v>
      </c>
      <c r="B994" cm="1">
        <f t="array" aca="1" ref="B994" ca="1">[1]!s_dq_close("HSTECH.HI",$A994,3)</f>
        <v>4179.49</v>
      </c>
      <c r="C994" cm="1">
        <f t="array" aca="1" ref="C994" ca="1">[1]!s_dq_close("HSI.HI",$A994,3)</f>
        <v>18382.060000000001</v>
      </c>
    </row>
    <row r="995" spans="1:3">
      <c r="A995" s="23">
        <f t="shared" ca="1" si="15"/>
        <v>45171</v>
      </c>
      <c r="B995" cm="1">
        <f t="array" aca="1" ref="B995" ca="1">[1]!s_dq_close("HSTECH.HI",$A995,3)</f>
        <v>4179.49</v>
      </c>
      <c r="C995" cm="1">
        <f t="array" aca="1" ref="C995" ca="1">[1]!s_dq_close("HSI.HI",$A995,3)</f>
        <v>18382.060000000001</v>
      </c>
    </row>
    <row r="996" spans="1:3">
      <c r="A996" s="23">
        <f t="shared" ca="1" si="15"/>
        <v>45170</v>
      </c>
      <c r="B996" cm="1">
        <f t="array" aca="1" ref="B996" ca="1">[1]!s_dq_close("HSTECH.HI",$A996,3)</f>
        <v>4179.49</v>
      </c>
      <c r="C996" cm="1">
        <f t="array" aca="1" ref="C996" ca="1">[1]!s_dq_close("HSI.HI",$A996,3)</f>
        <v>18382.060000000001</v>
      </c>
    </row>
    <row r="997" spans="1:3">
      <c r="A997" s="23">
        <f t="shared" ca="1" si="15"/>
        <v>45169</v>
      </c>
      <c r="B997" cm="1">
        <f t="array" aca="1" ref="B997" ca="1">[1]!s_dq_close("HSTECH.HI",$A997,3)</f>
        <v>4179.49</v>
      </c>
      <c r="C997" cm="1">
        <f t="array" aca="1" ref="C997" ca="1">[1]!s_dq_close("HSI.HI",$A997,3)</f>
        <v>18382.060000000001</v>
      </c>
    </row>
    <row r="998" spans="1:3">
      <c r="A998" s="23">
        <f t="shared" ca="1" si="15"/>
        <v>45168</v>
      </c>
      <c r="B998" cm="1">
        <f t="array" aca="1" ref="B998" ca="1">[1]!s_dq_close("HSTECH.HI",$A998,3)</f>
        <v>4195.41</v>
      </c>
      <c r="C998" cm="1">
        <f t="array" aca="1" ref="C998" ca="1">[1]!s_dq_close("HSI.HI",$A998,3)</f>
        <v>18482.86</v>
      </c>
    </row>
    <row r="999" spans="1:3">
      <c r="A999" s="23">
        <f t="shared" ca="1" si="15"/>
        <v>45167</v>
      </c>
      <c r="B999" cm="1">
        <f t="array" aca="1" ref="B999" ca="1">[1]!s_dq_close("HSTECH.HI",$A999,3)</f>
        <v>4234.43</v>
      </c>
      <c r="C999" cm="1">
        <f t="array" aca="1" ref="C999" ca="1">[1]!s_dq_close("HSI.HI",$A999,3)</f>
        <v>18484.03</v>
      </c>
    </row>
    <row r="1000" spans="1:3">
      <c r="A1000" s="23">
        <f t="shared" ca="1" si="15"/>
        <v>45166</v>
      </c>
      <c r="B1000" cm="1">
        <f t="array" aca="1" ref="B1000" ca="1">[1]!s_dq_close("HSTECH.HI",$A1000,3)</f>
        <v>4127.54</v>
      </c>
      <c r="C1000" cm="1">
        <f t="array" aca="1" ref="C1000" ca="1">[1]!s_dq_close("HSI.HI",$A1000,3)</f>
        <v>18130.740000000002</v>
      </c>
    </row>
    <row r="1001" spans="1:3">
      <c r="A1001" s="23">
        <f t="shared" ca="1" si="15"/>
        <v>45165</v>
      </c>
      <c r="B1001" cm="1">
        <f t="array" aca="1" ref="B1001" ca="1">[1]!s_dq_close("HSTECH.HI",$A1001,3)</f>
        <v>4058.95</v>
      </c>
      <c r="C1001" cm="1">
        <f t="array" aca="1" ref="C1001" ca="1">[1]!s_dq_close("HSI.HI",$A1001,3)</f>
        <v>17956.38</v>
      </c>
    </row>
    <row r="1002" spans="1:3">
      <c r="A1002" s="23">
        <f t="shared" ca="1" si="15"/>
        <v>45164</v>
      </c>
      <c r="B1002" cm="1">
        <f t="array" aca="1" ref="B1002" ca="1">[1]!s_dq_close("HSTECH.HI",$A1002,3)</f>
        <v>4058.95</v>
      </c>
      <c r="C1002" cm="1">
        <f t="array" aca="1" ref="C1002" ca="1">[1]!s_dq_close("HSI.HI",$A1002,3)</f>
        <v>17956.38</v>
      </c>
    </row>
    <row r="1003" spans="1:3">
      <c r="A1003" s="23">
        <f t="shared" ca="1" si="15"/>
        <v>45163</v>
      </c>
      <c r="B1003" cm="1">
        <f t="array" aca="1" ref="B1003" ca="1">[1]!s_dq_close("HSTECH.HI",$A1003,3)</f>
        <v>4058.95</v>
      </c>
      <c r="C1003" cm="1">
        <f t="array" aca="1" ref="C1003" ca="1">[1]!s_dq_close("HSI.HI",$A1003,3)</f>
        <v>17956.38</v>
      </c>
    </row>
    <row r="1004" spans="1:3">
      <c r="A1004" s="23">
        <f t="shared" ca="1" si="15"/>
        <v>45162</v>
      </c>
      <c r="B1004" cm="1">
        <f t="array" aca="1" ref="B1004" ca="1">[1]!s_dq_close("HSTECH.HI",$A1004,3)</f>
        <v>4158.0200000000004</v>
      </c>
      <c r="C1004" cm="1">
        <f t="array" aca="1" ref="C1004" ca="1">[1]!s_dq_close("HSI.HI",$A1004,3)</f>
        <v>18212.169999999998</v>
      </c>
    </row>
    <row r="1005" spans="1:3">
      <c r="A1005" s="23">
        <f t="shared" ca="1" si="15"/>
        <v>45161</v>
      </c>
      <c r="B1005" cm="1">
        <f t="array" aca="1" ref="B1005" ca="1">[1]!s_dq_close("HSTECH.HI",$A1005,3)</f>
        <v>4008.86</v>
      </c>
      <c r="C1005" cm="1">
        <f t="array" aca="1" ref="C1005" ca="1">[1]!s_dq_close("HSI.HI",$A1005,3)</f>
        <v>17845.919999999998</v>
      </c>
    </row>
    <row r="1006" spans="1:3">
      <c r="A1006" s="23">
        <f t="shared" ca="1" si="15"/>
        <v>45160</v>
      </c>
      <c r="B1006" cm="1">
        <f t="array" aca="1" ref="B1006" ca="1">[1]!s_dq_close("HSTECH.HI",$A1006,3)</f>
        <v>4000.92</v>
      </c>
      <c r="C1006" cm="1">
        <f t="array" aca="1" ref="C1006" ca="1">[1]!s_dq_close("HSI.HI",$A1006,3)</f>
        <v>17791.009999999998</v>
      </c>
    </row>
    <row r="1007" spans="1:3">
      <c r="A1007" s="23">
        <f t="shared" ca="1" si="15"/>
        <v>45159</v>
      </c>
      <c r="B1007" cm="1">
        <f t="array" aca="1" ref="B1007" ca="1">[1]!s_dq_close("HSTECH.HI",$A1007,3)</f>
        <v>3923.16</v>
      </c>
      <c r="C1007" cm="1">
        <f t="array" aca="1" ref="C1007" ca="1">[1]!s_dq_close("HSI.HI",$A1007,3)</f>
        <v>17623.29</v>
      </c>
    </row>
    <row r="1008" spans="1:3">
      <c r="A1008" s="23">
        <f t="shared" ca="1" si="15"/>
        <v>45158</v>
      </c>
      <c r="B1008" cm="1">
        <f t="array" aca="1" ref="B1008" ca="1">[1]!s_dq_close("HSTECH.HI",$A1008,3)</f>
        <v>4007.39</v>
      </c>
      <c r="C1008" cm="1">
        <f t="array" aca="1" ref="C1008" ca="1">[1]!s_dq_close("HSI.HI",$A1008,3)</f>
        <v>17950.849999999999</v>
      </c>
    </row>
    <row r="1009" spans="1:3">
      <c r="A1009" s="23">
        <f t="shared" ca="1" si="15"/>
        <v>45157</v>
      </c>
      <c r="B1009" cm="1">
        <f t="array" aca="1" ref="B1009" ca="1">[1]!s_dq_close("HSTECH.HI",$A1009,3)</f>
        <v>4007.39</v>
      </c>
      <c r="C1009" cm="1">
        <f t="array" aca="1" ref="C1009" ca="1">[1]!s_dq_close("HSI.HI",$A1009,3)</f>
        <v>17950.849999999999</v>
      </c>
    </row>
    <row r="1010" spans="1:3">
      <c r="A1010" s="23">
        <f t="shared" ca="1" si="15"/>
        <v>45156</v>
      </c>
      <c r="B1010" cm="1">
        <f t="array" aca="1" ref="B1010" ca="1">[1]!s_dq_close("HSTECH.HI",$A1010,3)</f>
        <v>4007.39</v>
      </c>
      <c r="C1010" cm="1">
        <f t="array" aca="1" ref="C1010" ca="1">[1]!s_dq_close("HSI.HI",$A1010,3)</f>
        <v>17950.849999999999</v>
      </c>
    </row>
    <row r="1011" spans="1:3">
      <c r="A1011" s="23">
        <f t="shared" ca="1" si="15"/>
        <v>45155</v>
      </c>
      <c r="B1011" cm="1">
        <f t="array" aca="1" ref="B1011" ca="1">[1]!s_dq_close("HSTECH.HI",$A1011,3)</f>
        <v>4158.28</v>
      </c>
      <c r="C1011" cm="1">
        <f t="array" aca="1" ref="C1011" ca="1">[1]!s_dq_close("HSI.HI",$A1011,3)</f>
        <v>18326.63</v>
      </c>
    </row>
    <row r="1012" spans="1:3">
      <c r="A1012" s="23">
        <f t="shared" ca="1" si="15"/>
        <v>45154</v>
      </c>
      <c r="B1012" cm="1">
        <f t="array" aca="1" ref="B1012" ca="1">[1]!s_dq_close("HSTECH.HI",$A1012,3)</f>
        <v>4126.13</v>
      </c>
      <c r="C1012" cm="1">
        <f t="array" aca="1" ref="C1012" ca="1">[1]!s_dq_close("HSI.HI",$A1012,3)</f>
        <v>18329.3</v>
      </c>
    </row>
    <row r="1013" spans="1:3">
      <c r="A1013" s="23">
        <f t="shared" ca="1" si="15"/>
        <v>45153</v>
      </c>
      <c r="B1013" cm="1">
        <f t="array" aca="1" ref="B1013" ca="1">[1]!s_dq_close("HSTECH.HI",$A1013,3)</f>
        <v>4179.13</v>
      </c>
      <c r="C1013" cm="1">
        <f t="array" aca="1" ref="C1013" ca="1">[1]!s_dq_close("HSI.HI",$A1013,3)</f>
        <v>18581.11</v>
      </c>
    </row>
    <row r="1014" spans="1:3">
      <c r="A1014" s="23">
        <f t="shared" ca="1" si="15"/>
        <v>45152</v>
      </c>
      <c r="B1014" cm="1">
        <f t="array" aca="1" ref="B1014" ca="1">[1]!s_dq_close("HSTECH.HI",$A1014,3)</f>
        <v>4208.43</v>
      </c>
      <c r="C1014" cm="1">
        <f t="array" aca="1" ref="C1014" ca="1">[1]!s_dq_close("HSI.HI",$A1014,3)</f>
        <v>18773.55</v>
      </c>
    </row>
    <row r="1015" spans="1:3">
      <c r="A1015" s="23">
        <f t="shared" ca="1" si="15"/>
        <v>45151</v>
      </c>
      <c r="B1015" cm="1">
        <f t="array" aca="1" ref="B1015" ca="1">[1]!s_dq_close("HSTECH.HI",$A1015,3)</f>
        <v>4273.1899999999996</v>
      </c>
      <c r="C1015" cm="1">
        <f t="array" aca="1" ref="C1015" ca="1">[1]!s_dq_close("HSI.HI",$A1015,3)</f>
        <v>19075.189999999999</v>
      </c>
    </row>
    <row r="1016" spans="1:3">
      <c r="A1016" s="23">
        <f t="shared" ca="1" si="15"/>
        <v>45150</v>
      </c>
      <c r="B1016" cm="1">
        <f t="array" aca="1" ref="B1016" ca="1">[1]!s_dq_close("HSTECH.HI",$A1016,3)</f>
        <v>4273.1899999999996</v>
      </c>
      <c r="C1016" cm="1">
        <f t="array" aca="1" ref="C1016" ca="1">[1]!s_dq_close("HSI.HI",$A1016,3)</f>
        <v>19075.189999999999</v>
      </c>
    </row>
    <row r="1017" spans="1:3">
      <c r="A1017" s="23">
        <f t="shared" ca="1" si="15"/>
        <v>45149</v>
      </c>
      <c r="B1017" cm="1">
        <f t="array" aca="1" ref="B1017" ca="1">[1]!s_dq_close("HSTECH.HI",$A1017,3)</f>
        <v>4273.1899999999996</v>
      </c>
      <c r="C1017" cm="1">
        <f t="array" aca="1" ref="C1017" ca="1">[1]!s_dq_close("HSI.HI",$A1017,3)</f>
        <v>19075.189999999999</v>
      </c>
    </row>
    <row r="1018" spans="1:3">
      <c r="A1018" s="23">
        <f t="shared" ca="1" si="15"/>
        <v>45148</v>
      </c>
      <c r="B1018" cm="1">
        <f t="array" aca="1" ref="B1018" ca="1">[1]!s_dq_close("HSTECH.HI",$A1018,3)</f>
        <v>4378.04</v>
      </c>
      <c r="C1018" cm="1">
        <f t="array" aca="1" ref="C1018" ca="1">[1]!s_dq_close("HSI.HI",$A1018,3)</f>
        <v>19248.259999999998</v>
      </c>
    </row>
    <row r="1019" spans="1:3">
      <c r="A1019" s="23">
        <f t="shared" ca="1" si="15"/>
        <v>45147</v>
      </c>
      <c r="B1019" cm="1">
        <f t="array" aca="1" ref="B1019" ca="1">[1]!s_dq_close("HSTECH.HI",$A1019,3)</f>
        <v>4373.71</v>
      </c>
      <c r="C1019" cm="1">
        <f t="array" aca="1" ref="C1019" ca="1">[1]!s_dq_close("HSI.HI",$A1019,3)</f>
        <v>19246.03</v>
      </c>
    </row>
    <row r="1020" spans="1:3">
      <c r="A1020" s="23">
        <f t="shared" ca="1" si="15"/>
        <v>45146</v>
      </c>
      <c r="B1020" cm="1">
        <f t="array" aca="1" ref="B1020" ca="1">[1]!s_dq_close("HSTECH.HI",$A1020,3)</f>
        <v>4374.2</v>
      </c>
      <c r="C1020" cm="1">
        <f t="array" aca="1" ref="C1020" ca="1">[1]!s_dq_close("HSI.HI",$A1020,3)</f>
        <v>19184.169999999998</v>
      </c>
    </row>
    <row r="1021" spans="1:3">
      <c r="A1021" s="23">
        <f t="shared" ca="1" si="15"/>
        <v>45145</v>
      </c>
      <c r="B1021" cm="1">
        <f t="array" aca="1" ref="B1021" ca="1">[1]!s_dq_close("HSTECH.HI",$A1021,3)</f>
        <v>4499.43</v>
      </c>
      <c r="C1021" cm="1">
        <f t="array" aca="1" ref="C1021" ca="1">[1]!s_dq_close("HSI.HI",$A1021,3)</f>
        <v>19537.919999999998</v>
      </c>
    </row>
    <row r="1022" spans="1:3">
      <c r="A1022" s="23">
        <f t="shared" ca="1" si="15"/>
        <v>45144</v>
      </c>
      <c r="B1022" cm="1">
        <f t="array" aca="1" ref="B1022" ca="1">[1]!s_dq_close("HSTECH.HI",$A1022,3)</f>
        <v>4497.3100000000004</v>
      </c>
      <c r="C1022" cm="1">
        <f t="array" aca="1" ref="C1022" ca="1">[1]!s_dq_close("HSI.HI",$A1022,3)</f>
        <v>19539.46</v>
      </c>
    </row>
    <row r="1023" spans="1:3">
      <c r="A1023" s="23">
        <f t="shared" ca="1" si="15"/>
        <v>45143</v>
      </c>
      <c r="B1023" cm="1">
        <f t="array" aca="1" ref="B1023" ca="1">[1]!s_dq_close("HSTECH.HI",$A1023,3)</f>
        <v>4497.3100000000004</v>
      </c>
      <c r="C1023" cm="1">
        <f t="array" aca="1" ref="C1023" ca="1">[1]!s_dq_close("HSI.HI",$A1023,3)</f>
        <v>19539.46</v>
      </c>
    </row>
    <row r="1024" spans="1:3">
      <c r="A1024" s="23">
        <f t="shared" ca="1" si="15"/>
        <v>45142</v>
      </c>
      <c r="B1024" cm="1">
        <f t="array" aca="1" ref="B1024" ca="1">[1]!s_dq_close("HSTECH.HI",$A1024,3)</f>
        <v>4497.3100000000004</v>
      </c>
      <c r="C1024" cm="1">
        <f t="array" aca="1" ref="C1024" ca="1">[1]!s_dq_close("HSI.HI",$A1024,3)</f>
        <v>19539.46</v>
      </c>
    </row>
    <row r="1025" spans="1:3">
      <c r="A1025" s="23">
        <f t="shared" ca="1" si="15"/>
        <v>45141</v>
      </c>
      <c r="B1025" cm="1">
        <f t="array" aca="1" ref="B1025" ca="1">[1]!s_dq_close("HSTECH.HI",$A1025,3)</f>
        <v>4406.4399999999996</v>
      </c>
      <c r="C1025" cm="1">
        <f t="array" aca="1" ref="C1025" ca="1">[1]!s_dq_close("HSI.HI",$A1025,3)</f>
        <v>19420.87</v>
      </c>
    </row>
    <row r="1026" spans="1:3">
      <c r="A1026" s="23">
        <f t="shared" ca="1" si="15"/>
        <v>45140</v>
      </c>
      <c r="B1026" cm="1">
        <f t="array" aca="1" ref="B1026" ca="1">[1]!s_dq_close("HSTECH.HI",$A1026,3)</f>
        <v>4388.7700000000004</v>
      </c>
      <c r="C1026" cm="1">
        <f t="array" aca="1" ref="C1026" ca="1">[1]!s_dq_close("HSI.HI",$A1026,3)</f>
        <v>19517.38</v>
      </c>
    </row>
    <row r="1027" spans="1:3">
      <c r="A1027" s="23">
        <f t="shared" ca="1" si="15"/>
        <v>45139</v>
      </c>
      <c r="B1027" cm="1">
        <f t="array" aca="1" ref="B1027" ca="1">[1]!s_dq_close("HSTECH.HI",$A1027,3)</f>
        <v>4538.1000000000004</v>
      </c>
      <c r="C1027" cm="1">
        <f t="array" aca="1" ref="C1027" ca="1">[1]!s_dq_close("HSI.HI",$A1027,3)</f>
        <v>20011.12</v>
      </c>
    </row>
    <row r="1028" spans="1:3">
      <c r="A1028" s="23">
        <f t="shared" ref="A1028:A1091" ca="1" si="16">A1027-1</f>
        <v>45138</v>
      </c>
      <c r="B1028" cm="1">
        <f t="array" aca="1" ref="B1028" ca="1">[1]!s_dq_close("HSTECH.HI",$A1028,3)</f>
        <v>4549.95</v>
      </c>
      <c r="C1028" cm="1">
        <f t="array" aca="1" ref="C1028" ca="1">[1]!s_dq_close("HSI.HI",$A1028,3)</f>
        <v>20078.939999999999</v>
      </c>
    </row>
    <row r="1029" spans="1:3">
      <c r="A1029" s="23">
        <f t="shared" ca="1" si="16"/>
        <v>45137</v>
      </c>
      <c r="B1029" cm="1">
        <f t="array" aca="1" ref="B1029" ca="1">[1]!s_dq_close("HSTECH.HI",$A1029,3)</f>
        <v>4466.57</v>
      </c>
      <c r="C1029" cm="1">
        <f t="array" aca="1" ref="C1029" ca="1">[1]!s_dq_close("HSI.HI",$A1029,3)</f>
        <v>19916.560000000001</v>
      </c>
    </row>
    <row r="1030" spans="1:3">
      <c r="A1030" s="23">
        <f t="shared" ca="1" si="16"/>
        <v>45136</v>
      </c>
      <c r="B1030" cm="1">
        <f t="array" aca="1" ref="B1030" ca="1">[1]!s_dq_close("HSTECH.HI",$A1030,3)</f>
        <v>4466.57</v>
      </c>
      <c r="C1030" cm="1">
        <f t="array" aca="1" ref="C1030" ca="1">[1]!s_dq_close("HSI.HI",$A1030,3)</f>
        <v>19916.560000000001</v>
      </c>
    </row>
    <row r="1031" spans="1:3">
      <c r="A1031" s="23">
        <f t="shared" ca="1" si="16"/>
        <v>45135</v>
      </c>
      <c r="B1031" cm="1">
        <f t="array" aca="1" ref="B1031" ca="1">[1]!s_dq_close("HSTECH.HI",$A1031,3)</f>
        <v>4466.57</v>
      </c>
      <c r="C1031" cm="1">
        <f t="array" aca="1" ref="C1031" ca="1">[1]!s_dq_close("HSI.HI",$A1031,3)</f>
        <v>19916.560000000001</v>
      </c>
    </row>
    <row r="1032" spans="1:3">
      <c r="A1032" s="23">
        <f t="shared" ca="1" si="16"/>
        <v>45134</v>
      </c>
      <c r="B1032" cm="1">
        <f t="array" aca="1" ref="B1032" ca="1">[1]!s_dq_close("HSTECH.HI",$A1032,3)</f>
        <v>4341.1899999999996</v>
      </c>
      <c r="C1032" cm="1">
        <f t="array" aca="1" ref="C1032" ca="1">[1]!s_dq_close("HSI.HI",$A1032,3)</f>
        <v>19639.11</v>
      </c>
    </row>
    <row r="1033" spans="1:3">
      <c r="A1033" s="23">
        <f t="shared" ca="1" si="16"/>
        <v>45133</v>
      </c>
      <c r="B1033" cm="1">
        <f t="array" aca="1" ref="B1033" ca="1">[1]!s_dq_close("HSTECH.HI",$A1033,3)</f>
        <v>4218.83</v>
      </c>
      <c r="C1033" cm="1">
        <f t="array" aca="1" ref="C1033" ca="1">[1]!s_dq_close("HSI.HI",$A1033,3)</f>
        <v>19365.14</v>
      </c>
    </row>
    <row r="1034" spans="1:3">
      <c r="A1034" s="23">
        <f t="shared" ca="1" si="16"/>
        <v>45132</v>
      </c>
      <c r="B1034" cm="1">
        <f t="array" aca="1" ref="B1034" ca="1">[1]!s_dq_close("HSTECH.HI",$A1034,3)</f>
        <v>4257.58</v>
      </c>
      <c r="C1034" cm="1">
        <f t="array" aca="1" ref="C1034" ca="1">[1]!s_dq_close("HSI.HI",$A1034,3)</f>
        <v>19434.400000000001</v>
      </c>
    </row>
    <row r="1035" spans="1:3">
      <c r="A1035" s="23">
        <f t="shared" ca="1" si="16"/>
        <v>45131</v>
      </c>
      <c r="B1035" cm="1">
        <f t="array" aca="1" ref="B1035" ca="1">[1]!s_dq_close("HSTECH.HI",$A1035,3)</f>
        <v>4015.08</v>
      </c>
      <c r="C1035" cm="1">
        <f t="array" aca="1" ref="C1035" ca="1">[1]!s_dq_close("HSI.HI",$A1035,3)</f>
        <v>18668.150000000001</v>
      </c>
    </row>
    <row r="1036" spans="1:3">
      <c r="A1036" s="23">
        <f t="shared" ca="1" si="16"/>
        <v>45130</v>
      </c>
      <c r="B1036" cm="1">
        <f t="array" aca="1" ref="B1036" ca="1">[1]!s_dq_close("HSTECH.HI",$A1036,3)</f>
        <v>4104.3599999999997</v>
      </c>
      <c r="C1036" cm="1">
        <f t="array" aca="1" ref="C1036" ca="1">[1]!s_dq_close("HSI.HI",$A1036,3)</f>
        <v>19075.259999999998</v>
      </c>
    </row>
    <row r="1037" spans="1:3">
      <c r="A1037" s="23">
        <f t="shared" ca="1" si="16"/>
        <v>45129</v>
      </c>
      <c r="B1037" cm="1">
        <f t="array" aca="1" ref="B1037" ca="1">[1]!s_dq_close("HSTECH.HI",$A1037,3)</f>
        <v>4104.3599999999997</v>
      </c>
      <c r="C1037" cm="1">
        <f t="array" aca="1" ref="C1037" ca="1">[1]!s_dq_close("HSI.HI",$A1037,3)</f>
        <v>19075.259999999998</v>
      </c>
    </row>
    <row r="1038" spans="1:3">
      <c r="A1038" s="23">
        <f t="shared" ca="1" si="16"/>
        <v>45128</v>
      </c>
      <c r="B1038" cm="1">
        <f t="array" aca="1" ref="B1038" ca="1">[1]!s_dq_close("HSTECH.HI",$A1038,3)</f>
        <v>4104.3599999999997</v>
      </c>
      <c r="C1038" cm="1">
        <f t="array" aca="1" ref="C1038" ca="1">[1]!s_dq_close("HSI.HI",$A1038,3)</f>
        <v>19075.259999999998</v>
      </c>
    </row>
    <row r="1039" spans="1:3">
      <c r="A1039" s="23">
        <f t="shared" ca="1" si="16"/>
        <v>45127</v>
      </c>
      <c r="B1039" cm="1">
        <f t="array" aca="1" ref="B1039" ca="1">[1]!s_dq_close("HSTECH.HI",$A1039,3)</f>
        <v>4063.74</v>
      </c>
      <c r="C1039" cm="1">
        <f t="array" aca="1" ref="C1039" ca="1">[1]!s_dq_close("HSI.HI",$A1039,3)</f>
        <v>18928.02</v>
      </c>
    </row>
    <row r="1040" spans="1:3">
      <c r="A1040" s="23">
        <f t="shared" ca="1" si="16"/>
        <v>45126</v>
      </c>
      <c r="B1040" cm="1">
        <f t="array" aca="1" ref="B1040" ca="1">[1]!s_dq_close("HSTECH.HI",$A1040,3)</f>
        <v>4114.97</v>
      </c>
      <c r="C1040" cm="1">
        <f t="array" aca="1" ref="C1040" ca="1">[1]!s_dq_close("HSI.HI",$A1040,3)</f>
        <v>18952.310000000001</v>
      </c>
    </row>
    <row r="1041" spans="1:3">
      <c r="A1041" s="23">
        <f t="shared" ca="1" si="16"/>
        <v>45125</v>
      </c>
      <c r="B1041" cm="1">
        <f t="array" aca="1" ref="B1041" ca="1">[1]!s_dq_close("HSTECH.HI",$A1041,3)</f>
        <v>4129.29</v>
      </c>
      <c r="C1041" cm="1">
        <f t="array" aca="1" ref="C1041" ca="1">[1]!s_dq_close("HSI.HI",$A1041,3)</f>
        <v>19015.72</v>
      </c>
    </row>
    <row r="1042" spans="1:3">
      <c r="A1042" s="23">
        <f t="shared" ca="1" si="16"/>
        <v>45124</v>
      </c>
      <c r="B1042" cm="1">
        <f t="array" aca="1" ref="B1042" ca="1">[1]!s_dq_close("HSTECH.HI",$A1042,3)</f>
        <v>4228.71</v>
      </c>
      <c r="C1042" cm="1">
        <f t="array" aca="1" ref="C1042" ca="1">[1]!s_dq_close("HSI.HI",$A1042,3)</f>
        <v>19413.78</v>
      </c>
    </row>
    <row r="1043" spans="1:3">
      <c r="A1043" s="23">
        <f t="shared" ca="1" si="16"/>
        <v>45123</v>
      </c>
      <c r="B1043" cm="1">
        <f t="array" aca="1" ref="B1043" ca="1">[1]!s_dq_close("HSTECH.HI",$A1043,3)</f>
        <v>4228.71</v>
      </c>
      <c r="C1043" cm="1">
        <f t="array" aca="1" ref="C1043" ca="1">[1]!s_dq_close("HSI.HI",$A1043,3)</f>
        <v>19413.78</v>
      </c>
    </row>
    <row r="1044" spans="1:3">
      <c r="A1044" s="23">
        <f t="shared" ca="1" si="16"/>
        <v>45122</v>
      </c>
      <c r="B1044" cm="1">
        <f t="array" aca="1" ref="B1044" ca="1">[1]!s_dq_close("HSTECH.HI",$A1044,3)</f>
        <v>4228.71</v>
      </c>
      <c r="C1044" cm="1">
        <f t="array" aca="1" ref="C1044" ca="1">[1]!s_dq_close("HSI.HI",$A1044,3)</f>
        <v>19413.78</v>
      </c>
    </row>
    <row r="1045" spans="1:3">
      <c r="A1045" s="23">
        <f t="shared" ca="1" si="16"/>
        <v>45121</v>
      </c>
      <c r="B1045" cm="1">
        <f t="array" aca="1" ref="B1045" ca="1">[1]!s_dq_close("HSTECH.HI",$A1045,3)</f>
        <v>4228.71</v>
      </c>
      <c r="C1045" cm="1">
        <f t="array" aca="1" ref="C1045" ca="1">[1]!s_dq_close("HSI.HI",$A1045,3)</f>
        <v>19413.78</v>
      </c>
    </row>
    <row r="1046" spans="1:3">
      <c r="A1046" s="23">
        <f t="shared" ca="1" si="16"/>
        <v>45120</v>
      </c>
      <c r="B1046" cm="1">
        <f t="array" aca="1" ref="B1046" ca="1">[1]!s_dq_close("HSTECH.HI",$A1046,3)</f>
        <v>4237.09</v>
      </c>
      <c r="C1046" cm="1">
        <f t="array" aca="1" ref="C1046" ca="1">[1]!s_dq_close("HSI.HI",$A1046,3)</f>
        <v>19350.62</v>
      </c>
    </row>
    <row r="1047" spans="1:3">
      <c r="A1047" s="23">
        <f t="shared" ca="1" si="16"/>
        <v>45119</v>
      </c>
      <c r="B1047" cm="1">
        <f t="array" aca="1" ref="B1047" ca="1">[1]!s_dq_close("HSTECH.HI",$A1047,3)</f>
        <v>4081.37</v>
      </c>
      <c r="C1047" cm="1">
        <f t="array" aca="1" ref="C1047" ca="1">[1]!s_dq_close("HSI.HI",$A1047,3)</f>
        <v>18860.95</v>
      </c>
    </row>
    <row r="1048" spans="1:3">
      <c r="A1048" s="23">
        <f t="shared" ca="1" si="16"/>
        <v>45118</v>
      </c>
      <c r="B1048" cm="1">
        <f t="array" aca="1" ref="B1048" ca="1">[1]!s_dq_close("HSTECH.HI",$A1048,3)</f>
        <v>4003.05</v>
      </c>
      <c r="C1048" cm="1">
        <f t="array" aca="1" ref="C1048" ca="1">[1]!s_dq_close("HSI.HI",$A1048,3)</f>
        <v>18659.830000000002</v>
      </c>
    </row>
    <row r="1049" spans="1:3">
      <c r="A1049" s="23">
        <f t="shared" ca="1" si="16"/>
        <v>45117</v>
      </c>
      <c r="B1049" cm="1">
        <f t="array" aca="1" ref="B1049" ca="1">[1]!s_dq_close("HSTECH.HI",$A1049,3)</f>
        <v>3945.11</v>
      </c>
      <c r="C1049" cm="1">
        <f t="array" aca="1" ref="C1049" ca="1">[1]!s_dq_close("HSI.HI",$A1049,3)</f>
        <v>18479.72</v>
      </c>
    </row>
    <row r="1050" spans="1:3">
      <c r="A1050" s="23">
        <f t="shared" ca="1" si="16"/>
        <v>45116</v>
      </c>
      <c r="B1050" cm="1">
        <f t="array" aca="1" ref="B1050" ca="1">[1]!s_dq_close("HSTECH.HI",$A1050,3)</f>
        <v>3901.21</v>
      </c>
      <c r="C1050" cm="1">
        <f t="array" aca="1" ref="C1050" ca="1">[1]!s_dq_close("HSI.HI",$A1050,3)</f>
        <v>18365.7</v>
      </c>
    </row>
    <row r="1051" spans="1:3">
      <c r="A1051" s="23">
        <f t="shared" ca="1" si="16"/>
        <v>45115</v>
      </c>
      <c r="B1051" cm="1">
        <f t="array" aca="1" ref="B1051" ca="1">[1]!s_dq_close("HSTECH.HI",$A1051,3)</f>
        <v>3901.21</v>
      </c>
      <c r="C1051" cm="1">
        <f t="array" aca="1" ref="C1051" ca="1">[1]!s_dq_close("HSI.HI",$A1051,3)</f>
        <v>18365.7</v>
      </c>
    </row>
    <row r="1052" spans="1:3">
      <c r="A1052" s="23">
        <f t="shared" ca="1" si="16"/>
        <v>45114</v>
      </c>
      <c r="B1052" cm="1">
        <f t="array" aca="1" ref="B1052" ca="1">[1]!s_dq_close("HSTECH.HI",$A1052,3)</f>
        <v>3901.21</v>
      </c>
      <c r="C1052" cm="1">
        <f t="array" aca="1" ref="C1052" ca="1">[1]!s_dq_close("HSI.HI",$A1052,3)</f>
        <v>18365.7</v>
      </c>
    </row>
    <row r="1053" spans="1:3">
      <c r="A1053" s="23">
        <f t="shared" ca="1" si="16"/>
        <v>45113</v>
      </c>
      <c r="B1053" cm="1">
        <f t="array" aca="1" ref="B1053" ca="1">[1]!s_dq_close("HSTECH.HI",$A1053,3)</f>
        <v>3948.82</v>
      </c>
      <c r="C1053" cm="1">
        <f t="array" aca="1" ref="C1053" ca="1">[1]!s_dq_close("HSI.HI",$A1053,3)</f>
        <v>18533.05</v>
      </c>
    </row>
    <row r="1054" spans="1:3">
      <c r="A1054" s="23">
        <f t="shared" ca="1" si="16"/>
        <v>45112</v>
      </c>
      <c r="B1054" cm="1">
        <f t="array" aca="1" ref="B1054" ca="1">[1]!s_dq_close("HSTECH.HI",$A1054,3)</f>
        <v>4016.53</v>
      </c>
      <c r="C1054" cm="1">
        <f t="array" aca="1" ref="C1054" ca="1">[1]!s_dq_close("HSI.HI",$A1054,3)</f>
        <v>19110.38</v>
      </c>
    </row>
    <row r="1055" spans="1:3">
      <c r="A1055" s="23">
        <f t="shared" ca="1" si="16"/>
        <v>45111</v>
      </c>
      <c r="B1055" cm="1">
        <f t="array" aca="1" ref="B1055" ca="1">[1]!s_dq_close("HSTECH.HI",$A1055,3)</f>
        <v>4074.42</v>
      </c>
      <c r="C1055" cm="1">
        <f t="array" aca="1" ref="C1055" ca="1">[1]!s_dq_close("HSI.HI",$A1055,3)</f>
        <v>19415.68</v>
      </c>
    </row>
    <row r="1056" spans="1:3">
      <c r="A1056" s="23">
        <f t="shared" ca="1" si="16"/>
        <v>45110</v>
      </c>
      <c r="B1056" cm="1">
        <f t="array" aca="1" ref="B1056" ca="1">[1]!s_dq_close("HSTECH.HI",$A1056,3)</f>
        <v>4054.35</v>
      </c>
      <c r="C1056" cm="1">
        <f t="array" aca="1" ref="C1056" ca="1">[1]!s_dq_close("HSI.HI",$A1056,3)</f>
        <v>19306.59</v>
      </c>
    </row>
    <row r="1057" spans="1:3">
      <c r="A1057" s="23">
        <f t="shared" ca="1" si="16"/>
        <v>45109</v>
      </c>
      <c r="B1057" cm="1">
        <f t="array" aca="1" ref="B1057" ca="1">[1]!s_dq_close("HSTECH.HI",$A1057,3)</f>
        <v>3911.31</v>
      </c>
      <c r="C1057" cm="1">
        <f t="array" aca="1" ref="C1057" ca="1">[1]!s_dq_close("HSI.HI",$A1057,3)</f>
        <v>18916.43</v>
      </c>
    </row>
    <row r="1058" spans="1:3">
      <c r="A1058" s="23">
        <f t="shared" ca="1" si="16"/>
        <v>45108</v>
      </c>
      <c r="B1058" cm="1">
        <f t="array" aca="1" ref="B1058" ca="1">[1]!s_dq_close("HSTECH.HI",$A1058,3)</f>
        <v>3911.31</v>
      </c>
      <c r="C1058" cm="1">
        <f t="array" aca="1" ref="C1058" ca="1">[1]!s_dq_close("HSI.HI",$A1058,3)</f>
        <v>18916.43</v>
      </c>
    </row>
    <row r="1059" spans="1:3">
      <c r="A1059" s="23">
        <f t="shared" ca="1" si="16"/>
        <v>45107</v>
      </c>
      <c r="B1059" cm="1">
        <f t="array" aca="1" ref="B1059" ca="1">[1]!s_dq_close("HSTECH.HI",$A1059,3)</f>
        <v>3911.31</v>
      </c>
      <c r="C1059" cm="1">
        <f t="array" aca="1" ref="C1059" ca="1">[1]!s_dq_close("HSI.HI",$A1059,3)</f>
        <v>18916.43</v>
      </c>
    </row>
    <row r="1060" spans="1:3">
      <c r="A1060" s="23">
        <f t="shared" ca="1" si="16"/>
        <v>45106</v>
      </c>
      <c r="B1060" cm="1">
        <f t="array" aca="1" ref="B1060" ca="1">[1]!s_dq_close("HSTECH.HI",$A1060,3)</f>
        <v>3933.44</v>
      </c>
      <c r="C1060" cm="1">
        <f t="array" aca="1" ref="C1060" ca="1">[1]!s_dq_close("HSI.HI",$A1060,3)</f>
        <v>18934.36</v>
      </c>
    </row>
    <row r="1061" spans="1:3">
      <c r="A1061" s="23">
        <f t="shared" ca="1" si="16"/>
        <v>45105</v>
      </c>
      <c r="B1061" cm="1">
        <f t="array" aca="1" ref="B1061" ca="1">[1]!s_dq_close("HSTECH.HI",$A1061,3)</f>
        <v>4001.97</v>
      </c>
      <c r="C1061" cm="1">
        <f t="array" aca="1" ref="C1061" ca="1">[1]!s_dq_close("HSI.HI",$A1061,3)</f>
        <v>19172.05</v>
      </c>
    </row>
    <row r="1062" spans="1:3">
      <c r="A1062" s="23">
        <f t="shared" ca="1" si="16"/>
        <v>45104</v>
      </c>
      <c r="B1062" cm="1">
        <f t="array" aca="1" ref="B1062" ca="1">[1]!s_dq_close("HSTECH.HI",$A1062,3)</f>
        <v>3972.17</v>
      </c>
      <c r="C1062" cm="1">
        <f t="array" aca="1" ref="C1062" ca="1">[1]!s_dq_close("HSI.HI",$A1062,3)</f>
        <v>19148.13</v>
      </c>
    </row>
    <row r="1063" spans="1:3">
      <c r="A1063" s="23">
        <f t="shared" ca="1" si="16"/>
        <v>45103</v>
      </c>
      <c r="B1063" cm="1">
        <f t="array" aca="1" ref="B1063" ca="1">[1]!s_dq_close("HSTECH.HI",$A1063,3)</f>
        <v>3872.61</v>
      </c>
      <c r="C1063" cm="1">
        <f t="array" aca="1" ref="C1063" ca="1">[1]!s_dq_close("HSI.HI",$A1063,3)</f>
        <v>18794.13</v>
      </c>
    </row>
    <row r="1064" spans="1:3">
      <c r="A1064" s="23">
        <f t="shared" ca="1" si="16"/>
        <v>45102</v>
      </c>
      <c r="B1064" cm="1">
        <f t="array" aca="1" ref="B1064" ca="1">[1]!s_dq_close("HSTECH.HI",$A1064,3)</f>
        <v>3879.33</v>
      </c>
      <c r="C1064" cm="1">
        <f t="array" aca="1" ref="C1064" ca="1">[1]!s_dq_close("HSI.HI",$A1064,3)</f>
        <v>18889.97</v>
      </c>
    </row>
    <row r="1065" spans="1:3">
      <c r="A1065" s="23">
        <f t="shared" ca="1" si="16"/>
        <v>45101</v>
      </c>
      <c r="B1065" cm="1">
        <f t="array" aca="1" ref="B1065" ca="1">[1]!s_dq_close("HSTECH.HI",$A1065,3)</f>
        <v>3879.33</v>
      </c>
      <c r="C1065" cm="1">
        <f t="array" aca="1" ref="C1065" ca="1">[1]!s_dq_close("HSI.HI",$A1065,3)</f>
        <v>18889.97</v>
      </c>
    </row>
    <row r="1066" spans="1:3">
      <c r="A1066" s="23">
        <f t="shared" ca="1" si="16"/>
        <v>45100</v>
      </c>
      <c r="B1066" cm="1">
        <f t="array" aca="1" ref="B1066" ca="1">[1]!s_dq_close("HSTECH.HI",$A1066,3)</f>
        <v>3879.33</v>
      </c>
      <c r="C1066" cm="1">
        <f t="array" aca="1" ref="C1066" ca="1">[1]!s_dq_close("HSI.HI",$A1066,3)</f>
        <v>18889.97</v>
      </c>
    </row>
    <row r="1067" spans="1:3">
      <c r="A1067" s="23">
        <f t="shared" ca="1" si="16"/>
        <v>45099</v>
      </c>
      <c r="B1067" cm="1">
        <f t="array" aca="1" ref="B1067" ca="1">[1]!s_dq_close("HSTECH.HI",$A1067,3)</f>
        <v>3961.58</v>
      </c>
      <c r="C1067" cm="1">
        <f t="array" aca="1" ref="C1067" ca="1">[1]!s_dq_close("HSI.HI",$A1067,3)</f>
        <v>19218.349999999999</v>
      </c>
    </row>
    <row r="1068" spans="1:3">
      <c r="A1068" s="23">
        <f t="shared" ca="1" si="16"/>
        <v>45098</v>
      </c>
      <c r="B1068" cm="1">
        <f t="array" aca="1" ref="B1068" ca="1">[1]!s_dq_close("HSTECH.HI",$A1068,3)</f>
        <v>3961.58</v>
      </c>
      <c r="C1068" cm="1">
        <f t="array" aca="1" ref="C1068" ca="1">[1]!s_dq_close("HSI.HI",$A1068,3)</f>
        <v>19218.349999999999</v>
      </c>
    </row>
    <row r="1069" spans="1:3">
      <c r="A1069" s="23">
        <f t="shared" ca="1" si="16"/>
        <v>45097</v>
      </c>
      <c r="B1069" cm="1">
        <f t="array" aca="1" ref="B1069" ca="1">[1]!s_dq_close("HSTECH.HI",$A1069,3)</f>
        <v>4075.17</v>
      </c>
      <c r="C1069" cm="1">
        <f t="array" aca="1" ref="C1069" ca="1">[1]!s_dq_close("HSI.HI",$A1069,3)</f>
        <v>19607.080000000002</v>
      </c>
    </row>
    <row r="1070" spans="1:3">
      <c r="A1070" s="23">
        <f t="shared" ca="1" si="16"/>
        <v>45096</v>
      </c>
      <c r="B1070" cm="1">
        <f t="array" aca="1" ref="B1070" ca="1">[1]!s_dq_close("HSTECH.HI",$A1070,3)</f>
        <v>4178.25</v>
      </c>
      <c r="C1070" cm="1">
        <f t="array" aca="1" ref="C1070" ca="1">[1]!s_dq_close("HSI.HI",$A1070,3)</f>
        <v>19912.89</v>
      </c>
    </row>
    <row r="1071" spans="1:3">
      <c r="A1071" s="23">
        <f t="shared" ca="1" si="16"/>
        <v>45095</v>
      </c>
      <c r="B1071" cm="1">
        <f t="array" aca="1" ref="B1071" ca="1">[1]!s_dq_close("HSTECH.HI",$A1071,3)</f>
        <v>4233.49</v>
      </c>
      <c r="C1071" cm="1">
        <f t="array" aca="1" ref="C1071" ca="1">[1]!s_dq_close("HSI.HI",$A1071,3)</f>
        <v>20040.37</v>
      </c>
    </row>
    <row r="1072" spans="1:3">
      <c r="A1072" s="23">
        <f t="shared" ca="1" si="16"/>
        <v>45094</v>
      </c>
      <c r="B1072" cm="1">
        <f t="array" aca="1" ref="B1072" ca="1">[1]!s_dq_close("HSTECH.HI",$A1072,3)</f>
        <v>4233.49</v>
      </c>
      <c r="C1072" cm="1">
        <f t="array" aca="1" ref="C1072" ca="1">[1]!s_dq_close("HSI.HI",$A1072,3)</f>
        <v>20040.37</v>
      </c>
    </row>
    <row r="1073" spans="1:3">
      <c r="A1073" s="23">
        <f t="shared" ca="1" si="16"/>
        <v>45093</v>
      </c>
      <c r="B1073" cm="1">
        <f t="array" aca="1" ref="B1073" ca="1">[1]!s_dq_close("HSTECH.HI",$A1073,3)</f>
        <v>4233.49</v>
      </c>
      <c r="C1073" cm="1">
        <f t="array" aca="1" ref="C1073" ca="1">[1]!s_dq_close("HSI.HI",$A1073,3)</f>
        <v>20040.37</v>
      </c>
    </row>
    <row r="1074" spans="1:3">
      <c r="A1074" s="23">
        <f t="shared" ca="1" si="16"/>
        <v>45092</v>
      </c>
      <c r="B1074" cm="1">
        <f t="array" aca="1" ref="B1074" ca="1">[1]!s_dq_close("HSTECH.HI",$A1074,3)</f>
        <v>4198.32</v>
      </c>
      <c r="C1074" cm="1">
        <f t="array" aca="1" ref="C1074" ca="1">[1]!s_dq_close("HSI.HI",$A1074,3)</f>
        <v>19828.919999999998</v>
      </c>
    </row>
    <row r="1075" spans="1:3">
      <c r="A1075" s="23">
        <f t="shared" ca="1" si="16"/>
        <v>45091</v>
      </c>
      <c r="B1075" cm="1">
        <f t="array" aca="1" ref="B1075" ca="1">[1]!s_dq_close("HSTECH.HI",$A1075,3)</f>
        <v>4052.69</v>
      </c>
      <c r="C1075" cm="1">
        <f t="array" aca="1" ref="C1075" ca="1">[1]!s_dq_close("HSI.HI",$A1075,3)</f>
        <v>19408.419999999998</v>
      </c>
    </row>
    <row r="1076" spans="1:3">
      <c r="A1076" s="23">
        <f t="shared" ca="1" si="16"/>
        <v>45090</v>
      </c>
      <c r="B1076" cm="1">
        <f t="array" aca="1" ref="B1076" ca="1">[1]!s_dq_close("HSTECH.HI",$A1076,3)</f>
        <v>4038.2</v>
      </c>
      <c r="C1076" cm="1">
        <f t="array" aca="1" ref="C1076" ca="1">[1]!s_dq_close("HSI.HI",$A1076,3)</f>
        <v>19521.419999999998</v>
      </c>
    </row>
    <row r="1077" spans="1:3">
      <c r="A1077" s="23">
        <f t="shared" ca="1" si="16"/>
        <v>45089</v>
      </c>
      <c r="B1077" cm="1">
        <f t="array" aca="1" ref="B1077" ca="1">[1]!s_dq_close("HSTECH.HI",$A1077,3)</f>
        <v>3944.67</v>
      </c>
      <c r="C1077" cm="1">
        <f t="array" aca="1" ref="C1077" ca="1">[1]!s_dq_close("HSI.HI",$A1077,3)</f>
        <v>19404.310000000001</v>
      </c>
    </row>
    <row r="1078" spans="1:3">
      <c r="A1078" s="23">
        <f t="shared" ca="1" si="16"/>
        <v>45088</v>
      </c>
      <c r="B1078" cm="1">
        <f t="array" aca="1" ref="B1078" ca="1">[1]!s_dq_close("HSTECH.HI",$A1078,3)</f>
        <v>3934.22</v>
      </c>
      <c r="C1078" cm="1">
        <f t="array" aca="1" ref="C1078" ca="1">[1]!s_dq_close("HSI.HI",$A1078,3)</f>
        <v>19389.95</v>
      </c>
    </row>
    <row r="1079" spans="1:3">
      <c r="A1079" s="23">
        <f t="shared" ca="1" si="16"/>
        <v>45087</v>
      </c>
      <c r="B1079" cm="1">
        <f t="array" aca="1" ref="B1079" ca="1">[1]!s_dq_close("HSTECH.HI",$A1079,3)</f>
        <v>3934.22</v>
      </c>
      <c r="C1079" cm="1">
        <f t="array" aca="1" ref="C1079" ca="1">[1]!s_dq_close("HSI.HI",$A1079,3)</f>
        <v>19389.95</v>
      </c>
    </row>
    <row r="1080" spans="1:3">
      <c r="A1080" s="23">
        <f t="shared" ca="1" si="16"/>
        <v>45086</v>
      </c>
      <c r="B1080" cm="1">
        <f t="array" aca="1" ref="B1080" ca="1">[1]!s_dq_close("HSTECH.HI",$A1080,3)</f>
        <v>3934.22</v>
      </c>
      <c r="C1080" cm="1">
        <f t="array" aca="1" ref="C1080" ca="1">[1]!s_dq_close("HSI.HI",$A1080,3)</f>
        <v>19389.95</v>
      </c>
    </row>
    <row r="1081" spans="1:3">
      <c r="A1081" s="23">
        <f t="shared" ca="1" si="16"/>
        <v>45085</v>
      </c>
      <c r="B1081" cm="1">
        <f t="array" aca="1" ref="B1081" ca="1">[1]!s_dq_close("HSTECH.HI",$A1081,3)</f>
        <v>3894.3</v>
      </c>
      <c r="C1081" cm="1">
        <f t="array" aca="1" ref="C1081" ca="1">[1]!s_dq_close("HSI.HI",$A1081,3)</f>
        <v>19299.18</v>
      </c>
    </row>
    <row r="1082" spans="1:3">
      <c r="A1082" s="23">
        <f t="shared" ca="1" si="16"/>
        <v>45084</v>
      </c>
      <c r="B1082" cm="1">
        <f t="array" aca="1" ref="B1082" ca="1">[1]!s_dq_close("HSTECH.HI",$A1082,3)</f>
        <v>3921.02</v>
      </c>
      <c r="C1082" cm="1">
        <f t="array" aca="1" ref="C1082" ca="1">[1]!s_dq_close("HSI.HI",$A1082,3)</f>
        <v>19252</v>
      </c>
    </row>
    <row r="1083" spans="1:3">
      <c r="A1083" s="23">
        <f t="shared" ca="1" si="16"/>
        <v>45083</v>
      </c>
      <c r="B1083" cm="1">
        <f t="array" aca="1" ref="B1083" ca="1">[1]!s_dq_close("HSTECH.HI",$A1083,3)</f>
        <v>3834.34</v>
      </c>
      <c r="C1083" cm="1">
        <f t="array" aca="1" ref="C1083" ca="1">[1]!s_dq_close("HSI.HI",$A1083,3)</f>
        <v>19099.28</v>
      </c>
    </row>
    <row r="1084" spans="1:3">
      <c r="A1084" s="23">
        <f t="shared" ca="1" si="16"/>
        <v>45082</v>
      </c>
      <c r="B1084" cm="1">
        <f t="array" aca="1" ref="B1084" ca="1">[1]!s_dq_close("HSTECH.HI",$A1084,3)</f>
        <v>3840.77</v>
      </c>
      <c r="C1084" cm="1">
        <f t="array" aca="1" ref="C1084" ca="1">[1]!s_dq_close("HSI.HI",$A1084,3)</f>
        <v>19108.5</v>
      </c>
    </row>
    <row r="1085" spans="1:3">
      <c r="A1085" s="23">
        <f t="shared" ca="1" si="16"/>
        <v>45081</v>
      </c>
      <c r="B1085" cm="1">
        <f t="array" aca="1" ref="B1085" ca="1">[1]!s_dq_close("HSTECH.HI",$A1085,3)</f>
        <v>3824.28</v>
      </c>
      <c r="C1085" cm="1">
        <f t="array" aca="1" ref="C1085" ca="1">[1]!s_dq_close("HSI.HI",$A1085,3)</f>
        <v>18949.939999999999</v>
      </c>
    </row>
    <row r="1086" spans="1:3">
      <c r="A1086" s="23">
        <f t="shared" ca="1" si="16"/>
        <v>45080</v>
      </c>
      <c r="B1086" cm="1">
        <f t="array" aca="1" ref="B1086" ca="1">[1]!s_dq_close("HSTECH.HI",$A1086,3)</f>
        <v>3824.28</v>
      </c>
      <c r="C1086" cm="1">
        <f t="array" aca="1" ref="C1086" ca="1">[1]!s_dq_close("HSI.HI",$A1086,3)</f>
        <v>18949.939999999999</v>
      </c>
    </row>
    <row r="1087" spans="1:3">
      <c r="A1087" s="23">
        <f t="shared" ca="1" si="16"/>
        <v>45079</v>
      </c>
      <c r="B1087" cm="1">
        <f t="array" aca="1" ref="B1087" ca="1">[1]!s_dq_close("HSTECH.HI",$A1087,3)</f>
        <v>3824.28</v>
      </c>
      <c r="C1087" cm="1">
        <f t="array" aca="1" ref="C1087" ca="1">[1]!s_dq_close("HSI.HI",$A1087,3)</f>
        <v>18949.939999999999</v>
      </c>
    </row>
    <row r="1088" spans="1:3">
      <c r="A1088" s="23">
        <f t="shared" ca="1" si="16"/>
        <v>45078</v>
      </c>
      <c r="B1088" cm="1">
        <f t="array" aca="1" ref="B1088" ca="1">[1]!s_dq_close("HSTECH.HI",$A1088,3)</f>
        <v>3630.87</v>
      </c>
      <c r="C1088" cm="1">
        <f t="array" aca="1" ref="C1088" ca="1">[1]!s_dq_close("HSI.HI",$A1088,3)</f>
        <v>18216.91</v>
      </c>
    </row>
    <row r="1089" spans="1:3">
      <c r="A1089" s="23">
        <f t="shared" ca="1" si="16"/>
        <v>45077</v>
      </c>
      <c r="B1089" cm="1">
        <f t="array" aca="1" ref="B1089" ca="1">[1]!s_dq_close("HSTECH.HI",$A1089,3)</f>
        <v>3626.73</v>
      </c>
      <c r="C1089" cm="1">
        <f t="array" aca="1" ref="C1089" ca="1">[1]!s_dq_close("HSI.HI",$A1089,3)</f>
        <v>18234.27</v>
      </c>
    </row>
    <row r="1090" spans="1:3">
      <c r="A1090" s="23">
        <f t="shared" ca="1" si="16"/>
        <v>45076</v>
      </c>
      <c r="B1090" cm="1">
        <f t="array" aca="1" ref="B1090" ca="1">[1]!s_dq_close("HSTECH.HI",$A1090,3)</f>
        <v>3702.13</v>
      </c>
      <c r="C1090" cm="1">
        <f t="array" aca="1" ref="C1090" ca="1">[1]!s_dq_close("HSI.HI",$A1090,3)</f>
        <v>18595.78</v>
      </c>
    </row>
    <row r="1091" spans="1:3">
      <c r="A1091" s="23">
        <f t="shared" ca="1" si="16"/>
        <v>45075</v>
      </c>
      <c r="B1091" cm="1">
        <f t="array" aca="1" ref="B1091" ca="1">[1]!s_dq_close("HSTECH.HI",$A1091,3)</f>
        <v>3647.26</v>
      </c>
      <c r="C1091" cm="1">
        <f t="array" aca="1" ref="C1091" ca="1">[1]!s_dq_close("HSI.HI",$A1091,3)</f>
        <v>18551.11</v>
      </c>
    </row>
    <row r="1092" spans="1:3">
      <c r="A1092" s="23">
        <f t="shared" ref="A1092:A1155" ca="1" si="17">A1091-1</f>
        <v>45074</v>
      </c>
      <c r="B1092" cm="1">
        <f t="array" aca="1" ref="B1092" ca="1">[1]!s_dq_close("HSTECH.HI",$A1092,3)</f>
        <v>3691.16</v>
      </c>
      <c r="C1092" cm="1">
        <f t="array" aca="1" ref="C1092" ca="1">[1]!s_dq_close("HSI.HI",$A1092,3)</f>
        <v>18746.919999999998</v>
      </c>
    </row>
    <row r="1093" spans="1:3">
      <c r="A1093" s="23">
        <f t="shared" ca="1" si="17"/>
        <v>45073</v>
      </c>
      <c r="B1093" cm="1">
        <f t="array" aca="1" ref="B1093" ca="1">[1]!s_dq_close("HSTECH.HI",$A1093,3)</f>
        <v>3691.16</v>
      </c>
      <c r="C1093" cm="1">
        <f t="array" aca="1" ref="C1093" ca="1">[1]!s_dq_close("HSI.HI",$A1093,3)</f>
        <v>18746.919999999998</v>
      </c>
    </row>
    <row r="1094" spans="1:3">
      <c r="A1094" s="23">
        <f t="shared" ca="1" si="17"/>
        <v>45072</v>
      </c>
      <c r="B1094" cm="1">
        <f t="array" aca="1" ref="B1094" ca="1">[1]!s_dq_close("HSTECH.HI",$A1094,3)</f>
        <v>3691.16</v>
      </c>
      <c r="C1094" cm="1">
        <f t="array" aca="1" ref="C1094" ca="1">[1]!s_dq_close("HSI.HI",$A1094,3)</f>
        <v>18746.919999999998</v>
      </c>
    </row>
    <row r="1095" spans="1:3">
      <c r="A1095" s="23">
        <f t="shared" ca="1" si="17"/>
        <v>45071</v>
      </c>
      <c r="B1095" cm="1">
        <f t="array" aca="1" ref="B1095" ca="1">[1]!s_dq_close("HSTECH.HI",$A1095,3)</f>
        <v>3691.16</v>
      </c>
      <c r="C1095" cm="1">
        <f t="array" aca="1" ref="C1095" ca="1">[1]!s_dq_close("HSI.HI",$A1095,3)</f>
        <v>18746.919999999998</v>
      </c>
    </row>
    <row r="1096" spans="1:3">
      <c r="A1096" s="23">
        <f t="shared" ca="1" si="17"/>
        <v>45070</v>
      </c>
      <c r="B1096" cm="1">
        <f t="array" aca="1" ref="B1096" ca="1">[1]!s_dq_close("HSTECH.HI",$A1096,3)</f>
        <v>3775.93</v>
      </c>
      <c r="C1096" cm="1">
        <f t="array" aca="1" ref="C1096" ca="1">[1]!s_dq_close("HSI.HI",$A1096,3)</f>
        <v>19115.93</v>
      </c>
    </row>
    <row r="1097" spans="1:3">
      <c r="A1097" s="23">
        <f t="shared" ca="1" si="17"/>
        <v>45069</v>
      </c>
      <c r="B1097" cm="1">
        <f t="array" aca="1" ref="B1097" ca="1">[1]!s_dq_close("HSTECH.HI",$A1097,3)</f>
        <v>3852.45</v>
      </c>
      <c r="C1097" cm="1">
        <f t="array" aca="1" ref="C1097" ca="1">[1]!s_dq_close("HSI.HI",$A1097,3)</f>
        <v>19431.25</v>
      </c>
    </row>
    <row r="1098" spans="1:3">
      <c r="A1098" s="23">
        <f t="shared" ca="1" si="17"/>
        <v>45068</v>
      </c>
      <c r="B1098" cm="1">
        <f t="array" aca="1" ref="B1098" ca="1">[1]!s_dq_close("HSTECH.HI",$A1098,3)</f>
        <v>3903.58</v>
      </c>
      <c r="C1098" cm="1">
        <f t="array" aca="1" ref="C1098" ca="1">[1]!s_dq_close("HSI.HI",$A1098,3)</f>
        <v>19678.169999999998</v>
      </c>
    </row>
    <row r="1099" spans="1:3">
      <c r="A1099" s="23">
        <f t="shared" ca="1" si="17"/>
        <v>45067</v>
      </c>
      <c r="B1099" cm="1">
        <f t="array" aca="1" ref="B1099" ca="1">[1]!s_dq_close("HSTECH.HI",$A1099,3)</f>
        <v>3821.73</v>
      </c>
      <c r="C1099" cm="1">
        <f t="array" aca="1" ref="C1099" ca="1">[1]!s_dq_close("HSI.HI",$A1099,3)</f>
        <v>19450.57</v>
      </c>
    </row>
    <row r="1100" spans="1:3">
      <c r="A1100" s="23">
        <f t="shared" ca="1" si="17"/>
        <v>45066</v>
      </c>
      <c r="B1100" cm="1">
        <f t="array" aca="1" ref="B1100" ca="1">[1]!s_dq_close("HSTECH.HI",$A1100,3)</f>
        <v>3821.73</v>
      </c>
      <c r="C1100" cm="1">
        <f t="array" aca="1" ref="C1100" ca="1">[1]!s_dq_close("HSI.HI",$A1100,3)</f>
        <v>19450.57</v>
      </c>
    </row>
    <row r="1101" spans="1:3">
      <c r="A1101" s="23">
        <f t="shared" ca="1" si="17"/>
        <v>45065</v>
      </c>
      <c r="B1101" cm="1">
        <f t="array" aca="1" ref="B1101" ca="1">[1]!s_dq_close("HSTECH.HI",$A1101,3)</f>
        <v>3821.73</v>
      </c>
      <c r="C1101" cm="1">
        <f t="array" aca="1" ref="C1101" ca="1">[1]!s_dq_close("HSI.HI",$A1101,3)</f>
        <v>19450.57</v>
      </c>
    </row>
    <row r="1102" spans="1:3">
      <c r="A1102" s="23">
        <f t="shared" ca="1" si="17"/>
        <v>45064</v>
      </c>
      <c r="B1102" cm="1">
        <f t="array" aca="1" ref="B1102" ca="1">[1]!s_dq_close("HSTECH.HI",$A1102,3)</f>
        <v>3917.09</v>
      </c>
      <c r="C1102" cm="1">
        <f t="array" aca="1" ref="C1102" ca="1">[1]!s_dq_close("HSI.HI",$A1102,3)</f>
        <v>19727.25</v>
      </c>
    </row>
    <row r="1103" spans="1:3">
      <c r="A1103" s="23">
        <f t="shared" ca="1" si="17"/>
        <v>45063</v>
      </c>
      <c r="B1103" cm="1">
        <f t="array" aca="1" ref="B1103" ca="1">[1]!s_dq_close("HSTECH.HI",$A1103,3)</f>
        <v>3870.09</v>
      </c>
      <c r="C1103" cm="1">
        <f t="array" aca="1" ref="C1103" ca="1">[1]!s_dq_close("HSI.HI",$A1103,3)</f>
        <v>19560.57</v>
      </c>
    </row>
    <row r="1104" spans="1:3">
      <c r="A1104" s="23">
        <f t="shared" ca="1" si="17"/>
        <v>45062</v>
      </c>
      <c r="B1104" cm="1">
        <f t="array" aca="1" ref="B1104" ca="1">[1]!s_dq_close("HSTECH.HI",$A1104,3)</f>
        <v>3958.25</v>
      </c>
      <c r="C1104" cm="1">
        <f t="array" aca="1" ref="C1104" ca="1">[1]!s_dq_close("HSI.HI",$A1104,3)</f>
        <v>19978.25</v>
      </c>
    </row>
    <row r="1105" spans="1:3">
      <c r="A1105" s="23">
        <f t="shared" ca="1" si="17"/>
        <v>45061</v>
      </c>
      <c r="B1105" cm="1">
        <f t="array" aca="1" ref="B1105" ca="1">[1]!s_dq_close("HSTECH.HI",$A1105,3)</f>
        <v>3925.5</v>
      </c>
      <c r="C1105" cm="1">
        <f t="array" aca="1" ref="C1105" ca="1">[1]!s_dq_close("HSI.HI",$A1105,3)</f>
        <v>19971.13</v>
      </c>
    </row>
    <row r="1106" spans="1:3">
      <c r="A1106" s="23">
        <f t="shared" ca="1" si="17"/>
        <v>45060</v>
      </c>
      <c r="B1106" cm="1">
        <f t="array" aca="1" ref="B1106" ca="1">[1]!s_dq_close("HSTECH.HI",$A1106,3)</f>
        <v>3874.11</v>
      </c>
      <c r="C1106" cm="1">
        <f t="array" aca="1" ref="C1106" ca="1">[1]!s_dq_close("HSI.HI",$A1106,3)</f>
        <v>19627.240000000002</v>
      </c>
    </row>
    <row r="1107" spans="1:3">
      <c r="A1107" s="23">
        <f t="shared" ca="1" si="17"/>
        <v>45059</v>
      </c>
      <c r="B1107" cm="1">
        <f t="array" aca="1" ref="B1107" ca="1">[1]!s_dq_close("HSTECH.HI",$A1107,3)</f>
        <v>3874.11</v>
      </c>
      <c r="C1107" cm="1">
        <f t="array" aca="1" ref="C1107" ca="1">[1]!s_dq_close("HSI.HI",$A1107,3)</f>
        <v>19627.240000000002</v>
      </c>
    </row>
    <row r="1108" spans="1:3">
      <c r="A1108" s="23">
        <f t="shared" ca="1" si="17"/>
        <v>45058</v>
      </c>
      <c r="B1108" cm="1">
        <f t="array" aca="1" ref="B1108" ca="1">[1]!s_dq_close("HSTECH.HI",$A1108,3)</f>
        <v>3874.11</v>
      </c>
      <c r="C1108" cm="1">
        <f t="array" aca="1" ref="C1108" ca="1">[1]!s_dq_close("HSI.HI",$A1108,3)</f>
        <v>19627.240000000002</v>
      </c>
    </row>
    <row r="1109" spans="1:3">
      <c r="A1109" s="23">
        <f t="shared" ca="1" si="17"/>
        <v>45057</v>
      </c>
      <c r="B1109" cm="1">
        <f t="array" aca="1" ref="B1109" ca="1">[1]!s_dq_close("HSTECH.HI",$A1109,3)</f>
        <v>3862.85</v>
      </c>
      <c r="C1109" cm="1">
        <f t="array" aca="1" ref="C1109" ca="1">[1]!s_dq_close("HSI.HI",$A1109,3)</f>
        <v>19743.79</v>
      </c>
    </row>
    <row r="1110" spans="1:3">
      <c r="A1110" s="23">
        <f t="shared" ca="1" si="17"/>
        <v>45056</v>
      </c>
      <c r="B1110" cm="1">
        <f t="array" aca="1" ref="B1110" ca="1">[1]!s_dq_close("HSTECH.HI",$A1110,3)</f>
        <v>3811.66</v>
      </c>
      <c r="C1110" cm="1">
        <f t="array" aca="1" ref="C1110" ca="1">[1]!s_dq_close("HSI.HI",$A1110,3)</f>
        <v>19762.2</v>
      </c>
    </row>
    <row r="1111" spans="1:3">
      <c r="A1111" s="23">
        <f t="shared" ca="1" si="17"/>
        <v>45055</v>
      </c>
      <c r="B1111" cm="1">
        <f t="array" aca="1" ref="B1111" ca="1">[1]!s_dq_close("HSTECH.HI",$A1111,3)</f>
        <v>3798.7</v>
      </c>
      <c r="C1111" cm="1">
        <f t="array" aca="1" ref="C1111" ca="1">[1]!s_dq_close("HSI.HI",$A1111,3)</f>
        <v>19867.580000000002</v>
      </c>
    </row>
    <row r="1112" spans="1:3">
      <c r="A1112" s="23">
        <f t="shared" ca="1" si="17"/>
        <v>45054</v>
      </c>
      <c r="B1112" cm="1">
        <f t="array" aca="1" ref="B1112" ca="1">[1]!s_dq_close("HSTECH.HI",$A1112,3)</f>
        <v>3914.34</v>
      </c>
      <c r="C1112" cm="1">
        <f t="array" aca="1" ref="C1112" ca="1">[1]!s_dq_close("HSI.HI",$A1112,3)</f>
        <v>20297.03</v>
      </c>
    </row>
    <row r="1113" spans="1:3">
      <c r="A1113" s="23">
        <f t="shared" ca="1" si="17"/>
        <v>45053</v>
      </c>
      <c r="B1113" cm="1">
        <f t="array" aca="1" ref="B1113" ca="1">[1]!s_dq_close("HSTECH.HI",$A1113,3)</f>
        <v>3895.53</v>
      </c>
      <c r="C1113" cm="1">
        <f t="array" aca="1" ref="C1113" ca="1">[1]!s_dq_close("HSI.HI",$A1113,3)</f>
        <v>20049.310000000001</v>
      </c>
    </row>
    <row r="1114" spans="1:3">
      <c r="A1114" s="23">
        <f t="shared" ca="1" si="17"/>
        <v>45052</v>
      </c>
      <c r="B1114" cm="1">
        <f t="array" aca="1" ref="B1114" ca="1">[1]!s_dq_close("HSTECH.HI",$A1114,3)</f>
        <v>3895.53</v>
      </c>
      <c r="C1114" cm="1">
        <f t="array" aca="1" ref="C1114" ca="1">[1]!s_dq_close("HSI.HI",$A1114,3)</f>
        <v>20049.310000000001</v>
      </c>
    </row>
    <row r="1115" spans="1:3">
      <c r="A1115" s="23">
        <f t="shared" ca="1" si="17"/>
        <v>45051</v>
      </c>
      <c r="B1115" cm="1">
        <f t="array" aca="1" ref="B1115" ca="1">[1]!s_dq_close("HSTECH.HI",$A1115,3)</f>
        <v>3895.53</v>
      </c>
      <c r="C1115" cm="1">
        <f t="array" aca="1" ref="C1115" ca="1">[1]!s_dq_close("HSI.HI",$A1115,3)</f>
        <v>20049.310000000001</v>
      </c>
    </row>
    <row r="1116" spans="1:3">
      <c r="A1116" s="23">
        <f t="shared" ca="1" si="17"/>
        <v>45050</v>
      </c>
      <c r="B1116" cm="1">
        <f t="array" aca="1" ref="B1116" ca="1">[1]!s_dq_close("HSTECH.HI",$A1116,3)</f>
        <v>3856</v>
      </c>
      <c r="C1116" cm="1">
        <f t="array" aca="1" ref="C1116" ca="1">[1]!s_dq_close("HSI.HI",$A1116,3)</f>
        <v>19948.73</v>
      </c>
    </row>
    <row r="1117" spans="1:3">
      <c r="A1117" s="23">
        <f t="shared" ca="1" si="17"/>
        <v>45049</v>
      </c>
      <c r="B1117" cm="1">
        <f t="array" aca="1" ref="B1117" ca="1">[1]!s_dq_close("HSTECH.HI",$A1117,3)</f>
        <v>3835.06</v>
      </c>
      <c r="C1117" cm="1">
        <f t="array" aca="1" ref="C1117" ca="1">[1]!s_dq_close("HSI.HI",$A1117,3)</f>
        <v>19699.16</v>
      </c>
    </row>
    <row r="1118" spans="1:3">
      <c r="A1118" s="23">
        <f t="shared" ca="1" si="17"/>
        <v>45048</v>
      </c>
      <c r="B1118" cm="1">
        <f t="array" aca="1" ref="B1118" ca="1">[1]!s_dq_close("HSTECH.HI",$A1118,3)</f>
        <v>3898.59</v>
      </c>
      <c r="C1118" cm="1">
        <f t="array" aca="1" ref="C1118" ca="1">[1]!s_dq_close("HSI.HI",$A1118,3)</f>
        <v>19933.810000000001</v>
      </c>
    </row>
    <row r="1119" spans="1:3">
      <c r="A1119" s="23">
        <f t="shared" ca="1" si="17"/>
        <v>45047</v>
      </c>
      <c r="B1119" cm="1">
        <f t="array" aca="1" ref="B1119" ca="1">[1]!s_dq_close("HSTECH.HI",$A1119,3)</f>
        <v>3901.52</v>
      </c>
      <c r="C1119" cm="1">
        <f t="array" aca="1" ref="C1119" ca="1">[1]!s_dq_close("HSI.HI",$A1119,3)</f>
        <v>19894.57</v>
      </c>
    </row>
    <row r="1120" spans="1:3">
      <c r="A1120" s="23">
        <f t="shared" ca="1" si="17"/>
        <v>45046</v>
      </c>
      <c r="B1120" cm="1">
        <f t="array" aca="1" ref="B1120" ca="1">[1]!s_dq_close("HSTECH.HI",$A1120,3)</f>
        <v>3901.52</v>
      </c>
      <c r="C1120" cm="1">
        <f t="array" aca="1" ref="C1120" ca="1">[1]!s_dq_close("HSI.HI",$A1120,3)</f>
        <v>19894.57</v>
      </c>
    </row>
    <row r="1121" spans="1:3">
      <c r="A1121" s="23">
        <f t="shared" ca="1" si="17"/>
        <v>45045</v>
      </c>
      <c r="B1121" cm="1">
        <f t="array" aca="1" ref="B1121" ca="1">[1]!s_dq_close("HSTECH.HI",$A1121,3)</f>
        <v>3901.52</v>
      </c>
      <c r="C1121" cm="1">
        <f t="array" aca="1" ref="C1121" ca="1">[1]!s_dq_close("HSI.HI",$A1121,3)</f>
        <v>19894.57</v>
      </c>
    </row>
    <row r="1122" spans="1:3">
      <c r="A1122" s="23">
        <f t="shared" ca="1" si="17"/>
        <v>45044</v>
      </c>
      <c r="B1122" cm="1">
        <f t="array" aca="1" ref="B1122" ca="1">[1]!s_dq_close("HSTECH.HI",$A1122,3)</f>
        <v>3901.52</v>
      </c>
      <c r="C1122" cm="1">
        <f t="array" aca="1" ref="C1122" ca="1">[1]!s_dq_close("HSI.HI",$A1122,3)</f>
        <v>19894.57</v>
      </c>
    </row>
    <row r="1123" spans="1:3">
      <c r="A1123" s="23">
        <f t="shared" ca="1" si="17"/>
        <v>45043</v>
      </c>
      <c r="B1123" cm="1">
        <f t="array" aca="1" ref="B1123" ca="1">[1]!s_dq_close("HSTECH.HI",$A1123,3)</f>
        <v>3861.98</v>
      </c>
      <c r="C1123" cm="1">
        <f t="array" aca="1" ref="C1123" ca="1">[1]!s_dq_close("HSI.HI",$A1123,3)</f>
        <v>19840.28</v>
      </c>
    </row>
    <row r="1124" spans="1:3">
      <c r="A1124" s="23">
        <f t="shared" ca="1" si="17"/>
        <v>45042</v>
      </c>
      <c r="B1124" cm="1">
        <f t="array" aca="1" ref="B1124" ca="1">[1]!s_dq_close("HSTECH.HI",$A1124,3)</f>
        <v>3872.01</v>
      </c>
      <c r="C1124" cm="1">
        <f t="array" aca="1" ref="C1124" ca="1">[1]!s_dq_close("HSI.HI",$A1124,3)</f>
        <v>19757.27</v>
      </c>
    </row>
    <row r="1125" spans="1:3">
      <c r="A1125" s="23">
        <f t="shared" ca="1" si="17"/>
        <v>45041</v>
      </c>
      <c r="B1125" cm="1">
        <f t="array" aca="1" ref="B1125" ca="1">[1]!s_dq_close("HSTECH.HI",$A1125,3)</f>
        <v>3824.09</v>
      </c>
      <c r="C1125" cm="1">
        <f t="array" aca="1" ref="C1125" ca="1">[1]!s_dq_close("HSI.HI",$A1125,3)</f>
        <v>19617.88</v>
      </c>
    </row>
    <row r="1126" spans="1:3">
      <c r="A1126" s="23">
        <f t="shared" ca="1" si="17"/>
        <v>45040</v>
      </c>
      <c r="B1126" cm="1">
        <f t="array" aca="1" ref="B1126" ca="1">[1]!s_dq_close("HSTECH.HI",$A1126,3)</f>
        <v>3961.17</v>
      </c>
      <c r="C1126" cm="1">
        <f t="array" aca="1" ref="C1126" ca="1">[1]!s_dq_close("HSI.HI",$A1126,3)</f>
        <v>19959.939999999999</v>
      </c>
    </row>
    <row r="1127" spans="1:3">
      <c r="A1127" s="23">
        <f t="shared" ca="1" si="17"/>
        <v>45039</v>
      </c>
      <c r="B1127" cm="1">
        <f t="array" aca="1" ref="B1127" ca="1">[1]!s_dq_close("HSTECH.HI",$A1127,3)</f>
        <v>3969.94</v>
      </c>
      <c r="C1127" cm="1">
        <f t="array" aca="1" ref="C1127" ca="1">[1]!s_dq_close("HSI.HI",$A1127,3)</f>
        <v>20075.73</v>
      </c>
    </row>
    <row r="1128" spans="1:3">
      <c r="A1128" s="23">
        <f t="shared" ca="1" si="17"/>
        <v>45038</v>
      </c>
      <c r="B1128" cm="1">
        <f t="array" aca="1" ref="B1128" ca="1">[1]!s_dq_close("HSTECH.HI",$A1128,3)</f>
        <v>3969.94</v>
      </c>
      <c r="C1128" cm="1">
        <f t="array" aca="1" ref="C1128" ca="1">[1]!s_dq_close("HSI.HI",$A1128,3)</f>
        <v>20075.73</v>
      </c>
    </row>
    <row r="1129" spans="1:3">
      <c r="A1129" s="23">
        <f t="shared" ca="1" si="17"/>
        <v>45037</v>
      </c>
      <c r="B1129" cm="1">
        <f t="array" aca="1" ref="B1129" ca="1">[1]!s_dq_close("HSTECH.HI",$A1129,3)</f>
        <v>3969.94</v>
      </c>
      <c r="C1129" cm="1">
        <f t="array" aca="1" ref="C1129" ca="1">[1]!s_dq_close("HSI.HI",$A1129,3)</f>
        <v>20075.73</v>
      </c>
    </row>
    <row r="1130" spans="1:3">
      <c r="A1130" s="23">
        <f t="shared" ca="1" si="17"/>
        <v>45036</v>
      </c>
      <c r="B1130" cm="1">
        <f t="array" aca="1" ref="B1130" ca="1">[1]!s_dq_close("HSTECH.HI",$A1130,3)</f>
        <v>4098.3500000000004</v>
      </c>
      <c r="C1130" cm="1">
        <f t="array" aca="1" ref="C1130" ca="1">[1]!s_dq_close("HSI.HI",$A1130,3)</f>
        <v>20396.97</v>
      </c>
    </row>
    <row r="1131" spans="1:3">
      <c r="A1131" s="23">
        <f t="shared" ca="1" si="17"/>
        <v>45035</v>
      </c>
      <c r="B1131" cm="1">
        <f t="array" aca="1" ref="B1131" ca="1">[1]!s_dq_close("HSTECH.HI",$A1131,3)</f>
        <v>4102.0200000000004</v>
      </c>
      <c r="C1131" cm="1">
        <f t="array" aca="1" ref="C1131" ca="1">[1]!s_dq_close("HSI.HI",$A1131,3)</f>
        <v>20367.759999999998</v>
      </c>
    </row>
    <row r="1132" spans="1:3">
      <c r="A1132" s="23">
        <f t="shared" ca="1" si="17"/>
        <v>45034</v>
      </c>
      <c r="B1132" cm="1">
        <f t="array" aca="1" ref="B1132" ca="1">[1]!s_dq_close("HSTECH.HI",$A1132,3)</f>
        <v>4202.67</v>
      </c>
      <c r="C1132" cm="1">
        <f t="array" aca="1" ref="C1132" ca="1">[1]!s_dq_close("HSI.HI",$A1132,3)</f>
        <v>20650.509999999998</v>
      </c>
    </row>
    <row r="1133" spans="1:3">
      <c r="A1133" s="23">
        <f t="shared" ca="1" si="17"/>
        <v>45033</v>
      </c>
      <c r="B1133" cm="1">
        <f t="array" aca="1" ref="B1133" ca="1">[1]!s_dq_close("HSTECH.HI",$A1133,3)</f>
        <v>4254.01</v>
      </c>
      <c r="C1133" cm="1">
        <f t="array" aca="1" ref="C1133" ca="1">[1]!s_dq_close("HSI.HI",$A1133,3)</f>
        <v>20782.45</v>
      </c>
    </row>
    <row r="1134" spans="1:3">
      <c r="A1134" s="23">
        <f t="shared" ca="1" si="17"/>
        <v>45032</v>
      </c>
      <c r="B1134" cm="1">
        <f t="array" aca="1" ref="B1134" ca="1">[1]!s_dq_close("HSTECH.HI",$A1134,3)</f>
        <v>4164.03</v>
      </c>
      <c r="C1134" cm="1">
        <f t="array" aca="1" ref="C1134" ca="1">[1]!s_dq_close("HSI.HI",$A1134,3)</f>
        <v>20438.810000000001</v>
      </c>
    </row>
    <row r="1135" spans="1:3">
      <c r="A1135" s="23">
        <f t="shared" ca="1" si="17"/>
        <v>45031</v>
      </c>
      <c r="B1135" cm="1">
        <f t="array" aca="1" ref="B1135" ca="1">[1]!s_dq_close("HSTECH.HI",$A1135,3)</f>
        <v>4164.03</v>
      </c>
      <c r="C1135" cm="1">
        <f t="array" aca="1" ref="C1135" ca="1">[1]!s_dq_close("HSI.HI",$A1135,3)</f>
        <v>20438.810000000001</v>
      </c>
    </row>
    <row r="1136" spans="1:3">
      <c r="A1136" s="23">
        <f t="shared" ca="1" si="17"/>
        <v>45030</v>
      </c>
      <c r="B1136" cm="1">
        <f t="array" aca="1" ref="B1136" ca="1">[1]!s_dq_close("HSTECH.HI",$A1136,3)</f>
        <v>4164.03</v>
      </c>
      <c r="C1136" cm="1">
        <f t="array" aca="1" ref="C1136" ca="1">[1]!s_dq_close("HSI.HI",$A1136,3)</f>
        <v>20438.810000000001</v>
      </c>
    </row>
    <row r="1137" spans="1:3">
      <c r="A1137" s="23">
        <f t="shared" ca="1" si="17"/>
        <v>45029</v>
      </c>
      <c r="B1137" cm="1">
        <f t="array" aca="1" ref="B1137" ca="1">[1]!s_dq_close("HSTECH.HI",$A1137,3)</f>
        <v>4159.8500000000004</v>
      </c>
      <c r="C1137" cm="1">
        <f t="array" aca="1" ref="C1137" ca="1">[1]!s_dq_close("HSI.HI",$A1137,3)</f>
        <v>20344.48</v>
      </c>
    </row>
    <row r="1138" spans="1:3">
      <c r="A1138" s="23">
        <f t="shared" ca="1" si="17"/>
        <v>45028</v>
      </c>
      <c r="B1138" cm="1">
        <f t="array" aca="1" ref="B1138" ca="1">[1]!s_dq_close("HSTECH.HI",$A1138,3)</f>
        <v>4166.7700000000004</v>
      </c>
      <c r="C1138" cm="1">
        <f t="array" aca="1" ref="C1138" ca="1">[1]!s_dq_close("HSI.HI",$A1138,3)</f>
        <v>20309.86</v>
      </c>
    </row>
    <row r="1139" spans="1:3">
      <c r="A1139" s="23">
        <f t="shared" ca="1" si="17"/>
        <v>45027</v>
      </c>
      <c r="B1139" cm="1">
        <f t="array" aca="1" ref="B1139" ca="1">[1]!s_dq_close("HSTECH.HI",$A1139,3)</f>
        <v>4248.1400000000003</v>
      </c>
      <c r="C1139" cm="1">
        <f t="array" aca="1" ref="C1139" ca="1">[1]!s_dq_close("HSI.HI",$A1139,3)</f>
        <v>20485.240000000002</v>
      </c>
    </row>
    <row r="1140" spans="1:3">
      <c r="A1140" s="23">
        <f t="shared" ca="1" si="17"/>
        <v>45026</v>
      </c>
      <c r="B1140" cm="1">
        <f t="array" aca="1" ref="B1140" ca="1">[1]!s_dq_close("HSTECH.HI",$A1140,3)</f>
        <v>4237.63</v>
      </c>
      <c r="C1140" cm="1">
        <f t="array" aca="1" ref="C1140" ca="1">[1]!s_dq_close("HSI.HI",$A1140,3)</f>
        <v>20331.2</v>
      </c>
    </row>
    <row r="1141" spans="1:3">
      <c r="A1141" s="23">
        <f t="shared" ca="1" si="17"/>
        <v>45025</v>
      </c>
      <c r="B1141" cm="1">
        <f t="array" aca="1" ref="B1141" ca="1">[1]!s_dq_close("HSTECH.HI",$A1141,3)</f>
        <v>4237.63</v>
      </c>
      <c r="C1141" cm="1">
        <f t="array" aca="1" ref="C1141" ca="1">[1]!s_dq_close("HSI.HI",$A1141,3)</f>
        <v>20331.2</v>
      </c>
    </row>
    <row r="1142" spans="1:3">
      <c r="A1142" s="23">
        <f t="shared" ca="1" si="17"/>
        <v>45024</v>
      </c>
      <c r="B1142" cm="1">
        <f t="array" aca="1" ref="B1142" ca="1">[1]!s_dq_close("HSTECH.HI",$A1142,3)</f>
        <v>4237.63</v>
      </c>
      <c r="C1142" cm="1">
        <f t="array" aca="1" ref="C1142" ca="1">[1]!s_dq_close("HSI.HI",$A1142,3)</f>
        <v>20331.2</v>
      </c>
    </row>
    <row r="1143" spans="1:3">
      <c r="A1143" s="23">
        <f t="shared" ca="1" si="17"/>
        <v>45023</v>
      </c>
      <c r="B1143" cm="1">
        <f t="array" aca="1" ref="B1143" ca="1">[1]!s_dq_close("HSTECH.HI",$A1143,3)</f>
        <v>4237.63</v>
      </c>
      <c r="C1143" cm="1">
        <f t="array" aca="1" ref="C1143" ca="1">[1]!s_dq_close("HSI.HI",$A1143,3)</f>
        <v>20331.2</v>
      </c>
    </row>
    <row r="1144" spans="1:3">
      <c r="A1144" s="23">
        <f t="shared" ca="1" si="17"/>
        <v>45022</v>
      </c>
      <c r="B1144" cm="1">
        <f t="array" aca="1" ref="B1144" ca="1">[1]!s_dq_close("HSTECH.HI",$A1144,3)</f>
        <v>4237.63</v>
      </c>
      <c r="C1144" cm="1">
        <f t="array" aca="1" ref="C1144" ca="1">[1]!s_dq_close("HSI.HI",$A1144,3)</f>
        <v>20331.2</v>
      </c>
    </row>
    <row r="1145" spans="1:3">
      <c r="A1145" s="23">
        <f t="shared" ca="1" si="17"/>
        <v>45021</v>
      </c>
      <c r="B1145" cm="1">
        <f t="array" aca="1" ref="B1145" ca="1">[1]!s_dq_close("HSTECH.HI",$A1145,3)</f>
        <v>4233.42</v>
      </c>
      <c r="C1145" cm="1">
        <f t="array" aca="1" ref="C1145" ca="1">[1]!s_dq_close("HSI.HI",$A1145,3)</f>
        <v>20274.59</v>
      </c>
    </row>
    <row r="1146" spans="1:3">
      <c r="A1146" s="23">
        <f t="shared" ca="1" si="17"/>
        <v>45020</v>
      </c>
      <c r="B1146" cm="1">
        <f t="array" aca="1" ref="B1146" ca="1">[1]!s_dq_close("HSTECH.HI",$A1146,3)</f>
        <v>4233.42</v>
      </c>
      <c r="C1146" cm="1">
        <f t="array" aca="1" ref="C1146" ca="1">[1]!s_dq_close("HSI.HI",$A1146,3)</f>
        <v>20274.59</v>
      </c>
    </row>
    <row r="1147" spans="1:3">
      <c r="A1147" s="23">
        <f t="shared" ca="1" si="17"/>
        <v>45019</v>
      </c>
      <c r="B1147" cm="1">
        <f t="array" aca="1" ref="B1147" ca="1">[1]!s_dq_close("HSTECH.HI",$A1147,3)</f>
        <v>4302.5200000000004</v>
      </c>
      <c r="C1147" cm="1">
        <f t="array" aca="1" ref="C1147" ca="1">[1]!s_dq_close("HSI.HI",$A1147,3)</f>
        <v>20409.18</v>
      </c>
    </row>
    <row r="1148" spans="1:3">
      <c r="A1148" s="23">
        <f t="shared" ca="1" si="17"/>
        <v>45018</v>
      </c>
      <c r="B1148" cm="1">
        <f t="array" aca="1" ref="B1148" ca="1">[1]!s_dq_close("HSTECH.HI",$A1148,3)</f>
        <v>4303.71</v>
      </c>
      <c r="C1148" cm="1">
        <f t="array" aca="1" ref="C1148" ca="1">[1]!s_dq_close("HSI.HI",$A1148,3)</f>
        <v>20400.11</v>
      </c>
    </row>
    <row r="1149" spans="1:3">
      <c r="A1149" s="23">
        <f t="shared" ca="1" si="17"/>
        <v>45017</v>
      </c>
      <c r="B1149" cm="1">
        <f t="array" aca="1" ref="B1149" ca="1">[1]!s_dq_close("HSTECH.HI",$A1149,3)</f>
        <v>4303.71</v>
      </c>
      <c r="C1149" cm="1">
        <f t="array" aca="1" ref="C1149" ca="1">[1]!s_dq_close("HSI.HI",$A1149,3)</f>
        <v>20400.11</v>
      </c>
    </row>
    <row r="1150" spans="1:3">
      <c r="A1150" s="23">
        <f t="shared" ca="1" si="17"/>
        <v>45016</v>
      </c>
      <c r="B1150" cm="1">
        <f t="array" aca="1" ref="B1150" ca="1">[1]!s_dq_close("HSTECH.HI",$A1150,3)</f>
        <v>4303.71</v>
      </c>
      <c r="C1150" cm="1">
        <f t="array" aca="1" ref="C1150" ca="1">[1]!s_dq_close("HSI.HI",$A1150,3)</f>
        <v>20400.11</v>
      </c>
    </row>
    <row r="1151" spans="1:3">
      <c r="A1151" s="23">
        <f t="shared" ca="1" si="17"/>
        <v>45015</v>
      </c>
      <c r="B1151" cm="1">
        <f t="array" aca="1" ref="B1151" ca="1">[1]!s_dq_close("HSTECH.HI",$A1151,3)</f>
        <v>4270.32</v>
      </c>
      <c r="C1151" cm="1">
        <f t="array" aca="1" ref="C1151" ca="1">[1]!s_dq_close("HSI.HI",$A1151,3)</f>
        <v>20309.13</v>
      </c>
    </row>
    <row r="1152" spans="1:3">
      <c r="A1152" s="23">
        <f t="shared" ca="1" si="17"/>
        <v>45014</v>
      </c>
      <c r="B1152" cm="1">
        <f t="array" aca="1" ref="B1152" ca="1">[1]!s_dq_close("HSTECH.HI",$A1152,3)</f>
        <v>4246.3500000000004</v>
      </c>
      <c r="C1152" cm="1">
        <f t="array" aca="1" ref="C1152" ca="1">[1]!s_dq_close("HSI.HI",$A1152,3)</f>
        <v>20192.400000000001</v>
      </c>
    </row>
    <row r="1153" spans="1:3">
      <c r="A1153" s="23">
        <f t="shared" ca="1" si="17"/>
        <v>45013</v>
      </c>
      <c r="B1153" cm="1">
        <f t="array" aca="1" ref="B1153" ca="1">[1]!s_dq_close("HSTECH.HI",$A1153,3)</f>
        <v>4144.12</v>
      </c>
      <c r="C1153" cm="1">
        <f t="array" aca="1" ref="C1153" ca="1">[1]!s_dq_close("HSI.HI",$A1153,3)</f>
        <v>19784.650000000001</v>
      </c>
    </row>
    <row r="1154" spans="1:3">
      <c r="A1154" s="23">
        <f t="shared" ca="1" si="17"/>
        <v>45012</v>
      </c>
      <c r="B1154" cm="1">
        <f t="array" aca="1" ref="B1154" ca="1">[1]!s_dq_close("HSTECH.HI",$A1154,3)</f>
        <v>4105.6899999999996</v>
      </c>
      <c r="C1154" cm="1">
        <f t="array" aca="1" ref="C1154" ca="1">[1]!s_dq_close("HSI.HI",$A1154,3)</f>
        <v>19567.689999999999</v>
      </c>
    </row>
    <row r="1155" spans="1:3">
      <c r="A1155" s="23">
        <f t="shared" ca="1" si="17"/>
        <v>45011</v>
      </c>
      <c r="B1155" cm="1">
        <f t="array" aca="1" ref="B1155" ca="1">[1]!s_dq_close("HSTECH.HI",$A1155,3)</f>
        <v>4224.8500000000004</v>
      </c>
      <c r="C1155" cm="1">
        <f t="array" aca="1" ref="C1155" ca="1">[1]!s_dq_close("HSI.HI",$A1155,3)</f>
        <v>19915.68</v>
      </c>
    </row>
    <row r="1156" spans="1:3">
      <c r="A1156" s="23">
        <f t="shared" ref="A1156:A1219" ca="1" si="18">A1155-1</f>
        <v>45010</v>
      </c>
      <c r="B1156" cm="1">
        <f t="array" aca="1" ref="B1156" ca="1">[1]!s_dq_close("HSTECH.HI",$A1156,3)</f>
        <v>4224.8500000000004</v>
      </c>
      <c r="C1156" cm="1">
        <f t="array" aca="1" ref="C1156" ca="1">[1]!s_dq_close("HSI.HI",$A1156,3)</f>
        <v>19915.68</v>
      </c>
    </row>
    <row r="1157" spans="1:3">
      <c r="A1157" s="23">
        <f t="shared" ca="1" si="18"/>
        <v>45009</v>
      </c>
      <c r="B1157" cm="1">
        <f t="array" aca="1" ref="B1157" ca="1">[1]!s_dq_close("HSTECH.HI",$A1157,3)</f>
        <v>4224.8500000000004</v>
      </c>
      <c r="C1157" cm="1">
        <f t="array" aca="1" ref="C1157" ca="1">[1]!s_dq_close("HSI.HI",$A1157,3)</f>
        <v>19915.68</v>
      </c>
    </row>
    <row r="1158" spans="1:3">
      <c r="A1158" s="23">
        <f t="shared" ca="1" si="18"/>
        <v>45008</v>
      </c>
      <c r="B1158" cm="1">
        <f t="array" aca="1" ref="B1158" ca="1">[1]!s_dq_close("HSTECH.HI",$A1158,3)</f>
        <v>4198.99</v>
      </c>
      <c r="C1158" cm="1">
        <f t="array" aca="1" ref="C1158" ca="1">[1]!s_dq_close("HSI.HI",$A1158,3)</f>
        <v>20049.64</v>
      </c>
    </row>
    <row r="1159" spans="1:3">
      <c r="A1159" s="23">
        <f t="shared" ca="1" si="18"/>
        <v>45007</v>
      </c>
      <c r="B1159" cm="1">
        <f t="array" aca="1" ref="B1159" ca="1">[1]!s_dq_close("HSTECH.HI",$A1159,3)</f>
        <v>4009.13</v>
      </c>
      <c r="C1159" cm="1">
        <f t="array" aca="1" ref="C1159" ca="1">[1]!s_dq_close("HSI.HI",$A1159,3)</f>
        <v>19591.43</v>
      </c>
    </row>
    <row r="1160" spans="1:3">
      <c r="A1160" s="23">
        <f t="shared" ca="1" si="18"/>
        <v>45006</v>
      </c>
      <c r="B1160" cm="1">
        <f t="array" aca="1" ref="B1160" ca="1">[1]!s_dq_close("HSTECH.HI",$A1160,3)</f>
        <v>3965.17</v>
      </c>
      <c r="C1160" cm="1">
        <f t="array" aca="1" ref="C1160" ca="1">[1]!s_dq_close("HSI.HI",$A1160,3)</f>
        <v>19258.759999999998</v>
      </c>
    </row>
    <row r="1161" spans="1:3">
      <c r="A1161" s="23">
        <f t="shared" ca="1" si="18"/>
        <v>45005</v>
      </c>
      <c r="B1161" cm="1">
        <f t="array" aca="1" ref="B1161" ca="1">[1]!s_dq_close("HSTECH.HI",$A1161,3)</f>
        <v>3870.27</v>
      </c>
      <c r="C1161" cm="1">
        <f t="array" aca="1" ref="C1161" ca="1">[1]!s_dq_close("HSI.HI",$A1161,3)</f>
        <v>19000.71</v>
      </c>
    </row>
    <row r="1162" spans="1:3">
      <c r="A1162" s="23">
        <f t="shared" ca="1" si="18"/>
        <v>45004</v>
      </c>
      <c r="B1162" cm="1">
        <f t="array" aca="1" ref="B1162" ca="1">[1]!s_dq_close("HSTECH.HI",$A1162,3)</f>
        <v>3979.8</v>
      </c>
      <c r="C1162" cm="1">
        <f t="array" aca="1" ref="C1162" ca="1">[1]!s_dq_close("HSI.HI",$A1162,3)</f>
        <v>19518.59</v>
      </c>
    </row>
    <row r="1163" spans="1:3">
      <c r="A1163" s="23">
        <f t="shared" ca="1" si="18"/>
        <v>45003</v>
      </c>
      <c r="B1163" cm="1">
        <f t="array" aca="1" ref="B1163" ca="1">[1]!s_dq_close("HSTECH.HI",$A1163,3)</f>
        <v>3979.8</v>
      </c>
      <c r="C1163" cm="1">
        <f t="array" aca="1" ref="C1163" ca="1">[1]!s_dq_close("HSI.HI",$A1163,3)</f>
        <v>19518.59</v>
      </c>
    </row>
    <row r="1164" spans="1:3">
      <c r="A1164" s="23">
        <f t="shared" ca="1" si="18"/>
        <v>45002</v>
      </c>
      <c r="B1164" cm="1">
        <f t="array" aca="1" ref="B1164" ca="1">[1]!s_dq_close("HSTECH.HI",$A1164,3)</f>
        <v>3979.8</v>
      </c>
      <c r="C1164" cm="1">
        <f t="array" aca="1" ref="C1164" ca="1">[1]!s_dq_close("HSI.HI",$A1164,3)</f>
        <v>19518.59</v>
      </c>
    </row>
    <row r="1165" spans="1:3">
      <c r="A1165" s="23">
        <f t="shared" ca="1" si="18"/>
        <v>45001</v>
      </c>
      <c r="B1165" cm="1">
        <f t="array" aca="1" ref="B1165" ca="1">[1]!s_dq_close("HSTECH.HI",$A1165,3)</f>
        <v>3811.81</v>
      </c>
      <c r="C1165" cm="1">
        <f t="array" aca="1" ref="C1165" ca="1">[1]!s_dq_close("HSI.HI",$A1165,3)</f>
        <v>19203.91</v>
      </c>
    </row>
    <row r="1166" spans="1:3">
      <c r="A1166" s="23">
        <f t="shared" ca="1" si="18"/>
        <v>45000</v>
      </c>
      <c r="B1166" cm="1">
        <f t="array" aca="1" ref="B1166" ca="1">[1]!s_dq_close("HSTECH.HI",$A1166,3)</f>
        <v>3866.26</v>
      </c>
      <c r="C1166" cm="1">
        <f t="array" aca="1" ref="C1166" ca="1">[1]!s_dq_close("HSI.HI",$A1166,3)</f>
        <v>19539.87</v>
      </c>
    </row>
    <row r="1167" spans="1:3">
      <c r="A1167" s="23">
        <f t="shared" ca="1" si="18"/>
        <v>44999</v>
      </c>
      <c r="B1167" cm="1">
        <f t="array" aca="1" ref="B1167" ca="1">[1]!s_dq_close("HSTECH.HI",$A1167,3)</f>
        <v>3790.62</v>
      </c>
      <c r="C1167" cm="1">
        <f t="array" aca="1" ref="C1167" ca="1">[1]!s_dq_close("HSI.HI",$A1167,3)</f>
        <v>19247.96</v>
      </c>
    </row>
    <row r="1168" spans="1:3">
      <c r="A1168" s="23">
        <f t="shared" ca="1" si="18"/>
        <v>44998</v>
      </c>
      <c r="B1168" cm="1">
        <f t="array" aca="1" ref="B1168" ca="1">[1]!s_dq_close("HSTECH.HI",$A1168,3)</f>
        <v>3891.48</v>
      </c>
      <c r="C1168" cm="1">
        <f t="array" aca="1" ref="C1168" ca="1">[1]!s_dq_close("HSI.HI",$A1168,3)</f>
        <v>19695.97</v>
      </c>
    </row>
    <row r="1169" spans="1:3">
      <c r="A1169" s="23">
        <f t="shared" ca="1" si="18"/>
        <v>44997</v>
      </c>
      <c r="B1169" cm="1">
        <f t="array" aca="1" ref="B1169" ca="1">[1]!s_dq_close("HSTECH.HI",$A1169,3)</f>
        <v>3782.22</v>
      </c>
      <c r="C1169" cm="1">
        <f t="array" aca="1" ref="C1169" ca="1">[1]!s_dq_close("HSI.HI",$A1169,3)</f>
        <v>19319.919999999998</v>
      </c>
    </row>
    <row r="1170" spans="1:3">
      <c r="A1170" s="23">
        <f t="shared" ca="1" si="18"/>
        <v>44996</v>
      </c>
      <c r="B1170" cm="1">
        <f t="array" aca="1" ref="B1170" ca="1">[1]!s_dq_close("HSTECH.HI",$A1170,3)</f>
        <v>3782.22</v>
      </c>
      <c r="C1170" cm="1">
        <f t="array" aca="1" ref="C1170" ca="1">[1]!s_dq_close("HSI.HI",$A1170,3)</f>
        <v>19319.919999999998</v>
      </c>
    </row>
    <row r="1171" spans="1:3">
      <c r="A1171" s="23">
        <f t="shared" ca="1" si="18"/>
        <v>44995</v>
      </c>
      <c r="B1171" cm="1">
        <f t="array" aca="1" ref="B1171" ca="1">[1]!s_dq_close("HSTECH.HI",$A1171,3)</f>
        <v>3782.22</v>
      </c>
      <c r="C1171" cm="1">
        <f t="array" aca="1" ref="C1171" ca="1">[1]!s_dq_close("HSI.HI",$A1171,3)</f>
        <v>19319.919999999998</v>
      </c>
    </row>
    <row r="1172" spans="1:3">
      <c r="A1172" s="23">
        <f t="shared" ca="1" si="18"/>
        <v>44994</v>
      </c>
      <c r="B1172" cm="1">
        <f t="array" aca="1" ref="B1172" ca="1">[1]!s_dq_close("HSTECH.HI",$A1172,3)</f>
        <v>3930.94</v>
      </c>
      <c r="C1172" cm="1">
        <f t="array" aca="1" ref="C1172" ca="1">[1]!s_dq_close("HSI.HI",$A1172,3)</f>
        <v>19925.740000000002</v>
      </c>
    </row>
    <row r="1173" spans="1:3">
      <c r="A1173" s="23">
        <f t="shared" ca="1" si="18"/>
        <v>44993</v>
      </c>
      <c r="B1173" cm="1">
        <f t="array" aca="1" ref="B1173" ca="1">[1]!s_dq_close("HSTECH.HI",$A1173,3)</f>
        <v>3989.28</v>
      </c>
      <c r="C1173" cm="1">
        <f t="array" aca="1" ref="C1173" ca="1">[1]!s_dq_close("HSI.HI",$A1173,3)</f>
        <v>20051.25</v>
      </c>
    </row>
    <row r="1174" spans="1:3">
      <c r="A1174" s="23">
        <f t="shared" ca="1" si="18"/>
        <v>44992</v>
      </c>
      <c r="B1174" cm="1">
        <f t="array" aca="1" ref="B1174" ca="1">[1]!s_dq_close("HSTECH.HI",$A1174,3)</f>
        <v>4122.6000000000004</v>
      </c>
      <c r="C1174" cm="1">
        <f t="array" aca="1" ref="C1174" ca="1">[1]!s_dq_close("HSI.HI",$A1174,3)</f>
        <v>20534.48</v>
      </c>
    </row>
    <row r="1175" spans="1:3">
      <c r="A1175" s="23">
        <f t="shared" ca="1" si="18"/>
        <v>44991</v>
      </c>
      <c r="B1175" cm="1">
        <f t="array" aca="1" ref="B1175" ca="1">[1]!s_dq_close("HSTECH.HI",$A1175,3)</f>
        <v>4177.25</v>
      </c>
      <c r="C1175" cm="1">
        <f t="array" aca="1" ref="C1175" ca="1">[1]!s_dq_close("HSI.HI",$A1175,3)</f>
        <v>20603.189999999999</v>
      </c>
    </row>
    <row r="1176" spans="1:3">
      <c r="A1176" s="23">
        <f t="shared" ca="1" si="18"/>
        <v>44990</v>
      </c>
      <c r="B1176" cm="1">
        <f t="array" aca="1" ref="B1176" ca="1">[1]!s_dq_close("HSTECH.HI",$A1176,3)</f>
        <v>4211.3100000000004</v>
      </c>
      <c r="C1176" cm="1">
        <f t="array" aca="1" ref="C1176" ca="1">[1]!s_dq_close("HSI.HI",$A1176,3)</f>
        <v>20567.54</v>
      </c>
    </row>
    <row r="1177" spans="1:3">
      <c r="A1177" s="23">
        <f t="shared" ca="1" si="18"/>
        <v>44989</v>
      </c>
      <c r="B1177" cm="1">
        <f t="array" aca="1" ref="B1177" ca="1">[1]!s_dq_close("HSTECH.HI",$A1177,3)</f>
        <v>4211.3100000000004</v>
      </c>
      <c r="C1177" cm="1">
        <f t="array" aca="1" ref="C1177" ca="1">[1]!s_dq_close("HSI.HI",$A1177,3)</f>
        <v>20567.54</v>
      </c>
    </row>
    <row r="1178" spans="1:3">
      <c r="A1178" s="23">
        <f t="shared" ca="1" si="18"/>
        <v>44988</v>
      </c>
      <c r="B1178" cm="1">
        <f t="array" aca="1" ref="B1178" ca="1">[1]!s_dq_close("HSTECH.HI",$A1178,3)</f>
        <v>4211.3100000000004</v>
      </c>
      <c r="C1178" cm="1">
        <f t="array" aca="1" ref="C1178" ca="1">[1]!s_dq_close("HSI.HI",$A1178,3)</f>
        <v>20567.54</v>
      </c>
    </row>
    <row r="1179" spans="1:3">
      <c r="A1179" s="23">
        <f t="shared" ca="1" si="18"/>
        <v>44987</v>
      </c>
      <c r="B1179" cm="1">
        <f t="array" aca="1" ref="B1179" ca="1">[1]!s_dq_close("HSTECH.HI",$A1179,3)</f>
        <v>4126.3100000000004</v>
      </c>
      <c r="C1179" cm="1">
        <f t="array" aca="1" ref="C1179" ca="1">[1]!s_dq_close("HSI.HI",$A1179,3)</f>
        <v>20429.46</v>
      </c>
    </row>
    <row r="1180" spans="1:3">
      <c r="A1180" s="23">
        <f t="shared" ca="1" si="18"/>
        <v>44986</v>
      </c>
      <c r="B1180" cm="1">
        <f t="array" aca="1" ref="B1180" ca="1">[1]!s_dq_close("HSTECH.HI",$A1180,3)</f>
        <v>4185.62</v>
      </c>
      <c r="C1180" cm="1">
        <f t="array" aca="1" ref="C1180" ca="1">[1]!s_dq_close("HSI.HI",$A1180,3)</f>
        <v>20619.71</v>
      </c>
    </row>
    <row r="1181" spans="1:3">
      <c r="A1181" s="23">
        <f t="shared" ca="1" si="18"/>
        <v>44985</v>
      </c>
      <c r="B1181" cm="1">
        <f t="array" aca="1" ref="B1181" ca="1">[1]!s_dq_close("HSTECH.HI",$A1181,3)</f>
        <v>3925.06</v>
      </c>
      <c r="C1181" cm="1">
        <f t="array" aca="1" ref="C1181" ca="1">[1]!s_dq_close("HSI.HI",$A1181,3)</f>
        <v>19785.939999999999</v>
      </c>
    </row>
    <row r="1182" spans="1:3">
      <c r="A1182" s="23">
        <f t="shared" ca="1" si="18"/>
        <v>44984</v>
      </c>
      <c r="B1182" cm="1">
        <f t="array" aca="1" ref="B1182" ca="1">[1]!s_dq_close("HSTECH.HI",$A1182,3)</f>
        <v>3989.83</v>
      </c>
      <c r="C1182" cm="1">
        <f t="array" aca="1" ref="C1182" ca="1">[1]!s_dq_close("HSI.HI",$A1182,3)</f>
        <v>19943.509999999998</v>
      </c>
    </row>
    <row r="1183" spans="1:3">
      <c r="A1183" s="23">
        <f t="shared" ca="1" si="18"/>
        <v>44983</v>
      </c>
      <c r="B1183" cm="1">
        <f t="array" aca="1" ref="B1183" ca="1">[1]!s_dq_close("HSTECH.HI",$A1183,3)</f>
        <v>4010.66</v>
      </c>
      <c r="C1183" cm="1">
        <f t="array" aca="1" ref="C1183" ca="1">[1]!s_dq_close("HSI.HI",$A1183,3)</f>
        <v>20010.04</v>
      </c>
    </row>
    <row r="1184" spans="1:3">
      <c r="A1184" s="23">
        <f t="shared" ca="1" si="18"/>
        <v>44982</v>
      </c>
      <c r="B1184" cm="1">
        <f t="array" aca="1" ref="B1184" ca="1">[1]!s_dq_close("HSTECH.HI",$A1184,3)</f>
        <v>4010.66</v>
      </c>
      <c r="C1184" cm="1">
        <f t="array" aca="1" ref="C1184" ca="1">[1]!s_dq_close("HSI.HI",$A1184,3)</f>
        <v>20010.04</v>
      </c>
    </row>
    <row r="1185" spans="1:3">
      <c r="A1185" s="23">
        <f t="shared" ca="1" si="18"/>
        <v>44981</v>
      </c>
      <c r="B1185" cm="1">
        <f t="array" aca="1" ref="B1185" ca="1">[1]!s_dq_close("HSTECH.HI",$A1185,3)</f>
        <v>4010.66</v>
      </c>
      <c r="C1185" cm="1">
        <f t="array" aca="1" ref="C1185" ca="1">[1]!s_dq_close("HSI.HI",$A1185,3)</f>
        <v>20010.04</v>
      </c>
    </row>
    <row r="1186" spans="1:3">
      <c r="A1186" s="23">
        <f t="shared" ca="1" si="18"/>
        <v>44980</v>
      </c>
      <c r="B1186" cm="1">
        <f t="array" aca="1" ref="B1186" ca="1">[1]!s_dq_close("HSTECH.HI",$A1186,3)</f>
        <v>4149.12</v>
      </c>
      <c r="C1186" cm="1">
        <f t="array" aca="1" ref="C1186" ca="1">[1]!s_dq_close("HSI.HI",$A1186,3)</f>
        <v>20351.349999999999</v>
      </c>
    </row>
    <row r="1187" spans="1:3">
      <c r="A1187" s="23">
        <f t="shared" ca="1" si="18"/>
        <v>44979</v>
      </c>
      <c r="B1187" cm="1">
        <f t="array" aca="1" ref="B1187" ca="1">[1]!s_dq_close("HSTECH.HI",$A1187,3)</f>
        <v>4100.58</v>
      </c>
      <c r="C1187" cm="1">
        <f t="array" aca="1" ref="C1187" ca="1">[1]!s_dq_close("HSI.HI",$A1187,3)</f>
        <v>20423.84</v>
      </c>
    </row>
    <row r="1188" spans="1:3">
      <c r="A1188" s="23">
        <f t="shared" ca="1" si="18"/>
        <v>44978</v>
      </c>
      <c r="B1188" cm="1">
        <f t="array" aca="1" ref="B1188" ca="1">[1]!s_dq_close("HSTECH.HI",$A1188,3)</f>
        <v>4158.04</v>
      </c>
      <c r="C1188" cm="1">
        <f t="array" aca="1" ref="C1188" ca="1">[1]!s_dq_close("HSI.HI",$A1188,3)</f>
        <v>20529.490000000002</v>
      </c>
    </row>
    <row r="1189" spans="1:3">
      <c r="A1189" s="23">
        <f t="shared" ca="1" si="18"/>
        <v>44977</v>
      </c>
      <c r="B1189" cm="1">
        <f t="array" aca="1" ref="B1189" ca="1">[1]!s_dq_close("HSTECH.HI",$A1189,3)</f>
        <v>4311.6099999999997</v>
      </c>
      <c r="C1189" cm="1">
        <f t="array" aca="1" ref="C1189" ca="1">[1]!s_dq_close("HSI.HI",$A1189,3)</f>
        <v>20886.96</v>
      </c>
    </row>
    <row r="1190" spans="1:3">
      <c r="A1190" s="23">
        <f t="shared" ca="1" si="18"/>
        <v>44976</v>
      </c>
      <c r="B1190" cm="1">
        <f t="array" aca="1" ref="B1190" ca="1">[1]!s_dq_close("HSTECH.HI",$A1190,3)</f>
        <v>4257.63</v>
      </c>
      <c r="C1190" cm="1">
        <f t="array" aca="1" ref="C1190" ca="1">[1]!s_dq_close("HSI.HI",$A1190,3)</f>
        <v>20719.810000000001</v>
      </c>
    </row>
    <row r="1191" spans="1:3">
      <c r="A1191" s="23">
        <f t="shared" ca="1" si="18"/>
        <v>44975</v>
      </c>
      <c r="B1191" cm="1">
        <f t="array" aca="1" ref="B1191" ca="1">[1]!s_dq_close("HSTECH.HI",$A1191,3)</f>
        <v>4257.63</v>
      </c>
      <c r="C1191" cm="1">
        <f t="array" aca="1" ref="C1191" ca="1">[1]!s_dq_close("HSI.HI",$A1191,3)</f>
        <v>20719.810000000001</v>
      </c>
    </row>
    <row r="1192" spans="1:3">
      <c r="A1192" s="23">
        <f t="shared" ca="1" si="18"/>
        <v>44974</v>
      </c>
      <c r="B1192" cm="1">
        <f t="array" aca="1" ref="B1192" ca="1">[1]!s_dq_close("HSTECH.HI",$A1192,3)</f>
        <v>4257.63</v>
      </c>
      <c r="C1192" cm="1">
        <f t="array" aca="1" ref="C1192" ca="1">[1]!s_dq_close("HSI.HI",$A1192,3)</f>
        <v>20719.810000000001</v>
      </c>
    </row>
    <row r="1193" spans="1:3">
      <c r="A1193" s="23">
        <f t="shared" ca="1" si="18"/>
        <v>44973</v>
      </c>
      <c r="B1193" cm="1">
        <f t="array" aca="1" ref="B1193" ca="1">[1]!s_dq_close("HSTECH.HI",$A1193,3)</f>
        <v>4367.1000000000004</v>
      </c>
      <c r="C1193" cm="1">
        <f t="array" aca="1" ref="C1193" ca="1">[1]!s_dq_close("HSI.HI",$A1193,3)</f>
        <v>20987.67</v>
      </c>
    </row>
    <row r="1194" spans="1:3">
      <c r="A1194" s="23">
        <f t="shared" ca="1" si="18"/>
        <v>44972</v>
      </c>
      <c r="B1194" cm="1">
        <f t="array" aca="1" ref="B1194" ca="1">[1]!s_dq_close("HSTECH.HI",$A1194,3)</f>
        <v>4288.75</v>
      </c>
      <c r="C1194" cm="1">
        <f t="array" aca="1" ref="C1194" ca="1">[1]!s_dq_close("HSI.HI",$A1194,3)</f>
        <v>20812.169999999998</v>
      </c>
    </row>
    <row r="1195" spans="1:3">
      <c r="A1195" s="23">
        <f t="shared" ca="1" si="18"/>
        <v>44971</v>
      </c>
      <c r="B1195" cm="1">
        <f t="array" aca="1" ref="B1195" ca="1">[1]!s_dq_close("HSTECH.HI",$A1195,3)</f>
        <v>4330.6000000000004</v>
      </c>
      <c r="C1195" cm="1">
        <f t="array" aca="1" ref="C1195" ca="1">[1]!s_dq_close("HSI.HI",$A1195,3)</f>
        <v>21113.759999999998</v>
      </c>
    </row>
    <row r="1196" spans="1:3">
      <c r="A1196" s="23">
        <f t="shared" ca="1" si="18"/>
        <v>44970</v>
      </c>
      <c r="B1196" cm="1">
        <f t="array" aca="1" ref="B1196" ca="1">[1]!s_dq_close("HSTECH.HI",$A1196,3)</f>
        <v>4374.8999999999996</v>
      </c>
      <c r="C1196" cm="1">
        <f t="array" aca="1" ref="C1196" ca="1">[1]!s_dq_close("HSI.HI",$A1196,3)</f>
        <v>21164.42</v>
      </c>
    </row>
    <row r="1197" spans="1:3">
      <c r="A1197" s="23">
        <f t="shared" ca="1" si="18"/>
        <v>44969</v>
      </c>
      <c r="B1197" cm="1">
        <f t="array" aca="1" ref="B1197" ca="1">[1]!s_dq_close("HSTECH.HI",$A1197,3)</f>
        <v>4362.22</v>
      </c>
      <c r="C1197" cm="1">
        <f t="array" aca="1" ref="C1197" ca="1">[1]!s_dq_close("HSI.HI",$A1197,3)</f>
        <v>21190.42</v>
      </c>
    </row>
    <row r="1198" spans="1:3">
      <c r="A1198" s="23">
        <f t="shared" ca="1" si="18"/>
        <v>44968</v>
      </c>
      <c r="B1198" cm="1">
        <f t="array" aca="1" ref="B1198" ca="1">[1]!s_dq_close("HSTECH.HI",$A1198,3)</f>
        <v>4362.22</v>
      </c>
      <c r="C1198" cm="1">
        <f t="array" aca="1" ref="C1198" ca="1">[1]!s_dq_close("HSI.HI",$A1198,3)</f>
        <v>21190.42</v>
      </c>
    </row>
    <row r="1199" spans="1:3">
      <c r="A1199" s="23">
        <f t="shared" ca="1" si="18"/>
        <v>44967</v>
      </c>
      <c r="B1199" cm="1">
        <f t="array" aca="1" ref="B1199" ca="1">[1]!s_dq_close("HSTECH.HI",$A1199,3)</f>
        <v>4362.22</v>
      </c>
      <c r="C1199" cm="1">
        <f t="array" aca="1" ref="C1199" ca="1">[1]!s_dq_close("HSI.HI",$A1199,3)</f>
        <v>21190.42</v>
      </c>
    </row>
    <row r="1200" spans="1:3">
      <c r="A1200" s="23">
        <f t="shared" ca="1" si="18"/>
        <v>44966</v>
      </c>
      <c r="B1200" cm="1">
        <f t="array" aca="1" ref="B1200" ca="1">[1]!s_dq_close("HSTECH.HI",$A1200,3)</f>
        <v>4571.71</v>
      </c>
      <c r="C1200" cm="1">
        <f t="array" aca="1" ref="C1200" ca="1">[1]!s_dq_close("HSI.HI",$A1200,3)</f>
        <v>21624.36</v>
      </c>
    </row>
    <row r="1201" spans="1:3">
      <c r="A1201" s="23">
        <f t="shared" ca="1" si="18"/>
        <v>44965</v>
      </c>
      <c r="B1201" cm="1">
        <f t="array" aca="1" ref="B1201" ca="1">[1]!s_dq_close("HSTECH.HI",$A1201,3)</f>
        <v>4431.58</v>
      </c>
      <c r="C1201" cm="1">
        <f t="array" aca="1" ref="C1201" ca="1">[1]!s_dq_close("HSI.HI",$A1201,3)</f>
        <v>21283.52</v>
      </c>
    </row>
    <row r="1202" spans="1:3">
      <c r="A1202" s="23">
        <f t="shared" ca="1" si="18"/>
        <v>44964</v>
      </c>
      <c r="B1202" cm="1">
        <f t="array" aca="1" ref="B1202" ca="1">[1]!s_dq_close("HSTECH.HI",$A1202,3)</f>
        <v>4516.3100000000004</v>
      </c>
      <c r="C1202" cm="1">
        <f t="array" aca="1" ref="C1202" ca="1">[1]!s_dq_close("HSI.HI",$A1202,3)</f>
        <v>21298.7</v>
      </c>
    </row>
    <row r="1203" spans="1:3">
      <c r="A1203" s="23">
        <f t="shared" ca="1" si="18"/>
        <v>44963</v>
      </c>
      <c r="B1203" cm="1">
        <f t="array" aca="1" ref="B1203" ca="1">[1]!s_dq_close("HSTECH.HI",$A1203,3)</f>
        <v>4464.82</v>
      </c>
      <c r="C1203" cm="1">
        <f t="array" aca="1" ref="C1203" ca="1">[1]!s_dq_close("HSI.HI",$A1203,3)</f>
        <v>21222.16</v>
      </c>
    </row>
    <row r="1204" spans="1:3">
      <c r="A1204" s="23">
        <f t="shared" ca="1" si="18"/>
        <v>44962</v>
      </c>
      <c r="B1204" cm="1">
        <f t="array" aca="1" ref="B1204" ca="1">[1]!s_dq_close("HSTECH.HI",$A1204,3)</f>
        <v>4634.1899999999996</v>
      </c>
      <c r="C1204" cm="1">
        <f t="array" aca="1" ref="C1204" ca="1">[1]!s_dq_close("HSI.HI",$A1204,3)</f>
        <v>21660.47</v>
      </c>
    </row>
    <row r="1205" spans="1:3">
      <c r="A1205" s="23">
        <f t="shared" ca="1" si="18"/>
        <v>44961</v>
      </c>
      <c r="B1205" cm="1">
        <f t="array" aca="1" ref="B1205" ca="1">[1]!s_dq_close("HSTECH.HI",$A1205,3)</f>
        <v>4634.1899999999996</v>
      </c>
      <c r="C1205" cm="1">
        <f t="array" aca="1" ref="C1205" ca="1">[1]!s_dq_close("HSI.HI",$A1205,3)</f>
        <v>21660.47</v>
      </c>
    </row>
    <row r="1206" spans="1:3">
      <c r="A1206" s="23">
        <f t="shared" ca="1" si="18"/>
        <v>44960</v>
      </c>
      <c r="B1206" cm="1">
        <f t="array" aca="1" ref="B1206" ca="1">[1]!s_dq_close("HSTECH.HI",$A1206,3)</f>
        <v>4634.1899999999996</v>
      </c>
      <c r="C1206" cm="1">
        <f t="array" aca="1" ref="C1206" ca="1">[1]!s_dq_close("HSI.HI",$A1206,3)</f>
        <v>21660.47</v>
      </c>
    </row>
    <row r="1207" spans="1:3">
      <c r="A1207" s="23">
        <f t="shared" ca="1" si="18"/>
        <v>44959</v>
      </c>
      <c r="B1207" cm="1">
        <f t="array" aca="1" ref="B1207" ca="1">[1]!s_dq_close("HSTECH.HI",$A1207,3)</f>
        <v>4696.55</v>
      </c>
      <c r="C1207" cm="1">
        <f t="array" aca="1" ref="C1207" ca="1">[1]!s_dq_close("HSI.HI",$A1207,3)</f>
        <v>21958.36</v>
      </c>
    </row>
    <row r="1208" spans="1:3">
      <c r="A1208" s="23">
        <f t="shared" ca="1" si="18"/>
        <v>44958</v>
      </c>
      <c r="B1208" cm="1">
        <f t="array" aca="1" ref="B1208" ca="1">[1]!s_dq_close("HSTECH.HI",$A1208,3)</f>
        <v>4695.7</v>
      </c>
      <c r="C1208" cm="1">
        <f t="array" aca="1" ref="C1208" ca="1">[1]!s_dq_close("HSI.HI",$A1208,3)</f>
        <v>22072.18</v>
      </c>
    </row>
    <row r="1209" spans="1:3">
      <c r="A1209" s="23">
        <f t="shared" ca="1" si="18"/>
        <v>44957</v>
      </c>
      <c r="B1209" cm="1">
        <f t="array" aca="1" ref="B1209" ca="1">[1]!s_dq_close("HSTECH.HI",$A1209,3)</f>
        <v>4542.58</v>
      </c>
      <c r="C1209" cm="1">
        <f t="array" aca="1" ref="C1209" ca="1">[1]!s_dq_close("HSI.HI",$A1209,3)</f>
        <v>21842.33</v>
      </c>
    </row>
    <row r="1210" spans="1:3">
      <c r="A1210" s="23">
        <f t="shared" ca="1" si="18"/>
        <v>44956</v>
      </c>
      <c r="B1210" cm="1">
        <f t="array" aca="1" ref="B1210" ca="1">[1]!s_dq_close("HSTECH.HI",$A1210,3)</f>
        <v>4580.22</v>
      </c>
      <c r="C1210" cm="1">
        <f t="array" aca="1" ref="C1210" ca="1">[1]!s_dq_close("HSI.HI",$A1210,3)</f>
        <v>22069.73</v>
      </c>
    </row>
    <row r="1211" spans="1:3">
      <c r="A1211" s="23">
        <f t="shared" ca="1" si="18"/>
        <v>44955</v>
      </c>
      <c r="B1211" cm="1">
        <f t="array" aca="1" ref="B1211" ca="1">[1]!s_dq_close("HSTECH.HI",$A1211,3)</f>
        <v>4813.2299999999996</v>
      </c>
      <c r="C1211" cm="1">
        <f t="array" aca="1" ref="C1211" ca="1">[1]!s_dq_close("HSI.HI",$A1211,3)</f>
        <v>22688.9</v>
      </c>
    </row>
    <row r="1212" spans="1:3">
      <c r="A1212" s="23">
        <f t="shared" ca="1" si="18"/>
        <v>44954</v>
      </c>
      <c r="B1212" cm="1">
        <f t="array" aca="1" ref="B1212" ca="1">[1]!s_dq_close("HSTECH.HI",$A1212,3)</f>
        <v>4813.2299999999996</v>
      </c>
      <c r="C1212" cm="1">
        <f t="array" aca="1" ref="C1212" ca="1">[1]!s_dq_close("HSI.HI",$A1212,3)</f>
        <v>22688.9</v>
      </c>
    </row>
    <row r="1213" spans="1:3">
      <c r="A1213" s="23">
        <f t="shared" ca="1" si="18"/>
        <v>44953</v>
      </c>
      <c r="B1213" cm="1">
        <f t="array" aca="1" ref="B1213" ca="1">[1]!s_dq_close("HSTECH.HI",$A1213,3)</f>
        <v>4813.2299999999996</v>
      </c>
      <c r="C1213" cm="1">
        <f t="array" aca="1" ref="C1213" ca="1">[1]!s_dq_close("HSI.HI",$A1213,3)</f>
        <v>22688.9</v>
      </c>
    </row>
    <row r="1214" spans="1:3">
      <c r="A1214" s="23">
        <f t="shared" ca="1" si="18"/>
        <v>44952</v>
      </c>
      <c r="B1214" cm="1">
        <f t="array" aca="1" ref="B1214" ca="1">[1]!s_dq_close("HSTECH.HI",$A1214,3)</f>
        <v>4763.6099999999997</v>
      </c>
      <c r="C1214" cm="1">
        <f t="array" aca="1" ref="C1214" ca="1">[1]!s_dq_close("HSI.HI",$A1214,3)</f>
        <v>22566.78</v>
      </c>
    </row>
    <row r="1215" spans="1:3">
      <c r="A1215" s="23">
        <f t="shared" ca="1" si="18"/>
        <v>44951</v>
      </c>
      <c r="B1215" cm="1">
        <f t="array" aca="1" ref="B1215" ca="1">[1]!s_dq_close("HSTECH.HI",$A1215,3)</f>
        <v>4568.79</v>
      </c>
      <c r="C1215" cm="1">
        <f t="array" aca="1" ref="C1215" ca="1">[1]!s_dq_close("HSI.HI",$A1215,3)</f>
        <v>22044.65</v>
      </c>
    </row>
    <row r="1216" spans="1:3">
      <c r="A1216" s="23">
        <f t="shared" ca="1" si="18"/>
        <v>44950</v>
      </c>
      <c r="B1216" cm="1">
        <f t="array" aca="1" ref="B1216" ca="1">[1]!s_dq_close("HSTECH.HI",$A1216,3)</f>
        <v>4568.79</v>
      </c>
      <c r="C1216" cm="1">
        <f t="array" aca="1" ref="C1216" ca="1">[1]!s_dq_close("HSI.HI",$A1216,3)</f>
        <v>22044.65</v>
      </c>
    </row>
    <row r="1217" spans="1:3">
      <c r="A1217" s="23">
        <f t="shared" ca="1" si="18"/>
        <v>44949</v>
      </c>
      <c r="B1217" cm="1">
        <f t="array" aca="1" ref="B1217" ca="1">[1]!s_dq_close("HSTECH.HI",$A1217,3)</f>
        <v>4568.79</v>
      </c>
      <c r="C1217" cm="1">
        <f t="array" aca="1" ref="C1217" ca="1">[1]!s_dq_close("HSI.HI",$A1217,3)</f>
        <v>22044.65</v>
      </c>
    </row>
    <row r="1218" spans="1:3">
      <c r="A1218" s="23">
        <f t="shared" ca="1" si="18"/>
        <v>44948</v>
      </c>
      <c r="B1218" cm="1">
        <f t="array" aca="1" ref="B1218" ca="1">[1]!s_dq_close("HSTECH.HI",$A1218,3)</f>
        <v>4568.79</v>
      </c>
      <c r="C1218" cm="1">
        <f t="array" aca="1" ref="C1218" ca="1">[1]!s_dq_close("HSI.HI",$A1218,3)</f>
        <v>22044.65</v>
      </c>
    </row>
    <row r="1219" spans="1:3">
      <c r="A1219" s="23">
        <f t="shared" ca="1" si="18"/>
        <v>44947</v>
      </c>
      <c r="B1219" cm="1">
        <f t="array" aca="1" ref="B1219" ca="1">[1]!s_dq_close("HSTECH.HI",$A1219,3)</f>
        <v>4568.79</v>
      </c>
      <c r="C1219" cm="1">
        <f t="array" aca="1" ref="C1219" ca="1">[1]!s_dq_close("HSI.HI",$A1219,3)</f>
        <v>22044.65</v>
      </c>
    </row>
    <row r="1220" spans="1:3">
      <c r="A1220" s="23">
        <f t="shared" ref="A1220:A1283" ca="1" si="19">A1219-1</f>
        <v>44946</v>
      </c>
      <c r="B1220" cm="1">
        <f t="array" aca="1" ref="B1220" ca="1">[1]!s_dq_close("HSTECH.HI",$A1220,3)</f>
        <v>4568.79</v>
      </c>
      <c r="C1220" cm="1">
        <f t="array" aca="1" ref="C1220" ca="1">[1]!s_dq_close("HSI.HI",$A1220,3)</f>
        <v>22044.65</v>
      </c>
    </row>
    <row r="1221" spans="1:3">
      <c r="A1221" s="23">
        <f t="shared" ca="1" si="19"/>
        <v>44945</v>
      </c>
      <c r="B1221" cm="1">
        <f t="array" aca="1" ref="B1221" ca="1">[1]!s_dq_close("HSTECH.HI",$A1221,3)</f>
        <v>4449.91</v>
      </c>
      <c r="C1221" cm="1">
        <f t="array" aca="1" ref="C1221" ca="1">[1]!s_dq_close("HSI.HI",$A1221,3)</f>
        <v>21650.98</v>
      </c>
    </row>
    <row r="1222" spans="1:3">
      <c r="A1222" s="23">
        <f t="shared" ca="1" si="19"/>
        <v>44944</v>
      </c>
      <c r="B1222" cm="1">
        <f t="array" aca="1" ref="B1222" ca="1">[1]!s_dq_close("HSTECH.HI",$A1222,3)</f>
        <v>4524.67</v>
      </c>
      <c r="C1222" cm="1">
        <f t="array" aca="1" ref="C1222" ca="1">[1]!s_dq_close("HSI.HI",$A1222,3)</f>
        <v>21678</v>
      </c>
    </row>
    <row r="1223" spans="1:3">
      <c r="A1223" s="23">
        <f t="shared" ca="1" si="19"/>
        <v>44943</v>
      </c>
      <c r="B1223" cm="1">
        <f t="array" aca="1" ref="B1223" ca="1">[1]!s_dq_close("HSTECH.HI",$A1223,3)</f>
        <v>4500.54</v>
      </c>
      <c r="C1223" cm="1">
        <f t="array" aca="1" ref="C1223" ca="1">[1]!s_dq_close("HSI.HI",$A1223,3)</f>
        <v>21577.64</v>
      </c>
    </row>
    <row r="1224" spans="1:3">
      <c r="A1224" s="23">
        <f t="shared" ca="1" si="19"/>
        <v>44942</v>
      </c>
      <c r="B1224" cm="1">
        <f t="array" aca="1" ref="B1224" ca="1">[1]!s_dq_close("HSTECH.HI",$A1224,3)</f>
        <v>4506.72</v>
      </c>
      <c r="C1224" cm="1">
        <f t="array" aca="1" ref="C1224" ca="1">[1]!s_dq_close("HSI.HI",$A1224,3)</f>
        <v>21746.720000000001</v>
      </c>
    </row>
    <row r="1225" spans="1:3">
      <c r="A1225" s="23">
        <f t="shared" ca="1" si="19"/>
        <v>44941</v>
      </c>
      <c r="B1225" cm="1">
        <f t="array" aca="1" ref="B1225" ca="1">[1]!s_dq_close("HSTECH.HI",$A1225,3)</f>
        <v>4554.78</v>
      </c>
      <c r="C1225" cm="1">
        <f t="array" aca="1" ref="C1225" ca="1">[1]!s_dq_close("HSI.HI",$A1225,3)</f>
        <v>21738.66</v>
      </c>
    </row>
    <row r="1226" spans="1:3">
      <c r="A1226" s="23">
        <f t="shared" ca="1" si="19"/>
        <v>44940</v>
      </c>
      <c r="B1226" cm="1">
        <f t="array" aca="1" ref="B1226" ca="1">[1]!s_dq_close("HSTECH.HI",$A1226,3)</f>
        <v>4554.78</v>
      </c>
      <c r="C1226" cm="1">
        <f t="array" aca="1" ref="C1226" ca="1">[1]!s_dq_close("HSI.HI",$A1226,3)</f>
        <v>21738.66</v>
      </c>
    </row>
    <row r="1227" spans="1:3">
      <c r="A1227" s="23">
        <f t="shared" ca="1" si="19"/>
        <v>44939</v>
      </c>
      <c r="B1227" cm="1">
        <f t="array" aca="1" ref="B1227" ca="1">[1]!s_dq_close("HSTECH.HI",$A1227,3)</f>
        <v>4554.78</v>
      </c>
      <c r="C1227" cm="1">
        <f t="array" aca="1" ref="C1227" ca="1">[1]!s_dq_close("HSI.HI",$A1227,3)</f>
        <v>21738.66</v>
      </c>
    </row>
    <row r="1228" spans="1:3">
      <c r="A1228" s="23">
        <f t="shared" ca="1" si="19"/>
        <v>44938</v>
      </c>
      <c r="B1228" cm="1">
        <f t="array" aca="1" ref="B1228" ca="1">[1]!s_dq_close("HSTECH.HI",$A1228,3)</f>
        <v>4487.07</v>
      </c>
      <c r="C1228" cm="1">
        <f t="array" aca="1" ref="C1228" ca="1">[1]!s_dq_close("HSI.HI",$A1228,3)</f>
        <v>21514.1</v>
      </c>
    </row>
    <row r="1229" spans="1:3">
      <c r="A1229" s="23">
        <f t="shared" ca="1" si="19"/>
        <v>44937</v>
      </c>
      <c r="B1229" cm="1">
        <f t="array" aca="1" ref="B1229" ca="1">[1]!s_dq_close("HSTECH.HI",$A1229,3)</f>
        <v>4547.12</v>
      </c>
      <c r="C1229" cm="1">
        <f t="array" aca="1" ref="C1229" ca="1">[1]!s_dq_close("HSI.HI",$A1229,3)</f>
        <v>21436.05</v>
      </c>
    </row>
    <row r="1230" spans="1:3">
      <c r="A1230" s="23">
        <f t="shared" ca="1" si="19"/>
        <v>44936</v>
      </c>
      <c r="B1230" cm="1">
        <f t="array" aca="1" ref="B1230" ca="1">[1]!s_dq_close("HSTECH.HI",$A1230,3)</f>
        <v>4558.58</v>
      </c>
      <c r="C1230" cm="1">
        <f t="array" aca="1" ref="C1230" ca="1">[1]!s_dq_close("HSI.HI",$A1230,3)</f>
        <v>21331.46</v>
      </c>
    </row>
    <row r="1231" spans="1:3">
      <c r="A1231" s="23">
        <f t="shared" ca="1" si="19"/>
        <v>44935</v>
      </c>
      <c r="B1231" cm="1">
        <f t="array" aca="1" ref="B1231" ca="1">[1]!s_dq_close("HSTECH.HI",$A1231,3)</f>
        <v>4570.72</v>
      </c>
      <c r="C1231" cm="1">
        <f t="array" aca="1" ref="C1231" ca="1">[1]!s_dq_close("HSI.HI",$A1231,3)</f>
        <v>21388.34</v>
      </c>
    </row>
    <row r="1232" spans="1:3">
      <c r="A1232" s="23">
        <f t="shared" ca="1" si="19"/>
        <v>44934</v>
      </c>
      <c r="B1232" cm="1">
        <f t="array" aca="1" ref="B1232" ca="1">[1]!s_dq_close("HSTECH.HI",$A1232,3)</f>
        <v>4431.12</v>
      </c>
      <c r="C1232" cm="1">
        <f t="array" aca="1" ref="C1232" ca="1">[1]!s_dq_close("HSI.HI",$A1232,3)</f>
        <v>20991.64</v>
      </c>
    </row>
    <row r="1233" spans="1:3">
      <c r="A1233" s="23">
        <f t="shared" ca="1" si="19"/>
        <v>44933</v>
      </c>
      <c r="B1233" cm="1">
        <f t="array" aca="1" ref="B1233" ca="1">[1]!s_dq_close("HSTECH.HI",$A1233,3)</f>
        <v>4431.12</v>
      </c>
      <c r="C1233" cm="1">
        <f t="array" aca="1" ref="C1233" ca="1">[1]!s_dq_close("HSI.HI",$A1233,3)</f>
        <v>20991.64</v>
      </c>
    </row>
    <row r="1234" spans="1:3">
      <c r="A1234" s="23">
        <f t="shared" ca="1" si="19"/>
        <v>44932</v>
      </c>
      <c r="B1234" cm="1">
        <f t="array" aca="1" ref="B1234" ca="1">[1]!s_dq_close("HSTECH.HI",$A1234,3)</f>
        <v>4431.12</v>
      </c>
      <c r="C1234" cm="1">
        <f t="array" aca="1" ref="C1234" ca="1">[1]!s_dq_close("HSI.HI",$A1234,3)</f>
        <v>20991.64</v>
      </c>
    </row>
    <row r="1235" spans="1:3">
      <c r="A1235" s="23">
        <f t="shared" ca="1" si="19"/>
        <v>44931</v>
      </c>
      <c r="B1235" cm="1">
        <f t="array" aca="1" ref="B1235" ca="1">[1]!s_dq_close("HSTECH.HI",$A1235,3)</f>
        <v>4494.22</v>
      </c>
      <c r="C1235" cm="1">
        <f t="array" aca="1" ref="C1235" ca="1">[1]!s_dq_close("HSI.HI",$A1235,3)</f>
        <v>21052.17</v>
      </c>
    </row>
    <row r="1236" spans="1:3">
      <c r="A1236" s="23">
        <f t="shared" ca="1" si="19"/>
        <v>44930</v>
      </c>
      <c r="B1236" cm="1">
        <f t="array" aca="1" ref="B1236" ca="1">[1]!s_dq_close("HSTECH.HI",$A1236,3)</f>
        <v>4427.17</v>
      </c>
      <c r="C1236" cm="1">
        <f t="array" aca="1" ref="C1236" ca="1">[1]!s_dq_close("HSI.HI",$A1236,3)</f>
        <v>20793.11</v>
      </c>
    </row>
    <row r="1237" spans="1:3">
      <c r="A1237" s="23">
        <f t="shared" ca="1" si="19"/>
        <v>44929</v>
      </c>
      <c r="B1237" cm="1">
        <f t="array" aca="1" ref="B1237" ca="1">[1]!s_dq_close("HSTECH.HI",$A1237,3)</f>
        <v>4233.37</v>
      </c>
      <c r="C1237" cm="1">
        <f t="array" aca="1" ref="C1237" ca="1">[1]!s_dq_close("HSI.HI",$A1237,3)</f>
        <v>20145.29</v>
      </c>
    </row>
    <row r="1238" spans="1:3">
      <c r="A1238" s="23">
        <f t="shared" ca="1" si="19"/>
        <v>44928</v>
      </c>
      <c r="B1238" cm="1">
        <f t="array" aca="1" ref="B1238" ca="1">[1]!s_dq_close("HSTECH.HI",$A1238,3)</f>
        <v>4128.79</v>
      </c>
      <c r="C1238" cm="1">
        <f t="array" aca="1" ref="C1238" ca="1">[1]!s_dq_close("HSI.HI",$A1238,3)</f>
        <v>19781.41</v>
      </c>
    </row>
    <row r="1239" spans="1:3">
      <c r="A1239" s="23">
        <f t="shared" ca="1" si="19"/>
        <v>44927</v>
      </c>
      <c r="B1239" cm="1">
        <f t="array" aca="1" ref="B1239" ca="1">[1]!s_dq_close("HSTECH.HI",$A1239,3)</f>
        <v>4128.79</v>
      </c>
      <c r="C1239" cm="1">
        <f t="array" aca="1" ref="C1239" ca="1">[1]!s_dq_close("HSI.HI",$A1239,3)</f>
        <v>19781.41</v>
      </c>
    </row>
    <row r="1240" spans="1:3">
      <c r="A1240" s="23">
        <f t="shared" ca="1" si="19"/>
        <v>44926</v>
      </c>
      <c r="B1240" cm="1">
        <f t="array" aca="1" ref="B1240" ca="1">[1]!s_dq_close("HSTECH.HI",$A1240,3)</f>
        <v>4128.79</v>
      </c>
      <c r="C1240" cm="1">
        <f t="array" aca="1" ref="C1240" ca="1">[1]!s_dq_close("HSI.HI",$A1240,3)</f>
        <v>19781.41</v>
      </c>
    </row>
    <row r="1241" spans="1:3">
      <c r="A1241" s="23">
        <f t="shared" ca="1" si="19"/>
        <v>44925</v>
      </c>
      <c r="B1241" cm="1">
        <f t="array" aca="1" ref="B1241" ca="1">[1]!s_dq_close("HSTECH.HI",$A1241,3)</f>
        <v>4128.79</v>
      </c>
      <c r="C1241" cm="1">
        <f t="array" aca="1" ref="C1241" ca="1">[1]!s_dq_close("HSI.HI",$A1241,3)</f>
        <v>19781.41</v>
      </c>
    </row>
    <row r="1242" spans="1:3">
      <c r="A1242" s="23">
        <f t="shared" ca="1" si="19"/>
        <v>44924</v>
      </c>
      <c r="B1242" cm="1">
        <f t="array" aca="1" ref="B1242" ca="1">[1]!s_dq_close("HSTECH.HI",$A1242,3)</f>
        <v>4107.43</v>
      </c>
      <c r="C1242" cm="1">
        <f t="array" aca="1" ref="C1242" ca="1">[1]!s_dq_close("HSI.HI",$A1242,3)</f>
        <v>19741.14</v>
      </c>
    </row>
    <row r="1243" spans="1:3">
      <c r="A1243" s="23">
        <f t="shared" ca="1" si="19"/>
        <v>44923</v>
      </c>
      <c r="B1243" cm="1">
        <f t="array" aca="1" ref="B1243" ca="1">[1]!s_dq_close("HSTECH.HI",$A1243,3)</f>
        <v>4212.4399999999996</v>
      </c>
      <c r="C1243" cm="1">
        <f t="array" aca="1" ref="C1243" ca="1">[1]!s_dq_close("HSI.HI",$A1243,3)</f>
        <v>19898.91</v>
      </c>
    </row>
    <row r="1244" spans="1:3">
      <c r="A1244" s="23">
        <f t="shared" ca="1" si="19"/>
        <v>44922</v>
      </c>
      <c r="B1244" cm="1">
        <f t="array" aca="1" ref="B1244" ca="1">[1]!s_dq_close("HSTECH.HI",$A1244,3)</f>
        <v>4124.33</v>
      </c>
      <c r="C1244" cm="1">
        <f t="array" aca="1" ref="C1244" ca="1">[1]!s_dq_close("HSI.HI",$A1244,3)</f>
        <v>19593.060000000001</v>
      </c>
    </row>
    <row r="1245" spans="1:3">
      <c r="A1245" s="23">
        <f t="shared" ca="1" si="19"/>
        <v>44921</v>
      </c>
      <c r="B1245" cm="1">
        <f t="array" aca="1" ref="B1245" ca="1">[1]!s_dq_close("HSTECH.HI",$A1245,3)</f>
        <v>4124.33</v>
      </c>
      <c r="C1245" cm="1">
        <f t="array" aca="1" ref="C1245" ca="1">[1]!s_dq_close("HSI.HI",$A1245,3)</f>
        <v>19593.060000000001</v>
      </c>
    </row>
    <row r="1246" spans="1:3">
      <c r="A1246" s="23">
        <f t="shared" ca="1" si="19"/>
        <v>44920</v>
      </c>
      <c r="B1246" cm="1">
        <f t="array" aca="1" ref="B1246" ca="1">[1]!s_dq_close("HSTECH.HI",$A1246,3)</f>
        <v>4124.33</v>
      </c>
      <c r="C1246" cm="1">
        <f t="array" aca="1" ref="C1246" ca="1">[1]!s_dq_close("HSI.HI",$A1246,3)</f>
        <v>19593.060000000001</v>
      </c>
    </row>
    <row r="1247" spans="1:3">
      <c r="A1247" s="23">
        <f t="shared" ca="1" si="19"/>
        <v>44919</v>
      </c>
      <c r="B1247" cm="1">
        <f t="array" aca="1" ref="B1247" ca="1">[1]!s_dq_close("HSTECH.HI",$A1247,3)</f>
        <v>4124.33</v>
      </c>
      <c r="C1247" cm="1">
        <f t="array" aca="1" ref="C1247" ca="1">[1]!s_dq_close("HSI.HI",$A1247,3)</f>
        <v>19593.060000000001</v>
      </c>
    </row>
    <row r="1248" spans="1:3">
      <c r="A1248" s="23">
        <f t="shared" ca="1" si="19"/>
        <v>44918</v>
      </c>
      <c r="B1248" cm="1">
        <f t="array" aca="1" ref="B1248" ca="1">[1]!s_dq_close("HSTECH.HI",$A1248,3)</f>
        <v>4124.33</v>
      </c>
      <c r="C1248" cm="1">
        <f t="array" aca="1" ref="C1248" ca="1">[1]!s_dq_close("HSI.HI",$A1248,3)</f>
        <v>19593.060000000001</v>
      </c>
    </row>
    <row r="1249" spans="1:3">
      <c r="A1249" s="23">
        <f t="shared" ca="1" si="19"/>
        <v>44917</v>
      </c>
      <c r="B1249" cm="1">
        <f t="array" aca="1" ref="B1249" ca="1">[1]!s_dq_close("HSTECH.HI",$A1249,3)</f>
        <v>4210.53</v>
      </c>
      <c r="C1249" cm="1">
        <f t="array" aca="1" ref="C1249" ca="1">[1]!s_dq_close("HSI.HI",$A1249,3)</f>
        <v>19679.22</v>
      </c>
    </row>
    <row r="1250" spans="1:3">
      <c r="A1250" s="23">
        <f t="shared" ca="1" si="19"/>
        <v>44916</v>
      </c>
      <c r="B1250" cm="1">
        <f t="array" aca="1" ref="B1250" ca="1">[1]!s_dq_close("HSTECH.HI",$A1250,3)</f>
        <v>4024.84</v>
      </c>
      <c r="C1250" cm="1">
        <f t="array" aca="1" ref="C1250" ca="1">[1]!s_dq_close("HSI.HI",$A1250,3)</f>
        <v>19160.490000000002</v>
      </c>
    </row>
    <row r="1251" spans="1:3">
      <c r="A1251" s="23">
        <f t="shared" ca="1" si="19"/>
        <v>44915</v>
      </c>
      <c r="B1251" cm="1">
        <f t="array" aca="1" ref="B1251" ca="1">[1]!s_dq_close("HSTECH.HI",$A1251,3)</f>
        <v>3996.36</v>
      </c>
      <c r="C1251" cm="1">
        <f t="array" aca="1" ref="C1251" ca="1">[1]!s_dq_close("HSI.HI",$A1251,3)</f>
        <v>19094.8</v>
      </c>
    </row>
    <row r="1252" spans="1:3">
      <c r="A1252" s="23">
        <f t="shared" ca="1" si="19"/>
        <v>44914</v>
      </c>
      <c r="B1252" cm="1">
        <f t="array" aca="1" ref="B1252" ca="1">[1]!s_dq_close("HSTECH.HI",$A1252,3)</f>
        <v>4125.0600000000004</v>
      </c>
      <c r="C1252" cm="1">
        <f t="array" aca="1" ref="C1252" ca="1">[1]!s_dq_close("HSI.HI",$A1252,3)</f>
        <v>19352.810000000001</v>
      </c>
    </row>
    <row r="1253" spans="1:3">
      <c r="A1253" s="23">
        <f t="shared" ca="1" si="19"/>
        <v>44913</v>
      </c>
      <c r="B1253" cm="1">
        <f t="array" aca="1" ref="B1253" ca="1">[1]!s_dq_close("HSTECH.HI",$A1253,3)</f>
        <v>4149.22</v>
      </c>
      <c r="C1253" cm="1">
        <f t="array" aca="1" ref="C1253" ca="1">[1]!s_dq_close("HSI.HI",$A1253,3)</f>
        <v>19450.669999999998</v>
      </c>
    </row>
    <row r="1254" spans="1:3">
      <c r="A1254" s="23">
        <f t="shared" ca="1" si="19"/>
        <v>44912</v>
      </c>
      <c r="B1254" cm="1">
        <f t="array" aca="1" ref="B1254" ca="1">[1]!s_dq_close("HSTECH.HI",$A1254,3)</f>
        <v>4149.22</v>
      </c>
      <c r="C1254" cm="1">
        <f t="array" aca="1" ref="C1254" ca="1">[1]!s_dq_close("HSI.HI",$A1254,3)</f>
        <v>19450.669999999998</v>
      </c>
    </row>
    <row r="1255" spans="1:3">
      <c r="A1255" s="23">
        <f t="shared" ca="1" si="19"/>
        <v>44911</v>
      </c>
      <c r="B1255" cm="1">
        <f t="array" aca="1" ref="B1255" ca="1">[1]!s_dq_close("HSTECH.HI",$A1255,3)</f>
        <v>4149.22</v>
      </c>
      <c r="C1255" cm="1">
        <f t="array" aca="1" ref="C1255" ca="1">[1]!s_dq_close("HSI.HI",$A1255,3)</f>
        <v>19450.669999999998</v>
      </c>
    </row>
    <row r="1256" spans="1:3">
      <c r="A1256" s="23">
        <f t="shared" ca="1" si="19"/>
        <v>44910</v>
      </c>
      <c r="B1256" cm="1">
        <f t="array" aca="1" ref="B1256" ca="1">[1]!s_dq_close("HSTECH.HI",$A1256,3)</f>
        <v>4136.42</v>
      </c>
      <c r="C1256" cm="1">
        <f t="array" aca="1" ref="C1256" ca="1">[1]!s_dq_close("HSI.HI",$A1256,3)</f>
        <v>19368.59</v>
      </c>
    </row>
    <row r="1257" spans="1:3">
      <c r="A1257" s="23">
        <f t="shared" ca="1" si="19"/>
        <v>44909</v>
      </c>
      <c r="B1257" cm="1">
        <f t="array" aca="1" ref="B1257" ca="1">[1]!s_dq_close("HSTECH.HI",$A1257,3)</f>
        <v>4237.66</v>
      </c>
      <c r="C1257" cm="1">
        <f t="array" aca="1" ref="C1257" ca="1">[1]!s_dq_close("HSI.HI",$A1257,3)</f>
        <v>19673.45</v>
      </c>
    </row>
    <row r="1258" spans="1:3">
      <c r="A1258" s="23">
        <f t="shared" ca="1" si="19"/>
        <v>44908</v>
      </c>
      <c r="B1258" cm="1">
        <f t="array" aca="1" ref="B1258" ca="1">[1]!s_dq_close("HSTECH.HI",$A1258,3)</f>
        <v>4223.2</v>
      </c>
      <c r="C1258" cm="1">
        <f t="array" aca="1" ref="C1258" ca="1">[1]!s_dq_close("HSI.HI",$A1258,3)</f>
        <v>19596.2</v>
      </c>
    </row>
    <row r="1259" spans="1:3">
      <c r="A1259" s="23">
        <f t="shared" ca="1" si="19"/>
        <v>44907</v>
      </c>
      <c r="B1259" cm="1">
        <f t="array" aca="1" ref="B1259" ca="1">[1]!s_dq_close("HSTECH.HI",$A1259,3)</f>
        <v>4192.67</v>
      </c>
      <c r="C1259" cm="1">
        <f t="array" aca="1" ref="C1259" ca="1">[1]!s_dq_close("HSI.HI",$A1259,3)</f>
        <v>19463.63</v>
      </c>
    </row>
    <row r="1260" spans="1:3">
      <c r="A1260" s="23">
        <f t="shared" ca="1" si="19"/>
        <v>44906</v>
      </c>
      <c r="B1260" cm="1">
        <f t="array" aca="1" ref="B1260" ca="1">[1]!s_dq_close("HSTECH.HI",$A1260,3)</f>
        <v>4369.53</v>
      </c>
      <c r="C1260" cm="1">
        <f t="array" aca="1" ref="C1260" ca="1">[1]!s_dq_close("HSI.HI",$A1260,3)</f>
        <v>19900.87</v>
      </c>
    </row>
    <row r="1261" spans="1:3">
      <c r="A1261" s="23">
        <f t="shared" ca="1" si="19"/>
        <v>44905</v>
      </c>
      <c r="B1261" cm="1">
        <f t="array" aca="1" ref="B1261" ca="1">[1]!s_dq_close("HSTECH.HI",$A1261,3)</f>
        <v>4369.53</v>
      </c>
      <c r="C1261" cm="1">
        <f t="array" aca="1" ref="C1261" ca="1">[1]!s_dq_close("HSI.HI",$A1261,3)</f>
        <v>19900.87</v>
      </c>
    </row>
    <row r="1262" spans="1:3">
      <c r="A1262" s="23">
        <f t="shared" ca="1" si="19"/>
        <v>44904</v>
      </c>
      <c r="B1262" cm="1">
        <f t="array" aca="1" ref="B1262" ca="1">[1]!s_dq_close("HSTECH.HI",$A1262,3)</f>
        <v>4369.53</v>
      </c>
      <c r="C1262" cm="1">
        <f t="array" aca="1" ref="C1262" ca="1">[1]!s_dq_close("HSI.HI",$A1262,3)</f>
        <v>19900.87</v>
      </c>
    </row>
    <row r="1263" spans="1:3">
      <c r="A1263" s="23">
        <f t="shared" ca="1" si="19"/>
        <v>44903</v>
      </c>
      <c r="B1263" cm="1">
        <f t="array" aca="1" ref="B1263" ca="1">[1]!s_dq_close("HSTECH.HI",$A1263,3)</f>
        <v>4270.21</v>
      </c>
      <c r="C1263" cm="1">
        <f t="array" aca="1" ref="C1263" ca="1">[1]!s_dq_close("HSI.HI",$A1263,3)</f>
        <v>19450.23</v>
      </c>
    </row>
    <row r="1264" spans="1:3">
      <c r="A1264" s="23">
        <f t="shared" ca="1" si="19"/>
        <v>44902</v>
      </c>
      <c r="B1264" cm="1">
        <f t="array" aca="1" ref="B1264" ca="1">[1]!s_dq_close("HSTECH.HI",$A1264,3)</f>
        <v>4004.31</v>
      </c>
      <c r="C1264" cm="1">
        <f t="array" aca="1" ref="C1264" ca="1">[1]!s_dq_close("HSI.HI",$A1264,3)</f>
        <v>18814.82</v>
      </c>
    </row>
    <row r="1265" spans="1:3">
      <c r="A1265" s="23">
        <f t="shared" ca="1" si="19"/>
        <v>44901</v>
      </c>
      <c r="B1265" cm="1">
        <f t="array" aca="1" ref="B1265" ca="1">[1]!s_dq_close("HSTECH.HI",$A1265,3)</f>
        <v>4161.21</v>
      </c>
      <c r="C1265" cm="1">
        <f t="array" aca="1" ref="C1265" ca="1">[1]!s_dq_close("HSI.HI",$A1265,3)</f>
        <v>19441.18</v>
      </c>
    </row>
    <row r="1266" spans="1:3">
      <c r="A1266" s="23">
        <f t="shared" ca="1" si="19"/>
        <v>44900</v>
      </c>
      <c r="B1266" cm="1">
        <f t="array" aca="1" ref="B1266" ca="1">[1]!s_dq_close("HSTECH.HI",$A1266,3)</f>
        <v>4238.2</v>
      </c>
      <c r="C1266" cm="1">
        <f t="array" aca="1" ref="C1266" ca="1">[1]!s_dq_close("HSI.HI",$A1266,3)</f>
        <v>19518.29</v>
      </c>
    </row>
    <row r="1267" spans="1:3">
      <c r="A1267" s="23">
        <f t="shared" ca="1" si="19"/>
        <v>44899</v>
      </c>
      <c r="B1267" cm="1">
        <f t="array" aca="1" ref="B1267" ca="1">[1]!s_dq_close("HSTECH.HI",$A1267,3)</f>
        <v>3878.81</v>
      </c>
      <c r="C1267" cm="1">
        <f t="array" aca="1" ref="C1267" ca="1">[1]!s_dq_close("HSI.HI",$A1267,3)</f>
        <v>18675.349999999999</v>
      </c>
    </row>
    <row r="1268" spans="1:3">
      <c r="A1268" s="23">
        <f t="shared" ca="1" si="19"/>
        <v>44898</v>
      </c>
      <c r="B1268" cm="1">
        <f t="array" aca="1" ref="B1268" ca="1">[1]!s_dq_close("HSTECH.HI",$A1268,3)</f>
        <v>3878.81</v>
      </c>
      <c r="C1268" cm="1">
        <f t="array" aca="1" ref="C1268" ca="1">[1]!s_dq_close("HSI.HI",$A1268,3)</f>
        <v>18675.349999999999</v>
      </c>
    </row>
    <row r="1269" spans="1:3">
      <c r="A1269" s="23">
        <f t="shared" ca="1" si="19"/>
        <v>44897</v>
      </c>
      <c r="B1269" cm="1">
        <f t="array" aca="1" ref="B1269" ca="1">[1]!s_dq_close("HSTECH.HI",$A1269,3)</f>
        <v>3878.81</v>
      </c>
      <c r="C1269" cm="1">
        <f t="array" aca="1" ref="C1269" ca="1">[1]!s_dq_close("HSI.HI",$A1269,3)</f>
        <v>18675.349999999999</v>
      </c>
    </row>
    <row r="1270" spans="1:3">
      <c r="A1270" s="23">
        <f t="shared" ca="1" si="19"/>
        <v>44896</v>
      </c>
      <c r="B1270" cm="1">
        <f t="array" aca="1" ref="B1270" ca="1">[1]!s_dq_close("HSTECH.HI",$A1270,3)</f>
        <v>3839.27</v>
      </c>
      <c r="C1270" cm="1">
        <f t="array" aca="1" ref="C1270" ca="1">[1]!s_dq_close("HSI.HI",$A1270,3)</f>
        <v>18736.439999999999</v>
      </c>
    </row>
    <row r="1271" spans="1:3">
      <c r="A1271" s="23">
        <f t="shared" ca="1" si="19"/>
        <v>44895</v>
      </c>
      <c r="B1271" cm="1">
        <f t="array" aca="1" ref="B1271" ca="1">[1]!s_dq_close("HSTECH.HI",$A1271,3)</f>
        <v>3798.19</v>
      </c>
      <c r="C1271" cm="1">
        <f t="array" aca="1" ref="C1271" ca="1">[1]!s_dq_close("HSI.HI",$A1271,3)</f>
        <v>18597.23</v>
      </c>
    </row>
    <row r="1272" spans="1:3">
      <c r="A1272" s="23">
        <f t="shared" ca="1" si="19"/>
        <v>44894</v>
      </c>
      <c r="B1272" cm="1">
        <f t="array" aca="1" ref="B1272" ca="1">[1]!s_dq_close("HSTECH.HI",$A1272,3)</f>
        <v>3695.8</v>
      </c>
      <c r="C1272" cm="1">
        <f t="array" aca="1" ref="C1272" ca="1">[1]!s_dq_close("HSI.HI",$A1272,3)</f>
        <v>18204.68</v>
      </c>
    </row>
    <row r="1273" spans="1:3">
      <c r="A1273" s="23">
        <f t="shared" ca="1" si="19"/>
        <v>44893</v>
      </c>
      <c r="B1273" cm="1">
        <f t="array" aca="1" ref="B1273" ca="1">[1]!s_dq_close("HSTECH.HI",$A1273,3)</f>
        <v>3432.86</v>
      </c>
      <c r="C1273" cm="1">
        <f t="array" aca="1" ref="C1273" ca="1">[1]!s_dq_close("HSI.HI",$A1273,3)</f>
        <v>17297.939999999999</v>
      </c>
    </row>
    <row r="1274" spans="1:3">
      <c r="A1274" s="23">
        <f t="shared" ca="1" si="19"/>
        <v>44892</v>
      </c>
      <c r="B1274" cm="1">
        <f t="array" aca="1" ref="B1274" ca="1">[1]!s_dq_close("HSTECH.HI",$A1274,3)</f>
        <v>3500.31</v>
      </c>
      <c r="C1274" cm="1">
        <f t="array" aca="1" ref="C1274" ca="1">[1]!s_dq_close("HSI.HI",$A1274,3)</f>
        <v>17573.580000000002</v>
      </c>
    </row>
    <row r="1275" spans="1:3">
      <c r="A1275" s="23">
        <f t="shared" ca="1" si="19"/>
        <v>44891</v>
      </c>
      <c r="B1275" cm="1">
        <f t="array" aca="1" ref="B1275" ca="1">[1]!s_dq_close("HSTECH.HI",$A1275,3)</f>
        <v>3500.31</v>
      </c>
      <c r="C1275" cm="1">
        <f t="array" aca="1" ref="C1275" ca="1">[1]!s_dq_close("HSI.HI",$A1275,3)</f>
        <v>17573.580000000002</v>
      </c>
    </row>
    <row r="1276" spans="1:3">
      <c r="A1276" s="23">
        <f t="shared" ca="1" si="19"/>
        <v>44890</v>
      </c>
      <c r="B1276" cm="1">
        <f t="array" aca="1" ref="B1276" ca="1">[1]!s_dq_close("HSTECH.HI",$A1276,3)</f>
        <v>3500.31</v>
      </c>
      <c r="C1276" cm="1">
        <f t="array" aca="1" ref="C1276" ca="1">[1]!s_dq_close("HSI.HI",$A1276,3)</f>
        <v>17573.580000000002</v>
      </c>
    </row>
    <row r="1277" spans="1:3">
      <c r="A1277" s="23">
        <f t="shared" ca="1" si="19"/>
        <v>44889</v>
      </c>
      <c r="B1277" cm="1">
        <f t="array" aca="1" ref="B1277" ca="1">[1]!s_dq_close("HSTECH.HI",$A1277,3)</f>
        <v>3582.95</v>
      </c>
      <c r="C1277" cm="1">
        <f t="array" aca="1" ref="C1277" ca="1">[1]!s_dq_close("HSI.HI",$A1277,3)</f>
        <v>17660.900000000001</v>
      </c>
    </row>
    <row r="1278" spans="1:3">
      <c r="A1278" s="23">
        <f t="shared" ca="1" si="19"/>
        <v>44888</v>
      </c>
      <c r="B1278" cm="1">
        <f t="array" aca="1" ref="B1278" ca="1">[1]!s_dq_close("HSTECH.HI",$A1278,3)</f>
        <v>3555.02</v>
      </c>
      <c r="C1278" cm="1">
        <f t="array" aca="1" ref="C1278" ca="1">[1]!s_dq_close("HSI.HI",$A1278,3)</f>
        <v>17523.810000000001</v>
      </c>
    </row>
    <row r="1279" spans="1:3">
      <c r="A1279" s="23">
        <f t="shared" ca="1" si="19"/>
        <v>44887</v>
      </c>
      <c r="B1279" cm="1">
        <f t="array" aca="1" ref="B1279" ca="1">[1]!s_dq_close("HSTECH.HI",$A1279,3)</f>
        <v>3515.37</v>
      </c>
      <c r="C1279" cm="1">
        <f t="array" aca="1" ref="C1279" ca="1">[1]!s_dq_close("HSI.HI",$A1279,3)</f>
        <v>17424.41</v>
      </c>
    </row>
    <row r="1280" spans="1:3">
      <c r="A1280" s="23">
        <f t="shared" ca="1" si="19"/>
        <v>44886</v>
      </c>
      <c r="B1280" cm="1">
        <f t="array" aca="1" ref="B1280" ca="1">[1]!s_dq_close("HSTECH.HI",$A1280,3)</f>
        <v>3631.97</v>
      </c>
      <c r="C1280" cm="1">
        <f t="array" aca="1" ref="C1280" ca="1">[1]!s_dq_close("HSI.HI",$A1280,3)</f>
        <v>17655.91</v>
      </c>
    </row>
    <row r="1281" spans="1:3">
      <c r="A1281" s="23">
        <f t="shared" ca="1" si="19"/>
        <v>44885</v>
      </c>
      <c r="B1281" cm="1">
        <f t="array" aca="1" ref="B1281" ca="1">[1]!s_dq_close("HSTECH.HI",$A1281,3)</f>
        <v>3742.7</v>
      </c>
      <c r="C1281" cm="1">
        <f t="array" aca="1" ref="C1281" ca="1">[1]!s_dq_close("HSI.HI",$A1281,3)</f>
        <v>17992.54</v>
      </c>
    </row>
    <row r="1282" spans="1:3">
      <c r="A1282" s="23">
        <f t="shared" ca="1" si="19"/>
        <v>44884</v>
      </c>
      <c r="B1282" cm="1">
        <f t="array" aca="1" ref="B1282" ca="1">[1]!s_dq_close("HSTECH.HI",$A1282,3)</f>
        <v>3742.7</v>
      </c>
      <c r="C1282" cm="1">
        <f t="array" aca="1" ref="C1282" ca="1">[1]!s_dq_close("HSI.HI",$A1282,3)</f>
        <v>17992.54</v>
      </c>
    </row>
    <row r="1283" spans="1:3">
      <c r="A1283" s="23">
        <f t="shared" ca="1" si="19"/>
        <v>44883</v>
      </c>
      <c r="B1283" cm="1">
        <f t="array" aca="1" ref="B1283" ca="1">[1]!s_dq_close("HSTECH.HI",$A1283,3)</f>
        <v>3742.7</v>
      </c>
      <c r="C1283" cm="1">
        <f t="array" aca="1" ref="C1283" ca="1">[1]!s_dq_close("HSI.HI",$A1283,3)</f>
        <v>17992.54</v>
      </c>
    </row>
    <row r="1284" spans="1:3">
      <c r="A1284" s="23">
        <f t="shared" ref="A1284:A1347" ca="1" si="20">A1283-1</f>
        <v>44882</v>
      </c>
      <c r="B1284" cm="1">
        <f t="array" aca="1" ref="B1284" ca="1">[1]!s_dq_close("HSTECH.HI",$A1284,3)</f>
        <v>3721.61</v>
      </c>
      <c r="C1284" cm="1">
        <f t="array" aca="1" ref="C1284" ca="1">[1]!s_dq_close("HSI.HI",$A1284,3)</f>
        <v>18045.66</v>
      </c>
    </row>
    <row r="1285" spans="1:3">
      <c r="A1285" s="23">
        <f t="shared" ca="1" si="20"/>
        <v>44881</v>
      </c>
      <c r="B1285" cm="1">
        <f t="array" aca="1" ref="B1285" ca="1">[1]!s_dq_close("HSTECH.HI",$A1285,3)</f>
        <v>3805.25</v>
      </c>
      <c r="C1285" cm="1">
        <f t="array" aca="1" ref="C1285" ca="1">[1]!s_dq_close("HSI.HI",$A1285,3)</f>
        <v>18256.48</v>
      </c>
    </row>
    <row r="1286" spans="1:3">
      <c r="A1286" s="23">
        <f t="shared" ca="1" si="20"/>
        <v>44880</v>
      </c>
      <c r="B1286" cm="1">
        <f t="array" aca="1" ref="B1286" ca="1">[1]!s_dq_close("HSTECH.HI",$A1286,3)</f>
        <v>3813.86</v>
      </c>
      <c r="C1286" cm="1">
        <f t="array" aca="1" ref="C1286" ca="1">[1]!s_dq_close("HSI.HI",$A1286,3)</f>
        <v>18343.12</v>
      </c>
    </row>
    <row r="1287" spans="1:3">
      <c r="A1287" s="23">
        <f t="shared" ca="1" si="20"/>
        <v>44879</v>
      </c>
      <c r="B1287" cm="1">
        <f t="array" aca="1" ref="B1287" ca="1">[1]!s_dq_close("HSTECH.HI",$A1287,3)</f>
        <v>3554.39</v>
      </c>
      <c r="C1287" cm="1">
        <f t="array" aca="1" ref="C1287" ca="1">[1]!s_dq_close("HSI.HI",$A1287,3)</f>
        <v>17619.71</v>
      </c>
    </row>
    <row r="1288" spans="1:3">
      <c r="A1288" s="23">
        <f t="shared" ca="1" si="20"/>
        <v>44878</v>
      </c>
      <c r="B1288" cm="1">
        <f t="array" aca="1" ref="B1288" ca="1">[1]!s_dq_close("HSTECH.HI",$A1288,3)</f>
        <v>3491.7</v>
      </c>
      <c r="C1288" cm="1">
        <f t="array" aca="1" ref="C1288" ca="1">[1]!s_dq_close("HSI.HI",$A1288,3)</f>
        <v>17325.66</v>
      </c>
    </row>
    <row r="1289" spans="1:3">
      <c r="A1289" s="23">
        <f t="shared" ca="1" si="20"/>
        <v>44877</v>
      </c>
      <c r="B1289" cm="1">
        <f t="array" aca="1" ref="B1289" ca="1">[1]!s_dq_close("HSTECH.HI",$A1289,3)</f>
        <v>3491.7</v>
      </c>
      <c r="C1289" cm="1">
        <f t="array" aca="1" ref="C1289" ca="1">[1]!s_dq_close("HSI.HI",$A1289,3)</f>
        <v>17325.66</v>
      </c>
    </row>
    <row r="1290" spans="1:3">
      <c r="A1290" s="23">
        <f t="shared" ca="1" si="20"/>
        <v>44876</v>
      </c>
      <c r="B1290" cm="1">
        <f t="array" aca="1" ref="B1290" ca="1">[1]!s_dq_close("HSTECH.HI",$A1290,3)</f>
        <v>3491.7</v>
      </c>
      <c r="C1290" cm="1">
        <f t="array" aca="1" ref="C1290" ca="1">[1]!s_dq_close("HSI.HI",$A1290,3)</f>
        <v>17325.66</v>
      </c>
    </row>
    <row r="1291" spans="1:3">
      <c r="A1291" s="23">
        <f t="shared" ca="1" si="20"/>
        <v>44875</v>
      </c>
      <c r="B1291" cm="1">
        <f t="array" aca="1" ref="B1291" ca="1">[1]!s_dq_close("HSTECH.HI",$A1291,3)</f>
        <v>3172.76</v>
      </c>
      <c r="C1291" cm="1">
        <f t="array" aca="1" ref="C1291" ca="1">[1]!s_dq_close("HSI.HI",$A1291,3)</f>
        <v>16081.04</v>
      </c>
    </row>
    <row r="1292" spans="1:3">
      <c r="A1292" s="23">
        <f t="shared" ca="1" si="20"/>
        <v>44874</v>
      </c>
      <c r="B1292" cm="1">
        <f t="array" aca="1" ref="B1292" ca="1">[1]!s_dq_close("HSTECH.HI",$A1292,3)</f>
        <v>3280.48</v>
      </c>
      <c r="C1292" cm="1">
        <f t="array" aca="1" ref="C1292" ca="1">[1]!s_dq_close("HSI.HI",$A1292,3)</f>
        <v>16358.52</v>
      </c>
    </row>
    <row r="1293" spans="1:3">
      <c r="A1293" s="23">
        <f t="shared" ca="1" si="20"/>
        <v>44873</v>
      </c>
      <c r="B1293" cm="1">
        <f t="array" aca="1" ref="B1293" ca="1">[1]!s_dq_close("HSTECH.HI",$A1293,3)</f>
        <v>3343.76</v>
      </c>
      <c r="C1293" cm="1">
        <f t="array" aca="1" ref="C1293" ca="1">[1]!s_dq_close("HSI.HI",$A1293,3)</f>
        <v>16557.310000000001</v>
      </c>
    </row>
    <row r="1294" spans="1:3">
      <c r="A1294" s="23">
        <f t="shared" ca="1" si="20"/>
        <v>44872</v>
      </c>
      <c r="B1294" cm="1">
        <f t="array" aca="1" ref="B1294" ca="1">[1]!s_dq_close("HSTECH.HI",$A1294,3)</f>
        <v>3396.64</v>
      </c>
      <c r="C1294" cm="1">
        <f t="array" aca="1" ref="C1294" ca="1">[1]!s_dq_close("HSI.HI",$A1294,3)</f>
        <v>16595.91</v>
      </c>
    </row>
    <row r="1295" spans="1:3">
      <c r="A1295" s="23">
        <f t="shared" ca="1" si="20"/>
        <v>44871</v>
      </c>
      <c r="B1295" cm="1">
        <f t="array" aca="1" ref="B1295" ca="1">[1]!s_dq_close("HSTECH.HI",$A1295,3)</f>
        <v>3264.23</v>
      </c>
      <c r="C1295" cm="1">
        <f t="array" aca="1" ref="C1295" ca="1">[1]!s_dq_close("HSI.HI",$A1295,3)</f>
        <v>16161.14</v>
      </c>
    </row>
    <row r="1296" spans="1:3">
      <c r="A1296" s="23">
        <f t="shared" ca="1" si="20"/>
        <v>44870</v>
      </c>
      <c r="B1296" cm="1">
        <f t="array" aca="1" ref="B1296" ca="1">[1]!s_dq_close("HSTECH.HI",$A1296,3)</f>
        <v>3264.23</v>
      </c>
      <c r="C1296" cm="1">
        <f t="array" aca="1" ref="C1296" ca="1">[1]!s_dq_close("HSI.HI",$A1296,3)</f>
        <v>16161.14</v>
      </c>
    </row>
    <row r="1297" spans="1:3">
      <c r="A1297" s="23">
        <f t="shared" ca="1" si="20"/>
        <v>44869</v>
      </c>
      <c r="B1297" cm="1">
        <f t="array" aca="1" ref="B1297" ca="1">[1]!s_dq_close("HSTECH.HI",$A1297,3)</f>
        <v>3264.23</v>
      </c>
      <c r="C1297" cm="1">
        <f t="array" aca="1" ref="C1297" ca="1">[1]!s_dq_close("HSI.HI",$A1297,3)</f>
        <v>16161.14</v>
      </c>
    </row>
    <row r="1298" spans="1:3">
      <c r="A1298" s="23">
        <f t="shared" ca="1" si="20"/>
        <v>44868</v>
      </c>
      <c r="B1298" cm="1">
        <f t="array" aca="1" ref="B1298" ca="1">[1]!s_dq_close("HSTECH.HI",$A1298,3)</f>
        <v>3035.39</v>
      </c>
      <c r="C1298" cm="1">
        <f t="array" aca="1" ref="C1298" ca="1">[1]!s_dq_close("HSI.HI",$A1298,3)</f>
        <v>15339.49</v>
      </c>
    </row>
    <row r="1299" spans="1:3">
      <c r="A1299" s="23">
        <f t="shared" ca="1" si="20"/>
        <v>44867</v>
      </c>
      <c r="B1299" cm="1">
        <f t="array" aca="1" ref="B1299" ca="1">[1]!s_dq_close("HSTECH.HI",$A1299,3)</f>
        <v>3156.59</v>
      </c>
      <c r="C1299" cm="1">
        <f t="array" aca="1" ref="C1299" ca="1">[1]!s_dq_close("HSI.HI",$A1299,3)</f>
        <v>15827.17</v>
      </c>
    </row>
    <row r="1300" spans="1:3">
      <c r="A1300" s="23">
        <f t="shared" ca="1" si="20"/>
        <v>44866</v>
      </c>
      <c r="B1300" cm="1">
        <f t="array" aca="1" ref="B1300" ca="1">[1]!s_dq_close("HSTECH.HI",$A1300,3)</f>
        <v>3075.16</v>
      </c>
      <c r="C1300" cm="1">
        <f t="array" aca="1" ref="C1300" ca="1">[1]!s_dq_close("HSI.HI",$A1300,3)</f>
        <v>15455.27</v>
      </c>
    </row>
    <row r="1301" spans="1:3">
      <c r="A1301" s="23">
        <f t="shared" ca="1" si="20"/>
        <v>44865</v>
      </c>
      <c r="B1301" cm="1">
        <f t="array" aca="1" ref="B1301" ca="1">[1]!s_dq_close("HSTECH.HI",$A1301,3)</f>
        <v>2852.57</v>
      </c>
      <c r="C1301" cm="1">
        <f t="array" aca="1" ref="C1301" ca="1">[1]!s_dq_close("HSI.HI",$A1301,3)</f>
        <v>14687.02</v>
      </c>
    </row>
    <row r="1302" spans="1:3">
      <c r="A1302" s="23">
        <f t="shared" ca="1" si="20"/>
        <v>44864</v>
      </c>
      <c r="B1302" cm="1">
        <f t="array" aca="1" ref="B1302" ca="1">[1]!s_dq_close("HSTECH.HI",$A1302,3)</f>
        <v>2822.92</v>
      </c>
      <c r="C1302" cm="1">
        <f t="array" aca="1" ref="C1302" ca="1">[1]!s_dq_close("HSI.HI",$A1302,3)</f>
        <v>14863.06</v>
      </c>
    </row>
    <row r="1303" spans="1:3">
      <c r="A1303" s="23">
        <f t="shared" ca="1" si="20"/>
        <v>44863</v>
      </c>
      <c r="B1303" cm="1">
        <f t="array" aca="1" ref="B1303" ca="1">[1]!s_dq_close("HSTECH.HI",$A1303,3)</f>
        <v>2822.92</v>
      </c>
      <c r="C1303" cm="1">
        <f t="array" aca="1" ref="C1303" ca="1">[1]!s_dq_close("HSI.HI",$A1303,3)</f>
        <v>14863.06</v>
      </c>
    </row>
    <row r="1304" spans="1:3">
      <c r="A1304" s="23">
        <f t="shared" ca="1" si="20"/>
        <v>44862</v>
      </c>
      <c r="B1304" cm="1">
        <f t="array" aca="1" ref="B1304" ca="1">[1]!s_dq_close("HSTECH.HI",$A1304,3)</f>
        <v>2822.92</v>
      </c>
      <c r="C1304" cm="1">
        <f t="array" aca="1" ref="C1304" ca="1">[1]!s_dq_close("HSI.HI",$A1304,3)</f>
        <v>14863.06</v>
      </c>
    </row>
    <row r="1305" spans="1:3">
      <c r="A1305" s="23">
        <f t="shared" ca="1" si="20"/>
        <v>44861</v>
      </c>
      <c r="B1305" cm="1">
        <f t="array" aca="1" ref="B1305" ca="1">[1]!s_dq_close("HSTECH.HI",$A1305,3)</f>
        <v>2989.18</v>
      </c>
      <c r="C1305" cm="1">
        <f t="array" aca="1" ref="C1305" ca="1">[1]!s_dq_close("HSI.HI",$A1305,3)</f>
        <v>15427.94</v>
      </c>
    </row>
    <row r="1306" spans="1:3">
      <c r="A1306" s="23">
        <f t="shared" ca="1" si="20"/>
        <v>44860</v>
      </c>
      <c r="B1306" cm="1">
        <f t="array" aca="1" ref="B1306" ca="1">[1]!s_dq_close("HSTECH.HI",$A1306,3)</f>
        <v>2956.41</v>
      </c>
      <c r="C1306" cm="1">
        <f t="array" aca="1" ref="C1306" ca="1">[1]!s_dq_close("HSI.HI",$A1306,3)</f>
        <v>15317.67</v>
      </c>
    </row>
    <row r="1307" spans="1:3">
      <c r="A1307" s="23">
        <f t="shared" ca="1" si="20"/>
        <v>44859</v>
      </c>
      <c r="B1307" cm="1">
        <f t="array" aca="1" ref="B1307" ca="1">[1]!s_dq_close("HSTECH.HI",$A1307,3)</f>
        <v>2884.79</v>
      </c>
      <c r="C1307" cm="1">
        <f t="array" aca="1" ref="C1307" ca="1">[1]!s_dq_close("HSI.HI",$A1307,3)</f>
        <v>15165.59</v>
      </c>
    </row>
    <row r="1308" spans="1:3">
      <c r="A1308" s="23">
        <f t="shared" ca="1" si="20"/>
        <v>44858</v>
      </c>
      <c r="B1308" cm="1">
        <f t="array" aca="1" ref="B1308" ca="1">[1]!s_dq_close("HSTECH.HI",$A1308,3)</f>
        <v>2801.99</v>
      </c>
      <c r="C1308" cm="1">
        <f t="array" aca="1" ref="C1308" ca="1">[1]!s_dq_close("HSI.HI",$A1308,3)</f>
        <v>15180.69</v>
      </c>
    </row>
    <row r="1309" spans="1:3">
      <c r="A1309" s="23">
        <f t="shared" ca="1" si="20"/>
        <v>44857</v>
      </c>
      <c r="B1309" cm="1">
        <f t="array" aca="1" ref="B1309" ca="1">[1]!s_dq_close("HSTECH.HI",$A1309,3)</f>
        <v>3101.37</v>
      </c>
      <c r="C1309" cm="1">
        <f t="array" aca="1" ref="C1309" ca="1">[1]!s_dq_close("HSI.HI",$A1309,3)</f>
        <v>16211.12</v>
      </c>
    </row>
    <row r="1310" spans="1:3">
      <c r="A1310" s="23">
        <f t="shared" ca="1" si="20"/>
        <v>44856</v>
      </c>
      <c r="B1310" cm="1">
        <f t="array" aca="1" ref="B1310" ca="1">[1]!s_dq_close("HSTECH.HI",$A1310,3)</f>
        <v>3101.37</v>
      </c>
      <c r="C1310" cm="1">
        <f t="array" aca="1" ref="C1310" ca="1">[1]!s_dq_close("HSI.HI",$A1310,3)</f>
        <v>16211.12</v>
      </c>
    </row>
    <row r="1311" spans="1:3">
      <c r="A1311" s="23">
        <f t="shared" ca="1" si="20"/>
        <v>44855</v>
      </c>
      <c r="B1311" cm="1">
        <f t="array" aca="1" ref="B1311" ca="1">[1]!s_dq_close("HSTECH.HI",$A1311,3)</f>
        <v>3101.37</v>
      </c>
      <c r="C1311" cm="1">
        <f t="array" aca="1" ref="C1311" ca="1">[1]!s_dq_close("HSI.HI",$A1311,3)</f>
        <v>16211.12</v>
      </c>
    </row>
    <row r="1312" spans="1:3">
      <c r="A1312" s="23">
        <f t="shared" ca="1" si="20"/>
        <v>44854</v>
      </c>
      <c r="B1312" cm="1">
        <f t="array" aca="1" ref="B1312" ca="1">[1]!s_dq_close("HSTECH.HI",$A1312,3)</f>
        <v>3120.83</v>
      </c>
      <c r="C1312" cm="1">
        <f t="array" aca="1" ref="C1312" ca="1">[1]!s_dq_close("HSI.HI",$A1312,3)</f>
        <v>16280.22</v>
      </c>
    </row>
    <row r="1313" spans="1:3">
      <c r="A1313" s="23">
        <f t="shared" ca="1" si="20"/>
        <v>44853</v>
      </c>
      <c r="B1313" cm="1">
        <f t="array" aca="1" ref="B1313" ca="1">[1]!s_dq_close("HSTECH.HI",$A1313,3)</f>
        <v>3196.58</v>
      </c>
      <c r="C1313" cm="1">
        <f t="array" aca="1" ref="C1313" ca="1">[1]!s_dq_close("HSI.HI",$A1313,3)</f>
        <v>16511.28</v>
      </c>
    </row>
    <row r="1314" spans="1:3">
      <c r="A1314" s="23">
        <f t="shared" ca="1" si="20"/>
        <v>44852</v>
      </c>
      <c r="B1314" cm="1">
        <f t="array" aca="1" ref="B1314" ca="1">[1]!s_dq_close("HSTECH.HI",$A1314,3)</f>
        <v>3336.25</v>
      </c>
      <c r="C1314" cm="1">
        <f t="array" aca="1" ref="C1314" ca="1">[1]!s_dq_close("HSI.HI",$A1314,3)</f>
        <v>16914.580000000002</v>
      </c>
    </row>
    <row r="1315" spans="1:3">
      <c r="A1315" s="23">
        <f t="shared" ca="1" si="20"/>
        <v>44851</v>
      </c>
      <c r="B1315" cm="1">
        <f t="array" aca="1" ref="B1315" ca="1">[1]!s_dq_close("HSTECH.HI",$A1315,3)</f>
        <v>3200.12</v>
      </c>
      <c r="C1315" cm="1">
        <f t="array" aca="1" ref="C1315" ca="1">[1]!s_dq_close("HSI.HI",$A1315,3)</f>
        <v>16612.900000000001</v>
      </c>
    </row>
    <row r="1316" spans="1:3">
      <c r="A1316" s="23">
        <f t="shared" ca="1" si="20"/>
        <v>44850</v>
      </c>
      <c r="B1316" cm="1">
        <f t="array" aca="1" ref="B1316" ca="1">[1]!s_dq_close("HSTECH.HI",$A1316,3)</f>
        <v>3206.63</v>
      </c>
      <c r="C1316" cm="1">
        <f t="array" aca="1" ref="C1316" ca="1">[1]!s_dq_close("HSI.HI",$A1316,3)</f>
        <v>16587.689999999999</v>
      </c>
    </row>
    <row r="1317" spans="1:3">
      <c r="A1317" s="23">
        <f t="shared" ca="1" si="20"/>
        <v>44849</v>
      </c>
      <c r="B1317" cm="1">
        <f t="array" aca="1" ref="B1317" ca="1">[1]!s_dq_close("HSTECH.HI",$A1317,3)</f>
        <v>3206.63</v>
      </c>
      <c r="C1317" cm="1">
        <f t="array" aca="1" ref="C1317" ca="1">[1]!s_dq_close("HSI.HI",$A1317,3)</f>
        <v>16587.689999999999</v>
      </c>
    </row>
    <row r="1318" spans="1:3">
      <c r="A1318" s="23">
        <f t="shared" ca="1" si="20"/>
        <v>44848</v>
      </c>
      <c r="B1318" cm="1">
        <f t="array" aca="1" ref="B1318" ca="1">[1]!s_dq_close("HSTECH.HI",$A1318,3)</f>
        <v>3206.63</v>
      </c>
      <c r="C1318" cm="1">
        <f t="array" aca="1" ref="C1318" ca="1">[1]!s_dq_close("HSI.HI",$A1318,3)</f>
        <v>16587.689999999999</v>
      </c>
    </row>
    <row r="1319" spans="1:3">
      <c r="A1319" s="23">
        <f t="shared" ca="1" si="20"/>
        <v>44847</v>
      </c>
      <c r="B1319" cm="1">
        <f t="array" aca="1" ref="B1319" ca="1">[1]!s_dq_close("HSTECH.HI",$A1319,3)</f>
        <v>3157.75</v>
      </c>
      <c r="C1319" cm="1">
        <f t="array" aca="1" ref="C1319" ca="1">[1]!s_dq_close("HSI.HI",$A1319,3)</f>
        <v>16389.11</v>
      </c>
    </row>
    <row r="1320" spans="1:3">
      <c r="A1320" s="23">
        <f t="shared" ca="1" si="20"/>
        <v>44846</v>
      </c>
      <c r="B1320" cm="1">
        <f t="array" aca="1" ref="B1320" ca="1">[1]!s_dq_close("HSTECH.HI",$A1320,3)</f>
        <v>3269.54</v>
      </c>
      <c r="C1320" cm="1">
        <f t="array" aca="1" ref="C1320" ca="1">[1]!s_dq_close("HSI.HI",$A1320,3)</f>
        <v>16701.03</v>
      </c>
    </row>
    <row r="1321" spans="1:3">
      <c r="A1321" s="23">
        <f t="shared" ca="1" si="20"/>
        <v>44845</v>
      </c>
      <c r="B1321" cm="1">
        <f t="array" aca="1" ref="B1321" ca="1">[1]!s_dq_close("HSTECH.HI",$A1321,3)</f>
        <v>3278.24</v>
      </c>
      <c r="C1321" cm="1">
        <f t="array" aca="1" ref="C1321" ca="1">[1]!s_dq_close("HSI.HI",$A1321,3)</f>
        <v>16832.36</v>
      </c>
    </row>
    <row r="1322" spans="1:3">
      <c r="A1322" s="23">
        <f t="shared" ca="1" si="20"/>
        <v>44844</v>
      </c>
      <c r="B1322" cm="1">
        <f t="array" aca="1" ref="B1322" ca="1">[1]!s_dq_close("HSTECH.HI",$A1322,3)</f>
        <v>3398.88</v>
      </c>
      <c r="C1322" cm="1">
        <f t="array" aca="1" ref="C1322" ca="1">[1]!s_dq_close("HSI.HI",$A1322,3)</f>
        <v>17216.66</v>
      </c>
    </row>
    <row r="1323" spans="1:3">
      <c r="A1323" s="23">
        <f t="shared" ca="1" si="20"/>
        <v>44843</v>
      </c>
      <c r="B1323" cm="1">
        <f t="array" aca="1" ref="B1323" ca="1">[1]!s_dq_close("HSTECH.HI",$A1323,3)</f>
        <v>3539.87</v>
      </c>
      <c r="C1323" cm="1">
        <f t="array" aca="1" ref="C1323" ca="1">[1]!s_dq_close("HSI.HI",$A1323,3)</f>
        <v>17740.05</v>
      </c>
    </row>
    <row r="1324" spans="1:3">
      <c r="A1324" s="23">
        <f t="shared" ca="1" si="20"/>
        <v>44842</v>
      </c>
      <c r="B1324" cm="1">
        <f t="array" aca="1" ref="B1324" ca="1">[1]!s_dq_close("HSTECH.HI",$A1324,3)</f>
        <v>3539.87</v>
      </c>
      <c r="C1324" cm="1">
        <f t="array" aca="1" ref="C1324" ca="1">[1]!s_dq_close("HSI.HI",$A1324,3)</f>
        <v>17740.05</v>
      </c>
    </row>
    <row r="1325" spans="1:3">
      <c r="A1325" s="23">
        <f t="shared" ca="1" si="20"/>
        <v>44841</v>
      </c>
      <c r="B1325" cm="1">
        <f t="array" aca="1" ref="B1325" ca="1">[1]!s_dq_close("HSTECH.HI",$A1325,3)</f>
        <v>3539.87</v>
      </c>
      <c r="C1325" cm="1">
        <f t="array" aca="1" ref="C1325" ca="1">[1]!s_dq_close("HSI.HI",$A1325,3)</f>
        <v>17740.05</v>
      </c>
    </row>
    <row r="1326" spans="1:3">
      <c r="A1326" s="23">
        <f t="shared" ca="1" si="20"/>
        <v>44840</v>
      </c>
      <c r="B1326" cm="1">
        <f t="array" aca="1" ref="B1326" ca="1">[1]!s_dq_close("HSTECH.HI",$A1326,3)</f>
        <v>3660.72</v>
      </c>
      <c r="C1326" cm="1">
        <f t="array" aca="1" ref="C1326" ca="1">[1]!s_dq_close("HSI.HI",$A1326,3)</f>
        <v>18012.150000000001</v>
      </c>
    </row>
    <row r="1327" spans="1:3">
      <c r="A1327" s="23">
        <f t="shared" ca="1" si="20"/>
        <v>44839</v>
      </c>
      <c r="B1327" cm="1">
        <f t="array" aca="1" ref="B1327" ca="1">[1]!s_dq_close("HSTECH.HI",$A1327,3)</f>
        <v>3685.51</v>
      </c>
      <c r="C1327" cm="1">
        <f t="array" aca="1" ref="C1327" ca="1">[1]!s_dq_close("HSI.HI",$A1327,3)</f>
        <v>18087.97</v>
      </c>
    </row>
    <row r="1328" spans="1:3">
      <c r="A1328" s="23">
        <f t="shared" ca="1" si="20"/>
        <v>44838</v>
      </c>
      <c r="B1328" cm="1">
        <f t="array" aca="1" ref="B1328" ca="1">[1]!s_dq_close("HSTECH.HI",$A1328,3)</f>
        <v>3427.13</v>
      </c>
      <c r="C1328" cm="1">
        <f t="array" aca="1" ref="C1328" ca="1">[1]!s_dq_close("HSI.HI",$A1328,3)</f>
        <v>17079.509999999998</v>
      </c>
    </row>
    <row r="1329" spans="1:3">
      <c r="A1329" s="23">
        <f t="shared" ca="1" si="20"/>
        <v>44837</v>
      </c>
      <c r="B1329" cm="1">
        <f t="array" aca="1" ref="B1329" ca="1">[1]!s_dq_close("HSTECH.HI",$A1329,3)</f>
        <v>3427.13</v>
      </c>
      <c r="C1329" cm="1">
        <f t="array" aca="1" ref="C1329" ca="1">[1]!s_dq_close("HSI.HI",$A1329,3)</f>
        <v>17079.509999999998</v>
      </c>
    </row>
    <row r="1330" spans="1:3">
      <c r="A1330" s="23">
        <f t="shared" ca="1" si="20"/>
        <v>44836</v>
      </c>
      <c r="B1330" cm="1">
        <f t="array" aca="1" ref="B1330" ca="1">[1]!s_dq_close("HSTECH.HI",$A1330,3)</f>
        <v>3450.12</v>
      </c>
      <c r="C1330" cm="1">
        <f t="array" aca="1" ref="C1330" ca="1">[1]!s_dq_close("HSI.HI",$A1330,3)</f>
        <v>17222.830000000002</v>
      </c>
    </row>
    <row r="1331" spans="1:3">
      <c r="A1331" s="23">
        <f t="shared" ca="1" si="20"/>
        <v>44835</v>
      </c>
      <c r="B1331" cm="1">
        <f t="array" aca="1" ref="B1331" ca="1">[1]!s_dq_close("HSTECH.HI",$A1331,3)</f>
        <v>3450.12</v>
      </c>
      <c r="C1331" cm="1">
        <f t="array" aca="1" ref="C1331" ca="1">[1]!s_dq_close("HSI.HI",$A1331,3)</f>
        <v>17222.830000000002</v>
      </c>
    </row>
    <row r="1332" spans="1:3">
      <c r="A1332" s="23">
        <f t="shared" ca="1" si="20"/>
        <v>44834</v>
      </c>
      <c r="B1332" cm="1">
        <f t="array" aca="1" ref="B1332" ca="1">[1]!s_dq_close("HSTECH.HI",$A1332,3)</f>
        <v>3450.12</v>
      </c>
      <c r="C1332" cm="1">
        <f t="array" aca="1" ref="C1332" ca="1">[1]!s_dq_close("HSI.HI",$A1332,3)</f>
        <v>17222.830000000002</v>
      </c>
    </row>
    <row r="1333" spans="1:3">
      <c r="A1333" s="23">
        <f t="shared" ca="1" si="20"/>
        <v>44833</v>
      </c>
      <c r="B1333" cm="1">
        <f t="array" aca="1" ref="B1333" ca="1">[1]!s_dq_close("HSTECH.HI",$A1333,3)</f>
        <v>3482.52</v>
      </c>
      <c r="C1333" cm="1">
        <f t="array" aca="1" ref="C1333" ca="1">[1]!s_dq_close("HSI.HI",$A1333,3)</f>
        <v>17165.87</v>
      </c>
    </row>
    <row r="1334" spans="1:3">
      <c r="A1334" s="23">
        <f t="shared" ca="1" si="20"/>
        <v>44832</v>
      </c>
      <c r="B1334" cm="1">
        <f t="array" aca="1" ref="B1334" ca="1">[1]!s_dq_close("HSTECH.HI",$A1334,3)</f>
        <v>3526.23</v>
      </c>
      <c r="C1334" cm="1">
        <f t="array" aca="1" ref="C1334" ca="1">[1]!s_dq_close("HSI.HI",$A1334,3)</f>
        <v>17250.88</v>
      </c>
    </row>
    <row r="1335" spans="1:3">
      <c r="A1335" s="23">
        <f t="shared" ca="1" si="20"/>
        <v>44831</v>
      </c>
      <c r="B1335" cm="1">
        <f t="array" aca="1" ref="B1335" ca="1">[1]!s_dq_close("HSTECH.HI",$A1335,3)</f>
        <v>3667.41</v>
      </c>
      <c r="C1335" cm="1">
        <f t="array" aca="1" ref="C1335" ca="1">[1]!s_dq_close("HSI.HI",$A1335,3)</f>
        <v>17860.310000000001</v>
      </c>
    </row>
    <row r="1336" spans="1:3">
      <c r="A1336" s="23">
        <f t="shared" ca="1" si="20"/>
        <v>44830</v>
      </c>
      <c r="B1336" cm="1">
        <f t="array" aca="1" ref="B1336" ca="1">[1]!s_dq_close("HSTECH.HI",$A1336,3)</f>
        <v>3647.39</v>
      </c>
      <c r="C1336" cm="1">
        <f t="array" aca="1" ref="C1336" ca="1">[1]!s_dq_close("HSI.HI",$A1336,3)</f>
        <v>17855.14</v>
      </c>
    </row>
    <row r="1337" spans="1:3">
      <c r="A1337" s="23">
        <f t="shared" ca="1" si="20"/>
        <v>44829</v>
      </c>
      <c r="B1337" cm="1">
        <f t="array" aca="1" ref="B1337" ca="1">[1]!s_dq_close("HSTECH.HI",$A1337,3)</f>
        <v>3589.63</v>
      </c>
      <c r="C1337" cm="1">
        <f t="array" aca="1" ref="C1337" ca="1">[1]!s_dq_close("HSI.HI",$A1337,3)</f>
        <v>17933.27</v>
      </c>
    </row>
    <row r="1338" spans="1:3">
      <c r="A1338" s="23">
        <f t="shared" ca="1" si="20"/>
        <v>44828</v>
      </c>
      <c r="B1338" cm="1">
        <f t="array" aca="1" ref="B1338" ca="1">[1]!s_dq_close("HSTECH.HI",$A1338,3)</f>
        <v>3589.63</v>
      </c>
      <c r="C1338" cm="1">
        <f t="array" aca="1" ref="C1338" ca="1">[1]!s_dq_close("HSI.HI",$A1338,3)</f>
        <v>17933.27</v>
      </c>
    </row>
    <row r="1339" spans="1:3">
      <c r="A1339" s="23">
        <f t="shared" ca="1" si="20"/>
        <v>44827</v>
      </c>
      <c r="B1339" cm="1">
        <f t="array" aca="1" ref="B1339" ca="1">[1]!s_dq_close("HSTECH.HI",$A1339,3)</f>
        <v>3589.63</v>
      </c>
      <c r="C1339" cm="1">
        <f t="array" aca="1" ref="C1339" ca="1">[1]!s_dq_close("HSI.HI",$A1339,3)</f>
        <v>17933.27</v>
      </c>
    </row>
    <row r="1340" spans="1:3">
      <c r="A1340" s="23">
        <f t="shared" ca="1" si="20"/>
        <v>44826</v>
      </c>
      <c r="B1340" cm="1">
        <f t="array" aca="1" ref="B1340" ca="1">[1]!s_dq_close("HSTECH.HI",$A1340,3)</f>
        <v>3673.8</v>
      </c>
      <c r="C1340" cm="1">
        <f t="array" aca="1" ref="C1340" ca="1">[1]!s_dq_close("HSI.HI",$A1340,3)</f>
        <v>18147.95</v>
      </c>
    </row>
    <row r="1341" spans="1:3">
      <c r="A1341" s="23">
        <f t="shared" ca="1" si="20"/>
        <v>44825</v>
      </c>
      <c r="B1341" cm="1">
        <f t="array" aca="1" ref="B1341" ca="1">[1]!s_dq_close("HSTECH.HI",$A1341,3)</f>
        <v>3737.32</v>
      </c>
      <c r="C1341" cm="1">
        <f t="array" aca="1" ref="C1341" ca="1">[1]!s_dq_close("HSI.HI",$A1341,3)</f>
        <v>18444.62</v>
      </c>
    </row>
    <row r="1342" spans="1:3">
      <c r="A1342" s="23">
        <f t="shared" ca="1" si="20"/>
        <v>44824</v>
      </c>
      <c r="B1342" cm="1">
        <f t="array" aca="1" ref="B1342" ca="1">[1]!s_dq_close("HSTECH.HI",$A1342,3)</f>
        <v>3853.98</v>
      </c>
      <c r="C1342" cm="1">
        <f t="array" aca="1" ref="C1342" ca="1">[1]!s_dq_close("HSI.HI",$A1342,3)</f>
        <v>18781.419999999998</v>
      </c>
    </row>
    <row r="1343" spans="1:3">
      <c r="A1343" s="23">
        <f t="shared" ca="1" si="20"/>
        <v>44823</v>
      </c>
      <c r="B1343" cm="1">
        <f t="array" aca="1" ref="B1343" ca="1">[1]!s_dq_close("HSTECH.HI",$A1343,3)</f>
        <v>3778.77</v>
      </c>
      <c r="C1343" cm="1">
        <f t="array" aca="1" ref="C1343" ca="1">[1]!s_dq_close("HSI.HI",$A1343,3)</f>
        <v>18565.97</v>
      </c>
    </row>
    <row r="1344" spans="1:3">
      <c r="A1344" s="23">
        <f t="shared" ca="1" si="20"/>
        <v>44822</v>
      </c>
      <c r="B1344" cm="1">
        <f t="array" aca="1" ref="B1344" ca="1">[1]!s_dq_close("HSTECH.HI",$A1344,3)</f>
        <v>3858.46</v>
      </c>
      <c r="C1344" cm="1">
        <f t="array" aca="1" ref="C1344" ca="1">[1]!s_dq_close("HSI.HI",$A1344,3)</f>
        <v>18761.689999999999</v>
      </c>
    </row>
    <row r="1345" spans="1:3">
      <c r="A1345" s="23">
        <f t="shared" ca="1" si="20"/>
        <v>44821</v>
      </c>
      <c r="B1345" cm="1">
        <f t="array" aca="1" ref="B1345" ca="1">[1]!s_dq_close("HSTECH.HI",$A1345,3)</f>
        <v>3858.46</v>
      </c>
      <c r="C1345" cm="1">
        <f t="array" aca="1" ref="C1345" ca="1">[1]!s_dq_close("HSI.HI",$A1345,3)</f>
        <v>18761.689999999999</v>
      </c>
    </row>
    <row r="1346" spans="1:3">
      <c r="A1346" s="23">
        <f t="shared" ca="1" si="20"/>
        <v>44820</v>
      </c>
      <c r="B1346" cm="1">
        <f t="array" aca="1" ref="B1346" ca="1">[1]!s_dq_close("HSTECH.HI",$A1346,3)</f>
        <v>3858.46</v>
      </c>
      <c r="C1346" cm="1">
        <f t="array" aca="1" ref="C1346" ca="1">[1]!s_dq_close("HSI.HI",$A1346,3)</f>
        <v>18761.689999999999</v>
      </c>
    </row>
    <row r="1347" spans="1:3">
      <c r="A1347" s="23">
        <f t="shared" ca="1" si="20"/>
        <v>44819</v>
      </c>
      <c r="B1347" cm="1">
        <f t="array" aca="1" ref="B1347" ca="1">[1]!s_dq_close("HSTECH.HI",$A1347,3)</f>
        <v>3963.31</v>
      </c>
      <c r="C1347" cm="1">
        <f t="array" aca="1" ref="C1347" ca="1">[1]!s_dq_close("HSI.HI",$A1347,3)</f>
        <v>18930.38</v>
      </c>
    </row>
    <row r="1348" spans="1:3">
      <c r="A1348" s="23">
        <f t="shared" ref="A1348:A1411" ca="1" si="21">A1347-1</f>
        <v>44818</v>
      </c>
      <c r="B1348" cm="1">
        <f t="array" aca="1" ref="B1348" ca="1">[1]!s_dq_close("HSTECH.HI",$A1348,3)</f>
        <v>3953.37</v>
      </c>
      <c r="C1348" cm="1">
        <f t="array" aca="1" ref="C1348" ca="1">[1]!s_dq_close("HSI.HI",$A1348,3)</f>
        <v>18847.099999999999</v>
      </c>
    </row>
    <row r="1349" spans="1:3">
      <c r="A1349" s="23">
        <f t="shared" ca="1" si="21"/>
        <v>44817</v>
      </c>
      <c r="B1349" cm="1">
        <f t="array" aca="1" ref="B1349" ca="1">[1]!s_dq_close("HSTECH.HI",$A1349,3)</f>
        <v>4069.29</v>
      </c>
      <c r="C1349" cm="1">
        <f t="array" aca="1" ref="C1349" ca="1">[1]!s_dq_close("HSI.HI",$A1349,3)</f>
        <v>19326.86</v>
      </c>
    </row>
    <row r="1350" spans="1:3">
      <c r="A1350" s="23">
        <f t="shared" ca="1" si="21"/>
        <v>44816</v>
      </c>
      <c r="B1350" cm="1">
        <f t="array" aca="1" ref="B1350" ca="1">[1]!s_dq_close("HSTECH.HI",$A1350,3)</f>
        <v>4077.32</v>
      </c>
      <c r="C1350" cm="1">
        <f t="array" aca="1" ref="C1350" ca="1">[1]!s_dq_close("HSI.HI",$A1350,3)</f>
        <v>19362.25</v>
      </c>
    </row>
    <row r="1351" spans="1:3">
      <c r="A1351" s="23">
        <f t="shared" ca="1" si="21"/>
        <v>44815</v>
      </c>
      <c r="B1351" cm="1">
        <f t="array" aca="1" ref="B1351" ca="1">[1]!s_dq_close("HSTECH.HI",$A1351,3)</f>
        <v>4077.32</v>
      </c>
      <c r="C1351" cm="1">
        <f t="array" aca="1" ref="C1351" ca="1">[1]!s_dq_close("HSI.HI",$A1351,3)</f>
        <v>19362.25</v>
      </c>
    </row>
    <row r="1352" spans="1:3">
      <c r="A1352" s="23">
        <f t="shared" ca="1" si="21"/>
        <v>44814</v>
      </c>
      <c r="B1352" cm="1">
        <f t="array" aca="1" ref="B1352" ca="1">[1]!s_dq_close("HSTECH.HI",$A1352,3)</f>
        <v>4077.32</v>
      </c>
      <c r="C1352" cm="1">
        <f t="array" aca="1" ref="C1352" ca="1">[1]!s_dq_close("HSI.HI",$A1352,3)</f>
        <v>19362.25</v>
      </c>
    </row>
    <row r="1353" spans="1:3">
      <c r="A1353" s="23">
        <f t="shared" ca="1" si="21"/>
        <v>44813</v>
      </c>
      <c r="B1353" cm="1">
        <f t="array" aca="1" ref="B1353" ca="1">[1]!s_dq_close("HSTECH.HI",$A1353,3)</f>
        <v>4077.32</v>
      </c>
      <c r="C1353" cm="1">
        <f t="array" aca="1" ref="C1353" ca="1">[1]!s_dq_close("HSI.HI",$A1353,3)</f>
        <v>19362.25</v>
      </c>
    </row>
    <row r="1354" spans="1:3">
      <c r="A1354" s="23">
        <f t="shared" ca="1" si="21"/>
        <v>44812</v>
      </c>
      <c r="B1354" cm="1">
        <f t="array" aca="1" ref="B1354" ca="1">[1]!s_dq_close("HSTECH.HI",$A1354,3)</f>
        <v>3974.05</v>
      </c>
      <c r="C1354" cm="1">
        <f t="array" aca="1" ref="C1354" ca="1">[1]!s_dq_close("HSI.HI",$A1354,3)</f>
        <v>18854.62</v>
      </c>
    </row>
    <row r="1355" spans="1:3">
      <c r="A1355" s="23">
        <f t="shared" ca="1" si="21"/>
        <v>44811</v>
      </c>
      <c r="B1355" cm="1">
        <f t="array" aca="1" ref="B1355" ca="1">[1]!s_dq_close("HSTECH.HI",$A1355,3)</f>
        <v>4014.01</v>
      </c>
      <c r="C1355" cm="1">
        <f t="array" aca="1" ref="C1355" ca="1">[1]!s_dq_close("HSI.HI",$A1355,3)</f>
        <v>19044.3</v>
      </c>
    </row>
    <row r="1356" spans="1:3">
      <c r="A1356" s="23">
        <f t="shared" ca="1" si="21"/>
        <v>44810</v>
      </c>
      <c r="B1356" cm="1">
        <f t="array" aca="1" ref="B1356" ca="1">[1]!s_dq_close("HSTECH.HI",$A1356,3)</f>
        <v>4066.83</v>
      </c>
      <c r="C1356" cm="1">
        <f t="array" aca="1" ref="C1356" ca="1">[1]!s_dq_close("HSI.HI",$A1356,3)</f>
        <v>19202.73</v>
      </c>
    </row>
    <row r="1357" spans="1:3">
      <c r="A1357" s="23">
        <f t="shared" ca="1" si="21"/>
        <v>44809</v>
      </c>
      <c r="B1357" cm="1">
        <f t="array" aca="1" ref="B1357" ca="1">[1]!s_dq_close("HSTECH.HI",$A1357,3)</f>
        <v>4063.91</v>
      </c>
      <c r="C1357" cm="1">
        <f t="array" aca="1" ref="C1357" ca="1">[1]!s_dq_close("HSI.HI",$A1357,3)</f>
        <v>19225.7</v>
      </c>
    </row>
    <row r="1358" spans="1:3">
      <c r="A1358" s="23">
        <f t="shared" ca="1" si="21"/>
        <v>44808</v>
      </c>
      <c r="B1358" cm="1">
        <f t="array" aca="1" ref="B1358" ca="1">[1]!s_dq_close("HSTECH.HI",$A1358,3)</f>
        <v>4143.53</v>
      </c>
      <c r="C1358" cm="1">
        <f t="array" aca="1" ref="C1358" ca="1">[1]!s_dq_close("HSI.HI",$A1358,3)</f>
        <v>19452.09</v>
      </c>
    </row>
    <row r="1359" spans="1:3">
      <c r="A1359" s="23">
        <f t="shared" ca="1" si="21"/>
        <v>44807</v>
      </c>
      <c r="B1359" cm="1">
        <f t="array" aca="1" ref="B1359" ca="1">[1]!s_dq_close("HSTECH.HI",$A1359,3)</f>
        <v>4143.53</v>
      </c>
      <c r="C1359" cm="1">
        <f t="array" aca="1" ref="C1359" ca="1">[1]!s_dq_close("HSI.HI",$A1359,3)</f>
        <v>19452.09</v>
      </c>
    </row>
    <row r="1360" spans="1:3">
      <c r="A1360" s="23">
        <f t="shared" ca="1" si="21"/>
        <v>44806</v>
      </c>
      <c r="B1360" cm="1">
        <f t="array" aca="1" ref="B1360" ca="1">[1]!s_dq_close("HSTECH.HI",$A1360,3)</f>
        <v>4143.53</v>
      </c>
      <c r="C1360" cm="1">
        <f t="array" aca="1" ref="C1360" ca="1">[1]!s_dq_close("HSI.HI",$A1360,3)</f>
        <v>19452.09</v>
      </c>
    </row>
    <row r="1361" spans="1:3">
      <c r="A1361" s="23">
        <f t="shared" ca="1" si="21"/>
        <v>44805</v>
      </c>
      <c r="B1361" cm="1">
        <f t="array" aca="1" ref="B1361" ca="1">[1]!s_dq_close("HSTECH.HI",$A1361,3)</f>
        <v>4204.03</v>
      </c>
      <c r="C1361" cm="1">
        <f t="array" aca="1" ref="C1361" ca="1">[1]!s_dq_close("HSI.HI",$A1361,3)</f>
        <v>19597.310000000001</v>
      </c>
    </row>
    <row r="1362" spans="1:3">
      <c r="A1362" s="23">
        <f t="shared" ca="1" si="21"/>
        <v>44804</v>
      </c>
      <c r="B1362" cm="1">
        <f t="array" aca="1" ref="B1362" ca="1">[1]!s_dq_close("HSTECH.HI",$A1362,3)</f>
        <v>4273.68</v>
      </c>
      <c r="C1362" cm="1">
        <f t="array" aca="1" ref="C1362" ca="1">[1]!s_dq_close("HSI.HI",$A1362,3)</f>
        <v>19954.39</v>
      </c>
    </row>
    <row r="1363" spans="1:3">
      <c r="A1363" s="23">
        <f t="shared" ca="1" si="21"/>
        <v>44803</v>
      </c>
      <c r="B1363" cm="1">
        <f t="array" aca="1" ref="B1363" ca="1">[1]!s_dq_close("HSTECH.HI",$A1363,3)</f>
        <v>4227.43</v>
      </c>
      <c r="C1363" cm="1">
        <f t="array" aca="1" ref="C1363" ca="1">[1]!s_dq_close("HSI.HI",$A1363,3)</f>
        <v>19949.03</v>
      </c>
    </row>
    <row r="1364" spans="1:3">
      <c r="A1364" s="23">
        <f t="shared" ca="1" si="21"/>
        <v>44802</v>
      </c>
      <c r="B1364" cm="1">
        <f t="array" aca="1" ref="B1364" ca="1">[1]!s_dq_close("HSTECH.HI",$A1364,3)</f>
        <v>4249.17</v>
      </c>
      <c r="C1364" cm="1">
        <f t="array" aca="1" ref="C1364" ca="1">[1]!s_dq_close("HSI.HI",$A1364,3)</f>
        <v>20023.22</v>
      </c>
    </row>
    <row r="1365" spans="1:3">
      <c r="A1365" s="23">
        <f t="shared" ca="1" si="21"/>
        <v>44801</v>
      </c>
      <c r="B1365" cm="1">
        <f t="array" aca="1" ref="B1365" ca="1">[1]!s_dq_close("HSTECH.HI",$A1365,3)</f>
        <v>4302.17</v>
      </c>
      <c r="C1365" cm="1">
        <f t="array" aca="1" ref="C1365" ca="1">[1]!s_dq_close("HSI.HI",$A1365,3)</f>
        <v>20170.04</v>
      </c>
    </row>
    <row r="1366" spans="1:3">
      <c r="A1366" s="23">
        <f t="shared" ca="1" si="21"/>
        <v>44800</v>
      </c>
      <c r="B1366" cm="1">
        <f t="array" aca="1" ref="B1366" ca="1">[1]!s_dq_close("HSTECH.HI",$A1366,3)</f>
        <v>4302.17</v>
      </c>
      <c r="C1366" cm="1">
        <f t="array" aca="1" ref="C1366" ca="1">[1]!s_dq_close("HSI.HI",$A1366,3)</f>
        <v>20170.04</v>
      </c>
    </row>
    <row r="1367" spans="1:3">
      <c r="A1367" s="23">
        <f t="shared" ca="1" si="21"/>
        <v>44799</v>
      </c>
      <c r="B1367" cm="1">
        <f t="array" aca="1" ref="B1367" ca="1">[1]!s_dq_close("HSTECH.HI",$A1367,3)</f>
        <v>4302.17</v>
      </c>
      <c r="C1367" cm="1">
        <f t="array" aca="1" ref="C1367" ca="1">[1]!s_dq_close("HSI.HI",$A1367,3)</f>
        <v>20170.04</v>
      </c>
    </row>
    <row r="1368" spans="1:3">
      <c r="A1368" s="23">
        <f t="shared" ca="1" si="21"/>
        <v>44798</v>
      </c>
      <c r="B1368" cm="1">
        <f t="array" aca="1" ref="B1368" ca="1">[1]!s_dq_close("HSTECH.HI",$A1368,3)</f>
        <v>4268.54</v>
      </c>
      <c r="C1368" cm="1">
        <f t="array" aca="1" ref="C1368" ca="1">[1]!s_dq_close("HSI.HI",$A1368,3)</f>
        <v>19968.38</v>
      </c>
    </row>
    <row r="1369" spans="1:3">
      <c r="A1369" s="23">
        <f t="shared" ca="1" si="21"/>
        <v>44797</v>
      </c>
      <c r="B1369" cm="1">
        <f t="array" aca="1" ref="B1369" ca="1">[1]!s_dq_close("HSTECH.HI",$A1369,3)</f>
        <v>4026.45</v>
      </c>
      <c r="C1369" cm="1">
        <f t="array" aca="1" ref="C1369" ca="1">[1]!s_dq_close("HSI.HI",$A1369,3)</f>
        <v>19268.740000000002</v>
      </c>
    </row>
    <row r="1370" spans="1:3">
      <c r="A1370" s="23">
        <f t="shared" ca="1" si="21"/>
        <v>44796</v>
      </c>
      <c r="B1370" cm="1">
        <f t="array" aca="1" ref="B1370" ca="1">[1]!s_dq_close("HSTECH.HI",$A1370,3)</f>
        <v>4141.04</v>
      </c>
      <c r="C1370" cm="1">
        <f t="array" aca="1" ref="C1370" ca="1">[1]!s_dq_close("HSI.HI",$A1370,3)</f>
        <v>19503.25</v>
      </c>
    </row>
    <row r="1371" spans="1:3">
      <c r="A1371" s="23">
        <f t="shared" ca="1" si="21"/>
        <v>44795</v>
      </c>
      <c r="B1371" cm="1">
        <f t="array" aca="1" ref="B1371" ca="1">[1]!s_dq_close("HSTECH.HI",$A1371,3)</f>
        <v>4152.04</v>
      </c>
      <c r="C1371" cm="1">
        <f t="array" aca="1" ref="C1371" ca="1">[1]!s_dq_close("HSI.HI",$A1371,3)</f>
        <v>19656.98</v>
      </c>
    </row>
    <row r="1372" spans="1:3">
      <c r="A1372" s="23">
        <f t="shared" ca="1" si="21"/>
        <v>44794</v>
      </c>
      <c r="B1372" cm="1">
        <f t="array" aca="1" ref="B1372" ca="1">[1]!s_dq_close("HSTECH.HI",$A1372,3)</f>
        <v>4192.3100000000004</v>
      </c>
      <c r="C1372" cm="1">
        <f t="array" aca="1" ref="C1372" ca="1">[1]!s_dq_close("HSI.HI",$A1372,3)</f>
        <v>19773.03</v>
      </c>
    </row>
    <row r="1373" spans="1:3">
      <c r="A1373" s="23">
        <f t="shared" ca="1" si="21"/>
        <v>44793</v>
      </c>
      <c r="B1373" cm="1">
        <f t="array" aca="1" ref="B1373" ca="1">[1]!s_dq_close("HSTECH.HI",$A1373,3)</f>
        <v>4192.3100000000004</v>
      </c>
      <c r="C1373" cm="1">
        <f t="array" aca="1" ref="C1373" ca="1">[1]!s_dq_close("HSI.HI",$A1373,3)</f>
        <v>19773.03</v>
      </c>
    </row>
    <row r="1374" spans="1:3">
      <c r="A1374" s="23">
        <f t="shared" ca="1" si="21"/>
        <v>44792</v>
      </c>
      <c r="B1374" cm="1">
        <f t="array" aca="1" ref="B1374" ca="1">[1]!s_dq_close("HSTECH.HI",$A1374,3)</f>
        <v>4192.3100000000004</v>
      </c>
      <c r="C1374" cm="1">
        <f t="array" aca="1" ref="C1374" ca="1">[1]!s_dq_close("HSI.HI",$A1374,3)</f>
        <v>19773.03</v>
      </c>
    </row>
    <row r="1375" spans="1:3">
      <c r="A1375" s="23">
        <f t="shared" ca="1" si="21"/>
        <v>44791</v>
      </c>
      <c r="B1375" cm="1">
        <f t="array" aca="1" ref="B1375" ca="1">[1]!s_dq_close("HSTECH.HI",$A1375,3)</f>
        <v>4192.6400000000003</v>
      </c>
      <c r="C1375" cm="1">
        <f t="array" aca="1" ref="C1375" ca="1">[1]!s_dq_close("HSI.HI",$A1375,3)</f>
        <v>19763.91</v>
      </c>
    </row>
    <row r="1376" spans="1:3">
      <c r="A1376" s="23">
        <f t="shared" ca="1" si="21"/>
        <v>44790</v>
      </c>
      <c r="B1376" cm="1">
        <f t="array" aca="1" ref="B1376" ca="1">[1]!s_dq_close("HSTECH.HI",$A1376,3)</f>
        <v>4238.8999999999996</v>
      </c>
      <c r="C1376" cm="1">
        <f t="array" aca="1" ref="C1376" ca="1">[1]!s_dq_close("HSI.HI",$A1376,3)</f>
        <v>19922.45</v>
      </c>
    </row>
    <row r="1377" spans="1:3">
      <c r="A1377" s="23">
        <f t="shared" ca="1" si="21"/>
        <v>44789</v>
      </c>
      <c r="B1377" cm="1">
        <f t="array" aca="1" ref="B1377" ca="1">[1]!s_dq_close("HSTECH.HI",$A1377,3)</f>
        <v>4221.03</v>
      </c>
      <c r="C1377" cm="1">
        <f t="array" aca="1" ref="C1377" ca="1">[1]!s_dq_close("HSI.HI",$A1377,3)</f>
        <v>19830.52</v>
      </c>
    </row>
    <row r="1378" spans="1:3">
      <c r="A1378" s="23">
        <f t="shared" ca="1" si="21"/>
        <v>44788</v>
      </c>
      <c r="B1378" cm="1">
        <f t="array" aca="1" ref="B1378" ca="1">[1]!s_dq_close("HSTECH.HI",$A1378,3)</f>
        <v>4308.3100000000004</v>
      </c>
      <c r="C1378" cm="1">
        <f t="array" aca="1" ref="C1378" ca="1">[1]!s_dq_close("HSI.HI",$A1378,3)</f>
        <v>20040.86</v>
      </c>
    </row>
    <row r="1379" spans="1:3">
      <c r="A1379" s="23">
        <f t="shared" ca="1" si="21"/>
        <v>44787</v>
      </c>
      <c r="B1379" cm="1">
        <f t="array" aca="1" ref="B1379" ca="1">[1]!s_dq_close("HSTECH.HI",$A1379,3)</f>
        <v>4350.07</v>
      </c>
      <c r="C1379" cm="1">
        <f t="array" aca="1" ref="C1379" ca="1">[1]!s_dq_close("HSI.HI",$A1379,3)</f>
        <v>20175.62</v>
      </c>
    </row>
    <row r="1380" spans="1:3">
      <c r="A1380" s="23">
        <f t="shared" ca="1" si="21"/>
        <v>44786</v>
      </c>
      <c r="B1380" cm="1">
        <f t="array" aca="1" ref="B1380" ca="1">[1]!s_dq_close("HSTECH.HI",$A1380,3)</f>
        <v>4350.07</v>
      </c>
      <c r="C1380" cm="1">
        <f t="array" aca="1" ref="C1380" ca="1">[1]!s_dq_close("HSI.HI",$A1380,3)</f>
        <v>20175.62</v>
      </c>
    </row>
    <row r="1381" spans="1:3">
      <c r="A1381" s="23">
        <f t="shared" ca="1" si="21"/>
        <v>44785</v>
      </c>
      <c r="B1381" cm="1">
        <f t="array" aca="1" ref="B1381" ca="1">[1]!s_dq_close("HSTECH.HI",$A1381,3)</f>
        <v>4350.07</v>
      </c>
      <c r="C1381" cm="1">
        <f t="array" aca="1" ref="C1381" ca="1">[1]!s_dq_close("HSI.HI",$A1381,3)</f>
        <v>20175.62</v>
      </c>
    </row>
    <row r="1382" spans="1:3">
      <c r="A1382" s="23">
        <f t="shared" ca="1" si="21"/>
        <v>44784</v>
      </c>
      <c r="B1382" cm="1">
        <f t="array" aca="1" ref="B1382" ca="1">[1]!s_dq_close("HSTECH.HI",$A1382,3)</f>
        <v>4326.8500000000004</v>
      </c>
      <c r="C1382" cm="1">
        <f t="array" aca="1" ref="C1382" ca="1">[1]!s_dq_close("HSI.HI",$A1382,3)</f>
        <v>20082.43</v>
      </c>
    </row>
    <row r="1383" spans="1:3">
      <c r="A1383" s="23">
        <f t="shared" ca="1" si="21"/>
        <v>44783</v>
      </c>
      <c r="B1383" cm="1">
        <f t="array" aca="1" ref="B1383" ca="1">[1]!s_dq_close("HSTECH.HI",$A1383,3)</f>
        <v>4173.7700000000004</v>
      </c>
      <c r="C1383" cm="1">
        <f t="array" aca="1" ref="C1383" ca="1">[1]!s_dq_close("HSI.HI",$A1383,3)</f>
        <v>19610.84</v>
      </c>
    </row>
    <row r="1384" spans="1:3">
      <c r="A1384" s="23">
        <f t="shared" ca="1" si="21"/>
        <v>44782</v>
      </c>
      <c r="B1384" cm="1">
        <f t="array" aca="1" ref="B1384" ca="1">[1]!s_dq_close("HSTECH.HI",$A1384,3)</f>
        <v>4295.24</v>
      </c>
      <c r="C1384" cm="1">
        <f t="array" aca="1" ref="C1384" ca="1">[1]!s_dq_close("HSI.HI",$A1384,3)</f>
        <v>20003.439999999999</v>
      </c>
    </row>
    <row r="1385" spans="1:3">
      <c r="A1385" s="23">
        <f t="shared" ca="1" si="21"/>
        <v>44781</v>
      </c>
      <c r="B1385" cm="1">
        <f t="array" aca="1" ref="B1385" ca="1">[1]!s_dq_close("HSTECH.HI",$A1385,3)</f>
        <v>4335.54</v>
      </c>
      <c r="C1385" cm="1">
        <f t="array" aca="1" ref="C1385" ca="1">[1]!s_dq_close("HSI.HI",$A1385,3)</f>
        <v>20045.77</v>
      </c>
    </row>
    <row r="1386" spans="1:3">
      <c r="A1386" s="23">
        <f t="shared" ca="1" si="21"/>
        <v>44780</v>
      </c>
      <c r="B1386" cm="1">
        <f t="array" aca="1" ref="B1386" ca="1">[1]!s_dq_close("HSTECH.HI",$A1386,3)</f>
        <v>4415.8599999999997</v>
      </c>
      <c r="C1386" cm="1">
        <f t="array" aca="1" ref="C1386" ca="1">[1]!s_dq_close("HSI.HI",$A1386,3)</f>
        <v>20201.939999999999</v>
      </c>
    </row>
    <row r="1387" spans="1:3">
      <c r="A1387" s="23">
        <f t="shared" ca="1" si="21"/>
        <v>44779</v>
      </c>
      <c r="B1387" cm="1">
        <f t="array" aca="1" ref="B1387" ca="1">[1]!s_dq_close("HSTECH.HI",$A1387,3)</f>
        <v>4415.8599999999997</v>
      </c>
      <c r="C1387" cm="1">
        <f t="array" aca="1" ref="C1387" ca="1">[1]!s_dq_close("HSI.HI",$A1387,3)</f>
        <v>20201.939999999999</v>
      </c>
    </row>
    <row r="1388" spans="1:3">
      <c r="A1388" s="23">
        <f t="shared" ca="1" si="21"/>
        <v>44778</v>
      </c>
      <c r="B1388" cm="1">
        <f t="array" aca="1" ref="B1388" ca="1">[1]!s_dq_close("HSTECH.HI",$A1388,3)</f>
        <v>4415.8599999999997</v>
      </c>
      <c r="C1388" cm="1">
        <f t="array" aca="1" ref="C1388" ca="1">[1]!s_dq_close("HSI.HI",$A1388,3)</f>
        <v>20201.939999999999</v>
      </c>
    </row>
    <row r="1389" spans="1:3">
      <c r="A1389" s="23">
        <f t="shared" ca="1" si="21"/>
        <v>44777</v>
      </c>
      <c r="B1389" cm="1">
        <f t="array" aca="1" ref="B1389" ca="1">[1]!s_dq_close("HSTECH.HI",$A1389,3)</f>
        <v>4381.12</v>
      </c>
      <c r="C1389" cm="1">
        <f t="array" aca="1" ref="C1389" ca="1">[1]!s_dq_close("HSI.HI",$A1389,3)</f>
        <v>20174.04</v>
      </c>
    </row>
    <row r="1390" spans="1:3">
      <c r="A1390" s="23">
        <f t="shared" ca="1" si="21"/>
        <v>44776</v>
      </c>
      <c r="B1390" cm="1">
        <f t="array" aca="1" ref="B1390" ca="1">[1]!s_dq_close("HSTECH.HI",$A1390,3)</f>
        <v>4246.13</v>
      </c>
      <c r="C1390" cm="1">
        <f t="array" aca="1" ref="C1390" ca="1">[1]!s_dq_close("HSI.HI",$A1390,3)</f>
        <v>19767.09</v>
      </c>
    </row>
    <row r="1391" spans="1:3">
      <c r="A1391" s="23">
        <f t="shared" ca="1" si="21"/>
        <v>44775</v>
      </c>
      <c r="B1391" cm="1">
        <f t="array" aca="1" ref="B1391" ca="1">[1]!s_dq_close("HSTECH.HI",$A1391,3)</f>
        <v>4194.04</v>
      </c>
      <c r="C1391" cm="1">
        <f t="array" aca="1" ref="C1391" ca="1">[1]!s_dq_close("HSI.HI",$A1391,3)</f>
        <v>19689.21</v>
      </c>
    </row>
    <row r="1392" spans="1:3">
      <c r="A1392" s="23">
        <f t="shared" ca="1" si="21"/>
        <v>44774</v>
      </c>
      <c r="B1392" cm="1">
        <f t="array" aca="1" ref="B1392" ca="1">[1]!s_dq_close("HSTECH.HI",$A1392,3)</f>
        <v>4324.03</v>
      </c>
      <c r="C1392" cm="1">
        <f t="array" aca="1" ref="C1392" ca="1">[1]!s_dq_close("HSI.HI",$A1392,3)</f>
        <v>20165.84</v>
      </c>
    </row>
    <row r="1393" spans="1:3">
      <c r="A1393" s="23">
        <f t="shared" ca="1" si="21"/>
        <v>44773</v>
      </c>
      <c r="B1393" cm="1">
        <f t="array" aca="1" ref="B1393" ca="1">[1]!s_dq_close("HSTECH.HI",$A1393,3)</f>
        <v>4331.1899999999996</v>
      </c>
      <c r="C1393" cm="1">
        <f t="array" aca="1" ref="C1393" ca="1">[1]!s_dq_close("HSI.HI",$A1393,3)</f>
        <v>20156.509999999998</v>
      </c>
    </row>
    <row r="1394" spans="1:3">
      <c r="A1394" s="23">
        <f t="shared" ca="1" si="21"/>
        <v>44772</v>
      </c>
      <c r="B1394" cm="1">
        <f t="array" aca="1" ref="B1394" ca="1">[1]!s_dq_close("HSTECH.HI",$A1394,3)</f>
        <v>4331.1899999999996</v>
      </c>
      <c r="C1394" cm="1">
        <f t="array" aca="1" ref="C1394" ca="1">[1]!s_dq_close("HSI.HI",$A1394,3)</f>
        <v>20156.509999999998</v>
      </c>
    </row>
    <row r="1395" spans="1:3">
      <c r="A1395" s="23">
        <f t="shared" ca="1" si="21"/>
        <v>44771</v>
      </c>
      <c r="B1395" cm="1">
        <f t="array" aca="1" ref="B1395" ca="1">[1]!s_dq_close("HSTECH.HI",$A1395,3)</f>
        <v>4331.1899999999996</v>
      </c>
      <c r="C1395" cm="1">
        <f t="array" aca="1" ref="C1395" ca="1">[1]!s_dq_close("HSI.HI",$A1395,3)</f>
        <v>20156.509999999998</v>
      </c>
    </row>
    <row r="1396" spans="1:3">
      <c r="A1396" s="23">
        <f t="shared" ca="1" si="21"/>
        <v>44770</v>
      </c>
      <c r="B1396" cm="1">
        <f t="array" aca="1" ref="B1396" ca="1">[1]!s_dq_close("HSTECH.HI",$A1396,3)</f>
        <v>4552.54</v>
      </c>
      <c r="C1396" cm="1">
        <f t="array" aca="1" ref="C1396" ca="1">[1]!s_dq_close("HSI.HI",$A1396,3)</f>
        <v>20622.68</v>
      </c>
    </row>
    <row r="1397" spans="1:3">
      <c r="A1397" s="23">
        <f t="shared" ca="1" si="21"/>
        <v>44769</v>
      </c>
      <c r="B1397" cm="1">
        <f t="array" aca="1" ref="B1397" ca="1">[1]!s_dq_close("HSTECH.HI",$A1397,3)</f>
        <v>4536.62</v>
      </c>
      <c r="C1397" cm="1">
        <f t="array" aca="1" ref="C1397" ca="1">[1]!s_dq_close("HSI.HI",$A1397,3)</f>
        <v>20670.04</v>
      </c>
    </row>
    <row r="1398" spans="1:3">
      <c r="A1398" s="23">
        <f t="shared" ca="1" si="21"/>
        <v>44768</v>
      </c>
      <c r="B1398" cm="1">
        <f t="array" aca="1" ref="B1398" ca="1">[1]!s_dq_close("HSTECH.HI",$A1398,3)</f>
        <v>4596.34</v>
      </c>
      <c r="C1398" cm="1">
        <f t="array" aca="1" ref="C1398" ca="1">[1]!s_dq_close("HSI.HI",$A1398,3)</f>
        <v>20905.88</v>
      </c>
    </row>
    <row r="1399" spans="1:3">
      <c r="A1399" s="23">
        <f t="shared" ca="1" si="21"/>
        <v>44767</v>
      </c>
      <c r="B1399" cm="1">
        <f t="array" aca="1" ref="B1399" ca="1">[1]!s_dq_close("HSTECH.HI",$A1399,3)</f>
        <v>4534.34</v>
      </c>
      <c r="C1399" cm="1">
        <f t="array" aca="1" ref="C1399" ca="1">[1]!s_dq_close("HSI.HI",$A1399,3)</f>
        <v>20562.939999999999</v>
      </c>
    </row>
    <row r="1400" spans="1:3">
      <c r="A1400" s="23">
        <f t="shared" ca="1" si="21"/>
        <v>44766</v>
      </c>
      <c r="B1400" cm="1">
        <f t="array" aca="1" ref="B1400" ca="1">[1]!s_dq_close("HSTECH.HI",$A1400,3)</f>
        <v>4597.6400000000003</v>
      </c>
      <c r="C1400" cm="1">
        <f t="array" aca="1" ref="C1400" ca="1">[1]!s_dq_close("HSI.HI",$A1400,3)</f>
        <v>20609.14</v>
      </c>
    </row>
    <row r="1401" spans="1:3">
      <c r="A1401" s="23">
        <f t="shared" ca="1" si="21"/>
        <v>44765</v>
      </c>
      <c r="B1401" cm="1">
        <f t="array" aca="1" ref="B1401" ca="1">[1]!s_dq_close("HSTECH.HI",$A1401,3)</f>
        <v>4597.6400000000003</v>
      </c>
      <c r="C1401" cm="1">
        <f t="array" aca="1" ref="C1401" ca="1">[1]!s_dq_close("HSI.HI",$A1401,3)</f>
        <v>20609.14</v>
      </c>
    </row>
    <row r="1402" spans="1:3">
      <c r="A1402" s="23">
        <f t="shared" ca="1" si="21"/>
        <v>44764</v>
      </c>
      <c r="B1402" cm="1">
        <f t="array" aca="1" ref="B1402" ca="1">[1]!s_dq_close("HSTECH.HI",$A1402,3)</f>
        <v>4597.6400000000003</v>
      </c>
      <c r="C1402" cm="1">
        <f t="array" aca="1" ref="C1402" ca="1">[1]!s_dq_close("HSI.HI",$A1402,3)</f>
        <v>20609.14</v>
      </c>
    </row>
    <row r="1403" spans="1:3">
      <c r="A1403" s="23">
        <f t="shared" ca="1" si="21"/>
        <v>44763</v>
      </c>
      <c r="B1403" cm="1">
        <f t="array" aca="1" ref="B1403" ca="1">[1]!s_dq_close("HSTECH.HI",$A1403,3)</f>
        <v>4582.3599999999997</v>
      </c>
      <c r="C1403" cm="1">
        <f t="array" aca="1" ref="C1403" ca="1">[1]!s_dq_close("HSI.HI",$A1403,3)</f>
        <v>20574.63</v>
      </c>
    </row>
    <row r="1404" spans="1:3">
      <c r="A1404" s="23">
        <f t="shared" ca="1" si="21"/>
        <v>44762</v>
      </c>
      <c r="B1404" cm="1">
        <f t="array" aca="1" ref="B1404" ca="1">[1]!s_dq_close("HSTECH.HI",$A1404,3)</f>
        <v>4576.8599999999997</v>
      </c>
      <c r="C1404" cm="1">
        <f t="array" aca="1" ref="C1404" ca="1">[1]!s_dq_close("HSI.HI",$A1404,3)</f>
        <v>20890.22</v>
      </c>
    </row>
    <row r="1405" spans="1:3">
      <c r="A1405" s="23">
        <f t="shared" ca="1" si="21"/>
        <v>44761</v>
      </c>
      <c r="B1405" cm="1">
        <f t="array" aca="1" ref="B1405" ca="1">[1]!s_dq_close("HSTECH.HI",$A1405,3)</f>
        <v>4506.74</v>
      </c>
      <c r="C1405" cm="1">
        <f t="array" aca="1" ref="C1405" ca="1">[1]!s_dq_close("HSI.HI",$A1405,3)</f>
        <v>20661.060000000001</v>
      </c>
    </row>
    <row r="1406" spans="1:3">
      <c r="A1406" s="23">
        <f t="shared" ca="1" si="21"/>
        <v>44760</v>
      </c>
      <c r="B1406" cm="1">
        <f t="array" aca="1" ref="B1406" ca="1">[1]!s_dq_close("HSTECH.HI",$A1406,3)</f>
        <v>4574.3999999999996</v>
      </c>
      <c r="C1406" cm="1">
        <f t="array" aca="1" ref="C1406" ca="1">[1]!s_dq_close("HSI.HI",$A1406,3)</f>
        <v>20846.18</v>
      </c>
    </row>
    <row r="1407" spans="1:3">
      <c r="A1407" s="23">
        <f t="shared" ca="1" si="21"/>
        <v>44759</v>
      </c>
      <c r="B1407" cm="1">
        <f t="array" aca="1" ref="B1407" ca="1">[1]!s_dq_close("HSTECH.HI",$A1407,3)</f>
        <v>4440.1099999999997</v>
      </c>
      <c r="C1407" cm="1">
        <f t="array" aca="1" ref="C1407" ca="1">[1]!s_dq_close("HSI.HI",$A1407,3)</f>
        <v>20297.72</v>
      </c>
    </row>
    <row r="1408" spans="1:3">
      <c r="A1408" s="23">
        <f t="shared" ca="1" si="21"/>
        <v>44758</v>
      </c>
      <c r="B1408" cm="1">
        <f t="array" aca="1" ref="B1408" ca="1">[1]!s_dq_close("HSTECH.HI",$A1408,3)</f>
        <v>4440.1099999999997</v>
      </c>
      <c r="C1408" cm="1">
        <f t="array" aca="1" ref="C1408" ca="1">[1]!s_dq_close("HSI.HI",$A1408,3)</f>
        <v>20297.72</v>
      </c>
    </row>
    <row r="1409" spans="1:3">
      <c r="A1409" s="23">
        <f t="shared" ca="1" si="21"/>
        <v>44757</v>
      </c>
      <c r="B1409" cm="1">
        <f t="array" aca="1" ref="B1409" ca="1">[1]!s_dq_close("HSTECH.HI",$A1409,3)</f>
        <v>4440.1099999999997</v>
      </c>
      <c r="C1409" cm="1">
        <f t="array" aca="1" ref="C1409" ca="1">[1]!s_dq_close("HSI.HI",$A1409,3)</f>
        <v>20297.72</v>
      </c>
    </row>
    <row r="1410" spans="1:3">
      <c r="A1410" s="23">
        <f t="shared" ca="1" si="21"/>
        <v>44756</v>
      </c>
      <c r="B1410" cm="1">
        <f t="array" aca="1" ref="B1410" ca="1">[1]!s_dq_close("HSTECH.HI",$A1410,3)</f>
        <v>4587.7299999999996</v>
      </c>
      <c r="C1410" cm="1">
        <f t="array" aca="1" ref="C1410" ca="1">[1]!s_dq_close("HSI.HI",$A1410,3)</f>
        <v>20751.21</v>
      </c>
    </row>
    <row r="1411" spans="1:3">
      <c r="A1411" s="23">
        <f t="shared" ca="1" si="21"/>
        <v>44755</v>
      </c>
      <c r="B1411" cm="1">
        <f t="array" aca="1" ref="B1411" ca="1">[1]!s_dq_close("HSTECH.HI",$A1411,3)</f>
        <v>4547.1000000000004</v>
      </c>
      <c r="C1411" cm="1">
        <f t="array" aca="1" ref="C1411" ca="1">[1]!s_dq_close("HSI.HI",$A1411,3)</f>
        <v>20797.95</v>
      </c>
    </row>
    <row r="1412" spans="1:3">
      <c r="A1412" s="23">
        <f t="shared" ref="A1412:A1443" ca="1" si="22">A1411-1</f>
        <v>44754</v>
      </c>
      <c r="B1412" cm="1">
        <f t="array" aca="1" ref="B1412" ca="1">[1]!s_dq_close("HSTECH.HI",$A1412,3)</f>
        <v>4524.1099999999997</v>
      </c>
      <c r="C1412" cm="1">
        <f t="array" aca="1" ref="C1412" ca="1">[1]!s_dq_close("HSI.HI",$A1412,3)</f>
        <v>20844.740000000002</v>
      </c>
    </row>
    <row r="1413" spans="1:3">
      <c r="A1413" s="23">
        <f t="shared" ca="1" si="22"/>
        <v>44753</v>
      </c>
      <c r="B1413" cm="1">
        <f t="array" aca="1" ref="B1413" ca="1">[1]!s_dq_close("HSTECH.HI",$A1413,3)</f>
        <v>4622.92</v>
      </c>
      <c r="C1413" cm="1">
        <f t="array" aca="1" ref="C1413" ca="1">[1]!s_dq_close("HSI.HI",$A1413,3)</f>
        <v>21124.2</v>
      </c>
    </row>
    <row r="1414" spans="1:3">
      <c r="A1414" s="23">
        <f t="shared" ca="1" si="22"/>
        <v>44752</v>
      </c>
      <c r="B1414" cm="1">
        <f t="array" aca="1" ref="B1414" ca="1">[1]!s_dq_close("HSTECH.HI",$A1414,3)</f>
        <v>4808.47</v>
      </c>
      <c r="C1414" cm="1">
        <f t="array" aca="1" ref="C1414" ca="1">[1]!s_dq_close("HSI.HI",$A1414,3)</f>
        <v>21725.78</v>
      </c>
    </row>
    <row r="1415" spans="1:3">
      <c r="A1415" s="23">
        <f t="shared" ca="1" si="22"/>
        <v>44751</v>
      </c>
      <c r="B1415" cm="1">
        <f t="array" aca="1" ref="B1415" ca="1">[1]!s_dq_close("HSTECH.HI",$A1415,3)</f>
        <v>4808.47</v>
      </c>
      <c r="C1415" cm="1">
        <f t="array" aca="1" ref="C1415" ca="1">[1]!s_dq_close("HSI.HI",$A1415,3)</f>
        <v>21725.78</v>
      </c>
    </row>
    <row r="1416" spans="1:3">
      <c r="A1416" s="23">
        <f t="shared" ca="1" si="22"/>
        <v>44750</v>
      </c>
      <c r="B1416" cm="1">
        <f t="array" aca="1" ref="B1416" ca="1">[1]!s_dq_close("HSTECH.HI",$A1416,3)</f>
        <v>4808.47</v>
      </c>
      <c r="C1416" cm="1">
        <f t="array" aca="1" ref="C1416" ca="1">[1]!s_dq_close("HSI.HI",$A1416,3)</f>
        <v>21725.78</v>
      </c>
    </row>
    <row r="1417" spans="1:3">
      <c r="A1417" s="23">
        <f t="shared" ca="1" si="22"/>
        <v>44749</v>
      </c>
      <c r="B1417" cm="1">
        <f t="array" aca="1" ref="B1417" ca="1">[1]!s_dq_close("HSTECH.HI",$A1417,3)</f>
        <v>4780.04</v>
      </c>
      <c r="C1417" cm="1">
        <f t="array" aca="1" ref="C1417" ca="1">[1]!s_dq_close("HSI.HI",$A1417,3)</f>
        <v>21643.58</v>
      </c>
    </row>
    <row r="1418" spans="1:3">
      <c r="A1418" s="23">
        <f t="shared" ca="1" si="22"/>
        <v>44748</v>
      </c>
      <c r="B1418" cm="1">
        <f t="array" aca="1" ref="B1418" ca="1">[1]!s_dq_close("HSTECH.HI",$A1418,3)</f>
        <v>4801.75</v>
      </c>
      <c r="C1418" cm="1">
        <f t="array" aca="1" ref="C1418" ca="1">[1]!s_dq_close("HSI.HI",$A1418,3)</f>
        <v>21586.66</v>
      </c>
    </row>
    <row r="1419" spans="1:3">
      <c r="A1419" s="23">
        <f t="shared" ca="1" si="22"/>
        <v>44747</v>
      </c>
      <c r="B1419" cm="1">
        <f t="array" aca="1" ref="B1419" ca="1">[1]!s_dq_close("HSTECH.HI",$A1419,3)</f>
        <v>4861.3999999999996</v>
      </c>
      <c r="C1419" cm="1">
        <f t="array" aca="1" ref="C1419" ca="1">[1]!s_dq_close("HSI.HI",$A1419,3)</f>
        <v>21853.07</v>
      </c>
    </row>
    <row r="1420" spans="1:3">
      <c r="A1420" s="23">
        <f t="shared" ca="1" si="22"/>
        <v>44746</v>
      </c>
      <c r="B1420" cm="1">
        <f t="array" aca="1" ref="B1420" ca="1">[1]!s_dq_close("HSTECH.HI",$A1420,3)</f>
        <v>4884.18</v>
      </c>
      <c r="C1420" cm="1">
        <f t="array" aca="1" ref="C1420" ca="1">[1]!s_dq_close("HSI.HI",$A1420,3)</f>
        <v>21830.35</v>
      </c>
    </row>
    <row r="1421" spans="1:3">
      <c r="A1421" s="23">
        <f t="shared" ca="1" si="22"/>
        <v>44745</v>
      </c>
      <c r="B1421" cm="1">
        <f t="array" aca="1" ref="B1421" ca="1">[1]!s_dq_close("HSTECH.HI",$A1421,3)</f>
        <v>4870.3</v>
      </c>
      <c r="C1421" cm="1">
        <f t="array" aca="1" ref="C1421" ca="1">[1]!s_dq_close("HSI.HI",$A1421,3)</f>
        <v>21859.79</v>
      </c>
    </row>
    <row r="1422" spans="1:3">
      <c r="A1422" s="23">
        <f t="shared" ca="1" si="22"/>
        <v>44744</v>
      </c>
      <c r="B1422" cm="1">
        <f t="array" aca="1" ref="B1422" ca="1">[1]!s_dq_close("HSTECH.HI",$A1422,3)</f>
        <v>4870.3</v>
      </c>
      <c r="C1422" cm="1">
        <f t="array" aca="1" ref="C1422" ca="1">[1]!s_dq_close("HSI.HI",$A1422,3)</f>
        <v>21859.79</v>
      </c>
    </row>
    <row r="1423" spans="1:3">
      <c r="A1423" s="23">
        <f t="shared" ca="1" si="22"/>
        <v>44743</v>
      </c>
      <c r="B1423" cm="1">
        <f t="array" aca="1" ref="B1423" ca="1">[1]!s_dq_close("HSTECH.HI",$A1423,3)</f>
        <v>4870.3</v>
      </c>
      <c r="C1423" cm="1">
        <f t="array" aca="1" ref="C1423" ca="1">[1]!s_dq_close("HSI.HI",$A1423,3)</f>
        <v>21859.79</v>
      </c>
    </row>
    <row r="1424" spans="1:3">
      <c r="A1424" s="23">
        <f t="shared" ca="1" si="22"/>
        <v>44742</v>
      </c>
      <c r="B1424" cm="1">
        <f t="array" aca="1" ref="B1424" ca="1">[1]!s_dq_close("HSTECH.HI",$A1424,3)</f>
        <v>4870.3</v>
      </c>
      <c r="C1424" cm="1">
        <f t="array" aca="1" ref="C1424" ca="1">[1]!s_dq_close("HSI.HI",$A1424,3)</f>
        <v>21859.79</v>
      </c>
    </row>
    <row r="1425" spans="1:3">
      <c r="A1425" s="23">
        <f t="shared" ca="1" si="22"/>
        <v>44741</v>
      </c>
      <c r="B1425" cm="1">
        <f t="array" aca="1" ref="B1425" ca="1">[1]!s_dq_close("HSTECH.HI",$A1425,3)</f>
        <v>4937.2299999999996</v>
      </c>
      <c r="C1425" cm="1">
        <f t="array" aca="1" ref="C1425" ca="1">[1]!s_dq_close("HSI.HI",$A1425,3)</f>
        <v>21996.89</v>
      </c>
    </row>
    <row r="1426" spans="1:3">
      <c r="A1426" s="23">
        <f t="shared" ca="1" si="22"/>
        <v>44740</v>
      </c>
      <c r="B1426" cm="1">
        <f t="array" aca="1" ref="B1426" ca="1">[1]!s_dq_close("HSTECH.HI",$A1426,3)</f>
        <v>5103.8900000000003</v>
      </c>
      <c r="C1426" cm="1">
        <f t="array" aca="1" ref="C1426" ca="1">[1]!s_dq_close("HSI.HI",$A1426,3)</f>
        <v>22418.97</v>
      </c>
    </row>
    <row r="1427" spans="1:3">
      <c r="A1427" s="23">
        <f t="shared" ca="1" si="22"/>
        <v>44739</v>
      </c>
      <c r="B1427" cm="1">
        <f t="array" aca="1" ref="B1427" ca="1">[1]!s_dq_close("HSTECH.HI",$A1427,3)</f>
        <v>5072.8900000000003</v>
      </c>
      <c r="C1427" cm="1">
        <f t="array" aca="1" ref="C1427" ca="1">[1]!s_dq_close("HSI.HI",$A1427,3)</f>
        <v>22229.52</v>
      </c>
    </row>
    <row r="1428" spans="1:3">
      <c r="A1428" s="23">
        <f t="shared" ca="1" si="22"/>
        <v>44738</v>
      </c>
      <c r="B1428" cm="1">
        <f t="array" aca="1" ref="B1428" ca="1">[1]!s_dq_close("HSTECH.HI",$A1428,3)</f>
        <v>4844.58</v>
      </c>
      <c r="C1428" cm="1">
        <f t="array" aca="1" ref="C1428" ca="1">[1]!s_dq_close("HSI.HI",$A1428,3)</f>
        <v>21719.06</v>
      </c>
    </row>
    <row r="1429" spans="1:3">
      <c r="A1429" s="23">
        <f t="shared" ca="1" si="22"/>
        <v>44737</v>
      </c>
      <c r="B1429" cm="1">
        <f t="array" aca="1" ref="B1429" ca="1">[1]!s_dq_close("HSTECH.HI",$A1429,3)</f>
        <v>4844.58</v>
      </c>
      <c r="C1429" cm="1">
        <f t="array" aca="1" ref="C1429" ca="1">[1]!s_dq_close("HSI.HI",$A1429,3)</f>
        <v>21719.06</v>
      </c>
    </row>
    <row r="1430" spans="1:3">
      <c r="A1430" s="23">
        <f t="shared" ca="1" si="22"/>
        <v>44736</v>
      </c>
      <c r="B1430" cm="1">
        <f t="array" aca="1" ref="B1430" ca="1">[1]!s_dq_close("HSTECH.HI",$A1430,3)</f>
        <v>4844.58</v>
      </c>
      <c r="C1430" cm="1">
        <f t="array" aca="1" ref="C1430" ca="1">[1]!s_dq_close("HSI.HI",$A1430,3)</f>
        <v>21719.06</v>
      </c>
    </row>
    <row r="1431" spans="1:3">
      <c r="A1431" s="23">
        <f t="shared" ca="1" si="22"/>
        <v>44735</v>
      </c>
      <c r="B1431" cm="1">
        <f t="array" aca="1" ref="B1431" ca="1">[1]!s_dq_close("HSTECH.HI",$A1431,3)</f>
        <v>4655.91</v>
      </c>
      <c r="C1431" cm="1">
        <f t="array" aca="1" ref="C1431" ca="1">[1]!s_dq_close("HSI.HI",$A1431,3)</f>
        <v>21273.87</v>
      </c>
    </row>
    <row r="1432" spans="1:3">
      <c r="A1432" s="23">
        <f t="shared" ca="1" si="22"/>
        <v>44734</v>
      </c>
      <c r="B1432" cm="1">
        <f t="array" aca="1" ref="B1432" ca="1">[1]!s_dq_close("HSTECH.HI",$A1432,3)</f>
        <v>4552.33</v>
      </c>
      <c r="C1432" cm="1">
        <f t="array" aca="1" ref="C1432" ca="1">[1]!s_dq_close("HSI.HI",$A1432,3)</f>
        <v>21008.34</v>
      </c>
    </row>
    <row r="1433" spans="1:3">
      <c r="A1433" s="23">
        <f t="shared" ca="1" si="22"/>
        <v>44733</v>
      </c>
      <c r="B1433" cm="1">
        <f t="array" aca="1" ref="B1433" ca="1">[1]!s_dq_close("HSTECH.HI",$A1433,3)</f>
        <v>4760.1400000000003</v>
      </c>
      <c r="C1433" cm="1">
        <f t="array" aca="1" ref="C1433" ca="1">[1]!s_dq_close("HSI.HI",$A1433,3)</f>
        <v>21559.59</v>
      </c>
    </row>
    <row r="1434" spans="1:3">
      <c r="A1434" s="23">
        <f t="shared" ca="1" si="22"/>
        <v>44732</v>
      </c>
      <c r="B1434" cm="1">
        <f t="array" aca="1" ref="B1434" ca="1">[1]!s_dq_close("HSTECH.HI",$A1434,3)</f>
        <v>4657.37</v>
      </c>
      <c r="C1434" cm="1">
        <f t="array" aca="1" ref="C1434" ca="1">[1]!s_dq_close("HSI.HI",$A1434,3)</f>
        <v>21163.91</v>
      </c>
    </row>
    <row r="1435" spans="1:3">
      <c r="A1435" s="23">
        <f t="shared" ca="1" si="22"/>
        <v>44731</v>
      </c>
      <c r="B1435" cm="1">
        <f t="array" aca="1" ref="B1435" ca="1">[1]!s_dq_close("HSTECH.HI",$A1435,3)</f>
        <v>4653.3599999999997</v>
      </c>
      <c r="C1435" cm="1">
        <f t="array" aca="1" ref="C1435" ca="1">[1]!s_dq_close("HSI.HI",$A1435,3)</f>
        <v>21075</v>
      </c>
    </row>
    <row r="1436" spans="1:3">
      <c r="A1436" s="23">
        <f t="shared" ca="1" si="22"/>
        <v>44730</v>
      </c>
      <c r="B1436" cm="1">
        <f t="array" aca="1" ref="B1436" ca="1">[1]!s_dq_close("HSTECH.HI",$A1436,3)</f>
        <v>4653.3599999999997</v>
      </c>
      <c r="C1436" cm="1">
        <f t="array" aca="1" ref="C1436" ca="1">[1]!s_dq_close("HSI.HI",$A1436,3)</f>
        <v>21075</v>
      </c>
    </row>
    <row r="1437" spans="1:3">
      <c r="A1437" s="23">
        <f t="shared" ca="1" si="22"/>
        <v>44729</v>
      </c>
      <c r="B1437" cm="1">
        <f t="array" aca="1" ref="B1437" ca="1">[1]!s_dq_close("HSTECH.HI",$A1437,3)</f>
        <v>4653.3599999999997</v>
      </c>
      <c r="C1437" cm="1">
        <f t="array" aca="1" ref="C1437" ca="1">[1]!s_dq_close("HSI.HI",$A1437,3)</f>
        <v>21075</v>
      </c>
    </row>
    <row r="1438" spans="1:3">
      <c r="A1438" s="23">
        <f t="shared" ca="1" si="22"/>
        <v>44728</v>
      </c>
      <c r="B1438" cm="1">
        <f t="array" aca="1" ref="B1438" ca="1">[1]!s_dq_close("HSTECH.HI",$A1438,3)</f>
        <v>4547.22</v>
      </c>
      <c r="C1438" cm="1">
        <f t="array" aca="1" ref="C1438" ca="1">[1]!s_dq_close("HSI.HI",$A1438,3)</f>
        <v>20845.43</v>
      </c>
    </row>
    <row r="1439" spans="1:3">
      <c r="A1439" s="23">
        <f t="shared" ca="1" si="22"/>
        <v>44727</v>
      </c>
      <c r="B1439" cm="1">
        <f t="array" aca="1" ref="B1439" ca="1">[1]!s_dq_close("HSTECH.HI",$A1439,3)</f>
        <v>4703.72</v>
      </c>
      <c r="C1439" cm="1">
        <f t="array" aca="1" ref="C1439" ca="1">[1]!s_dq_close("HSI.HI",$A1439,3)</f>
        <v>21308.21</v>
      </c>
    </row>
    <row r="1440" spans="1:3">
      <c r="A1440" s="23">
        <f t="shared" ca="1" si="22"/>
        <v>44726</v>
      </c>
      <c r="B1440" cm="1">
        <f t="array" aca="1" ref="B1440" ca="1">[1]!s_dq_close("HSTECH.HI",$A1440,3)</f>
        <v>4595.74</v>
      </c>
      <c r="C1440" cm="1">
        <f t="array" aca="1" ref="C1440" ca="1">[1]!s_dq_close("HSI.HI",$A1440,3)</f>
        <v>21067.99</v>
      </c>
    </row>
    <row r="1441" spans="1:3">
      <c r="A1441" s="23">
        <f t="shared" ca="1" si="22"/>
        <v>44725</v>
      </c>
      <c r="B1441" cm="1">
        <f t="array" aca="1" ref="B1441" ca="1">[1]!s_dq_close("HSTECH.HI",$A1441,3)</f>
        <v>4598.6499999999996</v>
      </c>
      <c r="C1441" cm="1">
        <f t="array" aca="1" ref="C1441" ca="1">[1]!s_dq_close("HSI.HI",$A1441,3)</f>
        <v>21067.58</v>
      </c>
    </row>
    <row r="1442" spans="1:3">
      <c r="A1442" s="23">
        <f t="shared" ca="1" si="22"/>
        <v>44724</v>
      </c>
      <c r="B1442" cm="1">
        <f t="array" aca="1" ref="B1442" ca="1">[1]!s_dq_close("HSTECH.HI",$A1442,3)</f>
        <v>4826.42</v>
      </c>
      <c r="C1442" cm="1">
        <f t="array" aca="1" ref="C1442" ca="1">[1]!s_dq_close("HSI.HI",$A1442,3)</f>
        <v>21806.18</v>
      </c>
    </row>
    <row r="1443" spans="1:3">
      <c r="A1443" s="23">
        <f t="shared" ca="1" si="22"/>
        <v>44723</v>
      </c>
      <c r="B1443" cm="1">
        <f t="array" aca="1" ref="B1443" ca="1">[1]!s_dq_close("HSTECH.HI",$A1443,3)</f>
        <v>4826.42</v>
      </c>
      <c r="C1443" cm="1">
        <f t="array" aca="1" ref="C1443" ca="1">[1]!s_dq_close("HSI.HI",$A1443,3)</f>
        <v>21806.18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wind_code</vt:lpstr>
      <vt:lpstr>consensus_fy1</vt:lpstr>
      <vt:lpstr>daily_price_vol</vt:lpstr>
      <vt:lpstr>static_info </vt:lpstr>
      <vt:lpstr>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</dc:creator>
  <cp:lastModifiedBy>Elsie</cp:lastModifiedBy>
  <dcterms:created xsi:type="dcterms:W3CDTF">2026-05-19T01:56:00Z</dcterms:created>
  <dcterms:modified xsi:type="dcterms:W3CDTF">2026-05-22T06:39:19Z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57C655C77D574BA942E20A6ABBEBDA10_41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