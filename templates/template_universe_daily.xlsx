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666666"/>
    </font>
    <font>
      <b val="1"/>
      <sz val="12"/>
    </font>
    <font>
      <i val="1"/>
      <color rgb="00999999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5" customWidth="1" min="8" max="8"/>
  </cols>
  <sheetData>
    <row r="1">
      <c r="A1" s="1" t="inlineStr">
        <is>
          <t>观测日期→</t>
        </is>
      </c>
      <c r="B1" s="2" t="inlineStr">
        <is>
          <t>2026-05-25</t>
        </is>
      </c>
      <c r="I1" s="3" t="inlineStr">
        <is>
          <t>字段说明 → C 收盘 / D PE_TTM / E PB_lf(最近报告期) / F 股息率% / G FY1 EPS 一致预期(180 天窗口)</t>
        </is>
      </c>
    </row>
    <row r="2">
      <c r="A2" s="4" t="inlineStr">
        <is>
          <t>代码</t>
        </is>
      </c>
      <c r="B2" s="4" t="inlineStr">
        <is>
          <t>日期</t>
        </is>
      </c>
      <c r="C2" s="4" t="inlineStr">
        <is>
          <t>收盘</t>
        </is>
      </c>
      <c r="D2" s="4" t="inlineStr">
        <is>
          <t>PE_TTM</t>
        </is>
      </c>
      <c r="E2" s="4" t="inlineStr">
        <is>
          <t>PB_LF</t>
        </is>
      </c>
      <c r="F2" s="4" t="inlineStr">
        <is>
          <t>股息率%</t>
        </is>
      </c>
      <c r="G2" s="4" t="inlineStr">
        <is>
          <t>FY1_EPS</t>
        </is>
      </c>
      <c r="H2" s="4" t="inlineStr">
        <is>
          <t>名称(参考)</t>
        </is>
      </c>
    </row>
    <row r="3">
      <c r="A3" t="inlineStr">
        <is>
          <t>000016.SH</t>
        </is>
      </c>
      <c r="B3">
        <f>$B$1</f>
        <v/>
      </c>
      <c r="C3">
        <f>[1]!s_dq_close($A3,$B3)</f>
        <v/>
      </c>
      <c r="D3">
        <f>[1]!s_val_pe_ttm($A3,$B3)</f>
        <v/>
      </c>
      <c r="E3">
        <f>[1]!s_val_pb_lf($A3,$B3)</f>
        <v/>
      </c>
      <c r="F3">
        <f>[1]!s_val_dividendyield2($A3,$B3)</f>
        <v/>
      </c>
      <c r="G3">
        <f>[1]!s_west_eps($A3,YEAR($B3),$B3,180)</f>
        <v/>
      </c>
      <c r="H3" t="inlineStr">
        <is>
          <t>上证 50 (A/index)</t>
        </is>
      </c>
    </row>
    <row r="4">
      <c r="A4" t="inlineStr">
        <is>
          <t>000300.SH</t>
        </is>
      </c>
      <c r="B4">
        <f>$B$1</f>
        <v/>
      </c>
      <c r="C4">
        <f>[1]!s_dq_close($A4,$B4)</f>
        <v/>
      </c>
      <c r="D4">
        <f>[1]!s_val_pe_ttm($A4,$B4)</f>
        <v/>
      </c>
      <c r="E4">
        <f>[1]!s_val_pb_lf($A4,$B4)</f>
        <v/>
      </c>
      <c r="F4">
        <f>[1]!s_val_dividendyield2($A4,$B4)</f>
        <v/>
      </c>
      <c r="G4">
        <f>[1]!s_west_eps($A4,YEAR($B4),$B4,180)</f>
        <v/>
      </c>
      <c r="H4" t="inlineStr">
        <is>
          <t>沪深 300 (A/index)</t>
        </is>
      </c>
    </row>
    <row r="5">
      <c r="A5" t="inlineStr">
        <is>
          <t>000852.SH</t>
        </is>
      </c>
      <c r="B5">
        <f>$B$1</f>
        <v/>
      </c>
      <c r="C5">
        <f>[1]!s_dq_close($A5,$B5)</f>
        <v/>
      </c>
      <c r="D5">
        <f>[1]!s_val_pe_ttm($A5,$B5)</f>
        <v/>
      </c>
      <c r="E5">
        <f>[1]!s_val_pb_lf($A5,$B5)</f>
        <v/>
      </c>
      <c r="F5">
        <f>[1]!s_val_dividendyield2($A5,$B5)</f>
        <v/>
      </c>
      <c r="G5">
        <f>[1]!s_west_eps($A5,YEAR($B5),$B5,180)</f>
        <v/>
      </c>
      <c r="H5" t="inlineStr">
        <is>
          <t>中证 1000 (A/index)</t>
        </is>
      </c>
    </row>
    <row r="6">
      <c r="A6" t="inlineStr">
        <is>
          <t>000905.SH</t>
        </is>
      </c>
      <c r="B6">
        <f>$B$1</f>
        <v/>
      </c>
      <c r="C6">
        <f>[1]!s_dq_close($A6,$B6)</f>
        <v/>
      </c>
      <c r="D6">
        <f>[1]!s_val_pe_ttm($A6,$B6)</f>
        <v/>
      </c>
      <c r="E6">
        <f>[1]!s_val_pb_lf($A6,$B6)</f>
        <v/>
      </c>
      <c r="F6">
        <f>[1]!s_val_dividendyield2($A6,$B6)</f>
        <v/>
      </c>
      <c r="G6">
        <f>[1]!s_west_eps($A6,YEAR($B6),$B6,180)</f>
        <v/>
      </c>
      <c r="H6" t="inlineStr">
        <is>
          <t>中证 500 (A/index)</t>
        </is>
      </c>
    </row>
    <row r="7">
      <c r="A7" t="inlineStr">
        <is>
          <t>801010.SI</t>
        </is>
      </c>
      <c r="B7">
        <f>$B$1</f>
        <v/>
      </c>
      <c r="C7">
        <f>[1]!s_dq_close($A7,$B7)</f>
        <v/>
      </c>
      <c r="D7">
        <f>[1]!s_val_pe_ttm($A7,$B7)</f>
        <v/>
      </c>
      <c r="E7">
        <f>[1]!s_val_pb_lf($A7,$B7)</f>
        <v/>
      </c>
      <c r="F7">
        <f>[1]!s_val_dividendyield2($A7,$B7)</f>
        <v/>
      </c>
      <c r="G7">
        <f>[1]!s_west_eps($A7,YEAR($B7),$B7,180)</f>
        <v/>
      </c>
      <c r="H7" t="inlineStr">
        <is>
          <t>申万 农林牧渔 (A/industry)</t>
        </is>
      </c>
    </row>
    <row r="8">
      <c r="A8" t="inlineStr">
        <is>
          <t>801030.SI</t>
        </is>
      </c>
      <c r="B8">
        <f>$B$1</f>
        <v/>
      </c>
      <c r="C8">
        <f>[1]!s_dq_close($A8,$B8)</f>
        <v/>
      </c>
      <c r="D8">
        <f>[1]!s_val_pe_ttm($A8,$B8)</f>
        <v/>
      </c>
      <c r="E8">
        <f>[1]!s_val_pb_lf($A8,$B8)</f>
        <v/>
      </c>
      <c r="F8">
        <f>[1]!s_val_dividendyield2($A8,$B8)</f>
        <v/>
      </c>
      <c r="G8">
        <f>[1]!s_west_eps($A8,YEAR($B8),$B8,180)</f>
        <v/>
      </c>
      <c r="H8" t="inlineStr">
        <is>
          <t>申万 基础化工 (A/industry)</t>
        </is>
      </c>
    </row>
    <row r="9">
      <c r="A9" t="inlineStr">
        <is>
          <t>801040.SI</t>
        </is>
      </c>
      <c r="B9">
        <f>$B$1</f>
        <v/>
      </c>
      <c r="C9">
        <f>[1]!s_dq_close($A9,$B9)</f>
        <v/>
      </c>
      <c r="D9">
        <f>[1]!s_val_pe_ttm($A9,$B9)</f>
        <v/>
      </c>
      <c r="E9">
        <f>[1]!s_val_pb_lf($A9,$B9)</f>
        <v/>
      </c>
      <c r="F9">
        <f>[1]!s_val_dividendyield2($A9,$B9)</f>
        <v/>
      </c>
      <c r="G9">
        <f>[1]!s_west_eps($A9,YEAR($B9),$B9,180)</f>
        <v/>
      </c>
      <c r="H9" t="inlineStr">
        <is>
          <t>申万 钢铁 (A/industry)</t>
        </is>
      </c>
    </row>
    <row r="10">
      <c r="A10" t="inlineStr">
        <is>
          <t>801050.SI</t>
        </is>
      </c>
      <c r="B10">
        <f>$B$1</f>
        <v/>
      </c>
      <c r="C10">
        <f>[1]!s_dq_close($A10,$B10)</f>
        <v/>
      </c>
      <c r="D10">
        <f>[1]!s_val_pe_ttm($A10,$B10)</f>
        <v/>
      </c>
      <c r="E10">
        <f>[1]!s_val_pb_lf($A10,$B10)</f>
        <v/>
      </c>
      <c r="F10">
        <f>[1]!s_val_dividendyield2($A10,$B10)</f>
        <v/>
      </c>
      <c r="G10">
        <f>[1]!s_west_eps($A10,YEAR($B10),$B10,180)</f>
        <v/>
      </c>
      <c r="H10" t="inlineStr">
        <is>
          <t>申万 有色金属 (A/industry)</t>
        </is>
      </c>
    </row>
    <row r="11">
      <c r="A11" t="inlineStr">
        <is>
          <t>801080.SI</t>
        </is>
      </c>
      <c r="B11">
        <f>$B$1</f>
        <v/>
      </c>
      <c r="C11">
        <f>[1]!s_dq_close($A11,$B11)</f>
        <v/>
      </c>
      <c r="D11">
        <f>[1]!s_val_pe_ttm($A11,$B11)</f>
        <v/>
      </c>
      <c r="E11">
        <f>[1]!s_val_pb_lf($A11,$B11)</f>
        <v/>
      </c>
      <c r="F11">
        <f>[1]!s_val_dividendyield2($A11,$B11)</f>
        <v/>
      </c>
      <c r="G11">
        <f>[1]!s_west_eps($A11,YEAR($B11),$B11,180)</f>
        <v/>
      </c>
      <c r="H11" t="inlineStr">
        <is>
          <t>申万 电子 (A/industry)</t>
        </is>
      </c>
    </row>
    <row r="12">
      <c r="A12" t="inlineStr">
        <is>
          <t>801110.SI</t>
        </is>
      </c>
      <c r="B12">
        <f>$B$1</f>
        <v/>
      </c>
      <c r="C12">
        <f>[1]!s_dq_close($A12,$B12)</f>
        <v/>
      </c>
      <c r="D12">
        <f>[1]!s_val_pe_ttm($A12,$B12)</f>
        <v/>
      </c>
      <c r="E12">
        <f>[1]!s_val_pb_lf($A12,$B12)</f>
        <v/>
      </c>
      <c r="F12">
        <f>[1]!s_val_dividendyield2($A12,$B12)</f>
        <v/>
      </c>
      <c r="G12">
        <f>[1]!s_west_eps($A12,YEAR($B12),$B12,180)</f>
        <v/>
      </c>
      <c r="H12" t="inlineStr">
        <is>
          <t>申万 家用电器 (A/industry)</t>
        </is>
      </c>
    </row>
    <row r="13">
      <c r="A13" t="inlineStr">
        <is>
          <t>801150.SI</t>
        </is>
      </c>
      <c r="B13">
        <f>$B$1</f>
        <v/>
      </c>
      <c r="C13">
        <f>[1]!s_dq_close($A13,$B13)</f>
        <v/>
      </c>
      <c r="D13">
        <f>[1]!s_val_pe_ttm($A13,$B13)</f>
        <v/>
      </c>
      <c r="E13">
        <f>[1]!s_val_pb_lf($A13,$B13)</f>
        <v/>
      </c>
      <c r="F13">
        <f>[1]!s_val_dividendyield2($A13,$B13)</f>
        <v/>
      </c>
      <c r="G13">
        <f>[1]!s_west_eps($A13,YEAR($B13),$B13,180)</f>
        <v/>
      </c>
      <c r="H13" t="inlineStr">
        <is>
          <t>申万 医药生物 (A/industry)</t>
        </is>
      </c>
    </row>
    <row r="14">
      <c r="A14" t="inlineStr">
        <is>
          <t>801160.SI</t>
        </is>
      </c>
      <c r="B14">
        <f>$B$1</f>
        <v/>
      </c>
      <c r="C14">
        <f>[1]!s_dq_close($A14,$B14)</f>
        <v/>
      </c>
      <c r="D14">
        <f>[1]!s_val_pe_ttm($A14,$B14)</f>
        <v/>
      </c>
      <c r="E14">
        <f>[1]!s_val_pb_lf($A14,$B14)</f>
        <v/>
      </c>
      <c r="F14">
        <f>[1]!s_val_dividendyield2($A14,$B14)</f>
        <v/>
      </c>
      <c r="G14">
        <f>[1]!s_west_eps($A14,YEAR($B14),$B14,180)</f>
        <v/>
      </c>
      <c r="H14" t="inlineStr">
        <is>
          <t>申万 公用事业 (A/industry)</t>
        </is>
      </c>
    </row>
    <row r="15">
      <c r="A15" t="inlineStr">
        <is>
          <t>801170.SI</t>
        </is>
      </c>
      <c r="B15">
        <f>$B$1</f>
        <v/>
      </c>
      <c r="C15">
        <f>[1]!s_dq_close($A15,$B15)</f>
        <v/>
      </c>
      <c r="D15">
        <f>[1]!s_val_pe_ttm($A15,$B15)</f>
        <v/>
      </c>
      <c r="E15">
        <f>[1]!s_val_pb_lf($A15,$B15)</f>
        <v/>
      </c>
      <c r="F15">
        <f>[1]!s_val_dividendyield2($A15,$B15)</f>
        <v/>
      </c>
      <c r="G15">
        <f>[1]!s_west_eps($A15,YEAR($B15),$B15,180)</f>
        <v/>
      </c>
      <c r="H15" t="inlineStr">
        <is>
          <t>申万 交通运输 (A/industry)</t>
        </is>
      </c>
    </row>
    <row r="16">
      <c r="A16" t="inlineStr">
        <is>
          <t>801180.SI</t>
        </is>
      </c>
      <c r="B16">
        <f>$B$1</f>
        <v/>
      </c>
      <c r="C16">
        <f>[1]!s_dq_close($A16,$B16)</f>
        <v/>
      </c>
      <c r="D16">
        <f>[1]!s_val_pe_ttm($A16,$B16)</f>
        <v/>
      </c>
      <c r="E16">
        <f>[1]!s_val_pb_lf($A16,$B16)</f>
        <v/>
      </c>
      <c r="F16">
        <f>[1]!s_val_dividendyield2($A16,$B16)</f>
        <v/>
      </c>
      <c r="G16">
        <f>[1]!s_west_eps($A16,YEAR($B16),$B16,180)</f>
        <v/>
      </c>
      <c r="H16" t="inlineStr">
        <is>
          <t>申万 房地产 (A/industry)</t>
        </is>
      </c>
    </row>
    <row r="17">
      <c r="A17" t="inlineStr">
        <is>
          <t>801200.SI</t>
        </is>
      </c>
      <c r="B17">
        <f>$B$1</f>
        <v/>
      </c>
      <c r="C17">
        <f>[1]!s_dq_close($A17,$B17)</f>
        <v/>
      </c>
      <c r="D17">
        <f>[1]!s_val_pe_ttm($A17,$B17)</f>
        <v/>
      </c>
      <c r="E17">
        <f>[1]!s_val_pb_lf($A17,$B17)</f>
        <v/>
      </c>
      <c r="F17">
        <f>[1]!s_val_dividendyield2($A17,$B17)</f>
        <v/>
      </c>
      <c r="G17">
        <f>[1]!s_west_eps($A17,YEAR($B17),$B17,180)</f>
        <v/>
      </c>
      <c r="H17" t="inlineStr">
        <is>
          <t>申万 商贸零售 (A/industry)</t>
        </is>
      </c>
    </row>
    <row r="18">
      <c r="A18" t="inlineStr">
        <is>
          <t>801780.SI</t>
        </is>
      </c>
      <c r="B18">
        <f>$B$1</f>
        <v/>
      </c>
      <c r="C18">
        <f>[1]!s_dq_close($A18,$B18)</f>
        <v/>
      </c>
      <c r="D18">
        <f>[1]!s_val_pe_ttm($A18,$B18)</f>
        <v/>
      </c>
      <c r="E18">
        <f>[1]!s_val_pb_lf($A18,$B18)</f>
        <v/>
      </c>
      <c r="F18">
        <f>[1]!s_val_dividendyield2($A18,$B18)</f>
        <v/>
      </c>
      <c r="G18">
        <f>[1]!s_west_eps($A18,YEAR($B18),$B18,180)</f>
        <v/>
      </c>
      <c r="H18" t="inlineStr">
        <is>
          <t>申万 银行 (A/industry)</t>
        </is>
      </c>
    </row>
    <row r="19">
      <c r="A19" t="inlineStr">
        <is>
          <t>HSCEI.HI</t>
        </is>
      </c>
      <c r="B19">
        <f>$B$1</f>
        <v/>
      </c>
      <c r="C19">
        <f>[1]!s_dq_close($A19,$B19)</f>
        <v/>
      </c>
      <c r="D19">
        <f>[1]!s_val_pe_ttm($A19,$B19)</f>
        <v/>
      </c>
      <c r="E19">
        <f>[1]!s_val_pb_lf($A19,$B19)</f>
        <v/>
      </c>
      <c r="F19">
        <f>[1]!s_val_dividendyield2($A19,$B19)</f>
        <v/>
      </c>
      <c r="G19">
        <f>[1]!s_west_eps($A19,YEAR($B19),$B19,180)</f>
        <v/>
      </c>
      <c r="H19" t="inlineStr">
        <is>
          <t>恒生中国企业 (HK/index)</t>
        </is>
      </c>
    </row>
    <row r="20">
      <c r="A20" t="inlineStr">
        <is>
          <t>HSCI.HI</t>
        </is>
      </c>
      <c r="B20">
        <f>$B$1</f>
        <v/>
      </c>
      <c r="C20">
        <f>[1]!s_dq_close($A20,$B20)</f>
        <v/>
      </c>
      <c r="D20">
        <f>[1]!s_val_pe_ttm($A20,$B20)</f>
        <v/>
      </c>
      <c r="E20">
        <f>[1]!s_val_pb_lf($A20,$B20)</f>
        <v/>
      </c>
      <c r="F20">
        <f>[1]!s_val_dividendyield2($A20,$B20)</f>
        <v/>
      </c>
      <c r="G20">
        <f>[1]!s_west_eps($A20,YEAR($B20),$B20,180)</f>
        <v/>
      </c>
      <c r="H20" t="inlineStr">
        <is>
          <t>恒生综合 (HK/index)</t>
        </is>
      </c>
    </row>
    <row r="21">
      <c r="A21" t="inlineStr">
        <is>
          <t>HSCNCI.HI</t>
        </is>
      </c>
      <c r="B21">
        <f>$B$1</f>
        <v/>
      </c>
      <c r="C21">
        <f>[1]!s_dq_close($A21,$B21)</f>
        <v/>
      </c>
      <c r="D21">
        <f>[1]!s_val_pe_ttm($A21,$B21)</f>
        <v/>
      </c>
      <c r="E21">
        <f>[1]!s_val_pb_lf($A21,$B21)</f>
        <v/>
      </c>
      <c r="F21">
        <f>[1]!s_val_dividendyield2($A21,$B21)</f>
        <v/>
      </c>
      <c r="G21">
        <f>[1]!s_west_eps($A21,YEAR($B21),$B21,180)</f>
        <v/>
      </c>
      <c r="H21" t="inlineStr">
        <is>
          <t>恒生消费 (HK/index)</t>
        </is>
      </c>
    </row>
    <row r="22">
      <c r="A22" t="inlineStr">
        <is>
          <t>HSI.HI</t>
        </is>
      </c>
      <c r="B22">
        <f>$B$1</f>
        <v/>
      </c>
      <c r="C22">
        <f>[1]!s_dq_close($A22,$B22)</f>
        <v/>
      </c>
      <c r="D22">
        <f>[1]!s_val_pe_ttm($A22,$B22)</f>
        <v/>
      </c>
      <c r="E22">
        <f>[1]!s_val_pb_lf($A22,$B22)</f>
        <v/>
      </c>
      <c r="F22">
        <f>[1]!s_val_dividendyield2($A22,$B22)</f>
        <v/>
      </c>
      <c r="G22">
        <f>[1]!s_west_eps($A22,YEAR($B22),$B22,180)</f>
        <v/>
      </c>
      <c r="H22" t="inlineStr">
        <is>
          <t>恒生指数 (HK/index)</t>
        </is>
      </c>
    </row>
    <row r="23">
      <c r="A23" t="inlineStr">
        <is>
          <t>HSTECH.HI</t>
        </is>
      </c>
      <c r="B23">
        <f>$B$1</f>
        <v/>
      </c>
      <c r="C23">
        <f>[1]!s_dq_close($A23,$B23)</f>
        <v/>
      </c>
      <c r="D23">
        <f>[1]!s_val_pe_ttm($A23,$B23)</f>
        <v/>
      </c>
      <c r="E23">
        <f>[1]!s_val_pb_lf($A23,$B23)</f>
        <v/>
      </c>
      <c r="F23">
        <f>[1]!s_val_dividendyield2($A23,$B23)</f>
        <v/>
      </c>
      <c r="G23">
        <f>[1]!s_west_eps($A23,YEAR($B23),$B23,180)</f>
        <v/>
      </c>
      <c r="H23" t="inlineStr">
        <is>
          <t>恒生科技 (HK/index)</t>
        </is>
      </c>
    </row>
    <row r="24">
      <c r="A24" t="inlineStr">
        <is>
          <t>HSCI10.HI</t>
        </is>
      </c>
      <c r="B24">
        <f>$B$1</f>
        <v/>
      </c>
      <c r="C24">
        <f>[1]!s_dq_close($A24,$B24)</f>
        <v/>
      </c>
      <c r="D24">
        <f>[1]!s_val_pe_ttm($A24,$B24)</f>
        <v/>
      </c>
      <c r="E24">
        <f>[1]!s_val_pb_lf($A24,$B24)</f>
        <v/>
      </c>
      <c r="F24">
        <f>[1]!s_val_dividendyield2($A24,$B24)</f>
        <v/>
      </c>
      <c r="G24">
        <f>[1]!s_west_eps($A24,YEAR($B24),$B24,180)</f>
        <v/>
      </c>
      <c r="H24" t="inlineStr">
        <is>
          <t>恒生综合 综合企业 (HK/industry)</t>
        </is>
      </c>
    </row>
    <row r="25">
      <c r="A25" t="inlineStr">
        <is>
          <t>HSCI20.HI</t>
        </is>
      </c>
      <c r="B25">
        <f>$B$1</f>
        <v/>
      </c>
      <c r="C25">
        <f>[1]!s_dq_close($A25,$B25)</f>
        <v/>
      </c>
      <c r="D25">
        <f>[1]!s_val_pe_ttm($A25,$B25)</f>
        <v/>
      </c>
      <c r="E25">
        <f>[1]!s_val_pb_lf($A25,$B25)</f>
        <v/>
      </c>
      <c r="F25">
        <f>[1]!s_val_dividendyield2($A25,$B25)</f>
        <v/>
      </c>
      <c r="G25">
        <f>[1]!s_west_eps($A25,YEAR($B25),$B25,180)</f>
        <v/>
      </c>
      <c r="H25" t="inlineStr">
        <is>
          <t>恒生综合 金融业 (HK/industry)</t>
        </is>
      </c>
    </row>
    <row r="26">
      <c r="A26" t="inlineStr">
        <is>
          <t>HSCICD.HI</t>
        </is>
      </c>
      <c r="B26">
        <f>$B$1</f>
        <v/>
      </c>
      <c r="C26">
        <f>[1]!s_dq_close($A26,$B26)</f>
        <v/>
      </c>
      <c r="D26">
        <f>[1]!s_val_pe_ttm($A26,$B26)</f>
        <v/>
      </c>
      <c r="E26">
        <f>[1]!s_val_pb_lf($A26,$B26)</f>
        <v/>
      </c>
      <c r="F26">
        <f>[1]!s_val_dividendyield2($A26,$B26)</f>
        <v/>
      </c>
      <c r="G26">
        <f>[1]!s_west_eps($A26,YEAR($B26),$B26,180)</f>
        <v/>
      </c>
      <c r="H26" t="inlineStr">
        <is>
          <t>恒生综合 非必需消费 (HK/industry)</t>
        </is>
      </c>
    </row>
    <row r="27">
      <c r="A27" t="inlineStr">
        <is>
          <t>HSCIFD.HI</t>
        </is>
      </c>
      <c r="B27">
        <f>$B$1</f>
        <v/>
      </c>
      <c r="C27">
        <f>[1]!s_dq_close($A27,$B27)</f>
        <v/>
      </c>
      <c r="D27">
        <f>[1]!s_val_pe_ttm($A27,$B27)</f>
        <v/>
      </c>
      <c r="E27">
        <f>[1]!s_val_pb_lf($A27,$B27)</f>
        <v/>
      </c>
      <c r="F27">
        <f>[1]!s_val_dividendyield2($A27,$B27)</f>
        <v/>
      </c>
      <c r="G27">
        <f>[1]!s_west_eps($A27,YEAR($B27),$B27,180)</f>
        <v/>
      </c>
      <c r="H27" t="inlineStr">
        <is>
          <t>恒生综合 必需消费 (HK/industry)</t>
        </is>
      </c>
    </row>
    <row r="28">
      <c r="A28" t="inlineStr">
        <is>
          <t>HSCIHC.HI</t>
        </is>
      </c>
      <c r="B28">
        <f>$B$1</f>
        <v/>
      </c>
      <c r="C28">
        <f>[1]!s_dq_close($A28,$B28)</f>
        <v/>
      </c>
      <c r="D28">
        <f>[1]!s_val_pe_ttm($A28,$B28)</f>
        <v/>
      </c>
      <c r="E28">
        <f>[1]!s_val_pb_lf($A28,$B28)</f>
        <v/>
      </c>
      <c r="F28">
        <f>[1]!s_val_dividendyield2($A28,$B28)</f>
        <v/>
      </c>
      <c r="G28">
        <f>[1]!s_west_eps($A28,YEAR($B28),$B28,180)</f>
        <v/>
      </c>
      <c r="H28" t="inlineStr">
        <is>
          <t>恒生综合 医疗保健业 (HK/industry)</t>
        </is>
      </c>
    </row>
    <row r="29">
      <c r="A29" t="inlineStr">
        <is>
          <t>HSCIIN.HI</t>
        </is>
      </c>
      <c r="B29">
        <f>$B$1</f>
        <v/>
      </c>
      <c r="C29">
        <f>[1]!s_dq_close($A29,$B29)</f>
        <v/>
      </c>
      <c r="D29">
        <f>[1]!s_val_pe_ttm($A29,$B29)</f>
        <v/>
      </c>
      <c r="E29">
        <f>[1]!s_val_pb_lf($A29,$B29)</f>
        <v/>
      </c>
      <c r="F29">
        <f>[1]!s_val_dividendyield2($A29,$B29)</f>
        <v/>
      </c>
      <c r="G29">
        <f>[1]!s_west_eps($A29,YEAR($B29),$B29,180)</f>
        <v/>
      </c>
      <c r="H29" t="inlineStr">
        <is>
          <t>恒生综合 工业 (HK/industry)</t>
        </is>
      </c>
    </row>
    <row r="30">
      <c r="A30" t="inlineStr">
        <is>
          <t>HSCIIT.HI</t>
        </is>
      </c>
      <c r="B30">
        <f>$B$1</f>
        <v/>
      </c>
      <c r="C30">
        <f>[1]!s_dq_close($A30,$B30)</f>
        <v/>
      </c>
      <c r="D30">
        <f>[1]!s_val_pe_ttm($A30,$B30)</f>
        <v/>
      </c>
      <c r="E30">
        <f>[1]!s_val_pb_lf($A30,$B30)</f>
        <v/>
      </c>
      <c r="F30">
        <f>[1]!s_val_dividendyield2($A30,$B30)</f>
        <v/>
      </c>
      <c r="G30">
        <f>[1]!s_west_eps($A30,YEAR($B30),$B30,180)</f>
        <v/>
      </c>
      <c r="H30" t="inlineStr">
        <is>
          <t>恒生综合 资讯科技业 (HK/industry)</t>
        </is>
      </c>
    </row>
    <row r="31">
      <c r="A31" t="inlineStr">
        <is>
          <t>HSCIMT.HI</t>
        </is>
      </c>
      <c r="B31">
        <f>$B$1</f>
        <v/>
      </c>
      <c r="C31">
        <f>[1]!s_dq_close($A31,$B31)</f>
        <v/>
      </c>
      <c r="D31">
        <f>[1]!s_val_pe_ttm($A31,$B31)</f>
        <v/>
      </c>
      <c r="E31">
        <f>[1]!s_val_pb_lf($A31,$B31)</f>
        <v/>
      </c>
      <c r="F31">
        <f>[1]!s_val_dividendyield2($A31,$B31)</f>
        <v/>
      </c>
      <c r="G31">
        <f>[1]!s_west_eps($A31,YEAR($B31),$B31,180)</f>
        <v/>
      </c>
      <c r="H31" t="inlineStr">
        <is>
          <t>恒生综合 原材料业 (HK/industry)</t>
        </is>
      </c>
    </row>
    <row r="32">
      <c r="A32" t="inlineStr">
        <is>
          <t>HSCIOG.HI</t>
        </is>
      </c>
      <c r="B32">
        <f>$B$1</f>
        <v/>
      </c>
      <c r="C32">
        <f>[1]!s_dq_close($A32,$B32)</f>
        <v/>
      </c>
      <c r="D32">
        <f>[1]!s_val_pe_ttm($A32,$B32)</f>
        <v/>
      </c>
      <c r="E32">
        <f>[1]!s_val_pb_lf($A32,$B32)</f>
        <v/>
      </c>
      <c r="F32">
        <f>[1]!s_val_dividendyield2($A32,$B32)</f>
        <v/>
      </c>
      <c r="G32">
        <f>[1]!s_west_eps($A32,YEAR($B32),$B32,180)</f>
        <v/>
      </c>
      <c r="H32" t="inlineStr">
        <is>
          <t>恒生综合 能源业 (HK/industry)</t>
        </is>
      </c>
    </row>
    <row r="33">
      <c r="A33" t="inlineStr">
        <is>
          <t>HSCIRE.HI</t>
        </is>
      </c>
      <c r="B33">
        <f>$B$1</f>
        <v/>
      </c>
      <c r="C33">
        <f>[1]!s_dq_close($A33,$B33)</f>
        <v/>
      </c>
      <c r="D33">
        <f>[1]!s_val_pe_ttm($A33,$B33)</f>
        <v/>
      </c>
      <c r="E33">
        <f>[1]!s_val_pb_lf($A33,$B33)</f>
        <v/>
      </c>
      <c r="F33">
        <f>[1]!s_val_dividendyield2($A33,$B33)</f>
        <v/>
      </c>
      <c r="G33">
        <f>[1]!s_west_eps($A33,YEAR($B33),$B33,180)</f>
        <v/>
      </c>
      <c r="H33" t="inlineStr">
        <is>
          <t>恒生综合 地产建筑业 (HK/industry)</t>
        </is>
      </c>
    </row>
    <row r="34">
      <c r="A34" t="inlineStr">
        <is>
          <t>HSCITL.HI</t>
        </is>
      </c>
      <c r="B34">
        <f>$B$1</f>
        <v/>
      </c>
      <c r="C34">
        <f>[1]!s_dq_close($A34,$B34)</f>
        <v/>
      </c>
      <c r="D34">
        <f>[1]!s_val_pe_ttm($A34,$B34)</f>
        <v/>
      </c>
      <c r="E34">
        <f>[1]!s_val_pb_lf($A34,$B34)</f>
        <v/>
      </c>
      <c r="F34">
        <f>[1]!s_val_dividendyield2($A34,$B34)</f>
        <v/>
      </c>
      <c r="G34">
        <f>[1]!s_west_eps($A34,YEAR($B34),$B34,180)</f>
        <v/>
      </c>
      <c r="H34" t="inlineStr">
        <is>
          <t>恒生综合 电讯业 (HK/industry)</t>
        </is>
      </c>
    </row>
    <row r="35">
      <c r="A35" t="inlineStr">
        <is>
          <t>HSCIUT.HI</t>
        </is>
      </c>
      <c r="B35">
        <f>$B$1</f>
        <v/>
      </c>
      <c r="C35">
        <f>[1]!s_dq_close($A35,$B35)</f>
        <v/>
      </c>
      <c r="D35">
        <f>[1]!s_val_pe_ttm($A35,$B35)</f>
        <v/>
      </c>
      <c r="E35">
        <f>[1]!s_val_pb_lf($A35,$B35)</f>
        <v/>
      </c>
      <c r="F35">
        <f>[1]!s_val_dividendyield2($A35,$B35)</f>
        <v/>
      </c>
      <c r="G35">
        <f>[1]!s_west_eps($A35,YEAR($B35),$B35,180)</f>
        <v/>
      </c>
      <c r="H35" t="inlineStr">
        <is>
          <t>恒生综合 公用事业 (HK/industry)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2026-05-25T15:27:35Z</dcterms:created>
  <dcterms:modified xmlns:dcterms="http://purl.org/dc/terms/" xmlns:xsi="http://www.w3.org/2001/XMLSchema-instance" xsi:type="dcterms:W3CDTF">2026-05-25T15:27:35Z</dcterms:modified>
</cp:coreProperties>
</file>