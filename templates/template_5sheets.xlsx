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/Desktop/tech100/templates/"/>
    </mc:Choice>
  </mc:AlternateContent>
  <xr:revisionPtr revIDLastSave="0" documentId="13_ncr:1_{758D3EB0-5A2B-BA43-B653-982769332081}" xr6:coauthVersionLast="47" xr6:coauthVersionMax="47" xr10:uidLastSave="{00000000-0000-0000-0000-000000000000}"/>
  <bookViews>
    <workbookView xWindow="1460" yWindow="1320" windowWidth="27700" windowHeight="16860" firstSheet="5" activeTab="19" xr2:uid="{EB3B4696-E4FE-DF4F-9788-A09D7D15C53D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</sheets>
  <externalReferences>
    <externalReference r:id="rId21"/>
  </externalReferences>
  <calcPr calcId="191029" iterate="1" iterateCount="2000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9" i="20" l="1"/>
  <c r="C99" i="20" a="1"/>
  <c r="B99" i="20"/>
  <c r="B99" i="20" a="1"/>
  <c r="A99" i="20"/>
  <c r="C98" i="20"/>
  <c r="C98" i="20" a="1"/>
  <c r="B98" i="20"/>
  <c r="B98" i="20" a="1"/>
  <c r="A98" i="20"/>
  <c r="C97" i="20"/>
  <c r="C97" i="20" a="1"/>
  <c r="B97" i="20"/>
  <c r="B97" i="20" a="1"/>
  <c r="A97" i="20"/>
  <c r="C96" i="20"/>
  <c r="C96" i="20" a="1"/>
  <c r="B96" i="20"/>
  <c r="B96" i="20" a="1"/>
  <c r="A96" i="20"/>
  <c r="C95" i="20"/>
  <c r="C95" i="20" a="1"/>
  <c r="B95" i="20"/>
  <c r="B95" i="20" a="1"/>
  <c r="A95" i="20"/>
  <c r="C94" i="20"/>
  <c r="C94" i="20" a="1"/>
  <c r="B94" i="20"/>
  <c r="B94" i="20" a="1"/>
  <c r="A94" i="20"/>
  <c r="C93" i="20"/>
  <c r="C93" i="20" a="1"/>
  <c r="B93" i="20"/>
  <c r="B93" i="20" a="1"/>
  <c r="A93" i="20"/>
  <c r="C92" i="20"/>
  <c r="C92" i="20" a="1"/>
  <c r="B92" i="20"/>
  <c r="B92" i="20" a="1"/>
  <c r="A92" i="20"/>
  <c r="C91" i="20"/>
  <c r="C91" i="20" a="1"/>
  <c r="B91" i="20"/>
  <c r="B91" i="20" a="1"/>
  <c r="A91" i="20"/>
  <c r="C90" i="20"/>
  <c r="C90" i="20" a="1"/>
  <c r="B90" i="20"/>
  <c r="B90" i="20" a="1"/>
  <c r="A90" i="20"/>
  <c r="C89" i="20"/>
  <c r="C89" i="20" a="1"/>
  <c r="B89" i="20"/>
  <c r="B89" i="20" a="1"/>
  <c r="A89" i="20"/>
  <c r="C88" i="20"/>
  <c r="C88" i="20" a="1"/>
  <c r="B88" i="20"/>
  <c r="B88" i="20" a="1"/>
  <c r="A88" i="20"/>
  <c r="C87" i="20"/>
  <c r="C87" i="20" a="1"/>
  <c r="B87" i="20"/>
  <c r="B87" i="20" a="1"/>
  <c r="A87" i="20"/>
  <c r="C86" i="20"/>
  <c r="C86" i="20" a="1"/>
  <c r="B86" i="20"/>
  <c r="B86" i="20" a="1"/>
  <c r="A86" i="20"/>
  <c r="C85" i="20"/>
  <c r="C85" i="20" a="1"/>
  <c r="B85" i="20"/>
  <c r="B85" i="20" a="1"/>
  <c r="A85" i="20"/>
  <c r="C84" i="20"/>
  <c r="C84" i="20" a="1"/>
  <c r="B84" i="20"/>
  <c r="B84" i="20" a="1"/>
  <c r="A84" i="20"/>
  <c r="C83" i="20"/>
  <c r="C83" i="20" a="1"/>
  <c r="B83" i="20"/>
  <c r="B83" i="20" a="1"/>
  <c r="A83" i="20"/>
  <c r="C82" i="20"/>
  <c r="C82" i="20" a="1"/>
  <c r="B82" i="20"/>
  <c r="B82" i="20" a="1"/>
  <c r="A82" i="20"/>
  <c r="C81" i="20"/>
  <c r="C81" i="20" a="1"/>
  <c r="B81" i="20"/>
  <c r="B81" i="20" a="1"/>
  <c r="A81" i="20"/>
  <c r="C80" i="20"/>
  <c r="C80" i="20" a="1"/>
  <c r="B80" i="20"/>
  <c r="B80" i="20" a="1"/>
  <c r="A80" i="20"/>
  <c r="C79" i="20"/>
  <c r="C79" i="20" a="1"/>
  <c r="B79" i="20"/>
  <c r="B79" i="20" a="1"/>
  <c r="A79" i="20"/>
  <c r="C78" i="20"/>
  <c r="C78" i="20" a="1"/>
  <c r="B78" i="20"/>
  <c r="B78" i="20" a="1"/>
  <c r="A78" i="20"/>
  <c r="C77" i="20"/>
  <c r="C77" i="20" a="1"/>
  <c r="B77" i="20"/>
  <c r="B77" i="20" a="1"/>
  <c r="A77" i="20"/>
  <c r="C76" i="20"/>
  <c r="C76" i="20" a="1"/>
  <c r="B76" i="20"/>
  <c r="B76" i="20" a="1"/>
  <c r="A76" i="20"/>
  <c r="C75" i="20"/>
  <c r="C75" i="20" a="1"/>
  <c r="B75" i="20"/>
  <c r="B75" i="20" a="1"/>
  <c r="A75" i="20"/>
  <c r="C74" i="20"/>
  <c r="C74" i="20" a="1"/>
  <c r="B74" i="20"/>
  <c r="B74" i="20" a="1"/>
  <c r="A74" i="20"/>
  <c r="C73" i="20"/>
  <c r="C73" i="20" a="1"/>
  <c r="B73" i="20"/>
  <c r="B73" i="20" a="1"/>
  <c r="A73" i="20"/>
  <c r="C72" i="20"/>
  <c r="C72" i="20" a="1"/>
  <c r="B72" i="20"/>
  <c r="B72" i="20" a="1"/>
  <c r="A72" i="20"/>
  <c r="C71" i="20"/>
  <c r="C71" i="20" a="1"/>
  <c r="B71" i="20"/>
  <c r="B71" i="20" a="1"/>
  <c r="A71" i="20"/>
  <c r="C70" i="20"/>
  <c r="C70" i="20" a="1"/>
  <c r="B70" i="20"/>
  <c r="B70" i="20" a="1"/>
  <c r="A70" i="20"/>
  <c r="C69" i="20"/>
  <c r="C69" i="20" a="1"/>
  <c r="B69" i="20"/>
  <c r="B69" i="20" a="1"/>
  <c r="A69" i="20"/>
  <c r="C68" i="20"/>
  <c r="C68" i="20" a="1"/>
  <c r="B68" i="20"/>
  <c r="B68" i="20" a="1"/>
  <c r="A68" i="20"/>
  <c r="C67" i="20"/>
  <c r="C67" i="20" a="1"/>
  <c r="B67" i="20"/>
  <c r="B67" i="20" a="1"/>
  <c r="A67" i="20"/>
  <c r="C66" i="20"/>
  <c r="C66" i="20" a="1"/>
  <c r="B66" i="20"/>
  <c r="B66" i="20" a="1"/>
  <c r="A66" i="20"/>
  <c r="C65" i="20"/>
  <c r="C65" i="20" a="1"/>
  <c r="B65" i="20"/>
  <c r="B65" i="20" a="1"/>
  <c r="A65" i="20"/>
  <c r="C64" i="20"/>
  <c r="C64" i="20" a="1"/>
  <c r="B64" i="20"/>
  <c r="B64" i="20" a="1"/>
  <c r="A64" i="20"/>
  <c r="C63" i="20"/>
  <c r="C63" i="20" a="1"/>
  <c r="B63" i="20"/>
  <c r="B63" i="20" a="1"/>
  <c r="A63" i="20"/>
  <c r="C62" i="20"/>
  <c r="C62" i="20" a="1"/>
  <c r="B62" i="20"/>
  <c r="B62" i="20" a="1"/>
  <c r="A62" i="20"/>
  <c r="C61" i="20"/>
  <c r="C61" i="20" a="1"/>
  <c r="B61" i="20"/>
  <c r="B61" i="20" a="1"/>
  <c r="A61" i="20"/>
  <c r="C60" i="20"/>
  <c r="C60" i="20" a="1"/>
  <c r="B60" i="20"/>
  <c r="B60" i="20" a="1"/>
  <c r="A60" i="20"/>
  <c r="C59" i="20"/>
  <c r="C59" i="20" a="1"/>
  <c r="B59" i="20"/>
  <c r="B59" i="20" a="1"/>
  <c r="A59" i="20"/>
  <c r="C58" i="20"/>
  <c r="C58" i="20" a="1"/>
  <c r="B58" i="20"/>
  <c r="B58" i="20" a="1"/>
  <c r="A58" i="20"/>
  <c r="C57" i="20"/>
  <c r="C57" i="20" a="1"/>
  <c r="B57" i="20"/>
  <c r="B57" i="20" a="1"/>
  <c r="A57" i="20"/>
  <c r="C56" i="20"/>
  <c r="C56" i="20" a="1"/>
  <c r="B56" i="20"/>
  <c r="B56" i="20" a="1"/>
  <c r="A56" i="20"/>
  <c r="C55" i="20"/>
  <c r="C55" i="20" a="1"/>
  <c r="B55" i="20"/>
  <c r="B55" i="20" a="1"/>
  <c r="A55" i="20"/>
  <c r="C54" i="20"/>
  <c r="C54" i="20" a="1"/>
  <c r="B54" i="20"/>
  <c r="B54" i="20" a="1"/>
  <c r="A54" i="20"/>
  <c r="C53" i="20"/>
  <c r="C53" i="20" a="1"/>
  <c r="B53" i="20"/>
  <c r="B53" i="20" a="1"/>
  <c r="A53" i="20"/>
  <c r="C52" i="20"/>
  <c r="C52" i="20" a="1"/>
  <c r="B52" i="20"/>
  <c r="B52" i="20" a="1"/>
  <c r="A52" i="20"/>
  <c r="C51" i="20"/>
  <c r="C51" i="20" a="1"/>
  <c r="B51" i="20"/>
  <c r="B51" i="20" a="1"/>
  <c r="A51" i="20"/>
  <c r="C50" i="20"/>
  <c r="C50" i="20" a="1"/>
  <c r="B50" i="20"/>
  <c r="B50" i="20" a="1"/>
  <c r="A50" i="20"/>
  <c r="C49" i="20"/>
  <c r="C49" i="20" a="1"/>
  <c r="B49" i="20"/>
  <c r="B49" i="20" a="1"/>
  <c r="A49" i="20"/>
  <c r="C48" i="20"/>
  <c r="C48" i="20" a="1"/>
  <c r="B48" i="20"/>
  <c r="B48" i="20" a="1"/>
  <c r="A48" i="20"/>
  <c r="C47" i="20"/>
  <c r="C47" i="20" a="1"/>
  <c r="B47" i="20"/>
  <c r="B47" i="20" a="1"/>
  <c r="A47" i="20"/>
  <c r="C46" i="20"/>
  <c r="C46" i="20" a="1"/>
  <c r="B46" i="20"/>
  <c r="B46" i="20" a="1"/>
  <c r="A46" i="20"/>
  <c r="C45" i="20"/>
  <c r="C45" i="20" a="1"/>
  <c r="B45" i="20"/>
  <c r="B45" i="20" a="1"/>
  <c r="A45" i="20"/>
  <c r="C44" i="20"/>
  <c r="C44" i="20" a="1"/>
  <c r="B44" i="20"/>
  <c r="B44" i="20" a="1"/>
  <c r="A44" i="20"/>
  <c r="C43" i="20"/>
  <c r="C43" i="20" a="1"/>
  <c r="B43" i="20"/>
  <c r="B43" i="20" a="1"/>
  <c r="A43" i="20"/>
  <c r="C42" i="20"/>
  <c r="C42" i="20" a="1"/>
  <c r="B42" i="20"/>
  <c r="B42" i="20" a="1"/>
  <c r="A42" i="20"/>
  <c r="C41" i="20"/>
  <c r="C41" i="20" a="1"/>
  <c r="B41" i="20"/>
  <c r="B41" i="20" a="1"/>
  <c r="A41" i="20"/>
  <c r="C40" i="20"/>
  <c r="C40" i="20" a="1"/>
  <c r="B40" i="20"/>
  <c r="B40" i="20" a="1"/>
  <c r="A40" i="20"/>
  <c r="C39" i="20"/>
  <c r="C39" i="20" a="1"/>
  <c r="B39" i="20"/>
  <c r="B39" i="20" a="1"/>
  <c r="A39" i="20"/>
  <c r="C38" i="20"/>
  <c r="C38" i="20" a="1"/>
  <c r="B38" i="20"/>
  <c r="B38" i="20" a="1"/>
  <c r="A38" i="20"/>
  <c r="C37" i="20"/>
  <c r="C37" i="20" a="1"/>
  <c r="B37" i="20"/>
  <c r="B37" i="20" a="1"/>
  <c r="A37" i="20"/>
  <c r="C36" i="20"/>
  <c r="C36" i="20" a="1"/>
  <c r="B36" i="20"/>
  <c r="B36" i="20" a="1"/>
  <c r="A36" i="20"/>
  <c r="C35" i="20"/>
  <c r="C35" i="20" a="1"/>
  <c r="B35" i="20"/>
  <c r="B35" i="20" a="1"/>
  <c r="A35" i="20"/>
  <c r="C34" i="20"/>
  <c r="C34" i="20" a="1"/>
  <c r="B34" i="20"/>
  <c r="B34" i="20" a="1"/>
  <c r="A34" i="20"/>
  <c r="C33" i="20"/>
  <c r="C33" i="20" a="1"/>
  <c r="B33" i="20"/>
  <c r="B33" i="20" a="1"/>
  <c r="A33" i="20"/>
  <c r="C32" i="20"/>
  <c r="C32" i="20" a="1"/>
  <c r="B32" i="20"/>
  <c r="B32" i="20" a="1"/>
  <c r="A32" i="20"/>
  <c r="C31" i="20"/>
  <c r="C31" i="20" a="1"/>
  <c r="B31" i="20"/>
  <c r="B31" i="20" a="1"/>
  <c r="A31" i="20"/>
  <c r="C30" i="20"/>
  <c r="C30" i="20" a="1"/>
  <c r="B30" i="20"/>
  <c r="B30" i="20" a="1"/>
  <c r="A30" i="20"/>
  <c r="C29" i="20"/>
  <c r="C29" i="20" a="1"/>
  <c r="B29" i="20"/>
  <c r="B29" i="20" a="1"/>
  <c r="A29" i="20"/>
  <c r="C28" i="20"/>
  <c r="C28" i="20" a="1"/>
  <c r="B28" i="20"/>
  <c r="B28" i="20" a="1"/>
  <c r="A28" i="20"/>
  <c r="C27" i="20"/>
  <c r="C27" i="20" a="1"/>
  <c r="B27" i="20"/>
  <c r="B27" i="20" a="1"/>
  <c r="A27" i="20"/>
  <c r="C26" i="20"/>
  <c r="C26" i="20" a="1"/>
  <c r="B26" i="20"/>
  <c r="B26" i="20" a="1"/>
  <c r="A26" i="20"/>
  <c r="C25" i="20"/>
  <c r="C25" i="20" a="1"/>
  <c r="B25" i="20"/>
  <c r="B25" i="20" a="1"/>
  <c r="A25" i="20"/>
  <c r="C24" i="20"/>
  <c r="C24" i="20" a="1"/>
  <c r="B24" i="20"/>
  <c r="B24" i="20" a="1"/>
  <c r="A24" i="20"/>
  <c r="C23" i="20"/>
  <c r="C23" i="20" a="1"/>
  <c r="B23" i="20"/>
  <c r="B23" i="20" a="1"/>
  <c r="A23" i="20"/>
  <c r="C22" i="20"/>
  <c r="C22" i="20" a="1"/>
  <c r="B22" i="20"/>
  <c r="B22" i="20" a="1"/>
  <c r="A22" i="20"/>
  <c r="C21" i="20"/>
  <c r="C21" i="20" a="1"/>
  <c r="B21" i="20"/>
  <c r="B21" i="20" a="1"/>
  <c r="A21" i="20"/>
  <c r="C20" i="20"/>
  <c r="C20" i="20" a="1"/>
  <c r="B20" i="20"/>
  <c r="B20" i="20" a="1"/>
  <c r="A20" i="20"/>
  <c r="C19" i="20"/>
  <c r="C19" i="20" a="1"/>
  <c r="B19" i="20"/>
  <c r="B19" i="20" a="1"/>
  <c r="A19" i="20"/>
  <c r="C18" i="20"/>
  <c r="C18" i="20" a="1"/>
  <c r="B18" i="20"/>
  <c r="B18" i="20" a="1"/>
  <c r="A18" i="20"/>
  <c r="C17" i="20"/>
  <c r="C17" i="20" a="1"/>
  <c r="B17" i="20"/>
  <c r="B17" i="20" a="1"/>
  <c r="A17" i="20"/>
  <c r="C16" i="20"/>
  <c r="C16" i="20" a="1"/>
  <c r="B16" i="20"/>
  <c r="B16" i="20" a="1"/>
  <c r="A16" i="20"/>
  <c r="C15" i="20"/>
  <c r="C15" i="20" a="1"/>
  <c r="B15" i="20"/>
  <c r="B15" i="20" a="1"/>
  <c r="A15" i="20"/>
  <c r="C14" i="20"/>
  <c r="C14" i="20" a="1"/>
  <c r="B14" i="20"/>
  <c r="B14" i="20" a="1"/>
  <c r="A14" i="20"/>
  <c r="C13" i="20"/>
  <c r="C13" i="20" a="1"/>
  <c r="B13" i="20"/>
  <c r="B13" i="20" a="1"/>
  <c r="A13" i="20"/>
  <c r="C12" i="20"/>
  <c r="C12" i="20" a="1"/>
  <c r="B12" i="20"/>
  <c r="B12" i="20" a="1"/>
  <c r="A12" i="20"/>
  <c r="C11" i="20"/>
  <c r="C11" i="20" a="1"/>
  <c r="B11" i="20"/>
  <c r="B11" i="20" a="1"/>
  <c r="A11" i="20"/>
  <c r="C8" i="20"/>
  <c r="B8" i="20"/>
  <c r="C7" i="20"/>
  <c r="B7" i="20"/>
  <c r="C6" i="20"/>
  <c r="B6" i="20"/>
  <c r="C5" i="20"/>
  <c r="B5" i="20"/>
  <c r="C4" i="20"/>
  <c r="B4" i="20"/>
  <c r="C3" i="20"/>
  <c r="B3" i="20"/>
  <c r="D1" i="20"/>
  <c r="A1" i="20"/>
  <c r="C99" i="19"/>
  <c r="C99" i="19" a="1"/>
  <c r="B99" i="19"/>
  <c r="B99" i="19" a="1"/>
  <c r="A99" i="19"/>
  <c r="C98" i="19"/>
  <c r="C98" i="19" a="1"/>
  <c r="B98" i="19"/>
  <c r="B98" i="19" a="1"/>
  <c r="A98" i="19"/>
  <c r="C97" i="19"/>
  <c r="C97" i="19" a="1"/>
  <c r="B97" i="19"/>
  <c r="B97" i="19" a="1"/>
  <c r="A97" i="19"/>
  <c r="C96" i="19"/>
  <c r="C96" i="19" a="1"/>
  <c r="B96" i="19"/>
  <c r="B96" i="19" a="1"/>
  <c r="A96" i="19"/>
  <c r="C95" i="19"/>
  <c r="C95" i="19" a="1"/>
  <c r="B95" i="19"/>
  <c r="B95" i="19" a="1"/>
  <c r="A95" i="19"/>
  <c r="C94" i="19"/>
  <c r="C94" i="19" a="1"/>
  <c r="B94" i="19"/>
  <c r="B94" i="19" a="1"/>
  <c r="A94" i="19"/>
  <c r="C93" i="19"/>
  <c r="C93" i="19" a="1"/>
  <c r="B93" i="19"/>
  <c r="B93" i="19" a="1"/>
  <c r="A93" i="19"/>
  <c r="C92" i="19"/>
  <c r="C92" i="19" a="1"/>
  <c r="B92" i="19"/>
  <c r="B92" i="19" a="1"/>
  <c r="A92" i="19"/>
  <c r="C91" i="19"/>
  <c r="C91" i="19" a="1"/>
  <c r="B91" i="19"/>
  <c r="B91" i="19" a="1"/>
  <c r="A91" i="19"/>
  <c r="C90" i="19"/>
  <c r="C90" i="19" a="1"/>
  <c r="B90" i="19"/>
  <c r="B90" i="19" a="1"/>
  <c r="A90" i="19"/>
  <c r="C89" i="19"/>
  <c r="C89" i="19" a="1"/>
  <c r="B89" i="19"/>
  <c r="B89" i="19" a="1"/>
  <c r="A89" i="19"/>
  <c r="C88" i="19"/>
  <c r="C88" i="19" a="1"/>
  <c r="B88" i="19"/>
  <c r="B88" i="19" a="1"/>
  <c r="A88" i="19"/>
  <c r="C87" i="19"/>
  <c r="C87" i="19" a="1"/>
  <c r="B87" i="19"/>
  <c r="B87" i="19" a="1"/>
  <c r="A87" i="19"/>
  <c r="C86" i="19"/>
  <c r="C86" i="19" a="1"/>
  <c r="B86" i="19"/>
  <c r="B86" i="19" a="1"/>
  <c r="A86" i="19"/>
  <c r="C85" i="19"/>
  <c r="C85" i="19" a="1"/>
  <c r="B85" i="19"/>
  <c r="B85" i="19" a="1"/>
  <c r="A85" i="19"/>
  <c r="C84" i="19"/>
  <c r="C84" i="19" a="1"/>
  <c r="B84" i="19"/>
  <c r="B84" i="19" a="1"/>
  <c r="A84" i="19"/>
  <c r="C83" i="19"/>
  <c r="C83" i="19" a="1"/>
  <c r="B83" i="19"/>
  <c r="B83" i="19" a="1"/>
  <c r="A83" i="19"/>
  <c r="C82" i="19"/>
  <c r="C82" i="19" a="1"/>
  <c r="B82" i="19"/>
  <c r="B82" i="19" a="1"/>
  <c r="A82" i="19"/>
  <c r="C81" i="19"/>
  <c r="C81" i="19" a="1"/>
  <c r="B81" i="19"/>
  <c r="B81" i="19" a="1"/>
  <c r="A81" i="19"/>
  <c r="C80" i="19"/>
  <c r="C80" i="19" a="1"/>
  <c r="B80" i="19"/>
  <c r="B80" i="19" a="1"/>
  <c r="A80" i="19"/>
  <c r="C79" i="19"/>
  <c r="C79" i="19" a="1"/>
  <c r="B79" i="19"/>
  <c r="B79" i="19" a="1"/>
  <c r="A79" i="19"/>
  <c r="C78" i="19"/>
  <c r="C78" i="19" a="1"/>
  <c r="B78" i="19"/>
  <c r="B78" i="19" a="1"/>
  <c r="A78" i="19"/>
  <c r="C77" i="19"/>
  <c r="C77" i="19" a="1"/>
  <c r="B77" i="19"/>
  <c r="B77" i="19" a="1"/>
  <c r="A77" i="19"/>
  <c r="C76" i="19"/>
  <c r="C76" i="19" a="1"/>
  <c r="B76" i="19"/>
  <c r="B76" i="19" a="1"/>
  <c r="A76" i="19"/>
  <c r="C75" i="19"/>
  <c r="C75" i="19" a="1"/>
  <c r="B75" i="19"/>
  <c r="B75" i="19" a="1"/>
  <c r="A75" i="19"/>
  <c r="C74" i="19"/>
  <c r="C74" i="19" a="1"/>
  <c r="B74" i="19"/>
  <c r="B74" i="19" a="1"/>
  <c r="A74" i="19"/>
  <c r="C73" i="19"/>
  <c r="C73" i="19" a="1"/>
  <c r="B73" i="19"/>
  <c r="B73" i="19" a="1"/>
  <c r="A73" i="19"/>
  <c r="C72" i="19"/>
  <c r="C72" i="19" a="1"/>
  <c r="B72" i="19"/>
  <c r="B72" i="19" a="1"/>
  <c r="A72" i="19"/>
  <c r="C71" i="19"/>
  <c r="C71" i="19" a="1"/>
  <c r="B71" i="19"/>
  <c r="B71" i="19" a="1"/>
  <c r="A71" i="19"/>
  <c r="C70" i="19"/>
  <c r="C70" i="19" a="1"/>
  <c r="B70" i="19"/>
  <c r="B70" i="19" a="1"/>
  <c r="A70" i="19"/>
  <c r="C69" i="19"/>
  <c r="C69" i="19" a="1"/>
  <c r="B69" i="19"/>
  <c r="B69" i="19" a="1"/>
  <c r="A69" i="19"/>
  <c r="C68" i="19"/>
  <c r="C68" i="19" a="1"/>
  <c r="B68" i="19"/>
  <c r="B68" i="19" a="1"/>
  <c r="A68" i="19"/>
  <c r="C67" i="19"/>
  <c r="C67" i="19" a="1"/>
  <c r="B67" i="19"/>
  <c r="B67" i="19" a="1"/>
  <c r="A67" i="19"/>
  <c r="C66" i="19"/>
  <c r="C66" i="19" a="1"/>
  <c r="B66" i="19"/>
  <c r="B66" i="19" a="1"/>
  <c r="A66" i="19"/>
  <c r="C65" i="19"/>
  <c r="C65" i="19" a="1"/>
  <c r="B65" i="19"/>
  <c r="B65" i="19" a="1"/>
  <c r="A65" i="19"/>
  <c r="C64" i="19"/>
  <c r="C64" i="19" a="1"/>
  <c r="B64" i="19"/>
  <c r="B64" i="19" a="1"/>
  <c r="A64" i="19"/>
  <c r="C63" i="19"/>
  <c r="C63" i="19" a="1"/>
  <c r="B63" i="19"/>
  <c r="B63" i="19" a="1"/>
  <c r="A63" i="19"/>
  <c r="C62" i="19"/>
  <c r="C62" i="19" a="1"/>
  <c r="B62" i="19"/>
  <c r="B62" i="19" a="1"/>
  <c r="A62" i="19"/>
  <c r="C61" i="19"/>
  <c r="C61" i="19" a="1"/>
  <c r="B61" i="19"/>
  <c r="B61" i="19" a="1"/>
  <c r="A61" i="19"/>
  <c r="C60" i="19"/>
  <c r="C60" i="19" a="1"/>
  <c r="B60" i="19"/>
  <c r="B60" i="19" a="1"/>
  <c r="A60" i="19"/>
  <c r="C59" i="19"/>
  <c r="C59" i="19" a="1"/>
  <c r="B59" i="19"/>
  <c r="B59" i="19" a="1"/>
  <c r="A59" i="19"/>
  <c r="C58" i="19"/>
  <c r="C58" i="19" a="1"/>
  <c r="B58" i="19"/>
  <c r="B58" i="19" a="1"/>
  <c r="A58" i="19"/>
  <c r="C57" i="19"/>
  <c r="C57" i="19" a="1"/>
  <c r="B57" i="19"/>
  <c r="B57" i="19" a="1"/>
  <c r="A57" i="19"/>
  <c r="C56" i="19"/>
  <c r="C56" i="19" a="1"/>
  <c r="B56" i="19"/>
  <c r="B56" i="19" a="1"/>
  <c r="A56" i="19"/>
  <c r="C55" i="19"/>
  <c r="C55" i="19" a="1"/>
  <c r="B55" i="19"/>
  <c r="B55" i="19" a="1"/>
  <c r="A55" i="19"/>
  <c r="C54" i="19"/>
  <c r="C54" i="19" a="1"/>
  <c r="B54" i="19"/>
  <c r="B54" i="19" a="1"/>
  <c r="A54" i="19"/>
  <c r="C53" i="19"/>
  <c r="C53" i="19" a="1"/>
  <c r="B53" i="19"/>
  <c r="B53" i="19" a="1"/>
  <c r="A53" i="19"/>
  <c r="C52" i="19"/>
  <c r="C52" i="19" a="1"/>
  <c r="B52" i="19"/>
  <c r="B52" i="19" a="1"/>
  <c r="A52" i="19"/>
  <c r="C51" i="19"/>
  <c r="C51" i="19" a="1"/>
  <c r="B51" i="19"/>
  <c r="B51" i="19" a="1"/>
  <c r="A51" i="19"/>
  <c r="C50" i="19"/>
  <c r="C50" i="19" a="1"/>
  <c r="B50" i="19"/>
  <c r="B50" i="19" a="1"/>
  <c r="A50" i="19"/>
  <c r="C49" i="19"/>
  <c r="C49" i="19" a="1"/>
  <c r="B49" i="19"/>
  <c r="B49" i="19" a="1"/>
  <c r="A49" i="19"/>
  <c r="C48" i="19"/>
  <c r="C48" i="19" a="1"/>
  <c r="B48" i="19"/>
  <c r="B48" i="19" a="1"/>
  <c r="A48" i="19"/>
  <c r="C47" i="19"/>
  <c r="C47" i="19" a="1"/>
  <c r="B47" i="19"/>
  <c r="B47" i="19" a="1"/>
  <c r="A47" i="19"/>
  <c r="C46" i="19"/>
  <c r="C46" i="19" a="1"/>
  <c r="B46" i="19"/>
  <c r="B46" i="19" a="1"/>
  <c r="A46" i="19"/>
  <c r="C45" i="19"/>
  <c r="C45" i="19" a="1"/>
  <c r="B45" i="19"/>
  <c r="B45" i="19" a="1"/>
  <c r="A45" i="19"/>
  <c r="C44" i="19"/>
  <c r="C44" i="19" a="1"/>
  <c r="B44" i="19"/>
  <c r="B44" i="19" a="1"/>
  <c r="A44" i="19"/>
  <c r="C43" i="19"/>
  <c r="C43" i="19" a="1"/>
  <c r="B43" i="19"/>
  <c r="B43" i="19" a="1"/>
  <c r="A43" i="19"/>
  <c r="C42" i="19"/>
  <c r="C42" i="19" a="1"/>
  <c r="B42" i="19"/>
  <c r="B42" i="19" a="1"/>
  <c r="A42" i="19"/>
  <c r="C41" i="19"/>
  <c r="C41" i="19" a="1"/>
  <c r="B41" i="19"/>
  <c r="B41" i="19" a="1"/>
  <c r="A41" i="19"/>
  <c r="C40" i="19"/>
  <c r="C40" i="19" a="1"/>
  <c r="B40" i="19"/>
  <c r="B40" i="19" a="1"/>
  <c r="A40" i="19"/>
  <c r="C39" i="19"/>
  <c r="C39" i="19" a="1"/>
  <c r="B39" i="19"/>
  <c r="B39" i="19" a="1"/>
  <c r="A39" i="19"/>
  <c r="C38" i="19"/>
  <c r="C38" i="19" a="1"/>
  <c r="B38" i="19"/>
  <c r="B38" i="19" a="1"/>
  <c r="A38" i="19"/>
  <c r="C37" i="19"/>
  <c r="C37" i="19" a="1"/>
  <c r="B37" i="19"/>
  <c r="B37" i="19" a="1"/>
  <c r="A37" i="19"/>
  <c r="C36" i="19"/>
  <c r="C36" i="19" a="1"/>
  <c r="B36" i="19"/>
  <c r="B36" i="19" a="1"/>
  <c r="A36" i="19"/>
  <c r="C35" i="19"/>
  <c r="C35" i="19" a="1"/>
  <c r="B35" i="19"/>
  <c r="B35" i="19" a="1"/>
  <c r="A35" i="19"/>
  <c r="C34" i="19"/>
  <c r="C34" i="19" a="1"/>
  <c r="B34" i="19"/>
  <c r="B34" i="19" a="1"/>
  <c r="A34" i="19"/>
  <c r="C33" i="19"/>
  <c r="C33" i="19" a="1"/>
  <c r="B33" i="19"/>
  <c r="B33" i="19" a="1"/>
  <c r="A33" i="19"/>
  <c r="C32" i="19"/>
  <c r="C32" i="19" a="1"/>
  <c r="B32" i="19"/>
  <c r="B32" i="19" a="1"/>
  <c r="A32" i="19"/>
  <c r="C31" i="19"/>
  <c r="C31" i="19" a="1"/>
  <c r="B31" i="19"/>
  <c r="B31" i="19" a="1"/>
  <c r="A31" i="19"/>
  <c r="C30" i="19"/>
  <c r="C30" i="19" a="1"/>
  <c r="B30" i="19"/>
  <c r="B30" i="19" a="1"/>
  <c r="A30" i="19"/>
  <c r="C29" i="19"/>
  <c r="C29" i="19" a="1"/>
  <c r="B29" i="19"/>
  <c r="B29" i="19" a="1"/>
  <c r="A29" i="19"/>
  <c r="C28" i="19"/>
  <c r="C28" i="19" a="1"/>
  <c r="B28" i="19"/>
  <c r="B28" i="19" a="1"/>
  <c r="A28" i="19"/>
  <c r="C27" i="19"/>
  <c r="C27" i="19" a="1"/>
  <c r="B27" i="19"/>
  <c r="B27" i="19" a="1"/>
  <c r="A27" i="19"/>
  <c r="C26" i="19"/>
  <c r="C26" i="19" a="1"/>
  <c r="B26" i="19"/>
  <c r="B26" i="19" a="1"/>
  <c r="A26" i="19"/>
  <c r="C25" i="19"/>
  <c r="C25" i="19" a="1"/>
  <c r="B25" i="19"/>
  <c r="B25" i="19" a="1"/>
  <c r="A25" i="19"/>
  <c r="C24" i="19"/>
  <c r="C24" i="19" a="1"/>
  <c r="B24" i="19"/>
  <c r="B24" i="19" a="1"/>
  <c r="A24" i="19"/>
  <c r="C23" i="19"/>
  <c r="C23" i="19" a="1"/>
  <c r="B23" i="19"/>
  <c r="B23" i="19" a="1"/>
  <c r="A23" i="19"/>
  <c r="C22" i="19"/>
  <c r="C22" i="19" a="1"/>
  <c r="B22" i="19"/>
  <c r="B22" i="19" a="1"/>
  <c r="A22" i="19"/>
  <c r="C21" i="19"/>
  <c r="C21" i="19" a="1"/>
  <c r="B21" i="19"/>
  <c r="B21" i="19" a="1"/>
  <c r="A21" i="19"/>
  <c r="C20" i="19"/>
  <c r="C20" i="19" a="1"/>
  <c r="B20" i="19"/>
  <c r="B20" i="19" a="1"/>
  <c r="A20" i="19"/>
  <c r="C19" i="19"/>
  <c r="C19" i="19" a="1"/>
  <c r="B19" i="19"/>
  <c r="B19" i="19" a="1"/>
  <c r="A19" i="19"/>
  <c r="C18" i="19"/>
  <c r="C18" i="19" a="1"/>
  <c r="B18" i="19"/>
  <c r="B18" i="19" a="1"/>
  <c r="A18" i="19"/>
  <c r="C17" i="19"/>
  <c r="C17" i="19" a="1"/>
  <c r="B17" i="19"/>
  <c r="B17" i="19" a="1"/>
  <c r="A17" i="19"/>
  <c r="C16" i="19"/>
  <c r="C16" i="19" a="1"/>
  <c r="B16" i="19"/>
  <c r="B16" i="19" a="1"/>
  <c r="A16" i="19"/>
  <c r="C15" i="19"/>
  <c r="C15" i="19" a="1"/>
  <c r="B15" i="19"/>
  <c r="B15" i="19" a="1"/>
  <c r="A15" i="19"/>
  <c r="C14" i="19"/>
  <c r="C14" i="19" a="1"/>
  <c r="B14" i="19"/>
  <c r="B14" i="19" a="1"/>
  <c r="A14" i="19"/>
  <c r="C13" i="19"/>
  <c r="C13" i="19" a="1"/>
  <c r="B13" i="19"/>
  <c r="B13" i="19" a="1"/>
  <c r="A13" i="19"/>
  <c r="C12" i="19"/>
  <c r="C12" i="19" a="1"/>
  <c r="B12" i="19"/>
  <c r="B12" i="19" a="1"/>
  <c r="A12" i="19"/>
  <c r="C11" i="19"/>
  <c r="C11" i="19" a="1"/>
  <c r="B11" i="19"/>
  <c r="B11" i="19" a="1"/>
  <c r="A11" i="19"/>
  <c r="C8" i="19"/>
  <c r="B8" i="19"/>
  <c r="C7" i="19"/>
  <c r="B7" i="19"/>
  <c r="C6" i="19"/>
  <c r="B6" i="19"/>
  <c r="C5" i="19"/>
  <c r="B5" i="19"/>
  <c r="C4" i="19"/>
  <c r="B4" i="19"/>
  <c r="C3" i="19"/>
  <c r="B3" i="19"/>
  <c r="D1" i="19"/>
  <c r="A1" i="19"/>
  <c r="C99" i="18"/>
  <c r="C99" i="18" a="1"/>
  <c r="B99" i="18"/>
  <c r="B99" i="18" a="1"/>
  <c r="A99" i="18"/>
  <c r="C98" i="18"/>
  <c r="C98" i="18" a="1"/>
  <c r="B98" i="18"/>
  <c r="B98" i="18" a="1"/>
  <c r="A98" i="18"/>
  <c r="C97" i="18"/>
  <c r="C97" i="18" a="1"/>
  <c r="B97" i="18"/>
  <c r="B97" i="18" a="1"/>
  <c r="A97" i="18"/>
  <c r="C96" i="18"/>
  <c r="C96" i="18" a="1"/>
  <c r="B96" i="18"/>
  <c r="B96" i="18" a="1"/>
  <c r="A96" i="18"/>
  <c r="C95" i="18"/>
  <c r="C95" i="18" a="1"/>
  <c r="B95" i="18"/>
  <c r="B95" i="18" a="1"/>
  <c r="A95" i="18"/>
  <c r="C94" i="18"/>
  <c r="C94" i="18" a="1"/>
  <c r="B94" i="18"/>
  <c r="B94" i="18" a="1"/>
  <c r="A94" i="18"/>
  <c r="C93" i="18"/>
  <c r="C93" i="18" a="1"/>
  <c r="B93" i="18"/>
  <c r="B93" i="18" a="1"/>
  <c r="A93" i="18"/>
  <c r="C92" i="18"/>
  <c r="C92" i="18" a="1"/>
  <c r="B92" i="18"/>
  <c r="B92" i="18" a="1"/>
  <c r="A92" i="18"/>
  <c r="C91" i="18"/>
  <c r="C91" i="18" a="1"/>
  <c r="B91" i="18"/>
  <c r="B91" i="18" a="1"/>
  <c r="A91" i="18"/>
  <c r="C90" i="18"/>
  <c r="C90" i="18" a="1"/>
  <c r="B90" i="18"/>
  <c r="B90" i="18" a="1"/>
  <c r="A90" i="18"/>
  <c r="C89" i="18"/>
  <c r="C89" i="18" a="1"/>
  <c r="B89" i="18"/>
  <c r="B89" i="18" a="1"/>
  <c r="A89" i="18"/>
  <c r="C88" i="18"/>
  <c r="C88" i="18" a="1"/>
  <c r="B88" i="18"/>
  <c r="B88" i="18" a="1"/>
  <c r="A88" i="18"/>
  <c r="C87" i="18"/>
  <c r="C87" i="18" a="1"/>
  <c r="B87" i="18"/>
  <c r="B87" i="18" a="1"/>
  <c r="A87" i="18"/>
  <c r="C86" i="18"/>
  <c r="C86" i="18" a="1"/>
  <c r="B86" i="18"/>
  <c r="B86" i="18" a="1"/>
  <c r="A86" i="18"/>
  <c r="C85" i="18"/>
  <c r="C85" i="18" a="1"/>
  <c r="B85" i="18"/>
  <c r="B85" i="18" a="1"/>
  <c r="A85" i="18"/>
  <c r="C84" i="18"/>
  <c r="C84" i="18" a="1"/>
  <c r="B84" i="18"/>
  <c r="B84" i="18" a="1"/>
  <c r="A84" i="18"/>
  <c r="C83" i="18"/>
  <c r="C83" i="18" a="1"/>
  <c r="B83" i="18"/>
  <c r="B83" i="18" a="1"/>
  <c r="A83" i="18"/>
  <c r="C82" i="18"/>
  <c r="C82" i="18" a="1"/>
  <c r="B82" i="18"/>
  <c r="B82" i="18" a="1"/>
  <c r="A82" i="18"/>
  <c r="C81" i="18"/>
  <c r="C81" i="18" a="1"/>
  <c r="B81" i="18"/>
  <c r="B81" i="18" a="1"/>
  <c r="A81" i="18"/>
  <c r="C80" i="18"/>
  <c r="C80" i="18" a="1"/>
  <c r="B80" i="18"/>
  <c r="B80" i="18" a="1"/>
  <c r="A80" i="18"/>
  <c r="C79" i="18"/>
  <c r="C79" i="18" a="1"/>
  <c r="B79" i="18"/>
  <c r="B79" i="18" a="1"/>
  <c r="A79" i="18"/>
  <c r="C78" i="18"/>
  <c r="C78" i="18" a="1"/>
  <c r="B78" i="18"/>
  <c r="B78" i="18" a="1"/>
  <c r="A78" i="18"/>
  <c r="C77" i="18"/>
  <c r="C77" i="18" a="1"/>
  <c r="B77" i="18"/>
  <c r="B77" i="18" a="1"/>
  <c r="A77" i="18"/>
  <c r="C76" i="18"/>
  <c r="C76" i="18" a="1"/>
  <c r="B76" i="18"/>
  <c r="B76" i="18" a="1"/>
  <c r="A76" i="18"/>
  <c r="C75" i="18"/>
  <c r="C75" i="18" a="1"/>
  <c r="B75" i="18"/>
  <c r="B75" i="18" a="1"/>
  <c r="A75" i="18"/>
  <c r="C74" i="18"/>
  <c r="C74" i="18" a="1"/>
  <c r="B74" i="18"/>
  <c r="B74" i="18" a="1"/>
  <c r="A74" i="18"/>
  <c r="C73" i="18"/>
  <c r="C73" i="18" a="1"/>
  <c r="B73" i="18"/>
  <c r="B73" i="18" a="1"/>
  <c r="A73" i="18"/>
  <c r="C72" i="18"/>
  <c r="C72" i="18" a="1"/>
  <c r="B72" i="18"/>
  <c r="B72" i="18" a="1"/>
  <c r="A72" i="18"/>
  <c r="C71" i="18"/>
  <c r="C71" i="18" a="1"/>
  <c r="B71" i="18"/>
  <c r="B71" i="18" a="1"/>
  <c r="A71" i="18"/>
  <c r="C70" i="18"/>
  <c r="C70" i="18" a="1"/>
  <c r="B70" i="18"/>
  <c r="B70" i="18" a="1"/>
  <c r="A70" i="18"/>
  <c r="C69" i="18"/>
  <c r="C69" i="18" a="1"/>
  <c r="B69" i="18"/>
  <c r="B69" i="18" a="1"/>
  <c r="A69" i="18"/>
  <c r="C68" i="18"/>
  <c r="C68" i="18" a="1"/>
  <c r="B68" i="18"/>
  <c r="B68" i="18" a="1"/>
  <c r="A68" i="18"/>
  <c r="C67" i="18"/>
  <c r="C67" i="18" a="1"/>
  <c r="B67" i="18"/>
  <c r="B67" i="18" a="1"/>
  <c r="A67" i="18"/>
  <c r="C66" i="18"/>
  <c r="C66" i="18" a="1"/>
  <c r="B66" i="18"/>
  <c r="B66" i="18" a="1"/>
  <c r="A66" i="18"/>
  <c r="C65" i="18"/>
  <c r="C65" i="18" a="1"/>
  <c r="B65" i="18"/>
  <c r="B65" i="18" a="1"/>
  <c r="A65" i="18"/>
  <c r="C64" i="18"/>
  <c r="C64" i="18" a="1"/>
  <c r="B64" i="18"/>
  <c r="B64" i="18" a="1"/>
  <c r="A64" i="18"/>
  <c r="C63" i="18"/>
  <c r="C63" i="18" a="1"/>
  <c r="B63" i="18"/>
  <c r="B63" i="18" a="1"/>
  <c r="A63" i="18"/>
  <c r="C62" i="18"/>
  <c r="C62" i="18" a="1"/>
  <c r="B62" i="18"/>
  <c r="B62" i="18" a="1"/>
  <c r="A62" i="18"/>
  <c r="C61" i="18"/>
  <c r="C61" i="18" a="1"/>
  <c r="B61" i="18"/>
  <c r="B61" i="18" a="1"/>
  <c r="A61" i="18"/>
  <c r="C60" i="18"/>
  <c r="C60" i="18" a="1"/>
  <c r="B60" i="18"/>
  <c r="B60" i="18" a="1"/>
  <c r="A60" i="18"/>
  <c r="C59" i="18"/>
  <c r="C59" i="18" a="1"/>
  <c r="B59" i="18"/>
  <c r="B59" i="18" a="1"/>
  <c r="A59" i="18"/>
  <c r="C58" i="18"/>
  <c r="C58" i="18" a="1"/>
  <c r="B58" i="18"/>
  <c r="B58" i="18" a="1"/>
  <c r="A58" i="18"/>
  <c r="C57" i="18"/>
  <c r="C57" i="18" a="1"/>
  <c r="B57" i="18"/>
  <c r="B57" i="18" a="1"/>
  <c r="A57" i="18"/>
  <c r="C56" i="18"/>
  <c r="C56" i="18" a="1"/>
  <c r="B56" i="18"/>
  <c r="B56" i="18" a="1"/>
  <c r="A56" i="18"/>
  <c r="C55" i="18"/>
  <c r="C55" i="18" a="1"/>
  <c r="B55" i="18"/>
  <c r="B55" i="18" a="1"/>
  <c r="A55" i="18"/>
  <c r="C54" i="18"/>
  <c r="C54" i="18" a="1"/>
  <c r="B54" i="18"/>
  <c r="B54" i="18" a="1"/>
  <c r="A54" i="18"/>
  <c r="C53" i="18"/>
  <c r="C53" i="18" a="1"/>
  <c r="B53" i="18"/>
  <c r="B53" i="18" a="1"/>
  <c r="A53" i="18"/>
  <c r="C52" i="18"/>
  <c r="C52" i="18" a="1"/>
  <c r="B52" i="18"/>
  <c r="B52" i="18" a="1"/>
  <c r="A52" i="18"/>
  <c r="C51" i="18"/>
  <c r="C51" i="18" a="1"/>
  <c r="B51" i="18"/>
  <c r="B51" i="18" a="1"/>
  <c r="A51" i="18"/>
  <c r="C50" i="18"/>
  <c r="C50" i="18" a="1"/>
  <c r="B50" i="18"/>
  <c r="B50" i="18" a="1"/>
  <c r="A50" i="18"/>
  <c r="C49" i="18"/>
  <c r="C49" i="18" a="1"/>
  <c r="B49" i="18"/>
  <c r="B49" i="18" a="1"/>
  <c r="A49" i="18"/>
  <c r="C48" i="18"/>
  <c r="C48" i="18" a="1"/>
  <c r="B48" i="18"/>
  <c r="B48" i="18" a="1"/>
  <c r="A48" i="18"/>
  <c r="C47" i="18"/>
  <c r="C47" i="18" a="1"/>
  <c r="B47" i="18"/>
  <c r="B47" i="18" a="1"/>
  <c r="A47" i="18"/>
  <c r="C46" i="18"/>
  <c r="C46" i="18" a="1"/>
  <c r="B46" i="18"/>
  <c r="B46" i="18" a="1"/>
  <c r="A46" i="18"/>
  <c r="C45" i="18"/>
  <c r="C45" i="18" a="1"/>
  <c r="B45" i="18"/>
  <c r="B45" i="18" a="1"/>
  <c r="A45" i="18"/>
  <c r="C44" i="18"/>
  <c r="C44" i="18" a="1"/>
  <c r="B44" i="18"/>
  <c r="B44" i="18" a="1"/>
  <c r="A44" i="18"/>
  <c r="C43" i="18"/>
  <c r="C43" i="18" a="1"/>
  <c r="B43" i="18"/>
  <c r="B43" i="18" a="1"/>
  <c r="A43" i="18"/>
  <c r="C42" i="18"/>
  <c r="C42" i="18" a="1"/>
  <c r="B42" i="18"/>
  <c r="B42" i="18" a="1"/>
  <c r="A42" i="18"/>
  <c r="C41" i="18"/>
  <c r="C41" i="18" a="1"/>
  <c r="B41" i="18"/>
  <c r="B41" i="18" a="1"/>
  <c r="A41" i="18"/>
  <c r="C40" i="18"/>
  <c r="C40" i="18" a="1"/>
  <c r="B40" i="18"/>
  <c r="B40" i="18" a="1"/>
  <c r="A40" i="18"/>
  <c r="C39" i="18"/>
  <c r="C39" i="18" a="1"/>
  <c r="B39" i="18"/>
  <c r="B39" i="18" a="1"/>
  <c r="A39" i="18"/>
  <c r="C38" i="18"/>
  <c r="C38" i="18" a="1"/>
  <c r="B38" i="18"/>
  <c r="B38" i="18" a="1"/>
  <c r="A38" i="18"/>
  <c r="C37" i="18"/>
  <c r="C37" i="18" a="1"/>
  <c r="B37" i="18"/>
  <c r="B37" i="18" a="1"/>
  <c r="A37" i="18"/>
  <c r="C36" i="18"/>
  <c r="C36" i="18" a="1"/>
  <c r="B36" i="18"/>
  <c r="B36" i="18" a="1"/>
  <c r="A36" i="18"/>
  <c r="C35" i="18"/>
  <c r="C35" i="18" a="1"/>
  <c r="B35" i="18"/>
  <c r="B35" i="18" a="1"/>
  <c r="A35" i="18"/>
  <c r="C34" i="18"/>
  <c r="C34" i="18" a="1"/>
  <c r="B34" i="18"/>
  <c r="B34" i="18" a="1"/>
  <c r="A34" i="18"/>
  <c r="C33" i="18"/>
  <c r="C33" i="18" a="1"/>
  <c r="B33" i="18"/>
  <c r="B33" i="18" a="1"/>
  <c r="A33" i="18"/>
  <c r="C32" i="18"/>
  <c r="C32" i="18" a="1"/>
  <c r="B32" i="18"/>
  <c r="B32" i="18" a="1"/>
  <c r="A32" i="18"/>
  <c r="C31" i="18"/>
  <c r="C31" i="18" a="1"/>
  <c r="B31" i="18"/>
  <c r="B31" i="18" a="1"/>
  <c r="A31" i="18"/>
  <c r="C30" i="18"/>
  <c r="C30" i="18" a="1"/>
  <c r="B30" i="18"/>
  <c r="B30" i="18" a="1"/>
  <c r="A30" i="18"/>
  <c r="C29" i="18"/>
  <c r="C29" i="18" a="1"/>
  <c r="B29" i="18"/>
  <c r="B29" i="18" a="1"/>
  <c r="A29" i="18"/>
  <c r="C28" i="18"/>
  <c r="C28" i="18" a="1"/>
  <c r="B28" i="18"/>
  <c r="B28" i="18" a="1"/>
  <c r="A28" i="18"/>
  <c r="C27" i="18"/>
  <c r="C27" i="18" a="1"/>
  <c r="B27" i="18"/>
  <c r="B27" i="18" a="1"/>
  <c r="A27" i="18"/>
  <c r="C26" i="18"/>
  <c r="C26" i="18" a="1"/>
  <c r="B26" i="18"/>
  <c r="B26" i="18" a="1"/>
  <c r="A26" i="18"/>
  <c r="C25" i="18"/>
  <c r="C25" i="18" a="1"/>
  <c r="B25" i="18"/>
  <c r="B25" i="18" a="1"/>
  <c r="A25" i="18"/>
  <c r="C24" i="18"/>
  <c r="C24" i="18" a="1"/>
  <c r="B24" i="18"/>
  <c r="B24" i="18" a="1"/>
  <c r="A24" i="18"/>
  <c r="C23" i="18"/>
  <c r="C23" i="18" a="1"/>
  <c r="B23" i="18"/>
  <c r="B23" i="18" a="1"/>
  <c r="A23" i="18"/>
  <c r="C22" i="18"/>
  <c r="C22" i="18" a="1"/>
  <c r="B22" i="18"/>
  <c r="B22" i="18" a="1"/>
  <c r="A22" i="18"/>
  <c r="C21" i="18"/>
  <c r="C21" i="18" a="1"/>
  <c r="B21" i="18"/>
  <c r="B21" i="18" a="1"/>
  <c r="A21" i="18"/>
  <c r="C20" i="18"/>
  <c r="C20" i="18" a="1"/>
  <c r="B20" i="18"/>
  <c r="B20" i="18" a="1"/>
  <c r="A20" i="18"/>
  <c r="C19" i="18"/>
  <c r="C19" i="18" a="1"/>
  <c r="B19" i="18"/>
  <c r="B19" i="18" a="1"/>
  <c r="A19" i="18"/>
  <c r="C18" i="18"/>
  <c r="C18" i="18" a="1"/>
  <c r="B18" i="18"/>
  <c r="B18" i="18" a="1"/>
  <c r="A18" i="18"/>
  <c r="C17" i="18"/>
  <c r="C17" i="18" a="1"/>
  <c r="B17" i="18"/>
  <c r="B17" i="18" a="1"/>
  <c r="A17" i="18"/>
  <c r="C16" i="18"/>
  <c r="C16" i="18" a="1"/>
  <c r="B16" i="18"/>
  <c r="B16" i="18" a="1"/>
  <c r="A16" i="18"/>
  <c r="C15" i="18"/>
  <c r="C15" i="18" a="1"/>
  <c r="B15" i="18"/>
  <c r="B15" i="18" a="1"/>
  <c r="A15" i="18"/>
  <c r="C14" i="18"/>
  <c r="C14" i="18" a="1"/>
  <c r="B14" i="18"/>
  <c r="B14" i="18" a="1"/>
  <c r="A14" i="18"/>
  <c r="C13" i="18"/>
  <c r="C13" i="18" a="1"/>
  <c r="B13" i="18"/>
  <c r="B13" i="18" a="1"/>
  <c r="A13" i="18"/>
  <c r="C12" i="18"/>
  <c r="C12" i="18" a="1"/>
  <c r="B12" i="18"/>
  <c r="B12" i="18" a="1"/>
  <c r="A12" i="18"/>
  <c r="C11" i="18"/>
  <c r="C11" i="18" a="1"/>
  <c r="B11" i="18"/>
  <c r="B11" i="18" a="1"/>
  <c r="A11" i="18"/>
  <c r="C8" i="18"/>
  <c r="B8" i="18"/>
  <c r="C7" i="18"/>
  <c r="B7" i="18"/>
  <c r="C6" i="18"/>
  <c r="B6" i="18"/>
  <c r="C5" i="18"/>
  <c r="B5" i="18"/>
  <c r="C4" i="18"/>
  <c r="B4" i="18"/>
  <c r="C3" i="18"/>
  <c r="B3" i="18"/>
  <c r="D1" i="18"/>
  <c r="A1" i="18"/>
  <c r="C99" i="17"/>
  <c r="C99" i="17" a="1"/>
  <c r="B99" i="17"/>
  <c r="B99" i="17" a="1"/>
  <c r="A99" i="17"/>
  <c r="C98" i="17"/>
  <c r="C98" i="17" a="1"/>
  <c r="B98" i="17"/>
  <c r="B98" i="17" a="1"/>
  <c r="A98" i="17"/>
  <c r="C97" i="17"/>
  <c r="C97" i="17" a="1"/>
  <c r="B97" i="17"/>
  <c r="B97" i="17" a="1"/>
  <c r="A97" i="17"/>
  <c r="C96" i="17"/>
  <c r="C96" i="17" a="1"/>
  <c r="B96" i="17"/>
  <c r="B96" i="17" a="1"/>
  <c r="A96" i="17"/>
  <c r="C95" i="17"/>
  <c r="C95" i="17" a="1"/>
  <c r="B95" i="17"/>
  <c r="B95" i="17" a="1"/>
  <c r="A95" i="17"/>
  <c r="C94" i="17"/>
  <c r="C94" i="17" a="1"/>
  <c r="B94" i="17"/>
  <c r="B94" i="17" a="1"/>
  <c r="A94" i="17"/>
  <c r="C93" i="17"/>
  <c r="C93" i="17" a="1"/>
  <c r="B93" i="17"/>
  <c r="B93" i="17" a="1"/>
  <c r="A93" i="17"/>
  <c r="C92" i="17"/>
  <c r="C92" i="17" a="1"/>
  <c r="B92" i="17"/>
  <c r="B92" i="17" a="1"/>
  <c r="A92" i="17"/>
  <c r="C91" i="17"/>
  <c r="C91" i="17" a="1"/>
  <c r="B91" i="17"/>
  <c r="B91" i="17" a="1"/>
  <c r="A91" i="17"/>
  <c r="C90" i="17"/>
  <c r="C90" i="17" a="1"/>
  <c r="B90" i="17"/>
  <c r="B90" i="17" a="1"/>
  <c r="A90" i="17"/>
  <c r="C89" i="17"/>
  <c r="C89" i="17" a="1"/>
  <c r="B89" i="17"/>
  <c r="B89" i="17" a="1"/>
  <c r="A89" i="17"/>
  <c r="C88" i="17"/>
  <c r="C88" i="17" a="1"/>
  <c r="B88" i="17"/>
  <c r="B88" i="17" a="1"/>
  <c r="A88" i="17"/>
  <c r="C87" i="17"/>
  <c r="C87" i="17" a="1"/>
  <c r="B87" i="17"/>
  <c r="B87" i="17" a="1"/>
  <c r="A87" i="17"/>
  <c r="C86" i="17"/>
  <c r="C86" i="17" a="1"/>
  <c r="B86" i="17"/>
  <c r="B86" i="17" a="1"/>
  <c r="A86" i="17"/>
  <c r="C85" i="17"/>
  <c r="C85" i="17" a="1"/>
  <c r="B85" i="17"/>
  <c r="B85" i="17" a="1"/>
  <c r="A85" i="17"/>
  <c r="C84" i="17"/>
  <c r="C84" i="17" a="1"/>
  <c r="B84" i="17"/>
  <c r="B84" i="17" a="1"/>
  <c r="A84" i="17"/>
  <c r="C83" i="17"/>
  <c r="C83" i="17" a="1"/>
  <c r="B83" i="17"/>
  <c r="B83" i="17" a="1"/>
  <c r="A83" i="17"/>
  <c r="C82" i="17"/>
  <c r="C82" i="17" a="1"/>
  <c r="B82" i="17"/>
  <c r="B82" i="17" a="1"/>
  <c r="A82" i="17"/>
  <c r="C81" i="17"/>
  <c r="C81" i="17" a="1"/>
  <c r="B81" i="17"/>
  <c r="B81" i="17" a="1"/>
  <c r="A81" i="17"/>
  <c r="C80" i="17"/>
  <c r="C80" i="17" a="1"/>
  <c r="B80" i="17"/>
  <c r="B80" i="17" a="1"/>
  <c r="A80" i="17"/>
  <c r="C79" i="17"/>
  <c r="C79" i="17" a="1"/>
  <c r="B79" i="17"/>
  <c r="B79" i="17" a="1"/>
  <c r="A79" i="17"/>
  <c r="C78" i="17"/>
  <c r="C78" i="17" a="1"/>
  <c r="B78" i="17"/>
  <c r="B78" i="17" a="1"/>
  <c r="A78" i="17"/>
  <c r="C77" i="17"/>
  <c r="C77" i="17" a="1"/>
  <c r="B77" i="17"/>
  <c r="B77" i="17" a="1"/>
  <c r="A77" i="17"/>
  <c r="C76" i="17"/>
  <c r="C76" i="17" a="1"/>
  <c r="B76" i="17"/>
  <c r="B76" i="17" a="1"/>
  <c r="A76" i="17"/>
  <c r="C75" i="17"/>
  <c r="C75" i="17" a="1"/>
  <c r="B75" i="17"/>
  <c r="B75" i="17" a="1"/>
  <c r="A75" i="17"/>
  <c r="C74" i="17"/>
  <c r="C74" i="17" a="1"/>
  <c r="B74" i="17"/>
  <c r="B74" i="17" a="1"/>
  <c r="A74" i="17"/>
  <c r="C73" i="17"/>
  <c r="C73" i="17" a="1"/>
  <c r="B73" i="17"/>
  <c r="B73" i="17" a="1"/>
  <c r="A73" i="17"/>
  <c r="C72" i="17"/>
  <c r="C72" i="17" a="1"/>
  <c r="B72" i="17"/>
  <c r="B72" i="17" a="1"/>
  <c r="A72" i="17"/>
  <c r="C71" i="17"/>
  <c r="C71" i="17" a="1"/>
  <c r="B71" i="17"/>
  <c r="B71" i="17" a="1"/>
  <c r="A71" i="17"/>
  <c r="C70" i="17"/>
  <c r="C70" i="17" a="1"/>
  <c r="B70" i="17"/>
  <c r="B70" i="17" a="1"/>
  <c r="A70" i="17"/>
  <c r="C69" i="17"/>
  <c r="C69" i="17" a="1"/>
  <c r="B69" i="17"/>
  <c r="B69" i="17" a="1"/>
  <c r="A69" i="17"/>
  <c r="C68" i="17"/>
  <c r="C68" i="17" a="1"/>
  <c r="B68" i="17"/>
  <c r="B68" i="17" a="1"/>
  <c r="A68" i="17"/>
  <c r="C67" i="17"/>
  <c r="C67" i="17" a="1"/>
  <c r="B67" i="17"/>
  <c r="B67" i="17" a="1"/>
  <c r="A67" i="17"/>
  <c r="C66" i="17"/>
  <c r="C66" i="17" a="1"/>
  <c r="B66" i="17"/>
  <c r="B66" i="17" a="1"/>
  <c r="A66" i="17"/>
  <c r="C65" i="17"/>
  <c r="C65" i="17" a="1"/>
  <c r="B65" i="17"/>
  <c r="B65" i="17" a="1"/>
  <c r="A65" i="17"/>
  <c r="C64" i="17"/>
  <c r="C64" i="17" a="1"/>
  <c r="B64" i="17"/>
  <c r="B64" i="17" a="1"/>
  <c r="A64" i="17"/>
  <c r="C63" i="17"/>
  <c r="C63" i="17" a="1"/>
  <c r="B63" i="17"/>
  <c r="B63" i="17" a="1"/>
  <c r="A63" i="17"/>
  <c r="C62" i="17"/>
  <c r="C62" i="17" a="1"/>
  <c r="B62" i="17"/>
  <c r="B62" i="17" a="1"/>
  <c r="A62" i="17"/>
  <c r="C61" i="17"/>
  <c r="C61" i="17" a="1"/>
  <c r="B61" i="17"/>
  <c r="B61" i="17" a="1"/>
  <c r="A61" i="17"/>
  <c r="C60" i="17"/>
  <c r="C60" i="17" a="1"/>
  <c r="B60" i="17"/>
  <c r="B60" i="17" a="1"/>
  <c r="A60" i="17"/>
  <c r="C59" i="17"/>
  <c r="C59" i="17" a="1"/>
  <c r="B59" i="17"/>
  <c r="B59" i="17" a="1"/>
  <c r="A59" i="17"/>
  <c r="C58" i="17"/>
  <c r="C58" i="17" a="1"/>
  <c r="B58" i="17"/>
  <c r="B58" i="17" a="1"/>
  <c r="A58" i="17"/>
  <c r="C57" i="17"/>
  <c r="C57" i="17" a="1"/>
  <c r="B57" i="17"/>
  <c r="B57" i="17" a="1"/>
  <c r="A57" i="17"/>
  <c r="C56" i="17"/>
  <c r="C56" i="17" a="1"/>
  <c r="B56" i="17"/>
  <c r="B56" i="17" a="1"/>
  <c r="A56" i="17"/>
  <c r="C55" i="17"/>
  <c r="C55" i="17" a="1"/>
  <c r="B55" i="17"/>
  <c r="B55" i="17" a="1"/>
  <c r="A55" i="17"/>
  <c r="C54" i="17"/>
  <c r="C54" i="17" a="1"/>
  <c r="B54" i="17"/>
  <c r="B54" i="17" a="1"/>
  <c r="A54" i="17"/>
  <c r="C53" i="17"/>
  <c r="C53" i="17" a="1"/>
  <c r="B53" i="17"/>
  <c r="B53" i="17" a="1"/>
  <c r="A53" i="17"/>
  <c r="C52" i="17"/>
  <c r="C52" i="17" a="1"/>
  <c r="B52" i="17"/>
  <c r="B52" i="17" a="1"/>
  <c r="A52" i="17"/>
  <c r="C51" i="17"/>
  <c r="C51" i="17" a="1"/>
  <c r="B51" i="17"/>
  <c r="B51" i="17" a="1"/>
  <c r="A51" i="17"/>
  <c r="C50" i="17"/>
  <c r="C50" i="17" a="1"/>
  <c r="B50" i="17"/>
  <c r="B50" i="17" a="1"/>
  <c r="A50" i="17"/>
  <c r="C49" i="17"/>
  <c r="C49" i="17" a="1"/>
  <c r="B49" i="17"/>
  <c r="B49" i="17" a="1"/>
  <c r="A49" i="17"/>
  <c r="C48" i="17"/>
  <c r="C48" i="17" a="1"/>
  <c r="B48" i="17"/>
  <c r="B48" i="17" a="1"/>
  <c r="A48" i="17"/>
  <c r="C47" i="17"/>
  <c r="C47" i="17" a="1"/>
  <c r="B47" i="17"/>
  <c r="B47" i="17" a="1"/>
  <c r="A47" i="17"/>
  <c r="C46" i="17"/>
  <c r="C46" i="17" a="1"/>
  <c r="B46" i="17"/>
  <c r="B46" i="17" a="1"/>
  <c r="A46" i="17"/>
  <c r="C45" i="17"/>
  <c r="C45" i="17" a="1"/>
  <c r="B45" i="17"/>
  <c r="B45" i="17" a="1"/>
  <c r="A45" i="17"/>
  <c r="C44" i="17"/>
  <c r="C44" i="17" a="1"/>
  <c r="B44" i="17"/>
  <c r="B44" i="17" a="1"/>
  <c r="A44" i="17"/>
  <c r="C43" i="17"/>
  <c r="C43" i="17" a="1"/>
  <c r="B43" i="17"/>
  <c r="B43" i="17" a="1"/>
  <c r="A43" i="17"/>
  <c r="C42" i="17"/>
  <c r="C42" i="17" a="1"/>
  <c r="B42" i="17"/>
  <c r="B42" i="17" a="1"/>
  <c r="A42" i="17"/>
  <c r="C41" i="17"/>
  <c r="C41" i="17" a="1"/>
  <c r="B41" i="17"/>
  <c r="B41" i="17" a="1"/>
  <c r="A41" i="17"/>
  <c r="C40" i="17"/>
  <c r="C40" i="17" a="1"/>
  <c r="B40" i="17"/>
  <c r="B40" i="17" a="1"/>
  <c r="A40" i="17"/>
  <c r="C39" i="17"/>
  <c r="C39" i="17" a="1"/>
  <c r="B39" i="17"/>
  <c r="B39" i="17" a="1"/>
  <c r="A39" i="17"/>
  <c r="C38" i="17"/>
  <c r="C38" i="17" a="1"/>
  <c r="B38" i="17"/>
  <c r="B38" i="17" a="1"/>
  <c r="A38" i="17"/>
  <c r="C37" i="17"/>
  <c r="C37" i="17" a="1"/>
  <c r="B37" i="17"/>
  <c r="B37" i="17" a="1"/>
  <c r="A37" i="17"/>
  <c r="C36" i="17"/>
  <c r="C36" i="17" a="1"/>
  <c r="B36" i="17"/>
  <c r="B36" i="17" a="1"/>
  <c r="A36" i="17"/>
  <c r="C35" i="17"/>
  <c r="C35" i="17" a="1"/>
  <c r="B35" i="17"/>
  <c r="B35" i="17" a="1"/>
  <c r="A35" i="17"/>
  <c r="C34" i="17"/>
  <c r="C34" i="17" a="1"/>
  <c r="B34" i="17"/>
  <c r="B34" i="17" a="1"/>
  <c r="A34" i="17"/>
  <c r="C33" i="17"/>
  <c r="C33" i="17" a="1"/>
  <c r="B33" i="17"/>
  <c r="B33" i="17" a="1"/>
  <c r="A33" i="17"/>
  <c r="C32" i="17"/>
  <c r="C32" i="17" a="1"/>
  <c r="B32" i="17"/>
  <c r="B32" i="17" a="1"/>
  <c r="A32" i="17"/>
  <c r="C31" i="17"/>
  <c r="C31" i="17" a="1"/>
  <c r="B31" i="17"/>
  <c r="B31" i="17" a="1"/>
  <c r="A31" i="17"/>
  <c r="C30" i="17"/>
  <c r="C30" i="17" a="1"/>
  <c r="B30" i="17"/>
  <c r="B30" i="17" a="1"/>
  <c r="A30" i="17"/>
  <c r="C29" i="17"/>
  <c r="C29" i="17" a="1"/>
  <c r="B29" i="17"/>
  <c r="B29" i="17" a="1"/>
  <c r="A29" i="17"/>
  <c r="C28" i="17"/>
  <c r="C28" i="17" a="1"/>
  <c r="B28" i="17"/>
  <c r="B28" i="17" a="1"/>
  <c r="A28" i="17"/>
  <c r="C27" i="17"/>
  <c r="C27" i="17" a="1"/>
  <c r="B27" i="17"/>
  <c r="B27" i="17" a="1"/>
  <c r="A27" i="17"/>
  <c r="C26" i="17"/>
  <c r="C26" i="17" a="1"/>
  <c r="B26" i="17"/>
  <c r="B26" i="17" a="1"/>
  <c r="A26" i="17"/>
  <c r="C25" i="17"/>
  <c r="C25" i="17" a="1"/>
  <c r="B25" i="17"/>
  <c r="B25" i="17" a="1"/>
  <c r="A25" i="17"/>
  <c r="C24" i="17"/>
  <c r="C24" i="17" a="1"/>
  <c r="B24" i="17"/>
  <c r="B24" i="17" a="1"/>
  <c r="A24" i="17"/>
  <c r="C23" i="17"/>
  <c r="C23" i="17" a="1"/>
  <c r="B23" i="17"/>
  <c r="B23" i="17" a="1"/>
  <c r="A23" i="17"/>
  <c r="C22" i="17"/>
  <c r="C22" i="17" a="1"/>
  <c r="B22" i="17"/>
  <c r="B22" i="17" a="1"/>
  <c r="A22" i="17"/>
  <c r="C21" i="17"/>
  <c r="C21" i="17" a="1"/>
  <c r="B21" i="17"/>
  <c r="B21" i="17" a="1"/>
  <c r="A21" i="17"/>
  <c r="C20" i="17"/>
  <c r="C20" i="17" a="1"/>
  <c r="B20" i="17"/>
  <c r="B20" i="17" a="1"/>
  <c r="A20" i="17"/>
  <c r="C19" i="17"/>
  <c r="C19" i="17" a="1"/>
  <c r="B19" i="17"/>
  <c r="B19" i="17" a="1"/>
  <c r="A19" i="17"/>
  <c r="C18" i="17"/>
  <c r="C18" i="17" a="1"/>
  <c r="B18" i="17"/>
  <c r="B18" i="17" a="1"/>
  <c r="A18" i="17"/>
  <c r="C17" i="17"/>
  <c r="C17" i="17" a="1"/>
  <c r="B17" i="17"/>
  <c r="B17" i="17" a="1"/>
  <c r="A17" i="17"/>
  <c r="C16" i="17"/>
  <c r="C16" i="17" a="1"/>
  <c r="B16" i="17"/>
  <c r="B16" i="17" a="1"/>
  <c r="A16" i="17"/>
  <c r="C15" i="17"/>
  <c r="C15" i="17" a="1"/>
  <c r="B15" i="17"/>
  <c r="B15" i="17" a="1"/>
  <c r="A15" i="17"/>
  <c r="C14" i="17"/>
  <c r="C14" i="17" a="1"/>
  <c r="B14" i="17"/>
  <c r="B14" i="17" a="1"/>
  <c r="A14" i="17"/>
  <c r="C13" i="17"/>
  <c r="C13" i="17" a="1"/>
  <c r="B13" i="17"/>
  <c r="B13" i="17" a="1"/>
  <c r="A13" i="17"/>
  <c r="C12" i="17"/>
  <c r="C12" i="17" a="1"/>
  <c r="B12" i="17"/>
  <c r="B12" i="17" a="1"/>
  <c r="A12" i="17"/>
  <c r="C11" i="17"/>
  <c r="C11" i="17" a="1"/>
  <c r="B11" i="17"/>
  <c r="B11" i="17" a="1"/>
  <c r="A11" i="17"/>
  <c r="C8" i="17"/>
  <c r="B8" i="17"/>
  <c r="C7" i="17"/>
  <c r="B7" i="17"/>
  <c r="C6" i="17"/>
  <c r="B6" i="17"/>
  <c r="C5" i="17"/>
  <c r="B5" i="17"/>
  <c r="C4" i="17"/>
  <c r="B4" i="17"/>
  <c r="C3" i="17"/>
  <c r="B3" i="17"/>
  <c r="D1" i="17"/>
  <c r="A1" i="17"/>
  <c r="C99" i="16"/>
  <c r="C99" i="16" a="1"/>
  <c r="B99" i="16"/>
  <c r="B99" i="16" a="1"/>
  <c r="A99" i="16"/>
  <c r="C98" i="16"/>
  <c r="C98" i="16" a="1"/>
  <c r="B98" i="16"/>
  <c r="B98" i="16" a="1"/>
  <c r="A98" i="16"/>
  <c r="C97" i="16"/>
  <c r="C97" i="16" a="1"/>
  <c r="B97" i="16"/>
  <c r="B97" i="16" a="1"/>
  <c r="A97" i="16"/>
  <c r="C96" i="16"/>
  <c r="C96" i="16" a="1"/>
  <c r="B96" i="16"/>
  <c r="B96" i="16" a="1"/>
  <c r="A96" i="16"/>
  <c r="C95" i="16"/>
  <c r="C95" i="16" a="1"/>
  <c r="B95" i="16"/>
  <c r="B95" i="16" a="1"/>
  <c r="A95" i="16"/>
  <c r="C94" i="16"/>
  <c r="C94" i="16" a="1"/>
  <c r="B94" i="16"/>
  <c r="B94" i="16" a="1"/>
  <c r="A94" i="16"/>
  <c r="C93" i="16"/>
  <c r="C93" i="16" a="1"/>
  <c r="B93" i="16"/>
  <c r="B93" i="16" a="1"/>
  <c r="A93" i="16"/>
  <c r="C92" i="16"/>
  <c r="C92" i="16" a="1"/>
  <c r="B92" i="16"/>
  <c r="B92" i="16" a="1"/>
  <c r="A92" i="16"/>
  <c r="C91" i="16"/>
  <c r="C91" i="16" a="1"/>
  <c r="B91" i="16"/>
  <c r="B91" i="16" a="1"/>
  <c r="A91" i="16"/>
  <c r="C90" i="16"/>
  <c r="C90" i="16" a="1"/>
  <c r="B90" i="16"/>
  <c r="B90" i="16" a="1"/>
  <c r="A90" i="16"/>
  <c r="C89" i="16"/>
  <c r="C89" i="16" a="1"/>
  <c r="B89" i="16"/>
  <c r="B89" i="16" a="1"/>
  <c r="A89" i="16"/>
  <c r="C88" i="16"/>
  <c r="C88" i="16" a="1"/>
  <c r="B88" i="16"/>
  <c r="B88" i="16" a="1"/>
  <c r="A88" i="16"/>
  <c r="C87" i="16"/>
  <c r="C87" i="16" a="1"/>
  <c r="B87" i="16"/>
  <c r="B87" i="16" a="1"/>
  <c r="A87" i="16"/>
  <c r="C86" i="16"/>
  <c r="C86" i="16" a="1"/>
  <c r="B86" i="16"/>
  <c r="B86" i="16" a="1"/>
  <c r="A86" i="16"/>
  <c r="C85" i="16"/>
  <c r="C85" i="16" a="1"/>
  <c r="B85" i="16"/>
  <c r="B85" i="16" a="1"/>
  <c r="A85" i="16"/>
  <c r="C84" i="16"/>
  <c r="C84" i="16" a="1"/>
  <c r="B84" i="16"/>
  <c r="B84" i="16" a="1"/>
  <c r="A84" i="16"/>
  <c r="C83" i="16"/>
  <c r="C83" i="16" a="1"/>
  <c r="B83" i="16"/>
  <c r="B83" i="16" a="1"/>
  <c r="A83" i="16"/>
  <c r="C82" i="16"/>
  <c r="C82" i="16" a="1"/>
  <c r="B82" i="16"/>
  <c r="B82" i="16" a="1"/>
  <c r="A82" i="16"/>
  <c r="C81" i="16"/>
  <c r="C81" i="16" a="1"/>
  <c r="B81" i="16"/>
  <c r="B81" i="16" a="1"/>
  <c r="A81" i="16"/>
  <c r="C80" i="16"/>
  <c r="C80" i="16" a="1"/>
  <c r="B80" i="16"/>
  <c r="B80" i="16" a="1"/>
  <c r="A80" i="16"/>
  <c r="C79" i="16"/>
  <c r="C79" i="16" a="1"/>
  <c r="B79" i="16"/>
  <c r="B79" i="16" a="1"/>
  <c r="A79" i="16"/>
  <c r="C78" i="16"/>
  <c r="C78" i="16" a="1"/>
  <c r="B78" i="16"/>
  <c r="B78" i="16" a="1"/>
  <c r="A78" i="16"/>
  <c r="C77" i="16"/>
  <c r="C77" i="16" a="1"/>
  <c r="B77" i="16"/>
  <c r="B77" i="16" a="1"/>
  <c r="A77" i="16"/>
  <c r="C76" i="16"/>
  <c r="C76" i="16" a="1"/>
  <c r="B76" i="16"/>
  <c r="B76" i="16" a="1"/>
  <c r="A76" i="16"/>
  <c r="C75" i="16"/>
  <c r="C75" i="16" a="1"/>
  <c r="B75" i="16"/>
  <c r="B75" i="16" a="1"/>
  <c r="A75" i="16"/>
  <c r="C74" i="16"/>
  <c r="C74" i="16" a="1"/>
  <c r="B74" i="16"/>
  <c r="B74" i="16" a="1"/>
  <c r="A74" i="16"/>
  <c r="C73" i="16"/>
  <c r="C73" i="16" a="1"/>
  <c r="B73" i="16"/>
  <c r="B73" i="16" a="1"/>
  <c r="A73" i="16"/>
  <c r="C72" i="16"/>
  <c r="C72" i="16" a="1"/>
  <c r="B72" i="16"/>
  <c r="B72" i="16" a="1"/>
  <c r="A72" i="16"/>
  <c r="C71" i="16"/>
  <c r="C71" i="16" a="1"/>
  <c r="B71" i="16"/>
  <c r="B71" i="16" a="1"/>
  <c r="A71" i="16"/>
  <c r="C70" i="16"/>
  <c r="C70" i="16" a="1"/>
  <c r="B70" i="16"/>
  <c r="B70" i="16" a="1"/>
  <c r="A70" i="16"/>
  <c r="C69" i="16"/>
  <c r="C69" i="16" a="1"/>
  <c r="B69" i="16"/>
  <c r="B69" i="16" a="1"/>
  <c r="A69" i="16"/>
  <c r="C68" i="16"/>
  <c r="C68" i="16" a="1"/>
  <c r="B68" i="16"/>
  <c r="B68" i="16" a="1"/>
  <c r="A68" i="16"/>
  <c r="C67" i="16"/>
  <c r="C67" i="16" a="1"/>
  <c r="B67" i="16"/>
  <c r="B67" i="16" a="1"/>
  <c r="A67" i="16"/>
  <c r="C66" i="16"/>
  <c r="C66" i="16" a="1"/>
  <c r="B66" i="16"/>
  <c r="B66" i="16" a="1"/>
  <c r="A66" i="16"/>
  <c r="C65" i="16"/>
  <c r="C65" i="16" a="1"/>
  <c r="B65" i="16"/>
  <c r="B65" i="16" a="1"/>
  <c r="A65" i="16"/>
  <c r="C64" i="16"/>
  <c r="C64" i="16" a="1"/>
  <c r="B64" i="16"/>
  <c r="B64" i="16" a="1"/>
  <c r="A64" i="16"/>
  <c r="C63" i="16"/>
  <c r="C63" i="16" a="1"/>
  <c r="B63" i="16"/>
  <c r="B63" i="16" a="1"/>
  <c r="A63" i="16"/>
  <c r="C62" i="16"/>
  <c r="C62" i="16" a="1"/>
  <c r="B62" i="16"/>
  <c r="B62" i="16" a="1"/>
  <c r="A62" i="16"/>
  <c r="C61" i="16"/>
  <c r="C61" i="16" a="1"/>
  <c r="B61" i="16"/>
  <c r="B61" i="16" a="1"/>
  <c r="A61" i="16"/>
  <c r="C60" i="16"/>
  <c r="C60" i="16" a="1"/>
  <c r="B60" i="16"/>
  <c r="B60" i="16" a="1"/>
  <c r="A60" i="16"/>
  <c r="C59" i="16"/>
  <c r="C59" i="16" a="1"/>
  <c r="B59" i="16"/>
  <c r="B59" i="16" a="1"/>
  <c r="A59" i="16"/>
  <c r="C58" i="16"/>
  <c r="C58" i="16" a="1"/>
  <c r="B58" i="16"/>
  <c r="B58" i="16" a="1"/>
  <c r="A58" i="16"/>
  <c r="C57" i="16"/>
  <c r="C57" i="16" a="1"/>
  <c r="B57" i="16"/>
  <c r="B57" i="16" a="1"/>
  <c r="A57" i="16"/>
  <c r="C56" i="16"/>
  <c r="C56" i="16" a="1"/>
  <c r="B56" i="16"/>
  <c r="B56" i="16" a="1"/>
  <c r="A56" i="16"/>
  <c r="C55" i="16"/>
  <c r="C55" i="16" a="1"/>
  <c r="B55" i="16"/>
  <c r="B55" i="16" a="1"/>
  <c r="A55" i="16"/>
  <c r="C54" i="16"/>
  <c r="C54" i="16" a="1"/>
  <c r="B54" i="16"/>
  <c r="B54" i="16" a="1"/>
  <c r="A54" i="16"/>
  <c r="C53" i="16"/>
  <c r="C53" i="16" a="1"/>
  <c r="B53" i="16"/>
  <c r="B53" i="16" a="1"/>
  <c r="A53" i="16"/>
  <c r="C52" i="16"/>
  <c r="C52" i="16" a="1"/>
  <c r="B52" i="16"/>
  <c r="B52" i="16" a="1"/>
  <c r="A52" i="16"/>
  <c r="C51" i="16"/>
  <c r="C51" i="16" a="1"/>
  <c r="B51" i="16"/>
  <c r="B51" i="16" a="1"/>
  <c r="A51" i="16"/>
  <c r="C50" i="16"/>
  <c r="C50" i="16" a="1"/>
  <c r="B50" i="16"/>
  <c r="B50" i="16" a="1"/>
  <c r="A50" i="16"/>
  <c r="C49" i="16"/>
  <c r="C49" i="16" a="1"/>
  <c r="B49" i="16"/>
  <c r="B49" i="16" a="1"/>
  <c r="A49" i="16"/>
  <c r="C48" i="16"/>
  <c r="C48" i="16" a="1"/>
  <c r="B48" i="16"/>
  <c r="B48" i="16" a="1"/>
  <c r="A48" i="16"/>
  <c r="C47" i="16"/>
  <c r="C47" i="16" a="1"/>
  <c r="B47" i="16"/>
  <c r="B47" i="16" a="1"/>
  <c r="A47" i="16"/>
  <c r="C46" i="16"/>
  <c r="C46" i="16" a="1"/>
  <c r="B46" i="16"/>
  <c r="B46" i="16" a="1"/>
  <c r="A46" i="16"/>
  <c r="C45" i="16"/>
  <c r="C45" i="16" a="1"/>
  <c r="B45" i="16"/>
  <c r="B45" i="16" a="1"/>
  <c r="A45" i="16"/>
  <c r="C44" i="16"/>
  <c r="C44" i="16" a="1"/>
  <c r="B44" i="16"/>
  <c r="B44" i="16" a="1"/>
  <c r="A44" i="16"/>
  <c r="C43" i="16"/>
  <c r="C43" i="16" a="1"/>
  <c r="B43" i="16"/>
  <c r="B43" i="16" a="1"/>
  <c r="A43" i="16"/>
  <c r="C42" i="16"/>
  <c r="C42" i="16" a="1"/>
  <c r="B42" i="16"/>
  <c r="B42" i="16" a="1"/>
  <c r="A42" i="16"/>
  <c r="C41" i="16"/>
  <c r="C41" i="16" a="1"/>
  <c r="B41" i="16"/>
  <c r="B41" i="16" a="1"/>
  <c r="A41" i="16"/>
  <c r="C40" i="16"/>
  <c r="C40" i="16" a="1"/>
  <c r="B40" i="16"/>
  <c r="B40" i="16" a="1"/>
  <c r="A40" i="16"/>
  <c r="C39" i="16"/>
  <c r="C39" i="16" a="1"/>
  <c r="B39" i="16"/>
  <c r="B39" i="16" a="1"/>
  <c r="A39" i="16"/>
  <c r="C38" i="16"/>
  <c r="C38" i="16" a="1"/>
  <c r="B38" i="16"/>
  <c r="B38" i="16" a="1"/>
  <c r="A38" i="16"/>
  <c r="C37" i="16"/>
  <c r="C37" i="16" a="1"/>
  <c r="B37" i="16"/>
  <c r="B37" i="16" a="1"/>
  <c r="A37" i="16"/>
  <c r="C36" i="16"/>
  <c r="C36" i="16" a="1"/>
  <c r="B36" i="16"/>
  <c r="B36" i="16" a="1"/>
  <c r="A36" i="16"/>
  <c r="C35" i="16"/>
  <c r="C35" i="16" a="1"/>
  <c r="B35" i="16"/>
  <c r="B35" i="16" a="1"/>
  <c r="A35" i="16"/>
  <c r="C34" i="16"/>
  <c r="C34" i="16" a="1"/>
  <c r="B34" i="16"/>
  <c r="B34" i="16" a="1"/>
  <c r="A34" i="16"/>
  <c r="C33" i="16"/>
  <c r="C33" i="16" a="1"/>
  <c r="B33" i="16"/>
  <c r="B33" i="16" a="1"/>
  <c r="A33" i="16"/>
  <c r="C32" i="16"/>
  <c r="C32" i="16" a="1"/>
  <c r="B32" i="16"/>
  <c r="B32" i="16" a="1"/>
  <c r="A32" i="16"/>
  <c r="C31" i="16"/>
  <c r="C31" i="16" a="1"/>
  <c r="B31" i="16"/>
  <c r="B31" i="16" a="1"/>
  <c r="A31" i="16"/>
  <c r="C30" i="16"/>
  <c r="C30" i="16" a="1"/>
  <c r="B30" i="16"/>
  <c r="B30" i="16" a="1"/>
  <c r="A30" i="16"/>
  <c r="C29" i="16"/>
  <c r="C29" i="16" a="1"/>
  <c r="B29" i="16"/>
  <c r="B29" i="16" a="1"/>
  <c r="A29" i="16"/>
  <c r="C28" i="16"/>
  <c r="C28" i="16" a="1"/>
  <c r="B28" i="16"/>
  <c r="B28" i="16" a="1"/>
  <c r="A28" i="16"/>
  <c r="C27" i="16"/>
  <c r="C27" i="16" a="1"/>
  <c r="B27" i="16"/>
  <c r="B27" i="16" a="1"/>
  <c r="A27" i="16"/>
  <c r="C26" i="16"/>
  <c r="C26" i="16" a="1"/>
  <c r="B26" i="16"/>
  <c r="B26" i="16" a="1"/>
  <c r="A26" i="16"/>
  <c r="C25" i="16"/>
  <c r="C25" i="16" a="1"/>
  <c r="B25" i="16"/>
  <c r="B25" i="16" a="1"/>
  <c r="A25" i="16"/>
  <c r="C24" i="16"/>
  <c r="C24" i="16" a="1"/>
  <c r="B24" i="16"/>
  <c r="B24" i="16" a="1"/>
  <c r="A24" i="16"/>
  <c r="C23" i="16"/>
  <c r="C23" i="16" a="1"/>
  <c r="B23" i="16"/>
  <c r="B23" i="16" a="1"/>
  <c r="A23" i="16"/>
  <c r="C22" i="16"/>
  <c r="C22" i="16" a="1"/>
  <c r="B22" i="16"/>
  <c r="B22" i="16" a="1"/>
  <c r="A22" i="16"/>
  <c r="C21" i="16"/>
  <c r="C21" i="16" a="1"/>
  <c r="B21" i="16"/>
  <c r="B21" i="16" a="1"/>
  <c r="A21" i="16"/>
  <c r="C20" i="16"/>
  <c r="C20" i="16" a="1"/>
  <c r="B20" i="16"/>
  <c r="B20" i="16" a="1"/>
  <c r="A20" i="16"/>
  <c r="C19" i="16"/>
  <c r="C19" i="16" a="1"/>
  <c r="B19" i="16"/>
  <c r="B19" i="16" a="1"/>
  <c r="A19" i="16"/>
  <c r="C18" i="16"/>
  <c r="C18" i="16" a="1"/>
  <c r="B18" i="16"/>
  <c r="B18" i="16" a="1"/>
  <c r="A18" i="16"/>
  <c r="C17" i="16"/>
  <c r="C17" i="16" a="1"/>
  <c r="B17" i="16"/>
  <c r="B17" i="16" a="1"/>
  <c r="A17" i="16"/>
  <c r="C16" i="16"/>
  <c r="C16" i="16" a="1"/>
  <c r="B16" i="16"/>
  <c r="B16" i="16" a="1"/>
  <c r="A16" i="16"/>
  <c r="C15" i="16"/>
  <c r="C15" i="16" a="1"/>
  <c r="B15" i="16"/>
  <c r="B15" i="16" a="1"/>
  <c r="A15" i="16"/>
  <c r="C14" i="16"/>
  <c r="C14" i="16" a="1"/>
  <c r="B14" i="16"/>
  <c r="B14" i="16" a="1"/>
  <c r="A14" i="16"/>
  <c r="C13" i="16"/>
  <c r="C13" i="16" a="1"/>
  <c r="B13" i="16"/>
  <c r="B13" i="16" a="1"/>
  <c r="A13" i="16"/>
  <c r="C12" i="16"/>
  <c r="C12" i="16" a="1"/>
  <c r="B12" i="16"/>
  <c r="B12" i="16" a="1"/>
  <c r="A12" i="16"/>
  <c r="C11" i="16"/>
  <c r="C11" i="16" a="1"/>
  <c r="B11" i="16"/>
  <c r="B11" i="16" a="1"/>
  <c r="A11" i="16"/>
  <c r="C8" i="16"/>
  <c r="B8" i="16"/>
  <c r="C7" i="16"/>
  <c r="B7" i="16"/>
  <c r="C6" i="16"/>
  <c r="B6" i="16"/>
  <c r="C5" i="16"/>
  <c r="B5" i="16"/>
  <c r="C4" i="16"/>
  <c r="B4" i="16"/>
  <c r="C3" i="16"/>
  <c r="B3" i="16"/>
  <c r="D1" i="16"/>
  <c r="A1" i="16"/>
  <c r="C99" i="15"/>
  <c r="C99" i="15" a="1"/>
  <c r="B99" i="15"/>
  <c r="B99" i="15" a="1"/>
  <c r="A99" i="15"/>
  <c r="C98" i="15"/>
  <c r="C98" i="15" a="1"/>
  <c r="B98" i="15"/>
  <c r="B98" i="15" a="1"/>
  <c r="A98" i="15"/>
  <c r="C97" i="15"/>
  <c r="C97" i="15" a="1"/>
  <c r="B97" i="15"/>
  <c r="B97" i="15" a="1"/>
  <c r="A97" i="15"/>
  <c r="C96" i="15"/>
  <c r="C96" i="15" a="1"/>
  <c r="B96" i="15"/>
  <c r="B96" i="15" a="1"/>
  <c r="A96" i="15"/>
  <c r="C95" i="15"/>
  <c r="C95" i="15" a="1"/>
  <c r="B95" i="15"/>
  <c r="B95" i="15" a="1"/>
  <c r="A95" i="15"/>
  <c r="C94" i="15"/>
  <c r="C94" i="15" a="1"/>
  <c r="B94" i="15"/>
  <c r="B94" i="15" a="1"/>
  <c r="A94" i="15"/>
  <c r="C93" i="15"/>
  <c r="C93" i="15" a="1"/>
  <c r="B93" i="15"/>
  <c r="B93" i="15" a="1"/>
  <c r="A93" i="15"/>
  <c r="C92" i="15"/>
  <c r="C92" i="15" a="1"/>
  <c r="B92" i="15"/>
  <c r="B92" i="15" a="1"/>
  <c r="A92" i="15"/>
  <c r="C91" i="15"/>
  <c r="C91" i="15" a="1"/>
  <c r="B91" i="15"/>
  <c r="B91" i="15" a="1"/>
  <c r="A91" i="15"/>
  <c r="C90" i="15"/>
  <c r="C90" i="15" a="1"/>
  <c r="B90" i="15"/>
  <c r="B90" i="15" a="1"/>
  <c r="A90" i="15"/>
  <c r="C89" i="15"/>
  <c r="C89" i="15" a="1"/>
  <c r="B89" i="15"/>
  <c r="B89" i="15" a="1"/>
  <c r="A89" i="15"/>
  <c r="C88" i="15"/>
  <c r="C88" i="15" a="1"/>
  <c r="B88" i="15"/>
  <c r="B88" i="15" a="1"/>
  <c r="A88" i="15"/>
  <c r="C87" i="15"/>
  <c r="C87" i="15" a="1"/>
  <c r="B87" i="15"/>
  <c r="B87" i="15" a="1"/>
  <c r="A87" i="15"/>
  <c r="C86" i="15"/>
  <c r="C86" i="15" a="1"/>
  <c r="B86" i="15"/>
  <c r="B86" i="15" a="1"/>
  <c r="A86" i="15"/>
  <c r="C85" i="15"/>
  <c r="C85" i="15" a="1"/>
  <c r="B85" i="15"/>
  <c r="B85" i="15" a="1"/>
  <c r="A85" i="15"/>
  <c r="C84" i="15"/>
  <c r="C84" i="15" a="1"/>
  <c r="B84" i="15"/>
  <c r="B84" i="15" a="1"/>
  <c r="A84" i="15"/>
  <c r="C83" i="15"/>
  <c r="C83" i="15" a="1"/>
  <c r="B83" i="15"/>
  <c r="B83" i="15" a="1"/>
  <c r="A83" i="15"/>
  <c r="C82" i="15"/>
  <c r="C82" i="15" a="1"/>
  <c r="B82" i="15"/>
  <c r="B82" i="15" a="1"/>
  <c r="A82" i="15"/>
  <c r="C81" i="15"/>
  <c r="C81" i="15" a="1"/>
  <c r="B81" i="15"/>
  <c r="B81" i="15" a="1"/>
  <c r="A81" i="15"/>
  <c r="C80" i="15"/>
  <c r="C80" i="15" a="1"/>
  <c r="B80" i="15"/>
  <c r="B80" i="15" a="1"/>
  <c r="A80" i="15"/>
  <c r="C79" i="15"/>
  <c r="C79" i="15" a="1"/>
  <c r="B79" i="15"/>
  <c r="B79" i="15" a="1"/>
  <c r="A79" i="15"/>
  <c r="C78" i="15"/>
  <c r="C78" i="15" a="1"/>
  <c r="B78" i="15"/>
  <c r="B78" i="15" a="1"/>
  <c r="A78" i="15"/>
  <c r="C77" i="15"/>
  <c r="C77" i="15" a="1"/>
  <c r="B77" i="15"/>
  <c r="B77" i="15" a="1"/>
  <c r="A77" i="15"/>
  <c r="C76" i="15"/>
  <c r="C76" i="15" a="1"/>
  <c r="B76" i="15"/>
  <c r="B76" i="15" a="1"/>
  <c r="A76" i="15"/>
  <c r="C75" i="15"/>
  <c r="C75" i="15" a="1"/>
  <c r="B75" i="15"/>
  <c r="B75" i="15" a="1"/>
  <c r="A75" i="15"/>
  <c r="C74" i="15"/>
  <c r="C74" i="15" a="1"/>
  <c r="B74" i="15"/>
  <c r="B74" i="15" a="1"/>
  <c r="A74" i="15"/>
  <c r="C73" i="15"/>
  <c r="C73" i="15" a="1"/>
  <c r="B73" i="15"/>
  <c r="B73" i="15" a="1"/>
  <c r="A73" i="15"/>
  <c r="C72" i="15"/>
  <c r="C72" i="15" a="1"/>
  <c r="B72" i="15"/>
  <c r="B72" i="15" a="1"/>
  <c r="A72" i="15"/>
  <c r="C71" i="15"/>
  <c r="C71" i="15" a="1"/>
  <c r="B71" i="15"/>
  <c r="B71" i="15" a="1"/>
  <c r="A71" i="15"/>
  <c r="C70" i="15"/>
  <c r="C70" i="15" a="1"/>
  <c r="B70" i="15"/>
  <c r="B70" i="15" a="1"/>
  <c r="A70" i="15"/>
  <c r="C69" i="15"/>
  <c r="C69" i="15" a="1"/>
  <c r="B69" i="15"/>
  <c r="B69" i="15" a="1"/>
  <c r="A69" i="15"/>
  <c r="C68" i="15"/>
  <c r="C68" i="15" a="1"/>
  <c r="B68" i="15"/>
  <c r="B68" i="15" a="1"/>
  <c r="A68" i="15"/>
  <c r="C67" i="15"/>
  <c r="C67" i="15" a="1"/>
  <c r="B67" i="15"/>
  <c r="B67" i="15" a="1"/>
  <c r="A67" i="15"/>
  <c r="C66" i="15"/>
  <c r="C66" i="15" a="1"/>
  <c r="B66" i="15"/>
  <c r="B66" i="15" a="1"/>
  <c r="A66" i="15"/>
  <c r="C65" i="15"/>
  <c r="C65" i="15" a="1"/>
  <c r="B65" i="15"/>
  <c r="B65" i="15" a="1"/>
  <c r="A65" i="15"/>
  <c r="C64" i="15"/>
  <c r="C64" i="15" a="1"/>
  <c r="B64" i="15"/>
  <c r="B64" i="15" a="1"/>
  <c r="A64" i="15"/>
  <c r="C63" i="15"/>
  <c r="C63" i="15" a="1"/>
  <c r="B63" i="15"/>
  <c r="B63" i="15" a="1"/>
  <c r="A63" i="15"/>
  <c r="C62" i="15"/>
  <c r="C62" i="15" a="1"/>
  <c r="B62" i="15"/>
  <c r="B62" i="15" a="1"/>
  <c r="A62" i="15"/>
  <c r="C61" i="15"/>
  <c r="C61" i="15" a="1"/>
  <c r="B61" i="15"/>
  <c r="B61" i="15" a="1"/>
  <c r="A61" i="15"/>
  <c r="C60" i="15"/>
  <c r="C60" i="15" a="1"/>
  <c r="B60" i="15"/>
  <c r="B60" i="15" a="1"/>
  <c r="A60" i="15"/>
  <c r="C59" i="15"/>
  <c r="C59" i="15" a="1"/>
  <c r="B59" i="15"/>
  <c r="B59" i="15" a="1"/>
  <c r="A59" i="15"/>
  <c r="C58" i="15"/>
  <c r="C58" i="15" a="1"/>
  <c r="B58" i="15"/>
  <c r="B58" i="15" a="1"/>
  <c r="A58" i="15"/>
  <c r="C57" i="15"/>
  <c r="C57" i="15" a="1"/>
  <c r="B57" i="15"/>
  <c r="B57" i="15" a="1"/>
  <c r="A57" i="15"/>
  <c r="C56" i="15"/>
  <c r="C56" i="15" a="1"/>
  <c r="B56" i="15"/>
  <c r="B56" i="15" a="1"/>
  <c r="A56" i="15"/>
  <c r="C55" i="15"/>
  <c r="C55" i="15" a="1"/>
  <c r="B55" i="15"/>
  <c r="B55" i="15" a="1"/>
  <c r="A55" i="15"/>
  <c r="C54" i="15"/>
  <c r="C54" i="15" a="1"/>
  <c r="B54" i="15"/>
  <c r="B54" i="15" a="1"/>
  <c r="A54" i="15"/>
  <c r="C53" i="15"/>
  <c r="C53" i="15" a="1"/>
  <c r="B53" i="15"/>
  <c r="B53" i="15" a="1"/>
  <c r="A53" i="15"/>
  <c r="C52" i="15"/>
  <c r="C52" i="15" a="1"/>
  <c r="B52" i="15"/>
  <c r="B52" i="15" a="1"/>
  <c r="A52" i="15"/>
  <c r="C51" i="15"/>
  <c r="C51" i="15" a="1"/>
  <c r="B51" i="15"/>
  <c r="B51" i="15" a="1"/>
  <c r="A51" i="15"/>
  <c r="C50" i="15"/>
  <c r="C50" i="15" a="1"/>
  <c r="B50" i="15"/>
  <c r="B50" i="15" a="1"/>
  <c r="A50" i="15"/>
  <c r="C49" i="15"/>
  <c r="C49" i="15" a="1"/>
  <c r="B49" i="15"/>
  <c r="B49" i="15" a="1"/>
  <c r="A49" i="15"/>
  <c r="C48" i="15"/>
  <c r="C48" i="15" a="1"/>
  <c r="B48" i="15"/>
  <c r="B48" i="15" a="1"/>
  <c r="A48" i="15"/>
  <c r="C47" i="15"/>
  <c r="C47" i="15" a="1"/>
  <c r="B47" i="15"/>
  <c r="B47" i="15" a="1"/>
  <c r="A47" i="15"/>
  <c r="C46" i="15"/>
  <c r="C46" i="15" a="1"/>
  <c r="B46" i="15"/>
  <c r="B46" i="15" a="1"/>
  <c r="A46" i="15"/>
  <c r="C45" i="15"/>
  <c r="C45" i="15" a="1"/>
  <c r="B45" i="15"/>
  <c r="B45" i="15" a="1"/>
  <c r="A45" i="15"/>
  <c r="C44" i="15"/>
  <c r="C44" i="15" a="1"/>
  <c r="B44" i="15"/>
  <c r="B44" i="15" a="1"/>
  <c r="A44" i="15"/>
  <c r="C43" i="15"/>
  <c r="C43" i="15" a="1"/>
  <c r="B43" i="15"/>
  <c r="B43" i="15" a="1"/>
  <c r="A43" i="15"/>
  <c r="C42" i="15"/>
  <c r="C42" i="15" a="1"/>
  <c r="B42" i="15"/>
  <c r="B42" i="15" a="1"/>
  <c r="A42" i="15"/>
  <c r="C41" i="15"/>
  <c r="C41" i="15" a="1"/>
  <c r="B41" i="15"/>
  <c r="B41" i="15" a="1"/>
  <c r="A41" i="15"/>
  <c r="C40" i="15"/>
  <c r="C40" i="15" a="1"/>
  <c r="B40" i="15"/>
  <c r="B40" i="15" a="1"/>
  <c r="A40" i="15"/>
  <c r="C39" i="15"/>
  <c r="C39" i="15" a="1"/>
  <c r="B39" i="15"/>
  <c r="B39" i="15" a="1"/>
  <c r="A39" i="15"/>
  <c r="C38" i="15"/>
  <c r="C38" i="15" a="1"/>
  <c r="B38" i="15"/>
  <c r="B38" i="15" a="1"/>
  <c r="A38" i="15"/>
  <c r="C37" i="15"/>
  <c r="C37" i="15" a="1"/>
  <c r="B37" i="15"/>
  <c r="B37" i="15" a="1"/>
  <c r="A37" i="15"/>
  <c r="C36" i="15"/>
  <c r="C36" i="15" a="1"/>
  <c r="B36" i="15"/>
  <c r="B36" i="15" a="1"/>
  <c r="A36" i="15"/>
  <c r="C35" i="15"/>
  <c r="C35" i="15" a="1"/>
  <c r="B35" i="15"/>
  <c r="B35" i="15" a="1"/>
  <c r="A35" i="15"/>
  <c r="C34" i="15"/>
  <c r="C34" i="15" a="1"/>
  <c r="B34" i="15"/>
  <c r="B34" i="15" a="1"/>
  <c r="A34" i="15"/>
  <c r="C33" i="15"/>
  <c r="C33" i="15" a="1"/>
  <c r="B33" i="15"/>
  <c r="B33" i="15" a="1"/>
  <c r="A33" i="15"/>
  <c r="C32" i="15"/>
  <c r="C32" i="15" a="1"/>
  <c r="B32" i="15"/>
  <c r="B32" i="15" a="1"/>
  <c r="A32" i="15"/>
  <c r="C31" i="15"/>
  <c r="C31" i="15" a="1"/>
  <c r="B31" i="15"/>
  <c r="B31" i="15" a="1"/>
  <c r="A31" i="15"/>
  <c r="C30" i="15"/>
  <c r="C30" i="15" a="1"/>
  <c r="B30" i="15"/>
  <c r="B30" i="15" a="1"/>
  <c r="A30" i="15"/>
  <c r="C29" i="15"/>
  <c r="C29" i="15" a="1"/>
  <c r="B29" i="15"/>
  <c r="B29" i="15" a="1"/>
  <c r="A29" i="15"/>
  <c r="C28" i="15"/>
  <c r="C28" i="15" a="1"/>
  <c r="B28" i="15"/>
  <c r="B28" i="15" a="1"/>
  <c r="A28" i="15"/>
  <c r="C27" i="15"/>
  <c r="C27" i="15" a="1"/>
  <c r="B27" i="15"/>
  <c r="B27" i="15" a="1"/>
  <c r="A27" i="15"/>
  <c r="C26" i="15"/>
  <c r="C26" i="15" a="1"/>
  <c r="B26" i="15"/>
  <c r="B26" i="15" a="1"/>
  <c r="A26" i="15"/>
  <c r="C25" i="15"/>
  <c r="C25" i="15" a="1"/>
  <c r="B25" i="15"/>
  <c r="B25" i="15" a="1"/>
  <c r="A25" i="15"/>
  <c r="C24" i="15"/>
  <c r="C24" i="15" a="1"/>
  <c r="B24" i="15"/>
  <c r="B24" i="15" a="1"/>
  <c r="A24" i="15"/>
  <c r="C23" i="15"/>
  <c r="C23" i="15" a="1"/>
  <c r="B23" i="15"/>
  <c r="B23" i="15" a="1"/>
  <c r="A23" i="15"/>
  <c r="C22" i="15"/>
  <c r="C22" i="15" a="1"/>
  <c r="B22" i="15"/>
  <c r="B22" i="15" a="1"/>
  <c r="A22" i="15"/>
  <c r="C21" i="15"/>
  <c r="C21" i="15" a="1"/>
  <c r="B21" i="15"/>
  <c r="B21" i="15" a="1"/>
  <c r="A21" i="15"/>
  <c r="C20" i="15"/>
  <c r="C20" i="15" a="1"/>
  <c r="B20" i="15"/>
  <c r="B20" i="15" a="1"/>
  <c r="A20" i="15"/>
  <c r="C19" i="15"/>
  <c r="C19" i="15" a="1"/>
  <c r="B19" i="15"/>
  <c r="B19" i="15" a="1"/>
  <c r="A19" i="15"/>
  <c r="C18" i="15"/>
  <c r="C18" i="15" a="1"/>
  <c r="B18" i="15"/>
  <c r="B18" i="15" a="1"/>
  <c r="A18" i="15"/>
  <c r="C17" i="15"/>
  <c r="C17" i="15" a="1"/>
  <c r="B17" i="15"/>
  <c r="B17" i="15" a="1"/>
  <c r="A17" i="15"/>
  <c r="C16" i="15"/>
  <c r="C16" i="15" a="1"/>
  <c r="B16" i="15"/>
  <c r="B16" i="15" a="1"/>
  <c r="A16" i="15"/>
  <c r="C15" i="15"/>
  <c r="C15" i="15" a="1"/>
  <c r="B15" i="15"/>
  <c r="B15" i="15" a="1"/>
  <c r="A15" i="15"/>
  <c r="C14" i="15"/>
  <c r="C14" i="15" a="1"/>
  <c r="B14" i="15"/>
  <c r="B14" i="15" a="1"/>
  <c r="A14" i="15"/>
  <c r="C13" i="15"/>
  <c r="C13" i="15" a="1"/>
  <c r="B13" i="15"/>
  <c r="B13" i="15" a="1"/>
  <c r="A13" i="15"/>
  <c r="C12" i="15"/>
  <c r="C12" i="15" a="1"/>
  <c r="B12" i="15"/>
  <c r="B12" i="15" a="1"/>
  <c r="A12" i="15"/>
  <c r="C11" i="15"/>
  <c r="C11" i="15" a="1"/>
  <c r="B11" i="15"/>
  <c r="B11" i="15" a="1"/>
  <c r="A11" i="15"/>
  <c r="C8" i="15"/>
  <c r="B8" i="15"/>
  <c r="C7" i="15"/>
  <c r="B7" i="15"/>
  <c r="C6" i="15"/>
  <c r="B6" i="15"/>
  <c r="C5" i="15"/>
  <c r="B5" i="15"/>
  <c r="C4" i="15"/>
  <c r="B4" i="15"/>
  <c r="C3" i="15"/>
  <c r="B3" i="15"/>
  <c r="D1" i="15"/>
  <c r="A1" i="15"/>
  <c r="C99" i="14"/>
  <c r="C99" i="14" a="1"/>
  <c r="B99" i="14"/>
  <c r="B99" i="14" a="1"/>
  <c r="A99" i="14"/>
  <c r="C98" i="14"/>
  <c r="C98" i="14" a="1"/>
  <c r="B98" i="14"/>
  <c r="B98" i="14" a="1"/>
  <c r="A98" i="14"/>
  <c r="C97" i="14"/>
  <c r="C97" i="14" a="1"/>
  <c r="B97" i="14"/>
  <c r="B97" i="14" a="1"/>
  <c r="A97" i="14"/>
  <c r="C96" i="14"/>
  <c r="C96" i="14" a="1"/>
  <c r="B96" i="14"/>
  <c r="B96" i="14" a="1"/>
  <c r="A96" i="14"/>
  <c r="C95" i="14"/>
  <c r="C95" i="14" a="1"/>
  <c r="B95" i="14"/>
  <c r="B95" i="14" a="1"/>
  <c r="A95" i="14"/>
  <c r="C94" i="14"/>
  <c r="C94" i="14" a="1"/>
  <c r="B94" i="14"/>
  <c r="B94" i="14" a="1"/>
  <c r="A94" i="14"/>
  <c r="C93" i="14"/>
  <c r="C93" i="14" a="1"/>
  <c r="B93" i="14"/>
  <c r="B93" i="14" a="1"/>
  <c r="A93" i="14"/>
  <c r="C92" i="14"/>
  <c r="C92" i="14" a="1"/>
  <c r="B92" i="14"/>
  <c r="B92" i="14" a="1"/>
  <c r="A92" i="14"/>
  <c r="C91" i="14"/>
  <c r="C91" i="14" a="1"/>
  <c r="B91" i="14"/>
  <c r="B91" i="14" a="1"/>
  <c r="A91" i="14"/>
  <c r="C90" i="14"/>
  <c r="C90" i="14" a="1"/>
  <c r="B90" i="14"/>
  <c r="B90" i="14" a="1"/>
  <c r="A90" i="14"/>
  <c r="C89" i="14"/>
  <c r="C89" i="14" a="1"/>
  <c r="B89" i="14"/>
  <c r="B89" i="14" a="1"/>
  <c r="A89" i="14"/>
  <c r="C88" i="14"/>
  <c r="C88" i="14" a="1"/>
  <c r="B88" i="14"/>
  <c r="B88" i="14" a="1"/>
  <c r="A88" i="14"/>
  <c r="C87" i="14"/>
  <c r="C87" i="14" a="1"/>
  <c r="B87" i="14"/>
  <c r="B87" i="14" a="1"/>
  <c r="A87" i="14"/>
  <c r="C86" i="14"/>
  <c r="C86" i="14" a="1"/>
  <c r="B86" i="14"/>
  <c r="B86" i="14" a="1"/>
  <c r="A86" i="14"/>
  <c r="C85" i="14"/>
  <c r="C85" i="14" a="1"/>
  <c r="B85" i="14"/>
  <c r="B85" i="14" a="1"/>
  <c r="A85" i="14"/>
  <c r="C84" i="14"/>
  <c r="C84" i="14" a="1"/>
  <c r="B84" i="14"/>
  <c r="B84" i="14" a="1"/>
  <c r="A84" i="14"/>
  <c r="C83" i="14"/>
  <c r="C83" i="14" a="1"/>
  <c r="B83" i="14"/>
  <c r="B83" i="14" a="1"/>
  <c r="A83" i="14"/>
  <c r="C82" i="14"/>
  <c r="C82" i="14" a="1"/>
  <c r="B82" i="14"/>
  <c r="B82" i="14" a="1"/>
  <c r="A82" i="14"/>
  <c r="C81" i="14"/>
  <c r="C81" i="14" a="1"/>
  <c r="B81" i="14"/>
  <c r="B81" i="14" a="1"/>
  <c r="A81" i="14"/>
  <c r="C80" i="14"/>
  <c r="C80" i="14" a="1"/>
  <c r="B80" i="14"/>
  <c r="B80" i="14" a="1"/>
  <c r="A80" i="14"/>
  <c r="C79" i="14"/>
  <c r="C79" i="14" a="1"/>
  <c r="B79" i="14"/>
  <c r="B79" i="14" a="1"/>
  <c r="A79" i="14"/>
  <c r="C78" i="14"/>
  <c r="C78" i="14" a="1"/>
  <c r="B78" i="14"/>
  <c r="B78" i="14" a="1"/>
  <c r="A78" i="14"/>
  <c r="C77" i="14"/>
  <c r="C77" i="14" a="1"/>
  <c r="B77" i="14"/>
  <c r="B77" i="14" a="1"/>
  <c r="A77" i="14"/>
  <c r="C76" i="14"/>
  <c r="C76" i="14" a="1"/>
  <c r="B76" i="14"/>
  <c r="B76" i="14" a="1"/>
  <c r="A76" i="14"/>
  <c r="C75" i="14"/>
  <c r="C75" i="14" a="1"/>
  <c r="B75" i="14"/>
  <c r="B75" i="14" a="1"/>
  <c r="A75" i="14"/>
  <c r="C74" i="14"/>
  <c r="C74" i="14" a="1"/>
  <c r="B74" i="14"/>
  <c r="B74" i="14" a="1"/>
  <c r="A74" i="14"/>
  <c r="C73" i="14"/>
  <c r="C73" i="14" a="1"/>
  <c r="B73" i="14"/>
  <c r="B73" i="14" a="1"/>
  <c r="A73" i="14"/>
  <c r="C72" i="14"/>
  <c r="C72" i="14" a="1"/>
  <c r="B72" i="14"/>
  <c r="B72" i="14" a="1"/>
  <c r="A72" i="14"/>
  <c r="C71" i="14"/>
  <c r="C71" i="14" a="1"/>
  <c r="B71" i="14"/>
  <c r="B71" i="14" a="1"/>
  <c r="A71" i="14"/>
  <c r="C70" i="14"/>
  <c r="C70" i="14" a="1"/>
  <c r="B70" i="14"/>
  <c r="B70" i="14" a="1"/>
  <c r="A70" i="14"/>
  <c r="C69" i="14"/>
  <c r="C69" i="14" a="1"/>
  <c r="B69" i="14"/>
  <c r="B69" i="14" a="1"/>
  <c r="A69" i="14"/>
  <c r="C68" i="14"/>
  <c r="C68" i="14" a="1"/>
  <c r="B68" i="14"/>
  <c r="B68" i="14" a="1"/>
  <c r="A68" i="14"/>
  <c r="C67" i="14"/>
  <c r="C67" i="14" a="1"/>
  <c r="B67" i="14"/>
  <c r="B67" i="14" a="1"/>
  <c r="A67" i="14"/>
  <c r="C66" i="14"/>
  <c r="C66" i="14" a="1"/>
  <c r="B66" i="14"/>
  <c r="B66" i="14" a="1"/>
  <c r="A66" i="14"/>
  <c r="C65" i="14"/>
  <c r="C65" i="14" a="1"/>
  <c r="B65" i="14"/>
  <c r="B65" i="14" a="1"/>
  <c r="A65" i="14"/>
  <c r="C64" i="14"/>
  <c r="C64" i="14" a="1"/>
  <c r="B64" i="14"/>
  <c r="B64" i="14" a="1"/>
  <c r="A64" i="14"/>
  <c r="C63" i="14"/>
  <c r="C63" i="14" a="1"/>
  <c r="B63" i="14"/>
  <c r="B63" i="14" a="1"/>
  <c r="A63" i="14"/>
  <c r="C62" i="14"/>
  <c r="C62" i="14" a="1"/>
  <c r="B62" i="14"/>
  <c r="B62" i="14" a="1"/>
  <c r="A62" i="14"/>
  <c r="C61" i="14"/>
  <c r="C61" i="14" a="1"/>
  <c r="B61" i="14"/>
  <c r="B61" i="14" a="1"/>
  <c r="A61" i="14"/>
  <c r="C60" i="14"/>
  <c r="C60" i="14" a="1"/>
  <c r="B60" i="14"/>
  <c r="B60" i="14" a="1"/>
  <c r="A60" i="14"/>
  <c r="C59" i="14"/>
  <c r="C59" i="14" a="1"/>
  <c r="B59" i="14"/>
  <c r="B59" i="14" a="1"/>
  <c r="A59" i="14"/>
  <c r="C58" i="14"/>
  <c r="C58" i="14" a="1"/>
  <c r="B58" i="14"/>
  <c r="B58" i="14" a="1"/>
  <c r="A58" i="14"/>
  <c r="C57" i="14"/>
  <c r="C57" i="14" a="1"/>
  <c r="B57" i="14"/>
  <c r="B57" i="14" a="1"/>
  <c r="A57" i="14"/>
  <c r="C56" i="14"/>
  <c r="C56" i="14" a="1"/>
  <c r="B56" i="14"/>
  <c r="B56" i="14" a="1"/>
  <c r="A56" i="14"/>
  <c r="C55" i="14"/>
  <c r="C55" i="14" a="1"/>
  <c r="B55" i="14"/>
  <c r="B55" i="14" a="1"/>
  <c r="A55" i="14"/>
  <c r="C54" i="14"/>
  <c r="C54" i="14" a="1"/>
  <c r="B54" i="14"/>
  <c r="B54" i="14" a="1"/>
  <c r="A54" i="14"/>
  <c r="C53" i="14"/>
  <c r="C53" i="14" a="1"/>
  <c r="B53" i="14"/>
  <c r="B53" i="14" a="1"/>
  <c r="A53" i="14"/>
  <c r="C52" i="14"/>
  <c r="C52" i="14" a="1"/>
  <c r="B52" i="14"/>
  <c r="B52" i="14" a="1"/>
  <c r="A52" i="14"/>
  <c r="C51" i="14"/>
  <c r="C51" i="14" a="1"/>
  <c r="B51" i="14"/>
  <c r="B51" i="14" a="1"/>
  <c r="A51" i="14"/>
  <c r="C50" i="14"/>
  <c r="C50" i="14" a="1"/>
  <c r="B50" i="14"/>
  <c r="B50" i="14" a="1"/>
  <c r="A50" i="14"/>
  <c r="C49" i="14"/>
  <c r="C49" i="14" a="1"/>
  <c r="B49" i="14"/>
  <c r="B49" i="14" a="1"/>
  <c r="A49" i="14"/>
  <c r="C48" i="14"/>
  <c r="C48" i="14" a="1"/>
  <c r="B48" i="14"/>
  <c r="B48" i="14" a="1"/>
  <c r="A48" i="14"/>
  <c r="C47" i="14"/>
  <c r="C47" i="14" a="1"/>
  <c r="B47" i="14"/>
  <c r="B47" i="14" a="1"/>
  <c r="A47" i="14"/>
  <c r="C46" i="14"/>
  <c r="C46" i="14" a="1"/>
  <c r="B46" i="14"/>
  <c r="B46" i="14" a="1"/>
  <c r="A46" i="14"/>
  <c r="C45" i="14"/>
  <c r="C45" i="14" a="1"/>
  <c r="B45" i="14"/>
  <c r="B45" i="14" a="1"/>
  <c r="A45" i="14"/>
  <c r="C44" i="14"/>
  <c r="C44" i="14" a="1"/>
  <c r="B44" i="14"/>
  <c r="B44" i="14" a="1"/>
  <c r="A44" i="14"/>
  <c r="C43" i="14"/>
  <c r="C43" i="14" a="1"/>
  <c r="B43" i="14"/>
  <c r="B43" i="14" a="1"/>
  <c r="A43" i="14"/>
  <c r="C42" i="14"/>
  <c r="C42" i="14" a="1"/>
  <c r="B42" i="14"/>
  <c r="B42" i="14" a="1"/>
  <c r="A42" i="14"/>
  <c r="C41" i="14"/>
  <c r="C41" i="14" a="1"/>
  <c r="B41" i="14"/>
  <c r="B41" i="14" a="1"/>
  <c r="A41" i="14"/>
  <c r="C40" i="14"/>
  <c r="C40" i="14" a="1"/>
  <c r="B40" i="14"/>
  <c r="B40" i="14" a="1"/>
  <c r="A40" i="14"/>
  <c r="C39" i="14"/>
  <c r="C39" i="14" a="1"/>
  <c r="B39" i="14"/>
  <c r="B39" i="14" a="1"/>
  <c r="A39" i="14"/>
  <c r="C38" i="14"/>
  <c r="C38" i="14" a="1"/>
  <c r="B38" i="14"/>
  <c r="B38" i="14" a="1"/>
  <c r="A38" i="14"/>
  <c r="C37" i="14"/>
  <c r="C37" i="14" a="1"/>
  <c r="B37" i="14"/>
  <c r="B37" i="14" a="1"/>
  <c r="A37" i="14"/>
  <c r="C36" i="14"/>
  <c r="C36" i="14" a="1"/>
  <c r="B36" i="14"/>
  <c r="B36" i="14" a="1"/>
  <c r="A36" i="14"/>
  <c r="C35" i="14"/>
  <c r="C35" i="14" a="1"/>
  <c r="B35" i="14"/>
  <c r="B35" i="14" a="1"/>
  <c r="A35" i="14"/>
  <c r="C34" i="14"/>
  <c r="C34" i="14" a="1"/>
  <c r="B34" i="14"/>
  <c r="B34" i="14" a="1"/>
  <c r="A34" i="14"/>
  <c r="C33" i="14"/>
  <c r="C33" i="14" a="1"/>
  <c r="B33" i="14"/>
  <c r="B33" i="14" a="1"/>
  <c r="A33" i="14"/>
  <c r="C32" i="14"/>
  <c r="C32" i="14" a="1"/>
  <c r="B32" i="14"/>
  <c r="B32" i="14" a="1"/>
  <c r="A32" i="14"/>
  <c r="C31" i="14"/>
  <c r="C31" i="14" a="1"/>
  <c r="B31" i="14"/>
  <c r="B31" i="14" a="1"/>
  <c r="A31" i="14"/>
  <c r="C30" i="14"/>
  <c r="C30" i="14" a="1"/>
  <c r="B30" i="14"/>
  <c r="B30" i="14" a="1"/>
  <c r="A30" i="14"/>
  <c r="C29" i="14"/>
  <c r="C29" i="14" a="1"/>
  <c r="B29" i="14"/>
  <c r="B29" i="14" a="1"/>
  <c r="A29" i="14"/>
  <c r="C28" i="14"/>
  <c r="C28" i="14" a="1"/>
  <c r="B28" i="14"/>
  <c r="B28" i="14" a="1"/>
  <c r="A28" i="14"/>
  <c r="C27" i="14"/>
  <c r="C27" i="14" a="1"/>
  <c r="B27" i="14"/>
  <c r="B27" i="14" a="1"/>
  <c r="A27" i="14"/>
  <c r="C26" i="14"/>
  <c r="C26" i="14" a="1"/>
  <c r="B26" i="14"/>
  <c r="B26" i="14" a="1"/>
  <c r="A26" i="14"/>
  <c r="C25" i="14"/>
  <c r="C25" i="14" a="1"/>
  <c r="B25" i="14"/>
  <c r="B25" i="14" a="1"/>
  <c r="A25" i="14"/>
  <c r="C24" i="14"/>
  <c r="C24" i="14" a="1"/>
  <c r="B24" i="14"/>
  <c r="B24" i="14" a="1"/>
  <c r="A24" i="14"/>
  <c r="C23" i="14"/>
  <c r="C23" i="14" a="1"/>
  <c r="B23" i="14"/>
  <c r="B23" i="14" a="1"/>
  <c r="A23" i="14"/>
  <c r="C22" i="14"/>
  <c r="C22" i="14" a="1"/>
  <c r="B22" i="14"/>
  <c r="B22" i="14" a="1"/>
  <c r="A22" i="14"/>
  <c r="C21" i="14"/>
  <c r="C21" i="14" a="1"/>
  <c r="B21" i="14"/>
  <c r="B21" i="14" a="1"/>
  <c r="A21" i="14"/>
  <c r="C20" i="14"/>
  <c r="C20" i="14" a="1"/>
  <c r="B20" i="14"/>
  <c r="B20" i="14" a="1"/>
  <c r="A20" i="14"/>
  <c r="C19" i="14"/>
  <c r="C19" i="14" a="1"/>
  <c r="B19" i="14"/>
  <c r="B19" i="14" a="1"/>
  <c r="A19" i="14"/>
  <c r="C18" i="14"/>
  <c r="C18" i="14" a="1"/>
  <c r="B18" i="14"/>
  <c r="B18" i="14" a="1"/>
  <c r="A18" i="14"/>
  <c r="C17" i="14"/>
  <c r="C17" i="14" a="1"/>
  <c r="B17" i="14"/>
  <c r="B17" i="14" a="1"/>
  <c r="A17" i="14"/>
  <c r="C16" i="14"/>
  <c r="C16" i="14" a="1"/>
  <c r="B16" i="14"/>
  <c r="B16" i="14" a="1"/>
  <c r="A16" i="14"/>
  <c r="C15" i="14"/>
  <c r="C15" i="14" a="1"/>
  <c r="B15" i="14"/>
  <c r="B15" i="14" a="1"/>
  <c r="A15" i="14"/>
  <c r="C14" i="14"/>
  <c r="C14" i="14" a="1"/>
  <c r="B14" i="14"/>
  <c r="B14" i="14" a="1"/>
  <c r="A14" i="14"/>
  <c r="C13" i="14"/>
  <c r="C13" i="14" a="1"/>
  <c r="B13" i="14"/>
  <c r="B13" i="14" a="1"/>
  <c r="A13" i="14"/>
  <c r="C12" i="14"/>
  <c r="C12" i="14" a="1"/>
  <c r="B12" i="14"/>
  <c r="B12" i="14" a="1"/>
  <c r="A12" i="14"/>
  <c r="C11" i="14"/>
  <c r="C11" i="14" a="1"/>
  <c r="B11" i="14"/>
  <c r="B11" i="14" a="1"/>
  <c r="A11" i="14"/>
  <c r="C8" i="14"/>
  <c r="B8" i="14"/>
  <c r="C7" i="14"/>
  <c r="B7" i="14"/>
  <c r="C6" i="14"/>
  <c r="B6" i="14"/>
  <c r="C5" i="14"/>
  <c r="B5" i="14"/>
  <c r="C4" i="14"/>
  <c r="B4" i="14"/>
  <c r="C3" i="14"/>
  <c r="B3" i="14"/>
  <c r="D1" i="14"/>
  <c r="A1" i="14"/>
  <c r="C99" i="13"/>
  <c r="C99" i="13" a="1"/>
  <c r="B99" i="13"/>
  <c r="B99" i="13" a="1"/>
  <c r="A99" i="13"/>
  <c r="C98" i="13"/>
  <c r="C98" i="13" a="1"/>
  <c r="B98" i="13"/>
  <c r="B98" i="13" a="1"/>
  <c r="A98" i="13"/>
  <c r="C97" i="13"/>
  <c r="C97" i="13" a="1"/>
  <c r="B97" i="13"/>
  <c r="B97" i="13" a="1"/>
  <c r="A97" i="13"/>
  <c r="C96" i="13"/>
  <c r="C96" i="13" a="1"/>
  <c r="B96" i="13"/>
  <c r="B96" i="13" a="1"/>
  <c r="A96" i="13"/>
  <c r="C95" i="13"/>
  <c r="C95" i="13" a="1"/>
  <c r="B95" i="13"/>
  <c r="B95" i="13" a="1"/>
  <c r="A95" i="13"/>
  <c r="C94" i="13"/>
  <c r="C94" i="13" a="1"/>
  <c r="B94" i="13"/>
  <c r="B94" i="13" a="1"/>
  <c r="A94" i="13"/>
  <c r="C93" i="13"/>
  <c r="C93" i="13" a="1"/>
  <c r="B93" i="13"/>
  <c r="B93" i="13" a="1"/>
  <c r="A93" i="13"/>
  <c r="C92" i="13"/>
  <c r="C92" i="13" a="1"/>
  <c r="B92" i="13"/>
  <c r="B92" i="13" a="1"/>
  <c r="A92" i="13"/>
  <c r="C91" i="13"/>
  <c r="C91" i="13" a="1"/>
  <c r="B91" i="13"/>
  <c r="B91" i="13" a="1"/>
  <c r="A91" i="13"/>
  <c r="C90" i="13"/>
  <c r="C90" i="13" a="1"/>
  <c r="B90" i="13"/>
  <c r="B90" i="13" a="1"/>
  <c r="A90" i="13"/>
  <c r="C89" i="13"/>
  <c r="C89" i="13" a="1"/>
  <c r="B89" i="13"/>
  <c r="B89" i="13" a="1"/>
  <c r="A89" i="13"/>
  <c r="C88" i="13"/>
  <c r="C88" i="13" a="1"/>
  <c r="B88" i="13"/>
  <c r="B88" i="13" a="1"/>
  <c r="A88" i="13"/>
  <c r="C87" i="13"/>
  <c r="C87" i="13" a="1"/>
  <c r="B87" i="13"/>
  <c r="B87" i="13" a="1"/>
  <c r="A87" i="13"/>
  <c r="C86" i="13"/>
  <c r="C86" i="13" a="1"/>
  <c r="B86" i="13"/>
  <c r="B86" i="13" a="1"/>
  <c r="A86" i="13"/>
  <c r="C85" i="13"/>
  <c r="C85" i="13" a="1"/>
  <c r="B85" i="13"/>
  <c r="B85" i="13" a="1"/>
  <c r="A85" i="13"/>
  <c r="C84" i="13"/>
  <c r="C84" i="13" a="1"/>
  <c r="B84" i="13"/>
  <c r="B84" i="13" a="1"/>
  <c r="A84" i="13"/>
  <c r="C83" i="13"/>
  <c r="C83" i="13" a="1"/>
  <c r="B83" i="13"/>
  <c r="B83" i="13" a="1"/>
  <c r="A83" i="13"/>
  <c r="C82" i="13"/>
  <c r="C82" i="13" a="1"/>
  <c r="B82" i="13"/>
  <c r="B82" i="13" a="1"/>
  <c r="A82" i="13"/>
  <c r="C81" i="13"/>
  <c r="C81" i="13" a="1"/>
  <c r="B81" i="13"/>
  <c r="B81" i="13" a="1"/>
  <c r="A81" i="13"/>
  <c r="C80" i="13"/>
  <c r="C80" i="13" a="1"/>
  <c r="B80" i="13"/>
  <c r="B80" i="13" a="1"/>
  <c r="A80" i="13"/>
  <c r="C79" i="13"/>
  <c r="C79" i="13" a="1"/>
  <c r="B79" i="13"/>
  <c r="B79" i="13" a="1"/>
  <c r="A79" i="13"/>
  <c r="C78" i="13"/>
  <c r="C78" i="13" a="1"/>
  <c r="B78" i="13"/>
  <c r="B78" i="13" a="1"/>
  <c r="A78" i="13"/>
  <c r="C77" i="13"/>
  <c r="C77" i="13" a="1"/>
  <c r="B77" i="13"/>
  <c r="B77" i="13" a="1"/>
  <c r="A77" i="13"/>
  <c r="C76" i="13"/>
  <c r="C76" i="13" a="1"/>
  <c r="B76" i="13"/>
  <c r="B76" i="13" a="1"/>
  <c r="A76" i="13"/>
  <c r="C75" i="13"/>
  <c r="C75" i="13" a="1"/>
  <c r="B75" i="13"/>
  <c r="B75" i="13" a="1"/>
  <c r="A75" i="13"/>
  <c r="C74" i="13"/>
  <c r="C74" i="13" a="1"/>
  <c r="B74" i="13"/>
  <c r="B74" i="13" a="1"/>
  <c r="A74" i="13"/>
  <c r="C73" i="13"/>
  <c r="C73" i="13" a="1"/>
  <c r="B73" i="13"/>
  <c r="B73" i="13" a="1"/>
  <c r="A73" i="13"/>
  <c r="C72" i="13"/>
  <c r="C72" i="13" a="1"/>
  <c r="B72" i="13"/>
  <c r="B72" i="13" a="1"/>
  <c r="A72" i="13"/>
  <c r="C71" i="13"/>
  <c r="C71" i="13" a="1"/>
  <c r="B71" i="13"/>
  <c r="B71" i="13" a="1"/>
  <c r="A71" i="13"/>
  <c r="C70" i="13"/>
  <c r="C70" i="13" a="1"/>
  <c r="B70" i="13"/>
  <c r="B70" i="13" a="1"/>
  <c r="A70" i="13"/>
  <c r="C69" i="13"/>
  <c r="C69" i="13" a="1"/>
  <c r="B69" i="13"/>
  <c r="B69" i="13" a="1"/>
  <c r="A69" i="13"/>
  <c r="C68" i="13"/>
  <c r="C68" i="13" a="1"/>
  <c r="B68" i="13"/>
  <c r="B68" i="13" a="1"/>
  <c r="A68" i="13"/>
  <c r="C67" i="13"/>
  <c r="C67" i="13" a="1"/>
  <c r="B67" i="13"/>
  <c r="B67" i="13" a="1"/>
  <c r="A67" i="13"/>
  <c r="C66" i="13"/>
  <c r="C66" i="13" a="1"/>
  <c r="B66" i="13"/>
  <c r="B66" i="13" a="1"/>
  <c r="A66" i="13"/>
  <c r="C65" i="13"/>
  <c r="C65" i="13" a="1"/>
  <c r="B65" i="13"/>
  <c r="B65" i="13" a="1"/>
  <c r="A65" i="13"/>
  <c r="C64" i="13"/>
  <c r="C64" i="13" a="1"/>
  <c r="B64" i="13"/>
  <c r="B64" i="13" a="1"/>
  <c r="A64" i="13"/>
  <c r="C63" i="13"/>
  <c r="C63" i="13" a="1"/>
  <c r="B63" i="13"/>
  <c r="B63" i="13" a="1"/>
  <c r="A63" i="13"/>
  <c r="C62" i="13"/>
  <c r="C62" i="13" a="1"/>
  <c r="B62" i="13"/>
  <c r="B62" i="13" a="1"/>
  <c r="A62" i="13"/>
  <c r="C61" i="13"/>
  <c r="C61" i="13" a="1"/>
  <c r="B61" i="13"/>
  <c r="B61" i="13" a="1"/>
  <c r="A61" i="13"/>
  <c r="C60" i="13"/>
  <c r="C60" i="13" a="1"/>
  <c r="B60" i="13"/>
  <c r="B60" i="13" a="1"/>
  <c r="A60" i="13"/>
  <c r="C59" i="13"/>
  <c r="C59" i="13" a="1"/>
  <c r="B59" i="13"/>
  <c r="B59" i="13" a="1"/>
  <c r="A59" i="13"/>
  <c r="C58" i="13"/>
  <c r="C58" i="13" a="1"/>
  <c r="B58" i="13"/>
  <c r="B58" i="13" a="1"/>
  <c r="A58" i="13"/>
  <c r="C57" i="13"/>
  <c r="C57" i="13" a="1"/>
  <c r="B57" i="13"/>
  <c r="B57" i="13" a="1"/>
  <c r="A57" i="13"/>
  <c r="C56" i="13"/>
  <c r="C56" i="13" a="1"/>
  <c r="B56" i="13"/>
  <c r="B56" i="13" a="1"/>
  <c r="A56" i="13"/>
  <c r="C55" i="13"/>
  <c r="C55" i="13" a="1"/>
  <c r="B55" i="13"/>
  <c r="B55" i="13" a="1"/>
  <c r="A55" i="13"/>
  <c r="C54" i="13"/>
  <c r="C54" i="13" a="1"/>
  <c r="B54" i="13"/>
  <c r="B54" i="13" a="1"/>
  <c r="A54" i="13"/>
  <c r="C53" i="13"/>
  <c r="C53" i="13" a="1"/>
  <c r="B53" i="13"/>
  <c r="B53" i="13" a="1"/>
  <c r="A53" i="13"/>
  <c r="C52" i="13"/>
  <c r="C52" i="13" a="1"/>
  <c r="B52" i="13"/>
  <c r="B52" i="13" a="1"/>
  <c r="A52" i="13"/>
  <c r="C51" i="13"/>
  <c r="C51" i="13" a="1"/>
  <c r="B51" i="13"/>
  <c r="B51" i="13" a="1"/>
  <c r="A51" i="13"/>
  <c r="C50" i="13"/>
  <c r="C50" i="13" a="1"/>
  <c r="B50" i="13"/>
  <c r="B50" i="13" a="1"/>
  <c r="A50" i="13"/>
  <c r="C49" i="13"/>
  <c r="C49" i="13" a="1"/>
  <c r="B49" i="13"/>
  <c r="B49" i="13" a="1"/>
  <c r="A49" i="13"/>
  <c r="C48" i="13"/>
  <c r="C48" i="13" a="1"/>
  <c r="B48" i="13"/>
  <c r="B48" i="13" a="1"/>
  <c r="A48" i="13"/>
  <c r="C47" i="13"/>
  <c r="C47" i="13" a="1"/>
  <c r="B47" i="13"/>
  <c r="B47" i="13" a="1"/>
  <c r="A47" i="13"/>
  <c r="C46" i="13"/>
  <c r="C46" i="13" a="1"/>
  <c r="B46" i="13"/>
  <c r="B46" i="13" a="1"/>
  <c r="A46" i="13"/>
  <c r="C45" i="13"/>
  <c r="C45" i="13" a="1"/>
  <c r="B45" i="13"/>
  <c r="B45" i="13" a="1"/>
  <c r="A45" i="13"/>
  <c r="C44" i="13"/>
  <c r="C44" i="13" a="1"/>
  <c r="B44" i="13"/>
  <c r="B44" i="13" a="1"/>
  <c r="A44" i="13"/>
  <c r="C43" i="13"/>
  <c r="C43" i="13" a="1"/>
  <c r="B43" i="13"/>
  <c r="B43" i="13" a="1"/>
  <c r="A43" i="13"/>
  <c r="C42" i="13"/>
  <c r="C42" i="13" a="1"/>
  <c r="B42" i="13"/>
  <c r="B42" i="13" a="1"/>
  <c r="A42" i="13"/>
  <c r="C41" i="13"/>
  <c r="C41" i="13" a="1"/>
  <c r="B41" i="13"/>
  <c r="B41" i="13" a="1"/>
  <c r="A41" i="13"/>
  <c r="C40" i="13"/>
  <c r="C40" i="13" a="1"/>
  <c r="B40" i="13"/>
  <c r="B40" i="13" a="1"/>
  <c r="A40" i="13"/>
  <c r="C39" i="13"/>
  <c r="C39" i="13" a="1"/>
  <c r="B39" i="13"/>
  <c r="B39" i="13" a="1"/>
  <c r="A39" i="13"/>
  <c r="C38" i="13"/>
  <c r="C38" i="13" a="1"/>
  <c r="B38" i="13"/>
  <c r="B38" i="13" a="1"/>
  <c r="A38" i="13"/>
  <c r="C37" i="13"/>
  <c r="C37" i="13" a="1"/>
  <c r="B37" i="13"/>
  <c r="B37" i="13" a="1"/>
  <c r="A37" i="13"/>
  <c r="C36" i="13"/>
  <c r="C36" i="13" a="1"/>
  <c r="B36" i="13"/>
  <c r="B36" i="13" a="1"/>
  <c r="A36" i="13"/>
  <c r="C35" i="13"/>
  <c r="C35" i="13" a="1"/>
  <c r="B35" i="13"/>
  <c r="B35" i="13" a="1"/>
  <c r="A35" i="13"/>
  <c r="C34" i="13"/>
  <c r="C34" i="13" a="1"/>
  <c r="B34" i="13"/>
  <c r="B34" i="13" a="1"/>
  <c r="A34" i="13"/>
  <c r="C33" i="13"/>
  <c r="C33" i="13" a="1"/>
  <c r="B33" i="13"/>
  <c r="B33" i="13" a="1"/>
  <c r="A33" i="13"/>
  <c r="C32" i="13"/>
  <c r="C32" i="13" a="1"/>
  <c r="B32" i="13"/>
  <c r="B32" i="13" a="1"/>
  <c r="A32" i="13"/>
  <c r="C31" i="13"/>
  <c r="C31" i="13" a="1"/>
  <c r="B31" i="13"/>
  <c r="B31" i="13" a="1"/>
  <c r="A31" i="13"/>
  <c r="C30" i="13"/>
  <c r="C30" i="13" a="1"/>
  <c r="B30" i="13"/>
  <c r="B30" i="13" a="1"/>
  <c r="A30" i="13"/>
  <c r="C29" i="13"/>
  <c r="C29" i="13" a="1"/>
  <c r="B29" i="13"/>
  <c r="B29" i="13" a="1"/>
  <c r="A29" i="13"/>
  <c r="C28" i="13"/>
  <c r="C28" i="13" a="1"/>
  <c r="B28" i="13"/>
  <c r="B28" i="13" a="1"/>
  <c r="A28" i="13"/>
  <c r="C27" i="13"/>
  <c r="C27" i="13" a="1"/>
  <c r="B27" i="13"/>
  <c r="B27" i="13" a="1"/>
  <c r="A27" i="13"/>
  <c r="C26" i="13"/>
  <c r="C26" i="13" a="1"/>
  <c r="B26" i="13"/>
  <c r="B26" i="13" a="1"/>
  <c r="A26" i="13"/>
  <c r="C25" i="13"/>
  <c r="C25" i="13" a="1"/>
  <c r="B25" i="13"/>
  <c r="B25" i="13" a="1"/>
  <c r="A25" i="13"/>
  <c r="C24" i="13"/>
  <c r="C24" i="13" a="1"/>
  <c r="B24" i="13"/>
  <c r="B24" i="13" a="1"/>
  <c r="A24" i="13"/>
  <c r="C23" i="13"/>
  <c r="C23" i="13" a="1"/>
  <c r="B23" i="13"/>
  <c r="B23" i="13" a="1"/>
  <c r="A23" i="13"/>
  <c r="C22" i="13"/>
  <c r="C22" i="13" a="1"/>
  <c r="B22" i="13"/>
  <c r="B22" i="13" a="1"/>
  <c r="A22" i="13"/>
  <c r="C21" i="13"/>
  <c r="C21" i="13" a="1"/>
  <c r="B21" i="13"/>
  <c r="B21" i="13" a="1"/>
  <c r="A21" i="13"/>
  <c r="C20" i="13"/>
  <c r="C20" i="13" a="1"/>
  <c r="B20" i="13"/>
  <c r="B20" i="13" a="1"/>
  <c r="A20" i="13"/>
  <c r="C19" i="13"/>
  <c r="C19" i="13" a="1"/>
  <c r="B19" i="13"/>
  <c r="B19" i="13" a="1"/>
  <c r="A19" i="13"/>
  <c r="C18" i="13"/>
  <c r="C18" i="13" a="1"/>
  <c r="B18" i="13"/>
  <c r="B18" i="13" a="1"/>
  <c r="A18" i="13"/>
  <c r="C17" i="13"/>
  <c r="C17" i="13" a="1"/>
  <c r="B17" i="13"/>
  <c r="B17" i="13" a="1"/>
  <c r="A17" i="13"/>
  <c r="C16" i="13"/>
  <c r="C16" i="13" a="1"/>
  <c r="B16" i="13"/>
  <c r="B16" i="13" a="1"/>
  <c r="A16" i="13"/>
  <c r="C15" i="13"/>
  <c r="C15" i="13" a="1"/>
  <c r="B15" i="13"/>
  <c r="B15" i="13" a="1"/>
  <c r="A15" i="13"/>
  <c r="C14" i="13"/>
  <c r="C14" i="13" a="1"/>
  <c r="B14" i="13"/>
  <c r="B14" i="13" a="1"/>
  <c r="A14" i="13"/>
  <c r="C13" i="13"/>
  <c r="C13" i="13" a="1"/>
  <c r="B13" i="13"/>
  <c r="B13" i="13" a="1"/>
  <c r="A13" i="13"/>
  <c r="C12" i="13"/>
  <c r="C12" i="13" a="1"/>
  <c r="B12" i="13"/>
  <c r="B12" i="13" a="1"/>
  <c r="A12" i="13"/>
  <c r="C11" i="13"/>
  <c r="C11" i="13" a="1"/>
  <c r="B11" i="13"/>
  <c r="B11" i="13" a="1"/>
  <c r="A11" i="13"/>
  <c r="C8" i="13"/>
  <c r="B8" i="13"/>
  <c r="C7" i="13"/>
  <c r="B7" i="13"/>
  <c r="C6" i="13"/>
  <c r="B6" i="13"/>
  <c r="C5" i="13"/>
  <c r="B5" i="13"/>
  <c r="C4" i="13"/>
  <c r="B4" i="13"/>
  <c r="C3" i="13"/>
  <c r="B3" i="13"/>
  <c r="D1" i="13"/>
  <c r="A1" i="13"/>
  <c r="C99" i="12"/>
  <c r="C99" i="12" a="1"/>
  <c r="B99" i="12"/>
  <c r="B99" i="12" a="1"/>
  <c r="A99" i="12"/>
  <c r="C98" i="12"/>
  <c r="C98" i="12" a="1"/>
  <c r="B98" i="12"/>
  <c r="B98" i="12" a="1"/>
  <c r="A98" i="12"/>
  <c r="C97" i="12"/>
  <c r="C97" i="12" a="1"/>
  <c r="B97" i="12"/>
  <c r="B97" i="12" a="1"/>
  <c r="A97" i="12"/>
  <c r="C96" i="12"/>
  <c r="C96" i="12" a="1"/>
  <c r="B96" i="12"/>
  <c r="B96" i="12" a="1"/>
  <c r="A96" i="12"/>
  <c r="C95" i="12"/>
  <c r="C95" i="12" a="1"/>
  <c r="B95" i="12"/>
  <c r="B95" i="12" a="1"/>
  <c r="A95" i="12"/>
  <c r="C94" i="12"/>
  <c r="C94" i="12" a="1"/>
  <c r="B94" i="12"/>
  <c r="B94" i="12" a="1"/>
  <c r="A94" i="12"/>
  <c r="C93" i="12"/>
  <c r="C93" i="12" a="1"/>
  <c r="B93" i="12"/>
  <c r="B93" i="12" a="1"/>
  <c r="A93" i="12"/>
  <c r="C92" i="12"/>
  <c r="C92" i="12" a="1"/>
  <c r="B92" i="12"/>
  <c r="B92" i="12" a="1"/>
  <c r="A92" i="12"/>
  <c r="C91" i="12"/>
  <c r="C91" i="12" a="1"/>
  <c r="B91" i="12"/>
  <c r="B91" i="12" a="1"/>
  <c r="A91" i="12"/>
  <c r="C90" i="12"/>
  <c r="C90" i="12" a="1"/>
  <c r="B90" i="12"/>
  <c r="B90" i="12" a="1"/>
  <c r="A90" i="12"/>
  <c r="C89" i="12"/>
  <c r="C89" i="12" a="1"/>
  <c r="B89" i="12"/>
  <c r="B89" i="12" a="1"/>
  <c r="A89" i="12"/>
  <c r="C88" i="12"/>
  <c r="C88" i="12" a="1"/>
  <c r="B88" i="12"/>
  <c r="B88" i="12" a="1"/>
  <c r="A88" i="12"/>
  <c r="C87" i="12"/>
  <c r="C87" i="12" a="1"/>
  <c r="B87" i="12"/>
  <c r="B87" i="12" a="1"/>
  <c r="A87" i="12"/>
  <c r="C86" i="12"/>
  <c r="C86" i="12" a="1"/>
  <c r="B86" i="12"/>
  <c r="B86" i="12" a="1"/>
  <c r="A86" i="12"/>
  <c r="C85" i="12"/>
  <c r="C85" i="12" a="1"/>
  <c r="B85" i="12"/>
  <c r="B85" i="12" a="1"/>
  <c r="A85" i="12"/>
  <c r="C84" i="12"/>
  <c r="C84" i="12" a="1"/>
  <c r="B84" i="12"/>
  <c r="B84" i="12" a="1"/>
  <c r="A84" i="12"/>
  <c r="C83" i="12"/>
  <c r="C83" i="12" a="1"/>
  <c r="B83" i="12"/>
  <c r="B83" i="12" a="1"/>
  <c r="A83" i="12"/>
  <c r="C82" i="12"/>
  <c r="C82" i="12" a="1"/>
  <c r="B82" i="12"/>
  <c r="B82" i="12" a="1"/>
  <c r="A82" i="12"/>
  <c r="C81" i="12"/>
  <c r="C81" i="12" a="1"/>
  <c r="B81" i="12"/>
  <c r="B81" i="12" a="1"/>
  <c r="A81" i="12"/>
  <c r="C80" i="12"/>
  <c r="C80" i="12" a="1"/>
  <c r="B80" i="12"/>
  <c r="B80" i="12" a="1"/>
  <c r="A80" i="12"/>
  <c r="C79" i="12"/>
  <c r="C79" i="12" a="1"/>
  <c r="B79" i="12"/>
  <c r="B79" i="12" a="1"/>
  <c r="A79" i="12"/>
  <c r="C78" i="12"/>
  <c r="C78" i="12" a="1"/>
  <c r="B78" i="12"/>
  <c r="B78" i="12" a="1"/>
  <c r="A78" i="12"/>
  <c r="C77" i="12"/>
  <c r="C77" i="12" a="1"/>
  <c r="B77" i="12"/>
  <c r="B77" i="12" a="1"/>
  <c r="A77" i="12"/>
  <c r="C76" i="12"/>
  <c r="C76" i="12" a="1"/>
  <c r="B76" i="12"/>
  <c r="B76" i="12" a="1"/>
  <c r="A76" i="12"/>
  <c r="C75" i="12"/>
  <c r="C75" i="12" a="1"/>
  <c r="B75" i="12"/>
  <c r="B75" i="12" a="1"/>
  <c r="A75" i="12"/>
  <c r="C74" i="12"/>
  <c r="C74" i="12" a="1"/>
  <c r="B74" i="12"/>
  <c r="B74" i="12" a="1"/>
  <c r="A74" i="12"/>
  <c r="C73" i="12"/>
  <c r="C73" i="12" a="1"/>
  <c r="B73" i="12"/>
  <c r="B73" i="12" a="1"/>
  <c r="A73" i="12"/>
  <c r="C72" i="12"/>
  <c r="C72" i="12" a="1"/>
  <c r="B72" i="12"/>
  <c r="B72" i="12" a="1"/>
  <c r="A72" i="12"/>
  <c r="C71" i="12"/>
  <c r="C71" i="12" a="1"/>
  <c r="B71" i="12"/>
  <c r="B71" i="12" a="1"/>
  <c r="A71" i="12"/>
  <c r="C70" i="12"/>
  <c r="C70" i="12" a="1"/>
  <c r="B70" i="12"/>
  <c r="B70" i="12" a="1"/>
  <c r="A70" i="12"/>
  <c r="C69" i="12"/>
  <c r="C69" i="12" a="1"/>
  <c r="B69" i="12"/>
  <c r="B69" i="12" a="1"/>
  <c r="A69" i="12"/>
  <c r="C68" i="12"/>
  <c r="C68" i="12" a="1"/>
  <c r="B68" i="12"/>
  <c r="B68" i="12" a="1"/>
  <c r="A68" i="12"/>
  <c r="C67" i="12"/>
  <c r="C67" i="12" a="1"/>
  <c r="B67" i="12"/>
  <c r="B67" i="12" a="1"/>
  <c r="A67" i="12"/>
  <c r="C66" i="12"/>
  <c r="C66" i="12" a="1"/>
  <c r="B66" i="12"/>
  <c r="B66" i="12" a="1"/>
  <c r="A66" i="12"/>
  <c r="C65" i="12"/>
  <c r="C65" i="12" a="1"/>
  <c r="B65" i="12"/>
  <c r="B65" i="12" a="1"/>
  <c r="A65" i="12"/>
  <c r="C64" i="12"/>
  <c r="C64" i="12" a="1"/>
  <c r="B64" i="12"/>
  <c r="B64" i="12" a="1"/>
  <c r="A64" i="12"/>
  <c r="C63" i="12"/>
  <c r="C63" i="12" a="1"/>
  <c r="B63" i="12"/>
  <c r="B63" i="12" a="1"/>
  <c r="A63" i="12"/>
  <c r="C62" i="12"/>
  <c r="C62" i="12" a="1"/>
  <c r="B62" i="12"/>
  <c r="B62" i="12" a="1"/>
  <c r="A62" i="12"/>
  <c r="C61" i="12"/>
  <c r="C61" i="12" a="1"/>
  <c r="B61" i="12"/>
  <c r="B61" i="12" a="1"/>
  <c r="A61" i="12"/>
  <c r="C60" i="12"/>
  <c r="C60" i="12" a="1"/>
  <c r="B60" i="12"/>
  <c r="B60" i="12" a="1"/>
  <c r="A60" i="12"/>
  <c r="C59" i="12"/>
  <c r="C59" i="12" a="1"/>
  <c r="B59" i="12"/>
  <c r="B59" i="12" a="1"/>
  <c r="A59" i="12"/>
  <c r="C58" i="12"/>
  <c r="C58" i="12" a="1"/>
  <c r="B58" i="12"/>
  <c r="B58" i="12" a="1"/>
  <c r="A58" i="12"/>
  <c r="C57" i="12"/>
  <c r="C57" i="12" a="1"/>
  <c r="B57" i="12"/>
  <c r="B57" i="12" a="1"/>
  <c r="A57" i="12"/>
  <c r="C56" i="12"/>
  <c r="C56" i="12" a="1"/>
  <c r="B56" i="12"/>
  <c r="B56" i="12" a="1"/>
  <c r="A56" i="12"/>
  <c r="C55" i="12"/>
  <c r="C55" i="12" a="1"/>
  <c r="B55" i="12"/>
  <c r="B55" i="12" a="1"/>
  <c r="A55" i="12"/>
  <c r="C54" i="12"/>
  <c r="C54" i="12" a="1"/>
  <c r="B54" i="12"/>
  <c r="B54" i="12" a="1"/>
  <c r="A54" i="12"/>
  <c r="C53" i="12"/>
  <c r="C53" i="12" a="1"/>
  <c r="B53" i="12"/>
  <c r="B53" i="12" a="1"/>
  <c r="A53" i="12"/>
  <c r="C52" i="12"/>
  <c r="C52" i="12" a="1"/>
  <c r="B52" i="12"/>
  <c r="B52" i="12" a="1"/>
  <c r="A52" i="12"/>
  <c r="C51" i="12"/>
  <c r="C51" i="12" a="1"/>
  <c r="B51" i="12"/>
  <c r="B51" i="12" a="1"/>
  <c r="A51" i="12"/>
  <c r="C50" i="12"/>
  <c r="C50" i="12" a="1"/>
  <c r="B50" i="12"/>
  <c r="B50" i="12" a="1"/>
  <c r="A50" i="12"/>
  <c r="C49" i="12"/>
  <c r="C49" i="12" a="1"/>
  <c r="B49" i="12"/>
  <c r="B49" i="12" a="1"/>
  <c r="A49" i="12"/>
  <c r="C48" i="12"/>
  <c r="C48" i="12" a="1"/>
  <c r="B48" i="12"/>
  <c r="B48" i="12" a="1"/>
  <c r="A48" i="12"/>
  <c r="C47" i="12"/>
  <c r="C47" i="12" a="1"/>
  <c r="B47" i="12"/>
  <c r="B47" i="12" a="1"/>
  <c r="A47" i="12"/>
  <c r="C46" i="12"/>
  <c r="C46" i="12" a="1"/>
  <c r="B46" i="12"/>
  <c r="B46" i="12" a="1"/>
  <c r="A46" i="12"/>
  <c r="C45" i="12"/>
  <c r="C45" i="12" a="1"/>
  <c r="B45" i="12"/>
  <c r="B45" i="12" a="1"/>
  <c r="A45" i="12"/>
  <c r="C44" i="12"/>
  <c r="C44" i="12" a="1"/>
  <c r="B44" i="12"/>
  <c r="B44" i="12" a="1"/>
  <c r="A44" i="12"/>
  <c r="C43" i="12"/>
  <c r="C43" i="12" a="1"/>
  <c r="B43" i="12"/>
  <c r="B43" i="12" a="1"/>
  <c r="A43" i="12"/>
  <c r="C42" i="12"/>
  <c r="C42" i="12" a="1"/>
  <c r="B42" i="12"/>
  <c r="B42" i="12" a="1"/>
  <c r="A42" i="12"/>
  <c r="C41" i="12"/>
  <c r="C41" i="12" a="1"/>
  <c r="B41" i="12"/>
  <c r="B41" i="12" a="1"/>
  <c r="A41" i="12"/>
  <c r="C40" i="12"/>
  <c r="C40" i="12" a="1"/>
  <c r="B40" i="12"/>
  <c r="B40" i="12" a="1"/>
  <c r="A40" i="12"/>
  <c r="C39" i="12"/>
  <c r="C39" i="12" a="1"/>
  <c r="B39" i="12"/>
  <c r="B39" i="12" a="1"/>
  <c r="A39" i="12"/>
  <c r="C38" i="12"/>
  <c r="C38" i="12" a="1"/>
  <c r="B38" i="12"/>
  <c r="B38" i="12" a="1"/>
  <c r="A38" i="12"/>
  <c r="C37" i="12"/>
  <c r="C37" i="12" a="1"/>
  <c r="B37" i="12"/>
  <c r="B37" i="12" a="1"/>
  <c r="A37" i="12"/>
  <c r="C36" i="12"/>
  <c r="C36" i="12" a="1"/>
  <c r="B36" i="12"/>
  <c r="B36" i="12" a="1"/>
  <c r="A36" i="12"/>
  <c r="C35" i="12"/>
  <c r="C35" i="12" a="1"/>
  <c r="B35" i="12"/>
  <c r="B35" i="12" a="1"/>
  <c r="A35" i="12"/>
  <c r="C34" i="12"/>
  <c r="C34" i="12" a="1"/>
  <c r="B34" i="12"/>
  <c r="B34" i="12" a="1"/>
  <c r="A34" i="12"/>
  <c r="C33" i="12"/>
  <c r="C33" i="12" a="1"/>
  <c r="B33" i="12"/>
  <c r="B33" i="12" a="1"/>
  <c r="A33" i="12"/>
  <c r="C32" i="12"/>
  <c r="C32" i="12" a="1"/>
  <c r="B32" i="12"/>
  <c r="B32" i="12" a="1"/>
  <c r="A32" i="12"/>
  <c r="C31" i="12"/>
  <c r="C31" i="12" a="1"/>
  <c r="B31" i="12"/>
  <c r="B31" i="12" a="1"/>
  <c r="A31" i="12"/>
  <c r="C30" i="12"/>
  <c r="C30" i="12" a="1"/>
  <c r="B30" i="12"/>
  <c r="B30" i="12" a="1"/>
  <c r="A30" i="12"/>
  <c r="C29" i="12"/>
  <c r="C29" i="12" a="1"/>
  <c r="B29" i="12"/>
  <c r="B29" i="12" a="1"/>
  <c r="A29" i="12"/>
  <c r="C28" i="12"/>
  <c r="C28" i="12" a="1"/>
  <c r="B28" i="12"/>
  <c r="B28" i="12" a="1"/>
  <c r="A28" i="12"/>
  <c r="C27" i="12"/>
  <c r="C27" i="12" a="1"/>
  <c r="B27" i="12"/>
  <c r="B27" i="12" a="1"/>
  <c r="A27" i="12"/>
  <c r="C26" i="12"/>
  <c r="C26" i="12" a="1"/>
  <c r="B26" i="12"/>
  <c r="B26" i="12" a="1"/>
  <c r="A26" i="12"/>
  <c r="C25" i="12"/>
  <c r="C25" i="12" a="1"/>
  <c r="B25" i="12"/>
  <c r="B25" i="12" a="1"/>
  <c r="A25" i="12"/>
  <c r="C24" i="12"/>
  <c r="C24" i="12" a="1"/>
  <c r="B24" i="12"/>
  <c r="B24" i="12" a="1"/>
  <c r="A24" i="12"/>
  <c r="C23" i="12"/>
  <c r="C23" i="12" a="1"/>
  <c r="B23" i="12"/>
  <c r="B23" i="12" a="1"/>
  <c r="A23" i="12"/>
  <c r="C22" i="12"/>
  <c r="C22" i="12" a="1"/>
  <c r="B22" i="12"/>
  <c r="B22" i="12" a="1"/>
  <c r="A22" i="12"/>
  <c r="C21" i="12"/>
  <c r="C21" i="12" a="1"/>
  <c r="B21" i="12"/>
  <c r="B21" i="12" a="1"/>
  <c r="A21" i="12"/>
  <c r="C20" i="12"/>
  <c r="C20" i="12" a="1"/>
  <c r="B20" i="12"/>
  <c r="B20" i="12" a="1"/>
  <c r="A20" i="12"/>
  <c r="C19" i="12"/>
  <c r="C19" i="12" a="1"/>
  <c r="B19" i="12"/>
  <c r="B19" i="12" a="1"/>
  <c r="A19" i="12"/>
  <c r="C18" i="12"/>
  <c r="C18" i="12" a="1"/>
  <c r="B18" i="12"/>
  <c r="B18" i="12" a="1"/>
  <c r="A18" i="12"/>
  <c r="C17" i="12"/>
  <c r="C17" i="12" a="1"/>
  <c r="B17" i="12"/>
  <c r="B17" i="12" a="1"/>
  <c r="A17" i="12"/>
  <c r="C16" i="12"/>
  <c r="C16" i="12" a="1"/>
  <c r="B16" i="12"/>
  <c r="B16" i="12" a="1"/>
  <c r="A16" i="12"/>
  <c r="C15" i="12"/>
  <c r="C15" i="12" a="1"/>
  <c r="B15" i="12"/>
  <c r="B15" i="12" a="1"/>
  <c r="A15" i="12"/>
  <c r="C14" i="12"/>
  <c r="C14" i="12" a="1"/>
  <c r="B14" i="12"/>
  <c r="B14" i="12" a="1"/>
  <c r="A14" i="12"/>
  <c r="C13" i="12"/>
  <c r="C13" i="12" a="1"/>
  <c r="B13" i="12"/>
  <c r="B13" i="12" a="1"/>
  <c r="A13" i="12"/>
  <c r="C12" i="12"/>
  <c r="C12" i="12" a="1"/>
  <c r="B12" i="12"/>
  <c r="B12" i="12" a="1"/>
  <c r="A12" i="12"/>
  <c r="C11" i="12"/>
  <c r="C11" i="12" a="1"/>
  <c r="B11" i="12"/>
  <c r="B11" i="12" a="1"/>
  <c r="A11" i="12"/>
  <c r="C8" i="12"/>
  <c r="B8" i="12"/>
  <c r="C7" i="12"/>
  <c r="B7" i="12"/>
  <c r="C6" i="12"/>
  <c r="B6" i="12"/>
  <c r="C5" i="12"/>
  <c r="B5" i="12"/>
  <c r="C4" i="12"/>
  <c r="B4" i="12"/>
  <c r="C3" i="12"/>
  <c r="B3" i="12"/>
  <c r="D1" i="12"/>
  <c r="A1" i="12"/>
  <c r="C99" i="11"/>
  <c r="C99" i="11" a="1"/>
  <c r="B99" i="11"/>
  <c r="B99" i="11" a="1"/>
  <c r="A99" i="11"/>
  <c r="C98" i="11"/>
  <c r="C98" i="11" a="1"/>
  <c r="B98" i="11"/>
  <c r="B98" i="11" a="1"/>
  <c r="A98" i="11"/>
  <c r="C97" i="11"/>
  <c r="C97" i="11" a="1"/>
  <c r="B97" i="11"/>
  <c r="B97" i="11" a="1"/>
  <c r="A97" i="11"/>
  <c r="C96" i="11"/>
  <c r="C96" i="11" a="1"/>
  <c r="B96" i="11"/>
  <c r="B96" i="11" a="1"/>
  <c r="A96" i="11"/>
  <c r="C95" i="11"/>
  <c r="C95" i="11" a="1"/>
  <c r="B95" i="11"/>
  <c r="B95" i="11" a="1"/>
  <c r="A95" i="11"/>
  <c r="C94" i="11"/>
  <c r="C94" i="11" a="1"/>
  <c r="B94" i="11"/>
  <c r="B94" i="11" a="1"/>
  <c r="A94" i="11"/>
  <c r="C93" i="11"/>
  <c r="C93" i="11" a="1"/>
  <c r="B93" i="11"/>
  <c r="B93" i="11" a="1"/>
  <c r="A93" i="11"/>
  <c r="C92" i="11"/>
  <c r="C92" i="11" a="1"/>
  <c r="B92" i="11"/>
  <c r="B92" i="11" a="1"/>
  <c r="A92" i="11"/>
  <c r="C91" i="11"/>
  <c r="C91" i="11" a="1"/>
  <c r="B91" i="11"/>
  <c r="B91" i="11" a="1"/>
  <c r="A91" i="11"/>
  <c r="C90" i="11"/>
  <c r="C90" i="11" a="1"/>
  <c r="B90" i="11"/>
  <c r="B90" i="11" a="1"/>
  <c r="A90" i="11"/>
  <c r="C89" i="11"/>
  <c r="C89" i="11" a="1"/>
  <c r="B89" i="11"/>
  <c r="B89" i="11" a="1"/>
  <c r="A89" i="11"/>
  <c r="C88" i="11"/>
  <c r="C88" i="11" a="1"/>
  <c r="B88" i="11"/>
  <c r="B88" i="11" a="1"/>
  <c r="A88" i="11"/>
  <c r="C87" i="11"/>
  <c r="C87" i="11" a="1"/>
  <c r="B87" i="11"/>
  <c r="B87" i="11" a="1"/>
  <c r="A87" i="11"/>
  <c r="C86" i="11"/>
  <c r="C86" i="11" a="1"/>
  <c r="B86" i="11"/>
  <c r="B86" i="11" a="1"/>
  <c r="A86" i="11"/>
  <c r="C85" i="11"/>
  <c r="C85" i="11" a="1"/>
  <c r="B85" i="11"/>
  <c r="B85" i="11" a="1"/>
  <c r="A85" i="11"/>
  <c r="C84" i="11"/>
  <c r="C84" i="11" a="1"/>
  <c r="B84" i="11"/>
  <c r="B84" i="11" a="1"/>
  <c r="A84" i="11"/>
  <c r="C83" i="11"/>
  <c r="C83" i="11" a="1"/>
  <c r="B83" i="11"/>
  <c r="B83" i="11" a="1"/>
  <c r="A83" i="11"/>
  <c r="C82" i="11"/>
  <c r="C82" i="11" a="1"/>
  <c r="B82" i="11"/>
  <c r="B82" i="11" a="1"/>
  <c r="A82" i="11"/>
  <c r="C81" i="11"/>
  <c r="C81" i="11" a="1"/>
  <c r="B81" i="11"/>
  <c r="B81" i="11" a="1"/>
  <c r="A81" i="11"/>
  <c r="C80" i="11"/>
  <c r="C80" i="11" a="1"/>
  <c r="B80" i="11"/>
  <c r="B80" i="11" a="1"/>
  <c r="A80" i="11"/>
  <c r="C79" i="11"/>
  <c r="C79" i="11" a="1"/>
  <c r="B79" i="11"/>
  <c r="B79" i="11" a="1"/>
  <c r="A79" i="11"/>
  <c r="C78" i="11"/>
  <c r="C78" i="11" a="1"/>
  <c r="B78" i="11"/>
  <c r="B78" i="11" a="1"/>
  <c r="A78" i="11"/>
  <c r="C77" i="11"/>
  <c r="C77" i="11" a="1"/>
  <c r="B77" i="11"/>
  <c r="B77" i="11" a="1"/>
  <c r="A77" i="11"/>
  <c r="C76" i="11"/>
  <c r="C76" i="11" a="1"/>
  <c r="B76" i="11"/>
  <c r="B76" i="11" a="1"/>
  <c r="A76" i="11"/>
  <c r="C75" i="11"/>
  <c r="C75" i="11" a="1"/>
  <c r="B75" i="11"/>
  <c r="B75" i="11" a="1"/>
  <c r="A75" i="11"/>
  <c r="C74" i="11"/>
  <c r="C74" i="11" a="1"/>
  <c r="B74" i="11"/>
  <c r="B74" i="11" a="1"/>
  <c r="A74" i="11"/>
  <c r="C73" i="11"/>
  <c r="C73" i="11" a="1"/>
  <c r="B73" i="11"/>
  <c r="B73" i="11" a="1"/>
  <c r="A73" i="11"/>
  <c r="C72" i="11"/>
  <c r="C72" i="11" a="1"/>
  <c r="B72" i="11"/>
  <c r="B72" i="11" a="1"/>
  <c r="A72" i="11"/>
  <c r="C71" i="11"/>
  <c r="C71" i="11" a="1"/>
  <c r="B71" i="11"/>
  <c r="B71" i="11" a="1"/>
  <c r="A71" i="11"/>
  <c r="C70" i="11"/>
  <c r="C70" i="11" a="1"/>
  <c r="B70" i="11"/>
  <c r="B70" i="11" a="1"/>
  <c r="A70" i="11"/>
  <c r="C69" i="11"/>
  <c r="C69" i="11" a="1"/>
  <c r="B69" i="11"/>
  <c r="B69" i="11" a="1"/>
  <c r="A69" i="11"/>
  <c r="C68" i="11"/>
  <c r="C68" i="11" a="1"/>
  <c r="B68" i="11"/>
  <c r="B68" i="11" a="1"/>
  <c r="A68" i="11"/>
  <c r="C67" i="11"/>
  <c r="C67" i="11" a="1"/>
  <c r="B67" i="11"/>
  <c r="B67" i="11" a="1"/>
  <c r="A67" i="11"/>
  <c r="C66" i="11"/>
  <c r="C66" i="11" a="1"/>
  <c r="B66" i="11"/>
  <c r="B66" i="11" a="1"/>
  <c r="A66" i="11"/>
  <c r="C65" i="11"/>
  <c r="C65" i="11" a="1"/>
  <c r="B65" i="11"/>
  <c r="B65" i="11" a="1"/>
  <c r="A65" i="11"/>
  <c r="C64" i="11"/>
  <c r="C64" i="11" a="1"/>
  <c r="B64" i="11"/>
  <c r="B64" i="11" a="1"/>
  <c r="A64" i="11"/>
  <c r="C63" i="11"/>
  <c r="C63" i="11" a="1"/>
  <c r="B63" i="11"/>
  <c r="B63" i="11" a="1"/>
  <c r="A63" i="11"/>
  <c r="C62" i="11"/>
  <c r="C62" i="11" a="1"/>
  <c r="B62" i="11"/>
  <c r="B62" i="11" a="1"/>
  <c r="A62" i="11"/>
  <c r="C61" i="11"/>
  <c r="C61" i="11" a="1"/>
  <c r="B61" i="11"/>
  <c r="B61" i="11" a="1"/>
  <c r="A61" i="11"/>
  <c r="C60" i="11"/>
  <c r="C60" i="11" a="1"/>
  <c r="B60" i="11"/>
  <c r="B60" i="11" a="1"/>
  <c r="A60" i="11"/>
  <c r="C59" i="11"/>
  <c r="C59" i="11" a="1"/>
  <c r="B59" i="11"/>
  <c r="B59" i="11" a="1"/>
  <c r="A59" i="11"/>
  <c r="C58" i="11"/>
  <c r="C58" i="11" a="1"/>
  <c r="B58" i="11"/>
  <c r="B58" i="11" a="1"/>
  <c r="A58" i="11"/>
  <c r="C57" i="11"/>
  <c r="C57" i="11" a="1"/>
  <c r="B57" i="11"/>
  <c r="B57" i="11" a="1"/>
  <c r="A57" i="11"/>
  <c r="C56" i="11"/>
  <c r="C56" i="11" a="1"/>
  <c r="B56" i="11"/>
  <c r="B56" i="11" a="1"/>
  <c r="A56" i="11"/>
  <c r="C55" i="11"/>
  <c r="C55" i="11" a="1"/>
  <c r="B55" i="11"/>
  <c r="B55" i="11" a="1"/>
  <c r="A55" i="11"/>
  <c r="C54" i="11"/>
  <c r="C54" i="11" a="1"/>
  <c r="B54" i="11"/>
  <c r="B54" i="11" a="1"/>
  <c r="A54" i="11"/>
  <c r="C53" i="11"/>
  <c r="C53" i="11" a="1"/>
  <c r="B53" i="11"/>
  <c r="B53" i="11" a="1"/>
  <c r="A53" i="11"/>
  <c r="C52" i="11"/>
  <c r="C52" i="11" a="1"/>
  <c r="B52" i="11"/>
  <c r="B52" i="11" a="1"/>
  <c r="A52" i="11"/>
  <c r="C51" i="11"/>
  <c r="C51" i="11" a="1"/>
  <c r="B51" i="11"/>
  <c r="B51" i="11" a="1"/>
  <c r="A51" i="11"/>
  <c r="C50" i="11"/>
  <c r="C50" i="11" a="1"/>
  <c r="B50" i="11"/>
  <c r="B50" i="11" a="1"/>
  <c r="A50" i="11"/>
  <c r="C49" i="11"/>
  <c r="C49" i="11" a="1"/>
  <c r="B49" i="11"/>
  <c r="B49" i="11" a="1"/>
  <c r="A49" i="11"/>
  <c r="C48" i="11"/>
  <c r="C48" i="11" a="1"/>
  <c r="B48" i="11"/>
  <c r="B48" i="11" a="1"/>
  <c r="A48" i="11"/>
  <c r="C47" i="11"/>
  <c r="C47" i="11" a="1"/>
  <c r="B47" i="11"/>
  <c r="B47" i="11" a="1"/>
  <c r="A47" i="11"/>
  <c r="C46" i="11"/>
  <c r="C46" i="11" a="1"/>
  <c r="B46" i="11"/>
  <c r="B46" i="11" a="1"/>
  <c r="A46" i="11"/>
  <c r="C45" i="11"/>
  <c r="C45" i="11" a="1"/>
  <c r="B45" i="11"/>
  <c r="B45" i="11" a="1"/>
  <c r="A45" i="11"/>
  <c r="C44" i="11"/>
  <c r="C44" i="11" a="1"/>
  <c r="B44" i="11"/>
  <c r="B44" i="11" a="1"/>
  <c r="A44" i="11"/>
  <c r="C43" i="11"/>
  <c r="C43" i="11" a="1"/>
  <c r="B43" i="11"/>
  <c r="B43" i="11" a="1"/>
  <c r="A43" i="11"/>
  <c r="C42" i="11"/>
  <c r="C42" i="11" a="1"/>
  <c r="B42" i="11"/>
  <c r="B42" i="11" a="1"/>
  <c r="A42" i="11"/>
  <c r="C41" i="11"/>
  <c r="C41" i="11" a="1"/>
  <c r="B41" i="11"/>
  <c r="B41" i="11" a="1"/>
  <c r="A41" i="11"/>
  <c r="C40" i="11"/>
  <c r="C40" i="11" a="1"/>
  <c r="B40" i="11"/>
  <c r="B40" i="11" a="1"/>
  <c r="A40" i="11"/>
  <c r="C39" i="11"/>
  <c r="C39" i="11" a="1"/>
  <c r="B39" i="11"/>
  <c r="B39" i="11" a="1"/>
  <c r="A39" i="11"/>
  <c r="C38" i="11"/>
  <c r="C38" i="11" a="1"/>
  <c r="B38" i="11"/>
  <c r="B38" i="11" a="1"/>
  <c r="A38" i="11"/>
  <c r="C37" i="11"/>
  <c r="C37" i="11" a="1"/>
  <c r="B37" i="11"/>
  <c r="B37" i="11" a="1"/>
  <c r="A37" i="11"/>
  <c r="C36" i="11"/>
  <c r="C36" i="11" a="1"/>
  <c r="B36" i="11"/>
  <c r="B36" i="11" a="1"/>
  <c r="A36" i="11"/>
  <c r="C35" i="11"/>
  <c r="C35" i="11" a="1"/>
  <c r="B35" i="11"/>
  <c r="B35" i="11" a="1"/>
  <c r="A35" i="11"/>
  <c r="C34" i="11"/>
  <c r="C34" i="11" a="1"/>
  <c r="B34" i="11"/>
  <c r="B34" i="11" a="1"/>
  <c r="A34" i="11"/>
  <c r="C33" i="11"/>
  <c r="C33" i="11" a="1"/>
  <c r="B33" i="11"/>
  <c r="B33" i="11" a="1"/>
  <c r="A33" i="11"/>
  <c r="C32" i="11"/>
  <c r="C32" i="11" a="1"/>
  <c r="B32" i="11"/>
  <c r="B32" i="11" a="1"/>
  <c r="A32" i="11"/>
  <c r="C31" i="11"/>
  <c r="C31" i="11" a="1"/>
  <c r="B31" i="11"/>
  <c r="B31" i="11" a="1"/>
  <c r="A31" i="11"/>
  <c r="C30" i="11"/>
  <c r="C30" i="11" a="1"/>
  <c r="B30" i="11"/>
  <c r="B30" i="11" a="1"/>
  <c r="A30" i="11"/>
  <c r="C29" i="11"/>
  <c r="C29" i="11" a="1"/>
  <c r="B29" i="11"/>
  <c r="B29" i="11" a="1"/>
  <c r="A29" i="11"/>
  <c r="C28" i="11"/>
  <c r="C28" i="11" a="1"/>
  <c r="B28" i="11"/>
  <c r="B28" i="11" a="1"/>
  <c r="A28" i="11"/>
  <c r="C27" i="11"/>
  <c r="C27" i="11" a="1"/>
  <c r="B27" i="11"/>
  <c r="B27" i="11" a="1"/>
  <c r="A27" i="11"/>
  <c r="C26" i="11"/>
  <c r="C26" i="11" a="1"/>
  <c r="B26" i="11"/>
  <c r="B26" i="11" a="1"/>
  <c r="A26" i="11"/>
  <c r="C25" i="11"/>
  <c r="C25" i="11" a="1"/>
  <c r="B25" i="11"/>
  <c r="B25" i="11" a="1"/>
  <c r="A25" i="11"/>
  <c r="C24" i="11"/>
  <c r="C24" i="11" a="1"/>
  <c r="B24" i="11"/>
  <c r="B24" i="11" a="1"/>
  <c r="A24" i="11"/>
  <c r="C23" i="11"/>
  <c r="C23" i="11" a="1"/>
  <c r="B23" i="11"/>
  <c r="B23" i="11" a="1"/>
  <c r="A23" i="11"/>
  <c r="C22" i="11"/>
  <c r="C22" i="11" a="1"/>
  <c r="B22" i="11"/>
  <c r="B22" i="11" a="1"/>
  <c r="A22" i="11"/>
  <c r="C21" i="11"/>
  <c r="C21" i="11" a="1"/>
  <c r="B21" i="11"/>
  <c r="B21" i="11" a="1"/>
  <c r="A21" i="11"/>
  <c r="C20" i="11"/>
  <c r="C20" i="11" a="1"/>
  <c r="B20" i="11"/>
  <c r="B20" i="11" a="1"/>
  <c r="A20" i="11"/>
  <c r="C19" i="11"/>
  <c r="C19" i="11" a="1"/>
  <c r="B19" i="11"/>
  <c r="B19" i="11" a="1"/>
  <c r="A19" i="11"/>
  <c r="C18" i="11"/>
  <c r="C18" i="11" a="1"/>
  <c r="B18" i="11"/>
  <c r="B18" i="11" a="1"/>
  <c r="A18" i="11"/>
  <c r="C17" i="11"/>
  <c r="C17" i="11" a="1"/>
  <c r="B17" i="11"/>
  <c r="B17" i="11" a="1"/>
  <c r="A17" i="11"/>
  <c r="C16" i="11"/>
  <c r="C16" i="11" a="1"/>
  <c r="B16" i="11"/>
  <c r="B16" i="11" a="1"/>
  <c r="A16" i="11"/>
  <c r="C15" i="11"/>
  <c r="C15" i="11" a="1"/>
  <c r="B15" i="11"/>
  <c r="B15" i="11" a="1"/>
  <c r="A15" i="11"/>
  <c r="C14" i="11"/>
  <c r="C14" i="11" a="1"/>
  <c r="B14" i="11"/>
  <c r="B14" i="11" a="1"/>
  <c r="A14" i="11"/>
  <c r="C13" i="11"/>
  <c r="C13" i="11" a="1"/>
  <c r="B13" i="11"/>
  <c r="B13" i="11" a="1"/>
  <c r="A13" i="11"/>
  <c r="C12" i="11"/>
  <c r="C12" i="11" a="1"/>
  <c r="B12" i="11"/>
  <c r="B12" i="11" a="1"/>
  <c r="A12" i="11"/>
  <c r="C11" i="11"/>
  <c r="C11" i="11" a="1"/>
  <c r="B11" i="11"/>
  <c r="B11" i="11" a="1"/>
  <c r="A11" i="11"/>
  <c r="C8" i="11"/>
  <c r="B8" i="11"/>
  <c r="C7" i="11"/>
  <c r="B7" i="11"/>
  <c r="C6" i="11"/>
  <c r="B6" i="11"/>
  <c r="C5" i="11"/>
  <c r="B5" i="11"/>
  <c r="C4" i="11"/>
  <c r="B4" i="11"/>
  <c r="C3" i="11"/>
  <c r="B3" i="11"/>
  <c r="D1" i="11"/>
  <c r="A1" i="11"/>
  <c r="C99" i="10"/>
  <c r="C99" i="10" a="1"/>
  <c r="B99" i="10"/>
  <c r="B99" i="10" a="1"/>
  <c r="A99" i="10"/>
  <c r="C98" i="10"/>
  <c r="C98" i="10" a="1"/>
  <c r="B98" i="10"/>
  <c r="B98" i="10" a="1"/>
  <c r="A98" i="10"/>
  <c r="C97" i="10"/>
  <c r="C97" i="10" a="1"/>
  <c r="B97" i="10"/>
  <c r="B97" i="10" a="1"/>
  <c r="A97" i="10"/>
  <c r="C96" i="10"/>
  <c r="C96" i="10" a="1"/>
  <c r="B96" i="10"/>
  <c r="B96" i="10" a="1"/>
  <c r="A96" i="10"/>
  <c r="C95" i="10"/>
  <c r="C95" i="10" a="1"/>
  <c r="B95" i="10"/>
  <c r="B95" i="10" a="1"/>
  <c r="A95" i="10"/>
  <c r="C94" i="10"/>
  <c r="C94" i="10" a="1"/>
  <c r="B94" i="10"/>
  <c r="B94" i="10" a="1"/>
  <c r="A94" i="10"/>
  <c r="C93" i="10"/>
  <c r="C93" i="10" a="1"/>
  <c r="B93" i="10"/>
  <c r="B93" i="10" a="1"/>
  <c r="A93" i="10"/>
  <c r="C92" i="10"/>
  <c r="C92" i="10" a="1"/>
  <c r="B92" i="10"/>
  <c r="B92" i="10" a="1"/>
  <c r="A92" i="10"/>
  <c r="C91" i="10"/>
  <c r="C91" i="10" a="1"/>
  <c r="B91" i="10"/>
  <c r="B91" i="10" a="1"/>
  <c r="A91" i="10"/>
  <c r="C90" i="10"/>
  <c r="C90" i="10" a="1"/>
  <c r="B90" i="10"/>
  <c r="B90" i="10" a="1"/>
  <c r="A90" i="10"/>
  <c r="C89" i="10"/>
  <c r="C89" i="10" a="1"/>
  <c r="B89" i="10"/>
  <c r="B89" i="10" a="1"/>
  <c r="A89" i="10"/>
  <c r="C88" i="10"/>
  <c r="C88" i="10" a="1"/>
  <c r="B88" i="10"/>
  <c r="B88" i="10" a="1"/>
  <c r="A88" i="10"/>
  <c r="C87" i="10"/>
  <c r="C87" i="10" a="1"/>
  <c r="B87" i="10"/>
  <c r="B87" i="10" a="1"/>
  <c r="A87" i="10"/>
  <c r="C86" i="10"/>
  <c r="C86" i="10" a="1"/>
  <c r="B86" i="10"/>
  <c r="B86" i="10" a="1"/>
  <c r="A86" i="10"/>
  <c r="C85" i="10"/>
  <c r="C85" i="10" a="1"/>
  <c r="B85" i="10"/>
  <c r="B85" i="10" a="1"/>
  <c r="A85" i="10"/>
  <c r="C84" i="10"/>
  <c r="C84" i="10" a="1"/>
  <c r="B84" i="10"/>
  <c r="B84" i="10" a="1"/>
  <c r="A84" i="10"/>
  <c r="C83" i="10"/>
  <c r="C83" i="10" a="1"/>
  <c r="B83" i="10"/>
  <c r="B83" i="10" a="1"/>
  <c r="A83" i="10"/>
  <c r="C82" i="10"/>
  <c r="C82" i="10" a="1"/>
  <c r="B82" i="10"/>
  <c r="B82" i="10" a="1"/>
  <c r="A82" i="10"/>
  <c r="C81" i="10"/>
  <c r="C81" i="10" a="1"/>
  <c r="B81" i="10"/>
  <c r="B81" i="10" a="1"/>
  <c r="A81" i="10"/>
  <c r="C80" i="10"/>
  <c r="C80" i="10" a="1"/>
  <c r="B80" i="10"/>
  <c r="B80" i="10" a="1"/>
  <c r="A80" i="10"/>
  <c r="C79" i="10"/>
  <c r="C79" i="10" a="1"/>
  <c r="B79" i="10"/>
  <c r="B79" i="10" a="1"/>
  <c r="A79" i="10"/>
  <c r="C78" i="10"/>
  <c r="C78" i="10" a="1"/>
  <c r="B78" i="10"/>
  <c r="B78" i="10" a="1"/>
  <c r="A78" i="10"/>
  <c r="C77" i="10"/>
  <c r="C77" i="10" a="1"/>
  <c r="B77" i="10"/>
  <c r="B77" i="10" a="1"/>
  <c r="A77" i="10"/>
  <c r="C76" i="10"/>
  <c r="C76" i="10" a="1"/>
  <c r="B76" i="10"/>
  <c r="B76" i="10" a="1"/>
  <c r="A76" i="10"/>
  <c r="C75" i="10"/>
  <c r="C75" i="10" a="1"/>
  <c r="B75" i="10"/>
  <c r="B75" i="10" a="1"/>
  <c r="A75" i="10"/>
  <c r="C74" i="10"/>
  <c r="C74" i="10" a="1"/>
  <c r="B74" i="10"/>
  <c r="B74" i="10" a="1"/>
  <c r="A74" i="10"/>
  <c r="C73" i="10"/>
  <c r="C73" i="10" a="1"/>
  <c r="B73" i="10"/>
  <c r="B73" i="10" a="1"/>
  <c r="A73" i="10"/>
  <c r="C72" i="10"/>
  <c r="C72" i="10" a="1"/>
  <c r="B72" i="10"/>
  <c r="B72" i="10" a="1"/>
  <c r="A72" i="10"/>
  <c r="C71" i="10"/>
  <c r="C71" i="10" a="1"/>
  <c r="B71" i="10"/>
  <c r="B71" i="10" a="1"/>
  <c r="A71" i="10"/>
  <c r="C70" i="10"/>
  <c r="C70" i="10" a="1"/>
  <c r="B70" i="10"/>
  <c r="B70" i="10" a="1"/>
  <c r="A70" i="10"/>
  <c r="C69" i="10"/>
  <c r="C69" i="10" a="1"/>
  <c r="B69" i="10"/>
  <c r="B69" i="10" a="1"/>
  <c r="A69" i="10"/>
  <c r="C68" i="10"/>
  <c r="C68" i="10" a="1"/>
  <c r="B68" i="10"/>
  <c r="B68" i="10" a="1"/>
  <c r="A68" i="10"/>
  <c r="C67" i="10"/>
  <c r="C67" i="10" a="1"/>
  <c r="B67" i="10"/>
  <c r="B67" i="10" a="1"/>
  <c r="A67" i="10"/>
  <c r="C66" i="10"/>
  <c r="C66" i="10" a="1"/>
  <c r="B66" i="10"/>
  <c r="B66" i="10" a="1"/>
  <c r="A66" i="10"/>
  <c r="C65" i="10"/>
  <c r="C65" i="10" a="1"/>
  <c r="B65" i="10"/>
  <c r="B65" i="10" a="1"/>
  <c r="A65" i="10"/>
  <c r="C64" i="10"/>
  <c r="C64" i="10" a="1"/>
  <c r="B64" i="10"/>
  <c r="B64" i="10" a="1"/>
  <c r="A64" i="10"/>
  <c r="C63" i="10"/>
  <c r="C63" i="10" a="1"/>
  <c r="B63" i="10"/>
  <c r="B63" i="10" a="1"/>
  <c r="A63" i="10"/>
  <c r="C62" i="10"/>
  <c r="C62" i="10" a="1"/>
  <c r="B62" i="10"/>
  <c r="B62" i="10" a="1"/>
  <c r="A62" i="10"/>
  <c r="C61" i="10"/>
  <c r="C61" i="10" a="1"/>
  <c r="B61" i="10"/>
  <c r="B61" i="10" a="1"/>
  <c r="A61" i="10"/>
  <c r="C60" i="10"/>
  <c r="C60" i="10" a="1"/>
  <c r="B60" i="10"/>
  <c r="B60" i="10" a="1"/>
  <c r="A60" i="10"/>
  <c r="C59" i="10"/>
  <c r="C59" i="10" a="1"/>
  <c r="B59" i="10"/>
  <c r="B59" i="10" a="1"/>
  <c r="A59" i="10"/>
  <c r="C58" i="10"/>
  <c r="C58" i="10" a="1"/>
  <c r="B58" i="10"/>
  <c r="B58" i="10" a="1"/>
  <c r="A58" i="10"/>
  <c r="C57" i="10"/>
  <c r="C57" i="10" a="1"/>
  <c r="B57" i="10"/>
  <c r="B57" i="10" a="1"/>
  <c r="A57" i="10"/>
  <c r="C56" i="10"/>
  <c r="C56" i="10" a="1"/>
  <c r="B56" i="10"/>
  <c r="B56" i="10" a="1"/>
  <c r="A56" i="10"/>
  <c r="C55" i="10"/>
  <c r="C55" i="10" a="1"/>
  <c r="B55" i="10"/>
  <c r="B55" i="10" a="1"/>
  <c r="A55" i="10"/>
  <c r="C54" i="10"/>
  <c r="C54" i="10" a="1"/>
  <c r="B54" i="10"/>
  <c r="B54" i="10" a="1"/>
  <c r="A54" i="10"/>
  <c r="C53" i="10"/>
  <c r="C53" i="10" a="1"/>
  <c r="B53" i="10"/>
  <c r="B53" i="10" a="1"/>
  <c r="A53" i="10"/>
  <c r="C52" i="10"/>
  <c r="C52" i="10" a="1"/>
  <c r="B52" i="10"/>
  <c r="B52" i="10" a="1"/>
  <c r="A52" i="10"/>
  <c r="C51" i="10"/>
  <c r="C51" i="10" a="1"/>
  <c r="B51" i="10"/>
  <c r="B51" i="10" a="1"/>
  <c r="A51" i="10"/>
  <c r="C50" i="10"/>
  <c r="C50" i="10" a="1"/>
  <c r="B50" i="10"/>
  <c r="B50" i="10" a="1"/>
  <c r="A50" i="10"/>
  <c r="C49" i="10"/>
  <c r="C49" i="10" a="1"/>
  <c r="B49" i="10"/>
  <c r="B49" i="10" a="1"/>
  <c r="A49" i="10"/>
  <c r="C48" i="10"/>
  <c r="C48" i="10" a="1"/>
  <c r="B48" i="10"/>
  <c r="B48" i="10" a="1"/>
  <c r="A48" i="10"/>
  <c r="C47" i="10"/>
  <c r="C47" i="10" a="1"/>
  <c r="B47" i="10"/>
  <c r="B47" i="10" a="1"/>
  <c r="A47" i="10"/>
  <c r="C46" i="10"/>
  <c r="C46" i="10" a="1"/>
  <c r="B46" i="10"/>
  <c r="B46" i="10" a="1"/>
  <c r="A46" i="10"/>
  <c r="C45" i="10"/>
  <c r="C45" i="10" a="1"/>
  <c r="B45" i="10"/>
  <c r="B45" i="10" a="1"/>
  <c r="A45" i="10"/>
  <c r="C44" i="10"/>
  <c r="C44" i="10" a="1"/>
  <c r="B44" i="10"/>
  <c r="B44" i="10" a="1"/>
  <c r="A44" i="10"/>
  <c r="C43" i="10"/>
  <c r="C43" i="10" a="1"/>
  <c r="B43" i="10"/>
  <c r="B43" i="10" a="1"/>
  <c r="A43" i="10"/>
  <c r="C42" i="10"/>
  <c r="C42" i="10" a="1"/>
  <c r="B42" i="10"/>
  <c r="B42" i="10" a="1"/>
  <c r="A42" i="10"/>
  <c r="C41" i="10"/>
  <c r="C41" i="10" a="1"/>
  <c r="B41" i="10"/>
  <c r="B41" i="10" a="1"/>
  <c r="A41" i="10"/>
  <c r="C40" i="10"/>
  <c r="C40" i="10" a="1"/>
  <c r="B40" i="10"/>
  <c r="B40" i="10" a="1"/>
  <c r="A40" i="10"/>
  <c r="C39" i="10"/>
  <c r="C39" i="10" a="1"/>
  <c r="B39" i="10"/>
  <c r="B39" i="10" a="1"/>
  <c r="A39" i="10"/>
  <c r="C38" i="10"/>
  <c r="C38" i="10" a="1"/>
  <c r="B38" i="10"/>
  <c r="B38" i="10" a="1"/>
  <c r="A38" i="10"/>
  <c r="C37" i="10"/>
  <c r="C37" i="10" a="1"/>
  <c r="B37" i="10"/>
  <c r="B37" i="10" a="1"/>
  <c r="A37" i="10"/>
  <c r="C36" i="10"/>
  <c r="C36" i="10" a="1"/>
  <c r="B36" i="10"/>
  <c r="B36" i="10" a="1"/>
  <c r="A36" i="10"/>
  <c r="C35" i="10"/>
  <c r="C35" i="10" a="1"/>
  <c r="B35" i="10"/>
  <c r="B35" i="10" a="1"/>
  <c r="A35" i="10"/>
  <c r="C34" i="10"/>
  <c r="C34" i="10" a="1"/>
  <c r="B34" i="10"/>
  <c r="B34" i="10" a="1"/>
  <c r="A34" i="10"/>
  <c r="C33" i="10"/>
  <c r="C33" i="10" a="1"/>
  <c r="B33" i="10"/>
  <c r="B33" i="10" a="1"/>
  <c r="A33" i="10"/>
  <c r="C32" i="10"/>
  <c r="C32" i="10" a="1"/>
  <c r="B32" i="10"/>
  <c r="B32" i="10" a="1"/>
  <c r="A32" i="10"/>
  <c r="C31" i="10"/>
  <c r="C31" i="10" a="1"/>
  <c r="B31" i="10"/>
  <c r="B31" i="10" a="1"/>
  <c r="A31" i="10"/>
  <c r="C30" i="10"/>
  <c r="C30" i="10" a="1"/>
  <c r="B30" i="10"/>
  <c r="B30" i="10" a="1"/>
  <c r="A30" i="10"/>
  <c r="C29" i="10"/>
  <c r="C29" i="10" a="1"/>
  <c r="B29" i="10"/>
  <c r="B29" i="10" a="1"/>
  <c r="A29" i="10"/>
  <c r="C28" i="10"/>
  <c r="C28" i="10" a="1"/>
  <c r="B28" i="10"/>
  <c r="B28" i="10" a="1"/>
  <c r="A28" i="10"/>
  <c r="C27" i="10"/>
  <c r="C27" i="10" a="1"/>
  <c r="B27" i="10"/>
  <c r="B27" i="10" a="1"/>
  <c r="A27" i="10"/>
  <c r="C26" i="10"/>
  <c r="C26" i="10" a="1"/>
  <c r="B26" i="10"/>
  <c r="B26" i="10" a="1"/>
  <c r="A26" i="10"/>
  <c r="C25" i="10"/>
  <c r="C25" i="10" a="1"/>
  <c r="B25" i="10"/>
  <c r="B25" i="10" a="1"/>
  <c r="A25" i="10"/>
  <c r="C24" i="10"/>
  <c r="C24" i="10" a="1"/>
  <c r="B24" i="10"/>
  <c r="B24" i="10" a="1"/>
  <c r="A24" i="10"/>
  <c r="C23" i="10"/>
  <c r="C23" i="10" a="1"/>
  <c r="B23" i="10"/>
  <c r="B23" i="10" a="1"/>
  <c r="A23" i="10"/>
  <c r="C22" i="10"/>
  <c r="C22" i="10" a="1"/>
  <c r="B22" i="10"/>
  <c r="B22" i="10" a="1"/>
  <c r="A22" i="10"/>
  <c r="C21" i="10"/>
  <c r="C21" i="10" a="1"/>
  <c r="B21" i="10"/>
  <c r="B21" i="10" a="1"/>
  <c r="A21" i="10"/>
  <c r="C20" i="10"/>
  <c r="C20" i="10" a="1"/>
  <c r="B20" i="10"/>
  <c r="B20" i="10" a="1"/>
  <c r="A20" i="10"/>
  <c r="C19" i="10"/>
  <c r="C19" i="10" a="1"/>
  <c r="B19" i="10"/>
  <c r="B19" i="10" a="1"/>
  <c r="A19" i="10"/>
  <c r="C18" i="10"/>
  <c r="C18" i="10" a="1"/>
  <c r="B18" i="10"/>
  <c r="B18" i="10" a="1"/>
  <c r="A18" i="10"/>
  <c r="C17" i="10"/>
  <c r="C17" i="10" a="1"/>
  <c r="B17" i="10"/>
  <c r="B17" i="10" a="1"/>
  <c r="A17" i="10"/>
  <c r="C16" i="10"/>
  <c r="C16" i="10" a="1"/>
  <c r="B16" i="10"/>
  <c r="B16" i="10" a="1"/>
  <c r="A16" i="10"/>
  <c r="C15" i="10"/>
  <c r="C15" i="10" a="1"/>
  <c r="B15" i="10"/>
  <c r="B15" i="10" a="1"/>
  <c r="A15" i="10"/>
  <c r="C14" i="10"/>
  <c r="C14" i="10" a="1"/>
  <c r="B14" i="10"/>
  <c r="B14" i="10" a="1"/>
  <c r="A14" i="10"/>
  <c r="C13" i="10"/>
  <c r="C13" i="10" a="1"/>
  <c r="B13" i="10"/>
  <c r="B13" i="10" a="1"/>
  <c r="A13" i="10"/>
  <c r="C12" i="10"/>
  <c r="C12" i="10" a="1"/>
  <c r="B12" i="10"/>
  <c r="B12" i="10" a="1"/>
  <c r="A12" i="10"/>
  <c r="C11" i="10"/>
  <c r="C11" i="10" a="1"/>
  <c r="B11" i="10"/>
  <c r="B11" i="10" a="1"/>
  <c r="A11" i="10"/>
  <c r="C8" i="10"/>
  <c r="B8" i="10"/>
  <c r="C7" i="10"/>
  <c r="B7" i="10"/>
  <c r="C6" i="10"/>
  <c r="B6" i="10"/>
  <c r="C5" i="10"/>
  <c r="B5" i="10"/>
  <c r="C4" i="10"/>
  <c r="B4" i="10"/>
  <c r="C3" i="10"/>
  <c r="B3" i="10"/>
  <c r="D1" i="10"/>
  <c r="A1" i="10"/>
  <c r="C99" i="9"/>
  <c r="C99" i="9" a="1"/>
  <c r="B99" i="9"/>
  <c r="B99" i="9" a="1"/>
  <c r="A99" i="9"/>
  <c r="C98" i="9"/>
  <c r="C98" i="9" a="1"/>
  <c r="B98" i="9"/>
  <c r="B98" i="9" a="1"/>
  <c r="A98" i="9"/>
  <c r="C97" i="9"/>
  <c r="C97" i="9" a="1"/>
  <c r="B97" i="9"/>
  <c r="B97" i="9" a="1"/>
  <c r="A97" i="9"/>
  <c r="C96" i="9"/>
  <c r="C96" i="9" a="1"/>
  <c r="B96" i="9"/>
  <c r="B96" i="9" a="1"/>
  <c r="A96" i="9"/>
  <c r="C95" i="9"/>
  <c r="C95" i="9" a="1"/>
  <c r="B95" i="9"/>
  <c r="B95" i="9" a="1"/>
  <c r="A95" i="9"/>
  <c r="C94" i="9"/>
  <c r="C94" i="9" a="1"/>
  <c r="B94" i="9"/>
  <c r="B94" i="9" a="1"/>
  <c r="A94" i="9"/>
  <c r="C93" i="9"/>
  <c r="C93" i="9" a="1"/>
  <c r="B93" i="9"/>
  <c r="B93" i="9" a="1"/>
  <c r="A93" i="9"/>
  <c r="C92" i="9"/>
  <c r="C92" i="9" a="1"/>
  <c r="B92" i="9"/>
  <c r="B92" i="9" a="1"/>
  <c r="A92" i="9"/>
  <c r="C91" i="9"/>
  <c r="C91" i="9" a="1"/>
  <c r="B91" i="9"/>
  <c r="B91" i="9" a="1"/>
  <c r="A91" i="9"/>
  <c r="C90" i="9"/>
  <c r="C90" i="9" a="1"/>
  <c r="B90" i="9"/>
  <c r="B90" i="9" a="1"/>
  <c r="A90" i="9"/>
  <c r="C89" i="9"/>
  <c r="C89" i="9" a="1"/>
  <c r="B89" i="9"/>
  <c r="B89" i="9" a="1"/>
  <c r="A89" i="9"/>
  <c r="C88" i="9"/>
  <c r="C88" i="9" a="1"/>
  <c r="B88" i="9"/>
  <c r="B88" i="9" a="1"/>
  <c r="A88" i="9"/>
  <c r="C87" i="9"/>
  <c r="C87" i="9" a="1"/>
  <c r="B87" i="9"/>
  <c r="B87" i="9" a="1"/>
  <c r="A87" i="9"/>
  <c r="C86" i="9"/>
  <c r="C86" i="9" a="1"/>
  <c r="B86" i="9"/>
  <c r="B86" i="9" a="1"/>
  <c r="A86" i="9"/>
  <c r="C85" i="9"/>
  <c r="C85" i="9" a="1"/>
  <c r="B85" i="9"/>
  <c r="B85" i="9" a="1"/>
  <c r="A85" i="9"/>
  <c r="C84" i="9"/>
  <c r="C84" i="9" a="1"/>
  <c r="B84" i="9"/>
  <c r="B84" i="9" a="1"/>
  <c r="A84" i="9"/>
  <c r="C83" i="9"/>
  <c r="C83" i="9" a="1"/>
  <c r="B83" i="9"/>
  <c r="B83" i="9" a="1"/>
  <c r="A83" i="9"/>
  <c r="C82" i="9"/>
  <c r="C82" i="9" a="1"/>
  <c r="B82" i="9"/>
  <c r="B82" i="9" a="1"/>
  <c r="A82" i="9"/>
  <c r="C81" i="9"/>
  <c r="C81" i="9" a="1"/>
  <c r="B81" i="9"/>
  <c r="B81" i="9" a="1"/>
  <c r="A81" i="9"/>
  <c r="C80" i="9"/>
  <c r="C80" i="9" a="1"/>
  <c r="B80" i="9"/>
  <c r="B80" i="9" a="1"/>
  <c r="A80" i="9"/>
  <c r="C79" i="9"/>
  <c r="C79" i="9" a="1"/>
  <c r="B79" i="9"/>
  <c r="B79" i="9" a="1"/>
  <c r="A79" i="9"/>
  <c r="C78" i="9"/>
  <c r="C78" i="9" a="1"/>
  <c r="B78" i="9"/>
  <c r="B78" i="9" a="1"/>
  <c r="A78" i="9"/>
  <c r="C77" i="9"/>
  <c r="C77" i="9" a="1"/>
  <c r="B77" i="9"/>
  <c r="B77" i="9" a="1"/>
  <c r="A77" i="9"/>
  <c r="C76" i="9"/>
  <c r="C76" i="9" a="1"/>
  <c r="B76" i="9"/>
  <c r="B76" i="9" a="1"/>
  <c r="A76" i="9"/>
  <c r="C75" i="9"/>
  <c r="C75" i="9" a="1"/>
  <c r="B75" i="9"/>
  <c r="B75" i="9" a="1"/>
  <c r="A75" i="9"/>
  <c r="C74" i="9"/>
  <c r="C74" i="9" a="1"/>
  <c r="B74" i="9"/>
  <c r="B74" i="9" a="1"/>
  <c r="A74" i="9"/>
  <c r="C73" i="9"/>
  <c r="C73" i="9" a="1"/>
  <c r="B73" i="9"/>
  <c r="B73" i="9" a="1"/>
  <c r="A73" i="9"/>
  <c r="C72" i="9"/>
  <c r="C72" i="9" a="1"/>
  <c r="B72" i="9"/>
  <c r="B72" i="9" a="1"/>
  <c r="A72" i="9"/>
  <c r="C71" i="9"/>
  <c r="C71" i="9" a="1"/>
  <c r="B71" i="9"/>
  <c r="B71" i="9" a="1"/>
  <c r="A71" i="9"/>
  <c r="C70" i="9"/>
  <c r="C70" i="9" a="1"/>
  <c r="B70" i="9"/>
  <c r="B70" i="9" a="1"/>
  <c r="A70" i="9"/>
  <c r="C69" i="9"/>
  <c r="C69" i="9" a="1"/>
  <c r="B69" i="9"/>
  <c r="B69" i="9" a="1"/>
  <c r="A69" i="9"/>
  <c r="C68" i="9"/>
  <c r="C68" i="9" a="1"/>
  <c r="B68" i="9"/>
  <c r="B68" i="9" a="1"/>
  <c r="A68" i="9"/>
  <c r="C67" i="9"/>
  <c r="C67" i="9" a="1"/>
  <c r="B67" i="9"/>
  <c r="B67" i="9" a="1"/>
  <c r="A67" i="9"/>
  <c r="C66" i="9"/>
  <c r="C66" i="9" a="1"/>
  <c r="B66" i="9"/>
  <c r="B66" i="9" a="1"/>
  <c r="A66" i="9"/>
  <c r="C65" i="9"/>
  <c r="C65" i="9" a="1"/>
  <c r="B65" i="9"/>
  <c r="B65" i="9" a="1"/>
  <c r="A65" i="9"/>
  <c r="C64" i="9"/>
  <c r="C64" i="9" a="1"/>
  <c r="B64" i="9"/>
  <c r="B64" i="9" a="1"/>
  <c r="A64" i="9"/>
  <c r="C63" i="9"/>
  <c r="C63" i="9" a="1"/>
  <c r="B63" i="9"/>
  <c r="B63" i="9" a="1"/>
  <c r="A63" i="9"/>
  <c r="C62" i="9"/>
  <c r="C62" i="9" a="1"/>
  <c r="B62" i="9"/>
  <c r="B62" i="9" a="1"/>
  <c r="A62" i="9"/>
  <c r="C61" i="9"/>
  <c r="C61" i="9" a="1"/>
  <c r="B61" i="9"/>
  <c r="B61" i="9" a="1"/>
  <c r="A61" i="9"/>
  <c r="C60" i="9"/>
  <c r="C60" i="9" a="1"/>
  <c r="B60" i="9"/>
  <c r="B60" i="9" a="1"/>
  <c r="A60" i="9"/>
  <c r="C59" i="9"/>
  <c r="C59" i="9" a="1"/>
  <c r="B59" i="9"/>
  <c r="B59" i="9" a="1"/>
  <c r="A59" i="9"/>
  <c r="C58" i="9"/>
  <c r="C58" i="9" a="1"/>
  <c r="B58" i="9"/>
  <c r="B58" i="9" a="1"/>
  <c r="A58" i="9"/>
  <c r="C57" i="9"/>
  <c r="C57" i="9" a="1"/>
  <c r="B57" i="9"/>
  <c r="B57" i="9" a="1"/>
  <c r="A57" i="9"/>
  <c r="C56" i="9"/>
  <c r="C56" i="9" a="1"/>
  <c r="B56" i="9"/>
  <c r="B56" i="9" a="1"/>
  <c r="A56" i="9"/>
  <c r="C55" i="9"/>
  <c r="C55" i="9" a="1"/>
  <c r="B55" i="9"/>
  <c r="B55" i="9" a="1"/>
  <c r="A55" i="9"/>
  <c r="C54" i="9"/>
  <c r="C54" i="9" a="1"/>
  <c r="B54" i="9"/>
  <c r="B54" i="9" a="1"/>
  <c r="A54" i="9"/>
  <c r="C53" i="9"/>
  <c r="C53" i="9" a="1"/>
  <c r="B53" i="9"/>
  <c r="B53" i="9" a="1"/>
  <c r="A53" i="9"/>
  <c r="C52" i="9"/>
  <c r="C52" i="9" a="1"/>
  <c r="B52" i="9"/>
  <c r="B52" i="9" a="1"/>
  <c r="A52" i="9"/>
  <c r="C51" i="9"/>
  <c r="C51" i="9" a="1"/>
  <c r="B51" i="9"/>
  <c r="B51" i="9" a="1"/>
  <c r="A51" i="9"/>
  <c r="C50" i="9"/>
  <c r="C50" i="9" a="1"/>
  <c r="B50" i="9"/>
  <c r="B50" i="9" a="1"/>
  <c r="A50" i="9"/>
  <c r="C49" i="9"/>
  <c r="C49" i="9" a="1"/>
  <c r="B49" i="9"/>
  <c r="B49" i="9" a="1"/>
  <c r="A49" i="9"/>
  <c r="C48" i="9"/>
  <c r="C48" i="9" a="1"/>
  <c r="B48" i="9"/>
  <c r="B48" i="9" a="1"/>
  <c r="A48" i="9"/>
  <c r="C47" i="9"/>
  <c r="C47" i="9" a="1"/>
  <c r="B47" i="9"/>
  <c r="B47" i="9" a="1"/>
  <c r="A47" i="9"/>
  <c r="C46" i="9"/>
  <c r="C46" i="9" a="1"/>
  <c r="B46" i="9"/>
  <c r="B46" i="9" a="1"/>
  <c r="A46" i="9"/>
  <c r="C45" i="9"/>
  <c r="C45" i="9" a="1"/>
  <c r="B45" i="9"/>
  <c r="B45" i="9" a="1"/>
  <c r="A45" i="9"/>
  <c r="C44" i="9"/>
  <c r="C44" i="9" a="1"/>
  <c r="B44" i="9"/>
  <c r="B44" i="9" a="1"/>
  <c r="A44" i="9"/>
  <c r="C43" i="9"/>
  <c r="C43" i="9" a="1"/>
  <c r="B43" i="9"/>
  <c r="B43" i="9" a="1"/>
  <c r="A43" i="9"/>
  <c r="C42" i="9"/>
  <c r="C42" i="9" a="1"/>
  <c r="B42" i="9"/>
  <c r="B42" i="9" a="1"/>
  <c r="A42" i="9"/>
  <c r="C41" i="9"/>
  <c r="C41" i="9" a="1"/>
  <c r="B41" i="9"/>
  <c r="B41" i="9" a="1"/>
  <c r="A41" i="9"/>
  <c r="C40" i="9"/>
  <c r="C40" i="9" a="1"/>
  <c r="B40" i="9"/>
  <c r="B40" i="9" a="1"/>
  <c r="A40" i="9"/>
  <c r="C39" i="9"/>
  <c r="C39" i="9" a="1"/>
  <c r="B39" i="9"/>
  <c r="B39" i="9" a="1"/>
  <c r="A39" i="9"/>
  <c r="C38" i="9"/>
  <c r="C38" i="9" a="1"/>
  <c r="B38" i="9"/>
  <c r="B38" i="9" a="1"/>
  <c r="A38" i="9"/>
  <c r="C37" i="9"/>
  <c r="C37" i="9" a="1"/>
  <c r="B37" i="9"/>
  <c r="B37" i="9" a="1"/>
  <c r="A37" i="9"/>
  <c r="C36" i="9"/>
  <c r="C36" i="9" a="1"/>
  <c r="B36" i="9"/>
  <c r="B36" i="9" a="1"/>
  <c r="A36" i="9"/>
  <c r="C35" i="9"/>
  <c r="C35" i="9" a="1"/>
  <c r="B35" i="9"/>
  <c r="B35" i="9" a="1"/>
  <c r="A35" i="9"/>
  <c r="C34" i="9"/>
  <c r="C34" i="9" a="1"/>
  <c r="B34" i="9"/>
  <c r="B34" i="9" a="1"/>
  <c r="A34" i="9"/>
  <c r="C33" i="9"/>
  <c r="C33" i="9" a="1"/>
  <c r="B33" i="9"/>
  <c r="B33" i="9" a="1"/>
  <c r="A33" i="9"/>
  <c r="C32" i="9"/>
  <c r="C32" i="9" a="1"/>
  <c r="B32" i="9"/>
  <c r="B32" i="9" a="1"/>
  <c r="A32" i="9"/>
  <c r="C31" i="9"/>
  <c r="C31" i="9" a="1"/>
  <c r="B31" i="9"/>
  <c r="B31" i="9" a="1"/>
  <c r="A31" i="9"/>
  <c r="C30" i="9"/>
  <c r="C30" i="9" a="1"/>
  <c r="B30" i="9"/>
  <c r="B30" i="9" a="1"/>
  <c r="A30" i="9"/>
  <c r="C29" i="9"/>
  <c r="C29" i="9" a="1"/>
  <c r="B29" i="9"/>
  <c r="B29" i="9" a="1"/>
  <c r="A29" i="9"/>
  <c r="C28" i="9"/>
  <c r="C28" i="9" a="1"/>
  <c r="B28" i="9"/>
  <c r="B28" i="9" a="1"/>
  <c r="A28" i="9"/>
  <c r="C27" i="9"/>
  <c r="C27" i="9" a="1"/>
  <c r="B27" i="9"/>
  <c r="B27" i="9" a="1"/>
  <c r="A27" i="9"/>
  <c r="C26" i="9"/>
  <c r="C26" i="9" a="1"/>
  <c r="B26" i="9"/>
  <c r="B26" i="9" a="1"/>
  <c r="A26" i="9"/>
  <c r="C25" i="9"/>
  <c r="C25" i="9" a="1"/>
  <c r="B25" i="9"/>
  <c r="B25" i="9" a="1"/>
  <c r="A25" i="9"/>
  <c r="C24" i="9"/>
  <c r="C24" i="9" a="1"/>
  <c r="B24" i="9"/>
  <c r="B24" i="9" a="1"/>
  <c r="A24" i="9"/>
  <c r="C23" i="9"/>
  <c r="C23" i="9" a="1"/>
  <c r="B23" i="9"/>
  <c r="B23" i="9" a="1"/>
  <c r="A23" i="9"/>
  <c r="C22" i="9"/>
  <c r="C22" i="9" a="1"/>
  <c r="B22" i="9"/>
  <c r="B22" i="9" a="1"/>
  <c r="A22" i="9"/>
  <c r="C21" i="9"/>
  <c r="C21" i="9" a="1"/>
  <c r="B21" i="9"/>
  <c r="B21" i="9" a="1"/>
  <c r="A21" i="9"/>
  <c r="C20" i="9"/>
  <c r="C20" i="9" a="1"/>
  <c r="B20" i="9"/>
  <c r="B20" i="9" a="1"/>
  <c r="A20" i="9"/>
  <c r="C19" i="9"/>
  <c r="C19" i="9" a="1"/>
  <c r="B19" i="9"/>
  <c r="B19" i="9" a="1"/>
  <c r="A19" i="9"/>
  <c r="C18" i="9"/>
  <c r="C18" i="9" a="1"/>
  <c r="B18" i="9"/>
  <c r="B18" i="9" a="1"/>
  <c r="A18" i="9"/>
  <c r="C17" i="9"/>
  <c r="C17" i="9" a="1"/>
  <c r="B17" i="9"/>
  <c r="B17" i="9" a="1"/>
  <c r="A17" i="9"/>
  <c r="C16" i="9"/>
  <c r="C16" i="9" a="1"/>
  <c r="B16" i="9"/>
  <c r="B16" i="9" a="1"/>
  <c r="A16" i="9"/>
  <c r="C15" i="9"/>
  <c r="C15" i="9" a="1"/>
  <c r="B15" i="9"/>
  <c r="B15" i="9" a="1"/>
  <c r="A15" i="9"/>
  <c r="C14" i="9"/>
  <c r="C14" i="9" a="1"/>
  <c r="B14" i="9"/>
  <c r="B14" i="9" a="1"/>
  <c r="A14" i="9"/>
  <c r="C13" i="9"/>
  <c r="C13" i="9" a="1"/>
  <c r="B13" i="9"/>
  <c r="B13" i="9" a="1"/>
  <c r="A13" i="9"/>
  <c r="C12" i="9"/>
  <c r="C12" i="9" a="1"/>
  <c r="B12" i="9"/>
  <c r="B12" i="9" a="1"/>
  <c r="A12" i="9"/>
  <c r="C11" i="9"/>
  <c r="C11" i="9" a="1"/>
  <c r="B11" i="9"/>
  <c r="B11" i="9" a="1"/>
  <c r="A11" i="9"/>
  <c r="C8" i="9"/>
  <c r="B8" i="9"/>
  <c r="C7" i="9"/>
  <c r="B7" i="9"/>
  <c r="C6" i="9"/>
  <c r="B6" i="9"/>
  <c r="C5" i="9"/>
  <c r="B5" i="9"/>
  <c r="C4" i="9"/>
  <c r="B4" i="9"/>
  <c r="C3" i="9"/>
  <c r="B3" i="9"/>
  <c r="D1" i="9"/>
  <c r="A1" i="9"/>
  <c r="C99" i="8"/>
  <c r="C99" i="8" a="1"/>
  <c r="B99" i="8"/>
  <c r="B99" i="8" a="1"/>
  <c r="A99" i="8"/>
  <c r="C98" i="8"/>
  <c r="C98" i="8" a="1"/>
  <c r="B98" i="8"/>
  <c r="B98" i="8" a="1"/>
  <c r="A98" i="8"/>
  <c r="C97" i="8"/>
  <c r="C97" i="8" a="1"/>
  <c r="B97" i="8"/>
  <c r="B97" i="8" a="1"/>
  <c r="A97" i="8"/>
  <c r="C96" i="8"/>
  <c r="C96" i="8" a="1"/>
  <c r="B96" i="8"/>
  <c r="B96" i="8" a="1"/>
  <c r="A96" i="8"/>
  <c r="C95" i="8"/>
  <c r="C95" i="8" a="1"/>
  <c r="B95" i="8"/>
  <c r="B95" i="8" a="1"/>
  <c r="A95" i="8"/>
  <c r="C94" i="8"/>
  <c r="C94" i="8" a="1"/>
  <c r="B94" i="8"/>
  <c r="B94" i="8" a="1"/>
  <c r="A94" i="8"/>
  <c r="C93" i="8"/>
  <c r="C93" i="8" a="1"/>
  <c r="B93" i="8"/>
  <c r="B93" i="8" a="1"/>
  <c r="A93" i="8"/>
  <c r="C92" i="8"/>
  <c r="C92" i="8" a="1"/>
  <c r="B92" i="8"/>
  <c r="B92" i="8" a="1"/>
  <c r="A92" i="8"/>
  <c r="C91" i="8"/>
  <c r="C91" i="8" a="1"/>
  <c r="B91" i="8"/>
  <c r="B91" i="8" a="1"/>
  <c r="A91" i="8"/>
  <c r="C90" i="8"/>
  <c r="C90" i="8" a="1"/>
  <c r="B90" i="8"/>
  <c r="B90" i="8" a="1"/>
  <c r="A90" i="8"/>
  <c r="C89" i="8"/>
  <c r="C89" i="8" a="1"/>
  <c r="B89" i="8"/>
  <c r="B89" i="8" a="1"/>
  <c r="A89" i="8"/>
  <c r="C88" i="8"/>
  <c r="C88" i="8" a="1"/>
  <c r="B88" i="8"/>
  <c r="B88" i="8" a="1"/>
  <c r="A88" i="8"/>
  <c r="C87" i="8"/>
  <c r="C87" i="8" a="1"/>
  <c r="B87" i="8"/>
  <c r="B87" i="8" a="1"/>
  <c r="A87" i="8"/>
  <c r="C86" i="8"/>
  <c r="C86" i="8" a="1"/>
  <c r="B86" i="8"/>
  <c r="B86" i="8" a="1"/>
  <c r="A86" i="8"/>
  <c r="C85" i="8"/>
  <c r="C85" i="8" a="1"/>
  <c r="B85" i="8"/>
  <c r="B85" i="8" a="1"/>
  <c r="A85" i="8"/>
  <c r="C84" i="8"/>
  <c r="C84" i="8" a="1"/>
  <c r="B84" i="8"/>
  <c r="B84" i="8" a="1"/>
  <c r="A84" i="8"/>
  <c r="C83" i="8"/>
  <c r="C83" i="8" a="1"/>
  <c r="B83" i="8"/>
  <c r="B83" i="8" a="1"/>
  <c r="A83" i="8"/>
  <c r="C82" i="8"/>
  <c r="C82" i="8" a="1"/>
  <c r="B82" i="8"/>
  <c r="B82" i="8" a="1"/>
  <c r="A82" i="8"/>
  <c r="C81" i="8"/>
  <c r="C81" i="8" a="1"/>
  <c r="B81" i="8"/>
  <c r="B81" i="8" a="1"/>
  <c r="A81" i="8"/>
  <c r="C80" i="8"/>
  <c r="C80" i="8" a="1"/>
  <c r="B80" i="8"/>
  <c r="B80" i="8" a="1"/>
  <c r="A80" i="8"/>
  <c r="C79" i="8"/>
  <c r="C79" i="8" a="1"/>
  <c r="B79" i="8"/>
  <c r="B79" i="8" a="1"/>
  <c r="A79" i="8"/>
  <c r="C78" i="8"/>
  <c r="C78" i="8" a="1"/>
  <c r="B78" i="8"/>
  <c r="B78" i="8" a="1"/>
  <c r="A78" i="8"/>
  <c r="C77" i="8"/>
  <c r="C77" i="8" a="1"/>
  <c r="B77" i="8"/>
  <c r="B77" i="8" a="1"/>
  <c r="A77" i="8"/>
  <c r="C76" i="8"/>
  <c r="C76" i="8" a="1"/>
  <c r="B76" i="8"/>
  <c r="B76" i="8" a="1"/>
  <c r="A76" i="8"/>
  <c r="C75" i="8"/>
  <c r="C75" i="8" a="1"/>
  <c r="B75" i="8"/>
  <c r="B75" i="8" a="1"/>
  <c r="A75" i="8"/>
  <c r="C74" i="8"/>
  <c r="C74" i="8" a="1"/>
  <c r="B74" i="8"/>
  <c r="B74" i="8" a="1"/>
  <c r="A74" i="8"/>
  <c r="C73" i="8"/>
  <c r="C73" i="8" a="1"/>
  <c r="B73" i="8"/>
  <c r="B73" i="8" a="1"/>
  <c r="A73" i="8"/>
  <c r="C72" i="8"/>
  <c r="C72" i="8" a="1"/>
  <c r="B72" i="8"/>
  <c r="B72" i="8" a="1"/>
  <c r="A72" i="8"/>
  <c r="C71" i="8"/>
  <c r="C71" i="8" a="1"/>
  <c r="B71" i="8"/>
  <c r="B71" i="8" a="1"/>
  <c r="A71" i="8"/>
  <c r="C70" i="8"/>
  <c r="C70" i="8" a="1"/>
  <c r="B70" i="8"/>
  <c r="B70" i="8" a="1"/>
  <c r="A70" i="8"/>
  <c r="C69" i="8"/>
  <c r="C69" i="8" a="1"/>
  <c r="B69" i="8"/>
  <c r="B69" i="8" a="1"/>
  <c r="A69" i="8"/>
  <c r="C68" i="8"/>
  <c r="C68" i="8" a="1"/>
  <c r="B68" i="8"/>
  <c r="B68" i="8" a="1"/>
  <c r="A68" i="8"/>
  <c r="C67" i="8"/>
  <c r="C67" i="8" a="1"/>
  <c r="B67" i="8"/>
  <c r="B67" i="8" a="1"/>
  <c r="A67" i="8"/>
  <c r="C66" i="8"/>
  <c r="C66" i="8" a="1"/>
  <c r="B66" i="8"/>
  <c r="B66" i="8" a="1"/>
  <c r="A66" i="8"/>
  <c r="C65" i="8"/>
  <c r="C65" i="8" a="1"/>
  <c r="B65" i="8"/>
  <c r="B65" i="8" a="1"/>
  <c r="A65" i="8"/>
  <c r="C64" i="8"/>
  <c r="C64" i="8" a="1"/>
  <c r="B64" i="8"/>
  <c r="B64" i="8" a="1"/>
  <c r="A64" i="8"/>
  <c r="C63" i="8"/>
  <c r="C63" i="8" a="1"/>
  <c r="B63" i="8"/>
  <c r="B63" i="8" a="1"/>
  <c r="A63" i="8"/>
  <c r="C62" i="8"/>
  <c r="C62" i="8" a="1"/>
  <c r="B62" i="8"/>
  <c r="B62" i="8" a="1"/>
  <c r="A62" i="8"/>
  <c r="C61" i="8"/>
  <c r="C61" i="8" a="1"/>
  <c r="B61" i="8"/>
  <c r="B61" i="8" a="1"/>
  <c r="A61" i="8"/>
  <c r="C60" i="8"/>
  <c r="C60" i="8" a="1"/>
  <c r="B60" i="8"/>
  <c r="B60" i="8" a="1"/>
  <c r="A60" i="8"/>
  <c r="C59" i="8"/>
  <c r="C59" i="8" a="1"/>
  <c r="B59" i="8"/>
  <c r="B59" i="8" a="1"/>
  <c r="A59" i="8"/>
  <c r="C58" i="8"/>
  <c r="C58" i="8" a="1"/>
  <c r="B58" i="8"/>
  <c r="B58" i="8" a="1"/>
  <c r="A58" i="8"/>
  <c r="C57" i="8"/>
  <c r="C57" i="8" a="1"/>
  <c r="B57" i="8"/>
  <c r="B57" i="8" a="1"/>
  <c r="A57" i="8"/>
  <c r="C56" i="8"/>
  <c r="C56" i="8" a="1"/>
  <c r="B56" i="8"/>
  <c r="B56" i="8" a="1"/>
  <c r="A56" i="8"/>
  <c r="C55" i="8"/>
  <c r="C55" i="8" a="1"/>
  <c r="B55" i="8"/>
  <c r="B55" i="8" a="1"/>
  <c r="A55" i="8"/>
  <c r="C54" i="8"/>
  <c r="C54" i="8" a="1"/>
  <c r="B54" i="8"/>
  <c r="B54" i="8" a="1"/>
  <c r="A54" i="8"/>
  <c r="C53" i="8"/>
  <c r="C53" i="8" a="1"/>
  <c r="B53" i="8"/>
  <c r="B53" i="8" a="1"/>
  <c r="A53" i="8"/>
  <c r="C52" i="8"/>
  <c r="C52" i="8" a="1"/>
  <c r="B52" i="8"/>
  <c r="B52" i="8" a="1"/>
  <c r="A52" i="8"/>
  <c r="C51" i="8"/>
  <c r="C51" i="8" a="1"/>
  <c r="B51" i="8"/>
  <c r="B51" i="8" a="1"/>
  <c r="A51" i="8"/>
  <c r="C50" i="8"/>
  <c r="C50" i="8" a="1"/>
  <c r="B50" i="8"/>
  <c r="B50" i="8" a="1"/>
  <c r="A50" i="8"/>
  <c r="C49" i="8"/>
  <c r="C49" i="8" a="1"/>
  <c r="B49" i="8"/>
  <c r="B49" i="8" a="1"/>
  <c r="A49" i="8"/>
  <c r="C48" i="8"/>
  <c r="C48" i="8" a="1"/>
  <c r="B48" i="8"/>
  <c r="B48" i="8" a="1"/>
  <c r="A48" i="8"/>
  <c r="C47" i="8"/>
  <c r="C47" i="8" a="1"/>
  <c r="B47" i="8"/>
  <c r="B47" i="8" a="1"/>
  <c r="A47" i="8"/>
  <c r="C46" i="8"/>
  <c r="C46" i="8" a="1"/>
  <c r="B46" i="8"/>
  <c r="B46" i="8" a="1"/>
  <c r="A46" i="8"/>
  <c r="C45" i="8"/>
  <c r="C45" i="8" a="1"/>
  <c r="B45" i="8"/>
  <c r="B45" i="8" a="1"/>
  <c r="A45" i="8"/>
  <c r="C44" i="8"/>
  <c r="C44" i="8" a="1"/>
  <c r="B44" i="8"/>
  <c r="B44" i="8" a="1"/>
  <c r="A44" i="8"/>
  <c r="C43" i="8"/>
  <c r="C43" i="8" a="1"/>
  <c r="B43" i="8"/>
  <c r="B43" i="8" a="1"/>
  <c r="A43" i="8"/>
  <c r="C42" i="8"/>
  <c r="C42" i="8" a="1"/>
  <c r="B42" i="8"/>
  <c r="B42" i="8" a="1"/>
  <c r="A42" i="8"/>
  <c r="C41" i="8"/>
  <c r="C41" i="8" a="1"/>
  <c r="B41" i="8"/>
  <c r="B41" i="8" a="1"/>
  <c r="A41" i="8"/>
  <c r="C40" i="8"/>
  <c r="C40" i="8" a="1"/>
  <c r="B40" i="8"/>
  <c r="B40" i="8" a="1"/>
  <c r="A40" i="8"/>
  <c r="C39" i="8"/>
  <c r="C39" i="8" a="1"/>
  <c r="B39" i="8"/>
  <c r="B39" i="8" a="1"/>
  <c r="A39" i="8"/>
  <c r="C38" i="8"/>
  <c r="C38" i="8" a="1"/>
  <c r="B38" i="8"/>
  <c r="B38" i="8" a="1"/>
  <c r="A38" i="8"/>
  <c r="C37" i="8"/>
  <c r="C37" i="8" a="1"/>
  <c r="B37" i="8"/>
  <c r="B37" i="8" a="1"/>
  <c r="A37" i="8"/>
  <c r="C36" i="8"/>
  <c r="C36" i="8" a="1"/>
  <c r="B36" i="8"/>
  <c r="B36" i="8" a="1"/>
  <c r="A36" i="8"/>
  <c r="C35" i="8"/>
  <c r="C35" i="8" a="1"/>
  <c r="B35" i="8"/>
  <c r="B35" i="8" a="1"/>
  <c r="A35" i="8"/>
  <c r="C34" i="8"/>
  <c r="C34" i="8" a="1"/>
  <c r="B34" i="8"/>
  <c r="B34" i="8" a="1"/>
  <c r="A34" i="8"/>
  <c r="C33" i="8"/>
  <c r="C33" i="8" a="1"/>
  <c r="B33" i="8"/>
  <c r="B33" i="8" a="1"/>
  <c r="A33" i="8"/>
  <c r="C32" i="8"/>
  <c r="C32" i="8" a="1"/>
  <c r="B32" i="8"/>
  <c r="B32" i="8" a="1"/>
  <c r="A32" i="8"/>
  <c r="C31" i="8"/>
  <c r="C31" i="8" a="1"/>
  <c r="B31" i="8"/>
  <c r="B31" i="8" a="1"/>
  <c r="A31" i="8"/>
  <c r="C30" i="8"/>
  <c r="C30" i="8" a="1"/>
  <c r="B30" i="8"/>
  <c r="B30" i="8" a="1"/>
  <c r="A30" i="8"/>
  <c r="C29" i="8"/>
  <c r="C29" i="8" a="1"/>
  <c r="B29" i="8"/>
  <c r="B29" i="8" a="1"/>
  <c r="A29" i="8"/>
  <c r="C28" i="8"/>
  <c r="C28" i="8" a="1"/>
  <c r="B28" i="8"/>
  <c r="B28" i="8" a="1"/>
  <c r="A28" i="8"/>
  <c r="C27" i="8"/>
  <c r="C27" i="8" a="1"/>
  <c r="B27" i="8"/>
  <c r="B27" i="8" a="1"/>
  <c r="A27" i="8"/>
  <c r="C26" i="8"/>
  <c r="C26" i="8" a="1"/>
  <c r="B26" i="8"/>
  <c r="B26" i="8" a="1"/>
  <c r="A26" i="8"/>
  <c r="C25" i="8"/>
  <c r="C25" i="8" a="1"/>
  <c r="B25" i="8"/>
  <c r="B25" i="8" a="1"/>
  <c r="A25" i="8"/>
  <c r="C24" i="8"/>
  <c r="C24" i="8" a="1"/>
  <c r="B24" i="8"/>
  <c r="B24" i="8" a="1"/>
  <c r="A24" i="8"/>
  <c r="C23" i="8"/>
  <c r="C23" i="8" a="1"/>
  <c r="B23" i="8"/>
  <c r="B23" i="8" a="1"/>
  <c r="A23" i="8"/>
  <c r="C22" i="8"/>
  <c r="C22" i="8" a="1"/>
  <c r="B22" i="8"/>
  <c r="B22" i="8" a="1"/>
  <c r="A22" i="8"/>
  <c r="C21" i="8"/>
  <c r="C21" i="8" a="1"/>
  <c r="B21" i="8"/>
  <c r="B21" i="8" a="1"/>
  <c r="A21" i="8"/>
  <c r="C20" i="8"/>
  <c r="C20" i="8" a="1"/>
  <c r="B20" i="8"/>
  <c r="B20" i="8" a="1"/>
  <c r="A20" i="8"/>
  <c r="C19" i="8"/>
  <c r="C19" i="8" a="1"/>
  <c r="B19" i="8"/>
  <c r="B19" i="8" a="1"/>
  <c r="A19" i="8"/>
  <c r="C18" i="8"/>
  <c r="C18" i="8" a="1"/>
  <c r="B18" i="8"/>
  <c r="B18" i="8" a="1"/>
  <c r="A18" i="8"/>
  <c r="C17" i="8"/>
  <c r="C17" i="8" a="1"/>
  <c r="B17" i="8"/>
  <c r="B17" i="8" a="1"/>
  <c r="A17" i="8"/>
  <c r="C16" i="8"/>
  <c r="C16" i="8" a="1"/>
  <c r="B16" i="8"/>
  <c r="B16" i="8" a="1"/>
  <c r="A16" i="8"/>
  <c r="C15" i="8"/>
  <c r="C15" i="8" a="1"/>
  <c r="B15" i="8"/>
  <c r="B15" i="8" a="1"/>
  <c r="A15" i="8"/>
  <c r="C14" i="8"/>
  <c r="C14" i="8" a="1"/>
  <c r="B14" i="8"/>
  <c r="B14" i="8" a="1"/>
  <c r="A14" i="8"/>
  <c r="C13" i="8"/>
  <c r="C13" i="8" a="1"/>
  <c r="B13" i="8"/>
  <c r="B13" i="8" a="1"/>
  <c r="A13" i="8"/>
  <c r="C12" i="8"/>
  <c r="C12" i="8" a="1"/>
  <c r="B12" i="8"/>
  <c r="B12" i="8" a="1"/>
  <c r="A12" i="8"/>
  <c r="C11" i="8"/>
  <c r="C11" i="8" a="1"/>
  <c r="B11" i="8"/>
  <c r="B11" i="8" a="1"/>
  <c r="A11" i="8"/>
  <c r="C8" i="8"/>
  <c r="B8" i="8"/>
  <c r="C7" i="8"/>
  <c r="B7" i="8"/>
  <c r="C6" i="8"/>
  <c r="B6" i="8"/>
  <c r="C5" i="8"/>
  <c r="B5" i="8"/>
  <c r="C4" i="8"/>
  <c r="B4" i="8"/>
  <c r="C3" i="8"/>
  <c r="B3" i="8"/>
  <c r="D1" i="8"/>
  <c r="A1" i="8"/>
  <c r="C99" i="7"/>
  <c r="C99" i="7" a="1"/>
  <c r="B99" i="7"/>
  <c r="B99" i="7" a="1"/>
  <c r="A99" i="7"/>
  <c r="C98" i="7"/>
  <c r="C98" i="7" a="1"/>
  <c r="B98" i="7"/>
  <c r="B98" i="7" a="1"/>
  <c r="A98" i="7"/>
  <c r="C97" i="7"/>
  <c r="C97" i="7" a="1"/>
  <c r="B97" i="7"/>
  <c r="B97" i="7" a="1"/>
  <c r="A97" i="7"/>
  <c r="C96" i="7"/>
  <c r="C96" i="7" a="1"/>
  <c r="B96" i="7"/>
  <c r="B96" i="7" a="1"/>
  <c r="A96" i="7"/>
  <c r="C95" i="7"/>
  <c r="C95" i="7" a="1"/>
  <c r="B95" i="7"/>
  <c r="B95" i="7" a="1"/>
  <c r="A95" i="7"/>
  <c r="C94" i="7"/>
  <c r="C94" i="7" a="1"/>
  <c r="B94" i="7"/>
  <c r="B94" i="7" a="1"/>
  <c r="A94" i="7"/>
  <c r="C93" i="7"/>
  <c r="C93" i="7" a="1"/>
  <c r="B93" i="7"/>
  <c r="B93" i="7" a="1"/>
  <c r="A93" i="7"/>
  <c r="C92" i="7"/>
  <c r="C92" i="7" a="1"/>
  <c r="B92" i="7"/>
  <c r="B92" i="7" a="1"/>
  <c r="A92" i="7"/>
  <c r="C91" i="7"/>
  <c r="C91" i="7" a="1"/>
  <c r="B91" i="7"/>
  <c r="B91" i="7" a="1"/>
  <c r="A91" i="7"/>
  <c r="C90" i="7"/>
  <c r="C90" i="7" a="1"/>
  <c r="B90" i="7"/>
  <c r="B90" i="7" a="1"/>
  <c r="A90" i="7"/>
  <c r="C89" i="7"/>
  <c r="C89" i="7" a="1"/>
  <c r="B89" i="7"/>
  <c r="B89" i="7" a="1"/>
  <c r="A89" i="7"/>
  <c r="C88" i="7"/>
  <c r="C88" i="7" a="1"/>
  <c r="B88" i="7"/>
  <c r="B88" i="7" a="1"/>
  <c r="A88" i="7"/>
  <c r="C87" i="7"/>
  <c r="C87" i="7" a="1"/>
  <c r="B87" i="7"/>
  <c r="B87" i="7" a="1"/>
  <c r="A87" i="7"/>
  <c r="C86" i="7"/>
  <c r="C86" i="7" a="1"/>
  <c r="B86" i="7"/>
  <c r="B86" i="7" a="1"/>
  <c r="A86" i="7"/>
  <c r="C85" i="7"/>
  <c r="C85" i="7" a="1"/>
  <c r="B85" i="7"/>
  <c r="B85" i="7" a="1"/>
  <c r="A85" i="7"/>
  <c r="C84" i="7"/>
  <c r="C84" i="7" a="1"/>
  <c r="B84" i="7"/>
  <c r="B84" i="7" a="1"/>
  <c r="A84" i="7"/>
  <c r="C83" i="7"/>
  <c r="C83" i="7" a="1"/>
  <c r="B83" i="7"/>
  <c r="B83" i="7" a="1"/>
  <c r="A83" i="7"/>
  <c r="C82" i="7"/>
  <c r="C82" i="7" a="1"/>
  <c r="B82" i="7"/>
  <c r="B82" i="7" a="1"/>
  <c r="A82" i="7"/>
  <c r="C81" i="7"/>
  <c r="C81" i="7" a="1"/>
  <c r="B81" i="7"/>
  <c r="B81" i="7" a="1"/>
  <c r="A81" i="7"/>
  <c r="C80" i="7"/>
  <c r="C80" i="7" a="1"/>
  <c r="B80" i="7"/>
  <c r="B80" i="7" a="1"/>
  <c r="A80" i="7"/>
  <c r="C79" i="7"/>
  <c r="C79" i="7" a="1"/>
  <c r="B79" i="7"/>
  <c r="B79" i="7" a="1"/>
  <c r="A79" i="7"/>
  <c r="C78" i="7"/>
  <c r="C78" i="7" a="1"/>
  <c r="B78" i="7"/>
  <c r="B78" i="7" a="1"/>
  <c r="A78" i="7"/>
  <c r="C77" i="7"/>
  <c r="C77" i="7" a="1"/>
  <c r="B77" i="7"/>
  <c r="B77" i="7" a="1"/>
  <c r="A77" i="7"/>
  <c r="C76" i="7"/>
  <c r="C76" i="7" a="1"/>
  <c r="B76" i="7"/>
  <c r="B76" i="7" a="1"/>
  <c r="A76" i="7"/>
  <c r="C75" i="7"/>
  <c r="C75" i="7" a="1"/>
  <c r="B75" i="7"/>
  <c r="B75" i="7" a="1"/>
  <c r="A75" i="7"/>
  <c r="C74" i="7"/>
  <c r="C74" i="7" a="1"/>
  <c r="B74" i="7"/>
  <c r="B74" i="7" a="1"/>
  <c r="A74" i="7"/>
  <c r="C73" i="7"/>
  <c r="C73" i="7" a="1"/>
  <c r="B73" i="7"/>
  <c r="B73" i="7" a="1"/>
  <c r="A73" i="7"/>
  <c r="C72" i="7"/>
  <c r="C72" i="7" a="1"/>
  <c r="B72" i="7"/>
  <c r="B72" i="7" a="1"/>
  <c r="A72" i="7"/>
  <c r="C71" i="7"/>
  <c r="C71" i="7" a="1"/>
  <c r="B71" i="7"/>
  <c r="B71" i="7" a="1"/>
  <c r="A71" i="7"/>
  <c r="C70" i="7"/>
  <c r="C70" i="7" a="1"/>
  <c r="B70" i="7"/>
  <c r="B70" i="7" a="1"/>
  <c r="A70" i="7"/>
  <c r="C69" i="7"/>
  <c r="C69" i="7" a="1"/>
  <c r="B69" i="7"/>
  <c r="B69" i="7" a="1"/>
  <c r="A69" i="7"/>
  <c r="C68" i="7"/>
  <c r="C68" i="7" a="1"/>
  <c r="B68" i="7"/>
  <c r="B68" i="7" a="1"/>
  <c r="A68" i="7"/>
  <c r="C67" i="7"/>
  <c r="C67" i="7" a="1"/>
  <c r="B67" i="7"/>
  <c r="B67" i="7" a="1"/>
  <c r="A67" i="7"/>
  <c r="C66" i="7"/>
  <c r="C66" i="7" a="1"/>
  <c r="B66" i="7"/>
  <c r="B66" i="7" a="1"/>
  <c r="A66" i="7"/>
  <c r="C65" i="7"/>
  <c r="C65" i="7" a="1"/>
  <c r="B65" i="7"/>
  <c r="B65" i="7" a="1"/>
  <c r="A65" i="7"/>
  <c r="C64" i="7"/>
  <c r="C64" i="7" a="1"/>
  <c r="B64" i="7"/>
  <c r="B64" i="7" a="1"/>
  <c r="A64" i="7"/>
  <c r="C63" i="7"/>
  <c r="C63" i="7" a="1"/>
  <c r="B63" i="7"/>
  <c r="B63" i="7" a="1"/>
  <c r="A63" i="7"/>
  <c r="C62" i="7"/>
  <c r="C62" i="7" a="1"/>
  <c r="B62" i="7"/>
  <c r="B62" i="7" a="1"/>
  <c r="A62" i="7"/>
  <c r="C61" i="7"/>
  <c r="C61" i="7" a="1"/>
  <c r="B61" i="7"/>
  <c r="B61" i="7" a="1"/>
  <c r="A61" i="7"/>
  <c r="C60" i="7"/>
  <c r="C60" i="7" a="1"/>
  <c r="B60" i="7"/>
  <c r="B60" i="7" a="1"/>
  <c r="A60" i="7"/>
  <c r="C59" i="7"/>
  <c r="C59" i="7" a="1"/>
  <c r="B59" i="7"/>
  <c r="B59" i="7" a="1"/>
  <c r="A59" i="7"/>
  <c r="C58" i="7"/>
  <c r="C58" i="7" a="1"/>
  <c r="B58" i="7"/>
  <c r="B58" i="7" a="1"/>
  <c r="A58" i="7"/>
  <c r="C57" i="7"/>
  <c r="C57" i="7" a="1"/>
  <c r="B57" i="7"/>
  <c r="B57" i="7" a="1"/>
  <c r="A57" i="7"/>
  <c r="C56" i="7"/>
  <c r="C56" i="7" a="1"/>
  <c r="B56" i="7"/>
  <c r="B56" i="7" a="1"/>
  <c r="A56" i="7"/>
  <c r="C55" i="7"/>
  <c r="C55" i="7" a="1"/>
  <c r="B55" i="7"/>
  <c r="B55" i="7" a="1"/>
  <c r="A55" i="7"/>
  <c r="C54" i="7"/>
  <c r="C54" i="7" a="1"/>
  <c r="B54" i="7"/>
  <c r="B54" i="7" a="1"/>
  <c r="A54" i="7"/>
  <c r="C53" i="7"/>
  <c r="C53" i="7" a="1"/>
  <c r="B53" i="7"/>
  <c r="B53" i="7" a="1"/>
  <c r="A53" i="7"/>
  <c r="C52" i="7"/>
  <c r="C52" i="7" a="1"/>
  <c r="B52" i="7"/>
  <c r="B52" i="7" a="1"/>
  <c r="A52" i="7"/>
  <c r="C51" i="7"/>
  <c r="C51" i="7" a="1"/>
  <c r="B51" i="7"/>
  <c r="B51" i="7" a="1"/>
  <c r="A51" i="7"/>
  <c r="C50" i="7"/>
  <c r="C50" i="7" a="1"/>
  <c r="B50" i="7"/>
  <c r="B50" i="7" a="1"/>
  <c r="A50" i="7"/>
  <c r="C49" i="7"/>
  <c r="C49" i="7" a="1"/>
  <c r="B49" i="7"/>
  <c r="B49" i="7" a="1"/>
  <c r="A49" i="7"/>
  <c r="C48" i="7"/>
  <c r="C48" i="7" a="1"/>
  <c r="B48" i="7"/>
  <c r="B48" i="7" a="1"/>
  <c r="A48" i="7"/>
  <c r="C47" i="7"/>
  <c r="C47" i="7" a="1"/>
  <c r="B47" i="7"/>
  <c r="B47" i="7" a="1"/>
  <c r="A47" i="7"/>
  <c r="C46" i="7"/>
  <c r="C46" i="7" a="1"/>
  <c r="B46" i="7"/>
  <c r="B46" i="7" a="1"/>
  <c r="A46" i="7"/>
  <c r="C45" i="7"/>
  <c r="C45" i="7" a="1"/>
  <c r="B45" i="7"/>
  <c r="B45" i="7" a="1"/>
  <c r="A45" i="7"/>
  <c r="C44" i="7"/>
  <c r="C44" i="7" a="1"/>
  <c r="B44" i="7"/>
  <c r="B44" i="7" a="1"/>
  <c r="A44" i="7"/>
  <c r="C43" i="7"/>
  <c r="C43" i="7" a="1"/>
  <c r="B43" i="7"/>
  <c r="B43" i="7" a="1"/>
  <c r="A43" i="7"/>
  <c r="C42" i="7"/>
  <c r="C42" i="7" a="1"/>
  <c r="B42" i="7"/>
  <c r="B42" i="7" a="1"/>
  <c r="A42" i="7"/>
  <c r="C41" i="7"/>
  <c r="C41" i="7" a="1"/>
  <c r="B41" i="7"/>
  <c r="B41" i="7" a="1"/>
  <c r="A41" i="7"/>
  <c r="C40" i="7"/>
  <c r="C40" i="7" a="1"/>
  <c r="B40" i="7"/>
  <c r="B40" i="7" a="1"/>
  <c r="A40" i="7"/>
  <c r="C39" i="7"/>
  <c r="C39" i="7" a="1"/>
  <c r="B39" i="7"/>
  <c r="B39" i="7" a="1"/>
  <c r="A39" i="7"/>
  <c r="C38" i="7"/>
  <c r="C38" i="7" a="1"/>
  <c r="B38" i="7"/>
  <c r="B38" i="7" a="1"/>
  <c r="A38" i="7"/>
  <c r="C37" i="7"/>
  <c r="C37" i="7" a="1"/>
  <c r="B37" i="7"/>
  <c r="B37" i="7" a="1"/>
  <c r="A37" i="7"/>
  <c r="C36" i="7"/>
  <c r="C36" i="7" a="1"/>
  <c r="B36" i="7"/>
  <c r="B36" i="7" a="1"/>
  <c r="A36" i="7"/>
  <c r="C35" i="7"/>
  <c r="C35" i="7" a="1"/>
  <c r="B35" i="7"/>
  <c r="B35" i="7" a="1"/>
  <c r="A35" i="7"/>
  <c r="C34" i="7"/>
  <c r="C34" i="7" a="1"/>
  <c r="B34" i="7"/>
  <c r="B34" i="7" a="1"/>
  <c r="A34" i="7"/>
  <c r="C33" i="7"/>
  <c r="C33" i="7" a="1"/>
  <c r="B33" i="7"/>
  <c r="B33" i="7" a="1"/>
  <c r="A33" i="7"/>
  <c r="C32" i="7"/>
  <c r="C32" i="7" a="1"/>
  <c r="B32" i="7"/>
  <c r="B32" i="7" a="1"/>
  <c r="A32" i="7"/>
  <c r="C31" i="7"/>
  <c r="C31" i="7" a="1"/>
  <c r="B31" i="7"/>
  <c r="B31" i="7" a="1"/>
  <c r="A31" i="7"/>
  <c r="C30" i="7"/>
  <c r="C30" i="7" a="1"/>
  <c r="B30" i="7"/>
  <c r="B30" i="7" a="1"/>
  <c r="A30" i="7"/>
  <c r="C29" i="7"/>
  <c r="C29" i="7" a="1"/>
  <c r="B29" i="7"/>
  <c r="B29" i="7" a="1"/>
  <c r="A29" i="7"/>
  <c r="C28" i="7"/>
  <c r="C28" i="7" a="1"/>
  <c r="B28" i="7"/>
  <c r="B28" i="7" a="1"/>
  <c r="A28" i="7"/>
  <c r="C27" i="7"/>
  <c r="C27" i="7" a="1"/>
  <c r="B27" i="7"/>
  <c r="B27" i="7" a="1"/>
  <c r="A27" i="7"/>
  <c r="C26" i="7"/>
  <c r="C26" i="7" a="1"/>
  <c r="B26" i="7"/>
  <c r="B26" i="7" a="1"/>
  <c r="A26" i="7"/>
  <c r="C25" i="7"/>
  <c r="C25" i="7" a="1"/>
  <c r="B25" i="7"/>
  <c r="B25" i="7" a="1"/>
  <c r="A25" i="7"/>
  <c r="C24" i="7"/>
  <c r="C24" i="7" a="1"/>
  <c r="B24" i="7"/>
  <c r="B24" i="7" a="1"/>
  <c r="A24" i="7"/>
  <c r="C23" i="7"/>
  <c r="C23" i="7" a="1"/>
  <c r="B23" i="7"/>
  <c r="B23" i="7" a="1"/>
  <c r="A23" i="7"/>
  <c r="C22" i="7"/>
  <c r="C22" i="7" a="1"/>
  <c r="B22" i="7"/>
  <c r="B22" i="7" a="1"/>
  <c r="A22" i="7"/>
  <c r="C21" i="7"/>
  <c r="C21" i="7" a="1"/>
  <c r="B21" i="7"/>
  <c r="B21" i="7" a="1"/>
  <c r="A21" i="7"/>
  <c r="C20" i="7"/>
  <c r="C20" i="7" a="1"/>
  <c r="B20" i="7"/>
  <c r="B20" i="7" a="1"/>
  <c r="A20" i="7"/>
  <c r="C19" i="7"/>
  <c r="C19" i="7" a="1"/>
  <c r="B19" i="7"/>
  <c r="B19" i="7" a="1"/>
  <c r="A19" i="7"/>
  <c r="C18" i="7"/>
  <c r="C18" i="7" a="1"/>
  <c r="B18" i="7"/>
  <c r="B18" i="7" a="1"/>
  <c r="A18" i="7"/>
  <c r="C17" i="7"/>
  <c r="C17" i="7" a="1"/>
  <c r="B17" i="7"/>
  <c r="B17" i="7" a="1"/>
  <c r="A17" i="7"/>
  <c r="C16" i="7"/>
  <c r="C16" i="7" a="1"/>
  <c r="B16" i="7"/>
  <c r="B16" i="7" a="1"/>
  <c r="A16" i="7"/>
  <c r="C15" i="7"/>
  <c r="C15" i="7" a="1"/>
  <c r="B15" i="7"/>
  <c r="B15" i="7" a="1"/>
  <c r="A15" i="7"/>
  <c r="C14" i="7"/>
  <c r="C14" i="7" a="1"/>
  <c r="B14" i="7"/>
  <c r="B14" i="7" a="1"/>
  <c r="A14" i="7"/>
  <c r="C13" i="7"/>
  <c r="C13" i="7" a="1"/>
  <c r="B13" i="7"/>
  <c r="B13" i="7" a="1"/>
  <c r="A13" i="7"/>
  <c r="C12" i="7"/>
  <c r="C12" i="7" a="1"/>
  <c r="B12" i="7"/>
  <c r="B12" i="7" a="1"/>
  <c r="A12" i="7"/>
  <c r="C11" i="7"/>
  <c r="C11" i="7" a="1"/>
  <c r="B11" i="7"/>
  <c r="B11" i="7" a="1"/>
  <c r="A11" i="7"/>
  <c r="C8" i="7"/>
  <c r="B8" i="7"/>
  <c r="C7" i="7"/>
  <c r="B7" i="7"/>
  <c r="C6" i="7"/>
  <c r="B6" i="7"/>
  <c r="C5" i="7"/>
  <c r="B5" i="7"/>
  <c r="C4" i="7"/>
  <c r="B4" i="7"/>
  <c r="C3" i="7"/>
  <c r="B3" i="7"/>
  <c r="D1" i="7"/>
  <c r="A1" i="7"/>
  <c r="C99" i="6"/>
  <c r="C99" i="6" a="1"/>
  <c r="B99" i="6"/>
  <c r="B99" i="6" a="1"/>
  <c r="A99" i="6"/>
  <c r="C98" i="6"/>
  <c r="C98" i="6" a="1"/>
  <c r="B98" i="6"/>
  <c r="B98" i="6" a="1"/>
  <c r="A98" i="6"/>
  <c r="C97" i="6"/>
  <c r="C97" i="6" a="1"/>
  <c r="B97" i="6"/>
  <c r="B97" i="6" a="1"/>
  <c r="A97" i="6"/>
  <c r="C96" i="6"/>
  <c r="C96" i="6" a="1"/>
  <c r="B96" i="6"/>
  <c r="B96" i="6" a="1"/>
  <c r="A96" i="6"/>
  <c r="C95" i="6"/>
  <c r="C95" i="6" a="1"/>
  <c r="B95" i="6"/>
  <c r="B95" i="6" a="1"/>
  <c r="A95" i="6"/>
  <c r="C94" i="6"/>
  <c r="C94" i="6" a="1"/>
  <c r="B94" i="6"/>
  <c r="B94" i="6" a="1"/>
  <c r="A94" i="6"/>
  <c r="C93" i="6"/>
  <c r="C93" i="6" a="1"/>
  <c r="B93" i="6"/>
  <c r="B93" i="6" a="1"/>
  <c r="A93" i="6"/>
  <c r="C92" i="6"/>
  <c r="C92" i="6" a="1"/>
  <c r="B92" i="6"/>
  <c r="B92" i="6" a="1"/>
  <c r="A92" i="6"/>
  <c r="C91" i="6"/>
  <c r="C91" i="6" a="1"/>
  <c r="B91" i="6"/>
  <c r="B91" i="6" a="1"/>
  <c r="A91" i="6"/>
  <c r="C90" i="6"/>
  <c r="C90" i="6" a="1"/>
  <c r="B90" i="6"/>
  <c r="B90" i="6" a="1"/>
  <c r="A90" i="6"/>
  <c r="C89" i="6"/>
  <c r="C89" i="6" a="1"/>
  <c r="B89" i="6"/>
  <c r="B89" i="6" a="1"/>
  <c r="A89" i="6"/>
  <c r="C88" i="6"/>
  <c r="C88" i="6" a="1"/>
  <c r="B88" i="6"/>
  <c r="B88" i="6" a="1"/>
  <c r="A88" i="6"/>
  <c r="C87" i="6"/>
  <c r="C87" i="6" a="1"/>
  <c r="B87" i="6"/>
  <c r="B87" i="6" a="1"/>
  <c r="A87" i="6"/>
  <c r="C86" i="6"/>
  <c r="C86" i="6" a="1"/>
  <c r="B86" i="6"/>
  <c r="B86" i="6" a="1"/>
  <c r="A86" i="6"/>
  <c r="C85" i="6"/>
  <c r="C85" i="6" a="1"/>
  <c r="B85" i="6"/>
  <c r="B85" i="6" a="1"/>
  <c r="A85" i="6"/>
  <c r="C84" i="6"/>
  <c r="C84" i="6" a="1"/>
  <c r="B84" i="6"/>
  <c r="B84" i="6" a="1"/>
  <c r="A84" i="6"/>
  <c r="C83" i="6"/>
  <c r="C83" i="6" a="1"/>
  <c r="B83" i="6"/>
  <c r="B83" i="6" a="1"/>
  <c r="A83" i="6"/>
  <c r="C82" i="6"/>
  <c r="C82" i="6" a="1"/>
  <c r="B82" i="6"/>
  <c r="B82" i="6" a="1"/>
  <c r="A82" i="6"/>
  <c r="C81" i="6"/>
  <c r="C81" i="6" a="1"/>
  <c r="B81" i="6"/>
  <c r="B81" i="6" a="1"/>
  <c r="A81" i="6"/>
  <c r="C80" i="6"/>
  <c r="C80" i="6" a="1"/>
  <c r="B80" i="6"/>
  <c r="B80" i="6" a="1"/>
  <c r="A80" i="6"/>
  <c r="C79" i="6"/>
  <c r="C79" i="6" a="1"/>
  <c r="B79" i="6"/>
  <c r="B79" i="6" a="1"/>
  <c r="A79" i="6"/>
  <c r="C78" i="6"/>
  <c r="C78" i="6" a="1"/>
  <c r="B78" i="6"/>
  <c r="B78" i="6" a="1"/>
  <c r="A78" i="6"/>
  <c r="C77" i="6"/>
  <c r="C77" i="6" a="1"/>
  <c r="B77" i="6"/>
  <c r="B77" i="6" a="1"/>
  <c r="A77" i="6"/>
  <c r="C76" i="6"/>
  <c r="C76" i="6" a="1"/>
  <c r="B76" i="6"/>
  <c r="B76" i="6" a="1"/>
  <c r="A76" i="6"/>
  <c r="C75" i="6"/>
  <c r="C75" i="6" a="1"/>
  <c r="B75" i="6"/>
  <c r="B75" i="6" a="1"/>
  <c r="A75" i="6"/>
  <c r="C74" i="6"/>
  <c r="C74" i="6" a="1"/>
  <c r="B74" i="6"/>
  <c r="B74" i="6" a="1"/>
  <c r="A74" i="6"/>
  <c r="C73" i="6"/>
  <c r="C73" i="6" a="1"/>
  <c r="B73" i="6"/>
  <c r="B73" i="6" a="1"/>
  <c r="A73" i="6"/>
  <c r="C72" i="6"/>
  <c r="C72" i="6" a="1"/>
  <c r="B72" i="6"/>
  <c r="B72" i="6" a="1"/>
  <c r="A72" i="6"/>
  <c r="C71" i="6"/>
  <c r="C71" i="6" a="1"/>
  <c r="B71" i="6"/>
  <c r="B71" i="6" a="1"/>
  <c r="A71" i="6"/>
  <c r="C70" i="6"/>
  <c r="C70" i="6" a="1"/>
  <c r="B70" i="6"/>
  <c r="B70" i="6" a="1"/>
  <c r="A70" i="6"/>
  <c r="C69" i="6"/>
  <c r="C69" i="6" a="1"/>
  <c r="B69" i="6"/>
  <c r="B69" i="6" a="1"/>
  <c r="A69" i="6"/>
  <c r="C68" i="6"/>
  <c r="C68" i="6" a="1"/>
  <c r="B68" i="6"/>
  <c r="B68" i="6" a="1"/>
  <c r="A68" i="6"/>
  <c r="C67" i="6"/>
  <c r="C67" i="6" a="1"/>
  <c r="B67" i="6"/>
  <c r="B67" i="6" a="1"/>
  <c r="A67" i="6"/>
  <c r="C66" i="6"/>
  <c r="C66" i="6" a="1"/>
  <c r="B66" i="6"/>
  <c r="B66" i="6" a="1"/>
  <c r="A66" i="6"/>
  <c r="C65" i="6"/>
  <c r="C65" i="6" a="1"/>
  <c r="B65" i="6"/>
  <c r="B65" i="6" a="1"/>
  <c r="A65" i="6"/>
  <c r="C64" i="6"/>
  <c r="C64" i="6" a="1"/>
  <c r="B64" i="6"/>
  <c r="B64" i="6" a="1"/>
  <c r="A64" i="6"/>
  <c r="C63" i="6"/>
  <c r="C63" i="6" a="1"/>
  <c r="B63" i="6"/>
  <c r="B63" i="6" a="1"/>
  <c r="A63" i="6"/>
  <c r="C62" i="6"/>
  <c r="C62" i="6" a="1"/>
  <c r="B62" i="6"/>
  <c r="B62" i="6" a="1"/>
  <c r="A62" i="6"/>
  <c r="C61" i="6"/>
  <c r="C61" i="6" a="1"/>
  <c r="B61" i="6"/>
  <c r="B61" i="6" a="1"/>
  <c r="A61" i="6"/>
  <c r="C60" i="6"/>
  <c r="C60" i="6" a="1"/>
  <c r="B60" i="6"/>
  <c r="B60" i="6" a="1"/>
  <c r="A60" i="6"/>
  <c r="C59" i="6"/>
  <c r="C59" i="6" a="1"/>
  <c r="B59" i="6"/>
  <c r="B59" i="6" a="1"/>
  <c r="A59" i="6"/>
  <c r="C58" i="6"/>
  <c r="C58" i="6" a="1"/>
  <c r="B58" i="6"/>
  <c r="B58" i="6" a="1"/>
  <c r="A58" i="6"/>
  <c r="C57" i="6"/>
  <c r="C57" i="6" a="1"/>
  <c r="B57" i="6"/>
  <c r="B57" i="6" a="1"/>
  <c r="A57" i="6"/>
  <c r="C56" i="6"/>
  <c r="C56" i="6" a="1"/>
  <c r="B56" i="6"/>
  <c r="B56" i="6" a="1"/>
  <c r="A56" i="6"/>
  <c r="C55" i="6"/>
  <c r="C55" i="6" a="1"/>
  <c r="B55" i="6"/>
  <c r="B55" i="6" a="1"/>
  <c r="A55" i="6"/>
  <c r="C54" i="6"/>
  <c r="C54" i="6" a="1"/>
  <c r="B54" i="6"/>
  <c r="B54" i="6" a="1"/>
  <c r="A54" i="6"/>
  <c r="C53" i="6"/>
  <c r="C53" i="6" a="1"/>
  <c r="B53" i="6"/>
  <c r="B53" i="6" a="1"/>
  <c r="A53" i="6"/>
  <c r="C52" i="6"/>
  <c r="C52" i="6" a="1"/>
  <c r="B52" i="6"/>
  <c r="B52" i="6" a="1"/>
  <c r="A52" i="6"/>
  <c r="C51" i="6"/>
  <c r="C51" i="6" a="1"/>
  <c r="B51" i="6"/>
  <c r="B51" i="6" a="1"/>
  <c r="A51" i="6"/>
  <c r="C50" i="6"/>
  <c r="C50" i="6" a="1"/>
  <c r="B50" i="6"/>
  <c r="B50" i="6" a="1"/>
  <c r="A50" i="6"/>
  <c r="C49" i="6"/>
  <c r="C49" i="6" a="1"/>
  <c r="B49" i="6"/>
  <c r="B49" i="6" a="1"/>
  <c r="A49" i="6"/>
  <c r="C48" i="6"/>
  <c r="C48" i="6" a="1"/>
  <c r="B48" i="6"/>
  <c r="B48" i="6" a="1"/>
  <c r="A48" i="6"/>
  <c r="C47" i="6"/>
  <c r="C47" i="6" a="1"/>
  <c r="B47" i="6"/>
  <c r="B47" i="6" a="1"/>
  <c r="A47" i="6"/>
  <c r="C46" i="6"/>
  <c r="C46" i="6" a="1"/>
  <c r="B46" i="6"/>
  <c r="B46" i="6" a="1"/>
  <c r="A46" i="6"/>
  <c r="C45" i="6"/>
  <c r="C45" i="6" a="1"/>
  <c r="B45" i="6"/>
  <c r="B45" i="6" a="1"/>
  <c r="A45" i="6"/>
  <c r="C44" i="6"/>
  <c r="C44" i="6" a="1"/>
  <c r="B44" i="6"/>
  <c r="B44" i="6" a="1"/>
  <c r="A44" i="6"/>
  <c r="C43" i="6"/>
  <c r="C43" i="6" a="1"/>
  <c r="B43" i="6"/>
  <c r="B43" i="6" a="1"/>
  <c r="A43" i="6"/>
  <c r="C42" i="6"/>
  <c r="C42" i="6" a="1"/>
  <c r="B42" i="6"/>
  <c r="B42" i="6" a="1"/>
  <c r="A42" i="6"/>
  <c r="C41" i="6"/>
  <c r="C41" i="6" a="1"/>
  <c r="B41" i="6"/>
  <c r="B41" i="6" a="1"/>
  <c r="A41" i="6"/>
  <c r="C40" i="6"/>
  <c r="C40" i="6" a="1"/>
  <c r="B40" i="6"/>
  <c r="B40" i="6" a="1"/>
  <c r="A40" i="6"/>
  <c r="C39" i="6"/>
  <c r="C39" i="6" a="1"/>
  <c r="B39" i="6"/>
  <c r="B39" i="6" a="1"/>
  <c r="A39" i="6"/>
  <c r="C38" i="6"/>
  <c r="C38" i="6" a="1"/>
  <c r="B38" i="6"/>
  <c r="B38" i="6" a="1"/>
  <c r="A38" i="6"/>
  <c r="C37" i="6"/>
  <c r="C37" i="6" a="1"/>
  <c r="B37" i="6"/>
  <c r="B37" i="6" a="1"/>
  <c r="A37" i="6"/>
  <c r="C36" i="6"/>
  <c r="C36" i="6" a="1"/>
  <c r="B36" i="6"/>
  <c r="B36" i="6" a="1"/>
  <c r="A36" i="6"/>
  <c r="C35" i="6"/>
  <c r="C35" i="6" a="1"/>
  <c r="B35" i="6"/>
  <c r="B35" i="6" a="1"/>
  <c r="A35" i="6"/>
  <c r="C34" i="6"/>
  <c r="C34" i="6" a="1"/>
  <c r="B34" i="6"/>
  <c r="B34" i="6" a="1"/>
  <c r="A34" i="6"/>
  <c r="C33" i="6"/>
  <c r="C33" i="6" a="1"/>
  <c r="B33" i="6"/>
  <c r="B33" i="6" a="1"/>
  <c r="A33" i="6"/>
  <c r="C32" i="6"/>
  <c r="C32" i="6" a="1"/>
  <c r="B32" i="6"/>
  <c r="B32" i="6" a="1"/>
  <c r="A32" i="6"/>
  <c r="C31" i="6"/>
  <c r="C31" i="6" a="1"/>
  <c r="B31" i="6"/>
  <c r="B31" i="6" a="1"/>
  <c r="A31" i="6"/>
  <c r="C30" i="6"/>
  <c r="C30" i="6" a="1"/>
  <c r="B30" i="6"/>
  <c r="B30" i="6" a="1"/>
  <c r="A30" i="6"/>
  <c r="C29" i="6"/>
  <c r="C29" i="6" a="1"/>
  <c r="B29" i="6"/>
  <c r="B29" i="6" a="1"/>
  <c r="A29" i="6"/>
  <c r="C28" i="6"/>
  <c r="C28" i="6" a="1"/>
  <c r="B28" i="6"/>
  <c r="B28" i="6" a="1"/>
  <c r="A28" i="6"/>
  <c r="C27" i="6"/>
  <c r="C27" i="6" a="1"/>
  <c r="B27" i="6"/>
  <c r="B27" i="6" a="1"/>
  <c r="A27" i="6"/>
  <c r="C26" i="6"/>
  <c r="C26" i="6" a="1"/>
  <c r="B26" i="6"/>
  <c r="B26" i="6" a="1"/>
  <c r="A26" i="6"/>
  <c r="C25" i="6"/>
  <c r="C25" i="6" a="1"/>
  <c r="B25" i="6"/>
  <c r="B25" i="6" a="1"/>
  <c r="A25" i="6"/>
  <c r="C24" i="6"/>
  <c r="C24" i="6" a="1"/>
  <c r="B24" i="6"/>
  <c r="B24" i="6" a="1"/>
  <c r="A24" i="6"/>
  <c r="C23" i="6"/>
  <c r="C23" i="6" a="1"/>
  <c r="B23" i="6"/>
  <c r="B23" i="6" a="1"/>
  <c r="A23" i="6"/>
  <c r="C22" i="6"/>
  <c r="C22" i="6" a="1"/>
  <c r="B22" i="6"/>
  <c r="B22" i="6" a="1"/>
  <c r="A22" i="6"/>
  <c r="C21" i="6"/>
  <c r="C21" i="6" a="1"/>
  <c r="B21" i="6"/>
  <c r="B21" i="6" a="1"/>
  <c r="A21" i="6"/>
  <c r="C20" i="6"/>
  <c r="C20" i="6" a="1"/>
  <c r="B20" i="6"/>
  <c r="B20" i="6" a="1"/>
  <c r="A20" i="6"/>
  <c r="C19" i="6"/>
  <c r="C19" i="6" a="1"/>
  <c r="B19" i="6"/>
  <c r="B19" i="6" a="1"/>
  <c r="A19" i="6"/>
  <c r="C18" i="6"/>
  <c r="C18" i="6" a="1"/>
  <c r="B18" i="6"/>
  <c r="B18" i="6" a="1"/>
  <c r="A18" i="6"/>
  <c r="C17" i="6"/>
  <c r="C17" i="6" a="1"/>
  <c r="B17" i="6"/>
  <c r="B17" i="6" a="1"/>
  <c r="A17" i="6"/>
  <c r="C16" i="6"/>
  <c r="C16" i="6" a="1"/>
  <c r="B16" i="6"/>
  <c r="B16" i="6" a="1"/>
  <c r="A16" i="6"/>
  <c r="C15" i="6"/>
  <c r="C15" i="6" a="1"/>
  <c r="B15" i="6"/>
  <c r="B15" i="6" a="1"/>
  <c r="A15" i="6"/>
  <c r="C14" i="6"/>
  <c r="C14" i="6" a="1"/>
  <c r="B14" i="6"/>
  <c r="B14" i="6" a="1"/>
  <c r="A14" i="6"/>
  <c r="C13" i="6"/>
  <c r="C13" i="6" a="1"/>
  <c r="B13" i="6"/>
  <c r="B13" i="6" a="1"/>
  <c r="A13" i="6"/>
  <c r="C12" i="6"/>
  <c r="C12" i="6" a="1"/>
  <c r="B12" i="6"/>
  <c r="B12" i="6" a="1"/>
  <c r="A12" i="6"/>
  <c r="C11" i="6"/>
  <c r="C11" i="6" a="1"/>
  <c r="B11" i="6"/>
  <c r="B11" i="6" a="1"/>
  <c r="A11" i="6"/>
  <c r="C8" i="6"/>
  <c r="B8" i="6"/>
  <c r="C7" i="6"/>
  <c r="B7" i="6"/>
  <c r="C6" i="6"/>
  <c r="B6" i="6"/>
  <c r="C5" i="6"/>
  <c r="B5" i="6"/>
  <c r="C4" i="6"/>
  <c r="B4" i="6"/>
  <c r="C3" i="6"/>
  <c r="B3" i="6"/>
  <c r="D1" i="6"/>
  <c r="A1" i="6"/>
  <c r="A11" i="5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D1" i="5"/>
  <c r="A11" i="4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D1" i="4"/>
  <c r="A11" i="3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D1" i="3"/>
  <c r="A11" i="2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D1" i="2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D1" i="1"/>
  <c r="C83" i="5" a="1"/>
  <c r="C60" i="5" a="1"/>
  <c r="B31" i="4" a="1"/>
  <c r="C22" i="4" a="1"/>
  <c r="B64" i="3" a="1"/>
  <c r="C92" i="3" a="1"/>
  <c r="B79" i="2" a="1"/>
  <c r="C54" i="2" a="1"/>
  <c r="B97" i="1" a="1"/>
  <c r="B80" i="1" a="1"/>
  <c r="C7" i="2"/>
  <c r="B42" i="2" a="1"/>
  <c r="B6" i="5"/>
  <c r="B38" i="5" a="1"/>
  <c r="C75" i="4" a="1"/>
  <c r="C40" i="4" a="1"/>
  <c r="B43" i="3" a="1"/>
  <c r="B40" i="3" a="1"/>
  <c r="C13" i="2" a="1"/>
  <c r="C32" i="2" a="1"/>
  <c r="C21" i="1" a="1"/>
  <c r="C76" i="1" a="1"/>
  <c r="B34" i="2" a="1"/>
  <c r="C68" i="1" a="1"/>
  <c r="C39" i="5" a="1"/>
  <c r="B42" i="5" a="1"/>
  <c r="C25" i="4" a="1"/>
  <c r="B66" i="4" a="1"/>
  <c r="C65" i="3" a="1"/>
  <c r="C56" i="3" a="1"/>
  <c r="B33" i="1" a="1"/>
  <c r="C77" i="5" a="1"/>
  <c r="B13" i="5" a="1"/>
  <c r="B21" i="4" a="1"/>
  <c r="C16" i="4" a="1"/>
  <c r="B56" i="3" a="1"/>
  <c r="C86" i="3" a="1"/>
  <c r="B73" i="2" a="1"/>
  <c r="C42" i="2" a="1"/>
  <c r="B91" i="1" a="1"/>
  <c r="C66" i="1" a="1"/>
  <c r="C58" i="5" a="1"/>
  <c r="B94" i="5" a="1"/>
  <c r="C96" i="4" a="1"/>
  <c r="B24" i="4" a="1"/>
  <c r="B22" i="3" a="1"/>
  <c r="C67" i="2" a="1"/>
  <c r="B26" i="2" a="1"/>
  <c r="C75" i="1" a="1"/>
  <c r="B48" i="1" a="1"/>
  <c r="B72" i="3" a="1"/>
  <c r="B72" i="1" a="1"/>
  <c r="B78" i="5" a="1"/>
  <c r="C91" i="4" a="1"/>
  <c r="C52" i="4" a="1"/>
  <c r="C19" i="3" a="1"/>
  <c r="C4" i="3"/>
  <c r="C25" i="2" a="1"/>
  <c r="C56" i="2" a="1"/>
  <c r="C33" i="1" a="1"/>
  <c r="B14" i="1" a="1"/>
  <c r="B46" i="4" a="1"/>
  <c r="B42" i="1" a="1"/>
  <c r="B69" i="5" a="1"/>
  <c r="C89" i="4" a="1"/>
  <c r="C50" i="4" a="1"/>
  <c r="C80" i="3" a="1"/>
  <c r="C31" i="1" a="1"/>
  <c r="C5" i="5"/>
  <c r="C72" i="5" a="1"/>
  <c r="B61" i="4" a="1"/>
  <c r="C59" i="4" a="1"/>
  <c r="B5" i="3"/>
  <c r="C26" i="3" a="1"/>
  <c r="B19" i="2" a="1"/>
  <c r="B36" i="2" a="1"/>
  <c r="B23" i="1" a="1"/>
  <c r="C27" i="5" a="1"/>
  <c r="B5" i="5"/>
  <c r="B83" i="4" a="1"/>
  <c r="B52" i="2" a="1"/>
  <c r="C96" i="2" a="1"/>
  <c r="B14" i="2" a="1"/>
  <c r="C54" i="5" a="1"/>
  <c r="C63" i="5" a="1"/>
  <c r="B37" i="5" a="1"/>
  <c r="C79" i="4" a="1"/>
  <c r="B90" i="4" a="1"/>
  <c r="C89" i="3" a="1"/>
  <c r="C72" i="3" a="1"/>
  <c r="C99" i="2" a="1"/>
  <c r="C12" i="2" a="1"/>
  <c r="B77" i="1" a="1"/>
  <c r="B86" i="1" a="1"/>
  <c r="B68" i="2" a="1"/>
  <c r="C91" i="1" a="1"/>
  <c r="C81" i="5" a="1"/>
  <c r="B43" i="5" a="1"/>
  <c r="B29" i="4" a="1"/>
  <c r="C20" i="4" a="1"/>
  <c r="B62" i="3" a="1"/>
  <c r="C90" i="3" a="1"/>
  <c r="B77" i="2" a="1"/>
  <c r="C50" i="2" a="1"/>
  <c r="B95" i="1" a="1"/>
  <c r="C3" i="1"/>
  <c r="C88" i="2" a="1"/>
  <c r="C42" i="1" a="1"/>
  <c r="C19" i="5" a="1"/>
  <c r="B67" i="5" a="1"/>
  <c r="B75" i="4" a="1"/>
  <c r="B26" i="4" a="1"/>
  <c r="B17" i="3" a="1"/>
  <c r="C36" i="3" a="1"/>
  <c r="B13" i="1" a="1"/>
  <c r="C57" i="5" a="1"/>
  <c r="A1" i="5"/>
  <c r="C61" i="4" a="1"/>
  <c r="B84" i="4" a="1"/>
  <c r="C83" i="3" a="1"/>
  <c r="C66" i="3" a="1"/>
  <c r="C93" i="2" a="1"/>
  <c r="B86" i="2" a="1"/>
  <c r="B71" i="1" a="1"/>
  <c r="B80" i="2" a="1"/>
  <c r="B75" i="5" a="1"/>
  <c r="C12" i="5" a="1"/>
  <c r="C74" i="4" a="1"/>
  <c r="C41" i="3" a="1"/>
  <c r="B87" i="3" a="1"/>
  <c r="C47" i="2" a="1"/>
  <c r="C84" i="2" a="1"/>
  <c r="C55" i="1" a="1"/>
  <c r="B98" i="1" a="1"/>
  <c r="C97" i="3" a="1"/>
  <c r="C93" i="5" a="1"/>
  <c r="B16" i="5" a="1"/>
  <c r="B43" i="4" a="1"/>
  <c r="C32" i="4" a="1"/>
  <c r="B74" i="3" a="1"/>
  <c r="C8" i="3"/>
  <c r="B91" i="2" a="1"/>
  <c r="C24" i="2" a="1"/>
  <c r="C13" i="1" a="1"/>
  <c r="B32" i="1" a="1"/>
  <c r="B18" i="4" a="1"/>
  <c r="C91" i="5" a="1"/>
  <c r="B92" i="5" a="1"/>
  <c r="B41" i="4" a="1"/>
  <c r="C77" i="3" a="1"/>
  <c r="C22" i="3" a="1"/>
  <c r="B85" i="1" a="1"/>
  <c r="B39" i="5" a="1"/>
  <c r="C74" i="5" a="1"/>
  <c r="B63" i="4" a="1"/>
  <c r="C19" i="4" a="1"/>
  <c r="B67" i="3" a="1"/>
  <c r="B92" i="3" a="1"/>
  <c r="B57" i="2" a="1"/>
  <c r="B22" i="2" a="1"/>
  <c r="C24" i="1" a="1"/>
  <c r="B99" i="5" a="1"/>
  <c r="C32" i="5" a="1"/>
  <c r="B59" i="4" a="1"/>
  <c r="C55" i="4" a="1"/>
  <c r="B85" i="3" a="1"/>
  <c r="C24" i="3" a="1"/>
  <c r="B99" i="2" a="1"/>
  <c r="B32" i="2" a="1"/>
  <c r="B21" i="1" a="1"/>
  <c r="B52" i="1" a="1"/>
  <c r="C74" i="1" a="1"/>
  <c r="B35" i="5" a="1"/>
  <c r="B15" i="5" a="1"/>
  <c r="C64" i="4" a="1"/>
  <c r="C31" i="3" a="1"/>
  <c r="B25" i="3" a="1"/>
  <c r="B78" i="3" a="1"/>
  <c r="C85" i="5" a="1"/>
  <c r="B35" i="4" a="1"/>
  <c r="C43" i="5" a="1"/>
  <c r="B53" i="5" a="1"/>
  <c r="C33" i="4" a="1"/>
  <c r="B70" i="4" a="1"/>
  <c r="C69" i="3" a="1"/>
  <c r="C60" i="3" a="1"/>
  <c r="C79" i="2" a="1"/>
  <c r="B72" i="2" a="1"/>
  <c r="B57" i="1" a="1"/>
  <c r="B26" i="1" a="1"/>
  <c r="B58" i="2" a="1"/>
  <c r="C51" i="1" a="1"/>
  <c r="C61" i="5" a="1"/>
  <c r="B26" i="5" a="1"/>
  <c r="C67" i="4" a="1"/>
  <c r="B88" i="4" a="1"/>
  <c r="C87" i="3" a="1"/>
  <c r="C70" i="3" a="1"/>
  <c r="C97" i="2" a="1"/>
  <c r="B8" i="2"/>
  <c r="B75" i="1" a="1"/>
  <c r="C28" i="1" a="1"/>
  <c r="C66" i="2" a="1"/>
  <c r="B62" i="1" a="1"/>
  <c r="C76" i="5" a="1"/>
  <c r="C80" i="5" a="1"/>
  <c r="B51" i="4" a="1"/>
  <c r="C39" i="4" a="1"/>
  <c r="B77" i="3" a="1"/>
  <c r="C14" i="3" a="1"/>
  <c r="B34" i="1" a="1"/>
  <c r="C37" i="5" a="1"/>
  <c r="B33" i="5" a="1"/>
  <c r="C21" i="4" a="1"/>
  <c r="B64" i="4" a="1"/>
  <c r="C63" i="3" a="1"/>
  <c r="C54" i="3" a="1"/>
  <c r="C73" i="2" a="1"/>
  <c r="B98" i="2" a="1"/>
  <c r="B51" i="1" a="1"/>
  <c r="B50" i="1" a="1"/>
  <c r="C86" i="5" a="1"/>
  <c r="C93" i="4" a="1"/>
  <c r="C54" i="4" a="1"/>
  <c r="C21" i="3" a="1"/>
  <c r="B13" i="3" a="1"/>
  <c r="C27" i="2" a="1"/>
  <c r="C60" i="2" a="1"/>
  <c r="C35" i="1" a="1"/>
  <c r="C20" i="1" a="1"/>
  <c r="C63" i="2" a="1"/>
  <c r="C73" i="5" a="1"/>
  <c r="C94" i="5" a="1"/>
  <c r="B15" i="4" a="1"/>
  <c r="C12" i="4" a="1"/>
  <c r="C99" i="3" a="1"/>
  <c r="C82" i="3" a="1"/>
  <c r="B17" i="2" a="1"/>
  <c r="C34" i="2" a="1"/>
  <c r="B87" i="1" a="1"/>
  <c r="C56" i="1" a="1"/>
  <c r="C37" i="3" a="1"/>
  <c r="C71" i="5" a="1"/>
  <c r="B86" i="5" a="1"/>
  <c r="B13" i="4" a="1"/>
  <c r="C57" i="3" a="1"/>
  <c r="C48" i="3" a="1"/>
  <c r="B45" i="1" a="1"/>
  <c r="C4" i="5"/>
  <c r="C68" i="5" a="1"/>
  <c r="B65" i="4" a="1"/>
  <c r="B42" i="4" a="1"/>
  <c r="B47" i="3" a="1"/>
  <c r="B80" i="3" a="1"/>
  <c r="B56" i="2" a="1"/>
  <c r="C89" i="1" a="1"/>
  <c r="C84" i="1" a="1"/>
  <c r="C36" i="5" a="1"/>
  <c r="B57" i="5" a="1"/>
  <c r="B49" i="4" a="1"/>
  <c r="C15" i="4" a="1"/>
  <c r="B65" i="3" a="1"/>
  <c r="B24" i="3" a="1"/>
  <c r="B55" i="2" a="1"/>
  <c r="B18" i="2" a="1"/>
  <c r="C14" i="1" a="1"/>
  <c r="B74" i="2" a="1"/>
  <c r="C30" i="1" a="1"/>
  <c r="C40" i="2" a="1"/>
  <c r="B78" i="1" a="1"/>
  <c r="C23" i="5" a="1"/>
  <c r="B87" i="5" a="1"/>
  <c r="B79" i="4" a="1"/>
  <c r="B44" i="4" a="1"/>
  <c r="C49" i="3" a="1"/>
  <c r="C40" i="3" a="1"/>
  <c r="B33" i="2" a="1"/>
  <c r="B64" i="2" a="1"/>
  <c r="B37" i="1" a="1"/>
  <c r="B96" i="1" a="1"/>
  <c r="B16" i="2" a="1"/>
  <c r="C11" i="1" a="1"/>
  <c r="C41" i="5" a="1"/>
  <c r="C50" i="5" a="1"/>
  <c r="C29" i="4" a="1"/>
  <c r="B68" i="4" a="1"/>
  <c r="C67" i="3" a="1"/>
  <c r="C58" i="3" a="1"/>
  <c r="C77" i="2" a="1"/>
  <c r="B70" i="2" a="1"/>
  <c r="B35" i="1" a="1"/>
  <c r="C31" i="2" a="1"/>
  <c r="B76" i="1" a="1"/>
  <c r="C58" i="1" a="1"/>
  <c r="B76" i="5" a="1"/>
  <c r="B8" i="5"/>
  <c r="B97" i="4" a="1"/>
  <c r="B94" i="4" a="1"/>
  <c r="B57" i="3" a="1"/>
  <c r="B90" i="3" a="1"/>
  <c r="B58" i="1" a="1"/>
  <c r="C17" i="5" a="1"/>
  <c r="B56" i="5" a="1"/>
  <c r="B73" i="4" a="1"/>
  <c r="B20" i="4" a="1"/>
  <c r="B11" i="3" a="1"/>
  <c r="C34" i="3" a="1"/>
  <c r="B27" i="2" a="1"/>
  <c r="B54" i="2" a="1"/>
  <c r="B31" i="1" a="1"/>
  <c r="C95" i="5" a="1"/>
  <c r="C18" i="5" a="1"/>
  <c r="C69" i="4" a="1"/>
  <c r="C34" i="4" a="1"/>
  <c r="B3" i="3"/>
  <c r="B32" i="3" a="1"/>
  <c r="B93" i="2" a="1"/>
  <c r="C26" i="2" a="1"/>
  <c r="C15" i="1" a="1"/>
  <c r="B94" i="1" a="1"/>
  <c r="C23" i="2" a="1"/>
  <c r="C53" i="5" a="1"/>
  <c r="C90" i="5" a="1"/>
  <c r="C53" i="4" a="1"/>
  <c r="B80" i="4" a="1"/>
  <c r="C79" i="3" a="1"/>
  <c r="C62" i="3" a="1"/>
  <c r="C89" i="2" a="1"/>
  <c r="B82" i="2" a="1"/>
  <c r="B67" i="1" a="1"/>
  <c r="C52" i="1" a="1"/>
  <c r="B59" i="2" a="1"/>
  <c r="C51" i="5" a="1"/>
  <c r="B82" i="5" a="1"/>
  <c r="C49" i="4" a="1"/>
  <c r="B20" i="3" a="1"/>
  <c r="C28" i="3" a="1"/>
  <c r="C34" i="1" a="1"/>
  <c r="C38" i="5" a="1"/>
  <c r="C62" i="5" a="1"/>
  <c r="C90" i="4" a="1"/>
  <c r="B16" i="4" a="1"/>
  <c r="B14" i="3" a="1"/>
  <c r="C61" i="2" a="1"/>
  <c r="C98" i="2" a="1"/>
  <c r="C69" i="1" a="1"/>
  <c r="B18" i="1" a="1"/>
  <c r="C98" i="5" a="1"/>
  <c r="B60" i="5" a="1"/>
  <c r="C8" i="4"/>
  <c r="B40" i="4" a="1"/>
  <c r="B45" i="3" a="1"/>
  <c r="B66" i="3" a="1"/>
  <c r="C94" i="3" a="1"/>
  <c r="B81" i="2" a="1"/>
  <c r="C58" i="2" a="1"/>
  <c r="C59" i="2" a="1"/>
  <c r="B88" i="5" a="1"/>
  <c r="B11" i="5" a="1"/>
  <c r="B55" i="4" a="1"/>
  <c r="C47" i="4" a="1"/>
  <c r="B81" i="3" a="1"/>
  <c r="C18" i="3" a="1"/>
  <c r="B95" i="2" a="1"/>
  <c r="B24" i="2" a="1"/>
  <c r="B17" i="1" a="1"/>
  <c r="C38" i="1" a="1"/>
  <c r="C99" i="1" a="1"/>
  <c r="B65" i="1" a="1"/>
  <c r="C21" i="5" a="1"/>
  <c r="C84" i="5" a="1"/>
  <c r="B77" i="4" a="1"/>
  <c r="B36" i="4" a="1"/>
  <c r="C47" i="3" a="1"/>
  <c r="C38" i="3" a="1"/>
  <c r="B31" i="2" a="1"/>
  <c r="B62" i="2" a="1"/>
  <c r="B15" i="1" a="1"/>
  <c r="C11" i="2" a="1"/>
  <c r="B16" i="1" a="1"/>
  <c r="C36" i="1" a="1"/>
  <c r="B70" i="5" a="1"/>
  <c r="B65" i="5" a="1"/>
  <c r="B11" i="4" a="1"/>
  <c r="B30" i="4" a="1"/>
  <c r="B35" i="3" a="1"/>
  <c r="C71" i="2" a="1"/>
  <c r="B12" i="1" a="1"/>
  <c r="B68" i="5" a="1"/>
  <c r="B52" i="5" a="1"/>
  <c r="B33" i="4" a="1"/>
  <c r="C35" i="4" a="1"/>
  <c r="B75" i="3" a="1"/>
  <c r="B12" i="3" a="1"/>
  <c r="B65" i="2" a="1"/>
  <c r="B12" i="2" a="1"/>
  <c r="B11" i="1" a="1"/>
  <c r="C75" i="5" a="1"/>
  <c r="B97" i="5" a="1"/>
  <c r="B19" i="4" a="1"/>
  <c r="C14" i="4" a="1"/>
  <c r="B52" i="3" a="1"/>
  <c r="C84" i="3" a="1"/>
  <c r="B71" i="2" a="1"/>
  <c r="C38" i="2" a="1"/>
  <c r="B89" i="1" a="1"/>
  <c r="B60" i="1" a="1"/>
  <c r="B89" i="2" a="1"/>
  <c r="C33" i="5" a="1"/>
  <c r="B22" i="5" a="1"/>
  <c r="C13" i="4" a="1"/>
  <c r="B60" i="4" a="1"/>
  <c r="C59" i="3" a="1"/>
  <c r="C50" i="3" a="1"/>
  <c r="B41" i="2" a="1"/>
  <c r="B94" i="2" a="1"/>
  <c r="B47" i="1" a="1"/>
  <c r="B82" i="1" a="1"/>
  <c r="C80" i="2" a="1"/>
  <c r="C31" i="5" a="1"/>
  <c r="C14" i="5" a="1"/>
  <c r="C5" i="4"/>
  <c r="B69" i="3" a="1"/>
  <c r="C7" i="3"/>
  <c r="B28" i="1" a="1"/>
  <c r="C52" i="5" a="1"/>
  <c r="B54" i="5" a="1"/>
  <c r="C68" i="4" a="1"/>
  <c r="C35" i="3" a="1"/>
  <c r="B29" i="3" a="1"/>
  <c r="C41" i="2" a="1"/>
  <c r="C78" i="2" a="1"/>
  <c r="C49" i="1" a="1"/>
  <c r="C80" i="1" a="1"/>
  <c r="B30" i="5" a="1"/>
  <c r="B7" i="5"/>
  <c r="C88" i="4" a="1"/>
  <c r="B14" i="4" a="1"/>
  <c r="B99" i="3" a="1"/>
  <c r="C37" i="4" a="1"/>
  <c r="B72" i="4" a="1"/>
  <c r="C71" i="3" a="1"/>
  <c r="B34" i="3" a="1"/>
  <c r="C81" i="2" a="1"/>
  <c r="B66" i="2" a="1"/>
  <c r="B17" i="5" a="1"/>
  <c r="C34" i="5" a="1"/>
  <c r="B45" i="4" a="1"/>
  <c r="B25" i="4" a="1"/>
  <c r="B61" i="3" a="1"/>
  <c r="B96" i="3" a="1"/>
  <c r="B51" i="2" a="1"/>
  <c r="A1" i="2"/>
  <c r="C60" i="1" a="1"/>
  <c r="B55" i="1" a="1"/>
  <c r="C59" i="1" a="1"/>
  <c r="B25" i="1" a="1"/>
  <c r="B79" i="5" a="1"/>
  <c r="B3" i="5"/>
  <c r="B53" i="4" a="1"/>
  <c r="C43" i="4" a="1"/>
  <c r="B79" i="3" a="1"/>
  <c r="C16" i="3" a="1"/>
  <c r="B69" i="2" a="1"/>
  <c r="B20" i="2" a="1"/>
  <c r="C50" i="1" a="1"/>
  <c r="B75" i="2" a="1"/>
  <c r="B92" i="1" a="1"/>
  <c r="C92" i="1" a="1"/>
  <c r="C92" i="5" a="1"/>
  <c r="B45" i="5" a="1"/>
  <c r="C78" i="4" a="1"/>
  <c r="C45" i="3" a="1"/>
  <c r="B91" i="3" a="1"/>
  <c r="C51" i="2" a="1"/>
  <c r="C40" i="1" a="1"/>
  <c r="C64" i="5" a="1"/>
  <c r="B91" i="5" a="1"/>
  <c r="B95" i="4" a="1"/>
  <c r="B92" i="4" a="1"/>
  <c r="B55" i="3" a="1"/>
  <c r="B88" i="3" a="1"/>
  <c r="B43" i="2" a="1"/>
  <c r="C97" i="1" a="1"/>
  <c r="C18" i="1" a="1"/>
  <c r="C55" i="5" a="1"/>
  <c r="B93" i="5" a="1"/>
  <c r="C57" i="4" a="1"/>
  <c r="B82" i="4" a="1"/>
  <c r="C81" i="3" a="1"/>
  <c r="C64" i="3" a="1"/>
  <c r="C91" i="2" a="1"/>
  <c r="B84" i="2" a="1"/>
  <c r="B69" i="1" a="1"/>
  <c r="B56" i="1" a="1"/>
  <c r="B15" i="2" a="1"/>
  <c r="C13" i="5" a="1"/>
  <c r="B27" i="5" a="1"/>
  <c r="B69" i="4" a="1"/>
  <c r="A1" i="4"/>
  <c r="B26" i="3" a="1"/>
  <c r="C30" i="3" a="1"/>
  <c r="B23" i="2" a="1"/>
  <c r="B46" i="2" a="1"/>
  <c r="B27" i="1" a="1"/>
  <c r="C88" i="1" a="1"/>
  <c r="C52" i="2" a="1"/>
  <c r="C11" i="5" a="1"/>
  <c r="B19" i="5" a="1"/>
  <c r="B67" i="4" a="1"/>
  <c r="B49" i="3" a="1"/>
  <c r="B82" i="3" a="1"/>
  <c r="B46" i="1" a="1"/>
  <c r="C66" i="5" a="1"/>
  <c r="C87" i="4" a="1"/>
  <c r="C48" i="4" a="1"/>
  <c r="C15" i="3" a="1"/>
  <c r="B48" i="3" a="1"/>
  <c r="C21" i="2" a="1"/>
  <c r="C48" i="2" a="1"/>
  <c r="C29" i="1" a="1"/>
  <c r="C46" i="1" a="1"/>
  <c r="B44" i="5" a="1"/>
  <c r="C28" i="5" a="1"/>
  <c r="C66" i="4" a="1"/>
  <c r="C33" i="3" a="1"/>
  <c r="B27" i="3" a="1"/>
  <c r="C39" i="2" a="1"/>
  <c r="C76" i="2" a="1"/>
  <c r="C47" i="1" a="1"/>
  <c r="B74" i="1" a="1"/>
  <c r="C45" i="5" a="1"/>
  <c r="B81" i="5" a="1"/>
  <c r="C48" i="5" a="1"/>
  <c r="C80" i="4" a="1"/>
  <c r="B34" i="4" a="1"/>
  <c r="B39" i="3" a="1"/>
  <c r="C6" i="3"/>
  <c r="B44" i="2" a="1"/>
  <c r="C83" i="1" a="1"/>
  <c r="B68" i="1" a="1"/>
  <c r="C82" i="1" a="1"/>
  <c r="C39" i="1" a="1"/>
  <c r="B88" i="1" a="1"/>
  <c r="C6" i="5"/>
  <c r="B18" i="5" a="1"/>
  <c r="B99" i="4" a="1"/>
  <c r="B96" i="4" a="1"/>
  <c r="B59" i="3" a="1"/>
  <c r="B94" i="3" a="1"/>
  <c r="B47" i="2" a="1"/>
  <c r="B6" i="1"/>
  <c r="C64" i="1" a="1"/>
  <c r="C95" i="2" a="1"/>
  <c r="C62" i="1" a="1"/>
  <c r="B66" i="1" a="1"/>
  <c r="B98" i="5" a="1"/>
  <c r="C97" i="4" a="1"/>
  <c r="C58" i="4" a="1"/>
  <c r="C25" i="3" a="1"/>
  <c r="B19" i="3" a="1"/>
  <c r="B45" i="2" a="1"/>
  <c r="B20" i="1" a="1"/>
  <c r="B61" i="5" a="1"/>
  <c r="B85" i="5" a="1"/>
  <c r="C98" i="4" a="1"/>
  <c r="B28" i="4" a="1"/>
  <c r="B28" i="3" a="1"/>
  <c r="C69" i="2" a="1"/>
  <c r="B30" i="2" a="1"/>
  <c r="C77" i="1" a="1"/>
  <c r="C54" i="1" a="1"/>
  <c r="C35" i="5" a="1"/>
  <c r="C30" i="5" a="1"/>
  <c r="C17" i="4" a="1"/>
  <c r="B62" i="4" a="1"/>
  <c r="C61" i="3" a="1"/>
  <c r="C52" i="3" a="1"/>
  <c r="B49" i="2" a="1"/>
  <c r="B96" i="2" a="1"/>
  <c r="B49" i="1" a="1"/>
  <c r="C48" i="1" a="1"/>
  <c r="C87" i="2" a="1"/>
  <c r="C56" i="5" a="1"/>
  <c r="B23" i="5" a="1"/>
  <c r="B5" i="4"/>
  <c r="C27" i="4" a="1"/>
  <c r="B71" i="3" a="1"/>
  <c r="A1" i="3"/>
  <c r="B61" i="2" a="1"/>
  <c r="C6" i="2"/>
  <c r="C44" i="1" a="1"/>
  <c r="C30" i="4" a="1"/>
  <c r="C96" i="1" a="1"/>
  <c r="B48" i="5" a="1"/>
  <c r="C8" i="5"/>
  <c r="B85" i="4" a="1"/>
  <c r="B16" i="3" a="1"/>
  <c r="C43" i="2" a="1"/>
  <c r="C89" i="5" a="1"/>
  <c r="B83" i="5" a="1"/>
  <c r="B39" i="4" a="1"/>
  <c r="C28" i="4" a="1"/>
  <c r="B70" i="3" a="1"/>
  <c r="C98" i="3" a="1"/>
  <c r="B87" i="2" a="1"/>
  <c r="C72" i="2" a="1"/>
  <c r="C5" i="1"/>
  <c r="C7" i="1"/>
  <c r="B58" i="5" a="1"/>
  <c r="C85" i="4" a="1"/>
  <c r="C46" i="4" a="1"/>
  <c r="C13" i="3" a="1"/>
  <c r="B46" i="3" a="1"/>
  <c r="C19" i="2" a="1"/>
  <c r="C44" i="2" a="1"/>
  <c r="C27" i="1" a="1"/>
  <c r="B40" i="1" a="1"/>
  <c r="C45" i="1" a="1"/>
  <c r="C25" i="5" a="1"/>
  <c r="B96" i="5" a="1"/>
  <c r="B81" i="4" a="1"/>
  <c r="B48" i="4" a="1"/>
  <c r="C51" i="3" a="1"/>
  <c r="C42" i="3" a="1"/>
  <c r="B35" i="2" a="1"/>
  <c r="C65" i="1" a="1"/>
  <c r="C67" i="5" a="1"/>
  <c r="C99" i="4" a="1"/>
  <c r="C7" i="4"/>
  <c r="C93" i="3" a="1"/>
  <c r="C6" i="1"/>
  <c r="B63" i="3" a="1"/>
  <c r="C53" i="3" a="1"/>
  <c r="B41" i="1" a="1"/>
  <c r="C72" i="1" a="1"/>
  <c r="A1" i="1"/>
  <c r="B4" i="1" s="1"/>
  <c r="B34" i="5" a="1"/>
  <c r="C86" i="4" a="1"/>
  <c r="B12" i="4" a="1"/>
  <c r="B97" i="3" a="1"/>
  <c r="C94" i="2" a="1"/>
  <c r="B14" i="5" a="1"/>
  <c r="B20" i="5" a="1"/>
  <c r="C84" i="4" a="1"/>
  <c r="C6" i="4"/>
  <c r="B95" i="3" a="1"/>
  <c r="C55" i="2" a="1"/>
  <c r="C92" i="2" a="1"/>
  <c r="C63" i="1" a="1"/>
  <c r="B7" i="1"/>
  <c r="C22" i="1" a="1"/>
  <c r="B93" i="1" a="1"/>
  <c r="B84" i="1" a="1"/>
  <c r="C78" i="5" a="1"/>
  <c r="B40" i="5" a="1"/>
  <c r="B17" i="4" a="1"/>
  <c r="B32" i="4" a="1"/>
  <c r="B37" i="3" a="1"/>
  <c r="B6" i="2"/>
  <c r="B38" i="2" a="1"/>
  <c r="C81" i="1" a="1"/>
  <c r="B22" i="1" a="1"/>
  <c r="C75" i="2" a="1"/>
  <c r="C12" i="1" a="1"/>
  <c r="C99" i="5" a="1"/>
  <c r="B29" i="5" a="1"/>
  <c r="C73" i="4" a="1"/>
  <c r="C38" i="4" a="1"/>
  <c r="C12" i="3" a="1"/>
  <c r="B38" i="3" a="1"/>
  <c r="C79" i="1" a="1"/>
  <c r="B70" i="1" a="1"/>
  <c r="B84" i="5" a="1"/>
  <c r="C42" i="5" a="1"/>
  <c r="C76" i="4" a="1"/>
  <c r="C43" i="3" a="1"/>
  <c r="B89" i="3" a="1"/>
  <c r="C49" i="2" a="1"/>
  <c r="C86" i="2" a="1"/>
  <c r="C57" i="1" a="1"/>
  <c r="C8" i="1"/>
  <c r="C15" i="5" a="1"/>
  <c r="C44" i="5" a="1"/>
  <c r="B71" i="4" a="1"/>
  <c r="B7" i="4"/>
  <c r="B30" i="3" a="1"/>
  <c r="C32" i="3" a="1"/>
  <c r="B25" i="2" a="1"/>
  <c r="B50" i="2" a="1"/>
  <c r="B29" i="1" a="1"/>
  <c r="B8" i="4"/>
  <c r="B37" i="2" a="1"/>
  <c r="B36" i="5" a="1"/>
  <c r="B80" i="5" a="1"/>
  <c r="B91" i="4" a="1"/>
  <c r="B50" i="4" a="1"/>
  <c r="B51" i="3" a="1"/>
  <c r="B84" i="3" a="1"/>
  <c r="B3" i="2"/>
  <c r="C93" i="1" a="1"/>
  <c r="C94" i="1" a="1"/>
  <c r="B56" i="4" a="1"/>
  <c r="C70" i="1" a="1"/>
  <c r="C24" i="5" a="1"/>
  <c r="B71" i="5" a="1"/>
  <c r="B89" i="4" a="1"/>
  <c r="B31" i="3" a="1"/>
  <c r="B92" i="2" a="1"/>
  <c r="C69" i="5" a="1"/>
  <c r="B77" i="5" a="1"/>
  <c r="C4" i="4"/>
  <c r="B3" i="4"/>
  <c r="C95" i="3" a="1"/>
  <c r="C78" i="3" a="1"/>
  <c r="B13" i="2" a="1"/>
  <c r="C18" i="2" a="1"/>
  <c r="B83" i="1" a="1"/>
  <c r="C87" i="5" a="1"/>
  <c r="B72" i="5" a="1"/>
  <c r="B37" i="4" a="1"/>
  <c r="C26" i="4" a="1"/>
  <c r="B68" i="3" a="1"/>
  <c r="C96" i="3" a="1"/>
  <c r="B85" i="2" a="1"/>
  <c r="C62" i="2" a="1"/>
  <c r="B5" i="1"/>
  <c r="B90" i="1" a="1"/>
  <c r="C25" i="1" a="1"/>
  <c r="C96" i="5" a="1"/>
  <c r="B21" i="5" a="1"/>
  <c r="B57" i="4" a="1"/>
  <c r="C51" i="4" a="1"/>
  <c r="B83" i="3" a="1"/>
  <c r="C20" i="3" a="1"/>
  <c r="B97" i="2" a="1"/>
  <c r="B79" i="1" a="1"/>
  <c r="B73" i="5" a="1"/>
  <c r="C45" i="4" a="1"/>
  <c r="B76" i="4" a="1"/>
  <c r="C75" i="3" a="1"/>
  <c r="B60" i="3" a="1"/>
  <c r="C85" i="2" a="1"/>
  <c r="B78" i="2" a="1"/>
  <c r="B63" i="1" a="1"/>
  <c r="B66" i="5" a="1"/>
  <c r="C11" i="4" a="1"/>
  <c r="C3" i="4"/>
  <c r="B41" i="3" a="1"/>
  <c r="C16" i="5" a="1"/>
  <c r="C37" i="2" a="1"/>
  <c r="C74" i="2" a="1"/>
  <c r="B49" i="5" a="1"/>
  <c r="C83" i="4" a="1"/>
  <c r="C44" i="4" a="1"/>
  <c r="C11" i="3" a="1"/>
  <c r="B44" i="3" a="1"/>
  <c r="C17" i="2" a="1"/>
  <c r="C81" i="4" a="1"/>
  <c r="B98" i="4" a="1"/>
  <c r="C91" i="3" a="1"/>
  <c r="C74" i="3" a="1"/>
  <c r="C4" i="2"/>
  <c r="C14" i="2" a="1"/>
  <c r="C85" i="1" a="1"/>
  <c r="B62" i="5" a="1"/>
  <c r="B24" i="5" a="1"/>
  <c r="B25" i="5" a="1"/>
  <c r="C62" i="4" a="1"/>
  <c r="C29" i="3" a="1"/>
  <c r="B23" i="3" a="1"/>
  <c r="C35" i="2" a="1"/>
  <c r="C70" i="2" a="1"/>
  <c r="C43" i="1" a="1"/>
  <c r="B64" i="1" a="1"/>
  <c r="C30" i="2" a="1"/>
  <c r="B53" i="1" a="1"/>
  <c r="B8" i="1"/>
  <c r="B95" i="5" a="1"/>
  <c r="B74" i="5" a="1"/>
  <c r="C82" i="4" a="1"/>
  <c r="B6" i="3"/>
  <c r="B93" i="3" a="1"/>
  <c r="C53" i="2" a="1"/>
  <c r="C90" i="2" a="1"/>
  <c r="C61" i="1" a="1"/>
  <c r="B54" i="1" a="1"/>
  <c r="B29" i="2" a="1"/>
  <c r="C78" i="1" a="1"/>
  <c r="C79" i="5" a="1"/>
  <c r="B32" i="5" a="1"/>
  <c r="B27" i="4" a="1"/>
  <c r="C18" i="4" a="1"/>
  <c r="B58" i="3" a="1"/>
  <c r="C88" i="3" a="1"/>
  <c r="C19" i="1" a="1"/>
  <c r="C3" i="2"/>
  <c r="B89" i="5" a="1"/>
  <c r="C95" i="4" a="1"/>
  <c r="C56" i="4" a="1"/>
  <c r="C23" i="3" a="1"/>
  <c r="B15" i="3" a="1"/>
  <c r="C29" i="2" a="1"/>
  <c r="C64" i="2" a="1"/>
  <c r="C37" i="1" a="1"/>
  <c r="B24" i="1" a="1"/>
  <c r="B59" i="5" a="1"/>
  <c r="C40" i="5" a="1"/>
  <c r="B23" i="4" a="1"/>
  <c r="C31" i="4" a="1"/>
  <c r="B73" i="3" a="1"/>
  <c r="B7" i="3"/>
  <c r="B63" i="2" a="1"/>
  <c r="B7" i="2"/>
  <c r="C4" i="1"/>
  <c r="B78" i="4" a="1"/>
  <c r="B21" i="2" a="1"/>
  <c r="B50" i="5" a="1"/>
  <c r="C22" i="5" a="1"/>
  <c r="C94" i="4" a="1"/>
  <c r="B22" i="4" a="1"/>
  <c r="B18" i="3" a="1"/>
  <c r="C65" i="2" a="1"/>
  <c r="C8" i="2"/>
  <c r="C73" i="1" a="1"/>
  <c r="B38" i="1" a="1"/>
  <c r="C65" i="4" a="1"/>
  <c r="C86" i="1" a="1"/>
  <c r="B41" i="5" a="1"/>
  <c r="C7" i="5"/>
  <c r="C92" i="4" a="1"/>
  <c r="B50" i="3" a="1"/>
  <c r="B40" i="2" a="1"/>
  <c r="C49" i="5" a="1"/>
  <c r="C76" i="3" a="1"/>
  <c r="B11" i="2" a="1"/>
  <c r="C16" i="2" a="1"/>
  <c r="B81" i="1" a="1"/>
  <c r="B99" i="1" a="1"/>
  <c r="B28" i="5" a="1"/>
  <c r="B46" i="5" a="1"/>
  <c r="B47" i="4" a="1"/>
  <c r="B98" i="3" a="1"/>
  <c r="B53" i="2" a="1"/>
  <c r="B59" i="1" a="1"/>
  <c r="C87" i="1" a="1"/>
  <c r="B28" i="2" a="1"/>
  <c r="B63" i="5" a="1"/>
  <c r="C24" i="4" a="1"/>
  <c r="C67" i="1" a="1"/>
  <c r="C46" i="5" a="1"/>
  <c r="C77" i="4" a="1"/>
  <c r="C42" i="4" a="1"/>
  <c r="C5" i="3"/>
  <c r="B42" i="3" a="1"/>
  <c r="C15" i="2" a="1"/>
  <c r="C36" i="2" a="1"/>
  <c r="C23" i="1" a="1"/>
  <c r="B30" i="1" a="1"/>
  <c r="C46" i="2" a="1"/>
  <c r="C22" i="2" a="1"/>
  <c r="B3" i="1"/>
  <c r="C3" i="5"/>
  <c r="B6" i="4"/>
  <c r="C60" i="4" a="1"/>
  <c r="C27" i="3" a="1"/>
  <c r="B21" i="3" a="1"/>
  <c r="C33" i="2" a="1"/>
  <c r="C68" i="2" a="1"/>
  <c r="C41" i="1" a="1"/>
  <c r="C26" i="1" a="1"/>
  <c r="B67" i="2" a="1"/>
  <c r="C20" i="2" a="1"/>
  <c r="C59" i="5" a="1"/>
  <c r="C20" i="5" a="1"/>
  <c r="C63" i="4" a="1"/>
  <c r="B86" i="4" a="1"/>
  <c r="C85" i="3" a="1"/>
  <c r="C68" i="3" a="1"/>
  <c r="B73" i="1" a="1"/>
  <c r="C97" i="5" a="1"/>
  <c r="C26" i="5" a="1"/>
  <c r="C71" i="4" a="1"/>
  <c r="C36" i="4" a="1"/>
  <c r="B8" i="3"/>
  <c r="B36" i="3" a="1"/>
  <c r="C5" i="2"/>
  <c r="C28" i="2" a="1"/>
  <c r="C17" i="1" a="1"/>
  <c r="C16" i="1" a="1"/>
  <c r="B47" i="5" a="1"/>
  <c r="C88" i="5" a="1"/>
  <c r="B93" i="4" a="1"/>
  <c r="B58" i="4" a="1"/>
  <c r="B53" i="3" a="1"/>
  <c r="B86" i="3" a="1"/>
  <c r="B39" i="2" a="1"/>
  <c r="C95" i="1" a="1"/>
  <c r="C98" i="1" a="1"/>
  <c r="C17" i="3" a="1"/>
  <c r="B60" i="2" a="1"/>
  <c r="B64" i="5" a="1"/>
  <c r="B31" i="5" a="1"/>
  <c r="C72" i="4" a="1"/>
  <c r="C39" i="3" a="1"/>
  <c r="B33" i="3" a="1"/>
  <c r="C45" i="2" a="1"/>
  <c r="C82" i="2" a="1"/>
  <c r="C53" i="1" a="1"/>
  <c r="C90" i="1" a="1"/>
  <c r="C23" i="4" a="1"/>
  <c r="C32" i="1" a="1"/>
  <c r="B55" i="5" a="1"/>
  <c r="C82" i="5" a="1"/>
  <c r="C70" i="4" a="1"/>
  <c r="C3" i="3"/>
  <c r="C71" i="1" a="1"/>
  <c r="C29" i="5" a="1"/>
  <c r="B12" i="5" a="1"/>
  <c r="B87" i="4" a="1"/>
  <c r="B54" i="4" a="1"/>
  <c r="C55" i="3" a="1"/>
  <c r="C46" i="3" a="1"/>
  <c r="B5" i="2"/>
  <c r="B90" i="2" a="1"/>
  <c r="B43" i="1" a="1"/>
  <c r="C47" i="5" a="1"/>
  <c r="C70" i="5" a="1"/>
  <c r="C41" i="4" a="1"/>
  <c r="B74" i="4" a="1"/>
  <c r="C73" i="3" a="1"/>
  <c r="B54" i="3" a="1"/>
  <c r="C83" i="2" a="1"/>
  <c r="B76" i="2" a="1"/>
  <c r="B61" i="1" a="1"/>
  <c r="B36" i="1" a="1"/>
  <c r="B19" i="1" a="1"/>
  <c r="B90" i="5" a="1"/>
  <c r="B51" i="5" a="1"/>
  <c r="B38" i="4" a="1"/>
  <c r="B76" i="3" a="1"/>
  <c r="B48" i="2" a="1"/>
  <c r="B39" i="1" a="1"/>
  <c r="B52" i="4" a="1"/>
  <c r="C44" i="3" a="1"/>
  <c r="B83" i="2" a="1"/>
  <c r="B88" i="2" a="1"/>
  <c r="C57" i="2" a="1"/>
  <c r="B44" i="1" a="1"/>
  <c r="C65" i="5" a="1"/>
  <c r="B25" i="5" l="1"/>
  <c r="B15" i="5"/>
  <c r="C28" i="5"/>
  <c r="B54" i="5"/>
  <c r="C82" i="5"/>
  <c r="B31" i="5"/>
  <c r="C12" i="5"/>
  <c r="C42" i="5"/>
  <c r="B45" i="5"/>
  <c r="B74" i="5"/>
  <c r="B20" i="5"/>
  <c r="B34" i="5"/>
  <c r="C62" i="5"/>
  <c r="C22" i="5"/>
  <c r="B94" i="5"/>
  <c r="B85" i="5"/>
  <c r="B65" i="5"/>
  <c r="B40" i="5"/>
  <c r="C48" i="5"/>
  <c r="B51" i="5"/>
  <c r="B60" i="5"/>
  <c r="C68" i="5"/>
  <c r="B71" i="5"/>
  <c r="B80" i="5"/>
  <c r="C88" i="5"/>
  <c r="B91" i="5"/>
  <c r="B18" i="5"/>
  <c r="C34" i="5"/>
  <c r="B46" i="5"/>
  <c r="B57" i="5"/>
  <c r="C74" i="5"/>
  <c r="B23" i="5"/>
  <c r="C40" i="5"/>
  <c r="B52" i="5"/>
  <c r="C80" i="5"/>
  <c r="B11" i="5"/>
  <c r="B21" i="5"/>
  <c r="C32" i="5"/>
  <c r="C72" i="5"/>
  <c r="B19" i="5"/>
  <c r="B27" i="5"/>
  <c r="C44" i="5"/>
  <c r="B56" i="5"/>
  <c r="B67" i="5"/>
  <c r="C84" i="5"/>
  <c r="B87" i="5"/>
  <c r="B96" i="5"/>
  <c r="B12" i="5"/>
  <c r="C14" i="5"/>
  <c r="B22" i="5"/>
  <c r="C30" i="5"/>
  <c r="B33" i="5"/>
  <c r="B42" i="5"/>
  <c r="C50" i="5"/>
  <c r="B53" i="5"/>
  <c r="B62" i="5"/>
  <c r="C70" i="5"/>
  <c r="B73" i="5"/>
  <c r="B82" i="5"/>
  <c r="C90" i="5"/>
  <c r="B93" i="5"/>
  <c r="C20" i="5"/>
  <c r="B26" i="5"/>
  <c r="B37" i="5"/>
  <c r="C54" i="5"/>
  <c r="B66" i="5"/>
  <c r="B77" i="5"/>
  <c r="B86" i="5"/>
  <c r="C94" i="5"/>
  <c r="B97" i="5"/>
  <c r="B13" i="5"/>
  <c r="B32" i="5"/>
  <c r="B43" i="5"/>
  <c r="C60" i="5"/>
  <c r="B63" i="5"/>
  <c r="B72" i="5"/>
  <c r="B83" i="5"/>
  <c r="B92" i="5"/>
  <c r="B16" i="5"/>
  <c r="C18" i="5"/>
  <c r="C26" i="5"/>
  <c r="B29" i="5"/>
  <c r="B38" i="5"/>
  <c r="C46" i="5"/>
  <c r="B49" i="5"/>
  <c r="B58" i="5"/>
  <c r="C66" i="5"/>
  <c r="B69" i="5"/>
  <c r="B78" i="5"/>
  <c r="C86" i="5"/>
  <c r="B89" i="5"/>
  <c r="B98" i="5"/>
  <c r="B24" i="5"/>
  <c r="B35" i="5"/>
  <c r="B44" i="5"/>
  <c r="C52" i="5"/>
  <c r="B55" i="5"/>
  <c r="B64" i="5"/>
  <c r="B75" i="5"/>
  <c r="B84" i="5"/>
  <c r="C92" i="5"/>
  <c r="B95" i="5"/>
  <c r="B14" i="5"/>
  <c r="C16" i="5"/>
  <c r="B30" i="5"/>
  <c r="C38" i="5"/>
  <c r="B41" i="5"/>
  <c r="B50" i="5"/>
  <c r="C58" i="5"/>
  <c r="B61" i="5"/>
  <c r="B70" i="5"/>
  <c r="C78" i="5"/>
  <c r="B81" i="5"/>
  <c r="B90" i="5"/>
  <c r="C98" i="5"/>
  <c r="C24" i="5"/>
  <c r="B36" i="5"/>
  <c r="B47" i="5"/>
  <c r="C64" i="5"/>
  <c r="B76" i="5"/>
  <c r="B17" i="5"/>
  <c r="B28" i="5"/>
  <c r="C36" i="5"/>
  <c r="B39" i="5"/>
  <c r="B48" i="5"/>
  <c r="C56" i="5"/>
  <c r="B59" i="5"/>
  <c r="B68" i="5"/>
  <c r="C76" i="5"/>
  <c r="B79" i="5"/>
  <c r="B88" i="5"/>
  <c r="C96" i="5"/>
  <c r="B99" i="5"/>
  <c r="C11" i="5"/>
  <c r="C13" i="5"/>
  <c r="C15" i="5"/>
  <c r="C17" i="5"/>
  <c r="C19" i="5"/>
  <c r="C21" i="5"/>
  <c r="C23" i="5"/>
  <c r="C25" i="5"/>
  <c r="C27" i="5"/>
  <c r="C29" i="5"/>
  <c r="C31" i="5"/>
  <c r="C33" i="5"/>
  <c r="C35" i="5"/>
  <c r="C37" i="5"/>
  <c r="C39" i="5"/>
  <c r="C41" i="5"/>
  <c r="C43" i="5"/>
  <c r="C45" i="5"/>
  <c r="C47" i="5"/>
  <c r="C49" i="5"/>
  <c r="C51" i="5"/>
  <c r="C53" i="5"/>
  <c r="C55" i="5"/>
  <c r="C57" i="5"/>
  <c r="C59" i="5"/>
  <c r="C61" i="5"/>
  <c r="C63" i="5"/>
  <c r="C65" i="5"/>
  <c r="C67" i="5"/>
  <c r="C69" i="5"/>
  <c r="C71" i="5"/>
  <c r="C73" i="5"/>
  <c r="C75" i="5"/>
  <c r="C77" i="5"/>
  <c r="C79" i="5"/>
  <c r="C81" i="5"/>
  <c r="C83" i="5"/>
  <c r="C85" i="5"/>
  <c r="C87" i="5"/>
  <c r="C89" i="5"/>
  <c r="C91" i="5"/>
  <c r="C93" i="5"/>
  <c r="C95" i="5"/>
  <c r="C97" i="5"/>
  <c r="C99" i="5"/>
  <c r="B12" i="4"/>
  <c r="B14" i="4"/>
  <c r="B16" i="4"/>
  <c r="B18" i="4"/>
  <c r="B22" i="4"/>
  <c r="B24" i="4"/>
  <c r="B28" i="4"/>
  <c r="B30" i="4"/>
  <c r="B32" i="4"/>
  <c r="B34" i="4"/>
  <c r="B38" i="4"/>
  <c r="B40" i="4"/>
  <c r="B42" i="4"/>
  <c r="B46" i="4"/>
  <c r="B50" i="4"/>
  <c r="B58" i="4"/>
  <c r="B92" i="4"/>
  <c r="B94" i="4"/>
  <c r="B96" i="4"/>
  <c r="B25" i="4"/>
  <c r="C11" i="4"/>
  <c r="C15" i="4"/>
  <c r="C19" i="4"/>
  <c r="C23" i="4"/>
  <c r="C27" i="4"/>
  <c r="C31" i="4"/>
  <c r="C35" i="4"/>
  <c r="C39" i="4"/>
  <c r="C43" i="4"/>
  <c r="C47" i="4"/>
  <c r="C51" i="4"/>
  <c r="C55" i="4"/>
  <c r="C59" i="4"/>
  <c r="C65" i="4"/>
  <c r="B20" i="4"/>
  <c r="B26" i="4"/>
  <c r="B36" i="4"/>
  <c r="B44" i="4"/>
  <c r="B48" i="4"/>
  <c r="B52" i="4"/>
  <c r="B54" i="4"/>
  <c r="B56" i="4"/>
  <c r="B60" i="4"/>
  <c r="B62" i="4"/>
  <c r="B64" i="4"/>
  <c r="B66" i="4"/>
  <c r="B68" i="4"/>
  <c r="B70" i="4"/>
  <c r="B72" i="4"/>
  <c r="B74" i="4"/>
  <c r="B76" i="4"/>
  <c r="B78" i="4"/>
  <c r="B80" i="4"/>
  <c r="B82" i="4"/>
  <c r="B84" i="4"/>
  <c r="B86" i="4"/>
  <c r="B88" i="4"/>
  <c r="B90" i="4"/>
  <c r="B98" i="4"/>
  <c r="C12" i="4"/>
  <c r="C14" i="4"/>
  <c r="C16" i="4"/>
  <c r="C18" i="4"/>
  <c r="C20" i="4"/>
  <c r="C22" i="4"/>
  <c r="C24" i="4"/>
  <c r="C26" i="4"/>
  <c r="C28" i="4"/>
  <c r="C30" i="4"/>
  <c r="C32" i="4"/>
  <c r="C34" i="4"/>
  <c r="C36" i="4"/>
  <c r="C38" i="4"/>
  <c r="C40" i="4"/>
  <c r="C42" i="4"/>
  <c r="C44" i="4"/>
  <c r="C46" i="4"/>
  <c r="C48" i="4"/>
  <c r="C50" i="4"/>
  <c r="C52" i="4"/>
  <c r="C54" i="4"/>
  <c r="C56" i="4"/>
  <c r="C58" i="4"/>
  <c r="C60" i="4"/>
  <c r="C62" i="4"/>
  <c r="C64" i="4"/>
  <c r="C66" i="4"/>
  <c r="C68" i="4"/>
  <c r="C70" i="4"/>
  <c r="C72" i="4"/>
  <c r="C74" i="4"/>
  <c r="C76" i="4"/>
  <c r="C78" i="4"/>
  <c r="C82" i="4"/>
  <c r="C84" i="4"/>
  <c r="C86" i="4"/>
  <c r="C88" i="4"/>
  <c r="C90" i="4"/>
  <c r="C92" i="4"/>
  <c r="C94" i="4"/>
  <c r="C96" i="4"/>
  <c r="C98" i="4"/>
  <c r="B11" i="4"/>
  <c r="B17" i="4"/>
  <c r="C80" i="4"/>
  <c r="B65" i="4"/>
  <c r="B89" i="4"/>
  <c r="B91" i="4"/>
  <c r="B93" i="4"/>
  <c r="B95" i="4"/>
  <c r="B97" i="4"/>
  <c r="B99" i="4"/>
  <c r="B45" i="4"/>
  <c r="B47" i="4"/>
  <c r="B49" i="4"/>
  <c r="B63" i="4"/>
  <c r="B85" i="4"/>
  <c r="B23" i="4"/>
  <c r="B33" i="4"/>
  <c r="B51" i="4"/>
  <c r="B53" i="4"/>
  <c r="B55" i="4"/>
  <c r="B57" i="4"/>
  <c r="B59" i="4"/>
  <c r="B61" i="4"/>
  <c r="B67" i="4"/>
  <c r="B69" i="4"/>
  <c r="B71" i="4"/>
  <c r="B73" i="4"/>
  <c r="B75" i="4"/>
  <c r="B77" i="4"/>
  <c r="B79" i="4"/>
  <c r="B81" i="4"/>
  <c r="B83" i="4"/>
  <c r="B87" i="4"/>
  <c r="C13" i="4"/>
  <c r="C17" i="4"/>
  <c r="C21" i="4"/>
  <c r="C25" i="4"/>
  <c r="C29" i="4"/>
  <c r="C33" i="4"/>
  <c r="C37" i="4"/>
  <c r="C41" i="4"/>
  <c r="C45" i="4"/>
  <c r="C49" i="4"/>
  <c r="C53" i="4"/>
  <c r="C57" i="4"/>
  <c r="C61" i="4"/>
  <c r="C63" i="4"/>
  <c r="C67" i="4"/>
  <c r="C79" i="4"/>
  <c r="C81" i="4"/>
  <c r="C99" i="4"/>
  <c r="B13" i="4"/>
  <c r="B15" i="4"/>
  <c r="B19" i="4"/>
  <c r="B21" i="4"/>
  <c r="B27" i="4"/>
  <c r="B29" i="4"/>
  <c r="B31" i="4"/>
  <c r="B35" i="4"/>
  <c r="B37" i="4"/>
  <c r="B39" i="4"/>
  <c r="B41" i="4"/>
  <c r="B43" i="4"/>
  <c r="C69" i="4"/>
  <c r="C71" i="4"/>
  <c r="C73" i="4"/>
  <c r="C75" i="4"/>
  <c r="C77" i="4"/>
  <c r="C83" i="4"/>
  <c r="C85" i="4"/>
  <c r="C87" i="4"/>
  <c r="C89" i="4"/>
  <c r="C91" i="4"/>
  <c r="C93" i="4"/>
  <c r="C95" i="4"/>
  <c r="C97" i="4"/>
  <c r="B76" i="3"/>
  <c r="B78" i="3"/>
  <c r="B80" i="3"/>
  <c r="B82" i="3"/>
  <c r="B84" i="3"/>
  <c r="B86" i="3"/>
  <c r="B88" i="3"/>
  <c r="B90" i="3"/>
  <c r="B94" i="3"/>
  <c r="B96" i="3"/>
  <c r="B98" i="3"/>
  <c r="B24" i="3"/>
  <c r="B92" i="3"/>
  <c r="B12" i="3"/>
  <c r="C14" i="3"/>
  <c r="C16" i="3"/>
  <c r="C18" i="3"/>
  <c r="C20" i="3"/>
  <c r="C24" i="3"/>
  <c r="C26" i="3"/>
  <c r="C28" i="3"/>
  <c r="C30" i="3"/>
  <c r="C32" i="3"/>
  <c r="C34" i="3"/>
  <c r="C36" i="3"/>
  <c r="C38" i="3"/>
  <c r="C40" i="3"/>
  <c r="C42" i="3"/>
  <c r="C44" i="3"/>
  <c r="C46" i="3"/>
  <c r="C48" i="3"/>
  <c r="C50" i="3"/>
  <c r="C52" i="3"/>
  <c r="C54" i="3"/>
  <c r="C56" i="3"/>
  <c r="C58" i="3"/>
  <c r="C60" i="3"/>
  <c r="B34" i="3"/>
  <c r="B54" i="3"/>
  <c r="B60" i="3"/>
  <c r="C22" i="3"/>
  <c r="C62" i="3"/>
  <c r="C64" i="3"/>
  <c r="C66" i="3"/>
  <c r="C68" i="3"/>
  <c r="C70" i="3"/>
  <c r="C72" i="3"/>
  <c r="C74" i="3"/>
  <c r="C76" i="3"/>
  <c r="C78" i="3"/>
  <c r="C80" i="3"/>
  <c r="C82" i="3"/>
  <c r="C84" i="3"/>
  <c r="C86" i="3"/>
  <c r="C88" i="3"/>
  <c r="C90" i="3"/>
  <c r="C92" i="3"/>
  <c r="C94" i="3"/>
  <c r="C96" i="3"/>
  <c r="C98" i="3"/>
  <c r="B32" i="3"/>
  <c r="B36" i="3"/>
  <c r="B38" i="3"/>
  <c r="B40" i="3"/>
  <c r="B42" i="3"/>
  <c r="B44" i="3"/>
  <c r="B46" i="3"/>
  <c r="B48" i="3"/>
  <c r="B50" i="3"/>
  <c r="B13" i="3"/>
  <c r="B15" i="3"/>
  <c r="B19" i="3"/>
  <c r="B21" i="3"/>
  <c r="B23" i="3"/>
  <c r="B25" i="3"/>
  <c r="B27" i="3"/>
  <c r="B29" i="3"/>
  <c r="B31" i="3"/>
  <c r="B33" i="3"/>
  <c r="B87" i="3"/>
  <c r="B89" i="3"/>
  <c r="B91" i="3"/>
  <c r="B93" i="3"/>
  <c r="B95" i="3"/>
  <c r="B97" i="3"/>
  <c r="B99" i="3"/>
  <c r="B14" i="3"/>
  <c r="B16" i="3"/>
  <c r="B18" i="3"/>
  <c r="B22" i="3"/>
  <c r="B28" i="3"/>
  <c r="B35" i="3"/>
  <c r="B37" i="3"/>
  <c r="B39" i="3"/>
  <c r="B41" i="3"/>
  <c r="B45" i="3"/>
  <c r="B47" i="3"/>
  <c r="B49" i="3"/>
  <c r="B51" i="3"/>
  <c r="B53" i="3"/>
  <c r="B55" i="3"/>
  <c r="B57" i="3"/>
  <c r="B59" i="3"/>
  <c r="B61" i="3"/>
  <c r="B63" i="3"/>
  <c r="B65" i="3"/>
  <c r="B67" i="3"/>
  <c r="B69" i="3"/>
  <c r="B71" i="3"/>
  <c r="B73" i="3"/>
  <c r="B75" i="3"/>
  <c r="B77" i="3"/>
  <c r="B79" i="3"/>
  <c r="B81" i="3"/>
  <c r="B83" i="3"/>
  <c r="B85" i="3"/>
  <c r="B20" i="3"/>
  <c r="B26" i="3"/>
  <c r="B30" i="3"/>
  <c r="B11" i="3"/>
  <c r="B17" i="3"/>
  <c r="C47" i="3"/>
  <c r="C49" i="3"/>
  <c r="C51" i="3"/>
  <c r="C53" i="3"/>
  <c r="C55" i="3"/>
  <c r="C57" i="3"/>
  <c r="C59" i="3"/>
  <c r="C61" i="3"/>
  <c r="C63" i="3"/>
  <c r="C65" i="3"/>
  <c r="C67" i="3"/>
  <c r="C69" i="3"/>
  <c r="C71" i="3"/>
  <c r="C73" i="3"/>
  <c r="C75" i="3"/>
  <c r="C77" i="3"/>
  <c r="C79" i="3"/>
  <c r="C81" i="3"/>
  <c r="C83" i="3"/>
  <c r="C85" i="3"/>
  <c r="C87" i="3"/>
  <c r="C89" i="3"/>
  <c r="C91" i="3"/>
  <c r="C93" i="3"/>
  <c r="C95" i="3"/>
  <c r="C97" i="3"/>
  <c r="C99" i="3"/>
  <c r="B52" i="3"/>
  <c r="B56" i="3"/>
  <c r="B58" i="3"/>
  <c r="B62" i="3"/>
  <c r="B64" i="3"/>
  <c r="B66" i="3"/>
  <c r="B68" i="3"/>
  <c r="B70" i="3"/>
  <c r="B72" i="3"/>
  <c r="B74" i="3"/>
  <c r="C12" i="3"/>
  <c r="B43" i="3"/>
  <c r="C11" i="3"/>
  <c r="C13" i="3"/>
  <c r="C15" i="3"/>
  <c r="C17" i="3"/>
  <c r="C19" i="3"/>
  <c r="C21" i="3"/>
  <c r="C23" i="3"/>
  <c r="C25" i="3"/>
  <c r="C27" i="3"/>
  <c r="C29" i="3"/>
  <c r="C31" i="3"/>
  <c r="C33" i="3"/>
  <c r="C35" i="3"/>
  <c r="C37" i="3"/>
  <c r="C39" i="3"/>
  <c r="C41" i="3"/>
  <c r="C43" i="3"/>
  <c r="C45" i="3"/>
  <c r="B14" i="2"/>
  <c r="B18" i="2"/>
  <c r="B22" i="2"/>
  <c r="B40" i="2"/>
  <c r="B12" i="2"/>
  <c r="B16" i="2"/>
  <c r="B20" i="2"/>
  <c r="B24" i="2"/>
  <c r="B28" i="2"/>
  <c r="B32" i="2"/>
  <c r="B36" i="2"/>
  <c r="B42" i="2"/>
  <c r="B46" i="2"/>
  <c r="B50" i="2"/>
  <c r="B54" i="2"/>
  <c r="B58" i="2"/>
  <c r="B62" i="2"/>
  <c r="B64" i="2"/>
  <c r="B66" i="2"/>
  <c r="B88" i="2"/>
  <c r="B90" i="2"/>
  <c r="B92" i="2"/>
  <c r="B94" i="2"/>
  <c r="B96" i="2"/>
  <c r="B98" i="2"/>
  <c r="B68" i="2"/>
  <c r="B70" i="2"/>
  <c r="B72" i="2"/>
  <c r="B74" i="2"/>
  <c r="B76" i="2"/>
  <c r="B78" i="2"/>
  <c r="B80" i="2"/>
  <c r="B82" i="2"/>
  <c r="B84" i="2"/>
  <c r="B86" i="2"/>
  <c r="C12" i="2"/>
  <c r="C14" i="2"/>
  <c r="C16" i="2"/>
  <c r="C18" i="2"/>
  <c r="C20" i="2"/>
  <c r="C34" i="2"/>
  <c r="C38" i="2"/>
  <c r="C42" i="2"/>
  <c r="C46" i="2"/>
  <c r="C50" i="2"/>
  <c r="C54" i="2"/>
  <c r="C58" i="2"/>
  <c r="C62" i="2"/>
  <c r="C72" i="2"/>
  <c r="C22" i="2"/>
  <c r="C24" i="2"/>
  <c r="C26" i="2"/>
  <c r="C28" i="2"/>
  <c r="C30" i="2"/>
  <c r="C32" i="2"/>
  <c r="C36" i="2"/>
  <c r="C40" i="2"/>
  <c r="C44" i="2"/>
  <c r="C48" i="2"/>
  <c r="C52" i="2"/>
  <c r="C56" i="2"/>
  <c r="C60" i="2"/>
  <c r="C64" i="2"/>
  <c r="C66" i="2"/>
  <c r="C68" i="2"/>
  <c r="C70" i="2"/>
  <c r="C74" i="2"/>
  <c r="C76" i="2"/>
  <c r="C78" i="2"/>
  <c r="C80" i="2"/>
  <c r="C82" i="2"/>
  <c r="C84" i="2"/>
  <c r="C86" i="2"/>
  <c r="C88" i="2"/>
  <c r="C90" i="2"/>
  <c r="C92" i="2"/>
  <c r="C94" i="2"/>
  <c r="C96" i="2"/>
  <c r="C98" i="2"/>
  <c r="B26" i="2"/>
  <c r="B30" i="2"/>
  <c r="B34" i="2"/>
  <c r="B38" i="2"/>
  <c r="B44" i="2"/>
  <c r="B48" i="2"/>
  <c r="B52" i="2"/>
  <c r="B56" i="2"/>
  <c r="B60" i="2"/>
  <c r="B39" i="2"/>
  <c r="B43" i="2"/>
  <c r="B45" i="2"/>
  <c r="B47" i="2"/>
  <c r="B51" i="2"/>
  <c r="B53" i="2"/>
  <c r="B55" i="2"/>
  <c r="B57" i="2"/>
  <c r="B59" i="2"/>
  <c r="B61" i="2"/>
  <c r="B63" i="2"/>
  <c r="B65" i="2"/>
  <c r="B67" i="2"/>
  <c r="B69" i="2"/>
  <c r="B95" i="2"/>
  <c r="B97" i="2"/>
  <c r="B99" i="2"/>
  <c r="B19" i="2"/>
  <c r="B21" i="2"/>
  <c r="B23" i="2"/>
  <c r="B25" i="2"/>
  <c r="B27" i="2"/>
  <c r="B29" i="2"/>
  <c r="B31" i="2"/>
  <c r="B33" i="2"/>
  <c r="B35" i="2"/>
  <c r="B83" i="2"/>
  <c r="B37" i="2"/>
  <c r="B41" i="2"/>
  <c r="B49" i="2"/>
  <c r="C73" i="2"/>
  <c r="C75" i="2"/>
  <c r="C77" i="2"/>
  <c r="C79" i="2"/>
  <c r="C81" i="2"/>
  <c r="C83" i="2"/>
  <c r="C85" i="2"/>
  <c r="C87" i="2"/>
  <c r="C89" i="2"/>
  <c r="C91" i="2"/>
  <c r="C93" i="2"/>
  <c r="C95" i="2"/>
  <c r="C97" i="2"/>
  <c r="C99" i="2"/>
  <c r="B11" i="2"/>
  <c r="B13" i="2"/>
  <c r="B15" i="2"/>
  <c r="B17" i="2"/>
  <c r="B71" i="2"/>
  <c r="B73" i="2"/>
  <c r="B75" i="2"/>
  <c r="B77" i="2"/>
  <c r="B79" i="2"/>
  <c r="B81" i="2"/>
  <c r="B85" i="2"/>
  <c r="B87" i="2"/>
  <c r="B89" i="2"/>
  <c r="B91" i="2"/>
  <c r="B93" i="2"/>
  <c r="C11" i="2"/>
  <c r="C13" i="2"/>
  <c r="C15" i="2"/>
  <c r="C17" i="2"/>
  <c r="C19" i="2"/>
  <c r="C21" i="2"/>
  <c r="C23" i="2"/>
  <c r="C25" i="2"/>
  <c r="C27" i="2"/>
  <c r="C29" i="2"/>
  <c r="C31" i="2"/>
  <c r="C33" i="2"/>
  <c r="C35" i="2"/>
  <c r="C37" i="2"/>
  <c r="C39" i="2"/>
  <c r="C41" i="2"/>
  <c r="C43" i="2"/>
  <c r="C45" i="2"/>
  <c r="C47" i="2"/>
  <c r="C49" i="2"/>
  <c r="C51" i="2"/>
  <c r="C53" i="2"/>
  <c r="C55" i="2"/>
  <c r="C57" i="2"/>
  <c r="C59" i="2"/>
  <c r="C61" i="2"/>
  <c r="C63" i="2"/>
  <c r="C65" i="2"/>
  <c r="C67" i="2"/>
  <c r="C69" i="2"/>
  <c r="C71" i="2"/>
  <c r="C28" i="1"/>
  <c r="C38" i="1"/>
  <c r="B42" i="1"/>
  <c r="B52" i="1"/>
  <c r="C58" i="1"/>
  <c r="C68" i="1"/>
  <c r="C88" i="1"/>
  <c r="C48" i="1"/>
  <c r="C78" i="1"/>
  <c r="B92" i="1"/>
  <c r="B96" i="1"/>
  <c r="B66" i="1"/>
  <c r="C72" i="1"/>
  <c r="B62" i="1"/>
  <c r="B72" i="1"/>
  <c r="B82" i="1"/>
  <c r="C12" i="1"/>
  <c r="B16" i="1"/>
  <c r="C22" i="1"/>
  <c r="B26" i="1"/>
  <c r="C32" i="1"/>
  <c r="B36" i="1"/>
  <c r="C42" i="1"/>
  <c r="B46" i="1"/>
  <c r="C52" i="1"/>
  <c r="B56" i="1"/>
  <c r="C62" i="1"/>
  <c r="B76" i="1"/>
  <c r="C82" i="1"/>
  <c r="B86" i="1"/>
  <c r="C92" i="1"/>
  <c r="C96" i="1"/>
  <c r="B50" i="1"/>
  <c r="C56" i="1"/>
  <c r="B60" i="1"/>
  <c r="C66" i="1"/>
  <c r="B70" i="1"/>
  <c r="C76" i="1"/>
  <c r="B80" i="1"/>
  <c r="C86" i="1"/>
  <c r="B90" i="1"/>
  <c r="B32" i="1"/>
  <c r="B94" i="1"/>
  <c r="C16" i="1"/>
  <c r="B20" i="1"/>
  <c r="C26" i="1"/>
  <c r="B30" i="1"/>
  <c r="C36" i="1"/>
  <c r="B40" i="1"/>
  <c r="C46" i="1"/>
  <c r="B14" i="1"/>
  <c r="C20" i="1"/>
  <c r="B24" i="1"/>
  <c r="C40" i="1"/>
  <c r="B54" i="1"/>
  <c r="B64" i="1"/>
  <c r="C70" i="1"/>
  <c r="B74" i="1"/>
  <c r="C80" i="1"/>
  <c r="B84" i="1"/>
  <c r="C90" i="1"/>
  <c r="B98" i="1"/>
  <c r="B12" i="1"/>
  <c r="B22" i="1"/>
  <c r="C30" i="1"/>
  <c r="B44" i="1"/>
  <c r="B18" i="1"/>
  <c r="B28" i="1"/>
  <c r="B38" i="1"/>
  <c r="B48" i="1"/>
  <c r="C54" i="1"/>
  <c r="B58" i="1"/>
  <c r="C64" i="1"/>
  <c r="B68" i="1"/>
  <c r="C74" i="1"/>
  <c r="B78" i="1"/>
  <c r="C84" i="1"/>
  <c r="B88" i="1"/>
  <c r="C94" i="1"/>
  <c r="C98" i="1"/>
  <c r="C18" i="1"/>
  <c r="B34" i="1"/>
  <c r="C50" i="1"/>
  <c r="C60" i="1"/>
  <c r="C14" i="1"/>
  <c r="C24" i="1"/>
  <c r="C34" i="1"/>
  <c r="C44" i="1"/>
  <c r="B11" i="1"/>
  <c r="B13" i="1"/>
  <c r="B15" i="1"/>
  <c r="B17" i="1"/>
  <c r="B19" i="1"/>
  <c r="B21" i="1"/>
  <c r="B23" i="1"/>
  <c r="B25" i="1"/>
  <c r="B27" i="1"/>
  <c r="B29" i="1"/>
  <c r="B31" i="1"/>
  <c r="B33" i="1"/>
  <c r="B35" i="1"/>
  <c r="B37" i="1"/>
  <c r="B39" i="1"/>
  <c r="B41" i="1"/>
  <c r="B43" i="1"/>
  <c r="B45" i="1"/>
  <c r="B47" i="1"/>
  <c r="B49" i="1"/>
  <c r="B51" i="1"/>
  <c r="B53" i="1"/>
  <c r="B55" i="1"/>
  <c r="B57" i="1"/>
  <c r="B59" i="1"/>
  <c r="B61" i="1"/>
  <c r="B63" i="1"/>
  <c r="B65" i="1"/>
  <c r="B67" i="1"/>
  <c r="B69" i="1"/>
  <c r="B71" i="1"/>
  <c r="B73" i="1"/>
  <c r="B75" i="1"/>
  <c r="B77" i="1"/>
  <c r="B79" i="1"/>
  <c r="B81" i="1"/>
  <c r="B83" i="1"/>
  <c r="B85" i="1"/>
  <c r="B87" i="1"/>
  <c r="B89" i="1"/>
  <c r="B91" i="1"/>
  <c r="B93" i="1"/>
  <c r="B95" i="1"/>
  <c r="B97" i="1"/>
  <c r="B99" i="1"/>
  <c r="C11" i="1"/>
  <c r="C13" i="1"/>
  <c r="C15" i="1"/>
  <c r="C17" i="1"/>
  <c r="C19" i="1"/>
  <c r="C21" i="1"/>
  <c r="C23" i="1"/>
  <c r="C25" i="1"/>
  <c r="C27" i="1"/>
  <c r="C29" i="1"/>
  <c r="C31" i="1"/>
  <c r="C33" i="1"/>
  <c r="C35" i="1"/>
  <c r="C37" i="1"/>
  <c r="C39" i="1"/>
  <c r="C41" i="1"/>
  <c r="C43" i="1"/>
  <c r="C45" i="1"/>
  <c r="C47" i="1"/>
  <c r="C49" i="1"/>
  <c r="C51" i="1"/>
  <c r="C53" i="1"/>
  <c r="C55" i="1"/>
  <c r="C57" i="1"/>
  <c r="C59" i="1"/>
  <c r="C61" i="1"/>
  <c r="C63" i="1"/>
  <c r="C65" i="1"/>
  <c r="C67" i="1"/>
  <c r="C69" i="1"/>
  <c r="C71" i="1"/>
  <c r="C73" i="1"/>
  <c r="C75" i="1"/>
  <c r="C77" i="1"/>
  <c r="C79" i="1"/>
  <c r="C81" i="1"/>
  <c r="C83" i="1"/>
  <c r="C85" i="1"/>
  <c r="C87" i="1"/>
  <c r="C89" i="1"/>
  <c r="C91" i="1"/>
  <c r="C93" i="1"/>
  <c r="C95" i="1"/>
  <c r="C97" i="1"/>
  <c r="C99" i="1"/>
  <c r="B4" i="3"/>
  <c r="B4" i="4"/>
  <c r="B4" i="5"/>
  <c r="B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<sst xmlns="http://schemas.openxmlformats.org/spreadsheetml/2006/main" count="220" uniqueCount="10">
  <si>
    <t>今天</t>
  </si>
  <si>
    <t>日期</t>
  </si>
  <si>
    <t>预测净利润平均值(可选类型)</t>
  </si>
  <si>
    <t>股价（HKD)</t>
  </si>
  <si>
    <t>一致预期</t>
  </si>
  <si>
    <t>净利润预测机构家数(可选类型)</t>
  </si>
  <si>
    <t>预测净利润最大值(可选类型)</t>
  </si>
  <si>
    <t>预测净利润最小值(可选类型)(百万元)</t>
  </si>
  <si>
    <t xml:space="preserve"> 预测净利润中值(可选类型)</t>
  </si>
  <si>
    <t xml:space="preserve"> 预测净利润标准差(可选类型)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</si>
</sst>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#,###,##0"/>
    <numFmt numFmtId="177" formatCode="###,###,##0.00"/>
  </numFmts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2065187536243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5">
    <xf numFmtId="0" fontId="0" fillId="0" borderId="0" xfId="0">
      <alignment vertical="center"/>
    </xf>
    <xf numFmtId="0" fontId="2" fillId="0" borderId="0" xfId="0" applyFont="1" applyAlignment="1"/>
    <xf numFmtId="14" fontId="0" fillId="0" borderId="0" xfId="0" applyNumberFormat="1">
      <alignment vertical="center"/>
    </xf>
    <xf numFmtId="0" fontId="4" fillId="0" borderId="1" xfId="1" applyFont="1" applyBorder="1" applyAlignment="1">
      <alignment horizontal="center"/>
    </xf>
    <xf numFmtId="0" fontId="5" fillId="0" borderId="2" xfId="1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5" fillId="0" borderId="4" xfId="1" applyFont="1" applyBorder="1" applyAlignment="1">
      <alignment horizontal="center"/>
    </xf>
    <xf numFmtId="0" fontId="5" fillId="0" borderId="0" xfId="1" applyFont="1" applyAlignment="1">
      <alignment horizontal="center"/>
    </xf>
    <xf numFmtId="0" fontId="5" fillId="0" borderId="5" xfId="1" applyFont="1" applyBorder="1" applyAlignment="1">
      <alignment horizontal="center"/>
    </xf>
    <xf numFmtId="176" fontId="5" fillId="0" borderId="0" xfId="1" applyNumberFormat="1" applyFont="1" applyAlignment="1">
      <alignment horizontal="center"/>
    </xf>
    <xf numFmtId="176" fontId="5" fillId="0" borderId="5" xfId="1" applyNumberFormat="1" applyFont="1" applyBorder="1" applyAlignment="1">
      <alignment horizontal="center"/>
    </xf>
    <xf numFmtId="0" fontId="5" fillId="0" borderId="6" xfId="1" applyFont="1" applyBorder="1" applyAlignment="1">
      <alignment horizontal="center"/>
    </xf>
    <xf numFmtId="176" fontId="5" fillId="0" borderId="7" xfId="1" applyNumberFormat="1" applyFont="1" applyBorder="1" applyAlignment="1">
      <alignment horizontal="center"/>
    </xf>
    <xf numFmtId="176" fontId="5" fillId="0" borderId="8" xfId="1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4" fontId="5" fillId="2" borderId="4" xfId="1" applyNumberFormat="1" applyFont="1" applyFill="1" applyBorder="1"/>
    <xf numFmtId="176" fontId="5" fillId="0" borderId="0" xfId="1" applyNumberFormat="1" applyFont="1"/>
    <xf numFmtId="177" fontId="5" fillId="0" borderId="5" xfId="1" applyNumberFormat="1" applyFont="1" applyBorder="1"/>
    <xf numFmtId="14" fontId="5" fillId="0" borderId="4" xfId="1" applyNumberFormat="1" applyFont="1" applyBorder="1"/>
    <xf numFmtId="14" fontId="5" fillId="0" borderId="6" xfId="1" applyNumberFormat="1" applyFont="1" applyBorder="1"/>
    <xf numFmtId="176" fontId="5" fillId="0" borderId="7" xfId="1" applyNumberFormat="1" applyFont="1" applyBorder="1"/>
    <xf numFmtId="177" fontId="5" fillId="0" borderId="8" xfId="1" applyNumberFormat="1" applyFont="1" applyBorder="1"/>
  </cellXfs>
  <cellStyles count="2">
    <cellStyle name="Normal 7" xfId="1" xr:uid="{DF434EE6-DFDE-9E4C-A536-3B2DF21ABC2E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Library/WindFunc/windfunc.xlam" TargetMode="External"/><Relationship Id="rId2" Type="http://schemas.openxmlformats.org/officeDocument/2006/relationships/externalLinkPath" Target="/Library/WindFunc/windfunc.xlam" TargetMode="External"/><Relationship Id="rId1" Type="http://schemas.openxmlformats.org/officeDocument/2006/relationships/externalLinkPath" Target="/Library/WindFunc/windfunc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definedNames>
      <definedName name="s_dq_close"/>
      <definedName name="S_INFO_NAME"/>
      <definedName name="s_west_instnum_np"/>
      <definedName name="s_west_maxnetprofit"/>
      <definedName name="s_west_mediannetprofit"/>
      <definedName name="s_west_minnetprofit"/>
      <definedName name="s_west_netprofit"/>
      <definedName name="s_west_stdnetprofit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5AEA8-894E-FD4E-9E6D-7B889B3D9EBD}">
  <dimension ref="A1:D99"/>
  <sheetViews>
    <sheetView workbookViewId="0"/>
  </sheetViews>
  <sheetFormatPr baseColWidth="10" defaultColWidth="9.1640625" defaultRowHeight="16"/>
  <cols>
    <col min="1" max="1" width="36.33203125" customWidth="1"/>
    <col min="2" max="2" width="26" customWidth="1"/>
    <col min="3" max="3" width="40" customWidth="1"/>
    <col min="4" max="4" width="11" bestFit="1" customWidth="1"/>
  </cols>
  <sheetData>
    <row r="1" spans="1:4" ht="17" thickBot="1">
      <c r="A1" t="e">
        <f ca="1">[1]!S_INFO_NAME($B$1)</f>
        <v>#NAME?</v>
      </c>
      <c r="B1" s="1"/>
      <c r="C1" t="s">
        <v>0</v>
      </c>
      <c r="D1" s="2">
        <f ca="1">TODAY()</f>
        <v>46161</v>
      </c>
    </row>
    <row r="2" spans="1:4" s="6" customFormat="1" ht="18">
      <c r="A2" s="3" t="s">
        <v>4</v>
      </c>
      <c r="B2" s="4">
        <v>2025</v>
      </c>
      <c r="C2" s="5">
        <v>2026</v>
      </c>
    </row>
    <row r="3" spans="1:4" s="6" customFormat="1" ht="18">
      <c r="A3" s="7" t="s">
        <v>5</v>
      </c>
      <c r="B3" s="8" t="e">
        <f ca="1">[1]!s_west_instnum_np($B$1,2025,$D$1,180)</f>
        <v>#NAME?</v>
      </c>
      <c r="C3" s="9" t="e">
        <f ca="1">[1]!s_west_instnum_np($B$1,2026,$D$1,180)</f>
        <v>#NAME?</v>
      </c>
    </row>
    <row r="4" spans="1:4" s="6" customFormat="1" ht="18">
      <c r="A4" s="7" t="s">
        <v>2</v>
      </c>
      <c r="B4" s="10" t="e">
        <f ca="1">[1]!s_west_instnum_np($A$1,2025,$D$1,180)</f>
        <v>#NAME?</v>
      </c>
      <c r="C4" s="11" t="e">
        <f ca="1">[1]!s_west_netprofit($B$1,2026,$D$1,180,1000000)</f>
        <v>#NAME?</v>
      </c>
    </row>
    <row r="5" spans="1:4" s="6" customFormat="1" ht="18">
      <c r="A5" s="7" t="s">
        <v>6</v>
      </c>
      <c r="B5" s="10" t="e">
        <f ca="1">[1]!s_west_maxnetprofit($B$1,2025,$D$1,180,1000000)</f>
        <v>#NAME?</v>
      </c>
      <c r="C5" s="11" t="e">
        <f ca="1">[1]!s_west_maxnetprofit($B$1,2026,$D$1,180,1000000)</f>
        <v>#NAME?</v>
      </c>
    </row>
    <row r="6" spans="1:4" s="6" customFormat="1" ht="18">
      <c r="A6" s="7" t="s">
        <v>7</v>
      </c>
      <c r="B6" s="10" t="e">
        <f ca="1">[1]!s_west_minnetprofit($B$1,2025,$D$1,180,1000000)</f>
        <v>#NAME?</v>
      </c>
      <c r="C6" s="11" t="e">
        <f ca="1">[1]!s_west_minnetprofit($B$1,2026,$D$1,180,1000000)</f>
        <v>#NAME?</v>
      </c>
    </row>
    <row r="7" spans="1:4" s="6" customFormat="1" ht="18">
      <c r="A7" s="7" t="s">
        <v>8</v>
      </c>
      <c r="B7" s="10" t="e">
        <f ca="1">[1]!s_west_mediannetprofit($B$1,2025,$D$1,180,1000000)</f>
        <v>#NAME?</v>
      </c>
      <c r="C7" s="11" t="e">
        <f ca="1">[1]!s_west_mediannetprofit($B$1,2026,$D$1,180,1000000)</f>
        <v>#NAME?</v>
      </c>
    </row>
    <row r="8" spans="1:4" s="6" customFormat="1" ht="19" thickBot="1">
      <c r="A8" s="12" t="s">
        <v>9</v>
      </c>
      <c r="B8" s="13" t="e">
        <f ca="1">[1]!s_west_stdnetprofit($B$1,2025,$D$1,180,1000000)</f>
        <v>#NAME?</v>
      </c>
      <c r="C8" s="14" t="e">
        <f ca="1">[1]!s_west_stdnetprofit($B$1,2026,$D$1,180,1000000)</f>
        <v>#NAME?</v>
      </c>
    </row>
    <row r="10" spans="1:4">
      <c r="A10" s="15" t="s">
        <v>1</v>
      </c>
      <c r="B10" s="16" t="s">
        <v>2</v>
      </c>
      <c r="C10" s="17" t="s">
        <v>3</v>
      </c>
    </row>
    <row r="11" spans="1:4" ht="18">
      <c r="A11" s="18">
        <f ca="1">TODAY()-IF(WEEKDAY(TODAY(),2)=6,1,IF(WEEKDAY(TODAY(),2)=7,2,0))</f>
        <v>46161</v>
      </c>
      <c r="B11" s="19" t="e" cm="1">
        <f t="array" aca="1" ref="B11" ca="1">[1]!s_west_netprofit($B$1,2026,$A11,180,1000000)</f>
        <v>#NAME?</v>
      </c>
      <c r="C11" s="20" t="e" cm="1">
        <f t="array" aca="1" ref="C11" ca="1">[1]!s_dq_close($B$1,$A11,3)</f>
        <v>#NAME?</v>
      </c>
    </row>
    <row r="12" spans="1:4" ht="18">
      <c r="A12" s="21">
        <f t="shared" ref="A12:A75" ca="1" si="0">A11-7</f>
        <v>46154</v>
      </c>
      <c r="B12" s="19" t="e" cm="1">
        <f t="array" aca="1" ref="B12" ca="1">[1]!s_west_netprofit($B$1,2026,$A12,180,1000000)</f>
        <v>#NAME?</v>
      </c>
      <c r="C12" s="20" t="e" cm="1">
        <f t="array" aca="1" ref="C12" ca="1">[1]!s_dq_close($B$1,$A12,3)</f>
        <v>#NAME?</v>
      </c>
    </row>
    <row r="13" spans="1:4" ht="18">
      <c r="A13" s="21">
        <f t="shared" ca="1" si="0"/>
        <v>46147</v>
      </c>
      <c r="B13" s="19" t="e" cm="1">
        <f t="array" aca="1" ref="B13" ca="1">[1]!s_west_netprofit($B$1,2026,$A13,180,1000000)</f>
        <v>#NAME?</v>
      </c>
      <c r="C13" s="20" t="e" cm="1">
        <f t="array" aca="1" ref="C13" ca="1">[1]!s_dq_close($B$1,$A13,3)</f>
        <v>#NAME?</v>
      </c>
    </row>
    <row r="14" spans="1:4" ht="18">
      <c r="A14" s="21">
        <f t="shared" ca="1" si="0"/>
        <v>46140</v>
      </c>
      <c r="B14" s="19" t="e" cm="1">
        <f t="array" aca="1" ref="B14" ca="1">[1]!s_west_netprofit($B$1,2026,$A14,180,1000000)</f>
        <v>#NAME?</v>
      </c>
      <c r="C14" s="20" t="e" cm="1">
        <f t="array" aca="1" ref="C14" ca="1">[1]!s_dq_close($B$1,$A14,3)</f>
        <v>#NAME?</v>
      </c>
    </row>
    <row r="15" spans="1:4" ht="18">
      <c r="A15" s="21">
        <f t="shared" ca="1" si="0"/>
        <v>46133</v>
      </c>
      <c r="B15" s="19" t="e" cm="1">
        <f t="array" aca="1" ref="B15" ca="1">[1]!s_west_netprofit($B$1,2026,$A15,180,1000000)</f>
        <v>#NAME?</v>
      </c>
      <c r="C15" s="20" t="e" cm="1">
        <f t="array" aca="1" ref="C15" ca="1">[1]!s_dq_close($B$1,$A15,3)</f>
        <v>#NAME?</v>
      </c>
    </row>
    <row r="16" spans="1:4" ht="18">
      <c r="A16" s="21">
        <f t="shared" ca="1" si="0"/>
        <v>46126</v>
      </c>
      <c r="B16" s="19" t="e" cm="1">
        <f t="array" aca="1" ref="B16" ca="1">[1]!s_west_netprofit($B$1,2026,$A16,180,1000000)</f>
        <v>#NAME?</v>
      </c>
      <c r="C16" s="20" t="e" cm="1">
        <f t="array" aca="1" ref="C16" ca="1">[1]!s_dq_close($B$1,$A16,3)</f>
        <v>#NAME?</v>
      </c>
    </row>
    <row r="17" spans="1:3" ht="18">
      <c r="A17" s="21">
        <f t="shared" ca="1" si="0"/>
        <v>46119</v>
      </c>
      <c r="B17" s="19" t="e" cm="1">
        <f t="array" aca="1" ref="B17" ca="1">[1]!s_west_netprofit($B$1,2026,$A17,180,1000000)</f>
        <v>#NAME?</v>
      </c>
      <c r="C17" s="20" t="e" cm="1">
        <f t="array" aca="1" ref="C17" ca="1">[1]!s_dq_close($B$1,$A17,3)</f>
        <v>#NAME?</v>
      </c>
    </row>
    <row r="18" spans="1:3" ht="18">
      <c r="A18" s="21">
        <f t="shared" ca="1" si="0"/>
        <v>46112</v>
      </c>
      <c r="B18" s="19" t="e" cm="1">
        <f t="array" aca="1" ref="B18" ca="1">[1]!s_west_netprofit($B$1,2026,$A18,180,1000000)</f>
        <v>#NAME?</v>
      </c>
      <c r="C18" s="20" t="e" cm="1">
        <f t="array" aca="1" ref="C18" ca="1">[1]!s_dq_close($B$1,$A18,3)</f>
        <v>#NAME?</v>
      </c>
    </row>
    <row r="19" spans="1:3" ht="18">
      <c r="A19" s="21">
        <f t="shared" ca="1" si="0"/>
        <v>46105</v>
      </c>
      <c r="B19" s="19" t="e" cm="1">
        <f t="array" aca="1" ref="B19" ca="1">[1]!s_west_netprofit($B$1,2026,$A19,180,1000000)</f>
        <v>#NAME?</v>
      </c>
      <c r="C19" s="20" t="e" cm="1">
        <f t="array" aca="1" ref="C19" ca="1">[1]!s_dq_close($B$1,$A19,3)</f>
        <v>#NAME?</v>
      </c>
    </row>
    <row r="20" spans="1:3" ht="18">
      <c r="A20" s="21">
        <f t="shared" ca="1" si="0"/>
        <v>46098</v>
      </c>
      <c r="B20" s="19" t="e" cm="1">
        <f t="array" aca="1" ref="B20" ca="1">[1]!s_west_netprofit($B$1,2026,$A20,180,1000000)</f>
        <v>#NAME?</v>
      </c>
      <c r="C20" s="20" t="e" cm="1">
        <f t="array" aca="1" ref="C20" ca="1">[1]!s_dq_close($B$1,$A20,3)</f>
        <v>#NAME?</v>
      </c>
    </row>
    <row r="21" spans="1:3" ht="18">
      <c r="A21" s="21">
        <f t="shared" ca="1" si="0"/>
        <v>46091</v>
      </c>
      <c r="B21" s="19" t="e" cm="1">
        <f t="array" aca="1" ref="B21" ca="1">[1]!s_west_netprofit($B$1,2026,$A21,180,1000000)</f>
        <v>#NAME?</v>
      </c>
      <c r="C21" s="20" t="e" cm="1">
        <f t="array" aca="1" ref="C21" ca="1">[1]!s_dq_close($B$1,$A21,3)</f>
        <v>#NAME?</v>
      </c>
    </row>
    <row r="22" spans="1:3" ht="18">
      <c r="A22" s="21">
        <f t="shared" ca="1" si="0"/>
        <v>46084</v>
      </c>
      <c r="B22" s="19" t="e" cm="1">
        <f t="array" aca="1" ref="B22" ca="1">[1]!s_west_netprofit($B$1,2026,$A22,180,1000000)</f>
        <v>#NAME?</v>
      </c>
      <c r="C22" s="20" t="e" cm="1">
        <f t="array" aca="1" ref="C22" ca="1">[1]!s_dq_close($B$1,$A22,3)</f>
        <v>#NAME?</v>
      </c>
    </row>
    <row r="23" spans="1:3" ht="18">
      <c r="A23" s="21">
        <f t="shared" ca="1" si="0"/>
        <v>46077</v>
      </c>
      <c r="B23" s="19" t="e" cm="1">
        <f t="array" aca="1" ref="B23" ca="1">[1]!s_west_netprofit($B$1,2026,$A23,180,1000000)</f>
        <v>#NAME?</v>
      </c>
      <c r="C23" s="20" t="e" cm="1">
        <f t="array" aca="1" ref="C23" ca="1">[1]!s_dq_close($B$1,$A23,3)</f>
        <v>#NAME?</v>
      </c>
    </row>
    <row r="24" spans="1:3" ht="18">
      <c r="A24" s="21">
        <f t="shared" ca="1" si="0"/>
        <v>46070</v>
      </c>
      <c r="B24" s="19" t="e" cm="1">
        <f t="array" aca="1" ref="B24" ca="1">[1]!s_west_netprofit($B$1,2026,$A24,180,1000000)</f>
        <v>#NAME?</v>
      </c>
      <c r="C24" s="20" t="e" cm="1">
        <f t="array" aca="1" ref="C24" ca="1">[1]!s_dq_close($B$1,$A24,3)</f>
        <v>#NAME?</v>
      </c>
    </row>
    <row r="25" spans="1:3" ht="18">
      <c r="A25" s="21">
        <f t="shared" ca="1" si="0"/>
        <v>46063</v>
      </c>
      <c r="B25" s="19" t="e" cm="1">
        <f t="array" aca="1" ref="B25" ca="1">[1]!s_west_netprofit($B$1,2026,$A25,180,1000000)</f>
        <v>#NAME?</v>
      </c>
      <c r="C25" s="20" t="e" cm="1">
        <f t="array" aca="1" ref="C25" ca="1">[1]!s_dq_close($B$1,$A25,3)</f>
        <v>#NAME?</v>
      </c>
    </row>
    <row r="26" spans="1:3" ht="18">
      <c r="A26" s="21">
        <f t="shared" ca="1" si="0"/>
        <v>46056</v>
      </c>
      <c r="B26" s="19" t="e" cm="1">
        <f t="array" aca="1" ref="B26" ca="1">[1]!s_west_netprofit($B$1,2026,$A26,180,1000000)</f>
        <v>#NAME?</v>
      </c>
      <c r="C26" s="20" t="e" cm="1">
        <f t="array" aca="1" ref="C26" ca="1">[1]!s_dq_close($B$1,$A26,3)</f>
        <v>#NAME?</v>
      </c>
    </row>
    <row r="27" spans="1:3" ht="18">
      <c r="A27" s="21">
        <f t="shared" ca="1" si="0"/>
        <v>46049</v>
      </c>
      <c r="B27" s="19" t="e" cm="1">
        <f t="array" aca="1" ref="B27" ca="1">[1]!s_west_netprofit($B$1,2026,$A27,180,1000000)</f>
        <v>#NAME?</v>
      </c>
      <c r="C27" s="20" t="e" cm="1">
        <f t="array" aca="1" ref="C27" ca="1">[1]!s_dq_close($B$1,$A27,3)</f>
        <v>#NAME?</v>
      </c>
    </row>
    <row r="28" spans="1:3" ht="18">
      <c r="A28" s="21">
        <f t="shared" ca="1" si="0"/>
        <v>46042</v>
      </c>
      <c r="B28" s="19" t="e" cm="1">
        <f t="array" aca="1" ref="B28" ca="1">[1]!s_west_netprofit($B$1,2026,$A28,180,1000000)</f>
        <v>#NAME?</v>
      </c>
      <c r="C28" s="20" t="e" cm="1">
        <f t="array" aca="1" ref="C28" ca="1">[1]!s_dq_close($B$1,$A28,3)</f>
        <v>#NAME?</v>
      </c>
    </row>
    <row r="29" spans="1:3" ht="18">
      <c r="A29" s="21">
        <f t="shared" ca="1" si="0"/>
        <v>46035</v>
      </c>
      <c r="B29" s="19" t="e" cm="1">
        <f t="array" aca="1" ref="B29" ca="1">[1]!s_west_netprofit($B$1,2026,$A29,180,1000000)</f>
        <v>#NAME?</v>
      </c>
      <c r="C29" s="20" t="e" cm="1">
        <f t="array" aca="1" ref="C29" ca="1">[1]!s_dq_close($B$1,$A29,3)</f>
        <v>#NAME?</v>
      </c>
    </row>
    <row r="30" spans="1:3" ht="18">
      <c r="A30" s="21">
        <f t="shared" ca="1" si="0"/>
        <v>46028</v>
      </c>
      <c r="B30" s="19" t="e" cm="1">
        <f t="array" aca="1" ref="B30" ca="1">[1]!s_west_netprofit($B$1,2026,$A30,180,1000000)</f>
        <v>#NAME?</v>
      </c>
      <c r="C30" s="20" t="e" cm="1">
        <f t="array" aca="1" ref="C30" ca="1">[1]!s_dq_close($B$1,$A30,3)</f>
        <v>#NAME?</v>
      </c>
    </row>
    <row r="31" spans="1:3" ht="18">
      <c r="A31" s="21">
        <f t="shared" ca="1" si="0"/>
        <v>46021</v>
      </c>
      <c r="B31" s="19" t="e" cm="1">
        <f t="array" aca="1" ref="B31" ca="1">[1]!s_west_netprofit($B$1,2026,$A31,180,1000000)</f>
        <v>#NAME?</v>
      </c>
      <c r="C31" s="20" t="e" cm="1">
        <f t="array" aca="1" ref="C31" ca="1">[1]!s_dq_close($B$1,$A31,3)</f>
        <v>#NAME?</v>
      </c>
    </row>
    <row r="32" spans="1:3" ht="18">
      <c r="A32" s="21">
        <f t="shared" ca="1" si="0"/>
        <v>46014</v>
      </c>
      <c r="B32" s="19" t="e" cm="1">
        <f t="array" aca="1" ref="B32" ca="1">[1]!s_west_netprofit($B$1,2026,$A32,180,1000000)</f>
        <v>#NAME?</v>
      </c>
      <c r="C32" s="20" t="e" cm="1">
        <f t="array" aca="1" ref="C32" ca="1">[1]!s_dq_close($B$1,$A32,3)</f>
        <v>#NAME?</v>
      </c>
    </row>
    <row r="33" spans="1:3" ht="18">
      <c r="A33" s="21">
        <f t="shared" ca="1" si="0"/>
        <v>46007</v>
      </c>
      <c r="B33" s="19" t="e" cm="1">
        <f t="array" aca="1" ref="B33" ca="1">[1]!s_west_netprofit($B$1,2026,$A33,180,1000000)</f>
        <v>#NAME?</v>
      </c>
      <c r="C33" s="20" t="e" cm="1">
        <f t="array" aca="1" ref="C33" ca="1">[1]!s_dq_close($B$1,$A33,3)</f>
        <v>#NAME?</v>
      </c>
    </row>
    <row r="34" spans="1:3" ht="18">
      <c r="A34" s="21">
        <f t="shared" ca="1" si="0"/>
        <v>46000</v>
      </c>
      <c r="B34" s="19" t="e" cm="1">
        <f t="array" aca="1" ref="B34" ca="1">[1]!s_west_netprofit($B$1,2026,$A34,180,1000000)</f>
        <v>#NAME?</v>
      </c>
      <c r="C34" s="20" t="e" cm="1">
        <f t="array" aca="1" ref="C34" ca="1">[1]!s_dq_close($B$1,$A34,3)</f>
        <v>#NAME?</v>
      </c>
    </row>
    <row r="35" spans="1:3" ht="18">
      <c r="A35" s="21">
        <f t="shared" ca="1" si="0"/>
        <v>45993</v>
      </c>
      <c r="B35" s="19" t="e" cm="1">
        <f t="array" aca="1" ref="B35" ca="1">[1]!s_west_netprofit($B$1,2026,$A35,180,1000000)</f>
        <v>#NAME?</v>
      </c>
      <c r="C35" s="20" t="e" cm="1">
        <f t="array" aca="1" ref="C35" ca="1">[1]!s_dq_close($B$1,$A35,3)</f>
        <v>#NAME?</v>
      </c>
    </row>
    <row r="36" spans="1:3" ht="18">
      <c r="A36" s="21">
        <f t="shared" ca="1" si="0"/>
        <v>45986</v>
      </c>
      <c r="B36" s="19" t="e" cm="1">
        <f t="array" aca="1" ref="B36" ca="1">[1]!s_west_netprofit($B$1,2026,$A36,180,1000000)</f>
        <v>#NAME?</v>
      </c>
      <c r="C36" s="20" t="e" cm="1">
        <f t="array" aca="1" ref="C36" ca="1">[1]!s_dq_close($B$1,$A36,3)</f>
        <v>#NAME?</v>
      </c>
    </row>
    <row r="37" spans="1:3" ht="18">
      <c r="A37" s="21">
        <f t="shared" ca="1" si="0"/>
        <v>45979</v>
      </c>
      <c r="B37" s="19" t="e" cm="1">
        <f t="array" aca="1" ref="B37" ca="1">[1]!s_west_netprofit($B$1,2026,$A37,180,1000000)</f>
        <v>#NAME?</v>
      </c>
      <c r="C37" s="20" t="e" cm="1">
        <f t="array" aca="1" ref="C37" ca="1">[1]!s_dq_close($B$1,$A37,3)</f>
        <v>#NAME?</v>
      </c>
    </row>
    <row r="38" spans="1:3" ht="18">
      <c r="A38" s="21">
        <f t="shared" ca="1" si="0"/>
        <v>45972</v>
      </c>
      <c r="B38" s="19" t="e" cm="1">
        <f t="array" aca="1" ref="B38" ca="1">[1]!s_west_netprofit($B$1,2026,$A38,180,1000000)</f>
        <v>#NAME?</v>
      </c>
      <c r="C38" s="20" t="e" cm="1">
        <f t="array" aca="1" ref="C38" ca="1">[1]!s_dq_close($B$1,$A38,3)</f>
        <v>#NAME?</v>
      </c>
    </row>
    <row r="39" spans="1:3" ht="18">
      <c r="A39" s="21">
        <f t="shared" ca="1" si="0"/>
        <v>45965</v>
      </c>
      <c r="B39" s="19" t="e" cm="1">
        <f t="array" aca="1" ref="B39" ca="1">[1]!s_west_netprofit($B$1,2026,$A39,180,1000000)</f>
        <v>#NAME?</v>
      </c>
      <c r="C39" s="20" t="e" cm="1">
        <f t="array" aca="1" ref="C39" ca="1">[1]!s_dq_close($B$1,$A39,3)</f>
        <v>#NAME?</v>
      </c>
    </row>
    <row r="40" spans="1:3" ht="18">
      <c r="A40" s="21">
        <f t="shared" ca="1" si="0"/>
        <v>45958</v>
      </c>
      <c r="B40" s="19" t="e" cm="1">
        <f t="array" aca="1" ref="B40" ca="1">[1]!s_west_netprofit($B$1,2026,$A40,180,1000000)</f>
        <v>#NAME?</v>
      </c>
      <c r="C40" s="20" t="e" cm="1">
        <f t="array" aca="1" ref="C40" ca="1">[1]!s_dq_close($B$1,$A40,3)</f>
        <v>#NAME?</v>
      </c>
    </row>
    <row r="41" spans="1:3" ht="18">
      <c r="A41" s="21">
        <f t="shared" ca="1" si="0"/>
        <v>45951</v>
      </c>
      <c r="B41" s="19" t="e" cm="1">
        <f t="array" aca="1" ref="B41" ca="1">[1]!s_west_netprofit($B$1,2026,$A41,180,1000000)</f>
        <v>#NAME?</v>
      </c>
      <c r="C41" s="20" t="e" cm="1">
        <f t="array" aca="1" ref="C41" ca="1">[1]!s_dq_close($B$1,$A41,3)</f>
        <v>#NAME?</v>
      </c>
    </row>
    <row r="42" spans="1:3" ht="18">
      <c r="A42" s="21">
        <f t="shared" ca="1" si="0"/>
        <v>45944</v>
      </c>
      <c r="B42" s="19" t="e" cm="1">
        <f t="array" aca="1" ref="B42" ca="1">[1]!s_west_netprofit($B$1,2026,$A42,180,1000000)</f>
        <v>#NAME?</v>
      </c>
      <c r="C42" s="20" t="e" cm="1">
        <f t="array" aca="1" ref="C42" ca="1">[1]!s_dq_close($B$1,$A42,3)</f>
        <v>#NAME?</v>
      </c>
    </row>
    <row r="43" spans="1:3" ht="18">
      <c r="A43" s="21">
        <f t="shared" ca="1" si="0"/>
        <v>45937</v>
      </c>
      <c r="B43" s="19" t="e" cm="1">
        <f t="array" aca="1" ref="B43" ca="1">[1]!s_west_netprofit($B$1,2026,$A43,180,1000000)</f>
        <v>#NAME?</v>
      </c>
      <c r="C43" s="20" t="e" cm="1">
        <f t="array" aca="1" ref="C43" ca="1">[1]!s_dq_close($B$1,$A43,3)</f>
        <v>#NAME?</v>
      </c>
    </row>
    <row r="44" spans="1:3" ht="18">
      <c r="A44" s="21">
        <f t="shared" ca="1" si="0"/>
        <v>45930</v>
      </c>
      <c r="B44" s="19" t="e" cm="1">
        <f t="array" aca="1" ref="B44" ca="1">[1]!s_west_netprofit($B$1,2026,$A44,180,1000000)</f>
        <v>#NAME?</v>
      </c>
      <c r="C44" s="20" t="e" cm="1">
        <f t="array" aca="1" ref="C44" ca="1">[1]!s_dq_close($B$1,$A44,3)</f>
        <v>#NAME?</v>
      </c>
    </row>
    <row r="45" spans="1:3" ht="18">
      <c r="A45" s="21">
        <f t="shared" ca="1" si="0"/>
        <v>45923</v>
      </c>
      <c r="B45" s="19" t="e" cm="1">
        <f t="array" aca="1" ref="B45" ca="1">[1]!s_west_netprofit($B$1,2026,$A45,180,1000000)</f>
        <v>#NAME?</v>
      </c>
      <c r="C45" s="20" t="e" cm="1">
        <f t="array" aca="1" ref="C45" ca="1">[1]!s_dq_close($B$1,$A45,3)</f>
        <v>#NAME?</v>
      </c>
    </row>
    <row r="46" spans="1:3" ht="18">
      <c r="A46" s="21">
        <f t="shared" ca="1" si="0"/>
        <v>45916</v>
      </c>
      <c r="B46" s="19" t="e" cm="1">
        <f t="array" aca="1" ref="B46" ca="1">[1]!s_west_netprofit($B$1,2026,$A46,180,1000000)</f>
        <v>#NAME?</v>
      </c>
      <c r="C46" s="20" t="e" cm="1">
        <f t="array" aca="1" ref="C46" ca="1">[1]!s_dq_close($B$1,$A46,3)</f>
        <v>#NAME?</v>
      </c>
    </row>
    <row r="47" spans="1:3" ht="18">
      <c r="A47" s="21">
        <f t="shared" ca="1" si="0"/>
        <v>45909</v>
      </c>
      <c r="B47" s="19" t="e" cm="1">
        <f t="array" aca="1" ref="B47" ca="1">[1]!s_west_netprofit($B$1,2026,$A47,180,1000000)</f>
        <v>#NAME?</v>
      </c>
      <c r="C47" s="20" t="e" cm="1">
        <f t="array" aca="1" ref="C47" ca="1">[1]!s_dq_close($B$1,$A47,3)</f>
        <v>#NAME?</v>
      </c>
    </row>
    <row r="48" spans="1:3" ht="18">
      <c r="A48" s="21">
        <f t="shared" ca="1" si="0"/>
        <v>45902</v>
      </c>
      <c r="B48" s="19" t="e" cm="1">
        <f t="array" aca="1" ref="B48" ca="1">[1]!s_west_netprofit($B$1,2026,$A48,180,1000000)</f>
        <v>#NAME?</v>
      </c>
      <c r="C48" s="20" t="e" cm="1">
        <f t="array" aca="1" ref="C48" ca="1">[1]!s_dq_close($B$1,$A48,3)</f>
        <v>#NAME?</v>
      </c>
    </row>
    <row r="49" spans="1:3" ht="18">
      <c r="A49" s="21">
        <f t="shared" ca="1" si="0"/>
        <v>45895</v>
      </c>
      <c r="B49" s="19" t="e" cm="1">
        <f t="array" aca="1" ref="B49" ca="1">[1]!s_west_netprofit($B$1,2026,$A49,180,1000000)</f>
        <v>#NAME?</v>
      </c>
      <c r="C49" s="20" t="e" cm="1">
        <f t="array" aca="1" ref="C49" ca="1">[1]!s_dq_close($B$1,$A49,3)</f>
        <v>#NAME?</v>
      </c>
    </row>
    <row r="50" spans="1:3" ht="18">
      <c r="A50" s="21">
        <f t="shared" ca="1" si="0"/>
        <v>45888</v>
      </c>
      <c r="B50" s="19" t="e" cm="1">
        <f t="array" aca="1" ref="B50" ca="1">[1]!s_west_netprofit($B$1,2026,$A50,180,1000000)</f>
        <v>#NAME?</v>
      </c>
      <c r="C50" s="20" t="e" cm="1">
        <f t="array" aca="1" ref="C50" ca="1">[1]!s_dq_close($B$1,$A50,3)</f>
        <v>#NAME?</v>
      </c>
    </row>
    <row r="51" spans="1:3" ht="18">
      <c r="A51" s="21">
        <f t="shared" ca="1" si="0"/>
        <v>45881</v>
      </c>
      <c r="B51" s="19" t="e" cm="1">
        <f t="array" aca="1" ref="B51" ca="1">[1]!s_west_netprofit($B$1,2026,$A51,180,1000000)</f>
        <v>#NAME?</v>
      </c>
      <c r="C51" s="20" t="e" cm="1">
        <f t="array" aca="1" ref="C51" ca="1">[1]!s_dq_close($B$1,$A51,3)</f>
        <v>#NAME?</v>
      </c>
    </row>
    <row r="52" spans="1:3" ht="18">
      <c r="A52" s="21">
        <f t="shared" ca="1" si="0"/>
        <v>45874</v>
      </c>
      <c r="B52" s="19" t="e" cm="1">
        <f t="array" aca="1" ref="B52" ca="1">[1]!s_west_netprofit($B$1,2026,$A52,180,1000000)</f>
        <v>#NAME?</v>
      </c>
      <c r="C52" s="20" t="e" cm="1">
        <f t="array" aca="1" ref="C52" ca="1">[1]!s_dq_close($B$1,$A52,3)</f>
        <v>#NAME?</v>
      </c>
    </row>
    <row r="53" spans="1:3" ht="18">
      <c r="A53" s="21">
        <f t="shared" ca="1" si="0"/>
        <v>45867</v>
      </c>
      <c r="B53" s="19" t="e" cm="1">
        <f t="array" aca="1" ref="B53" ca="1">[1]!s_west_netprofit($B$1,2026,$A53,180,1000000)</f>
        <v>#NAME?</v>
      </c>
      <c r="C53" s="20" t="e" cm="1">
        <f t="array" aca="1" ref="C53" ca="1">[1]!s_dq_close($B$1,$A53,3)</f>
        <v>#NAME?</v>
      </c>
    </row>
    <row r="54" spans="1:3" ht="18">
      <c r="A54" s="21">
        <f t="shared" ca="1" si="0"/>
        <v>45860</v>
      </c>
      <c r="B54" s="19" t="e" cm="1">
        <f t="array" aca="1" ref="B54" ca="1">[1]!s_west_netprofit($B$1,2026,$A54,180,1000000)</f>
        <v>#NAME?</v>
      </c>
      <c r="C54" s="20" t="e" cm="1">
        <f t="array" aca="1" ref="C54" ca="1">[1]!s_dq_close($B$1,$A54,3)</f>
        <v>#NAME?</v>
      </c>
    </row>
    <row r="55" spans="1:3" ht="18">
      <c r="A55" s="21">
        <f t="shared" ca="1" si="0"/>
        <v>45853</v>
      </c>
      <c r="B55" s="19" t="e" cm="1">
        <f t="array" aca="1" ref="B55" ca="1">[1]!s_west_netprofit($B$1,2026,$A55,180,1000000)</f>
        <v>#NAME?</v>
      </c>
      <c r="C55" s="20" t="e" cm="1">
        <f t="array" aca="1" ref="C55" ca="1">[1]!s_dq_close($B$1,$A55,3)</f>
        <v>#NAME?</v>
      </c>
    </row>
    <row r="56" spans="1:3" ht="18">
      <c r="A56" s="21">
        <f t="shared" ca="1" si="0"/>
        <v>45846</v>
      </c>
      <c r="B56" s="19" t="e" cm="1">
        <f t="array" aca="1" ref="B56" ca="1">[1]!s_west_netprofit($B$1,2026,$A56,180,1000000)</f>
        <v>#NAME?</v>
      </c>
      <c r="C56" s="20" t="e" cm="1">
        <f t="array" aca="1" ref="C56" ca="1">[1]!s_dq_close($B$1,$A56,3)</f>
        <v>#NAME?</v>
      </c>
    </row>
    <row r="57" spans="1:3" ht="18">
      <c r="A57" s="21">
        <f t="shared" ca="1" si="0"/>
        <v>45839</v>
      </c>
      <c r="B57" s="19" t="e" cm="1">
        <f t="array" aca="1" ref="B57" ca="1">[1]!s_west_netprofit($B$1,2026,$A57,180,1000000)</f>
        <v>#NAME?</v>
      </c>
      <c r="C57" s="20" t="e" cm="1">
        <f t="array" aca="1" ref="C57" ca="1">[1]!s_dq_close($B$1,$A57,3)</f>
        <v>#NAME?</v>
      </c>
    </row>
    <row r="58" spans="1:3" ht="18">
      <c r="A58" s="21">
        <f t="shared" ca="1" si="0"/>
        <v>45832</v>
      </c>
      <c r="B58" s="19" t="e" cm="1">
        <f t="array" aca="1" ref="B58" ca="1">[1]!s_west_netprofit($B$1,2026,$A58,180,1000000)</f>
        <v>#NAME?</v>
      </c>
      <c r="C58" s="20" t="e" cm="1">
        <f t="array" aca="1" ref="C58" ca="1">[1]!s_dq_close($B$1,$A58,3)</f>
        <v>#NAME?</v>
      </c>
    </row>
    <row r="59" spans="1:3" ht="18">
      <c r="A59" s="21">
        <f t="shared" ca="1" si="0"/>
        <v>45825</v>
      </c>
      <c r="B59" s="19" t="e" cm="1">
        <f t="array" aca="1" ref="B59" ca="1">[1]!s_west_netprofit($B$1,2026,$A59,180,1000000)</f>
        <v>#NAME?</v>
      </c>
      <c r="C59" s="20" t="e" cm="1">
        <f t="array" aca="1" ref="C59" ca="1">[1]!s_dq_close($B$1,$A59,3)</f>
        <v>#NAME?</v>
      </c>
    </row>
    <row r="60" spans="1:3" ht="18">
      <c r="A60" s="21">
        <f t="shared" ca="1" si="0"/>
        <v>45818</v>
      </c>
      <c r="B60" s="19" t="e" cm="1">
        <f t="array" aca="1" ref="B60" ca="1">[1]!s_west_netprofit($B$1,2026,$A60,180,1000000)</f>
        <v>#NAME?</v>
      </c>
      <c r="C60" s="20" t="e" cm="1">
        <f t="array" aca="1" ref="C60" ca="1">[1]!s_dq_close($B$1,$A60,3)</f>
        <v>#NAME?</v>
      </c>
    </row>
    <row r="61" spans="1:3" ht="18">
      <c r="A61" s="21">
        <f t="shared" ca="1" si="0"/>
        <v>45811</v>
      </c>
      <c r="B61" s="19" t="e" cm="1">
        <f t="array" aca="1" ref="B61" ca="1">[1]!s_west_netprofit($B$1,2026,$A61,180,1000000)</f>
        <v>#NAME?</v>
      </c>
      <c r="C61" s="20" t="e" cm="1">
        <f t="array" aca="1" ref="C61" ca="1">[1]!s_dq_close($B$1,$A61,3)</f>
        <v>#NAME?</v>
      </c>
    </row>
    <row r="62" spans="1:3" ht="18">
      <c r="A62" s="21">
        <f t="shared" ca="1" si="0"/>
        <v>45804</v>
      </c>
      <c r="B62" s="19" t="e" cm="1">
        <f t="array" aca="1" ref="B62" ca="1">[1]!s_west_netprofit($B$1,2026,$A62,180,1000000)</f>
        <v>#NAME?</v>
      </c>
      <c r="C62" s="20" t="e" cm="1">
        <f t="array" aca="1" ref="C62" ca="1">[1]!s_dq_close($B$1,$A62,3)</f>
        <v>#NAME?</v>
      </c>
    </row>
    <row r="63" spans="1:3" ht="18">
      <c r="A63" s="21">
        <f t="shared" ca="1" si="0"/>
        <v>45797</v>
      </c>
      <c r="B63" s="19" t="e" cm="1">
        <f t="array" aca="1" ref="B63" ca="1">[1]!s_west_netprofit($B$1,2026,$A63,180,1000000)</f>
        <v>#NAME?</v>
      </c>
      <c r="C63" s="20" t="e" cm="1">
        <f t="array" aca="1" ref="C63" ca="1">[1]!s_dq_close($B$1,$A63,3)</f>
        <v>#NAME?</v>
      </c>
    </row>
    <row r="64" spans="1:3" ht="18">
      <c r="A64" s="21">
        <f t="shared" ca="1" si="0"/>
        <v>45790</v>
      </c>
      <c r="B64" s="19" t="e" cm="1">
        <f t="array" aca="1" ref="B64" ca="1">[1]!s_west_netprofit($B$1,2026,$A64,180,1000000)</f>
        <v>#NAME?</v>
      </c>
      <c r="C64" s="20" t="e" cm="1">
        <f t="array" aca="1" ref="C64" ca="1">[1]!s_dq_close($B$1,$A64,3)</f>
        <v>#NAME?</v>
      </c>
    </row>
    <row r="65" spans="1:3" ht="18">
      <c r="A65" s="21">
        <f t="shared" ca="1" si="0"/>
        <v>45783</v>
      </c>
      <c r="B65" s="19" t="e" cm="1">
        <f t="array" aca="1" ref="B65" ca="1">[1]!s_west_netprofit($B$1,2026,$A65,180,1000000)</f>
        <v>#NAME?</v>
      </c>
      <c r="C65" s="20" t="e" cm="1">
        <f t="array" aca="1" ref="C65" ca="1">[1]!s_dq_close($B$1,$A65,3)</f>
        <v>#NAME?</v>
      </c>
    </row>
    <row r="66" spans="1:3" ht="18">
      <c r="A66" s="21">
        <f t="shared" ca="1" si="0"/>
        <v>45776</v>
      </c>
      <c r="B66" s="19" t="e" cm="1">
        <f t="array" aca="1" ref="B66" ca="1">[1]!s_west_netprofit($B$1,2026,$A66,180,1000000)</f>
        <v>#NAME?</v>
      </c>
      <c r="C66" s="20" t="e" cm="1">
        <f t="array" aca="1" ref="C66" ca="1">[1]!s_dq_close($B$1,$A66,3)</f>
        <v>#NAME?</v>
      </c>
    </row>
    <row r="67" spans="1:3" ht="18">
      <c r="A67" s="21">
        <f t="shared" ca="1" si="0"/>
        <v>45769</v>
      </c>
      <c r="B67" s="19" t="e" cm="1">
        <f t="array" aca="1" ref="B67" ca="1">[1]!s_west_netprofit($B$1,2026,$A67,180,1000000)</f>
        <v>#NAME?</v>
      </c>
      <c r="C67" s="20" t="e" cm="1">
        <f t="array" aca="1" ref="C67" ca="1">[1]!s_dq_close($B$1,$A67,3)</f>
        <v>#NAME?</v>
      </c>
    </row>
    <row r="68" spans="1:3" ht="18">
      <c r="A68" s="21">
        <f t="shared" ca="1" si="0"/>
        <v>45762</v>
      </c>
      <c r="B68" s="19" t="e" cm="1">
        <f t="array" aca="1" ref="B68" ca="1">[1]!s_west_netprofit($B$1,2026,$A68,180,1000000)</f>
        <v>#NAME?</v>
      </c>
      <c r="C68" s="20" t="e" cm="1">
        <f t="array" aca="1" ref="C68" ca="1">[1]!s_dq_close($B$1,$A68,3)</f>
        <v>#NAME?</v>
      </c>
    </row>
    <row r="69" spans="1:3" ht="18">
      <c r="A69" s="21">
        <f t="shared" ca="1" si="0"/>
        <v>45755</v>
      </c>
      <c r="B69" s="19" t="e" cm="1">
        <f t="array" aca="1" ref="B69" ca="1">[1]!s_west_netprofit($B$1,2026,$A69,180,1000000)</f>
        <v>#NAME?</v>
      </c>
      <c r="C69" s="20" t="e" cm="1">
        <f t="array" aca="1" ref="C69" ca="1">[1]!s_dq_close($B$1,$A69,3)</f>
        <v>#NAME?</v>
      </c>
    </row>
    <row r="70" spans="1:3" ht="18">
      <c r="A70" s="21">
        <f t="shared" ca="1" si="0"/>
        <v>45748</v>
      </c>
      <c r="B70" s="19" t="e" cm="1">
        <f t="array" aca="1" ref="B70" ca="1">[1]!s_west_netprofit($B$1,2026,$A70,180,1000000)</f>
        <v>#NAME?</v>
      </c>
      <c r="C70" s="20" t="e" cm="1">
        <f t="array" aca="1" ref="C70" ca="1">[1]!s_dq_close($B$1,$A70,3)</f>
        <v>#NAME?</v>
      </c>
    </row>
    <row r="71" spans="1:3" ht="18">
      <c r="A71" s="21">
        <f t="shared" ca="1" si="0"/>
        <v>45741</v>
      </c>
      <c r="B71" s="19" t="e" cm="1">
        <f t="array" aca="1" ref="B71" ca="1">[1]!s_west_netprofit($B$1,2026,$A71,180,1000000)</f>
        <v>#NAME?</v>
      </c>
      <c r="C71" s="20" t="e" cm="1">
        <f t="array" aca="1" ref="C71" ca="1">[1]!s_dq_close($B$1,$A71,3)</f>
        <v>#NAME?</v>
      </c>
    </row>
    <row r="72" spans="1:3" ht="18">
      <c r="A72" s="21">
        <f t="shared" ca="1" si="0"/>
        <v>45734</v>
      </c>
      <c r="B72" s="19" t="e" cm="1">
        <f t="array" aca="1" ref="B72" ca="1">[1]!s_west_netprofit($B$1,2026,$A72,180,1000000)</f>
        <v>#NAME?</v>
      </c>
      <c r="C72" s="20" t="e" cm="1">
        <f t="array" aca="1" ref="C72" ca="1">[1]!s_dq_close($B$1,$A72,3)</f>
        <v>#NAME?</v>
      </c>
    </row>
    <row r="73" spans="1:3" ht="18">
      <c r="A73" s="21">
        <f t="shared" ca="1" si="0"/>
        <v>45727</v>
      </c>
      <c r="B73" s="19" t="e" cm="1">
        <f t="array" aca="1" ref="B73" ca="1">[1]!s_west_netprofit($B$1,2026,$A73,180,1000000)</f>
        <v>#NAME?</v>
      </c>
      <c r="C73" s="20" t="e" cm="1">
        <f t="array" aca="1" ref="C73" ca="1">[1]!s_dq_close($B$1,$A73,3)</f>
        <v>#NAME?</v>
      </c>
    </row>
    <row r="74" spans="1:3" ht="18">
      <c r="A74" s="21">
        <f t="shared" ca="1" si="0"/>
        <v>45720</v>
      </c>
      <c r="B74" s="19" t="e" cm="1">
        <f t="array" aca="1" ref="B74" ca="1">[1]!s_west_netprofit($B$1,2026,$A74,180,1000000)</f>
        <v>#NAME?</v>
      </c>
      <c r="C74" s="20" t="e" cm="1">
        <f t="array" aca="1" ref="C74" ca="1">[1]!s_dq_close($B$1,$A74,3)</f>
        <v>#NAME?</v>
      </c>
    </row>
    <row r="75" spans="1:3" ht="18">
      <c r="A75" s="21">
        <f t="shared" ca="1" si="0"/>
        <v>45713</v>
      </c>
      <c r="B75" s="19" t="e" cm="1">
        <f t="array" aca="1" ref="B75" ca="1">[1]!s_west_netprofit($B$1,2026,$A75,180,1000000)</f>
        <v>#NAME?</v>
      </c>
      <c r="C75" s="20" t="e" cm="1">
        <f t="array" aca="1" ref="C75" ca="1">[1]!s_dq_close($B$1,$A75,3)</f>
        <v>#NAME?</v>
      </c>
    </row>
    <row r="76" spans="1:3" ht="18">
      <c r="A76" s="21">
        <f t="shared" ref="A76:A99" ca="1" si="1">A75-7</f>
        <v>45706</v>
      </c>
      <c r="B76" s="19" t="e" cm="1">
        <f t="array" aca="1" ref="B76" ca="1">[1]!s_west_netprofit($B$1,2026,$A76,180,1000000)</f>
        <v>#NAME?</v>
      </c>
      <c r="C76" s="20" t="e" cm="1">
        <f t="array" aca="1" ref="C76" ca="1">[1]!s_dq_close($B$1,$A76,3)</f>
        <v>#NAME?</v>
      </c>
    </row>
    <row r="77" spans="1:3" ht="18">
      <c r="A77" s="21">
        <f t="shared" ca="1" si="1"/>
        <v>45699</v>
      </c>
      <c r="B77" s="19" t="e" cm="1">
        <f t="array" aca="1" ref="B77" ca="1">[1]!s_west_netprofit($B$1,2026,$A77,180,1000000)</f>
        <v>#NAME?</v>
      </c>
      <c r="C77" s="20" t="e" cm="1">
        <f t="array" aca="1" ref="C77" ca="1">[1]!s_dq_close($B$1,$A77,3)</f>
        <v>#NAME?</v>
      </c>
    </row>
    <row r="78" spans="1:3" ht="18">
      <c r="A78" s="21">
        <f t="shared" ca="1" si="1"/>
        <v>45692</v>
      </c>
      <c r="B78" s="19" t="e" cm="1">
        <f t="array" aca="1" ref="B78" ca="1">[1]!s_west_netprofit($B$1,2026,$A78,180,1000000)</f>
        <v>#NAME?</v>
      </c>
      <c r="C78" s="20" t="e" cm="1">
        <f t="array" aca="1" ref="C78" ca="1">[1]!s_dq_close($B$1,$A78,3)</f>
        <v>#NAME?</v>
      </c>
    </row>
    <row r="79" spans="1:3" ht="18">
      <c r="A79" s="21">
        <f t="shared" ca="1" si="1"/>
        <v>45685</v>
      </c>
      <c r="B79" s="19" t="e" cm="1">
        <f t="array" aca="1" ref="B79" ca="1">[1]!s_west_netprofit($B$1,2026,$A79,180,1000000)</f>
        <v>#NAME?</v>
      </c>
      <c r="C79" s="20" t="e" cm="1">
        <f t="array" aca="1" ref="C79" ca="1">[1]!s_dq_close($B$1,$A79,3)</f>
        <v>#NAME?</v>
      </c>
    </row>
    <row r="80" spans="1:3" ht="18">
      <c r="A80" s="21">
        <f t="shared" ca="1" si="1"/>
        <v>45678</v>
      </c>
      <c r="B80" s="19" t="e" cm="1">
        <f t="array" aca="1" ref="B80" ca="1">[1]!s_west_netprofit($B$1,2026,$A80,180,1000000)</f>
        <v>#NAME?</v>
      </c>
      <c r="C80" s="20" t="e" cm="1">
        <f t="array" aca="1" ref="C80" ca="1">[1]!s_dq_close($B$1,$A80,3)</f>
        <v>#NAME?</v>
      </c>
    </row>
    <row r="81" spans="1:3" ht="18">
      <c r="A81" s="21">
        <f t="shared" ca="1" si="1"/>
        <v>45671</v>
      </c>
      <c r="B81" s="19" t="e" cm="1">
        <f t="array" aca="1" ref="B81" ca="1">[1]!s_west_netprofit($B$1,2026,$A81,180,1000000)</f>
        <v>#NAME?</v>
      </c>
      <c r="C81" s="20" t="e" cm="1">
        <f t="array" aca="1" ref="C81" ca="1">[1]!s_dq_close($B$1,$A81,3)</f>
        <v>#NAME?</v>
      </c>
    </row>
    <row r="82" spans="1:3" ht="18">
      <c r="A82" s="21">
        <f t="shared" ca="1" si="1"/>
        <v>45664</v>
      </c>
      <c r="B82" s="19" t="e" cm="1">
        <f t="array" aca="1" ref="B82" ca="1">[1]!s_west_netprofit($B$1,2026,$A82,180,1000000)</f>
        <v>#NAME?</v>
      </c>
      <c r="C82" s="20" t="e" cm="1">
        <f t="array" aca="1" ref="C82" ca="1">[1]!s_dq_close($B$1,$A82,3)</f>
        <v>#NAME?</v>
      </c>
    </row>
    <row r="83" spans="1:3" ht="18">
      <c r="A83" s="21">
        <f t="shared" ca="1" si="1"/>
        <v>45657</v>
      </c>
      <c r="B83" s="19" t="e" cm="1">
        <f t="array" aca="1" ref="B83" ca="1">[1]!s_west_netprofit($B$1,2026,$A83,180,1000000)</f>
        <v>#NAME?</v>
      </c>
      <c r="C83" s="20" t="e" cm="1">
        <f t="array" aca="1" ref="C83" ca="1">[1]!s_dq_close($B$1,$A83,3)</f>
        <v>#NAME?</v>
      </c>
    </row>
    <row r="84" spans="1:3" ht="18">
      <c r="A84" s="21">
        <f t="shared" ca="1" si="1"/>
        <v>45650</v>
      </c>
      <c r="B84" s="19" t="e" cm="1">
        <f t="array" aca="1" ref="B84" ca="1">[1]!s_west_netprofit($B$1,2026,$A84,180,1000000)</f>
        <v>#NAME?</v>
      </c>
      <c r="C84" s="20" t="e" cm="1">
        <f t="array" aca="1" ref="C84" ca="1">[1]!s_dq_close($B$1,$A84,3)</f>
        <v>#NAME?</v>
      </c>
    </row>
    <row r="85" spans="1:3" ht="18">
      <c r="A85" s="21">
        <f t="shared" ca="1" si="1"/>
        <v>45643</v>
      </c>
      <c r="B85" s="19" t="e" cm="1">
        <f t="array" aca="1" ref="B85" ca="1">[1]!s_west_netprofit($B$1,2026,$A85,180,1000000)</f>
        <v>#NAME?</v>
      </c>
      <c r="C85" s="20" t="e" cm="1">
        <f t="array" aca="1" ref="C85" ca="1">[1]!s_dq_close($B$1,$A85,3)</f>
        <v>#NAME?</v>
      </c>
    </row>
    <row r="86" spans="1:3" ht="18">
      <c r="A86" s="21">
        <f t="shared" ca="1" si="1"/>
        <v>45636</v>
      </c>
      <c r="B86" s="19" t="e" cm="1">
        <f t="array" aca="1" ref="B86" ca="1">[1]!s_west_netprofit($B$1,2026,$A86,180,1000000)</f>
        <v>#NAME?</v>
      </c>
      <c r="C86" s="20" t="e" cm="1">
        <f t="array" aca="1" ref="C86" ca="1">[1]!s_dq_close($B$1,$A86,3)</f>
        <v>#NAME?</v>
      </c>
    </row>
    <row r="87" spans="1:3" ht="18">
      <c r="A87" s="21">
        <f t="shared" ca="1" si="1"/>
        <v>45629</v>
      </c>
      <c r="B87" s="19" t="e" cm="1">
        <f t="array" aca="1" ref="B87" ca="1">[1]!s_west_netprofit($B$1,2026,$A87,180,1000000)</f>
        <v>#NAME?</v>
      </c>
      <c r="C87" s="20" t="e" cm="1">
        <f t="array" aca="1" ref="C87" ca="1">[1]!s_dq_close($B$1,$A87,3)</f>
        <v>#NAME?</v>
      </c>
    </row>
    <row r="88" spans="1:3" ht="18">
      <c r="A88" s="21">
        <f t="shared" ca="1" si="1"/>
        <v>45622</v>
      </c>
      <c r="B88" s="19" t="e" cm="1">
        <f t="array" aca="1" ref="B88" ca="1">[1]!s_west_netprofit($B$1,2026,$A88,180,1000000)</f>
        <v>#NAME?</v>
      </c>
      <c r="C88" s="20" t="e" cm="1">
        <f t="array" aca="1" ref="C88" ca="1">[1]!s_dq_close($B$1,$A88,3)</f>
        <v>#NAME?</v>
      </c>
    </row>
    <row r="89" spans="1:3" ht="18">
      <c r="A89" s="21">
        <f t="shared" ca="1" si="1"/>
        <v>45615</v>
      </c>
      <c r="B89" s="19" t="e" cm="1">
        <f t="array" aca="1" ref="B89" ca="1">[1]!s_west_netprofit($B$1,2026,$A89,180,1000000)</f>
        <v>#NAME?</v>
      </c>
      <c r="C89" s="20" t="e" cm="1">
        <f t="array" aca="1" ref="C89" ca="1">[1]!s_dq_close($B$1,$A89,3)</f>
        <v>#NAME?</v>
      </c>
    </row>
    <row r="90" spans="1:3" ht="18">
      <c r="A90" s="21">
        <f t="shared" ca="1" si="1"/>
        <v>45608</v>
      </c>
      <c r="B90" s="19" t="e" cm="1">
        <f t="array" aca="1" ref="B90" ca="1">[1]!s_west_netprofit($B$1,2026,$A90,180,1000000)</f>
        <v>#NAME?</v>
      </c>
      <c r="C90" s="20" t="e" cm="1">
        <f t="array" aca="1" ref="C90" ca="1">[1]!s_dq_close($B$1,$A90,3)</f>
        <v>#NAME?</v>
      </c>
    </row>
    <row r="91" spans="1:3" ht="18">
      <c r="A91" s="21">
        <f t="shared" ca="1" si="1"/>
        <v>45601</v>
      </c>
      <c r="B91" s="19" t="e" cm="1">
        <f t="array" aca="1" ref="B91" ca="1">[1]!s_west_netprofit($B$1,2026,$A91,180,1000000)</f>
        <v>#NAME?</v>
      </c>
      <c r="C91" s="20" t="e" cm="1">
        <f t="array" aca="1" ref="C91" ca="1">[1]!s_dq_close($B$1,$A91,3)</f>
        <v>#NAME?</v>
      </c>
    </row>
    <row r="92" spans="1:3" ht="18">
      <c r="A92" s="21">
        <f t="shared" ca="1" si="1"/>
        <v>45594</v>
      </c>
      <c r="B92" s="19" t="e" cm="1">
        <f t="array" aca="1" ref="B92" ca="1">[1]!s_west_netprofit($B$1,2026,$A92,180,1000000)</f>
        <v>#NAME?</v>
      </c>
      <c r="C92" s="20" t="e" cm="1">
        <f t="array" aca="1" ref="C92" ca="1">[1]!s_dq_close($B$1,$A92,3)</f>
        <v>#NAME?</v>
      </c>
    </row>
    <row r="93" spans="1:3" ht="18">
      <c r="A93" s="21">
        <f t="shared" ca="1" si="1"/>
        <v>45587</v>
      </c>
      <c r="B93" s="19" t="e" cm="1">
        <f t="array" aca="1" ref="B93" ca="1">[1]!s_west_netprofit($B$1,2026,$A93,180,1000000)</f>
        <v>#NAME?</v>
      </c>
      <c r="C93" s="20" t="e" cm="1">
        <f t="array" aca="1" ref="C93" ca="1">[1]!s_dq_close($B$1,$A93,3)</f>
        <v>#NAME?</v>
      </c>
    </row>
    <row r="94" spans="1:3" ht="18">
      <c r="A94" s="21">
        <f t="shared" ca="1" si="1"/>
        <v>45580</v>
      </c>
      <c r="B94" s="19" t="e" cm="1">
        <f t="array" aca="1" ref="B94" ca="1">[1]!s_west_netprofit($B$1,2026,$A94,180,1000000)</f>
        <v>#NAME?</v>
      </c>
      <c r="C94" s="20" t="e" cm="1">
        <f t="array" aca="1" ref="C94" ca="1">[1]!s_dq_close($B$1,$A94,3)</f>
        <v>#NAME?</v>
      </c>
    </row>
    <row r="95" spans="1:3" ht="18">
      <c r="A95" s="21">
        <f t="shared" ca="1" si="1"/>
        <v>45573</v>
      </c>
      <c r="B95" s="19" t="e" cm="1">
        <f t="array" aca="1" ref="B95" ca="1">[1]!s_west_netprofit($B$1,2026,$A95,180,1000000)</f>
        <v>#NAME?</v>
      </c>
      <c r="C95" s="20" t="e" cm="1">
        <f t="array" aca="1" ref="C95" ca="1">[1]!s_dq_close($B$1,$A95,3)</f>
        <v>#NAME?</v>
      </c>
    </row>
    <row r="96" spans="1:3" ht="18">
      <c r="A96" s="21">
        <f t="shared" ca="1" si="1"/>
        <v>45566</v>
      </c>
      <c r="B96" s="19" t="e" cm="1">
        <f t="array" aca="1" ref="B96" ca="1">[1]!s_west_netprofit($B$1,2026,$A96,180,1000000)</f>
        <v>#NAME?</v>
      </c>
      <c r="C96" s="20" t="e" cm="1">
        <f t="array" aca="1" ref="C96" ca="1">[1]!s_dq_close($B$1,$A96,3)</f>
        <v>#NAME?</v>
      </c>
    </row>
    <row r="97" spans="1:3" ht="18">
      <c r="A97" s="21">
        <f t="shared" ca="1" si="1"/>
        <v>45559</v>
      </c>
      <c r="B97" s="19" t="e" cm="1">
        <f t="array" aca="1" ref="B97" ca="1">[1]!s_west_netprofit($B$1,2026,$A97,180,1000000)</f>
        <v>#NAME?</v>
      </c>
      <c r="C97" s="20" t="e" cm="1">
        <f t="array" aca="1" ref="C97" ca="1">[1]!s_dq_close($B$1,$A97,3)</f>
        <v>#NAME?</v>
      </c>
    </row>
    <row r="98" spans="1:3" ht="18">
      <c r="A98" s="21">
        <f t="shared" ca="1" si="1"/>
        <v>45552</v>
      </c>
      <c r="B98" s="19" t="e" cm="1">
        <f t="array" aca="1" ref="B98" ca="1">[1]!s_west_netprofit($B$1,2026,$A98,180,1000000)</f>
        <v>#NAME?</v>
      </c>
      <c r="C98" s="20" t="e" cm="1">
        <f t="array" aca="1" ref="C98" ca="1">[1]!s_dq_close($B$1,$A98,3)</f>
        <v>#NAME?</v>
      </c>
    </row>
    <row r="99" spans="1:3" ht="19" thickBot="1">
      <c r="A99" s="22">
        <f t="shared" ca="1" si="1"/>
        <v>45545</v>
      </c>
      <c r="B99" s="23" t="e" cm="1">
        <f t="array" aca="1" ref="B99" ca="1">[1]!s_west_netprofit($B$1,2026,$A99,180,1000000)</f>
        <v>#NAME?</v>
      </c>
      <c r="C99" s="24" t="e" cm="1">
        <f t="array" aca="1" ref="C99" ca="1">[1]!s_dq_close($B$1,$A99,3)</f>
        <v>#NAME?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9A770-C425-FF44-A255-80901BB33892}">
  <dimension ref="A1:D99"/>
  <sheetViews>
    <sheetView workbookViewId="0">
      <selection sqref="A1:XFD1048576"/>
    </sheetView>
  </sheetViews>
  <sheetFormatPr baseColWidth="10" defaultColWidth="9.1640625" defaultRowHeight="16"/>
  <cols>
    <col min="1" max="1" width="36.33203125" customWidth="1"/>
    <col min="2" max="2" width="26" customWidth="1"/>
    <col min="3" max="3" width="40" customWidth="1"/>
    <col min="4" max="4" width="11" bestFit="1" customWidth="1"/>
  </cols>
  <sheetData>
    <row r="1" spans="1:4" ht="17" thickBot="1">
      <c r="A1" t="e">
        <f ca="1">[1]!S_INFO_NAME($B$1)</f>
        <v>#NAME?</v>
      </c>
      <c r="B1" s="1"/>
      <c r="C1" t="s">
        <v>0</v>
      </c>
      <c r="D1" s="2">
        <f ca="1">TODAY()</f>
        <v>46161</v>
      </c>
    </row>
    <row r="2" spans="1:4" s="6" customFormat="1" ht="18">
      <c r="A2" s="3" t="s">
        <v>4</v>
      </c>
      <c r="B2" s="4">
        <v>2025</v>
      </c>
      <c r="C2" s="5">
        <v>2026</v>
      </c>
    </row>
    <row r="3" spans="1:4" s="6" customFormat="1" ht="18">
      <c r="A3" s="7" t="s">
        <v>5</v>
      </c>
      <c r="B3" s="8" t="e">
        <f ca="1">[1]!s_west_instnum_np($B$1,2025,$D$1,180)</f>
        <v>#NAME?</v>
      </c>
      <c r="C3" s="9" t="e">
        <f ca="1">[1]!s_west_instnum_np($B$1,2026,$D$1,180)</f>
        <v>#NAME?</v>
      </c>
    </row>
    <row r="4" spans="1:4" s="6" customFormat="1" ht="18">
      <c r="A4" s="7" t="s">
        <v>2</v>
      </c>
      <c r="B4" s="10" t="e">
        <f ca="1">[1]!s_west_instnum_np($A$1,2025,$D$1,180)</f>
        <v>#NAME?</v>
      </c>
      <c r="C4" s="11" t="e">
        <f ca="1">[1]!s_west_netprofit($B$1,2026,$D$1,180,1000000)</f>
        <v>#NAME?</v>
      </c>
    </row>
    <row r="5" spans="1:4" s="6" customFormat="1" ht="18">
      <c r="A5" s="7" t="s">
        <v>6</v>
      </c>
      <c r="B5" s="10" t="e">
        <f ca="1">[1]!s_west_maxnetprofit($B$1,2025,$D$1,180,1000000)</f>
        <v>#NAME?</v>
      </c>
      <c r="C5" s="11" t="e">
        <f ca="1">[1]!s_west_maxnetprofit($B$1,2026,$D$1,180,1000000)</f>
        <v>#NAME?</v>
      </c>
    </row>
    <row r="6" spans="1:4" s="6" customFormat="1" ht="18">
      <c r="A6" s="7" t="s">
        <v>7</v>
      </c>
      <c r="B6" s="10" t="e">
        <f ca="1">[1]!s_west_minnetprofit($B$1,2025,$D$1,180,1000000)</f>
        <v>#NAME?</v>
      </c>
      <c r="C6" s="11" t="e">
        <f ca="1">[1]!s_west_minnetprofit($B$1,2026,$D$1,180,1000000)</f>
        <v>#NAME?</v>
      </c>
    </row>
    <row r="7" spans="1:4" s="6" customFormat="1" ht="18">
      <c r="A7" s="7" t="s">
        <v>8</v>
      </c>
      <c r="B7" s="10" t="e">
        <f ca="1">[1]!s_west_mediannetprofit($B$1,2025,$D$1,180,1000000)</f>
        <v>#NAME?</v>
      </c>
      <c r="C7" s="11" t="e">
        <f ca="1">[1]!s_west_mediannetprofit($B$1,2026,$D$1,180,1000000)</f>
        <v>#NAME?</v>
      </c>
    </row>
    <row r="8" spans="1:4" s="6" customFormat="1" ht="19" thickBot="1">
      <c r="A8" s="12" t="s">
        <v>9</v>
      </c>
      <c r="B8" s="13" t="e">
        <f ca="1">[1]!s_west_stdnetprofit($B$1,2025,$D$1,180,1000000)</f>
        <v>#NAME?</v>
      </c>
      <c r="C8" s="14" t="e">
        <f ca="1">[1]!s_west_stdnetprofit($B$1,2026,$D$1,180,1000000)</f>
        <v>#NAME?</v>
      </c>
    </row>
    <row r="10" spans="1:4">
      <c r="A10" s="15" t="s">
        <v>1</v>
      </c>
      <c r="B10" s="16" t="s">
        <v>2</v>
      </c>
      <c r="C10" s="17" t="s">
        <v>3</v>
      </c>
    </row>
    <row r="11" spans="1:4" ht="18">
      <c r="A11" s="18">
        <f ca="1">TODAY()-IF(WEEKDAY(TODAY(),2)=6,1,IF(WEEKDAY(TODAY(),2)=7,2,0))</f>
        <v>46161</v>
      </c>
      <c r="B11" s="19" t="e" cm="1">
        <f t="array" aca="1" ref="B11" ca="1">[1]!s_west_netprofit($B$1,2026,$A11,180,1000000)</f>
        <v>#NAME?</v>
      </c>
      <c r="C11" s="20" t="e" cm="1">
        <f t="array" aca="1" ref="C11" ca="1">[1]!s_dq_close($B$1,$A11,3)</f>
        <v>#NAME?</v>
      </c>
    </row>
    <row r="12" spans="1:4" ht="18">
      <c r="A12" s="21">
        <f t="shared" ref="A12:A75" ca="1" si="0">A11-7</f>
        <v>46154</v>
      </c>
      <c r="B12" s="19" t="e" cm="1">
        <f t="array" aca="1" ref="B12" ca="1">[1]!s_west_netprofit($B$1,2026,$A12,180,1000000)</f>
        <v>#NAME?</v>
      </c>
      <c r="C12" s="20" t="e" cm="1">
        <f t="array" aca="1" ref="C12" ca="1">[1]!s_dq_close($B$1,$A12,3)</f>
        <v>#NAME?</v>
      </c>
    </row>
    <row r="13" spans="1:4" ht="18">
      <c r="A13" s="21">
        <f t="shared" ca="1" si="0"/>
        <v>46147</v>
      </c>
      <c r="B13" s="19" t="e" cm="1">
        <f t="array" aca="1" ref="B13" ca="1">[1]!s_west_netprofit($B$1,2026,$A13,180,1000000)</f>
        <v>#NAME?</v>
      </c>
      <c r="C13" s="20" t="e" cm="1">
        <f t="array" aca="1" ref="C13" ca="1">[1]!s_dq_close($B$1,$A13,3)</f>
        <v>#NAME?</v>
      </c>
    </row>
    <row r="14" spans="1:4" ht="18">
      <c r="A14" s="21">
        <f t="shared" ca="1" si="0"/>
        <v>46140</v>
      </c>
      <c r="B14" s="19" t="e" cm="1">
        <f t="array" aca="1" ref="B14" ca="1">[1]!s_west_netprofit($B$1,2026,$A14,180,1000000)</f>
        <v>#NAME?</v>
      </c>
      <c r="C14" s="20" t="e" cm="1">
        <f t="array" aca="1" ref="C14" ca="1">[1]!s_dq_close($B$1,$A14,3)</f>
        <v>#NAME?</v>
      </c>
    </row>
    <row r="15" spans="1:4" ht="18">
      <c r="A15" s="21">
        <f t="shared" ca="1" si="0"/>
        <v>46133</v>
      </c>
      <c r="B15" s="19" t="e" cm="1">
        <f t="array" aca="1" ref="B15" ca="1">[1]!s_west_netprofit($B$1,2026,$A15,180,1000000)</f>
        <v>#NAME?</v>
      </c>
      <c r="C15" s="20" t="e" cm="1">
        <f t="array" aca="1" ref="C15" ca="1">[1]!s_dq_close($B$1,$A15,3)</f>
        <v>#NAME?</v>
      </c>
    </row>
    <row r="16" spans="1:4" ht="18">
      <c r="A16" s="21">
        <f t="shared" ca="1" si="0"/>
        <v>46126</v>
      </c>
      <c r="B16" s="19" t="e" cm="1">
        <f t="array" aca="1" ref="B16" ca="1">[1]!s_west_netprofit($B$1,2026,$A16,180,1000000)</f>
        <v>#NAME?</v>
      </c>
      <c r="C16" s="20" t="e" cm="1">
        <f t="array" aca="1" ref="C16" ca="1">[1]!s_dq_close($B$1,$A16,3)</f>
        <v>#NAME?</v>
      </c>
    </row>
    <row r="17" spans="1:3" ht="18">
      <c r="A17" s="21">
        <f t="shared" ca="1" si="0"/>
        <v>46119</v>
      </c>
      <c r="B17" s="19" t="e" cm="1">
        <f t="array" aca="1" ref="B17" ca="1">[1]!s_west_netprofit($B$1,2026,$A17,180,1000000)</f>
        <v>#NAME?</v>
      </c>
      <c r="C17" s="20" t="e" cm="1">
        <f t="array" aca="1" ref="C17" ca="1">[1]!s_dq_close($B$1,$A17,3)</f>
        <v>#NAME?</v>
      </c>
    </row>
    <row r="18" spans="1:3" ht="18">
      <c r="A18" s="21">
        <f t="shared" ca="1" si="0"/>
        <v>46112</v>
      </c>
      <c r="B18" s="19" t="e" cm="1">
        <f t="array" aca="1" ref="B18" ca="1">[1]!s_west_netprofit($B$1,2026,$A18,180,1000000)</f>
        <v>#NAME?</v>
      </c>
      <c r="C18" s="20" t="e" cm="1">
        <f t="array" aca="1" ref="C18" ca="1">[1]!s_dq_close($B$1,$A18,3)</f>
        <v>#NAME?</v>
      </c>
    </row>
    <row r="19" spans="1:3" ht="18">
      <c r="A19" s="21">
        <f t="shared" ca="1" si="0"/>
        <v>46105</v>
      </c>
      <c r="B19" s="19" t="e" cm="1">
        <f t="array" aca="1" ref="B19" ca="1">[1]!s_west_netprofit($B$1,2026,$A19,180,1000000)</f>
        <v>#NAME?</v>
      </c>
      <c r="C19" s="20" t="e" cm="1">
        <f t="array" aca="1" ref="C19" ca="1">[1]!s_dq_close($B$1,$A19,3)</f>
        <v>#NAME?</v>
      </c>
    </row>
    <row r="20" spans="1:3" ht="18">
      <c r="A20" s="21">
        <f t="shared" ca="1" si="0"/>
        <v>46098</v>
      </c>
      <c r="B20" s="19" t="e" cm="1">
        <f t="array" aca="1" ref="B20" ca="1">[1]!s_west_netprofit($B$1,2026,$A20,180,1000000)</f>
        <v>#NAME?</v>
      </c>
      <c r="C20" s="20" t="e" cm="1">
        <f t="array" aca="1" ref="C20" ca="1">[1]!s_dq_close($B$1,$A20,3)</f>
        <v>#NAME?</v>
      </c>
    </row>
    <row r="21" spans="1:3" ht="18">
      <c r="A21" s="21">
        <f t="shared" ca="1" si="0"/>
        <v>46091</v>
      </c>
      <c r="B21" s="19" t="e" cm="1">
        <f t="array" aca="1" ref="B21" ca="1">[1]!s_west_netprofit($B$1,2026,$A21,180,1000000)</f>
        <v>#NAME?</v>
      </c>
      <c r="C21" s="20" t="e" cm="1">
        <f t="array" aca="1" ref="C21" ca="1">[1]!s_dq_close($B$1,$A21,3)</f>
        <v>#NAME?</v>
      </c>
    </row>
    <row r="22" spans="1:3" ht="18">
      <c r="A22" s="21">
        <f t="shared" ca="1" si="0"/>
        <v>46084</v>
      </c>
      <c r="B22" s="19" t="e" cm="1">
        <f t="array" aca="1" ref="B22" ca="1">[1]!s_west_netprofit($B$1,2026,$A22,180,1000000)</f>
        <v>#NAME?</v>
      </c>
      <c r="C22" s="20" t="e" cm="1">
        <f t="array" aca="1" ref="C22" ca="1">[1]!s_dq_close($B$1,$A22,3)</f>
        <v>#NAME?</v>
      </c>
    </row>
    <row r="23" spans="1:3" ht="18">
      <c r="A23" s="21">
        <f t="shared" ca="1" si="0"/>
        <v>46077</v>
      </c>
      <c r="B23" s="19" t="e" cm="1">
        <f t="array" aca="1" ref="B23" ca="1">[1]!s_west_netprofit($B$1,2026,$A23,180,1000000)</f>
        <v>#NAME?</v>
      </c>
      <c r="C23" s="20" t="e" cm="1">
        <f t="array" aca="1" ref="C23" ca="1">[1]!s_dq_close($B$1,$A23,3)</f>
        <v>#NAME?</v>
      </c>
    </row>
    <row r="24" spans="1:3" ht="18">
      <c r="A24" s="21">
        <f t="shared" ca="1" si="0"/>
        <v>46070</v>
      </c>
      <c r="B24" s="19" t="e" cm="1">
        <f t="array" aca="1" ref="B24" ca="1">[1]!s_west_netprofit($B$1,2026,$A24,180,1000000)</f>
        <v>#NAME?</v>
      </c>
      <c r="C24" s="20" t="e" cm="1">
        <f t="array" aca="1" ref="C24" ca="1">[1]!s_dq_close($B$1,$A24,3)</f>
        <v>#NAME?</v>
      </c>
    </row>
    <row r="25" spans="1:3" ht="18">
      <c r="A25" s="21">
        <f t="shared" ca="1" si="0"/>
        <v>46063</v>
      </c>
      <c r="B25" s="19" t="e" cm="1">
        <f t="array" aca="1" ref="B25" ca="1">[1]!s_west_netprofit($B$1,2026,$A25,180,1000000)</f>
        <v>#NAME?</v>
      </c>
      <c r="C25" s="20" t="e" cm="1">
        <f t="array" aca="1" ref="C25" ca="1">[1]!s_dq_close($B$1,$A25,3)</f>
        <v>#NAME?</v>
      </c>
    </row>
    <row r="26" spans="1:3" ht="18">
      <c r="A26" s="21">
        <f t="shared" ca="1" si="0"/>
        <v>46056</v>
      </c>
      <c r="B26" s="19" t="e" cm="1">
        <f t="array" aca="1" ref="B26" ca="1">[1]!s_west_netprofit($B$1,2026,$A26,180,1000000)</f>
        <v>#NAME?</v>
      </c>
      <c r="C26" s="20" t="e" cm="1">
        <f t="array" aca="1" ref="C26" ca="1">[1]!s_dq_close($B$1,$A26,3)</f>
        <v>#NAME?</v>
      </c>
    </row>
    <row r="27" spans="1:3" ht="18">
      <c r="A27" s="21">
        <f t="shared" ca="1" si="0"/>
        <v>46049</v>
      </c>
      <c r="B27" s="19" t="e" cm="1">
        <f t="array" aca="1" ref="B27" ca="1">[1]!s_west_netprofit($B$1,2026,$A27,180,1000000)</f>
        <v>#NAME?</v>
      </c>
      <c r="C27" s="20" t="e" cm="1">
        <f t="array" aca="1" ref="C27" ca="1">[1]!s_dq_close($B$1,$A27,3)</f>
        <v>#NAME?</v>
      </c>
    </row>
    <row r="28" spans="1:3" ht="18">
      <c r="A28" s="21">
        <f t="shared" ca="1" si="0"/>
        <v>46042</v>
      </c>
      <c r="B28" s="19" t="e" cm="1">
        <f t="array" aca="1" ref="B28" ca="1">[1]!s_west_netprofit($B$1,2026,$A28,180,1000000)</f>
        <v>#NAME?</v>
      </c>
      <c r="C28" s="20" t="e" cm="1">
        <f t="array" aca="1" ref="C28" ca="1">[1]!s_dq_close($B$1,$A28,3)</f>
        <v>#NAME?</v>
      </c>
    </row>
    <row r="29" spans="1:3" ht="18">
      <c r="A29" s="21">
        <f t="shared" ca="1" si="0"/>
        <v>46035</v>
      </c>
      <c r="B29" s="19" t="e" cm="1">
        <f t="array" aca="1" ref="B29" ca="1">[1]!s_west_netprofit($B$1,2026,$A29,180,1000000)</f>
        <v>#NAME?</v>
      </c>
      <c r="C29" s="20" t="e" cm="1">
        <f t="array" aca="1" ref="C29" ca="1">[1]!s_dq_close($B$1,$A29,3)</f>
        <v>#NAME?</v>
      </c>
    </row>
    <row r="30" spans="1:3" ht="18">
      <c r="A30" s="21">
        <f t="shared" ca="1" si="0"/>
        <v>46028</v>
      </c>
      <c r="B30" s="19" t="e" cm="1">
        <f t="array" aca="1" ref="B30" ca="1">[1]!s_west_netprofit($B$1,2026,$A30,180,1000000)</f>
        <v>#NAME?</v>
      </c>
      <c r="C30" s="20" t="e" cm="1">
        <f t="array" aca="1" ref="C30" ca="1">[1]!s_dq_close($B$1,$A30,3)</f>
        <v>#NAME?</v>
      </c>
    </row>
    <row r="31" spans="1:3" ht="18">
      <c r="A31" s="21">
        <f t="shared" ca="1" si="0"/>
        <v>46021</v>
      </c>
      <c r="B31" s="19" t="e" cm="1">
        <f t="array" aca="1" ref="B31" ca="1">[1]!s_west_netprofit($B$1,2026,$A31,180,1000000)</f>
        <v>#NAME?</v>
      </c>
      <c r="C31" s="20" t="e" cm="1">
        <f t="array" aca="1" ref="C31" ca="1">[1]!s_dq_close($B$1,$A31,3)</f>
        <v>#NAME?</v>
      </c>
    </row>
    <row r="32" spans="1:3" ht="18">
      <c r="A32" s="21">
        <f t="shared" ca="1" si="0"/>
        <v>46014</v>
      </c>
      <c r="B32" s="19" t="e" cm="1">
        <f t="array" aca="1" ref="B32" ca="1">[1]!s_west_netprofit($B$1,2026,$A32,180,1000000)</f>
        <v>#NAME?</v>
      </c>
      <c r="C32" s="20" t="e" cm="1">
        <f t="array" aca="1" ref="C32" ca="1">[1]!s_dq_close($B$1,$A32,3)</f>
        <v>#NAME?</v>
      </c>
    </row>
    <row r="33" spans="1:3" ht="18">
      <c r="A33" s="21">
        <f t="shared" ca="1" si="0"/>
        <v>46007</v>
      </c>
      <c r="B33" s="19" t="e" cm="1">
        <f t="array" aca="1" ref="B33" ca="1">[1]!s_west_netprofit($B$1,2026,$A33,180,1000000)</f>
        <v>#NAME?</v>
      </c>
      <c r="C33" s="20" t="e" cm="1">
        <f t="array" aca="1" ref="C33" ca="1">[1]!s_dq_close($B$1,$A33,3)</f>
        <v>#NAME?</v>
      </c>
    </row>
    <row r="34" spans="1:3" ht="18">
      <c r="A34" s="21">
        <f t="shared" ca="1" si="0"/>
        <v>46000</v>
      </c>
      <c r="B34" s="19" t="e" cm="1">
        <f t="array" aca="1" ref="B34" ca="1">[1]!s_west_netprofit($B$1,2026,$A34,180,1000000)</f>
        <v>#NAME?</v>
      </c>
      <c r="C34" s="20" t="e" cm="1">
        <f t="array" aca="1" ref="C34" ca="1">[1]!s_dq_close($B$1,$A34,3)</f>
        <v>#NAME?</v>
      </c>
    </row>
    <row r="35" spans="1:3" ht="18">
      <c r="A35" s="21">
        <f t="shared" ca="1" si="0"/>
        <v>45993</v>
      </c>
      <c r="B35" s="19" t="e" cm="1">
        <f t="array" aca="1" ref="B35" ca="1">[1]!s_west_netprofit($B$1,2026,$A35,180,1000000)</f>
        <v>#NAME?</v>
      </c>
      <c r="C35" s="20" t="e" cm="1">
        <f t="array" aca="1" ref="C35" ca="1">[1]!s_dq_close($B$1,$A35,3)</f>
        <v>#NAME?</v>
      </c>
    </row>
    <row r="36" spans="1:3" ht="18">
      <c r="A36" s="21">
        <f t="shared" ca="1" si="0"/>
        <v>45986</v>
      </c>
      <c r="B36" s="19" t="e" cm="1">
        <f t="array" aca="1" ref="B36" ca="1">[1]!s_west_netprofit($B$1,2026,$A36,180,1000000)</f>
        <v>#NAME?</v>
      </c>
      <c r="C36" s="20" t="e" cm="1">
        <f t="array" aca="1" ref="C36" ca="1">[1]!s_dq_close($B$1,$A36,3)</f>
        <v>#NAME?</v>
      </c>
    </row>
    <row r="37" spans="1:3" ht="18">
      <c r="A37" s="21">
        <f t="shared" ca="1" si="0"/>
        <v>45979</v>
      </c>
      <c r="B37" s="19" t="e" cm="1">
        <f t="array" aca="1" ref="B37" ca="1">[1]!s_west_netprofit($B$1,2026,$A37,180,1000000)</f>
        <v>#NAME?</v>
      </c>
      <c r="C37" s="20" t="e" cm="1">
        <f t="array" aca="1" ref="C37" ca="1">[1]!s_dq_close($B$1,$A37,3)</f>
        <v>#NAME?</v>
      </c>
    </row>
    <row r="38" spans="1:3" ht="18">
      <c r="A38" s="21">
        <f t="shared" ca="1" si="0"/>
        <v>45972</v>
      </c>
      <c r="B38" s="19" t="e" cm="1">
        <f t="array" aca="1" ref="B38" ca="1">[1]!s_west_netprofit($B$1,2026,$A38,180,1000000)</f>
        <v>#NAME?</v>
      </c>
      <c r="C38" s="20" t="e" cm="1">
        <f t="array" aca="1" ref="C38" ca="1">[1]!s_dq_close($B$1,$A38,3)</f>
        <v>#NAME?</v>
      </c>
    </row>
    <row r="39" spans="1:3" ht="18">
      <c r="A39" s="21">
        <f t="shared" ca="1" si="0"/>
        <v>45965</v>
      </c>
      <c r="B39" s="19" t="e" cm="1">
        <f t="array" aca="1" ref="B39" ca="1">[1]!s_west_netprofit($B$1,2026,$A39,180,1000000)</f>
        <v>#NAME?</v>
      </c>
      <c r="C39" s="20" t="e" cm="1">
        <f t="array" aca="1" ref="C39" ca="1">[1]!s_dq_close($B$1,$A39,3)</f>
        <v>#NAME?</v>
      </c>
    </row>
    <row r="40" spans="1:3" ht="18">
      <c r="A40" s="21">
        <f t="shared" ca="1" si="0"/>
        <v>45958</v>
      </c>
      <c r="B40" s="19" t="e" cm="1">
        <f t="array" aca="1" ref="B40" ca="1">[1]!s_west_netprofit($B$1,2026,$A40,180,1000000)</f>
        <v>#NAME?</v>
      </c>
      <c r="C40" s="20" t="e" cm="1">
        <f t="array" aca="1" ref="C40" ca="1">[1]!s_dq_close($B$1,$A40,3)</f>
        <v>#NAME?</v>
      </c>
    </row>
    <row r="41" spans="1:3" ht="18">
      <c r="A41" s="21">
        <f t="shared" ca="1" si="0"/>
        <v>45951</v>
      </c>
      <c r="B41" s="19" t="e" cm="1">
        <f t="array" aca="1" ref="B41" ca="1">[1]!s_west_netprofit($B$1,2026,$A41,180,1000000)</f>
        <v>#NAME?</v>
      </c>
      <c r="C41" s="20" t="e" cm="1">
        <f t="array" aca="1" ref="C41" ca="1">[1]!s_dq_close($B$1,$A41,3)</f>
        <v>#NAME?</v>
      </c>
    </row>
    <row r="42" spans="1:3" ht="18">
      <c r="A42" s="21">
        <f t="shared" ca="1" si="0"/>
        <v>45944</v>
      </c>
      <c r="B42" s="19" t="e" cm="1">
        <f t="array" aca="1" ref="B42" ca="1">[1]!s_west_netprofit($B$1,2026,$A42,180,1000000)</f>
        <v>#NAME?</v>
      </c>
      <c r="C42" s="20" t="e" cm="1">
        <f t="array" aca="1" ref="C42" ca="1">[1]!s_dq_close($B$1,$A42,3)</f>
        <v>#NAME?</v>
      </c>
    </row>
    <row r="43" spans="1:3" ht="18">
      <c r="A43" s="21">
        <f t="shared" ca="1" si="0"/>
        <v>45937</v>
      </c>
      <c r="B43" s="19" t="e" cm="1">
        <f t="array" aca="1" ref="B43" ca="1">[1]!s_west_netprofit($B$1,2026,$A43,180,1000000)</f>
        <v>#NAME?</v>
      </c>
      <c r="C43" s="20" t="e" cm="1">
        <f t="array" aca="1" ref="C43" ca="1">[1]!s_dq_close($B$1,$A43,3)</f>
        <v>#NAME?</v>
      </c>
    </row>
    <row r="44" spans="1:3" ht="18">
      <c r="A44" s="21">
        <f t="shared" ca="1" si="0"/>
        <v>45930</v>
      </c>
      <c r="B44" s="19" t="e" cm="1">
        <f t="array" aca="1" ref="B44" ca="1">[1]!s_west_netprofit($B$1,2026,$A44,180,1000000)</f>
        <v>#NAME?</v>
      </c>
      <c r="C44" s="20" t="e" cm="1">
        <f t="array" aca="1" ref="C44" ca="1">[1]!s_dq_close($B$1,$A44,3)</f>
        <v>#NAME?</v>
      </c>
    </row>
    <row r="45" spans="1:3" ht="18">
      <c r="A45" s="21">
        <f t="shared" ca="1" si="0"/>
        <v>45923</v>
      </c>
      <c r="B45" s="19" t="e" cm="1">
        <f t="array" aca="1" ref="B45" ca="1">[1]!s_west_netprofit($B$1,2026,$A45,180,1000000)</f>
        <v>#NAME?</v>
      </c>
      <c r="C45" s="20" t="e" cm="1">
        <f t="array" aca="1" ref="C45" ca="1">[1]!s_dq_close($B$1,$A45,3)</f>
        <v>#NAME?</v>
      </c>
    </row>
    <row r="46" spans="1:3" ht="18">
      <c r="A46" s="21">
        <f t="shared" ca="1" si="0"/>
        <v>45916</v>
      </c>
      <c r="B46" s="19" t="e" cm="1">
        <f t="array" aca="1" ref="B46" ca="1">[1]!s_west_netprofit($B$1,2026,$A46,180,1000000)</f>
        <v>#NAME?</v>
      </c>
      <c r="C46" s="20" t="e" cm="1">
        <f t="array" aca="1" ref="C46" ca="1">[1]!s_dq_close($B$1,$A46,3)</f>
        <v>#NAME?</v>
      </c>
    </row>
    <row r="47" spans="1:3" ht="18">
      <c r="A47" s="21">
        <f t="shared" ca="1" si="0"/>
        <v>45909</v>
      </c>
      <c r="B47" s="19" t="e" cm="1">
        <f t="array" aca="1" ref="B47" ca="1">[1]!s_west_netprofit($B$1,2026,$A47,180,1000000)</f>
        <v>#NAME?</v>
      </c>
      <c r="C47" s="20" t="e" cm="1">
        <f t="array" aca="1" ref="C47" ca="1">[1]!s_dq_close($B$1,$A47,3)</f>
        <v>#NAME?</v>
      </c>
    </row>
    <row r="48" spans="1:3" ht="18">
      <c r="A48" s="21">
        <f t="shared" ca="1" si="0"/>
        <v>45902</v>
      </c>
      <c r="B48" s="19" t="e" cm="1">
        <f t="array" aca="1" ref="B48" ca="1">[1]!s_west_netprofit($B$1,2026,$A48,180,1000000)</f>
        <v>#NAME?</v>
      </c>
      <c r="C48" s="20" t="e" cm="1">
        <f t="array" aca="1" ref="C48" ca="1">[1]!s_dq_close($B$1,$A48,3)</f>
        <v>#NAME?</v>
      </c>
    </row>
    <row r="49" spans="1:3" ht="18">
      <c r="A49" s="21">
        <f t="shared" ca="1" si="0"/>
        <v>45895</v>
      </c>
      <c r="B49" s="19" t="e" cm="1">
        <f t="array" aca="1" ref="B49" ca="1">[1]!s_west_netprofit($B$1,2026,$A49,180,1000000)</f>
        <v>#NAME?</v>
      </c>
      <c r="C49" s="20" t="e" cm="1">
        <f t="array" aca="1" ref="C49" ca="1">[1]!s_dq_close($B$1,$A49,3)</f>
        <v>#NAME?</v>
      </c>
    </row>
    <row r="50" spans="1:3" ht="18">
      <c r="A50" s="21">
        <f t="shared" ca="1" si="0"/>
        <v>45888</v>
      </c>
      <c r="B50" s="19" t="e" cm="1">
        <f t="array" aca="1" ref="B50" ca="1">[1]!s_west_netprofit($B$1,2026,$A50,180,1000000)</f>
        <v>#NAME?</v>
      </c>
      <c r="C50" s="20" t="e" cm="1">
        <f t="array" aca="1" ref="C50" ca="1">[1]!s_dq_close($B$1,$A50,3)</f>
        <v>#NAME?</v>
      </c>
    </row>
    <row r="51" spans="1:3" ht="18">
      <c r="A51" s="21">
        <f t="shared" ca="1" si="0"/>
        <v>45881</v>
      </c>
      <c r="B51" s="19" t="e" cm="1">
        <f t="array" aca="1" ref="B51" ca="1">[1]!s_west_netprofit($B$1,2026,$A51,180,1000000)</f>
        <v>#NAME?</v>
      </c>
      <c r="C51" s="20" t="e" cm="1">
        <f t="array" aca="1" ref="C51" ca="1">[1]!s_dq_close($B$1,$A51,3)</f>
        <v>#NAME?</v>
      </c>
    </row>
    <row r="52" spans="1:3" ht="18">
      <c r="A52" s="21">
        <f t="shared" ca="1" si="0"/>
        <v>45874</v>
      </c>
      <c r="B52" s="19" t="e" cm="1">
        <f t="array" aca="1" ref="B52" ca="1">[1]!s_west_netprofit($B$1,2026,$A52,180,1000000)</f>
        <v>#NAME?</v>
      </c>
      <c r="C52" s="20" t="e" cm="1">
        <f t="array" aca="1" ref="C52" ca="1">[1]!s_dq_close($B$1,$A52,3)</f>
        <v>#NAME?</v>
      </c>
    </row>
    <row r="53" spans="1:3" ht="18">
      <c r="A53" s="21">
        <f t="shared" ca="1" si="0"/>
        <v>45867</v>
      </c>
      <c r="B53" s="19" t="e" cm="1">
        <f t="array" aca="1" ref="B53" ca="1">[1]!s_west_netprofit($B$1,2026,$A53,180,1000000)</f>
        <v>#NAME?</v>
      </c>
      <c r="C53" s="20" t="e" cm="1">
        <f t="array" aca="1" ref="C53" ca="1">[1]!s_dq_close($B$1,$A53,3)</f>
        <v>#NAME?</v>
      </c>
    </row>
    <row r="54" spans="1:3" ht="18">
      <c r="A54" s="21">
        <f t="shared" ca="1" si="0"/>
        <v>45860</v>
      </c>
      <c r="B54" s="19" t="e" cm="1">
        <f t="array" aca="1" ref="B54" ca="1">[1]!s_west_netprofit($B$1,2026,$A54,180,1000000)</f>
        <v>#NAME?</v>
      </c>
      <c r="C54" s="20" t="e" cm="1">
        <f t="array" aca="1" ref="C54" ca="1">[1]!s_dq_close($B$1,$A54,3)</f>
        <v>#NAME?</v>
      </c>
    </row>
    <row r="55" spans="1:3" ht="18">
      <c r="A55" s="21">
        <f t="shared" ca="1" si="0"/>
        <v>45853</v>
      </c>
      <c r="B55" s="19" t="e" cm="1">
        <f t="array" aca="1" ref="B55" ca="1">[1]!s_west_netprofit($B$1,2026,$A55,180,1000000)</f>
        <v>#NAME?</v>
      </c>
      <c r="C55" s="20" t="e" cm="1">
        <f t="array" aca="1" ref="C55" ca="1">[1]!s_dq_close($B$1,$A55,3)</f>
        <v>#NAME?</v>
      </c>
    </row>
    <row r="56" spans="1:3" ht="18">
      <c r="A56" s="21">
        <f t="shared" ca="1" si="0"/>
        <v>45846</v>
      </c>
      <c r="B56" s="19" t="e" cm="1">
        <f t="array" aca="1" ref="B56" ca="1">[1]!s_west_netprofit($B$1,2026,$A56,180,1000000)</f>
        <v>#NAME?</v>
      </c>
      <c r="C56" s="20" t="e" cm="1">
        <f t="array" aca="1" ref="C56" ca="1">[1]!s_dq_close($B$1,$A56,3)</f>
        <v>#NAME?</v>
      </c>
    </row>
    <row r="57" spans="1:3" ht="18">
      <c r="A57" s="21">
        <f t="shared" ca="1" si="0"/>
        <v>45839</v>
      </c>
      <c r="B57" s="19" t="e" cm="1">
        <f t="array" aca="1" ref="B57" ca="1">[1]!s_west_netprofit($B$1,2026,$A57,180,1000000)</f>
        <v>#NAME?</v>
      </c>
      <c r="C57" s="20" t="e" cm="1">
        <f t="array" aca="1" ref="C57" ca="1">[1]!s_dq_close($B$1,$A57,3)</f>
        <v>#NAME?</v>
      </c>
    </row>
    <row r="58" spans="1:3" ht="18">
      <c r="A58" s="21">
        <f t="shared" ca="1" si="0"/>
        <v>45832</v>
      </c>
      <c r="B58" s="19" t="e" cm="1">
        <f t="array" aca="1" ref="B58" ca="1">[1]!s_west_netprofit($B$1,2026,$A58,180,1000000)</f>
        <v>#NAME?</v>
      </c>
      <c r="C58" s="20" t="e" cm="1">
        <f t="array" aca="1" ref="C58" ca="1">[1]!s_dq_close($B$1,$A58,3)</f>
        <v>#NAME?</v>
      </c>
    </row>
    <row r="59" spans="1:3" ht="18">
      <c r="A59" s="21">
        <f t="shared" ca="1" si="0"/>
        <v>45825</v>
      </c>
      <c r="B59" s="19" t="e" cm="1">
        <f t="array" aca="1" ref="B59" ca="1">[1]!s_west_netprofit($B$1,2026,$A59,180,1000000)</f>
        <v>#NAME?</v>
      </c>
      <c r="C59" s="20" t="e" cm="1">
        <f t="array" aca="1" ref="C59" ca="1">[1]!s_dq_close($B$1,$A59,3)</f>
        <v>#NAME?</v>
      </c>
    </row>
    <row r="60" spans="1:3" ht="18">
      <c r="A60" s="21">
        <f t="shared" ca="1" si="0"/>
        <v>45818</v>
      </c>
      <c r="B60" s="19" t="e" cm="1">
        <f t="array" aca="1" ref="B60" ca="1">[1]!s_west_netprofit($B$1,2026,$A60,180,1000000)</f>
        <v>#NAME?</v>
      </c>
      <c r="C60" s="20" t="e" cm="1">
        <f t="array" aca="1" ref="C60" ca="1">[1]!s_dq_close($B$1,$A60,3)</f>
        <v>#NAME?</v>
      </c>
    </row>
    <row r="61" spans="1:3" ht="18">
      <c r="A61" s="21">
        <f t="shared" ca="1" si="0"/>
        <v>45811</v>
      </c>
      <c r="B61" s="19" t="e" cm="1">
        <f t="array" aca="1" ref="B61" ca="1">[1]!s_west_netprofit($B$1,2026,$A61,180,1000000)</f>
        <v>#NAME?</v>
      </c>
      <c r="C61" s="20" t="e" cm="1">
        <f t="array" aca="1" ref="C61" ca="1">[1]!s_dq_close($B$1,$A61,3)</f>
        <v>#NAME?</v>
      </c>
    </row>
    <row r="62" spans="1:3" ht="18">
      <c r="A62" s="21">
        <f t="shared" ca="1" si="0"/>
        <v>45804</v>
      </c>
      <c r="B62" s="19" t="e" cm="1">
        <f t="array" aca="1" ref="B62" ca="1">[1]!s_west_netprofit($B$1,2026,$A62,180,1000000)</f>
        <v>#NAME?</v>
      </c>
      <c r="C62" s="20" t="e" cm="1">
        <f t="array" aca="1" ref="C62" ca="1">[1]!s_dq_close($B$1,$A62,3)</f>
        <v>#NAME?</v>
      </c>
    </row>
    <row r="63" spans="1:3" ht="18">
      <c r="A63" s="21">
        <f t="shared" ca="1" si="0"/>
        <v>45797</v>
      </c>
      <c r="B63" s="19" t="e" cm="1">
        <f t="array" aca="1" ref="B63" ca="1">[1]!s_west_netprofit($B$1,2026,$A63,180,1000000)</f>
        <v>#NAME?</v>
      </c>
      <c r="C63" s="20" t="e" cm="1">
        <f t="array" aca="1" ref="C63" ca="1">[1]!s_dq_close($B$1,$A63,3)</f>
        <v>#NAME?</v>
      </c>
    </row>
    <row r="64" spans="1:3" ht="18">
      <c r="A64" s="21">
        <f t="shared" ca="1" si="0"/>
        <v>45790</v>
      </c>
      <c r="B64" s="19" t="e" cm="1">
        <f t="array" aca="1" ref="B64" ca="1">[1]!s_west_netprofit($B$1,2026,$A64,180,1000000)</f>
        <v>#NAME?</v>
      </c>
      <c r="C64" s="20" t="e" cm="1">
        <f t="array" aca="1" ref="C64" ca="1">[1]!s_dq_close($B$1,$A64,3)</f>
        <v>#NAME?</v>
      </c>
    </row>
    <row r="65" spans="1:3" ht="18">
      <c r="A65" s="21">
        <f t="shared" ca="1" si="0"/>
        <v>45783</v>
      </c>
      <c r="B65" s="19" t="e" cm="1">
        <f t="array" aca="1" ref="B65" ca="1">[1]!s_west_netprofit($B$1,2026,$A65,180,1000000)</f>
        <v>#NAME?</v>
      </c>
      <c r="C65" s="20" t="e" cm="1">
        <f t="array" aca="1" ref="C65" ca="1">[1]!s_dq_close($B$1,$A65,3)</f>
        <v>#NAME?</v>
      </c>
    </row>
    <row r="66" spans="1:3" ht="18">
      <c r="A66" s="21">
        <f t="shared" ca="1" si="0"/>
        <v>45776</v>
      </c>
      <c r="B66" s="19" t="e" cm="1">
        <f t="array" aca="1" ref="B66" ca="1">[1]!s_west_netprofit($B$1,2026,$A66,180,1000000)</f>
        <v>#NAME?</v>
      </c>
      <c r="C66" s="20" t="e" cm="1">
        <f t="array" aca="1" ref="C66" ca="1">[1]!s_dq_close($B$1,$A66,3)</f>
        <v>#NAME?</v>
      </c>
    </row>
    <row r="67" spans="1:3" ht="18">
      <c r="A67" s="21">
        <f t="shared" ca="1" si="0"/>
        <v>45769</v>
      </c>
      <c r="B67" s="19" t="e" cm="1">
        <f t="array" aca="1" ref="B67" ca="1">[1]!s_west_netprofit($B$1,2026,$A67,180,1000000)</f>
        <v>#NAME?</v>
      </c>
      <c r="C67" s="20" t="e" cm="1">
        <f t="array" aca="1" ref="C67" ca="1">[1]!s_dq_close($B$1,$A67,3)</f>
        <v>#NAME?</v>
      </c>
    </row>
    <row r="68" spans="1:3" ht="18">
      <c r="A68" s="21">
        <f t="shared" ca="1" si="0"/>
        <v>45762</v>
      </c>
      <c r="B68" s="19" t="e" cm="1">
        <f t="array" aca="1" ref="B68" ca="1">[1]!s_west_netprofit($B$1,2026,$A68,180,1000000)</f>
        <v>#NAME?</v>
      </c>
      <c r="C68" s="20" t="e" cm="1">
        <f t="array" aca="1" ref="C68" ca="1">[1]!s_dq_close($B$1,$A68,3)</f>
        <v>#NAME?</v>
      </c>
    </row>
    <row r="69" spans="1:3" ht="18">
      <c r="A69" s="21">
        <f t="shared" ca="1" si="0"/>
        <v>45755</v>
      </c>
      <c r="B69" s="19" t="e" cm="1">
        <f t="array" aca="1" ref="B69" ca="1">[1]!s_west_netprofit($B$1,2026,$A69,180,1000000)</f>
        <v>#NAME?</v>
      </c>
      <c r="C69" s="20" t="e" cm="1">
        <f t="array" aca="1" ref="C69" ca="1">[1]!s_dq_close($B$1,$A69,3)</f>
        <v>#NAME?</v>
      </c>
    </row>
    <row r="70" spans="1:3" ht="18">
      <c r="A70" s="21">
        <f t="shared" ca="1" si="0"/>
        <v>45748</v>
      </c>
      <c r="B70" s="19" t="e" cm="1">
        <f t="array" aca="1" ref="B70" ca="1">[1]!s_west_netprofit($B$1,2026,$A70,180,1000000)</f>
        <v>#NAME?</v>
      </c>
      <c r="C70" s="20" t="e" cm="1">
        <f t="array" aca="1" ref="C70" ca="1">[1]!s_dq_close($B$1,$A70,3)</f>
        <v>#NAME?</v>
      </c>
    </row>
    <row r="71" spans="1:3" ht="18">
      <c r="A71" s="21">
        <f t="shared" ca="1" si="0"/>
        <v>45741</v>
      </c>
      <c r="B71" s="19" t="e" cm="1">
        <f t="array" aca="1" ref="B71" ca="1">[1]!s_west_netprofit($B$1,2026,$A71,180,1000000)</f>
        <v>#NAME?</v>
      </c>
      <c r="C71" s="20" t="e" cm="1">
        <f t="array" aca="1" ref="C71" ca="1">[1]!s_dq_close($B$1,$A71,3)</f>
        <v>#NAME?</v>
      </c>
    </row>
    <row r="72" spans="1:3" ht="18">
      <c r="A72" s="21">
        <f t="shared" ca="1" si="0"/>
        <v>45734</v>
      </c>
      <c r="B72" s="19" t="e" cm="1">
        <f t="array" aca="1" ref="B72" ca="1">[1]!s_west_netprofit($B$1,2026,$A72,180,1000000)</f>
        <v>#NAME?</v>
      </c>
      <c r="C72" s="20" t="e" cm="1">
        <f t="array" aca="1" ref="C72" ca="1">[1]!s_dq_close($B$1,$A72,3)</f>
        <v>#NAME?</v>
      </c>
    </row>
    <row r="73" spans="1:3" ht="18">
      <c r="A73" s="21">
        <f t="shared" ca="1" si="0"/>
        <v>45727</v>
      </c>
      <c r="B73" s="19" t="e" cm="1">
        <f t="array" aca="1" ref="B73" ca="1">[1]!s_west_netprofit($B$1,2026,$A73,180,1000000)</f>
        <v>#NAME?</v>
      </c>
      <c r="C73" s="20" t="e" cm="1">
        <f t="array" aca="1" ref="C73" ca="1">[1]!s_dq_close($B$1,$A73,3)</f>
        <v>#NAME?</v>
      </c>
    </row>
    <row r="74" spans="1:3" ht="18">
      <c r="A74" s="21">
        <f t="shared" ca="1" si="0"/>
        <v>45720</v>
      </c>
      <c r="B74" s="19" t="e" cm="1">
        <f t="array" aca="1" ref="B74" ca="1">[1]!s_west_netprofit($B$1,2026,$A74,180,1000000)</f>
        <v>#NAME?</v>
      </c>
      <c r="C74" s="20" t="e" cm="1">
        <f t="array" aca="1" ref="C74" ca="1">[1]!s_dq_close($B$1,$A74,3)</f>
        <v>#NAME?</v>
      </c>
    </row>
    <row r="75" spans="1:3" ht="18">
      <c r="A75" s="21">
        <f t="shared" ca="1" si="0"/>
        <v>45713</v>
      </c>
      <c r="B75" s="19" t="e" cm="1">
        <f t="array" aca="1" ref="B75" ca="1">[1]!s_west_netprofit($B$1,2026,$A75,180,1000000)</f>
        <v>#NAME?</v>
      </c>
      <c r="C75" s="20" t="e" cm="1">
        <f t="array" aca="1" ref="C75" ca="1">[1]!s_dq_close($B$1,$A75,3)</f>
        <v>#NAME?</v>
      </c>
    </row>
    <row r="76" spans="1:3" ht="18">
      <c r="A76" s="21">
        <f t="shared" ref="A76:A99" ca="1" si="1">A75-7</f>
        <v>45706</v>
      </c>
      <c r="B76" s="19" t="e" cm="1">
        <f t="array" aca="1" ref="B76" ca="1">[1]!s_west_netprofit($B$1,2026,$A76,180,1000000)</f>
        <v>#NAME?</v>
      </c>
      <c r="C76" s="20" t="e" cm="1">
        <f t="array" aca="1" ref="C76" ca="1">[1]!s_dq_close($B$1,$A76,3)</f>
        <v>#NAME?</v>
      </c>
    </row>
    <row r="77" spans="1:3" ht="18">
      <c r="A77" s="21">
        <f t="shared" ca="1" si="1"/>
        <v>45699</v>
      </c>
      <c r="B77" s="19" t="e" cm="1">
        <f t="array" aca="1" ref="B77" ca="1">[1]!s_west_netprofit($B$1,2026,$A77,180,1000000)</f>
        <v>#NAME?</v>
      </c>
      <c r="C77" s="20" t="e" cm="1">
        <f t="array" aca="1" ref="C77" ca="1">[1]!s_dq_close($B$1,$A77,3)</f>
        <v>#NAME?</v>
      </c>
    </row>
    <row r="78" spans="1:3" ht="18">
      <c r="A78" s="21">
        <f t="shared" ca="1" si="1"/>
        <v>45692</v>
      </c>
      <c r="B78" s="19" t="e" cm="1">
        <f t="array" aca="1" ref="B78" ca="1">[1]!s_west_netprofit($B$1,2026,$A78,180,1000000)</f>
        <v>#NAME?</v>
      </c>
      <c r="C78" s="20" t="e" cm="1">
        <f t="array" aca="1" ref="C78" ca="1">[1]!s_dq_close($B$1,$A78,3)</f>
        <v>#NAME?</v>
      </c>
    </row>
    <row r="79" spans="1:3" ht="18">
      <c r="A79" s="21">
        <f t="shared" ca="1" si="1"/>
        <v>45685</v>
      </c>
      <c r="B79" s="19" t="e" cm="1">
        <f t="array" aca="1" ref="B79" ca="1">[1]!s_west_netprofit($B$1,2026,$A79,180,1000000)</f>
        <v>#NAME?</v>
      </c>
      <c r="C79" s="20" t="e" cm="1">
        <f t="array" aca="1" ref="C79" ca="1">[1]!s_dq_close($B$1,$A79,3)</f>
        <v>#NAME?</v>
      </c>
    </row>
    <row r="80" spans="1:3" ht="18">
      <c r="A80" s="21">
        <f t="shared" ca="1" si="1"/>
        <v>45678</v>
      </c>
      <c r="B80" s="19" t="e" cm="1">
        <f t="array" aca="1" ref="B80" ca="1">[1]!s_west_netprofit($B$1,2026,$A80,180,1000000)</f>
        <v>#NAME?</v>
      </c>
      <c r="C80" s="20" t="e" cm="1">
        <f t="array" aca="1" ref="C80" ca="1">[1]!s_dq_close($B$1,$A80,3)</f>
        <v>#NAME?</v>
      </c>
    </row>
    <row r="81" spans="1:3" ht="18">
      <c r="A81" s="21">
        <f t="shared" ca="1" si="1"/>
        <v>45671</v>
      </c>
      <c r="B81" s="19" t="e" cm="1">
        <f t="array" aca="1" ref="B81" ca="1">[1]!s_west_netprofit($B$1,2026,$A81,180,1000000)</f>
        <v>#NAME?</v>
      </c>
      <c r="C81" s="20" t="e" cm="1">
        <f t="array" aca="1" ref="C81" ca="1">[1]!s_dq_close($B$1,$A81,3)</f>
        <v>#NAME?</v>
      </c>
    </row>
    <row r="82" spans="1:3" ht="18">
      <c r="A82" s="21">
        <f t="shared" ca="1" si="1"/>
        <v>45664</v>
      </c>
      <c r="B82" s="19" t="e" cm="1">
        <f t="array" aca="1" ref="B82" ca="1">[1]!s_west_netprofit($B$1,2026,$A82,180,1000000)</f>
        <v>#NAME?</v>
      </c>
      <c r="C82" s="20" t="e" cm="1">
        <f t="array" aca="1" ref="C82" ca="1">[1]!s_dq_close($B$1,$A82,3)</f>
        <v>#NAME?</v>
      </c>
    </row>
    <row r="83" spans="1:3" ht="18">
      <c r="A83" s="21">
        <f t="shared" ca="1" si="1"/>
        <v>45657</v>
      </c>
      <c r="B83" s="19" t="e" cm="1">
        <f t="array" aca="1" ref="B83" ca="1">[1]!s_west_netprofit($B$1,2026,$A83,180,1000000)</f>
        <v>#NAME?</v>
      </c>
      <c r="C83" s="20" t="e" cm="1">
        <f t="array" aca="1" ref="C83" ca="1">[1]!s_dq_close($B$1,$A83,3)</f>
        <v>#NAME?</v>
      </c>
    </row>
    <row r="84" spans="1:3" ht="18">
      <c r="A84" s="21">
        <f t="shared" ca="1" si="1"/>
        <v>45650</v>
      </c>
      <c r="B84" s="19" t="e" cm="1">
        <f t="array" aca="1" ref="B84" ca="1">[1]!s_west_netprofit($B$1,2026,$A84,180,1000000)</f>
        <v>#NAME?</v>
      </c>
      <c r="C84" s="20" t="e" cm="1">
        <f t="array" aca="1" ref="C84" ca="1">[1]!s_dq_close($B$1,$A84,3)</f>
        <v>#NAME?</v>
      </c>
    </row>
    <row r="85" spans="1:3" ht="18">
      <c r="A85" s="21">
        <f t="shared" ca="1" si="1"/>
        <v>45643</v>
      </c>
      <c r="B85" s="19" t="e" cm="1">
        <f t="array" aca="1" ref="B85" ca="1">[1]!s_west_netprofit($B$1,2026,$A85,180,1000000)</f>
        <v>#NAME?</v>
      </c>
      <c r="C85" s="20" t="e" cm="1">
        <f t="array" aca="1" ref="C85" ca="1">[1]!s_dq_close($B$1,$A85,3)</f>
        <v>#NAME?</v>
      </c>
    </row>
    <row r="86" spans="1:3" ht="18">
      <c r="A86" s="21">
        <f t="shared" ca="1" si="1"/>
        <v>45636</v>
      </c>
      <c r="B86" s="19" t="e" cm="1">
        <f t="array" aca="1" ref="B86" ca="1">[1]!s_west_netprofit($B$1,2026,$A86,180,1000000)</f>
        <v>#NAME?</v>
      </c>
      <c r="C86" s="20" t="e" cm="1">
        <f t="array" aca="1" ref="C86" ca="1">[1]!s_dq_close($B$1,$A86,3)</f>
        <v>#NAME?</v>
      </c>
    </row>
    <row r="87" spans="1:3" ht="18">
      <c r="A87" s="21">
        <f t="shared" ca="1" si="1"/>
        <v>45629</v>
      </c>
      <c r="B87" s="19" t="e" cm="1">
        <f t="array" aca="1" ref="B87" ca="1">[1]!s_west_netprofit($B$1,2026,$A87,180,1000000)</f>
        <v>#NAME?</v>
      </c>
      <c r="C87" s="20" t="e" cm="1">
        <f t="array" aca="1" ref="C87" ca="1">[1]!s_dq_close($B$1,$A87,3)</f>
        <v>#NAME?</v>
      </c>
    </row>
    <row r="88" spans="1:3" ht="18">
      <c r="A88" s="21">
        <f t="shared" ca="1" si="1"/>
        <v>45622</v>
      </c>
      <c r="B88" s="19" t="e" cm="1">
        <f t="array" aca="1" ref="B88" ca="1">[1]!s_west_netprofit($B$1,2026,$A88,180,1000000)</f>
        <v>#NAME?</v>
      </c>
      <c r="C88" s="20" t="e" cm="1">
        <f t="array" aca="1" ref="C88" ca="1">[1]!s_dq_close($B$1,$A88,3)</f>
        <v>#NAME?</v>
      </c>
    </row>
    <row r="89" spans="1:3" ht="18">
      <c r="A89" s="21">
        <f t="shared" ca="1" si="1"/>
        <v>45615</v>
      </c>
      <c r="B89" s="19" t="e" cm="1">
        <f t="array" aca="1" ref="B89" ca="1">[1]!s_west_netprofit($B$1,2026,$A89,180,1000000)</f>
        <v>#NAME?</v>
      </c>
      <c r="C89" s="20" t="e" cm="1">
        <f t="array" aca="1" ref="C89" ca="1">[1]!s_dq_close($B$1,$A89,3)</f>
        <v>#NAME?</v>
      </c>
    </row>
    <row r="90" spans="1:3" ht="18">
      <c r="A90" s="21">
        <f t="shared" ca="1" si="1"/>
        <v>45608</v>
      </c>
      <c r="B90" s="19" t="e" cm="1">
        <f t="array" aca="1" ref="B90" ca="1">[1]!s_west_netprofit($B$1,2026,$A90,180,1000000)</f>
        <v>#NAME?</v>
      </c>
      <c r="C90" s="20" t="e" cm="1">
        <f t="array" aca="1" ref="C90" ca="1">[1]!s_dq_close($B$1,$A90,3)</f>
        <v>#NAME?</v>
      </c>
    </row>
    <row r="91" spans="1:3" ht="18">
      <c r="A91" s="21">
        <f t="shared" ca="1" si="1"/>
        <v>45601</v>
      </c>
      <c r="B91" s="19" t="e" cm="1">
        <f t="array" aca="1" ref="B91" ca="1">[1]!s_west_netprofit($B$1,2026,$A91,180,1000000)</f>
        <v>#NAME?</v>
      </c>
      <c r="C91" s="20" t="e" cm="1">
        <f t="array" aca="1" ref="C91" ca="1">[1]!s_dq_close($B$1,$A91,3)</f>
        <v>#NAME?</v>
      </c>
    </row>
    <row r="92" spans="1:3" ht="18">
      <c r="A92" s="21">
        <f t="shared" ca="1" si="1"/>
        <v>45594</v>
      </c>
      <c r="B92" s="19" t="e" cm="1">
        <f t="array" aca="1" ref="B92" ca="1">[1]!s_west_netprofit($B$1,2026,$A92,180,1000000)</f>
        <v>#NAME?</v>
      </c>
      <c r="C92" s="20" t="e" cm="1">
        <f t="array" aca="1" ref="C92" ca="1">[1]!s_dq_close($B$1,$A92,3)</f>
        <v>#NAME?</v>
      </c>
    </row>
    <row r="93" spans="1:3" ht="18">
      <c r="A93" s="21">
        <f t="shared" ca="1" si="1"/>
        <v>45587</v>
      </c>
      <c r="B93" s="19" t="e" cm="1">
        <f t="array" aca="1" ref="B93" ca="1">[1]!s_west_netprofit($B$1,2026,$A93,180,1000000)</f>
        <v>#NAME?</v>
      </c>
      <c r="C93" s="20" t="e" cm="1">
        <f t="array" aca="1" ref="C93" ca="1">[1]!s_dq_close($B$1,$A93,3)</f>
        <v>#NAME?</v>
      </c>
    </row>
    <row r="94" spans="1:3" ht="18">
      <c r="A94" s="21">
        <f t="shared" ca="1" si="1"/>
        <v>45580</v>
      </c>
      <c r="B94" s="19" t="e" cm="1">
        <f t="array" aca="1" ref="B94" ca="1">[1]!s_west_netprofit($B$1,2026,$A94,180,1000000)</f>
        <v>#NAME?</v>
      </c>
      <c r="C94" s="20" t="e" cm="1">
        <f t="array" aca="1" ref="C94" ca="1">[1]!s_dq_close($B$1,$A94,3)</f>
        <v>#NAME?</v>
      </c>
    </row>
    <row r="95" spans="1:3" ht="18">
      <c r="A95" s="21">
        <f t="shared" ca="1" si="1"/>
        <v>45573</v>
      </c>
      <c r="B95" s="19" t="e" cm="1">
        <f t="array" aca="1" ref="B95" ca="1">[1]!s_west_netprofit($B$1,2026,$A95,180,1000000)</f>
        <v>#NAME?</v>
      </c>
      <c r="C95" s="20" t="e" cm="1">
        <f t="array" aca="1" ref="C95" ca="1">[1]!s_dq_close($B$1,$A95,3)</f>
        <v>#NAME?</v>
      </c>
    </row>
    <row r="96" spans="1:3" ht="18">
      <c r="A96" s="21">
        <f t="shared" ca="1" si="1"/>
        <v>45566</v>
      </c>
      <c r="B96" s="19" t="e" cm="1">
        <f t="array" aca="1" ref="B96" ca="1">[1]!s_west_netprofit($B$1,2026,$A96,180,1000000)</f>
        <v>#NAME?</v>
      </c>
      <c r="C96" s="20" t="e" cm="1">
        <f t="array" aca="1" ref="C96" ca="1">[1]!s_dq_close($B$1,$A96,3)</f>
        <v>#NAME?</v>
      </c>
    </row>
    <row r="97" spans="1:3" ht="18">
      <c r="A97" s="21">
        <f t="shared" ca="1" si="1"/>
        <v>45559</v>
      </c>
      <c r="B97" s="19" t="e" cm="1">
        <f t="array" aca="1" ref="B97" ca="1">[1]!s_west_netprofit($B$1,2026,$A97,180,1000000)</f>
        <v>#NAME?</v>
      </c>
      <c r="C97" s="20" t="e" cm="1">
        <f t="array" aca="1" ref="C97" ca="1">[1]!s_dq_close($B$1,$A97,3)</f>
        <v>#NAME?</v>
      </c>
    </row>
    <row r="98" spans="1:3" ht="18">
      <c r="A98" s="21">
        <f t="shared" ca="1" si="1"/>
        <v>45552</v>
      </c>
      <c r="B98" s="19" t="e" cm="1">
        <f t="array" aca="1" ref="B98" ca="1">[1]!s_west_netprofit($B$1,2026,$A98,180,1000000)</f>
        <v>#NAME?</v>
      </c>
      <c r="C98" s="20" t="e" cm="1">
        <f t="array" aca="1" ref="C98" ca="1">[1]!s_dq_close($B$1,$A98,3)</f>
        <v>#NAME?</v>
      </c>
    </row>
    <row r="99" spans="1:3" ht="19" thickBot="1">
      <c r="A99" s="22">
        <f t="shared" ca="1" si="1"/>
        <v>45545</v>
      </c>
      <c r="B99" s="23" t="e" cm="1">
        <f t="array" aca="1" ref="B99" ca="1">[1]!s_west_netprofit($B$1,2026,$A99,180,1000000)</f>
        <v>#NAME?</v>
      </c>
      <c r="C99" s="24" t="e" cm="1">
        <f t="array" aca="1" ref="C99" ca="1">[1]!s_dq_close($B$1,$A99,3)</f>
        <v>#NAME?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A6E65-0BBE-BC45-A394-B3CD04C0C857}">
  <dimension ref="A1:D99"/>
  <sheetViews>
    <sheetView workbookViewId="0">
      <selection activeCell="C5" sqref="C5"/>
    </sheetView>
  </sheetViews>
  <sheetFormatPr baseColWidth="10" defaultColWidth="9.1640625" defaultRowHeight="16"/>
  <cols>
    <col min="1" max="1" width="36.33203125" customWidth="1"/>
    <col min="2" max="2" width="26" customWidth="1"/>
    <col min="3" max="3" width="40" customWidth="1"/>
    <col min="4" max="4" width="11" bestFit="1" customWidth="1"/>
  </cols>
  <sheetData>
    <row r="1" spans="1:4" ht="17" thickBot="1">
      <c r="A1" t="e">
        <f ca="1">[1]!S_INFO_NAME($B$1)</f>
        <v>#NAME?</v>
      </c>
      <c r="B1" s="1"/>
      <c r="C1" t="s">
        <v>0</v>
      </c>
      <c r="D1" s="2">
        <f ca="1">TODAY()</f>
        <v>46161</v>
      </c>
    </row>
    <row r="2" spans="1:4" s="6" customFormat="1" ht="18">
      <c r="A2" s="3" t="s">
        <v>4</v>
      </c>
      <c r="B2" s="4">
        <v>2025</v>
      </c>
      <c r="C2" s="5">
        <v>2026</v>
      </c>
    </row>
    <row r="3" spans="1:4" s="6" customFormat="1" ht="18">
      <c r="A3" s="7" t="s">
        <v>5</v>
      </c>
      <c r="B3" s="8" t="e">
        <f ca="1">[1]!s_west_instnum_np($B$1,2025,$D$1,180)</f>
        <v>#NAME?</v>
      </c>
      <c r="C3" s="9" t="e">
        <f ca="1">[1]!s_west_instnum_np($B$1,2026,$D$1,180)</f>
        <v>#NAME?</v>
      </c>
    </row>
    <row r="4" spans="1:4" s="6" customFormat="1" ht="18">
      <c r="A4" s="7" t="s">
        <v>2</v>
      </c>
      <c r="B4" s="10" t="e">
        <f ca="1">[1]!s_west_instnum_np($A$1,2025,$D$1,180)</f>
        <v>#NAME?</v>
      </c>
      <c r="C4" s="11" t="e">
        <f ca="1">[1]!s_west_netprofit($B$1,2026,$D$1,180,1000000)</f>
        <v>#NAME?</v>
      </c>
    </row>
    <row r="5" spans="1:4" s="6" customFormat="1" ht="18">
      <c r="A5" s="7" t="s">
        <v>6</v>
      </c>
      <c r="B5" s="10" t="e">
        <f ca="1">[1]!s_west_maxnetprofit($B$1,2025,$D$1,180,1000000)</f>
        <v>#NAME?</v>
      </c>
      <c r="C5" s="11" t="e">
        <f ca="1">[1]!s_west_maxnetprofit($B$1,2026,$D$1,180,1000000)</f>
        <v>#NAME?</v>
      </c>
    </row>
    <row r="6" spans="1:4" s="6" customFormat="1" ht="18">
      <c r="A6" s="7" t="s">
        <v>7</v>
      </c>
      <c r="B6" s="10" t="e">
        <f ca="1">[1]!s_west_minnetprofit($B$1,2025,$D$1,180,1000000)</f>
        <v>#NAME?</v>
      </c>
      <c r="C6" s="11" t="e">
        <f ca="1">[1]!s_west_minnetprofit($B$1,2026,$D$1,180,1000000)</f>
        <v>#NAME?</v>
      </c>
    </row>
    <row r="7" spans="1:4" s="6" customFormat="1" ht="18">
      <c r="A7" s="7" t="s">
        <v>8</v>
      </c>
      <c r="B7" s="10" t="e">
        <f ca="1">[1]!s_west_mediannetprofit($B$1,2025,$D$1,180,1000000)</f>
        <v>#NAME?</v>
      </c>
      <c r="C7" s="11" t="e">
        <f ca="1">[1]!s_west_mediannetprofit($B$1,2026,$D$1,180,1000000)</f>
        <v>#NAME?</v>
      </c>
    </row>
    <row r="8" spans="1:4" s="6" customFormat="1" ht="19" thickBot="1">
      <c r="A8" s="12" t="s">
        <v>9</v>
      </c>
      <c r="B8" s="13" t="e">
        <f ca="1">[1]!s_west_stdnetprofit($B$1,2025,$D$1,180,1000000)</f>
        <v>#NAME?</v>
      </c>
      <c r="C8" s="14" t="e">
        <f ca="1">[1]!s_west_stdnetprofit($B$1,2026,$D$1,180,1000000)</f>
        <v>#NAME?</v>
      </c>
    </row>
    <row r="10" spans="1:4">
      <c r="A10" s="15" t="s">
        <v>1</v>
      </c>
      <c r="B10" s="16" t="s">
        <v>2</v>
      </c>
      <c r="C10" s="17" t="s">
        <v>3</v>
      </c>
    </row>
    <row r="11" spans="1:4" ht="18">
      <c r="A11" s="18">
        <f ca="1">TODAY()-IF(WEEKDAY(TODAY(),2)=6,1,IF(WEEKDAY(TODAY(),2)=7,2,0))</f>
        <v>46161</v>
      </c>
      <c r="B11" s="19" t="e" cm="1">
        <f t="array" aca="1" ref="B11" ca="1">[1]!s_west_netprofit($B$1,2026,$A11,180,1000000)</f>
        <v>#NAME?</v>
      </c>
      <c r="C11" s="20" t="e" cm="1">
        <f t="array" aca="1" ref="C11" ca="1">[1]!s_dq_close($B$1,$A11,3)</f>
        <v>#NAME?</v>
      </c>
    </row>
    <row r="12" spans="1:4" ht="18">
      <c r="A12" s="21">
        <f t="shared" ref="A12:A75" ca="1" si="0">A11-7</f>
        <v>46154</v>
      </c>
      <c r="B12" s="19" t="e" cm="1">
        <f t="array" aca="1" ref="B12" ca="1">[1]!s_west_netprofit($B$1,2026,$A12,180,1000000)</f>
        <v>#NAME?</v>
      </c>
      <c r="C12" s="20" t="e" cm="1">
        <f t="array" aca="1" ref="C12" ca="1">[1]!s_dq_close($B$1,$A12,3)</f>
        <v>#NAME?</v>
      </c>
    </row>
    <row r="13" spans="1:4" ht="18">
      <c r="A13" s="21">
        <f t="shared" ca="1" si="0"/>
        <v>46147</v>
      </c>
      <c r="B13" s="19" t="e" cm="1">
        <f t="array" aca="1" ref="B13" ca="1">[1]!s_west_netprofit($B$1,2026,$A13,180,1000000)</f>
        <v>#NAME?</v>
      </c>
      <c r="C13" s="20" t="e" cm="1">
        <f t="array" aca="1" ref="C13" ca="1">[1]!s_dq_close($B$1,$A13,3)</f>
        <v>#NAME?</v>
      </c>
    </row>
    <row r="14" spans="1:4" ht="18">
      <c r="A14" s="21">
        <f t="shared" ca="1" si="0"/>
        <v>46140</v>
      </c>
      <c r="B14" s="19" t="e" cm="1">
        <f t="array" aca="1" ref="B14" ca="1">[1]!s_west_netprofit($B$1,2026,$A14,180,1000000)</f>
        <v>#NAME?</v>
      </c>
      <c r="C14" s="20" t="e" cm="1">
        <f t="array" aca="1" ref="C14" ca="1">[1]!s_dq_close($B$1,$A14,3)</f>
        <v>#NAME?</v>
      </c>
    </row>
    <row r="15" spans="1:4" ht="18">
      <c r="A15" s="21">
        <f t="shared" ca="1" si="0"/>
        <v>46133</v>
      </c>
      <c r="B15" s="19" t="e" cm="1">
        <f t="array" aca="1" ref="B15" ca="1">[1]!s_west_netprofit($B$1,2026,$A15,180,1000000)</f>
        <v>#NAME?</v>
      </c>
      <c r="C15" s="20" t="e" cm="1">
        <f t="array" aca="1" ref="C15" ca="1">[1]!s_dq_close($B$1,$A15,3)</f>
        <v>#NAME?</v>
      </c>
    </row>
    <row r="16" spans="1:4" ht="18">
      <c r="A16" s="21">
        <f t="shared" ca="1" si="0"/>
        <v>46126</v>
      </c>
      <c r="B16" s="19" t="e" cm="1">
        <f t="array" aca="1" ref="B16" ca="1">[1]!s_west_netprofit($B$1,2026,$A16,180,1000000)</f>
        <v>#NAME?</v>
      </c>
      <c r="C16" s="20" t="e" cm="1">
        <f t="array" aca="1" ref="C16" ca="1">[1]!s_dq_close($B$1,$A16,3)</f>
        <v>#NAME?</v>
      </c>
    </row>
    <row r="17" spans="1:3" ht="18">
      <c r="A17" s="21">
        <f t="shared" ca="1" si="0"/>
        <v>46119</v>
      </c>
      <c r="B17" s="19" t="e" cm="1">
        <f t="array" aca="1" ref="B17" ca="1">[1]!s_west_netprofit($B$1,2026,$A17,180,1000000)</f>
        <v>#NAME?</v>
      </c>
      <c r="C17" s="20" t="e" cm="1">
        <f t="array" aca="1" ref="C17" ca="1">[1]!s_dq_close($B$1,$A17,3)</f>
        <v>#NAME?</v>
      </c>
    </row>
    <row r="18" spans="1:3" ht="18">
      <c r="A18" s="21">
        <f t="shared" ca="1" si="0"/>
        <v>46112</v>
      </c>
      <c r="B18" s="19" t="e" cm="1">
        <f t="array" aca="1" ref="B18" ca="1">[1]!s_west_netprofit($B$1,2026,$A18,180,1000000)</f>
        <v>#NAME?</v>
      </c>
      <c r="C18" s="20" t="e" cm="1">
        <f t="array" aca="1" ref="C18" ca="1">[1]!s_dq_close($B$1,$A18,3)</f>
        <v>#NAME?</v>
      </c>
    </row>
    <row r="19" spans="1:3" ht="18">
      <c r="A19" s="21">
        <f t="shared" ca="1" si="0"/>
        <v>46105</v>
      </c>
      <c r="B19" s="19" t="e" cm="1">
        <f t="array" aca="1" ref="B19" ca="1">[1]!s_west_netprofit($B$1,2026,$A19,180,1000000)</f>
        <v>#NAME?</v>
      </c>
      <c r="C19" s="20" t="e" cm="1">
        <f t="array" aca="1" ref="C19" ca="1">[1]!s_dq_close($B$1,$A19,3)</f>
        <v>#NAME?</v>
      </c>
    </row>
    <row r="20" spans="1:3" ht="18">
      <c r="A20" s="21">
        <f t="shared" ca="1" si="0"/>
        <v>46098</v>
      </c>
      <c r="B20" s="19" t="e" cm="1">
        <f t="array" aca="1" ref="B20" ca="1">[1]!s_west_netprofit($B$1,2026,$A20,180,1000000)</f>
        <v>#NAME?</v>
      </c>
      <c r="C20" s="20" t="e" cm="1">
        <f t="array" aca="1" ref="C20" ca="1">[1]!s_dq_close($B$1,$A20,3)</f>
        <v>#NAME?</v>
      </c>
    </row>
    <row r="21" spans="1:3" ht="18">
      <c r="A21" s="21">
        <f t="shared" ca="1" si="0"/>
        <v>46091</v>
      </c>
      <c r="B21" s="19" t="e" cm="1">
        <f t="array" aca="1" ref="B21" ca="1">[1]!s_west_netprofit($B$1,2026,$A21,180,1000000)</f>
        <v>#NAME?</v>
      </c>
      <c r="C21" s="20" t="e" cm="1">
        <f t="array" aca="1" ref="C21" ca="1">[1]!s_dq_close($B$1,$A21,3)</f>
        <v>#NAME?</v>
      </c>
    </row>
    <row r="22" spans="1:3" ht="18">
      <c r="A22" s="21">
        <f t="shared" ca="1" si="0"/>
        <v>46084</v>
      </c>
      <c r="B22" s="19" t="e" cm="1">
        <f t="array" aca="1" ref="B22" ca="1">[1]!s_west_netprofit($B$1,2026,$A22,180,1000000)</f>
        <v>#NAME?</v>
      </c>
      <c r="C22" s="20" t="e" cm="1">
        <f t="array" aca="1" ref="C22" ca="1">[1]!s_dq_close($B$1,$A22,3)</f>
        <v>#NAME?</v>
      </c>
    </row>
    <row r="23" spans="1:3" ht="18">
      <c r="A23" s="21">
        <f t="shared" ca="1" si="0"/>
        <v>46077</v>
      </c>
      <c r="B23" s="19" t="e" cm="1">
        <f t="array" aca="1" ref="B23" ca="1">[1]!s_west_netprofit($B$1,2026,$A23,180,1000000)</f>
        <v>#NAME?</v>
      </c>
      <c r="C23" s="20" t="e" cm="1">
        <f t="array" aca="1" ref="C23" ca="1">[1]!s_dq_close($B$1,$A23,3)</f>
        <v>#NAME?</v>
      </c>
    </row>
    <row r="24" spans="1:3" ht="18">
      <c r="A24" s="21">
        <f t="shared" ca="1" si="0"/>
        <v>46070</v>
      </c>
      <c r="B24" s="19" t="e" cm="1">
        <f t="array" aca="1" ref="B24" ca="1">[1]!s_west_netprofit($B$1,2026,$A24,180,1000000)</f>
        <v>#NAME?</v>
      </c>
      <c r="C24" s="20" t="e" cm="1">
        <f t="array" aca="1" ref="C24" ca="1">[1]!s_dq_close($B$1,$A24,3)</f>
        <v>#NAME?</v>
      </c>
    </row>
    <row r="25" spans="1:3" ht="18">
      <c r="A25" s="21">
        <f t="shared" ca="1" si="0"/>
        <v>46063</v>
      </c>
      <c r="B25" s="19" t="e" cm="1">
        <f t="array" aca="1" ref="B25" ca="1">[1]!s_west_netprofit($B$1,2026,$A25,180,1000000)</f>
        <v>#NAME?</v>
      </c>
      <c r="C25" s="20" t="e" cm="1">
        <f t="array" aca="1" ref="C25" ca="1">[1]!s_dq_close($B$1,$A25,3)</f>
        <v>#NAME?</v>
      </c>
    </row>
    <row r="26" spans="1:3" ht="18">
      <c r="A26" s="21">
        <f t="shared" ca="1" si="0"/>
        <v>46056</v>
      </c>
      <c r="B26" s="19" t="e" cm="1">
        <f t="array" aca="1" ref="B26" ca="1">[1]!s_west_netprofit($B$1,2026,$A26,180,1000000)</f>
        <v>#NAME?</v>
      </c>
      <c r="C26" s="20" t="e" cm="1">
        <f t="array" aca="1" ref="C26" ca="1">[1]!s_dq_close($B$1,$A26,3)</f>
        <v>#NAME?</v>
      </c>
    </row>
    <row r="27" spans="1:3" ht="18">
      <c r="A27" s="21">
        <f t="shared" ca="1" si="0"/>
        <v>46049</v>
      </c>
      <c r="B27" s="19" t="e" cm="1">
        <f t="array" aca="1" ref="B27" ca="1">[1]!s_west_netprofit($B$1,2026,$A27,180,1000000)</f>
        <v>#NAME?</v>
      </c>
      <c r="C27" s="20" t="e" cm="1">
        <f t="array" aca="1" ref="C27" ca="1">[1]!s_dq_close($B$1,$A27,3)</f>
        <v>#NAME?</v>
      </c>
    </row>
    <row r="28" spans="1:3" ht="18">
      <c r="A28" s="21">
        <f t="shared" ca="1" si="0"/>
        <v>46042</v>
      </c>
      <c r="B28" s="19" t="e" cm="1">
        <f t="array" aca="1" ref="B28" ca="1">[1]!s_west_netprofit($B$1,2026,$A28,180,1000000)</f>
        <v>#NAME?</v>
      </c>
      <c r="C28" s="20" t="e" cm="1">
        <f t="array" aca="1" ref="C28" ca="1">[1]!s_dq_close($B$1,$A28,3)</f>
        <v>#NAME?</v>
      </c>
    </row>
    <row r="29" spans="1:3" ht="18">
      <c r="A29" s="21">
        <f t="shared" ca="1" si="0"/>
        <v>46035</v>
      </c>
      <c r="B29" s="19" t="e" cm="1">
        <f t="array" aca="1" ref="B29" ca="1">[1]!s_west_netprofit($B$1,2026,$A29,180,1000000)</f>
        <v>#NAME?</v>
      </c>
      <c r="C29" s="20" t="e" cm="1">
        <f t="array" aca="1" ref="C29" ca="1">[1]!s_dq_close($B$1,$A29,3)</f>
        <v>#NAME?</v>
      </c>
    </row>
    <row r="30" spans="1:3" ht="18">
      <c r="A30" s="21">
        <f t="shared" ca="1" si="0"/>
        <v>46028</v>
      </c>
      <c r="B30" s="19" t="e" cm="1">
        <f t="array" aca="1" ref="B30" ca="1">[1]!s_west_netprofit($B$1,2026,$A30,180,1000000)</f>
        <v>#NAME?</v>
      </c>
      <c r="C30" s="20" t="e" cm="1">
        <f t="array" aca="1" ref="C30" ca="1">[1]!s_dq_close($B$1,$A30,3)</f>
        <v>#NAME?</v>
      </c>
    </row>
    <row r="31" spans="1:3" ht="18">
      <c r="A31" s="21">
        <f t="shared" ca="1" si="0"/>
        <v>46021</v>
      </c>
      <c r="B31" s="19" t="e" cm="1">
        <f t="array" aca="1" ref="B31" ca="1">[1]!s_west_netprofit($B$1,2026,$A31,180,1000000)</f>
        <v>#NAME?</v>
      </c>
      <c r="C31" s="20" t="e" cm="1">
        <f t="array" aca="1" ref="C31" ca="1">[1]!s_dq_close($B$1,$A31,3)</f>
        <v>#NAME?</v>
      </c>
    </row>
    <row r="32" spans="1:3" ht="18">
      <c r="A32" s="21">
        <f t="shared" ca="1" si="0"/>
        <v>46014</v>
      </c>
      <c r="B32" s="19" t="e" cm="1">
        <f t="array" aca="1" ref="B32" ca="1">[1]!s_west_netprofit($B$1,2026,$A32,180,1000000)</f>
        <v>#NAME?</v>
      </c>
      <c r="C32" s="20" t="e" cm="1">
        <f t="array" aca="1" ref="C32" ca="1">[1]!s_dq_close($B$1,$A32,3)</f>
        <v>#NAME?</v>
      </c>
    </row>
    <row r="33" spans="1:3" ht="18">
      <c r="A33" s="21">
        <f t="shared" ca="1" si="0"/>
        <v>46007</v>
      </c>
      <c r="B33" s="19" t="e" cm="1">
        <f t="array" aca="1" ref="B33" ca="1">[1]!s_west_netprofit($B$1,2026,$A33,180,1000000)</f>
        <v>#NAME?</v>
      </c>
      <c r="C33" s="20" t="e" cm="1">
        <f t="array" aca="1" ref="C33" ca="1">[1]!s_dq_close($B$1,$A33,3)</f>
        <v>#NAME?</v>
      </c>
    </row>
    <row r="34" spans="1:3" ht="18">
      <c r="A34" s="21">
        <f t="shared" ca="1" si="0"/>
        <v>46000</v>
      </c>
      <c r="B34" s="19" t="e" cm="1">
        <f t="array" aca="1" ref="B34" ca="1">[1]!s_west_netprofit($B$1,2026,$A34,180,1000000)</f>
        <v>#NAME?</v>
      </c>
      <c r="C34" s="20" t="e" cm="1">
        <f t="array" aca="1" ref="C34" ca="1">[1]!s_dq_close($B$1,$A34,3)</f>
        <v>#NAME?</v>
      </c>
    </row>
    <row r="35" spans="1:3" ht="18">
      <c r="A35" s="21">
        <f t="shared" ca="1" si="0"/>
        <v>45993</v>
      </c>
      <c r="B35" s="19" t="e" cm="1">
        <f t="array" aca="1" ref="B35" ca="1">[1]!s_west_netprofit($B$1,2026,$A35,180,1000000)</f>
        <v>#NAME?</v>
      </c>
      <c r="C35" s="20" t="e" cm="1">
        <f t="array" aca="1" ref="C35" ca="1">[1]!s_dq_close($B$1,$A35,3)</f>
        <v>#NAME?</v>
      </c>
    </row>
    <row r="36" spans="1:3" ht="18">
      <c r="A36" s="21">
        <f t="shared" ca="1" si="0"/>
        <v>45986</v>
      </c>
      <c r="B36" s="19" t="e" cm="1">
        <f t="array" aca="1" ref="B36" ca="1">[1]!s_west_netprofit($B$1,2026,$A36,180,1000000)</f>
        <v>#NAME?</v>
      </c>
      <c r="C36" s="20" t="e" cm="1">
        <f t="array" aca="1" ref="C36" ca="1">[1]!s_dq_close($B$1,$A36,3)</f>
        <v>#NAME?</v>
      </c>
    </row>
    <row r="37" spans="1:3" ht="18">
      <c r="A37" s="21">
        <f t="shared" ca="1" si="0"/>
        <v>45979</v>
      </c>
      <c r="B37" s="19" t="e" cm="1">
        <f t="array" aca="1" ref="B37" ca="1">[1]!s_west_netprofit($B$1,2026,$A37,180,1000000)</f>
        <v>#NAME?</v>
      </c>
      <c r="C37" s="20" t="e" cm="1">
        <f t="array" aca="1" ref="C37" ca="1">[1]!s_dq_close($B$1,$A37,3)</f>
        <v>#NAME?</v>
      </c>
    </row>
    <row r="38" spans="1:3" ht="18">
      <c r="A38" s="21">
        <f t="shared" ca="1" si="0"/>
        <v>45972</v>
      </c>
      <c r="B38" s="19" t="e" cm="1">
        <f t="array" aca="1" ref="B38" ca="1">[1]!s_west_netprofit($B$1,2026,$A38,180,1000000)</f>
        <v>#NAME?</v>
      </c>
      <c r="C38" s="20" t="e" cm="1">
        <f t="array" aca="1" ref="C38" ca="1">[1]!s_dq_close($B$1,$A38,3)</f>
        <v>#NAME?</v>
      </c>
    </row>
    <row r="39" spans="1:3" ht="18">
      <c r="A39" s="21">
        <f t="shared" ca="1" si="0"/>
        <v>45965</v>
      </c>
      <c r="B39" s="19" t="e" cm="1">
        <f t="array" aca="1" ref="B39" ca="1">[1]!s_west_netprofit($B$1,2026,$A39,180,1000000)</f>
        <v>#NAME?</v>
      </c>
      <c r="C39" s="20" t="e" cm="1">
        <f t="array" aca="1" ref="C39" ca="1">[1]!s_dq_close($B$1,$A39,3)</f>
        <v>#NAME?</v>
      </c>
    </row>
    <row r="40" spans="1:3" ht="18">
      <c r="A40" s="21">
        <f t="shared" ca="1" si="0"/>
        <v>45958</v>
      </c>
      <c r="B40" s="19" t="e" cm="1">
        <f t="array" aca="1" ref="B40" ca="1">[1]!s_west_netprofit($B$1,2026,$A40,180,1000000)</f>
        <v>#NAME?</v>
      </c>
      <c r="C40" s="20" t="e" cm="1">
        <f t="array" aca="1" ref="C40" ca="1">[1]!s_dq_close($B$1,$A40,3)</f>
        <v>#NAME?</v>
      </c>
    </row>
    <row r="41" spans="1:3" ht="18">
      <c r="A41" s="21">
        <f t="shared" ca="1" si="0"/>
        <v>45951</v>
      </c>
      <c r="B41" s="19" t="e" cm="1">
        <f t="array" aca="1" ref="B41" ca="1">[1]!s_west_netprofit($B$1,2026,$A41,180,1000000)</f>
        <v>#NAME?</v>
      </c>
      <c r="C41" s="20" t="e" cm="1">
        <f t="array" aca="1" ref="C41" ca="1">[1]!s_dq_close($B$1,$A41,3)</f>
        <v>#NAME?</v>
      </c>
    </row>
    <row r="42" spans="1:3" ht="18">
      <c r="A42" s="21">
        <f t="shared" ca="1" si="0"/>
        <v>45944</v>
      </c>
      <c r="B42" s="19" t="e" cm="1">
        <f t="array" aca="1" ref="B42" ca="1">[1]!s_west_netprofit($B$1,2026,$A42,180,1000000)</f>
        <v>#NAME?</v>
      </c>
      <c r="C42" s="20" t="e" cm="1">
        <f t="array" aca="1" ref="C42" ca="1">[1]!s_dq_close($B$1,$A42,3)</f>
        <v>#NAME?</v>
      </c>
    </row>
    <row r="43" spans="1:3" ht="18">
      <c r="A43" s="21">
        <f t="shared" ca="1" si="0"/>
        <v>45937</v>
      </c>
      <c r="B43" s="19" t="e" cm="1">
        <f t="array" aca="1" ref="B43" ca="1">[1]!s_west_netprofit($B$1,2026,$A43,180,1000000)</f>
        <v>#NAME?</v>
      </c>
      <c r="C43" s="20" t="e" cm="1">
        <f t="array" aca="1" ref="C43" ca="1">[1]!s_dq_close($B$1,$A43,3)</f>
        <v>#NAME?</v>
      </c>
    </row>
    <row r="44" spans="1:3" ht="18">
      <c r="A44" s="21">
        <f t="shared" ca="1" si="0"/>
        <v>45930</v>
      </c>
      <c r="B44" s="19" t="e" cm="1">
        <f t="array" aca="1" ref="B44" ca="1">[1]!s_west_netprofit($B$1,2026,$A44,180,1000000)</f>
        <v>#NAME?</v>
      </c>
      <c r="C44" s="20" t="e" cm="1">
        <f t="array" aca="1" ref="C44" ca="1">[1]!s_dq_close($B$1,$A44,3)</f>
        <v>#NAME?</v>
      </c>
    </row>
    <row r="45" spans="1:3" ht="18">
      <c r="A45" s="21">
        <f t="shared" ca="1" si="0"/>
        <v>45923</v>
      </c>
      <c r="B45" s="19" t="e" cm="1">
        <f t="array" aca="1" ref="B45" ca="1">[1]!s_west_netprofit($B$1,2026,$A45,180,1000000)</f>
        <v>#NAME?</v>
      </c>
      <c r="C45" s="20" t="e" cm="1">
        <f t="array" aca="1" ref="C45" ca="1">[1]!s_dq_close($B$1,$A45,3)</f>
        <v>#NAME?</v>
      </c>
    </row>
    <row r="46" spans="1:3" ht="18">
      <c r="A46" s="21">
        <f t="shared" ca="1" si="0"/>
        <v>45916</v>
      </c>
      <c r="B46" s="19" t="e" cm="1">
        <f t="array" aca="1" ref="B46" ca="1">[1]!s_west_netprofit($B$1,2026,$A46,180,1000000)</f>
        <v>#NAME?</v>
      </c>
      <c r="C46" s="20" t="e" cm="1">
        <f t="array" aca="1" ref="C46" ca="1">[1]!s_dq_close($B$1,$A46,3)</f>
        <v>#NAME?</v>
      </c>
    </row>
    <row r="47" spans="1:3" ht="18">
      <c r="A47" s="21">
        <f t="shared" ca="1" si="0"/>
        <v>45909</v>
      </c>
      <c r="B47" s="19" t="e" cm="1">
        <f t="array" aca="1" ref="B47" ca="1">[1]!s_west_netprofit($B$1,2026,$A47,180,1000000)</f>
        <v>#NAME?</v>
      </c>
      <c r="C47" s="20" t="e" cm="1">
        <f t="array" aca="1" ref="C47" ca="1">[1]!s_dq_close($B$1,$A47,3)</f>
        <v>#NAME?</v>
      </c>
    </row>
    <row r="48" spans="1:3" ht="18">
      <c r="A48" s="21">
        <f t="shared" ca="1" si="0"/>
        <v>45902</v>
      </c>
      <c r="B48" s="19" t="e" cm="1">
        <f t="array" aca="1" ref="B48" ca="1">[1]!s_west_netprofit($B$1,2026,$A48,180,1000000)</f>
        <v>#NAME?</v>
      </c>
      <c r="C48" s="20" t="e" cm="1">
        <f t="array" aca="1" ref="C48" ca="1">[1]!s_dq_close($B$1,$A48,3)</f>
        <v>#NAME?</v>
      </c>
    </row>
    <row r="49" spans="1:3" ht="18">
      <c r="A49" s="21">
        <f t="shared" ca="1" si="0"/>
        <v>45895</v>
      </c>
      <c r="B49" s="19" t="e" cm="1">
        <f t="array" aca="1" ref="B49" ca="1">[1]!s_west_netprofit($B$1,2026,$A49,180,1000000)</f>
        <v>#NAME?</v>
      </c>
      <c r="C49" s="20" t="e" cm="1">
        <f t="array" aca="1" ref="C49" ca="1">[1]!s_dq_close($B$1,$A49,3)</f>
        <v>#NAME?</v>
      </c>
    </row>
    <row r="50" spans="1:3" ht="18">
      <c r="A50" s="21">
        <f t="shared" ca="1" si="0"/>
        <v>45888</v>
      </c>
      <c r="B50" s="19" t="e" cm="1">
        <f t="array" aca="1" ref="B50" ca="1">[1]!s_west_netprofit($B$1,2026,$A50,180,1000000)</f>
        <v>#NAME?</v>
      </c>
      <c r="C50" s="20" t="e" cm="1">
        <f t="array" aca="1" ref="C50" ca="1">[1]!s_dq_close($B$1,$A50,3)</f>
        <v>#NAME?</v>
      </c>
    </row>
    <row r="51" spans="1:3" ht="18">
      <c r="A51" s="21">
        <f t="shared" ca="1" si="0"/>
        <v>45881</v>
      </c>
      <c r="B51" s="19" t="e" cm="1">
        <f t="array" aca="1" ref="B51" ca="1">[1]!s_west_netprofit($B$1,2026,$A51,180,1000000)</f>
        <v>#NAME?</v>
      </c>
      <c r="C51" s="20" t="e" cm="1">
        <f t="array" aca="1" ref="C51" ca="1">[1]!s_dq_close($B$1,$A51,3)</f>
        <v>#NAME?</v>
      </c>
    </row>
    <row r="52" spans="1:3" ht="18">
      <c r="A52" s="21">
        <f t="shared" ca="1" si="0"/>
        <v>45874</v>
      </c>
      <c r="B52" s="19" t="e" cm="1">
        <f t="array" aca="1" ref="B52" ca="1">[1]!s_west_netprofit($B$1,2026,$A52,180,1000000)</f>
        <v>#NAME?</v>
      </c>
      <c r="C52" s="20" t="e" cm="1">
        <f t="array" aca="1" ref="C52" ca="1">[1]!s_dq_close($B$1,$A52,3)</f>
        <v>#NAME?</v>
      </c>
    </row>
    <row r="53" spans="1:3" ht="18">
      <c r="A53" s="21">
        <f t="shared" ca="1" si="0"/>
        <v>45867</v>
      </c>
      <c r="B53" s="19" t="e" cm="1">
        <f t="array" aca="1" ref="B53" ca="1">[1]!s_west_netprofit($B$1,2026,$A53,180,1000000)</f>
        <v>#NAME?</v>
      </c>
      <c r="C53" s="20" t="e" cm="1">
        <f t="array" aca="1" ref="C53" ca="1">[1]!s_dq_close($B$1,$A53,3)</f>
        <v>#NAME?</v>
      </c>
    </row>
    <row r="54" spans="1:3" ht="18">
      <c r="A54" s="21">
        <f t="shared" ca="1" si="0"/>
        <v>45860</v>
      </c>
      <c r="B54" s="19" t="e" cm="1">
        <f t="array" aca="1" ref="B54" ca="1">[1]!s_west_netprofit($B$1,2026,$A54,180,1000000)</f>
        <v>#NAME?</v>
      </c>
      <c r="C54" s="20" t="e" cm="1">
        <f t="array" aca="1" ref="C54" ca="1">[1]!s_dq_close($B$1,$A54,3)</f>
        <v>#NAME?</v>
      </c>
    </row>
    <row r="55" spans="1:3" ht="18">
      <c r="A55" s="21">
        <f t="shared" ca="1" si="0"/>
        <v>45853</v>
      </c>
      <c r="B55" s="19" t="e" cm="1">
        <f t="array" aca="1" ref="B55" ca="1">[1]!s_west_netprofit($B$1,2026,$A55,180,1000000)</f>
        <v>#NAME?</v>
      </c>
      <c r="C55" s="20" t="e" cm="1">
        <f t="array" aca="1" ref="C55" ca="1">[1]!s_dq_close($B$1,$A55,3)</f>
        <v>#NAME?</v>
      </c>
    </row>
    <row r="56" spans="1:3" ht="18">
      <c r="A56" s="21">
        <f t="shared" ca="1" si="0"/>
        <v>45846</v>
      </c>
      <c r="B56" s="19" t="e" cm="1">
        <f t="array" aca="1" ref="B56" ca="1">[1]!s_west_netprofit($B$1,2026,$A56,180,1000000)</f>
        <v>#NAME?</v>
      </c>
      <c r="C56" s="20" t="e" cm="1">
        <f t="array" aca="1" ref="C56" ca="1">[1]!s_dq_close($B$1,$A56,3)</f>
        <v>#NAME?</v>
      </c>
    </row>
    <row r="57" spans="1:3" ht="18">
      <c r="A57" s="21">
        <f t="shared" ca="1" si="0"/>
        <v>45839</v>
      </c>
      <c r="B57" s="19" t="e" cm="1">
        <f t="array" aca="1" ref="B57" ca="1">[1]!s_west_netprofit($B$1,2026,$A57,180,1000000)</f>
        <v>#NAME?</v>
      </c>
      <c r="C57" s="20" t="e" cm="1">
        <f t="array" aca="1" ref="C57" ca="1">[1]!s_dq_close($B$1,$A57,3)</f>
        <v>#NAME?</v>
      </c>
    </row>
    <row r="58" spans="1:3" ht="18">
      <c r="A58" s="21">
        <f t="shared" ca="1" si="0"/>
        <v>45832</v>
      </c>
      <c r="B58" s="19" t="e" cm="1">
        <f t="array" aca="1" ref="B58" ca="1">[1]!s_west_netprofit($B$1,2026,$A58,180,1000000)</f>
        <v>#NAME?</v>
      </c>
      <c r="C58" s="20" t="e" cm="1">
        <f t="array" aca="1" ref="C58" ca="1">[1]!s_dq_close($B$1,$A58,3)</f>
        <v>#NAME?</v>
      </c>
    </row>
    <row r="59" spans="1:3" ht="18">
      <c r="A59" s="21">
        <f t="shared" ca="1" si="0"/>
        <v>45825</v>
      </c>
      <c r="B59" s="19" t="e" cm="1">
        <f t="array" aca="1" ref="B59" ca="1">[1]!s_west_netprofit($B$1,2026,$A59,180,1000000)</f>
        <v>#NAME?</v>
      </c>
      <c r="C59" s="20" t="e" cm="1">
        <f t="array" aca="1" ref="C59" ca="1">[1]!s_dq_close($B$1,$A59,3)</f>
        <v>#NAME?</v>
      </c>
    </row>
    <row r="60" spans="1:3" ht="18">
      <c r="A60" s="21">
        <f t="shared" ca="1" si="0"/>
        <v>45818</v>
      </c>
      <c r="B60" s="19" t="e" cm="1">
        <f t="array" aca="1" ref="B60" ca="1">[1]!s_west_netprofit($B$1,2026,$A60,180,1000000)</f>
        <v>#NAME?</v>
      </c>
      <c r="C60" s="20" t="e" cm="1">
        <f t="array" aca="1" ref="C60" ca="1">[1]!s_dq_close($B$1,$A60,3)</f>
        <v>#NAME?</v>
      </c>
    </row>
    <row r="61" spans="1:3" ht="18">
      <c r="A61" s="21">
        <f t="shared" ca="1" si="0"/>
        <v>45811</v>
      </c>
      <c r="B61" s="19" t="e" cm="1">
        <f t="array" aca="1" ref="B61" ca="1">[1]!s_west_netprofit($B$1,2026,$A61,180,1000000)</f>
        <v>#NAME?</v>
      </c>
      <c r="C61" s="20" t="e" cm="1">
        <f t="array" aca="1" ref="C61" ca="1">[1]!s_dq_close($B$1,$A61,3)</f>
        <v>#NAME?</v>
      </c>
    </row>
    <row r="62" spans="1:3" ht="18">
      <c r="A62" s="21">
        <f t="shared" ca="1" si="0"/>
        <v>45804</v>
      </c>
      <c r="B62" s="19" t="e" cm="1">
        <f t="array" aca="1" ref="B62" ca="1">[1]!s_west_netprofit($B$1,2026,$A62,180,1000000)</f>
        <v>#NAME?</v>
      </c>
      <c r="C62" s="20" t="e" cm="1">
        <f t="array" aca="1" ref="C62" ca="1">[1]!s_dq_close($B$1,$A62,3)</f>
        <v>#NAME?</v>
      </c>
    </row>
    <row r="63" spans="1:3" ht="18">
      <c r="A63" s="21">
        <f t="shared" ca="1" si="0"/>
        <v>45797</v>
      </c>
      <c r="B63" s="19" t="e" cm="1">
        <f t="array" aca="1" ref="B63" ca="1">[1]!s_west_netprofit($B$1,2026,$A63,180,1000000)</f>
        <v>#NAME?</v>
      </c>
      <c r="C63" s="20" t="e" cm="1">
        <f t="array" aca="1" ref="C63" ca="1">[1]!s_dq_close($B$1,$A63,3)</f>
        <v>#NAME?</v>
      </c>
    </row>
    <row r="64" spans="1:3" ht="18">
      <c r="A64" s="21">
        <f t="shared" ca="1" si="0"/>
        <v>45790</v>
      </c>
      <c r="B64" s="19" t="e" cm="1">
        <f t="array" aca="1" ref="B64" ca="1">[1]!s_west_netprofit($B$1,2026,$A64,180,1000000)</f>
        <v>#NAME?</v>
      </c>
      <c r="C64" s="20" t="e" cm="1">
        <f t="array" aca="1" ref="C64" ca="1">[1]!s_dq_close($B$1,$A64,3)</f>
        <v>#NAME?</v>
      </c>
    </row>
    <row r="65" spans="1:3" ht="18">
      <c r="A65" s="21">
        <f t="shared" ca="1" si="0"/>
        <v>45783</v>
      </c>
      <c r="B65" s="19" t="e" cm="1">
        <f t="array" aca="1" ref="B65" ca="1">[1]!s_west_netprofit($B$1,2026,$A65,180,1000000)</f>
        <v>#NAME?</v>
      </c>
      <c r="C65" s="20" t="e" cm="1">
        <f t="array" aca="1" ref="C65" ca="1">[1]!s_dq_close($B$1,$A65,3)</f>
        <v>#NAME?</v>
      </c>
    </row>
    <row r="66" spans="1:3" ht="18">
      <c r="A66" s="21">
        <f t="shared" ca="1" si="0"/>
        <v>45776</v>
      </c>
      <c r="B66" s="19" t="e" cm="1">
        <f t="array" aca="1" ref="B66" ca="1">[1]!s_west_netprofit($B$1,2026,$A66,180,1000000)</f>
        <v>#NAME?</v>
      </c>
      <c r="C66" s="20" t="e" cm="1">
        <f t="array" aca="1" ref="C66" ca="1">[1]!s_dq_close($B$1,$A66,3)</f>
        <v>#NAME?</v>
      </c>
    </row>
    <row r="67" spans="1:3" ht="18">
      <c r="A67" s="21">
        <f t="shared" ca="1" si="0"/>
        <v>45769</v>
      </c>
      <c r="B67" s="19" t="e" cm="1">
        <f t="array" aca="1" ref="B67" ca="1">[1]!s_west_netprofit($B$1,2026,$A67,180,1000000)</f>
        <v>#NAME?</v>
      </c>
      <c r="C67" s="20" t="e" cm="1">
        <f t="array" aca="1" ref="C67" ca="1">[1]!s_dq_close($B$1,$A67,3)</f>
        <v>#NAME?</v>
      </c>
    </row>
    <row r="68" spans="1:3" ht="18">
      <c r="A68" s="21">
        <f t="shared" ca="1" si="0"/>
        <v>45762</v>
      </c>
      <c r="B68" s="19" t="e" cm="1">
        <f t="array" aca="1" ref="B68" ca="1">[1]!s_west_netprofit($B$1,2026,$A68,180,1000000)</f>
        <v>#NAME?</v>
      </c>
      <c r="C68" s="20" t="e" cm="1">
        <f t="array" aca="1" ref="C68" ca="1">[1]!s_dq_close($B$1,$A68,3)</f>
        <v>#NAME?</v>
      </c>
    </row>
    <row r="69" spans="1:3" ht="18">
      <c r="A69" s="21">
        <f t="shared" ca="1" si="0"/>
        <v>45755</v>
      </c>
      <c r="B69" s="19" t="e" cm="1">
        <f t="array" aca="1" ref="B69" ca="1">[1]!s_west_netprofit($B$1,2026,$A69,180,1000000)</f>
        <v>#NAME?</v>
      </c>
      <c r="C69" s="20" t="e" cm="1">
        <f t="array" aca="1" ref="C69" ca="1">[1]!s_dq_close($B$1,$A69,3)</f>
        <v>#NAME?</v>
      </c>
    </row>
    <row r="70" spans="1:3" ht="18">
      <c r="A70" s="21">
        <f t="shared" ca="1" si="0"/>
        <v>45748</v>
      </c>
      <c r="B70" s="19" t="e" cm="1">
        <f t="array" aca="1" ref="B70" ca="1">[1]!s_west_netprofit($B$1,2026,$A70,180,1000000)</f>
        <v>#NAME?</v>
      </c>
      <c r="C70" s="20" t="e" cm="1">
        <f t="array" aca="1" ref="C70" ca="1">[1]!s_dq_close($B$1,$A70,3)</f>
        <v>#NAME?</v>
      </c>
    </row>
    <row r="71" spans="1:3" ht="18">
      <c r="A71" s="21">
        <f t="shared" ca="1" si="0"/>
        <v>45741</v>
      </c>
      <c r="B71" s="19" t="e" cm="1">
        <f t="array" aca="1" ref="B71" ca="1">[1]!s_west_netprofit($B$1,2026,$A71,180,1000000)</f>
        <v>#NAME?</v>
      </c>
      <c r="C71" s="20" t="e" cm="1">
        <f t="array" aca="1" ref="C71" ca="1">[1]!s_dq_close($B$1,$A71,3)</f>
        <v>#NAME?</v>
      </c>
    </row>
    <row r="72" spans="1:3" ht="18">
      <c r="A72" s="21">
        <f t="shared" ca="1" si="0"/>
        <v>45734</v>
      </c>
      <c r="B72" s="19" t="e" cm="1">
        <f t="array" aca="1" ref="B72" ca="1">[1]!s_west_netprofit($B$1,2026,$A72,180,1000000)</f>
        <v>#NAME?</v>
      </c>
      <c r="C72" s="20" t="e" cm="1">
        <f t="array" aca="1" ref="C72" ca="1">[1]!s_dq_close($B$1,$A72,3)</f>
        <v>#NAME?</v>
      </c>
    </row>
    <row r="73" spans="1:3" ht="18">
      <c r="A73" s="21">
        <f t="shared" ca="1" si="0"/>
        <v>45727</v>
      </c>
      <c r="B73" s="19" t="e" cm="1">
        <f t="array" aca="1" ref="B73" ca="1">[1]!s_west_netprofit($B$1,2026,$A73,180,1000000)</f>
        <v>#NAME?</v>
      </c>
      <c r="C73" s="20" t="e" cm="1">
        <f t="array" aca="1" ref="C73" ca="1">[1]!s_dq_close($B$1,$A73,3)</f>
        <v>#NAME?</v>
      </c>
    </row>
    <row r="74" spans="1:3" ht="18">
      <c r="A74" s="21">
        <f t="shared" ca="1" si="0"/>
        <v>45720</v>
      </c>
      <c r="B74" s="19" t="e" cm="1">
        <f t="array" aca="1" ref="B74" ca="1">[1]!s_west_netprofit($B$1,2026,$A74,180,1000000)</f>
        <v>#NAME?</v>
      </c>
      <c r="C74" s="20" t="e" cm="1">
        <f t="array" aca="1" ref="C74" ca="1">[1]!s_dq_close($B$1,$A74,3)</f>
        <v>#NAME?</v>
      </c>
    </row>
    <row r="75" spans="1:3" ht="18">
      <c r="A75" s="21">
        <f t="shared" ca="1" si="0"/>
        <v>45713</v>
      </c>
      <c r="B75" s="19" t="e" cm="1">
        <f t="array" aca="1" ref="B75" ca="1">[1]!s_west_netprofit($B$1,2026,$A75,180,1000000)</f>
        <v>#NAME?</v>
      </c>
      <c r="C75" s="20" t="e" cm="1">
        <f t="array" aca="1" ref="C75" ca="1">[1]!s_dq_close($B$1,$A75,3)</f>
        <v>#NAME?</v>
      </c>
    </row>
    <row r="76" spans="1:3" ht="18">
      <c r="A76" s="21">
        <f t="shared" ref="A76:A99" ca="1" si="1">A75-7</f>
        <v>45706</v>
      </c>
      <c r="B76" s="19" t="e" cm="1">
        <f t="array" aca="1" ref="B76" ca="1">[1]!s_west_netprofit($B$1,2026,$A76,180,1000000)</f>
        <v>#NAME?</v>
      </c>
      <c r="C76" s="20" t="e" cm="1">
        <f t="array" aca="1" ref="C76" ca="1">[1]!s_dq_close($B$1,$A76,3)</f>
        <v>#NAME?</v>
      </c>
    </row>
    <row r="77" spans="1:3" ht="18">
      <c r="A77" s="21">
        <f t="shared" ca="1" si="1"/>
        <v>45699</v>
      </c>
      <c r="B77" s="19" t="e" cm="1">
        <f t="array" aca="1" ref="B77" ca="1">[1]!s_west_netprofit($B$1,2026,$A77,180,1000000)</f>
        <v>#NAME?</v>
      </c>
      <c r="C77" s="20" t="e" cm="1">
        <f t="array" aca="1" ref="C77" ca="1">[1]!s_dq_close($B$1,$A77,3)</f>
        <v>#NAME?</v>
      </c>
    </row>
    <row r="78" spans="1:3" ht="18">
      <c r="A78" s="21">
        <f t="shared" ca="1" si="1"/>
        <v>45692</v>
      </c>
      <c r="B78" s="19" t="e" cm="1">
        <f t="array" aca="1" ref="B78" ca="1">[1]!s_west_netprofit($B$1,2026,$A78,180,1000000)</f>
        <v>#NAME?</v>
      </c>
      <c r="C78" s="20" t="e" cm="1">
        <f t="array" aca="1" ref="C78" ca="1">[1]!s_dq_close($B$1,$A78,3)</f>
        <v>#NAME?</v>
      </c>
    </row>
    <row r="79" spans="1:3" ht="18">
      <c r="A79" s="21">
        <f t="shared" ca="1" si="1"/>
        <v>45685</v>
      </c>
      <c r="B79" s="19" t="e" cm="1">
        <f t="array" aca="1" ref="B79" ca="1">[1]!s_west_netprofit($B$1,2026,$A79,180,1000000)</f>
        <v>#NAME?</v>
      </c>
      <c r="C79" s="20" t="e" cm="1">
        <f t="array" aca="1" ref="C79" ca="1">[1]!s_dq_close($B$1,$A79,3)</f>
        <v>#NAME?</v>
      </c>
    </row>
    <row r="80" spans="1:3" ht="18">
      <c r="A80" s="21">
        <f t="shared" ca="1" si="1"/>
        <v>45678</v>
      </c>
      <c r="B80" s="19" t="e" cm="1">
        <f t="array" aca="1" ref="B80" ca="1">[1]!s_west_netprofit($B$1,2026,$A80,180,1000000)</f>
        <v>#NAME?</v>
      </c>
      <c r="C80" s="20" t="e" cm="1">
        <f t="array" aca="1" ref="C80" ca="1">[1]!s_dq_close($B$1,$A80,3)</f>
        <v>#NAME?</v>
      </c>
    </row>
    <row r="81" spans="1:3" ht="18">
      <c r="A81" s="21">
        <f t="shared" ca="1" si="1"/>
        <v>45671</v>
      </c>
      <c r="B81" s="19" t="e" cm="1">
        <f t="array" aca="1" ref="B81" ca="1">[1]!s_west_netprofit($B$1,2026,$A81,180,1000000)</f>
        <v>#NAME?</v>
      </c>
      <c r="C81" s="20" t="e" cm="1">
        <f t="array" aca="1" ref="C81" ca="1">[1]!s_dq_close($B$1,$A81,3)</f>
        <v>#NAME?</v>
      </c>
    </row>
    <row r="82" spans="1:3" ht="18">
      <c r="A82" s="21">
        <f t="shared" ca="1" si="1"/>
        <v>45664</v>
      </c>
      <c r="B82" s="19" t="e" cm="1">
        <f t="array" aca="1" ref="B82" ca="1">[1]!s_west_netprofit($B$1,2026,$A82,180,1000000)</f>
        <v>#NAME?</v>
      </c>
      <c r="C82" s="20" t="e" cm="1">
        <f t="array" aca="1" ref="C82" ca="1">[1]!s_dq_close($B$1,$A82,3)</f>
        <v>#NAME?</v>
      </c>
    </row>
    <row r="83" spans="1:3" ht="18">
      <c r="A83" s="21">
        <f t="shared" ca="1" si="1"/>
        <v>45657</v>
      </c>
      <c r="B83" s="19" t="e" cm="1">
        <f t="array" aca="1" ref="B83" ca="1">[1]!s_west_netprofit($B$1,2026,$A83,180,1000000)</f>
        <v>#NAME?</v>
      </c>
      <c r="C83" s="20" t="e" cm="1">
        <f t="array" aca="1" ref="C83" ca="1">[1]!s_dq_close($B$1,$A83,3)</f>
        <v>#NAME?</v>
      </c>
    </row>
    <row r="84" spans="1:3" ht="18">
      <c r="A84" s="21">
        <f t="shared" ca="1" si="1"/>
        <v>45650</v>
      </c>
      <c r="B84" s="19" t="e" cm="1">
        <f t="array" aca="1" ref="B84" ca="1">[1]!s_west_netprofit($B$1,2026,$A84,180,1000000)</f>
        <v>#NAME?</v>
      </c>
      <c r="C84" s="20" t="e" cm="1">
        <f t="array" aca="1" ref="C84" ca="1">[1]!s_dq_close($B$1,$A84,3)</f>
        <v>#NAME?</v>
      </c>
    </row>
    <row r="85" spans="1:3" ht="18">
      <c r="A85" s="21">
        <f t="shared" ca="1" si="1"/>
        <v>45643</v>
      </c>
      <c r="B85" s="19" t="e" cm="1">
        <f t="array" aca="1" ref="B85" ca="1">[1]!s_west_netprofit($B$1,2026,$A85,180,1000000)</f>
        <v>#NAME?</v>
      </c>
      <c r="C85" s="20" t="e" cm="1">
        <f t="array" aca="1" ref="C85" ca="1">[1]!s_dq_close($B$1,$A85,3)</f>
        <v>#NAME?</v>
      </c>
    </row>
    <row r="86" spans="1:3" ht="18">
      <c r="A86" s="21">
        <f t="shared" ca="1" si="1"/>
        <v>45636</v>
      </c>
      <c r="B86" s="19" t="e" cm="1">
        <f t="array" aca="1" ref="B86" ca="1">[1]!s_west_netprofit($B$1,2026,$A86,180,1000000)</f>
        <v>#NAME?</v>
      </c>
      <c r="C86" s="20" t="e" cm="1">
        <f t="array" aca="1" ref="C86" ca="1">[1]!s_dq_close($B$1,$A86,3)</f>
        <v>#NAME?</v>
      </c>
    </row>
    <row r="87" spans="1:3" ht="18">
      <c r="A87" s="21">
        <f t="shared" ca="1" si="1"/>
        <v>45629</v>
      </c>
      <c r="B87" s="19" t="e" cm="1">
        <f t="array" aca="1" ref="B87" ca="1">[1]!s_west_netprofit($B$1,2026,$A87,180,1000000)</f>
        <v>#NAME?</v>
      </c>
      <c r="C87" s="20" t="e" cm="1">
        <f t="array" aca="1" ref="C87" ca="1">[1]!s_dq_close($B$1,$A87,3)</f>
        <v>#NAME?</v>
      </c>
    </row>
    <row r="88" spans="1:3" ht="18">
      <c r="A88" s="21">
        <f t="shared" ca="1" si="1"/>
        <v>45622</v>
      </c>
      <c r="B88" s="19" t="e" cm="1">
        <f t="array" aca="1" ref="B88" ca="1">[1]!s_west_netprofit($B$1,2026,$A88,180,1000000)</f>
        <v>#NAME?</v>
      </c>
      <c r="C88" s="20" t="e" cm="1">
        <f t="array" aca="1" ref="C88" ca="1">[1]!s_dq_close($B$1,$A88,3)</f>
        <v>#NAME?</v>
      </c>
    </row>
    <row r="89" spans="1:3" ht="18">
      <c r="A89" s="21">
        <f t="shared" ca="1" si="1"/>
        <v>45615</v>
      </c>
      <c r="B89" s="19" t="e" cm="1">
        <f t="array" aca="1" ref="B89" ca="1">[1]!s_west_netprofit($B$1,2026,$A89,180,1000000)</f>
        <v>#NAME?</v>
      </c>
      <c r="C89" s="20" t="e" cm="1">
        <f t="array" aca="1" ref="C89" ca="1">[1]!s_dq_close($B$1,$A89,3)</f>
        <v>#NAME?</v>
      </c>
    </row>
    <row r="90" spans="1:3" ht="18">
      <c r="A90" s="21">
        <f t="shared" ca="1" si="1"/>
        <v>45608</v>
      </c>
      <c r="B90" s="19" t="e" cm="1">
        <f t="array" aca="1" ref="B90" ca="1">[1]!s_west_netprofit($B$1,2026,$A90,180,1000000)</f>
        <v>#NAME?</v>
      </c>
      <c r="C90" s="20" t="e" cm="1">
        <f t="array" aca="1" ref="C90" ca="1">[1]!s_dq_close($B$1,$A90,3)</f>
        <v>#NAME?</v>
      </c>
    </row>
    <row r="91" spans="1:3" ht="18">
      <c r="A91" s="21">
        <f t="shared" ca="1" si="1"/>
        <v>45601</v>
      </c>
      <c r="B91" s="19" t="e" cm="1">
        <f t="array" aca="1" ref="B91" ca="1">[1]!s_west_netprofit($B$1,2026,$A91,180,1000000)</f>
        <v>#NAME?</v>
      </c>
      <c r="C91" s="20" t="e" cm="1">
        <f t="array" aca="1" ref="C91" ca="1">[1]!s_dq_close($B$1,$A91,3)</f>
        <v>#NAME?</v>
      </c>
    </row>
    <row r="92" spans="1:3" ht="18">
      <c r="A92" s="21">
        <f t="shared" ca="1" si="1"/>
        <v>45594</v>
      </c>
      <c r="B92" s="19" t="e" cm="1">
        <f t="array" aca="1" ref="B92" ca="1">[1]!s_west_netprofit($B$1,2026,$A92,180,1000000)</f>
        <v>#NAME?</v>
      </c>
      <c r="C92" s="20" t="e" cm="1">
        <f t="array" aca="1" ref="C92" ca="1">[1]!s_dq_close($B$1,$A92,3)</f>
        <v>#NAME?</v>
      </c>
    </row>
    <row r="93" spans="1:3" ht="18">
      <c r="A93" s="21">
        <f t="shared" ca="1" si="1"/>
        <v>45587</v>
      </c>
      <c r="B93" s="19" t="e" cm="1">
        <f t="array" aca="1" ref="B93" ca="1">[1]!s_west_netprofit($B$1,2026,$A93,180,1000000)</f>
        <v>#NAME?</v>
      </c>
      <c r="C93" s="20" t="e" cm="1">
        <f t="array" aca="1" ref="C93" ca="1">[1]!s_dq_close($B$1,$A93,3)</f>
        <v>#NAME?</v>
      </c>
    </row>
    <row r="94" spans="1:3" ht="18">
      <c r="A94" s="21">
        <f t="shared" ca="1" si="1"/>
        <v>45580</v>
      </c>
      <c r="B94" s="19" t="e" cm="1">
        <f t="array" aca="1" ref="B94" ca="1">[1]!s_west_netprofit($B$1,2026,$A94,180,1000000)</f>
        <v>#NAME?</v>
      </c>
      <c r="C94" s="20" t="e" cm="1">
        <f t="array" aca="1" ref="C94" ca="1">[1]!s_dq_close($B$1,$A94,3)</f>
        <v>#NAME?</v>
      </c>
    </row>
    <row r="95" spans="1:3" ht="18">
      <c r="A95" s="21">
        <f t="shared" ca="1" si="1"/>
        <v>45573</v>
      </c>
      <c r="B95" s="19" t="e" cm="1">
        <f t="array" aca="1" ref="B95" ca="1">[1]!s_west_netprofit($B$1,2026,$A95,180,1000000)</f>
        <v>#NAME?</v>
      </c>
      <c r="C95" s="20" t="e" cm="1">
        <f t="array" aca="1" ref="C95" ca="1">[1]!s_dq_close($B$1,$A95,3)</f>
        <v>#NAME?</v>
      </c>
    </row>
    <row r="96" spans="1:3" ht="18">
      <c r="A96" s="21">
        <f t="shared" ca="1" si="1"/>
        <v>45566</v>
      </c>
      <c r="B96" s="19" t="e" cm="1">
        <f t="array" aca="1" ref="B96" ca="1">[1]!s_west_netprofit($B$1,2026,$A96,180,1000000)</f>
        <v>#NAME?</v>
      </c>
      <c r="C96" s="20" t="e" cm="1">
        <f t="array" aca="1" ref="C96" ca="1">[1]!s_dq_close($B$1,$A96,3)</f>
        <v>#NAME?</v>
      </c>
    </row>
    <row r="97" spans="1:3" ht="18">
      <c r="A97" s="21">
        <f t="shared" ca="1" si="1"/>
        <v>45559</v>
      </c>
      <c r="B97" s="19" t="e" cm="1">
        <f t="array" aca="1" ref="B97" ca="1">[1]!s_west_netprofit($B$1,2026,$A97,180,1000000)</f>
        <v>#NAME?</v>
      </c>
      <c r="C97" s="20" t="e" cm="1">
        <f t="array" aca="1" ref="C97" ca="1">[1]!s_dq_close($B$1,$A97,3)</f>
        <v>#NAME?</v>
      </c>
    </row>
    <row r="98" spans="1:3" ht="18">
      <c r="A98" s="21">
        <f t="shared" ca="1" si="1"/>
        <v>45552</v>
      </c>
      <c r="B98" s="19" t="e" cm="1">
        <f t="array" aca="1" ref="B98" ca="1">[1]!s_west_netprofit($B$1,2026,$A98,180,1000000)</f>
        <v>#NAME?</v>
      </c>
      <c r="C98" s="20" t="e" cm="1">
        <f t="array" aca="1" ref="C98" ca="1">[1]!s_dq_close($B$1,$A98,3)</f>
        <v>#NAME?</v>
      </c>
    </row>
    <row r="99" spans="1:3" ht="19" thickBot="1">
      <c r="A99" s="22">
        <f t="shared" ca="1" si="1"/>
        <v>45545</v>
      </c>
      <c r="B99" s="23" t="e" cm="1">
        <f t="array" aca="1" ref="B99" ca="1">[1]!s_west_netprofit($B$1,2026,$A99,180,1000000)</f>
        <v>#NAME?</v>
      </c>
      <c r="C99" s="24" t="e" cm="1">
        <f t="array" aca="1" ref="C99" ca="1">[1]!s_dq_close($B$1,$A99,3)</f>
        <v>#NAME?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34EE-75B6-074D-BBE8-9E94B335CE98}">
  <dimension ref="A1:D99"/>
  <sheetViews>
    <sheetView workbookViewId="0">
      <selection sqref="A1:XFD1048576"/>
    </sheetView>
  </sheetViews>
  <sheetFormatPr baseColWidth="10" defaultColWidth="9.1640625" defaultRowHeight="16"/>
  <cols>
    <col min="1" max="1" width="36.33203125" customWidth="1"/>
    <col min="2" max="2" width="26" customWidth="1"/>
    <col min="3" max="3" width="40" customWidth="1"/>
    <col min="4" max="4" width="11" bestFit="1" customWidth="1"/>
  </cols>
  <sheetData>
    <row r="1" spans="1:4" ht="17" thickBot="1">
      <c r="A1" t="e">
        <f ca="1">[1]!S_INFO_NAME($B$1)</f>
        <v>#NAME?</v>
      </c>
      <c r="B1" s="1"/>
      <c r="C1" t="s">
        <v>0</v>
      </c>
      <c r="D1" s="2">
        <f ca="1">TODAY()</f>
        <v>46161</v>
      </c>
    </row>
    <row r="2" spans="1:4" s="6" customFormat="1" ht="18">
      <c r="A2" s="3" t="s">
        <v>4</v>
      </c>
      <c r="B2" s="4">
        <v>2025</v>
      </c>
      <c r="C2" s="5">
        <v>2026</v>
      </c>
    </row>
    <row r="3" spans="1:4" s="6" customFormat="1" ht="18">
      <c r="A3" s="7" t="s">
        <v>5</v>
      </c>
      <c r="B3" s="8" t="e">
        <f ca="1">[1]!s_west_instnum_np($B$1,2025,$D$1,180)</f>
        <v>#NAME?</v>
      </c>
      <c r="C3" s="9" t="e">
        <f ca="1">[1]!s_west_instnum_np($B$1,2026,$D$1,180)</f>
        <v>#NAME?</v>
      </c>
    </row>
    <row r="4" spans="1:4" s="6" customFormat="1" ht="18">
      <c r="A4" s="7" t="s">
        <v>2</v>
      </c>
      <c r="B4" s="10" t="e">
        <f ca="1">[1]!s_west_instnum_np($A$1,2025,$D$1,180)</f>
        <v>#NAME?</v>
      </c>
      <c r="C4" s="11" t="e">
        <f ca="1">[1]!s_west_netprofit($B$1,2026,$D$1,180,1000000)</f>
        <v>#NAME?</v>
      </c>
    </row>
    <row r="5" spans="1:4" s="6" customFormat="1" ht="18">
      <c r="A5" s="7" t="s">
        <v>6</v>
      </c>
      <c r="B5" s="10" t="e">
        <f ca="1">[1]!s_west_maxnetprofit($B$1,2025,$D$1,180,1000000)</f>
        <v>#NAME?</v>
      </c>
      <c r="C5" s="11" t="e">
        <f ca="1">[1]!s_west_maxnetprofit($B$1,2026,$D$1,180,1000000)</f>
        <v>#NAME?</v>
      </c>
    </row>
    <row r="6" spans="1:4" s="6" customFormat="1" ht="18">
      <c r="A6" s="7" t="s">
        <v>7</v>
      </c>
      <c r="B6" s="10" t="e">
        <f ca="1">[1]!s_west_minnetprofit($B$1,2025,$D$1,180,1000000)</f>
        <v>#NAME?</v>
      </c>
      <c r="C6" s="11" t="e">
        <f ca="1">[1]!s_west_minnetprofit($B$1,2026,$D$1,180,1000000)</f>
        <v>#NAME?</v>
      </c>
    </row>
    <row r="7" spans="1:4" s="6" customFormat="1" ht="18">
      <c r="A7" s="7" t="s">
        <v>8</v>
      </c>
      <c r="B7" s="10" t="e">
        <f ca="1">[1]!s_west_mediannetprofit($B$1,2025,$D$1,180,1000000)</f>
        <v>#NAME?</v>
      </c>
      <c r="C7" s="11" t="e">
        <f ca="1">[1]!s_west_mediannetprofit($B$1,2026,$D$1,180,1000000)</f>
        <v>#NAME?</v>
      </c>
    </row>
    <row r="8" spans="1:4" s="6" customFormat="1" ht="19" thickBot="1">
      <c r="A8" s="12" t="s">
        <v>9</v>
      </c>
      <c r="B8" s="13" t="e">
        <f ca="1">[1]!s_west_stdnetprofit($B$1,2025,$D$1,180,1000000)</f>
        <v>#NAME?</v>
      </c>
      <c r="C8" s="14" t="e">
        <f ca="1">[1]!s_west_stdnetprofit($B$1,2026,$D$1,180,1000000)</f>
        <v>#NAME?</v>
      </c>
    </row>
    <row r="10" spans="1:4">
      <c r="A10" s="15" t="s">
        <v>1</v>
      </c>
      <c r="B10" s="16" t="s">
        <v>2</v>
      </c>
      <c r="C10" s="17" t="s">
        <v>3</v>
      </c>
    </row>
    <row r="11" spans="1:4" ht="18">
      <c r="A11" s="18">
        <f ca="1">TODAY()-IF(WEEKDAY(TODAY(),2)=6,1,IF(WEEKDAY(TODAY(),2)=7,2,0))</f>
        <v>46161</v>
      </c>
      <c r="B11" s="19" t="e" cm="1">
        <f t="array" aca="1" ref="B11" ca="1">[1]!s_west_netprofit($B$1,2026,$A11,180,1000000)</f>
        <v>#NAME?</v>
      </c>
      <c r="C11" s="20" t="e" cm="1">
        <f t="array" aca="1" ref="C11" ca="1">[1]!s_dq_close($B$1,$A11,3)</f>
        <v>#NAME?</v>
      </c>
    </row>
    <row r="12" spans="1:4" ht="18">
      <c r="A12" s="21">
        <f t="shared" ref="A12:A75" ca="1" si="0">A11-7</f>
        <v>46154</v>
      </c>
      <c r="B12" s="19" t="e" cm="1">
        <f t="array" aca="1" ref="B12" ca="1">[1]!s_west_netprofit($B$1,2026,$A12,180,1000000)</f>
        <v>#NAME?</v>
      </c>
      <c r="C12" s="20" t="e" cm="1">
        <f t="array" aca="1" ref="C12" ca="1">[1]!s_dq_close($B$1,$A12,3)</f>
        <v>#NAME?</v>
      </c>
    </row>
    <row r="13" spans="1:4" ht="18">
      <c r="A13" s="21">
        <f t="shared" ca="1" si="0"/>
        <v>46147</v>
      </c>
      <c r="B13" s="19" t="e" cm="1">
        <f t="array" aca="1" ref="B13" ca="1">[1]!s_west_netprofit($B$1,2026,$A13,180,1000000)</f>
        <v>#NAME?</v>
      </c>
      <c r="C13" s="20" t="e" cm="1">
        <f t="array" aca="1" ref="C13" ca="1">[1]!s_dq_close($B$1,$A13,3)</f>
        <v>#NAME?</v>
      </c>
    </row>
    <row r="14" spans="1:4" ht="18">
      <c r="A14" s="21">
        <f t="shared" ca="1" si="0"/>
        <v>46140</v>
      </c>
      <c r="B14" s="19" t="e" cm="1">
        <f t="array" aca="1" ref="B14" ca="1">[1]!s_west_netprofit($B$1,2026,$A14,180,1000000)</f>
        <v>#NAME?</v>
      </c>
      <c r="C14" s="20" t="e" cm="1">
        <f t="array" aca="1" ref="C14" ca="1">[1]!s_dq_close($B$1,$A14,3)</f>
        <v>#NAME?</v>
      </c>
    </row>
    <row r="15" spans="1:4" ht="18">
      <c r="A15" s="21">
        <f t="shared" ca="1" si="0"/>
        <v>46133</v>
      </c>
      <c r="B15" s="19" t="e" cm="1">
        <f t="array" aca="1" ref="B15" ca="1">[1]!s_west_netprofit($B$1,2026,$A15,180,1000000)</f>
        <v>#NAME?</v>
      </c>
      <c r="C15" s="20" t="e" cm="1">
        <f t="array" aca="1" ref="C15" ca="1">[1]!s_dq_close($B$1,$A15,3)</f>
        <v>#NAME?</v>
      </c>
    </row>
    <row r="16" spans="1:4" ht="18">
      <c r="A16" s="21">
        <f t="shared" ca="1" si="0"/>
        <v>46126</v>
      </c>
      <c r="B16" s="19" t="e" cm="1">
        <f t="array" aca="1" ref="B16" ca="1">[1]!s_west_netprofit($B$1,2026,$A16,180,1000000)</f>
        <v>#NAME?</v>
      </c>
      <c r="C16" s="20" t="e" cm="1">
        <f t="array" aca="1" ref="C16" ca="1">[1]!s_dq_close($B$1,$A16,3)</f>
        <v>#NAME?</v>
      </c>
    </row>
    <row r="17" spans="1:3" ht="18">
      <c r="A17" s="21">
        <f t="shared" ca="1" si="0"/>
        <v>46119</v>
      </c>
      <c r="B17" s="19" t="e" cm="1">
        <f t="array" aca="1" ref="B17" ca="1">[1]!s_west_netprofit($B$1,2026,$A17,180,1000000)</f>
        <v>#NAME?</v>
      </c>
      <c r="C17" s="20" t="e" cm="1">
        <f t="array" aca="1" ref="C17" ca="1">[1]!s_dq_close($B$1,$A17,3)</f>
        <v>#NAME?</v>
      </c>
    </row>
    <row r="18" spans="1:3" ht="18">
      <c r="A18" s="21">
        <f t="shared" ca="1" si="0"/>
        <v>46112</v>
      </c>
      <c r="B18" s="19" t="e" cm="1">
        <f t="array" aca="1" ref="B18" ca="1">[1]!s_west_netprofit($B$1,2026,$A18,180,1000000)</f>
        <v>#NAME?</v>
      </c>
      <c r="C18" s="20" t="e" cm="1">
        <f t="array" aca="1" ref="C18" ca="1">[1]!s_dq_close($B$1,$A18,3)</f>
        <v>#NAME?</v>
      </c>
    </row>
    <row r="19" spans="1:3" ht="18">
      <c r="A19" s="21">
        <f t="shared" ca="1" si="0"/>
        <v>46105</v>
      </c>
      <c r="B19" s="19" t="e" cm="1">
        <f t="array" aca="1" ref="B19" ca="1">[1]!s_west_netprofit($B$1,2026,$A19,180,1000000)</f>
        <v>#NAME?</v>
      </c>
      <c r="C19" s="20" t="e" cm="1">
        <f t="array" aca="1" ref="C19" ca="1">[1]!s_dq_close($B$1,$A19,3)</f>
        <v>#NAME?</v>
      </c>
    </row>
    <row r="20" spans="1:3" ht="18">
      <c r="A20" s="21">
        <f t="shared" ca="1" si="0"/>
        <v>46098</v>
      </c>
      <c r="B20" s="19" t="e" cm="1">
        <f t="array" aca="1" ref="B20" ca="1">[1]!s_west_netprofit($B$1,2026,$A20,180,1000000)</f>
        <v>#NAME?</v>
      </c>
      <c r="C20" s="20" t="e" cm="1">
        <f t="array" aca="1" ref="C20" ca="1">[1]!s_dq_close($B$1,$A20,3)</f>
        <v>#NAME?</v>
      </c>
    </row>
    <row r="21" spans="1:3" ht="18">
      <c r="A21" s="21">
        <f t="shared" ca="1" si="0"/>
        <v>46091</v>
      </c>
      <c r="B21" s="19" t="e" cm="1">
        <f t="array" aca="1" ref="B21" ca="1">[1]!s_west_netprofit($B$1,2026,$A21,180,1000000)</f>
        <v>#NAME?</v>
      </c>
      <c r="C21" s="20" t="e" cm="1">
        <f t="array" aca="1" ref="C21" ca="1">[1]!s_dq_close($B$1,$A21,3)</f>
        <v>#NAME?</v>
      </c>
    </row>
    <row r="22" spans="1:3" ht="18">
      <c r="A22" s="21">
        <f t="shared" ca="1" si="0"/>
        <v>46084</v>
      </c>
      <c r="B22" s="19" t="e" cm="1">
        <f t="array" aca="1" ref="B22" ca="1">[1]!s_west_netprofit($B$1,2026,$A22,180,1000000)</f>
        <v>#NAME?</v>
      </c>
      <c r="C22" s="20" t="e" cm="1">
        <f t="array" aca="1" ref="C22" ca="1">[1]!s_dq_close($B$1,$A22,3)</f>
        <v>#NAME?</v>
      </c>
    </row>
    <row r="23" spans="1:3" ht="18">
      <c r="A23" s="21">
        <f t="shared" ca="1" si="0"/>
        <v>46077</v>
      </c>
      <c r="B23" s="19" t="e" cm="1">
        <f t="array" aca="1" ref="B23" ca="1">[1]!s_west_netprofit($B$1,2026,$A23,180,1000000)</f>
        <v>#NAME?</v>
      </c>
      <c r="C23" s="20" t="e" cm="1">
        <f t="array" aca="1" ref="C23" ca="1">[1]!s_dq_close($B$1,$A23,3)</f>
        <v>#NAME?</v>
      </c>
    </row>
    <row r="24" spans="1:3" ht="18">
      <c r="A24" s="21">
        <f t="shared" ca="1" si="0"/>
        <v>46070</v>
      </c>
      <c r="B24" s="19" t="e" cm="1">
        <f t="array" aca="1" ref="B24" ca="1">[1]!s_west_netprofit($B$1,2026,$A24,180,1000000)</f>
        <v>#NAME?</v>
      </c>
      <c r="C24" s="20" t="e" cm="1">
        <f t="array" aca="1" ref="C24" ca="1">[1]!s_dq_close($B$1,$A24,3)</f>
        <v>#NAME?</v>
      </c>
    </row>
    <row r="25" spans="1:3" ht="18">
      <c r="A25" s="21">
        <f t="shared" ca="1" si="0"/>
        <v>46063</v>
      </c>
      <c r="B25" s="19" t="e" cm="1">
        <f t="array" aca="1" ref="B25" ca="1">[1]!s_west_netprofit($B$1,2026,$A25,180,1000000)</f>
        <v>#NAME?</v>
      </c>
      <c r="C25" s="20" t="e" cm="1">
        <f t="array" aca="1" ref="C25" ca="1">[1]!s_dq_close($B$1,$A25,3)</f>
        <v>#NAME?</v>
      </c>
    </row>
    <row r="26" spans="1:3" ht="18">
      <c r="A26" s="21">
        <f t="shared" ca="1" si="0"/>
        <v>46056</v>
      </c>
      <c r="B26" s="19" t="e" cm="1">
        <f t="array" aca="1" ref="B26" ca="1">[1]!s_west_netprofit($B$1,2026,$A26,180,1000000)</f>
        <v>#NAME?</v>
      </c>
      <c r="C26" s="20" t="e" cm="1">
        <f t="array" aca="1" ref="C26" ca="1">[1]!s_dq_close($B$1,$A26,3)</f>
        <v>#NAME?</v>
      </c>
    </row>
    <row r="27" spans="1:3" ht="18">
      <c r="A27" s="21">
        <f t="shared" ca="1" si="0"/>
        <v>46049</v>
      </c>
      <c r="B27" s="19" t="e" cm="1">
        <f t="array" aca="1" ref="B27" ca="1">[1]!s_west_netprofit($B$1,2026,$A27,180,1000000)</f>
        <v>#NAME?</v>
      </c>
      <c r="C27" s="20" t="e" cm="1">
        <f t="array" aca="1" ref="C27" ca="1">[1]!s_dq_close($B$1,$A27,3)</f>
        <v>#NAME?</v>
      </c>
    </row>
    <row r="28" spans="1:3" ht="18">
      <c r="A28" s="21">
        <f t="shared" ca="1" si="0"/>
        <v>46042</v>
      </c>
      <c r="B28" s="19" t="e" cm="1">
        <f t="array" aca="1" ref="B28" ca="1">[1]!s_west_netprofit($B$1,2026,$A28,180,1000000)</f>
        <v>#NAME?</v>
      </c>
      <c r="C28" s="20" t="e" cm="1">
        <f t="array" aca="1" ref="C28" ca="1">[1]!s_dq_close($B$1,$A28,3)</f>
        <v>#NAME?</v>
      </c>
    </row>
    <row r="29" spans="1:3" ht="18">
      <c r="A29" s="21">
        <f t="shared" ca="1" si="0"/>
        <v>46035</v>
      </c>
      <c r="B29" s="19" t="e" cm="1">
        <f t="array" aca="1" ref="B29" ca="1">[1]!s_west_netprofit($B$1,2026,$A29,180,1000000)</f>
        <v>#NAME?</v>
      </c>
      <c r="C29" s="20" t="e" cm="1">
        <f t="array" aca="1" ref="C29" ca="1">[1]!s_dq_close($B$1,$A29,3)</f>
        <v>#NAME?</v>
      </c>
    </row>
    <row r="30" spans="1:3" ht="18">
      <c r="A30" s="21">
        <f t="shared" ca="1" si="0"/>
        <v>46028</v>
      </c>
      <c r="B30" s="19" t="e" cm="1">
        <f t="array" aca="1" ref="B30" ca="1">[1]!s_west_netprofit($B$1,2026,$A30,180,1000000)</f>
        <v>#NAME?</v>
      </c>
      <c r="C30" s="20" t="e" cm="1">
        <f t="array" aca="1" ref="C30" ca="1">[1]!s_dq_close($B$1,$A30,3)</f>
        <v>#NAME?</v>
      </c>
    </row>
    <row r="31" spans="1:3" ht="18">
      <c r="A31" s="21">
        <f t="shared" ca="1" si="0"/>
        <v>46021</v>
      </c>
      <c r="B31" s="19" t="e" cm="1">
        <f t="array" aca="1" ref="B31" ca="1">[1]!s_west_netprofit($B$1,2026,$A31,180,1000000)</f>
        <v>#NAME?</v>
      </c>
      <c r="C31" s="20" t="e" cm="1">
        <f t="array" aca="1" ref="C31" ca="1">[1]!s_dq_close($B$1,$A31,3)</f>
        <v>#NAME?</v>
      </c>
    </row>
    <row r="32" spans="1:3" ht="18">
      <c r="A32" s="21">
        <f t="shared" ca="1" si="0"/>
        <v>46014</v>
      </c>
      <c r="B32" s="19" t="e" cm="1">
        <f t="array" aca="1" ref="B32" ca="1">[1]!s_west_netprofit($B$1,2026,$A32,180,1000000)</f>
        <v>#NAME?</v>
      </c>
      <c r="C32" s="20" t="e" cm="1">
        <f t="array" aca="1" ref="C32" ca="1">[1]!s_dq_close($B$1,$A32,3)</f>
        <v>#NAME?</v>
      </c>
    </row>
    <row r="33" spans="1:3" ht="18">
      <c r="A33" s="21">
        <f t="shared" ca="1" si="0"/>
        <v>46007</v>
      </c>
      <c r="B33" s="19" t="e" cm="1">
        <f t="array" aca="1" ref="B33" ca="1">[1]!s_west_netprofit($B$1,2026,$A33,180,1000000)</f>
        <v>#NAME?</v>
      </c>
      <c r="C33" s="20" t="e" cm="1">
        <f t="array" aca="1" ref="C33" ca="1">[1]!s_dq_close($B$1,$A33,3)</f>
        <v>#NAME?</v>
      </c>
    </row>
    <row r="34" spans="1:3" ht="18">
      <c r="A34" s="21">
        <f t="shared" ca="1" si="0"/>
        <v>46000</v>
      </c>
      <c r="B34" s="19" t="e" cm="1">
        <f t="array" aca="1" ref="B34" ca="1">[1]!s_west_netprofit($B$1,2026,$A34,180,1000000)</f>
        <v>#NAME?</v>
      </c>
      <c r="C34" s="20" t="e" cm="1">
        <f t="array" aca="1" ref="C34" ca="1">[1]!s_dq_close($B$1,$A34,3)</f>
        <v>#NAME?</v>
      </c>
    </row>
    <row r="35" spans="1:3" ht="18">
      <c r="A35" s="21">
        <f t="shared" ca="1" si="0"/>
        <v>45993</v>
      </c>
      <c r="B35" s="19" t="e" cm="1">
        <f t="array" aca="1" ref="B35" ca="1">[1]!s_west_netprofit($B$1,2026,$A35,180,1000000)</f>
        <v>#NAME?</v>
      </c>
      <c r="C35" s="20" t="e" cm="1">
        <f t="array" aca="1" ref="C35" ca="1">[1]!s_dq_close($B$1,$A35,3)</f>
        <v>#NAME?</v>
      </c>
    </row>
    <row r="36" spans="1:3" ht="18">
      <c r="A36" s="21">
        <f t="shared" ca="1" si="0"/>
        <v>45986</v>
      </c>
      <c r="B36" s="19" t="e" cm="1">
        <f t="array" aca="1" ref="B36" ca="1">[1]!s_west_netprofit($B$1,2026,$A36,180,1000000)</f>
        <v>#NAME?</v>
      </c>
      <c r="C36" s="20" t="e" cm="1">
        <f t="array" aca="1" ref="C36" ca="1">[1]!s_dq_close($B$1,$A36,3)</f>
        <v>#NAME?</v>
      </c>
    </row>
    <row r="37" spans="1:3" ht="18">
      <c r="A37" s="21">
        <f t="shared" ca="1" si="0"/>
        <v>45979</v>
      </c>
      <c r="B37" s="19" t="e" cm="1">
        <f t="array" aca="1" ref="B37" ca="1">[1]!s_west_netprofit($B$1,2026,$A37,180,1000000)</f>
        <v>#NAME?</v>
      </c>
      <c r="C37" s="20" t="e" cm="1">
        <f t="array" aca="1" ref="C37" ca="1">[1]!s_dq_close($B$1,$A37,3)</f>
        <v>#NAME?</v>
      </c>
    </row>
    <row r="38" spans="1:3" ht="18">
      <c r="A38" s="21">
        <f t="shared" ca="1" si="0"/>
        <v>45972</v>
      </c>
      <c r="B38" s="19" t="e" cm="1">
        <f t="array" aca="1" ref="B38" ca="1">[1]!s_west_netprofit($B$1,2026,$A38,180,1000000)</f>
        <v>#NAME?</v>
      </c>
      <c r="C38" s="20" t="e" cm="1">
        <f t="array" aca="1" ref="C38" ca="1">[1]!s_dq_close($B$1,$A38,3)</f>
        <v>#NAME?</v>
      </c>
    </row>
    <row r="39" spans="1:3" ht="18">
      <c r="A39" s="21">
        <f t="shared" ca="1" si="0"/>
        <v>45965</v>
      </c>
      <c r="B39" s="19" t="e" cm="1">
        <f t="array" aca="1" ref="B39" ca="1">[1]!s_west_netprofit($B$1,2026,$A39,180,1000000)</f>
        <v>#NAME?</v>
      </c>
      <c r="C39" s="20" t="e" cm="1">
        <f t="array" aca="1" ref="C39" ca="1">[1]!s_dq_close($B$1,$A39,3)</f>
        <v>#NAME?</v>
      </c>
    </row>
    <row r="40" spans="1:3" ht="18">
      <c r="A40" s="21">
        <f t="shared" ca="1" si="0"/>
        <v>45958</v>
      </c>
      <c r="B40" s="19" t="e" cm="1">
        <f t="array" aca="1" ref="B40" ca="1">[1]!s_west_netprofit($B$1,2026,$A40,180,1000000)</f>
        <v>#NAME?</v>
      </c>
      <c r="C40" s="20" t="e" cm="1">
        <f t="array" aca="1" ref="C40" ca="1">[1]!s_dq_close($B$1,$A40,3)</f>
        <v>#NAME?</v>
      </c>
    </row>
    <row r="41" spans="1:3" ht="18">
      <c r="A41" s="21">
        <f t="shared" ca="1" si="0"/>
        <v>45951</v>
      </c>
      <c r="B41" s="19" t="e" cm="1">
        <f t="array" aca="1" ref="B41" ca="1">[1]!s_west_netprofit($B$1,2026,$A41,180,1000000)</f>
        <v>#NAME?</v>
      </c>
      <c r="C41" s="20" t="e" cm="1">
        <f t="array" aca="1" ref="C41" ca="1">[1]!s_dq_close($B$1,$A41,3)</f>
        <v>#NAME?</v>
      </c>
    </row>
    <row r="42" spans="1:3" ht="18">
      <c r="A42" s="21">
        <f t="shared" ca="1" si="0"/>
        <v>45944</v>
      </c>
      <c r="B42" s="19" t="e" cm="1">
        <f t="array" aca="1" ref="B42" ca="1">[1]!s_west_netprofit($B$1,2026,$A42,180,1000000)</f>
        <v>#NAME?</v>
      </c>
      <c r="C42" s="20" t="e" cm="1">
        <f t="array" aca="1" ref="C42" ca="1">[1]!s_dq_close($B$1,$A42,3)</f>
        <v>#NAME?</v>
      </c>
    </row>
    <row r="43" spans="1:3" ht="18">
      <c r="A43" s="21">
        <f t="shared" ca="1" si="0"/>
        <v>45937</v>
      </c>
      <c r="B43" s="19" t="e" cm="1">
        <f t="array" aca="1" ref="B43" ca="1">[1]!s_west_netprofit($B$1,2026,$A43,180,1000000)</f>
        <v>#NAME?</v>
      </c>
      <c r="C43" s="20" t="e" cm="1">
        <f t="array" aca="1" ref="C43" ca="1">[1]!s_dq_close($B$1,$A43,3)</f>
        <v>#NAME?</v>
      </c>
    </row>
    <row r="44" spans="1:3" ht="18">
      <c r="A44" s="21">
        <f t="shared" ca="1" si="0"/>
        <v>45930</v>
      </c>
      <c r="B44" s="19" t="e" cm="1">
        <f t="array" aca="1" ref="B44" ca="1">[1]!s_west_netprofit($B$1,2026,$A44,180,1000000)</f>
        <v>#NAME?</v>
      </c>
      <c r="C44" s="20" t="e" cm="1">
        <f t="array" aca="1" ref="C44" ca="1">[1]!s_dq_close($B$1,$A44,3)</f>
        <v>#NAME?</v>
      </c>
    </row>
    <row r="45" spans="1:3" ht="18">
      <c r="A45" s="21">
        <f t="shared" ca="1" si="0"/>
        <v>45923</v>
      </c>
      <c r="B45" s="19" t="e" cm="1">
        <f t="array" aca="1" ref="B45" ca="1">[1]!s_west_netprofit($B$1,2026,$A45,180,1000000)</f>
        <v>#NAME?</v>
      </c>
      <c r="C45" s="20" t="e" cm="1">
        <f t="array" aca="1" ref="C45" ca="1">[1]!s_dq_close($B$1,$A45,3)</f>
        <v>#NAME?</v>
      </c>
    </row>
    <row r="46" spans="1:3" ht="18">
      <c r="A46" s="21">
        <f t="shared" ca="1" si="0"/>
        <v>45916</v>
      </c>
      <c r="B46" s="19" t="e" cm="1">
        <f t="array" aca="1" ref="B46" ca="1">[1]!s_west_netprofit($B$1,2026,$A46,180,1000000)</f>
        <v>#NAME?</v>
      </c>
      <c r="C46" s="20" t="e" cm="1">
        <f t="array" aca="1" ref="C46" ca="1">[1]!s_dq_close($B$1,$A46,3)</f>
        <v>#NAME?</v>
      </c>
    </row>
    <row r="47" spans="1:3" ht="18">
      <c r="A47" s="21">
        <f t="shared" ca="1" si="0"/>
        <v>45909</v>
      </c>
      <c r="B47" s="19" t="e" cm="1">
        <f t="array" aca="1" ref="B47" ca="1">[1]!s_west_netprofit($B$1,2026,$A47,180,1000000)</f>
        <v>#NAME?</v>
      </c>
      <c r="C47" s="20" t="e" cm="1">
        <f t="array" aca="1" ref="C47" ca="1">[1]!s_dq_close($B$1,$A47,3)</f>
        <v>#NAME?</v>
      </c>
    </row>
    <row r="48" spans="1:3" ht="18">
      <c r="A48" s="21">
        <f t="shared" ca="1" si="0"/>
        <v>45902</v>
      </c>
      <c r="B48" s="19" t="e" cm="1">
        <f t="array" aca="1" ref="B48" ca="1">[1]!s_west_netprofit($B$1,2026,$A48,180,1000000)</f>
        <v>#NAME?</v>
      </c>
      <c r="C48" s="20" t="e" cm="1">
        <f t="array" aca="1" ref="C48" ca="1">[1]!s_dq_close($B$1,$A48,3)</f>
        <v>#NAME?</v>
      </c>
    </row>
    <row r="49" spans="1:3" ht="18">
      <c r="A49" s="21">
        <f t="shared" ca="1" si="0"/>
        <v>45895</v>
      </c>
      <c r="B49" s="19" t="e" cm="1">
        <f t="array" aca="1" ref="B49" ca="1">[1]!s_west_netprofit($B$1,2026,$A49,180,1000000)</f>
        <v>#NAME?</v>
      </c>
      <c r="C49" s="20" t="e" cm="1">
        <f t="array" aca="1" ref="C49" ca="1">[1]!s_dq_close($B$1,$A49,3)</f>
        <v>#NAME?</v>
      </c>
    </row>
    <row r="50" spans="1:3" ht="18">
      <c r="A50" s="21">
        <f t="shared" ca="1" si="0"/>
        <v>45888</v>
      </c>
      <c r="B50" s="19" t="e" cm="1">
        <f t="array" aca="1" ref="B50" ca="1">[1]!s_west_netprofit($B$1,2026,$A50,180,1000000)</f>
        <v>#NAME?</v>
      </c>
      <c r="C50" s="20" t="e" cm="1">
        <f t="array" aca="1" ref="C50" ca="1">[1]!s_dq_close($B$1,$A50,3)</f>
        <v>#NAME?</v>
      </c>
    </row>
    <row r="51" spans="1:3" ht="18">
      <c r="A51" s="21">
        <f t="shared" ca="1" si="0"/>
        <v>45881</v>
      </c>
      <c r="B51" s="19" t="e" cm="1">
        <f t="array" aca="1" ref="B51" ca="1">[1]!s_west_netprofit($B$1,2026,$A51,180,1000000)</f>
        <v>#NAME?</v>
      </c>
      <c r="C51" s="20" t="e" cm="1">
        <f t="array" aca="1" ref="C51" ca="1">[1]!s_dq_close($B$1,$A51,3)</f>
        <v>#NAME?</v>
      </c>
    </row>
    <row r="52" spans="1:3" ht="18">
      <c r="A52" s="21">
        <f t="shared" ca="1" si="0"/>
        <v>45874</v>
      </c>
      <c r="B52" s="19" t="e" cm="1">
        <f t="array" aca="1" ref="B52" ca="1">[1]!s_west_netprofit($B$1,2026,$A52,180,1000000)</f>
        <v>#NAME?</v>
      </c>
      <c r="C52" s="20" t="e" cm="1">
        <f t="array" aca="1" ref="C52" ca="1">[1]!s_dq_close($B$1,$A52,3)</f>
        <v>#NAME?</v>
      </c>
    </row>
    <row r="53" spans="1:3" ht="18">
      <c r="A53" s="21">
        <f t="shared" ca="1" si="0"/>
        <v>45867</v>
      </c>
      <c r="B53" s="19" t="e" cm="1">
        <f t="array" aca="1" ref="B53" ca="1">[1]!s_west_netprofit($B$1,2026,$A53,180,1000000)</f>
        <v>#NAME?</v>
      </c>
      <c r="C53" s="20" t="e" cm="1">
        <f t="array" aca="1" ref="C53" ca="1">[1]!s_dq_close($B$1,$A53,3)</f>
        <v>#NAME?</v>
      </c>
    </row>
    <row r="54" spans="1:3" ht="18">
      <c r="A54" s="21">
        <f t="shared" ca="1" si="0"/>
        <v>45860</v>
      </c>
      <c r="B54" s="19" t="e" cm="1">
        <f t="array" aca="1" ref="B54" ca="1">[1]!s_west_netprofit($B$1,2026,$A54,180,1000000)</f>
        <v>#NAME?</v>
      </c>
      <c r="C54" s="20" t="e" cm="1">
        <f t="array" aca="1" ref="C54" ca="1">[1]!s_dq_close($B$1,$A54,3)</f>
        <v>#NAME?</v>
      </c>
    </row>
    <row r="55" spans="1:3" ht="18">
      <c r="A55" s="21">
        <f t="shared" ca="1" si="0"/>
        <v>45853</v>
      </c>
      <c r="B55" s="19" t="e" cm="1">
        <f t="array" aca="1" ref="B55" ca="1">[1]!s_west_netprofit($B$1,2026,$A55,180,1000000)</f>
        <v>#NAME?</v>
      </c>
      <c r="C55" s="20" t="e" cm="1">
        <f t="array" aca="1" ref="C55" ca="1">[1]!s_dq_close($B$1,$A55,3)</f>
        <v>#NAME?</v>
      </c>
    </row>
    <row r="56" spans="1:3" ht="18">
      <c r="A56" s="21">
        <f t="shared" ca="1" si="0"/>
        <v>45846</v>
      </c>
      <c r="B56" s="19" t="e" cm="1">
        <f t="array" aca="1" ref="B56" ca="1">[1]!s_west_netprofit($B$1,2026,$A56,180,1000000)</f>
        <v>#NAME?</v>
      </c>
      <c r="C56" s="20" t="e" cm="1">
        <f t="array" aca="1" ref="C56" ca="1">[1]!s_dq_close($B$1,$A56,3)</f>
        <v>#NAME?</v>
      </c>
    </row>
    <row r="57" spans="1:3" ht="18">
      <c r="A57" s="21">
        <f t="shared" ca="1" si="0"/>
        <v>45839</v>
      </c>
      <c r="B57" s="19" t="e" cm="1">
        <f t="array" aca="1" ref="B57" ca="1">[1]!s_west_netprofit($B$1,2026,$A57,180,1000000)</f>
        <v>#NAME?</v>
      </c>
      <c r="C57" s="20" t="e" cm="1">
        <f t="array" aca="1" ref="C57" ca="1">[1]!s_dq_close($B$1,$A57,3)</f>
        <v>#NAME?</v>
      </c>
    </row>
    <row r="58" spans="1:3" ht="18">
      <c r="A58" s="21">
        <f t="shared" ca="1" si="0"/>
        <v>45832</v>
      </c>
      <c r="B58" s="19" t="e" cm="1">
        <f t="array" aca="1" ref="B58" ca="1">[1]!s_west_netprofit($B$1,2026,$A58,180,1000000)</f>
        <v>#NAME?</v>
      </c>
      <c r="C58" s="20" t="e" cm="1">
        <f t="array" aca="1" ref="C58" ca="1">[1]!s_dq_close($B$1,$A58,3)</f>
        <v>#NAME?</v>
      </c>
    </row>
    <row r="59" spans="1:3" ht="18">
      <c r="A59" s="21">
        <f t="shared" ca="1" si="0"/>
        <v>45825</v>
      </c>
      <c r="B59" s="19" t="e" cm="1">
        <f t="array" aca="1" ref="B59" ca="1">[1]!s_west_netprofit($B$1,2026,$A59,180,1000000)</f>
        <v>#NAME?</v>
      </c>
      <c r="C59" s="20" t="e" cm="1">
        <f t="array" aca="1" ref="C59" ca="1">[1]!s_dq_close($B$1,$A59,3)</f>
        <v>#NAME?</v>
      </c>
    </row>
    <row r="60" spans="1:3" ht="18">
      <c r="A60" s="21">
        <f t="shared" ca="1" si="0"/>
        <v>45818</v>
      </c>
      <c r="B60" s="19" t="e" cm="1">
        <f t="array" aca="1" ref="B60" ca="1">[1]!s_west_netprofit($B$1,2026,$A60,180,1000000)</f>
        <v>#NAME?</v>
      </c>
      <c r="C60" s="20" t="e" cm="1">
        <f t="array" aca="1" ref="C60" ca="1">[1]!s_dq_close($B$1,$A60,3)</f>
        <v>#NAME?</v>
      </c>
    </row>
    <row r="61" spans="1:3" ht="18">
      <c r="A61" s="21">
        <f t="shared" ca="1" si="0"/>
        <v>45811</v>
      </c>
      <c r="B61" s="19" t="e" cm="1">
        <f t="array" aca="1" ref="B61" ca="1">[1]!s_west_netprofit($B$1,2026,$A61,180,1000000)</f>
        <v>#NAME?</v>
      </c>
      <c r="C61" s="20" t="e" cm="1">
        <f t="array" aca="1" ref="C61" ca="1">[1]!s_dq_close($B$1,$A61,3)</f>
        <v>#NAME?</v>
      </c>
    </row>
    <row r="62" spans="1:3" ht="18">
      <c r="A62" s="21">
        <f t="shared" ca="1" si="0"/>
        <v>45804</v>
      </c>
      <c r="B62" s="19" t="e" cm="1">
        <f t="array" aca="1" ref="B62" ca="1">[1]!s_west_netprofit($B$1,2026,$A62,180,1000000)</f>
        <v>#NAME?</v>
      </c>
      <c r="C62" s="20" t="e" cm="1">
        <f t="array" aca="1" ref="C62" ca="1">[1]!s_dq_close($B$1,$A62,3)</f>
        <v>#NAME?</v>
      </c>
    </row>
    <row r="63" spans="1:3" ht="18">
      <c r="A63" s="21">
        <f t="shared" ca="1" si="0"/>
        <v>45797</v>
      </c>
      <c r="B63" s="19" t="e" cm="1">
        <f t="array" aca="1" ref="B63" ca="1">[1]!s_west_netprofit($B$1,2026,$A63,180,1000000)</f>
        <v>#NAME?</v>
      </c>
      <c r="C63" s="20" t="e" cm="1">
        <f t="array" aca="1" ref="C63" ca="1">[1]!s_dq_close($B$1,$A63,3)</f>
        <v>#NAME?</v>
      </c>
    </row>
    <row r="64" spans="1:3" ht="18">
      <c r="A64" s="21">
        <f t="shared" ca="1" si="0"/>
        <v>45790</v>
      </c>
      <c r="B64" s="19" t="e" cm="1">
        <f t="array" aca="1" ref="B64" ca="1">[1]!s_west_netprofit($B$1,2026,$A64,180,1000000)</f>
        <v>#NAME?</v>
      </c>
      <c r="C64" s="20" t="e" cm="1">
        <f t="array" aca="1" ref="C64" ca="1">[1]!s_dq_close($B$1,$A64,3)</f>
        <v>#NAME?</v>
      </c>
    </row>
    <row r="65" spans="1:3" ht="18">
      <c r="A65" s="21">
        <f t="shared" ca="1" si="0"/>
        <v>45783</v>
      </c>
      <c r="B65" s="19" t="e" cm="1">
        <f t="array" aca="1" ref="B65" ca="1">[1]!s_west_netprofit($B$1,2026,$A65,180,1000000)</f>
        <v>#NAME?</v>
      </c>
      <c r="C65" s="20" t="e" cm="1">
        <f t="array" aca="1" ref="C65" ca="1">[1]!s_dq_close($B$1,$A65,3)</f>
        <v>#NAME?</v>
      </c>
    </row>
    <row r="66" spans="1:3" ht="18">
      <c r="A66" s="21">
        <f t="shared" ca="1" si="0"/>
        <v>45776</v>
      </c>
      <c r="B66" s="19" t="e" cm="1">
        <f t="array" aca="1" ref="B66" ca="1">[1]!s_west_netprofit($B$1,2026,$A66,180,1000000)</f>
        <v>#NAME?</v>
      </c>
      <c r="C66" s="20" t="e" cm="1">
        <f t="array" aca="1" ref="C66" ca="1">[1]!s_dq_close($B$1,$A66,3)</f>
        <v>#NAME?</v>
      </c>
    </row>
    <row r="67" spans="1:3" ht="18">
      <c r="A67" s="21">
        <f t="shared" ca="1" si="0"/>
        <v>45769</v>
      </c>
      <c r="B67" s="19" t="e" cm="1">
        <f t="array" aca="1" ref="B67" ca="1">[1]!s_west_netprofit($B$1,2026,$A67,180,1000000)</f>
        <v>#NAME?</v>
      </c>
      <c r="C67" s="20" t="e" cm="1">
        <f t="array" aca="1" ref="C67" ca="1">[1]!s_dq_close($B$1,$A67,3)</f>
        <v>#NAME?</v>
      </c>
    </row>
    <row r="68" spans="1:3" ht="18">
      <c r="A68" s="21">
        <f t="shared" ca="1" si="0"/>
        <v>45762</v>
      </c>
      <c r="B68" s="19" t="e" cm="1">
        <f t="array" aca="1" ref="B68" ca="1">[1]!s_west_netprofit($B$1,2026,$A68,180,1000000)</f>
        <v>#NAME?</v>
      </c>
      <c r="C68" s="20" t="e" cm="1">
        <f t="array" aca="1" ref="C68" ca="1">[1]!s_dq_close($B$1,$A68,3)</f>
        <v>#NAME?</v>
      </c>
    </row>
    <row r="69" spans="1:3" ht="18">
      <c r="A69" s="21">
        <f t="shared" ca="1" si="0"/>
        <v>45755</v>
      </c>
      <c r="B69" s="19" t="e" cm="1">
        <f t="array" aca="1" ref="B69" ca="1">[1]!s_west_netprofit($B$1,2026,$A69,180,1000000)</f>
        <v>#NAME?</v>
      </c>
      <c r="C69" s="20" t="e" cm="1">
        <f t="array" aca="1" ref="C69" ca="1">[1]!s_dq_close($B$1,$A69,3)</f>
        <v>#NAME?</v>
      </c>
    </row>
    <row r="70" spans="1:3" ht="18">
      <c r="A70" s="21">
        <f t="shared" ca="1" si="0"/>
        <v>45748</v>
      </c>
      <c r="B70" s="19" t="e" cm="1">
        <f t="array" aca="1" ref="B70" ca="1">[1]!s_west_netprofit($B$1,2026,$A70,180,1000000)</f>
        <v>#NAME?</v>
      </c>
      <c r="C70" s="20" t="e" cm="1">
        <f t="array" aca="1" ref="C70" ca="1">[1]!s_dq_close($B$1,$A70,3)</f>
        <v>#NAME?</v>
      </c>
    </row>
    <row r="71" spans="1:3" ht="18">
      <c r="A71" s="21">
        <f t="shared" ca="1" si="0"/>
        <v>45741</v>
      </c>
      <c r="B71" s="19" t="e" cm="1">
        <f t="array" aca="1" ref="B71" ca="1">[1]!s_west_netprofit($B$1,2026,$A71,180,1000000)</f>
        <v>#NAME?</v>
      </c>
      <c r="C71" s="20" t="e" cm="1">
        <f t="array" aca="1" ref="C71" ca="1">[1]!s_dq_close($B$1,$A71,3)</f>
        <v>#NAME?</v>
      </c>
    </row>
    <row r="72" spans="1:3" ht="18">
      <c r="A72" s="21">
        <f t="shared" ca="1" si="0"/>
        <v>45734</v>
      </c>
      <c r="B72" s="19" t="e" cm="1">
        <f t="array" aca="1" ref="B72" ca="1">[1]!s_west_netprofit($B$1,2026,$A72,180,1000000)</f>
        <v>#NAME?</v>
      </c>
      <c r="C72" s="20" t="e" cm="1">
        <f t="array" aca="1" ref="C72" ca="1">[1]!s_dq_close($B$1,$A72,3)</f>
        <v>#NAME?</v>
      </c>
    </row>
    <row r="73" spans="1:3" ht="18">
      <c r="A73" s="21">
        <f t="shared" ca="1" si="0"/>
        <v>45727</v>
      </c>
      <c r="B73" s="19" t="e" cm="1">
        <f t="array" aca="1" ref="B73" ca="1">[1]!s_west_netprofit($B$1,2026,$A73,180,1000000)</f>
        <v>#NAME?</v>
      </c>
      <c r="C73" s="20" t="e" cm="1">
        <f t="array" aca="1" ref="C73" ca="1">[1]!s_dq_close($B$1,$A73,3)</f>
        <v>#NAME?</v>
      </c>
    </row>
    <row r="74" spans="1:3" ht="18">
      <c r="A74" s="21">
        <f t="shared" ca="1" si="0"/>
        <v>45720</v>
      </c>
      <c r="B74" s="19" t="e" cm="1">
        <f t="array" aca="1" ref="B74" ca="1">[1]!s_west_netprofit($B$1,2026,$A74,180,1000000)</f>
        <v>#NAME?</v>
      </c>
      <c r="C74" s="20" t="e" cm="1">
        <f t="array" aca="1" ref="C74" ca="1">[1]!s_dq_close($B$1,$A74,3)</f>
        <v>#NAME?</v>
      </c>
    </row>
    <row r="75" spans="1:3" ht="18">
      <c r="A75" s="21">
        <f t="shared" ca="1" si="0"/>
        <v>45713</v>
      </c>
      <c r="B75" s="19" t="e" cm="1">
        <f t="array" aca="1" ref="B75" ca="1">[1]!s_west_netprofit($B$1,2026,$A75,180,1000000)</f>
        <v>#NAME?</v>
      </c>
      <c r="C75" s="20" t="e" cm="1">
        <f t="array" aca="1" ref="C75" ca="1">[1]!s_dq_close($B$1,$A75,3)</f>
        <v>#NAME?</v>
      </c>
    </row>
    <row r="76" spans="1:3" ht="18">
      <c r="A76" s="21">
        <f t="shared" ref="A76:A99" ca="1" si="1">A75-7</f>
        <v>45706</v>
      </c>
      <c r="B76" s="19" t="e" cm="1">
        <f t="array" aca="1" ref="B76" ca="1">[1]!s_west_netprofit($B$1,2026,$A76,180,1000000)</f>
        <v>#NAME?</v>
      </c>
      <c r="C76" s="20" t="e" cm="1">
        <f t="array" aca="1" ref="C76" ca="1">[1]!s_dq_close($B$1,$A76,3)</f>
        <v>#NAME?</v>
      </c>
    </row>
    <row r="77" spans="1:3" ht="18">
      <c r="A77" s="21">
        <f t="shared" ca="1" si="1"/>
        <v>45699</v>
      </c>
      <c r="B77" s="19" t="e" cm="1">
        <f t="array" aca="1" ref="B77" ca="1">[1]!s_west_netprofit($B$1,2026,$A77,180,1000000)</f>
        <v>#NAME?</v>
      </c>
      <c r="C77" s="20" t="e" cm="1">
        <f t="array" aca="1" ref="C77" ca="1">[1]!s_dq_close($B$1,$A77,3)</f>
        <v>#NAME?</v>
      </c>
    </row>
    <row r="78" spans="1:3" ht="18">
      <c r="A78" s="21">
        <f t="shared" ca="1" si="1"/>
        <v>45692</v>
      </c>
      <c r="B78" s="19" t="e" cm="1">
        <f t="array" aca="1" ref="B78" ca="1">[1]!s_west_netprofit($B$1,2026,$A78,180,1000000)</f>
        <v>#NAME?</v>
      </c>
      <c r="C78" s="20" t="e" cm="1">
        <f t="array" aca="1" ref="C78" ca="1">[1]!s_dq_close($B$1,$A78,3)</f>
        <v>#NAME?</v>
      </c>
    </row>
    <row r="79" spans="1:3" ht="18">
      <c r="A79" s="21">
        <f t="shared" ca="1" si="1"/>
        <v>45685</v>
      </c>
      <c r="B79" s="19" t="e" cm="1">
        <f t="array" aca="1" ref="B79" ca="1">[1]!s_west_netprofit($B$1,2026,$A79,180,1000000)</f>
        <v>#NAME?</v>
      </c>
      <c r="C79" s="20" t="e" cm="1">
        <f t="array" aca="1" ref="C79" ca="1">[1]!s_dq_close($B$1,$A79,3)</f>
        <v>#NAME?</v>
      </c>
    </row>
    <row r="80" spans="1:3" ht="18">
      <c r="A80" s="21">
        <f t="shared" ca="1" si="1"/>
        <v>45678</v>
      </c>
      <c r="B80" s="19" t="e" cm="1">
        <f t="array" aca="1" ref="B80" ca="1">[1]!s_west_netprofit($B$1,2026,$A80,180,1000000)</f>
        <v>#NAME?</v>
      </c>
      <c r="C80" s="20" t="e" cm="1">
        <f t="array" aca="1" ref="C80" ca="1">[1]!s_dq_close($B$1,$A80,3)</f>
        <v>#NAME?</v>
      </c>
    </row>
    <row r="81" spans="1:3" ht="18">
      <c r="A81" s="21">
        <f t="shared" ca="1" si="1"/>
        <v>45671</v>
      </c>
      <c r="B81" s="19" t="e" cm="1">
        <f t="array" aca="1" ref="B81" ca="1">[1]!s_west_netprofit($B$1,2026,$A81,180,1000000)</f>
        <v>#NAME?</v>
      </c>
      <c r="C81" s="20" t="e" cm="1">
        <f t="array" aca="1" ref="C81" ca="1">[1]!s_dq_close($B$1,$A81,3)</f>
        <v>#NAME?</v>
      </c>
    </row>
    <row r="82" spans="1:3" ht="18">
      <c r="A82" s="21">
        <f t="shared" ca="1" si="1"/>
        <v>45664</v>
      </c>
      <c r="B82" s="19" t="e" cm="1">
        <f t="array" aca="1" ref="B82" ca="1">[1]!s_west_netprofit($B$1,2026,$A82,180,1000000)</f>
        <v>#NAME?</v>
      </c>
      <c r="C82" s="20" t="e" cm="1">
        <f t="array" aca="1" ref="C82" ca="1">[1]!s_dq_close($B$1,$A82,3)</f>
        <v>#NAME?</v>
      </c>
    </row>
    <row r="83" spans="1:3" ht="18">
      <c r="A83" s="21">
        <f t="shared" ca="1" si="1"/>
        <v>45657</v>
      </c>
      <c r="B83" s="19" t="e" cm="1">
        <f t="array" aca="1" ref="B83" ca="1">[1]!s_west_netprofit($B$1,2026,$A83,180,1000000)</f>
        <v>#NAME?</v>
      </c>
      <c r="C83" s="20" t="e" cm="1">
        <f t="array" aca="1" ref="C83" ca="1">[1]!s_dq_close($B$1,$A83,3)</f>
        <v>#NAME?</v>
      </c>
    </row>
    <row r="84" spans="1:3" ht="18">
      <c r="A84" s="21">
        <f t="shared" ca="1" si="1"/>
        <v>45650</v>
      </c>
      <c r="B84" s="19" t="e" cm="1">
        <f t="array" aca="1" ref="B84" ca="1">[1]!s_west_netprofit($B$1,2026,$A84,180,1000000)</f>
        <v>#NAME?</v>
      </c>
      <c r="C84" s="20" t="e" cm="1">
        <f t="array" aca="1" ref="C84" ca="1">[1]!s_dq_close($B$1,$A84,3)</f>
        <v>#NAME?</v>
      </c>
    </row>
    <row r="85" spans="1:3" ht="18">
      <c r="A85" s="21">
        <f t="shared" ca="1" si="1"/>
        <v>45643</v>
      </c>
      <c r="B85" s="19" t="e" cm="1">
        <f t="array" aca="1" ref="B85" ca="1">[1]!s_west_netprofit($B$1,2026,$A85,180,1000000)</f>
        <v>#NAME?</v>
      </c>
      <c r="C85" s="20" t="e" cm="1">
        <f t="array" aca="1" ref="C85" ca="1">[1]!s_dq_close($B$1,$A85,3)</f>
        <v>#NAME?</v>
      </c>
    </row>
    <row r="86" spans="1:3" ht="18">
      <c r="A86" s="21">
        <f t="shared" ca="1" si="1"/>
        <v>45636</v>
      </c>
      <c r="B86" s="19" t="e" cm="1">
        <f t="array" aca="1" ref="B86" ca="1">[1]!s_west_netprofit($B$1,2026,$A86,180,1000000)</f>
        <v>#NAME?</v>
      </c>
      <c r="C86" s="20" t="e" cm="1">
        <f t="array" aca="1" ref="C86" ca="1">[1]!s_dq_close($B$1,$A86,3)</f>
        <v>#NAME?</v>
      </c>
    </row>
    <row r="87" spans="1:3" ht="18">
      <c r="A87" s="21">
        <f t="shared" ca="1" si="1"/>
        <v>45629</v>
      </c>
      <c r="B87" s="19" t="e" cm="1">
        <f t="array" aca="1" ref="B87" ca="1">[1]!s_west_netprofit($B$1,2026,$A87,180,1000000)</f>
        <v>#NAME?</v>
      </c>
      <c r="C87" s="20" t="e" cm="1">
        <f t="array" aca="1" ref="C87" ca="1">[1]!s_dq_close($B$1,$A87,3)</f>
        <v>#NAME?</v>
      </c>
    </row>
    <row r="88" spans="1:3" ht="18">
      <c r="A88" s="21">
        <f t="shared" ca="1" si="1"/>
        <v>45622</v>
      </c>
      <c r="B88" s="19" t="e" cm="1">
        <f t="array" aca="1" ref="B88" ca="1">[1]!s_west_netprofit($B$1,2026,$A88,180,1000000)</f>
        <v>#NAME?</v>
      </c>
      <c r="C88" s="20" t="e" cm="1">
        <f t="array" aca="1" ref="C88" ca="1">[1]!s_dq_close($B$1,$A88,3)</f>
        <v>#NAME?</v>
      </c>
    </row>
    <row r="89" spans="1:3" ht="18">
      <c r="A89" s="21">
        <f t="shared" ca="1" si="1"/>
        <v>45615</v>
      </c>
      <c r="B89" s="19" t="e" cm="1">
        <f t="array" aca="1" ref="B89" ca="1">[1]!s_west_netprofit($B$1,2026,$A89,180,1000000)</f>
        <v>#NAME?</v>
      </c>
      <c r="C89" s="20" t="e" cm="1">
        <f t="array" aca="1" ref="C89" ca="1">[1]!s_dq_close($B$1,$A89,3)</f>
        <v>#NAME?</v>
      </c>
    </row>
    <row r="90" spans="1:3" ht="18">
      <c r="A90" s="21">
        <f t="shared" ca="1" si="1"/>
        <v>45608</v>
      </c>
      <c r="B90" s="19" t="e" cm="1">
        <f t="array" aca="1" ref="B90" ca="1">[1]!s_west_netprofit($B$1,2026,$A90,180,1000000)</f>
        <v>#NAME?</v>
      </c>
      <c r="C90" s="20" t="e" cm="1">
        <f t="array" aca="1" ref="C90" ca="1">[1]!s_dq_close($B$1,$A90,3)</f>
        <v>#NAME?</v>
      </c>
    </row>
    <row r="91" spans="1:3" ht="18">
      <c r="A91" s="21">
        <f t="shared" ca="1" si="1"/>
        <v>45601</v>
      </c>
      <c r="B91" s="19" t="e" cm="1">
        <f t="array" aca="1" ref="B91" ca="1">[1]!s_west_netprofit($B$1,2026,$A91,180,1000000)</f>
        <v>#NAME?</v>
      </c>
      <c r="C91" s="20" t="e" cm="1">
        <f t="array" aca="1" ref="C91" ca="1">[1]!s_dq_close($B$1,$A91,3)</f>
        <v>#NAME?</v>
      </c>
    </row>
    <row r="92" spans="1:3" ht="18">
      <c r="A92" s="21">
        <f t="shared" ca="1" si="1"/>
        <v>45594</v>
      </c>
      <c r="B92" s="19" t="e" cm="1">
        <f t="array" aca="1" ref="B92" ca="1">[1]!s_west_netprofit($B$1,2026,$A92,180,1000000)</f>
        <v>#NAME?</v>
      </c>
      <c r="C92" s="20" t="e" cm="1">
        <f t="array" aca="1" ref="C92" ca="1">[1]!s_dq_close($B$1,$A92,3)</f>
        <v>#NAME?</v>
      </c>
    </row>
    <row r="93" spans="1:3" ht="18">
      <c r="A93" s="21">
        <f t="shared" ca="1" si="1"/>
        <v>45587</v>
      </c>
      <c r="B93" s="19" t="e" cm="1">
        <f t="array" aca="1" ref="B93" ca="1">[1]!s_west_netprofit($B$1,2026,$A93,180,1000000)</f>
        <v>#NAME?</v>
      </c>
      <c r="C93" s="20" t="e" cm="1">
        <f t="array" aca="1" ref="C93" ca="1">[1]!s_dq_close($B$1,$A93,3)</f>
        <v>#NAME?</v>
      </c>
    </row>
    <row r="94" spans="1:3" ht="18">
      <c r="A94" s="21">
        <f t="shared" ca="1" si="1"/>
        <v>45580</v>
      </c>
      <c r="B94" s="19" t="e" cm="1">
        <f t="array" aca="1" ref="B94" ca="1">[1]!s_west_netprofit($B$1,2026,$A94,180,1000000)</f>
        <v>#NAME?</v>
      </c>
      <c r="C94" s="20" t="e" cm="1">
        <f t="array" aca="1" ref="C94" ca="1">[1]!s_dq_close($B$1,$A94,3)</f>
        <v>#NAME?</v>
      </c>
    </row>
    <row r="95" spans="1:3" ht="18">
      <c r="A95" s="21">
        <f t="shared" ca="1" si="1"/>
        <v>45573</v>
      </c>
      <c r="B95" s="19" t="e" cm="1">
        <f t="array" aca="1" ref="B95" ca="1">[1]!s_west_netprofit($B$1,2026,$A95,180,1000000)</f>
        <v>#NAME?</v>
      </c>
      <c r="C95" s="20" t="e" cm="1">
        <f t="array" aca="1" ref="C95" ca="1">[1]!s_dq_close($B$1,$A95,3)</f>
        <v>#NAME?</v>
      </c>
    </row>
    <row r="96" spans="1:3" ht="18">
      <c r="A96" s="21">
        <f t="shared" ca="1" si="1"/>
        <v>45566</v>
      </c>
      <c r="B96" s="19" t="e" cm="1">
        <f t="array" aca="1" ref="B96" ca="1">[1]!s_west_netprofit($B$1,2026,$A96,180,1000000)</f>
        <v>#NAME?</v>
      </c>
      <c r="C96" s="20" t="e" cm="1">
        <f t="array" aca="1" ref="C96" ca="1">[1]!s_dq_close($B$1,$A96,3)</f>
        <v>#NAME?</v>
      </c>
    </row>
    <row r="97" spans="1:3" ht="18">
      <c r="A97" s="21">
        <f t="shared" ca="1" si="1"/>
        <v>45559</v>
      </c>
      <c r="B97" s="19" t="e" cm="1">
        <f t="array" aca="1" ref="B97" ca="1">[1]!s_west_netprofit($B$1,2026,$A97,180,1000000)</f>
        <v>#NAME?</v>
      </c>
      <c r="C97" s="20" t="e" cm="1">
        <f t="array" aca="1" ref="C97" ca="1">[1]!s_dq_close($B$1,$A97,3)</f>
        <v>#NAME?</v>
      </c>
    </row>
    <row r="98" spans="1:3" ht="18">
      <c r="A98" s="21">
        <f t="shared" ca="1" si="1"/>
        <v>45552</v>
      </c>
      <c r="B98" s="19" t="e" cm="1">
        <f t="array" aca="1" ref="B98" ca="1">[1]!s_west_netprofit($B$1,2026,$A98,180,1000000)</f>
        <v>#NAME?</v>
      </c>
      <c r="C98" s="20" t="e" cm="1">
        <f t="array" aca="1" ref="C98" ca="1">[1]!s_dq_close($B$1,$A98,3)</f>
        <v>#NAME?</v>
      </c>
    </row>
    <row r="99" spans="1:3" ht="19" thickBot="1">
      <c r="A99" s="22">
        <f t="shared" ca="1" si="1"/>
        <v>45545</v>
      </c>
      <c r="B99" s="23" t="e" cm="1">
        <f t="array" aca="1" ref="B99" ca="1">[1]!s_west_netprofit($B$1,2026,$A99,180,1000000)</f>
        <v>#NAME?</v>
      </c>
      <c r="C99" s="24" t="e" cm="1">
        <f t="array" aca="1" ref="C99" ca="1">[1]!s_dq_close($B$1,$A99,3)</f>
        <v>#NAME?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08613-C79E-C145-A32F-A0F9F1CB3456}">
  <dimension ref="A1:D99"/>
  <sheetViews>
    <sheetView workbookViewId="0">
      <selection sqref="A1:XFD1048576"/>
    </sheetView>
  </sheetViews>
  <sheetFormatPr baseColWidth="10" defaultColWidth="9.1640625" defaultRowHeight="16"/>
  <cols>
    <col min="1" max="1" width="36.33203125" customWidth="1"/>
    <col min="2" max="2" width="26" customWidth="1"/>
    <col min="3" max="3" width="40" customWidth="1"/>
    <col min="4" max="4" width="11" bestFit="1" customWidth="1"/>
  </cols>
  <sheetData>
    <row r="1" spans="1:4" ht="17" thickBot="1">
      <c r="A1" t="e">
        <f ca="1">[1]!S_INFO_NAME($B$1)</f>
        <v>#NAME?</v>
      </c>
      <c r="B1" s="1"/>
      <c r="C1" t="s">
        <v>0</v>
      </c>
      <c r="D1" s="2">
        <f ca="1">TODAY()</f>
        <v>46161</v>
      </c>
    </row>
    <row r="2" spans="1:4" s="6" customFormat="1" ht="18">
      <c r="A2" s="3" t="s">
        <v>4</v>
      </c>
      <c r="B2" s="4">
        <v>2025</v>
      </c>
      <c r="C2" s="5">
        <v>2026</v>
      </c>
    </row>
    <row r="3" spans="1:4" s="6" customFormat="1" ht="18">
      <c r="A3" s="7" t="s">
        <v>5</v>
      </c>
      <c r="B3" s="8" t="e">
        <f ca="1">[1]!s_west_instnum_np($B$1,2025,$D$1,180)</f>
        <v>#NAME?</v>
      </c>
      <c r="C3" s="9" t="e">
        <f ca="1">[1]!s_west_instnum_np($B$1,2026,$D$1,180)</f>
        <v>#NAME?</v>
      </c>
    </row>
    <row r="4" spans="1:4" s="6" customFormat="1" ht="18">
      <c r="A4" s="7" t="s">
        <v>2</v>
      </c>
      <c r="B4" s="10" t="e">
        <f ca="1">[1]!s_west_instnum_np($A$1,2025,$D$1,180)</f>
        <v>#NAME?</v>
      </c>
      <c r="C4" s="11" t="e">
        <f ca="1">[1]!s_west_netprofit($B$1,2026,$D$1,180,1000000)</f>
        <v>#NAME?</v>
      </c>
    </row>
    <row r="5" spans="1:4" s="6" customFormat="1" ht="18">
      <c r="A5" s="7" t="s">
        <v>6</v>
      </c>
      <c r="B5" s="10" t="e">
        <f ca="1">[1]!s_west_maxnetprofit($B$1,2025,$D$1,180,1000000)</f>
        <v>#NAME?</v>
      </c>
      <c r="C5" s="11" t="e">
        <f ca="1">[1]!s_west_maxnetprofit($B$1,2026,$D$1,180,1000000)</f>
        <v>#NAME?</v>
      </c>
    </row>
    <row r="6" spans="1:4" s="6" customFormat="1" ht="18">
      <c r="A6" s="7" t="s">
        <v>7</v>
      </c>
      <c r="B6" s="10" t="e">
        <f ca="1">[1]!s_west_minnetprofit($B$1,2025,$D$1,180,1000000)</f>
        <v>#NAME?</v>
      </c>
      <c r="C6" s="11" t="e">
        <f ca="1">[1]!s_west_minnetprofit($B$1,2026,$D$1,180,1000000)</f>
        <v>#NAME?</v>
      </c>
    </row>
    <row r="7" spans="1:4" s="6" customFormat="1" ht="18">
      <c r="A7" s="7" t="s">
        <v>8</v>
      </c>
      <c r="B7" s="10" t="e">
        <f ca="1">[1]!s_west_mediannetprofit($B$1,2025,$D$1,180,1000000)</f>
        <v>#NAME?</v>
      </c>
      <c r="C7" s="11" t="e">
        <f ca="1">[1]!s_west_mediannetprofit($B$1,2026,$D$1,180,1000000)</f>
        <v>#NAME?</v>
      </c>
    </row>
    <row r="8" spans="1:4" s="6" customFormat="1" ht="19" thickBot="1">
      <c r="A8" s="12" t="s">
        <v>9</v>
      </c>
      <c r="B8" s="13" t="e">
        <f ca="1">[1]!s_west_stdnetprofit($B$1,2025,$D$1,180,1000000)</f>
        <v>#NAME?</v>
      </c>
      <c r="C8" s="14" t="e">
        <f ca="1">[1]!s_west_stdnetprofit($B$1,2026,$D$1,180,1000000)</f>
        <v>#NAME?</v>
      </c>
    </row>
    <row r="10" spans="1:4">
      <c r="A10" s="15" t="s">
        <v>1</v>
      </c>
      <c r="B10" s="16" t="s">
        <v>2</v>
      </c>
      <c r="C10" s="17" t="s">
        <v>3</v>
      </c>
    </row>
    <row r="11" spans="1:4" ht="18">
      <c r="A11" s="18">
        <f ca="1">TODAY()-IF(WEEKDAY(TODAY(),2)=6,1,IF(WEEKDAY(TODAY(),2)=7,2,0))</f>
        <v>46161</v>
      </c>
      <c r="B11" s="19" t="e" cm="1">
        <f t="array" aca="1" ref="B11" ca="1">[1]!s_west_netprofit($B$1,2026,$A11,180,1000000)</f>
        <v>#NAME?</v>
      </c>
      <c r="C11" s="20" t="e" cm="1">
        <f t="array" aca="1" ref="C11" ca="1">[1]!s_dq_close($B$1,$A11,3)</f>
        <v>#NAME?</v>
      </c>
    </row>
    <row r="12" spans="1:4" ht="18">
      <c r="A12" s="21">
        <f t="shared" ref="A12:A75" ca="1" si="0">A11-7</f>
        <v>46154</v>
      </c>
      <c r="B12" s="19" t="e" cm="1">
        <f t="array" aca="1" ref="B12" ca="1">[1]!s_west_netprofit($B$1,2026,$A12,180,1000000)</f>
        <v>#NAME?</v>
      </c>
      <c r="C12" s="20" t="e" cm="1">
        <f t="array" aca="1" ref="C12" ca="1">[1]!s_dq_close($B$1,$A12,3)</f>
        <v>#NAME?</v>
      </c>
    </row>
    <row r="13" spans="1:4" ht="18">
      <c r="A13" s="21">
        <f t="shared" ca="1" si="0"/>
        <v>46147</v>
      </c>
      <c r="B13" s="19" t="e" cm="1">
        <f t="array" aca="1" ref="B13" ca="1">[1]!s_west_netprofit($B$1,2026,$A13,180,1000000)</f>
        <v>#NAME?</v>
      </c>
      <c r="C13" s="20" t="e" cm="1">
        <f t="array" aca="1" ref="C13" ca="1">[1]!s_dq_close($B$1,$A13,3)</f>
        <v>#NAME?</v>
      </c>
    </row>
    <row r="14" spans="1:4" ht="18">
      <c r="A14" s="21">
        <f t="shared" ca="1" si="0"/>
        <v>46140</v>
      </c>
      <c r="B14" s="19" t="e" cm="1">
        <f t="array" aca="1" ref="B14" ca="1">[1]!s_west_netprofit($B$1,2026,$A14,180,1000000)</f>
        <v>#NAME?</v>
      </c>
      <c r="C14" s="20" t="e" cm="1">
        <f t="array" aca="1" ref="C14" ca="1">[1]!s_dq_close($B$1,$A14,3)</f>
        <v>#NAME?</v>
      </c>
    </row>
    <row r="15" spans="1:4" ht="18">
      <c r="A15" s="21">
        <f t="shared" ca="1" si="0"/>
        <v>46133</v>
      </c>
      <c r="B15" s="19" t="e" cm="1">
        <f t="array" aca="1" ref="B15" ca="1">[1]!s_west_netprofit($B$1,2026,$A15,180,1000000)</f>
        <v>#NAME?</v>
      </c>
      <c r="C15" s="20" t="e" cm="1">
        <f t="array" aca="1" ref="C15" ca="1">[1]!s_dq_close($B$1,$A15,3)</f>
        <v>#NAME?</v>
      </c>
    </row>
    <row r="16" spans="1:4" ht="18">
      <c r="A16" s="21">
        <f t="shared" ca="1" si="0"/>
        <v>46126</v>
      </c>
      <c r="B16" s="19" t="e" cm="1">
        <f t="array" aca="1" ref="B16" ca="1">[1]!s_west_netprofit($B$1,2026,$A16,180,1000000)</f>
        <v>#NAME?</v>
      </c>
      <c r="C16" s="20" t="e" cm="1">
        <f t="array" aca="1" ref="C16" ca="1">[1]!s_dq_close($B$1,$A16,3)</f>
        <v>#NAME?</v>
      </c>
    </row>
    <row r="17" spans="1:3" ht="18">
      <c r="A17" s="21">
        <f t="shared" ca="1" si="0"/>
        <v>46119</v>
      </c>
      <c r="B17" s="19" t="e" cm="1">
        <f t="array" aca="1" ref="B17" ca="1">[1]!s_west_netprofit($B$1,2026,$A17,180,1000000)</f>
        <v>#NAME?</v>
      </c>
      <c r="C17" s="20" t="e" cm="1">
        <f t="array" aca="1" ref="C17" ca="1">[1]!s_dq_close($B$1,$A17,3)</f>
        <v>#NAME?</v>
      </c>
    </row>
    <row r="18" spans="1:3" ht="18">
      <c r="A18" s="21">
        <f t="shared" ca="1" si="0"/>
        <v>46112</v>
      </c>
      <c r="B18" s="19" t="e" cm="1">
        <f t="array" aca="1" ref="B18" ca="1">[1]!s_west_netprofit($B$1,2026,$A18,180,1000000)</f>
        <v>#NAME?</v>
      </c>
      <c r="C18" s="20" t="e" cm="1">
        <f t="array" aca="1" ref="C18" ca="1">[1]!s_dq_close($B$1,$A18,3)</f>
        <v>#NAME?</v>
      </c>
    </row>
    <row r="19" spans="1:3" ht="18">
      <c r="A19" s="21">
        <f t="shared" ca="1" si="0"/>
        <v>46105</v>
      </c>
      <c r="B19" s="19" t="e" cm="1">
        <f t="array" aca="1" ref="B19" ca="1">[1]!s_west_netprofit($B$1,2026,$A19,180,1000000)</f>
        <v>#NAME?</v>
      </c>
      <c r="C19" s="20" t="e" cm="1">
        <f t="array" aca="1" ref="C19" ca="1">[1]!s_dq_close($B$1,$A19,3)</f>
        <v>#NAME?</v>
      </c>
    </row>
    <row r="20" spans="1:3" ht="18">
      <c r="A20" s="21">
        <f t="shared" ca="1" si="0"/>
        <v>46098</v>
      </c>
      <c r="B20" s="19" t="e" cm="1">
        <f t="array" aca="1" ref="B20" ca="1">[1]!s_west_netprofit($B$1,2026,$A20,180,1000000)</f>
        <v>#NAME?</v>
      </c>
      <c r="C20" s="20" t="e" cm="1">
        <f t="array" aca="1" ref="C20" ca="1">[1]!s_dq_close($B$1,$A20,3)</f>
        <v>#NAME?</v>
      </c>
    </row>
    <row r="21" spans="1:3" ht="18">
      <c r="A21" s="21">
        <f t="shared" ca="1" si="0"/>
        <v>46091</v>
      </c>
      <c r="B21" s="19" t="e" cm="1">
        <f t="array" aca="1" ref="B21" ca="1">[1]!s_west_netprofit($B$1,2026,$A21,180,1000000)</f>
        <v>#NAME?</v>
      </c>
      <c r="C21" s="20" t="e" cm="1">
        <f t="array" aca="1" ref="C21" ca="1">[1]!s_dq_close($B$1,$A21,3)</f>
        <v>#NAME?</v>
      </c>
    </row>
    <row r="22" spans="1:3" ht="18">
      <c r="A22" s="21">
        <f t="shared" ca="1" si="0"/>
        <v>46084</v>
      </c>
      <c r="B22" s="19" t="e" cm="1">
        <f t="array" aca="1" ref="B22" ca="1">[1]!s_west_netprofit($B$1,2026,$A22,180,1000000)</f>
        <v>#NAME?</v>
      </c>
      <c r="C22" s="20" t="e" cm="1">
        <f t="array" aca="1" ref="C22" ca="1">[1]!s_dq_close($B$1,$A22,3)</f>
        <v>#NAME?</v>
      </c>
    </row>
    <row r="23" spans="1:3" ht="18">
      <c r="A23" s="21">
        <f t="shared" ca="1" si="0"/>
        <v>46077</v>
      </c>
      <c r="B23" s="19" t="e" cm="1">
        <f t="array" aca="1" ref="B23" ca="1">[1]!s_west_netprofit($B$1,2026,$A23,180,1000000)</f>
        <v>#NAME?</v>
      </c>
      <c r="C23" s="20" t="e" cm="1">
        <f t="array" aca="1" ref="C23" ca="1">[1]!s_dq_close($B$1,$A23,3)</f>
        <v>#NAME?</v>
      </c>
    </row>
    <row r="24" spans="1:3" ht="18">
      <c r="A24" s="21">
        <f t="shared" ca="1" si="0"/>
        <v>46070</v>
      </c>
      <c r="B24" s="19" t="e" cm="1">
        <f t="array" aca="1" ref="B24" ca="1">[1]!s_west_netprofit($B$1,2026,$A24,180,1000000)</f>
        <v>#NAME?</v>
      </c>
      <c r="C24" s="20" t="e" cm="1">
        <f t="array" aca="1" ref="C24" ca="1">[1]!s_dq_close($B$1,$A24,3)</f>
        <v>#NAME?</v>
      </c>
    </row>
    <row r="25" spans="1:3" ht="18">
      <c r="A25" s="21">
        <f t="shared" ca="1" si="0"/>
        <v>46063</v>
      </c>
      <c r="B25" s="19" t="e" cm="1">
        <f t="array" aca="1" ref="B25" ca="1">[1]!s_west_netprofit($B$1,2026,$A25,180,1000000)</f>
        <v>#NAME?</v>
      </c>
      <c r="C25" s="20" t="e" cm="1">
        <f t="array" aca="1" ref="C25" ca="1">[1]!s_dq_close($B$1,$A25,3)</f>
        <v>#NAME?</v>
      </c>
    </row>
    <row r="26" spans="1:3" ht="18">
      <c r="A26" s="21">
        <f t="shared" ca="1" si="0"/>
        <v>46056</v>
      </c>
      <c r="B26" s="19" t="e" cm="1">
        <f t="array" aca="1" ref="B26" ca="1">[1]!s_west_netprofit($B$1,2026,$A26,180,1000000)</f>
        <v>#NAME?</v>
      </c>
      <c r="C26" s="20" t="e" cm="1">
        <f t="array" aca="1" ref="C26" ca="1">[1]!s_dq_close($B$1,$A26,3)</f>
        <v>#NAME?</v>
      </c>
    </row>
    <row r="27" spans="1:3" ht="18">
      <c r="A27" s="21">
        <f t="shared" ca="1" si="0"/>
        <v>46049</v>
      </c>
      <c r="B27" s="19" t="e" cm="1">
        <f t="array" aca="1" ref="B27" ca="1">[1]!s_west_netprofit($B$1,2026,$A27,180,1000000)</f>
        <v>#NAME?</v>
      </c>
      <c r="C27" s="20" t="e" cm="1">
        <f t="array" aca="1" ref="C27" ca="1">[1]!s_dq_close($B$1,$A27,3)</f>
        <v>#NAME?</v>
      </c>
    </row>
    <row r="28" spans="1:3" ht="18">
      <c r="A28" s="21">
        <f t="shared" ca="1" si="0"/>
        <v>46042</v>
      </c>
      <c r="B28" s="19" t="e" cm="1">
        <f t="array" aca="1" ref="B28" ca="1">[1]!s_west_netprofit($B$1,2026,$A28,180,1000000)</f>
        <v>#NAME?</v>
      </c>
      <c r="C28" s="20" t="e" cm="1">
        <f t="array" aca="1" ref="C28" ca="1">[1]!s_dq_close($B$1,$A28,3)</f>
        <v>#NAME?</v>
      </c>
    </row>
    <row r="29" spans="1:3" ht="18">
      <c r="A29" s="21">
        <f t="shared" ca="1" si="0"/>
        <v>46035</v>
      </c>
      <c r="B29" s="19" t="e" cm="1">
        <f t="array" aca="1" ref="B29" ca="1">[1]!s_west_netprofit($B$1,2026,$A29,180,1000000)</f>
        <v>#NAME?</v>
      </c>
      <c r="C29" s="20" t="e" cm="1">
        <f t="array" aca="1" ref="C29" ca="1">[1]!s_dq_close($B$1,$A29,3)</f>
        <v>#NAME?</v>
      </c>
    </row>
    <row r="30" spans="1:3" ht="18">
      <c r="A30" s="21">
        <f t="shared" ca="1" si="0"/>
        <v>46028</v>
      </c>
      <c r="B30" s="19" t="e" cm="1">
        <f t="array" aca="1" ref="B30" ca="1">[1]!s_west_netprofit($B$1,2026,$A30,180,1000000)</f>
        <v>#NAME?</v>
      </c>
      <c r="C30" s="20" t="e" cm="1">
        <f t="array" aca="1" ref="C30" ca="1">[1]!s_dq_close($B$1,$A30,3)</f>
        <v>#NAME?</v>
      </c>
    </row>
    <row r="31" spans="1:3" ht="18">
      <c r="A31" s="21">
        <f t="shared" ca="1" si="0"/>
        <v>46021</v>
      </c>
      <c r="B31" s="19" t="e" cm="1">
        <f t="array" aca="1" ref="B31" ca="1">[1]!s_west_netprofit($B$1,2026,$A31,180,1000000)</f>
        <v>#NAME?</v>
      </c>
      <c r="C31" s="20" t="e" cm="1">
        <f t="array" aca="1" ref="C31" ca="1">[1]!s_dq_close($B$1,$A31,3)</f>
        <v>#NAME?</v>
      </c>
    </row>
    <row r="32" spans="1:3" ht="18">
      <c r="A32" s="21">
        <f t="shared" ca="1" si="0"/>
        <v>46014</v>
      </c>
      <c r="B32" s="19" t="e" cm="1">
        <f t="array" aca="1" ref="B32" ca="1">[1]!s_west_netprofit($B$1,2026,$A32,180,1000000)</f>
        <v>#NAME?</v>
      </c>
      <c r="C32" s="20" t="e" cm="1">
        <f t="array" aca="1" ref="C32" ca="1">[1]!s_dq_close($B$1,$A32,3)</f>
        <v>#NAME?</v>
      </c>
    </row>
    <row r="33" spans="1:3" ht="18">
      <c r="A33" s="21">
        <f t="shared" ca="1" si="0"/>
        <v>46007</v>
      </c>
      <c r="B33" s="19" t="e" cm="1">
        <f t="array" aca="1" ref="B33" ca="1">[1]!s_west_netprofit($B$1,2026,$A33,180,1000000)</f>
        <v>#NAME?</v>
      </c>
      <c r="C33" s="20" t="e" cm="1">
        <f t="array" aca="1" ref="C33" ca="1">[1]!s_dq_close($B$1,$A33,3)</f>
        <v>#NAME?</v>
      </c>
    </row>
    <row r="34" spans="1:3" ht="18">
      <c r="A34" s="21">
        <f t="shared" ca="1" si="0"/>
        <v>46000</v>
      </c>
      <c r="B34" s="19" t="e" cm="1">
        <f t="array" aca="1" ref="B34" ca="1">[1]!s_west_netprofit($B$1,2026,$A34,180,1000000)</f>
        <v>#NAME?</v>
      </c>
      <c r="C34" s="20" t="e" cm="1">
        <f t="array" aca="1" ref="C34" ca="1">[1]!s_dq_close($B$1,$A34,3)</f>
        <v>#NAME?</v>
      </c>
    </row>
    <row r="35" spans="1:3" ht="18">
      <c r="A35" s="21">
        <f t="shared" ca="1" si="0"/>
        <v>45993</v>
      </c>
      <c r="B35" s="19" t="e" cm="1">
        <f t="array" aca="1" ref="B35" ca="1">[1]!s_west_netprofit($B$1,2026,$A35,180,1000000)</f>
        <v>#NAME?</v>
      </c>
      <c r="C35" s="20" t="e" cm="1">
        <f t="array" aca="1" ref="C35" ca="1">[1]!s_dq_close($B$1,$A35,3)</f>
        <v>#NAME?</v>
      </c>
    </row>
    <row r="36" spans="1:3" ht="18">
      <c r="A36" s="21">
        <f t="shared" ca="1" si="0"/>
        <v>45986</v>
      </c>
      <c r="B36" s="19" t="e" cm="1">
        <f t="array" aca="1" ref="B36" ca="1">[1]!s_west_netprofit($B$1,2026,$A36,180,1000000)</f>
        <v>#NAME?</v>
      </c>
      <c r="C36" s="20" t="e" cm="1">
        <f t="array" aca="1" ref="C36" ca="1">[1]!s_dq_close($B$1,$A36,3)</f>
        <v>#NAME?</v>
      </c>
    </row>
    <row r="37" spans="1:3" ht="18">
      <c r="A37" s="21">
        <f t="shared" ca="1" si="0"/>
        <v>45979</v>
      </c>
      <c r="B37" s="19" t="e" cm="1">
        <f t="array" aca="1" ref="B37" ca="1">[1]!s_west_netprofit($B$1,2026,$A37,180,1000000)</f>
        <v>#NAME?</v>
      </c>
      <c r="C37" s="20" t="e" cm="1">
        <f t="array" aca="1" ref="C37" ca="1">[1]!s_dq_close($B$1,$A37,3)</f>
        <v>#NAME?</v>
      </c>
    </row>
    <row r="38" spans="1:3" ht="18">
      <c r="A38" s="21">
        <f t="shared" ca="1" si="0"/>
        <v>45972</v>
      </c>
      <c r="B38" s="19" t="e" cm="1">
        <f t="array" aca="1" ref="B38" ca="1">[1]!s_west_netprofit($B$1,2026,$A38,180,1000000)</f>
        <v>#NAME?</v>
      </c>
      <c r="C38" s="20" t="e" cm="1">
        <f t="array" aca="1" ref="C38" ca="1">[1]!s_dq_close($B$1,$A38,3)</f>
        <v>#NAME?</v>
      </c>
    </row>
    <row r="39" spans="1:3" ht="18">
      <c r="A39" s="21">
        <f t="shared" ca="1" si="0"/>
        <v>45965</v>
      </c>
      <c r="B39" s="19" t="e" cm="1">
        <f t="array" aca="1" ref="B39" ca="1">[1]!s_west_netprofit($B$1,2026,$A39,180,1000000)</f>
        <v>#NAME?</v>
      </c>
      <c r="C39" s="20" t="e" cm="1">
        <f t="array" aca="1" ref="C39" ca="1">[1]!s_dq_close($B$1,$A39,3)</f>
        <v>#NAME?</v>
      </c>
    </row>
    <row r="40" spans="1:3" ht="18">
      <c r="A40" s="21">
        <f t="shared" ca="1" si="0"/>
        <v>45958</v>
      </c>
      <c r="B40" s="19" t="e" cm="1">
        <f t="array" aca="1" ref="B40" ca="1">[1]!s_west_netprofit($B$1,2026,$A40,180,1000000)</f>
        <v>#NAME?</v>
      </c>
      <c r="C40" s="20" t="e" cm="1">
        <f t="array" aca="1" ref="C40" ca="1">[1]!s_dq_close($B$1,$A40,3)</f>
        <v>#NAME?</v>
      </c>
    </row>
    <row r="41" spans="1:3" ht="18">
      <c r="A41" s="21">
        <f t="shared" ca="1" si="0"/>
        <v>45951</v>
      </c>
      <c r="B41" s="19" t="e" cm="1">
        <f t="array" aca="1" ref="B41" ca="1">[1]!s_west_netprofit($B$1,2026,$A41,180,1000000)</f>
        <v>#NAME?</v>
      </c>
      <c r="C41" s="20" t="e" cm="1">
        <f t="array" aca="1" ref="C41" ca="1">[1]!s_dq_close($B$1,$A41,3)</f>
        <v>#NAME?</v>
      </c>
    </row>
    <row r="42" spans="1:3" ht="18">
      <c r="A42" s="21">
        <f t="shared" ca="1" si="0"/>
        <v>45944</v>
      </c>
      <c r="B42" s="19" t="e" cm="1">
        <f t="array" aca="1" ref="B42" ca="1">[1]!s_west_netprofit($B$1,2026,$A42,180,1000000)</f>
        <v>#NAME?</v>
      </c>
      <c r="C42" s="20" t="e" cm="1">
        <f t="array" aca="1" ref="C42" ca="1">[1]!s_dq_close($B$1,$A42,3)</f>
        <v>#NAME?</v>
      </c>
    </row>
    <row r="43" spans="1:3" ht="18">
      <c r="A43" s="21">
        <f t="shared" ca="1" si="0"/>
        <v>45937</v>
      </c>
      <c r="B43" s="19" t="e" cm="1">
        <f t="array" aca="1" ref="B43" ca="1">[1]!s_west_netprofit($B$1,2026,$A43,180,1000000)</f>
        <v>#NAME?</v>
      </c>
      <c r="C43" s="20" t="e" cm="1">
        <f t="array" aca="1" ref="C43" ca="1">[1]!s_dq_close($B$1,$A43,3)</f>
        <v>#NAME?</v>
      </c>
    </row>
    <row r="44" spans="1:3" ht="18">
      <c r="A44" s="21">
        <f t="shared" ca="1" si="0"/>
        <v>45930</v>
      </c>
      <c r="B44" s="19" t="e" cm="1">
        <f t="array" aca="1" ref="B44" ca="1">[1]!s_west_netprofit($B$1,2026,$A44,180,1000000)</f>
        <v>#NAME?</v>
      </c>
      <c r="C44" s="20" t="e" cm="1">
        <f t="array" aca="1" ref="C44" ca="1">[1]!s_dq_close($B$1,$A44,3)</f>
        <v>#NAME?</v>
      </c>
    </row>
    <row r="45" spans="1:3" ht="18">
      <c r="A45" s="21">
        <f t="shared" ca="1" si="0"/>
        <v>45923</v>
      </c>
      <c r="B45" s="19" t="e" cm="1">
        <f t="array" aca="1" ref="B45" ca="1">[1]!s_west_netprofit($B$1,2026,$A45,180,1000000)</f>
        <v>#NAME?</v>
      </c>
      <c r="C45" s="20" t="e" cm="1">
        <f t="array" aca="1" ref="C45" ca="1">[1]!s_dq_close($B$1,$A45,3)</f>
        <v>#NAME?</v>
      </c>
    </row>
    <row r="46" spans="1:3" ht="18">
      <c r="A46" s="21">
        <f t="shared" ca="1" si="0"/>
        <v>45916</v>
      </c>
      <c r="B46" s="19" t="e" cm="1">
        <f t="array" aca="1" ref="B46" ca="1">[1]!s_west_netprofit($B$1,2026,$A46,180,1000000)</f>
        <v>#NAME?</v>
      </c>
      <c r="C46" s="20" t="e" cm="1">
        <f t="array" aca="1" ref="C46" ca="1">[1]!s_dq_close($B$1,$A46,3)</f>
        <v>#NAME?</v>
      </c>
    </row>
    <row r="47" spans="1:3" ht="18">
      <c r="A47" s="21">
        <f t="shared" ca="1" si="0"/>
        <v>45909</v>
      </c>
      <c r="B47" s="19" t="e" cm="1">
        <f t="array" aca="1" ref="B47" ca="1">[1]!s_west_netprofit($B$1,2026,$A47,180,1000000)</f>
        <v>#NAME?</v>
      </c>
      <c r="C47" s="20" t="e" cm="1">
        <f t="array" aca="1" ref="C47" ca="1">[1]!s_dq_close($B$1,$A47,3)</f>
        <v>#NAME?</v>
      </c>
    </row>
    <row r="48" spans="1:3" ht="18">
      <c r="A48" s="21">
        <f t="shared" ca="1" si="0"/>
        <v>45902</v>
      </c>
      <c r="B48" s="19" t="e" cm="1">
        <f t="array" aca="1" ref="B48" ca="1">[1]!s_west_netprofit($B$1,2026,$A48,180,1000000)</f>
        <v>#NAME?</v>
      </c>
      <c r="C48" s="20" t="e" cm="1">
        <f t="array" aca="1" ref="C48" ca="1">[1]!s_dq_close($B$1,$A48,3)</f>
        <v>#NAME?</v>
      </c>
    </row>
    <row r="49" spans="1:3" ht="18">
      <c r="A49" s="21">
        <f t="shared" ca="1" si="0"/>
        <v>45895</v>
      </c>
      <c r="B49" s="19" t="e" cm="1">
        <f t="array" aca="1" ref="B49" ca="1">[1]!s_west_netprofit($B$1,2026,$A49,180,1000000)</f>
        <v>#NAME?</v>
      </c>
      <c r="C49" s="20" t="e" cm="1">
        <f t="array" aca="1" ref="C49" ca="1">[1]!s_dq_close($B$1,$A49,3)</f>
        <v>#NAME?</v>
      </c>
    </row>
    <row r="50" spans="1:3" ht="18">
      <c r="A50" s="21">
        <f t="shared" ca="1" si="0"/>
        <v>45888</v>
      </c>
      <c r="B50" s="19" t="e" cm="1">
        <f t="array" aca="1" ref="B50" ca="1">[1]!s_west_netprofit($B$1,2026,$A50,180,1000000)</f>
        <v>#NAME?</v>
      </c>
      <c r="C50" s="20" t="e" cm="1">
        <f t="array" aca="1" ref="C50" ca="1">[1]!s_dq_close($B$1,$A50,3)</f>
        <v>#NAME?</v>
      </c>
    </row>
    <row r="51" spans="1:3" ht="18">
      <c r="A51" s="21">
        <f t="shared" ca="1" si="0"/>
        <v>45881</v>
      </c>
      <c r="B51" s="19" t="e" cm="1">
        <f t="array" aca="1" ref="B51" ca="1">[1]!s_west_netprofit($B$1,2026,$A51,180,1000000)</f>
        <v>#NAME?</v>
      </c>
      <c r="C51" s="20" t="e" cm="1">
        <f t="array" aca="1" ref="C51" ca="1">[1]!s_dq_close($B$1,$A51,3)</f>
        <v>#NAME?</v>
      </c>
    </row>
    <row r="52" spans="1:3" ht="18">
      <c r="A52" s="21">
        <f t="shared" ca="1" si="0"/>
        <v>45874</v>
      </c>
      <c r="B52" s="19" t="e" cm="1">
        <f t="array" aca="1" ref="B52" ca="1">[1]!s_west_netprofit($B$1,2026,$A52,180,1000000)</f>
        <v>#NAME?</v>
      </c>
      <c r="C52" s="20" t="e" cm="1">
        <f t="array" aca="1" ref="C52" ca="1">[1]!s_dq_close($B$1,$A52,3)</f>
        <v>#NAME?</v>
      </c>
    </row>
    <row r="53" spans="1:3" ht="18">
      <c r="A53" s="21">
        <f t="shared" ca="1" si="0"/>
        <v>45867</v>
      </c>
      <c r="B53" s="19" t="e" cm="1">
        <f t="array" aca="1" ref="B53" ca="1">[1]!s_west_netprofit($B$1,2026,$A53,180,1000000)</f>
        <v>#NAME?</v>
      </c>
      <c r="C53" s="20" t="e" cm="1">
        <f t="array" aca="1" ref="C53" ca="1">[1]!s_dq_close($B$1,$A53,3)</f>
        <v>#NAME?</v>
      </c>
    </row>
    <row r="54" spans="1:3" ht="18">
      <c r="A54" s="21">
        <f t="shared" ca="1" si="0"/>
        <v>45860</v>
      </c>
      <c r="B54" s="19" t="e" cm="1">
        <f t="array" aca="1" ref="B54" ca="1">[1]!s_west_netprofit($B$1,2026,$A54,180,1000000)</f>
        <v>#NAME?</v>
      </c>
      <c r="C54" s="20" t="e" cm="1">
        <f t="array" aca="1" ref="C54" ca="1">[1]!s_dq_close($B$1,$A54,3)</f>
        <v>#NAME?</v>
      </c>
    </row>
    <row r="55" spans="1:3" ht="18">
      <c r="A55" s="21">
        <f t="shared" ca="1" si="0"/>
        <v>45853</v>
      </c>
      <c r="B55" s="19" t="e" cm="1">
        <f t="array" aca="1" ref="B55" ca="1">[1]!s_west_netprofit($B$1,2026,$A55,180,1000000)</f>
        <v>#NAME?</v>
      </c>
      <c r="C55" s="20" t="e" cm="1">
        <f t="array" aca="1" ref="C55" ca="1">[1]!s_dq_close($B$1,$A55,3)</f>
        <v>#NAME?</v>
      </c>
    </row>
    <row r="56" spans="1:3" ht="18">
      <c r="A56" s="21">
        <f t="shared" ca="1" si="0"/>
        <v>45846</v>
      </c>
      <c r="B56" s="19" t="e" cm="1">
        <f t="array" aca="1" ref="B56" ca="1">[1]!s_west_netprofit($B$1,2026,$A56,180,1000000)</f>
        <v>#NAME?</v>
      </c>
      <c r="C56" s="20" t="e" cm="1">
        <f t="array" aca="1" ref="C56" ca="1">[1]!s_dq_close($B$1,$A56,3)</f>
        <v>#NAME?</v>
      </c>
    </row>
    <row r="57" spans="1:3" ht="18">
      <c r="A57" s="21">
        <f t="shared" ca="1" si="0"/>
        <v>45839</v>
      </c>
      <c r="B57" s="19" t="e" cm="1">
        <f t="array" aca="1" ref="B57" ca="1">[1]!s_west_netprofit($B$1,2026,$A57,180,1000000)</f>
        <v>#NAME?</v>
      </c>
      <c r="C57" s="20" t="e" cm="1">
        <f t="array" aca="1" ref="C57" ca="1">[1]!s_dq_close($B$1,$A57,3)</f>
        <v>#NAME?</v>
      </c>
    </row>
    <row r="58" spans="1:3" ht="18">
      <c r="A58" s="21">
        <f t="shared" ca="1" si="0"/>
        <v>45832</v>
      </c>
      <c r="B58" s="19" t="e" cm="1">
        <f t="array" aca="1" ref="B58" ca="1">[1]!s_west_netprofit($B$1,2026,$A58,180,1000000)</f>
        <v>#NAME?</v>
      </c>
      <c r="C58" s="20" t="e" cm="1">
        <f t="array" aca="1" ref="C58" ca="1">[1]!s_dq_close($B$1,$A58,3)</f>
        <v>#NAME?</v>
      </c>
    </row>
    <row r="59" spans="1:3" ht="18">
      <c r="A59" s="21">
        <f t="shared" ca="1" si="0"/>
        <v>45825</v>
      </c>
      <c r="B59" s="19" t="e" cm="1">
        <f t="array" aca="1" ref="B59" ca="1">[1]!s_west_netprofit($B$1,2026,$A59,180,1000000)</f>
        <v>#NAME?</v>
      </c>
      <c r="C59" s="20" t="e" cm="1">
        <f t="array" aca="1" ref="C59" ca="1">[1]!s_dq_close($B$1,$A59,3)</f>
        <v>#NAME?</v>
      </c>
    </row>
    <row r="60" spans="1:3" ht="18">
      <c r="A60" s="21">
        <f t="shared" ca="1" si="0"/>
        <v>45818</v>
      </c>
      <c r="B60" s="19" t="e" cm="1">
        <f t="array" aca="1" ref="B60" ca="1">[1]!s_west_netprofit($B$1,2026,$A60,180,1000000)</f>
        <v>#NAME?</v>
      </c>
      <c r="C60" s="20" t="e" cm="1">
        <f t="array" aca="1" ref="C60" ca="1">[1]!s_dq_close($B$1,$A60,3)</f>
        <v>#NAME?</v>
      </c>
    </row>
    <row r="61" spans="1:3" ht="18">
      <c r="A61" s="21">
        <f t="shared" ca="1" si="0"/>
        <v>45811</v>
      </c>
      <c r="B61" s="19" t="e" cm="1">
        <f t="array" aca="1" ref="B61" ca="1">[1]!s_west_netprofit($B$1,2026,$A61,180,1000000)</f>
        <v>#NAME?</v>
      </c>
      <c r="C61" s="20" t="e" cm="1">
        <f t="array" aca="1" ref="C61" ca="1">[1]!s_dq_close($B$1,$A61,3)</f>
        <v>#NAME?</v>
      </c>
    </row>
    <row r="62" spans="1:3" ht="18">
      <c r="A62" s="21">
        <f t="shared" ca="1" si="0"/>
        <v>45804</v>
      </c>
      <c r="B62" s="19" t="e" cm="1">
        <f t="array" aca="1" ref="B62" ca="1">[1]!s_west_netprofit($B$1,2026,$A62,180,1000000)</f>
        <v>#NAME?</v>
      </c>
      <c r="C62" s="20" t="e" cm="1">
        <f t="array" aca="1" ref="C62" ca="1">[1]!s_dq_close($B$1,$A62,3)</f>
        <v>#NAME?</v>
      </c>
    </row>
    <row r="63" spans="1:3" ht="18">
      <c r="A63" s="21">
        <f t="shared" ca="1" si="0"/>
        <v>45797</v>
      </c>
      <c r="B63" s="19" t="e" cm="1">
        <f t="array" aca="1" ref="B63" ca="1">[1]!s_west_netprofit($B$1,2026,$A63,180,1000000)</f>
        <v>#NAME?</v>
      </c>
      <c r="C63" s="20" t="e" cm="1">
        <f t="array" aca="1" ref="C63" ca="1">[1]!s_dq_close($B$1,$A63,3)</f>
        <v>#NAME?</v>
      </c>
    </row>
    <row r="64" spans="1:3" ht="18">
      <c r="A64" s="21">
        <f t="shared" ca="1" si="0"/>
        <v>45790</v>
      </c>
      <c r="B64" s="19" t="e" cm="1">
        <f t="array" aca="1" ref="B64" ca="1">[1]!s_west_netprofit($B$1,2026,$A64,180,1000000)</f>
        <v>#NAME?</v>
      </c>
      <c r="C64" s="20" t="e" cm="1">
        <f t="array" aca="1" ref="C64" ca="1">[1]!s_dq_close($B$1,$A64,3)</f>
        <v>#NAME?</v>
      </c>
    </row>
    <row r="65" spans="1:3" ht="18">
      <c r="A65" s="21">
        <f t="shared" ca="1" si="0"/>
        <v>45783</v>
      </c>
      <c r="B65" s="19" t="e" cm="1">
        <f t="array" aca="1" ref="B65" ca="1">[1]!s_west_netprofit($B$1,2026,$A65,180,1000000)</f>
        <v>#NAME?</v>
      </c>
      <c r="C65" s="20" t="e" cm="1">
        <f t="array" aca="1" ref="C65" ca="1">[1]!s_dq_close($B$1,$A65,3)</f>
        <v>#NAME?</v>
      </c>
    </row>
    <row r="66" spans="1:3" ht="18">
      <c r="A66" s="21">
        <f t="shared" ca="1" si="0"/>
        <v>45776</v>
      </c>
      <c r="B66" s="19" t="e" cm="1">
        <f t="array" aca="1" ref="B66" ca="1">[1]!s_west_netprofit($B$1,2026,$A66,180,1000000)</f>
        <v>#NAME?</v>
      </c>
      <c r="C66" s="20" t="e" cm="1">
        <f t="array" aca="1" ref="C66" ca="1">[1]!s_dq_close($B$1,$A66,3)</f>
        <v>#NAME?</v>
      </c>
    </row>
    <row r="67" spans="1:3" ht="18">
      <c r="A67" s="21">
        <f t="shared" ca="1" si="0"/>
        <v>45769</v>
      </c>
      <c r="B67" s="19" t="e" cm="1">
        <f t="array" aca="1" ref="B67" ca="1">[1]!s_west_netprofit($B$1,2026,$A67,180,1000000)</f>
        <v>#NAME?</v>
      </c>
      <c r="C67" s="20" t="e" cm="1">
        <f t="array" aca="1" ref="C67" ca="1">[1]!s_dq_close($B$1,$A67,3)</f>
        <v>#NAME?</v>
      </c>
    </row>
    <row r="68" spans="1:3" ht="18">
      <c r="A68" s="21">
        <f t="shared" ca="1" si="0"/>
        <v>45762</v>
      </c>
      <c r="B68" s="19" t="e" cm="1">
        <f t="array" aca="1" ref="B68" ca="1">[1]!s_west_netprofit($B$1,2026,$A68,180,1000000)</f>
        <v>#NAME?</v>
      </c>
      <c r="C68" s="20" t="e" cm="1">
        <f t="array" aca="1" ref="C68" ca="1">[1]!s_dq_close($B$1,$A68,3)</f>
        <v>#NAME?</v>
      </c>
    </row>
    <row r="69" spans="1:3" ht="18">
      <c r="A69" s="21">
        <f t="shared" ca="1" si="0"/>
        <v>45755</v>
      </c>
      <c r="B69" s="19" t="e" cm="1">
        <f t="array" aca="1" ref="B69" ca="1">[1]!s_west_netprofit($B$1,2026,$A69,180,1000000)</f>
        <v>#NAME?</v>
      </c>
      <c r="C69" s="20" t="e" cm="1">
        <f t="array" aca="1" ref="C69" ca="1">[1]!s_dq_close($B$1,$A69,3)</f>
        <v>#NAME?</v>
      </c>
    </row>
    <row r="70" spans="1:3" ht="18">
      <c r="A70" s="21">
        <f t="shared" ca="1" si="0"/>
        <v>45748</v>
      </c>
      <c r="B70" s="19" t="e" cm="1">
        <f t="array" aca="1" ref="B70" ca="1">[1]!s_west_netprofit($B$1,2026,$A70,180,1000000)</f>
        <v>#NAME?</v>
      </c>
      <c r="C70" s="20" t="e" cm="1">
        <f t="array" aca="1" ref="C70" ca="1">[1]!s_dq_close($B$1,$A70,3)</f>
        <v>#NAME?</v>
      </c>
    </row>
    <row r="71" spans="1:3" ht="18">
      <c r="A71" s="21">
        <f t="shared" ca="1" si="0"/>
        <v>45741</v>
      </c>
      <c r="B71" s="19" t="e" cm="1">
        <f t="array" aca="1" ref="B71" ca="1">[1]!s_west_netprofit($B$1,2026,$A71,180,1000000)</f>
        <v>#NAME?</v>
      </c>
      <c r="C71" s="20" t="e" cm="1">
        <f t="array" aca="1" ref="C71" ca="1">[1]!s_dq_close($B$1,$A71,3)</f>
        <v>#NAME?</v>
      </c>
    </row>
    <row r="72" spans="1:3" ht="18">
      <c r="A72" s="21">
        <f t="shared" ca="1" si="0"/>
        <v>45734</v>
      </c>
      <c r="B72" s="19" t="e" cm="1">
        <f t="array" aca="1" ref="B72" ca="1">[1]!s_west_netprofit($B$1,2026,$A72,180,1000000)</f>
        <v>#NAME?</v>
      </c>
      <c r="C72" s="20" t="e" cm="1">
        <f t="array" aca="1" ref="C72" ca="1">[1]!s_dq_close($B$1,$A72,3)</f>
        <v>#NAME?</v>
      </c>
    </row>
    <row r="73" spans="1:3" ht="18">
      <c r="A73" s="21">
        <f t="shared" ca="1" si="0"/>
        <v>45727</v>
      </c>
      <c r="B73" s="19" t="e" cm="1">
        <f t="array" aca="1" ref="B73" ca="1">[1]!s_west_netprofit($B$1,2026,$A73,180,1000000)</f>
        <v>#NAME?</v>
      </c>
      <c r="C73" s="20" t="e" cm="1">
        <f t="array" aca="1" ref="C73" ca="1">[1]!s_dq_close($B$1,$A73,3)</f>
        <v>#NAME?</v>
      </c>
    </row>
    <row r="74" spans="1:3" ht="18">
      <c r="A74" s="21">
        <f t="shared" ca="1" si="0"/>
        <v>45720</v>
      </c>
      <c r="B74" s="19" t="e" cm="1">
        <f t="array" aca="1" ref="B74" ca="1">[1]!s_west_netprofit($B$1,2026,$A74,180,1000000)</f>
        <v>#NAME?</v>
      </c>
      <c r="C74" s="20" t="e" cm="1">
        <f t="array" aca="1" ref="C74" ca="1">[1]!s_dq_close($B$1,$A74,3)</f>
        <v>#NAME?</v>
      </c>
    </row>
    <row r="75" spans="1:3" ht="18">
      <c r="A75" s="21">
        <f t="shared" ca="1" si="0"/>
        <v>45713</v>
      </c>
      <c r="B75" s="19" t="e" cm="1">
        <f t="array" aca="1" ref="B75" ca="1">[1]!s_west_netprofit($B$1,2026,$A75,180,1000000)</f>
        <v>#NAME?</v>
      </c>
      <c r="C75" s="20" t="e" cm="1">
        <f t="array" aca="1" ref="C75" ca="1">[1]!s_dq_close($B$1,$A75,3)</f>
        <v>#NAME?</v>
      </c>
    </row>
    <row r="76" spans="1:3" ht="18">
      <c r="A76" s="21">
        <f t="shared" ref="A76:A99" ca="1" si="1">A75-7</f>
        <v>45706</v>
      </c>
      <c r="B76" s="19" t="e" cm="1">
        <f t="array" aca="1" ref="B76" ca="1">[1]!s_west_netprofit($B$1,2026,$A76,180,1000000)</f>
        <v>#NAME?</v>
      </c>
      <c r="C76" s="20" t="e" cm="1">
        <f t="array" aca="1" ref="C76" ca="1">[1]!s_dq_close($B$1,$A76,3)</f>
        <v>#NAME?</v>
      </c>
    </row>
    <row r="77" spans="1:3" ht="18">
      <c r="A77" s="21">
        <f t="shared" ca="1" si="1"/>
        <v>45699</v>
      </c>
      <c r="B77" s="19" t="e" cm="1">
        <f t="array" aca="1" ref="B77" ca="1">[1]!s_west_netprofit($B$1,2026,$A77,180,1000000)</f>
        <v>#NAME?</v>
      </c>
      <c r="C77" s="20" t="e" cm="1">
        <f t="array" aca="1" ref="C77" ca="1">[1]!s_dq_close($B$1,$A77,3)</f>
        <v>#NAME?</v>
      </c>
    </row>
    <row r="78" spans="1:3" ht="18">
      <c r="A78" s="21">
        <f t="shared" ca="1" si="1"/>
        <v>45692</v>
      </c>
      <c r="B78" s="19" t="e" cm="1">
        <f t="array" aca="1" ref="B78" ca="1">[1]!s_west_netprofit($B$1,2026,$A78,180,1000000)</f>
        <v>#NAME?</v>
      </c>
      <c r="C78" s="20" t="e" cm="1">
        <f t="array" aca="1" ref="C78" ca="1">[1]!s_dq_close($B$1,$A78,3)</f>
        <v>#NAME?</v>
      </c>
    </row>
    <row r="79" spans="1:3" ht="18">
      <c r="A79" s="21">
        <f t="shared" ca="1" si="1"/>
        <v>45685</v>
      </c>
      <c r="B79" s="19" t="e" cm="1">
        <f t="array" aca="1" ref="B79" ca="1">[1]!s_west_netprofit($B$1,2026,$A79,180,1000000)</f>
        <v>#NAME?</v>
      </c>
      <c r="C79" s="20" t="e" cm="1">
        <f t="array" aca="1" ref="C79" ca="1">[1]!s_dq_close($B$1,$A79,3)</f>
        <v>#NAME?</v>
      </c>
    </row>
    <row r="80" spans="1:3" ht="18">
      <c r="A80" s="21">
        <f t="shared" ca="1" si="1"/>
        <v>45678</v>
      </c>
      <c r="B80" s="19" t="e" cm="1">
        <f t="array" aca="1" ref="B80" ca="1">[1]!s_west_netprofit($B$1,2026,$A80,180,1000000)</f>
        <v>#NAME?</v>
      </c>
      <c r="C80" s="20" t="e" cm="1">
        <f t="array" aca="1" ref="C80" ca="1">[1]!s_dq_close($B$1,$A80,3)</f>
        <v>#NAME?</v>
      </c>
    </row>
    <row r="81" spans="1:3" ht="18">
      <c r="A81" s="21">
        <f t="shared" ca="1" si="1"/>
        <v>45671</v>
      </c>
      <c r="B81" s="19" t="e" cm="1">
        <f t="array" aca="1" ref="B81" ca="1">[1]!s_west_netprofit($B$1,2026,$A81,180,1000000)</f>
        <v>#NAME?</v>
      </c>
      <c r="C81" s="20" t="e" cm="1">
        <f t="array" aca="1" ref="C81" ca="1">[1]!s_dq_close($B$1,$A81,3)</f>
        <v>#NAME?</v>
      </c>
    </row>
    <row r="82" spans="1:3" ht="18">
      <c r="A82" s="21">
        <f t="shared" ca="1" si="1"/>
        <v>45664</v>
      </c>
      <c r="B82" s="19" t="e" cm="1">
        <f t="array" aca="1" ref="B82" ca="1">[1]!s_west_netprofit($B$1,2026,$A82,180,1000000)</f>
        <v>#NAME?</v>
      </c>
      <c r="C82" s="20" t="e" cm="1">
        <f t="array" aca="1" ref="C82" ca="1">[1]!s_dq_close($B$1,$A82,3)</f>
        <v>#NAME?</v>
      </c>
    </row>
    <row r="83" spans="1:3" ht="18">
      <c r="A83" s="21">
        <f t="shared" ca="1" si="1"/>
        <v>45657</v>
      </c>
      <c r="B83" s="19" t="e" cm="1">
        <f t="array" aca="1" ref="B83" ca="1">[1]!s_west_netprofit($B$1,2026,$A83,180,1000000)</f>
        <v>#NAME?</v>
      </c>
      <c r="C83" s="20" t="e" cm="1">
        <f t="array" aca="1" ref="C83" ca="1">[1]!s_dq_close($B$1,$A83,3)</f>
        <v>#NAME?</v>
      </c>
    </row>
    <row r="84" spans="1:3" ht="18">
      <c r="A84" s="21">
        <f t="shared" ca="1" si="1"/>
        <v>45650</v>
      </c>
      <c r="B84" s="19" t="e" cm="1">
        <f t="array" aca="1" ref="B84" ca="1">[1]!s_west_netprofit($B$1,2026,$A84,180,1000000)</f>
        <v>#NAME?</v>
      </c>
      <c r="C84" s="20" t="e" cm="1">
        <f t="array" aca="1" ref="C84" ca="1">[1]!s_dq_close($B$1,$A84,3)</f>
        <v>#NAME?</v>
      </c>
    </row>
    <row r="85" spans="1:3" ht="18">
      <c r="A85" s="21">
        <f t="shared" ca="1" si="1"/>
        <v>45643</v>
      </c>
      <c r="B85" s="19" t="e" cm="1">
        <f t="array" aca="1" ref="B85" ca="1">[1]!s_west_netprofit($B$1,2026,$A85,180,1000000)</f>
        <v>#NAME?</v>
      </c>
      <c r="C85" s="20" t="e" cm="1">
        <f t="array" aca="1" ref="C85" ca="1">[1]!s_dq_close($B$1,$A85,3)</f>
        <v>#NAME?</v>
      </c>
    </row>
    <row r="86" spans="1:3" ht="18">
      <c r="A86" s="21">
        <f t="shared" ca="1" si="1"/>
        <v>45636</v>
      </c>
      <c r="B86" s="19" t="e" cm="1">
        <f t="array" aca="1" ref="B86" ca="1">[1]!s_west_netprofit($B$1,2026,$A86,180,1000000)</f>
        <v>#NAME?</v>
      </c>
      <c r="C86" s="20" t="e" cm="1">
        <f t="array" aca="1" ref="C86" ca="1">[1]!s_dq_close($B$1,$A86,3)</f>
        <v>#NAME?</v>
      </c>
    </row>
    <row r="87" spans="1:3" ht="18">
      <c r="A87" s="21">
        <f t="shared" ca="1" si="1"/>
        <v>45629</v>
      </c>
      <c r="B87" s="19" t="e" cm="1">
        <f t="array" aca="1" ref="B87" ca="1">[1]!s_west_netprofit($B$1,2026,$A87,180,1000000)</f>
        <v>#NAME?</v>
      </c>
      <c r="C87" s="20" t="e" cm="1">
        <f t="array" aca="1" ref="C87" ca="1">[1]!s_dq_close($B$1,$A87,3)</f>
        <v>#NAME?</v>
      </c>
    </row>
    <row r="88" spans="1:3" ht="18">
      <c r="A88" s="21">
        <f t="shared" ca="1" si="1"/>
        <v>45622</v>
      </c>
      <c r="B88" s="19" t="e" cm="1">
        <f t="array" aca="1" ref="B88" ca="1">[1]!s_west_netprofit($B$1,2026,$A88,180,1000000)</f>
        <v>#NAME?</v>
      </c>
      <c r="C88" s="20" t="e" cm="1">
        <f t="array" aca="1" ref="C88" ca="1">[1]!s_dq_close($B$1,$A88,3)</f>
        <v>#NAME?</v>
      </c>
    </row>
    <row r="89" spans="1:3" ht="18">
      <c r="A89" s="21">
        <f t="shared" ca="1" si="1"/>
        <v>45615</v>
      </c>
      <c r="B89" s="19" t="e" cm="1">
        <f t="array" aca="1" ref="B89" ca="1">[1]!s_west_netprofit($B$1,2026,$A89,180,1000000)</f>
        <v>#NAME?</v>
      </c>
      <c r="C89" s="20" t="e" cm="1">
        <f t="array" aca="1" ref="C89" ca="1">[1]!s_dq_close($B$1,$A89,3)</f>
        <v>#NAME?</v>
      </c>
    </row>
    <row r="90" spans="1:3" ht="18">
      <c r="A90" s="21">
        <f t="shared" ca="1" si="1"/>
        <v>45608</v>
      </c>
      <c r="B90" s="19" t="e" cm="1">
        <f t="array" aca="1" ref="B90" ca="1">[1]!s_west_netprofit($B$1,2026,$A90,180,1000000)</f>
        <v>#NAME?</v>
      </c>
      <c r="C90" s="20" t="e" cm="1">
        <f t="array" aca="1" ref="C90" ca="1">[1]!s_dq_close($B$1,$A90,3)</f>
        <v>#NAME?</v>
      </c>
    </row>
    <row r="91" spans="1:3" ht="18">
      <c r="A91" s="21">
        <f t="shared" ca="1" si="1"/>
        <v>45601</v>
      </c>
      <c r="B91" s="19" t="e" cm="1">
        <f t="array" aca="1" ref="B91" ca="1">[1]!s_west_netprofit($B$1,2026,$A91,180,1000000)</f>
        <v>#NAME?</v>
      </c>
      <c r="C91" s="20" t="e" cm="1">
        <f t="array" aca="1" ref="C91" ca="1">[1]!s_dq_close($B$1,$A91,3)</f>
        <v>#NAME?</v>
      </c>
    </row>
    <row r="92" spans="1:3" ht="18">
      <c r="A92" s="21">
        <f t="shared" ca="1" si="1"/>
        <v>45594</v>
      </c>
      <c r="B92" s="19" t="e" cm="1">
        <f t="array" aca="1" ref="B92" ca="1">[1]!s_west_netprofit($B$1,2026,$A92,180,1000000)</f>
        <v>#NAME?</v>
      </c>
      <c r="C92" s="20" t="e" cm="1">
        <f t="array" aca="1" ref="C92" ca="1">[1]!s_dq_close($B$1,$A92,3)</f>
        <v>#NAME?</v>
      </c>
    </row>
    <row r="93" spans="1:3" ht="18">
      <c r="A93" s="21">
        <f t="shared" ca="1" si="1"/>
        <v>45587</v>
      </c>
      <c r="B93" s="19" t="e" cm="1">
        <f t="array" aca="1" ref="B93" ca="1">[1]!s_west_netprofit($B$1,2026,$A93,180,1000000)</f>
        <v>#NAME?</v>
      </c>
      <c r="C93" s="20" t="e" cm="1">
        <f t="array" aca="1" ref="C93" ca="1">[1]!s_dq_close($B$1,$A93,3)</f>
        <v>#NAME?</v>
      </c>
    </row>
    <row r="94" spans="1:3" ht="18">
      <c r="A94" s="21">
        <f t="shared" ca="1" si="1"/>
        <v>45580</v>
      </c>
      <c r="B94" s="19" t="e" cm="1">
        <f t="array" aca="1" ref="B94" ca="1">[1]!s_west_netprofit($B$1,2026,$A94,180,1000000)</f>
        <v>#NAME?</v>
      </c>
      <c r="C94" s="20" t="e" cm="1">
        <f t="array" aca="1" ref="C94" ca="1">[1]!s_dq_close($B$1,$A94,3)</f>
        <v>#NAME?</v>
      </c>
    </row>
    <row r="95" spans="1:3" ht="18">
      <c r="A95" s="21">
        <f t="shared" ca="1" si="1"/>
        <v>45573</v>
      </c>
      <c r="B95" s="19" t="e" cm="1">
        <f t="array" aca="1" ref="B95" ca="1">[1]!s_west_netprofit($B$1,2026,$A95,180,1000000)</f>
        <v>#NAME?</v>
      </c>
      <c r="C95" s="20" t="e" cm="1">
        <f t="array" aca="1" ref="C95" ca="1">[1]!s_dq_close($B$1,$A95,3)</f>
        <v>#NAME?</v>
      </c>
    </row>
    <row r="96" spans="1:3" ht="18">
      <c r="A96" s="21">
        <f t="shared" ca="1" si="1"/>
        <v>45566</v>
      </c>
      <c r="B96" s="19" t="e" cm="1">
        <f t="array" aca="1" ref="B96" ca="1">[1]!s_west_netprofit($B$1,2026,$A96,180,1000000)</f>
        <v>#NAME?</v>
      </c>
      <c r="C96" s="20" t="e" cm="1">
        <f t="array" aca="1" ref="C96" ca="1">[1]!s_dq_close($B$1,$A96,3)</f>
        <v>#NAME?</v>
      </c>
    </row>
    <row r="97" spans="1:3" ht="18">
      <c r="A97" s="21">
        <f t="shared" ca="1" si="1"/>
        <v>45559</v>
      </c>
      <c r="B97" s="19" t="e" cm="1">
        <f t="array" aca="1" ref="B97" ca="1">[1]!s_west_netprofit($B$1,2026,$A97,180,1000000)</f>
        <v>#NAME?</v>
      </c>
      <c r="C97" s="20" t="e" cm="1">
        <f t="array" aca="1" ref="C97" ca="1">[1]!s_dq_close($B$1,$A97,3)</f>
        <v>#NAME?</v>
      </c>
    </row>
    <row r="98" spans="1:3" ht="18">
      <c r="A98" s="21">
        <f t="shared" ca="1" si="1"/>
        <v>45552</v>
      </c>
      <c r="B98" s="19" t="e" cm="1">
        <f t="array" aca="1" ref="B98" ca="1">[1]!s_west_netprofit($B$1,2026,$A98,180,1000000)</f>
        <v>#NAME?</v>
      </c>
      <c r="C98" s="20" t="e" cm="1">
        <f t="array" aca="1" ref="C98" ca="1">[1]!s_dq_close($B$1,$A98,3)</f>
        <v>#NAME?</v>
      </c>
    </row>
    <row r="99" spans="1:3" ht="19" thickBot="1">
      <c r="A99" s="22">
        <f t="shared" ca="1" si="1"/>
        <v>45545</v>
      </c>
      <c r="B99" s="23" t="e" cm="1">
        <f t="array" aca="1" ref="B99" ca="1">[1]!s_west_netprofit($B$1,2026,$A99,180,1000000)</f>
        <v>#NAME?</v>
      </c>
      <c r="C99" s="24" t="e" cm="1">
        <f t="array" aca="1" ref="C99" ca="1">[1]!s_dq_close($B$1,$A99,3)</f>
        <v>#NAME?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F7835-3A5F-F04F-9CBF-BBADA26F01DE}">
  <dimension ref="A1:D99"/>
  <sheetViews>
    <sheetView workbookViewId="0">
      <selection sqref="A1:XFD1048576"/>
    </sheetView>
  </sheetViews>
  <sheetFormatPr baseColWidth="10" defaultColWidth="9.1640625" defaultRowHeight="16"/>
  <cols>
    <col min="1" max="1" width="36.33203125" customWidth="1"/>
    <col min="2" max="2" width="26" customWidth="1"/>
    <col min="3" max="3" width="40" customWidth="1"/>
    <col min="4" max="4" width="11" bestFit="1" customWidth="1"/>
  </cols>
  <sheetData>
    <row r="1" spans="1:4" ht="17" thickBot="1">
      <c r="A1" t="e">
        <f ca="1">[1]!S_INFO_NAME($B$1)</f>
        <v>#NAME?</v>
      </c>
      <c r="B1" s="1"/>
      <c r="C1" t="s">
        <v>0</v>
      </c>
      <c r="D1" s="2">
        <f ca="1">TODAY()</f>
        <v>46161</v>
      </c>
    </row>
    <row r="2" spans="1:4" s="6" customFormat="1" ht="18">
      <c r="A2" s="3" t="s">
        <v>4</v>
      </c>
      <c r="B2" s="4">
        <v>2025</v>
      </c>
      <c r="C2" s="5">
        <v>2026</v>
      </c>
    </row>
    <row r="3" spans="1:4" s="6" customFormat="1" ht="18">
      <c r="A3" s="7" t="s">
        <v>5</v>
      </c>
      <c r="B3" s="8" t="e">
        <f ca="1">[1]!s_west_instnum_np($B$1,2025,$D$1,180)</f>
        <v>#NAME?</v>
      </c>
      <c r="C3" s="9" t="e">
        <f ca="1">[1]!s_west_instnum_np($B$1,2026,$D$1,180)</f>
        <v>#NAME?</v>
      </c>
    </row>
    <row r="4" spans="1:4" s="6" customFormat="1" ht="18">
      <c r="A4" s="7" t="s">
        <v>2</v>
      </c>
      <c r="B4" s="10" t="e">
        <f ca="1">[1]!s_west_instnum_np($A$1,2025,$D$1,180)</f>
        <v>#NAME?</v>
      </c>
      <c r="C4" s="11" t="e">
        <f ca="1">[1]!s_west_netprofit($B$1,2026,$D$1,180,1000000)</f>
        <v>#NAME?</v>
      </c>
    </row>
    <row r="5" spans="1:4" s="6" customFormat="1" ht="18">
      <c r="A5" s="7" t="s">
        <v>6</v>
      </c>
      <c r="B5" s="10" t="e">
        <f ca="1">[1]!s_west_maxnetprofit($B$1,2025,$D$1,180,1000000)</f>
        <v>#NAME?</v>
      </c>
      <c r="C5" s="11" t="e">
        <f ca="1">[1]!s_west_maxnetprofit($B$1,2026,$D$1,180,1000000)</f>
        <v>#NAME?</v>
      </c>
    </row>
    <row r="6" spans="1:4" s="6" customFormat="1" ht="18">
      <c r="A6" s="7" t="s">
        <v>7</v>
      </c>
      <c r="B6" s="10" t="e">
        <f ca="1">[1]!s_west_minnetprofit($B$1,2025,$D$1,180,1000000)</f>
        <v>#NAME?</v>
      </c>
      <c r="C6" s="11" t="e">
        <f ca="1">[1]!s_west_minnetprofit($B$1,2026,$D$1,180,1000000)</f>
        <v>#NAME?</v>
      </c>
    </row>
    <row r="7" spans="1:4" s="6" customFormat="1" ht="18">
      <c r="A7" s="7" t="s">
        <v>8</v>
      </c>
      <c r="B7" s="10" t="e">
        <f ca="1">[1]!s_west_mediannetprofit($B$1,2025,$D$1,180,1000000)</f>
        <v>#NAME?</v>
      </c>
      <c r="C7" s="11" t="e">
        <f ca="1">[1]!s_west_mediannetprofit($B$1,2026,$D$1,180,1000000)</f>
        <v>#NAME?</v>
      </c>
    </row>
    <row r="8" spans="1:4" s="6" customFormat="1" ht="19" thickBot="1">
      <c r="A8" s="12" t="s">
        <v>9</v>
      </c>
      <c r="B8" s="13" t="e">
        <f ca="1">[1]!s_west_stdnetprofit($B$1,2025,$D$1,180,1000000)</f>
        <v>#NAME?</v>
      </c>
      <c r="C8" s="14" t="e">
        <f ca="1">[1]!s_west_stdnetprofit($B$1,2026,$D$1,180,1000000)</f>
        <v>#NAME?</v>
      </c>
    </row>
    <row r="10" spans="1:4">
      <c r="A10" s="15" t="s">
        <v>1</v>
      </c>
      <c r="B10" s="16" t="s">
        <v>2</v>
      </c>
      <c r="C10" s="17" t="s">
        <v>3</v>
      </c>
    </row>
    <row r="11" spans="1:4" ht="18">
      <c r="A11" s="18">
        <f ca="1">TODAY()-IF(WEEKDAY(TODAY(),2)=6,1,IF(WEEKDAY(TODAY(),2)=7,2,0))</f>
        <v>46161</v>
      </c>
      <c r="B11" s="19" t="e" cm="1">
        <f t="array" aca="1" ref="B11" ca="1">[1]!s_west_netprofit($B$1,2026,$A11,180,1000000)</f>
        <v>#NAME?</v>
      </c>
      <c r="C11" s="20" t="e" cm="1">
        <f t="array" aca="1" ref="C11" ca="1">[1]!s_dq_close($B$1,$A11,3)</f>
        <v>#NAME?</v>
      </c>
    </row>
    <row r="12" spans="1:4" ht="18">
      <c r="A12" s="21">
        <f t="shared" ref="A12:A75" ca="1" si="0">A11-7</f>
        <v>46154</v>
      </c>
      <c r="B12" s="19" t="e" cm="1">
        <f t="array" aca="1" ref="B12" ca="1">[1]!s_west_netprofit($B$1,2026,$A12,180,1000000)</f>
        <v>#NAME?</v>
      </c>
      <c r="C12" s="20" t="e" cm="1">
        <f t="array" aca="1" ref="C12" ca="1">[1]!s_dq_close($B$1,$A12,3)</f>
        <v>#NAME?</v>
      </c>
    </row>
    <row r="13" spans="1:4" ht="18">
      <c r="A13" s="21">
        <f t="shared" ca="1" si="0"/>
        <v>46147</v>
      </c>
      <c r="B13" s="19" t="e" cm="1">
        <f t="array" aca="1" ref="B13" ca="1">[1]!s_west_netprofit($B$1,2026,$A13,180,1000000)</f>
        <v>#NAME?</v>
      </c>
      <c r="C13" s="20" t="e" cm="1">
        <f t="array" aca="1" ref="C13" ca="1">[1]!s_dq_close($B$1,$A13,3)</f>
        <v>#NAME?</v>
      </c>
    </row>
    <row r="14" spans="1:4" ht="18">
      <c r="A14" s="21">
        <f t="shared" ca="1" si="0"/>
        <v>46140</v>
      </c>
      <c r="B14" s="19" t="e" cm="1">
        <f t="array" aca="1" ref="B14" ca="1">[1]!s_west_netprofit($B$1,2026,$A14,180,1000000)</f>
        <v>#NAME?</v>
      </c>
      <c r="C14" s="20" t="e" cm="1">
        <f t="array" aca="1" ref="C14" ca="1">[1]!s_dq_close($B$1,$A14,3)</f>
        <v>#NAME?</v>
      </c>
    </row>
    <row r="15" spans="1:4" ht="18">
      <c r="A15" s="21">
        <f t="shared" ca="1" si="0"/>
        <v>46133</v>
      </c>
      <c r="B15" s="19" t="e" cm="1">
        <f t="array" aca="1" ref="B15" ca="1">[1]!s_west_netprofit($B$1,2026,$A15,180,1000000)</f>
        <v>#NAME?</v>
      </c>
      <c r="C15" s="20" t="e" cm="1">
        <f t="array" aca="1" ref="C15" ca="1">[1]!s_dq_close($B$1,$A15,3)</f>
        <v>#NAME?</v>
      </c>
    </row>
    <row r="16" spans="1:4" ht="18">
      <c r="A16" s="21">
        <f t="shared" ca="1" si="0"/>
        <v>46126</v>
      </c>
      <c r="B16" s="19" t="e" cm="1">
        <f t="array" aca="1" ref="B16" ca="1">[1]!s_west_netprofit($B$1,2026,$A16,180,1000000)</f>
        <v>#NAME?</v>
      </c>
      <c r="C16" s="20" t="e" cm="1">
        <f t="array" aca="1" ref="C16" ca="1">[1]!s_dq_close($B$1,$A16,3)</f>
        <v>#NAME?</v>
      </c>
    </row>
    <row r="17" spans="1:3" ht="18">
      <c r="A17" s="21">
        <f t="shared" ca="1" si="0"/>
        <v>46119</v>
      </c>
      <c r="B17" s="19" t="e" cm="1">
        <f t="array" aca="1" ref="B17" ca="1">[1]!s_west_netprofit($B$1,2026,$A17,180,1000000)</f>
        <v>#NAME?</v>
      </c>
      <c r="C17" s="20" t="e" cm="1">
        <f t="array" aca="1" ref="C17" ca="1">[1]!s_dq_close($B$1,$A17,3)</f>
        <v>#NAME?</v>
      </c>
    </row>
    <row r="18" spans="1:3" ht="18">
      <c r="A18" s="21">
        <f t="shared" ca="1" si="0"/>
        <v>46112</v>
      </c>
      <c r="B18" s="19" t="e" cm="1">
        <f t="array" aca="1" ref="B18" ca="1">[1]!s_west_netprofit($B$1,2026,$A18,180,1000000)</f>
        <v>#NAME?</v>
      </c>
      <c r="C18" s="20" t="e" cm="1">
        <f t="array" aca="1" ref="C18" ca="1">[1]!s_dq_close($B$1,$A18,3)</f>
        <v>#NAME?</v>
      </c>
    </row>
    <row r="19" spans="1:3" ht="18">
      <c r="A19" s="21">
        <f t="shared" ca="1" si="0"/>
        <v>46105</v>
      </c>
      <c r="B19" s="19" t="e" cm="1">
        <f t="array" aca="1" ref="B19" ca="1">[1]!s_west_netprofit($B$1,2026,$A19,180,1000000)</f>
        <v>#NAME?</v>
      </c>
      <c r="C19" s="20" t="e" cm="1">
        <f t="array" aca="1" ref="C19" ca="1">[1]!s_dq_close($B$1,$A19,3)</f>
        <v>#NAME?</v>
      </c>
    </row>
    <row r="20" spans="1:3" ht="18">
      <c r="A20" s="21">
        <f t="shared" ca="1" si="0"/>
        <v>46098</v>
      </c>
      <c r="B20" s="19" t="e" cm="1">
        <f t="array" aca="1" ref="B20" ca="1">[1]!s_west_netprofit($B$1,2026,$A20,180,1000000)</f>
        <v>#NAME?</v>
      </c>
      <c r="C20" s="20" t="e" cm="1">
        <f t="array" aca="1" ref="C20" ca="1">[1]!s_dq_close($B$1,$A20,3)</f>
        <v>#NAME?</v>
      </c>
    </row>
    <row r="21" spans="1:3" ht="18">
      <c r="A21" s="21">
        <f t="shared" ca="1" si="0"/>
        <v>46091</v>
      </c>
      <c r="B21" s="19" t="e" cm="1">
        <f t="array" aca="1" ref="B21" ca="1">[1]!s_west_netprofit($B$1,2026,$A21,180,1000000)</f>
        <v>#NAME?</v>
      </c>
      <c r="C21" s="20" t="e" cm="1">
        <f t="array" aca="1" ref="C21" ca="1">[1]!s_dq_close($B$1,$A21,3)</f>
        <v>#NAME?</v>
      </c>
    </row>
    <row r="22" spans="1:3" ht="18">
      <c r="A22" s="21">
        <f t="shared" ca="1" si="0"/>
        <v>46084</v>
      </c>
      <c r="B22" s="19" t="e" cm="1">
        <f t="array" aca="1" ref="B22" ca="1">[1]!s_west_netprofit($B$1,2026,$A22,180,1000000)</f>
        <v>#NAME?</v>
      </c>
      <c r="C22" s="20" t="e" cm="1">
        <f t="array" aca="1" ref="C22" ca="1">[1]!s_dq_close($B$1,$A22,3)</f>
        <v>#NAME?</v>
      </c>
    </row>
    <row r="23" spans="1:3" ht="18">
      <c r="A23" s="21">
        <f t="shared" ca="1" si="0"/>
        <v>46077</v>
      </c>
      <c r="B23" s="19" t="e" cm="1">
        <f t="array" aca="1" ref="B23" ca="1">[1]!s_west_netprofit($B$1,2026,$A23,180,1000000)</f>
        <v>#NAME?</v>
      </c>
      <c r="C23" s="20" t="e" cm="1">
        <f t="array" aca="1" ref="C23" ca="1">[1]!s_dq_close($B$1,$A23,3)</f>
        <v>#NAME?</v>
      </c>
    </row>
    <row r="24" spans="1:3" ht="18">
      <c r="A24" s="21">
        <f t="shared" ca="1" si="0"/>
        <v>46070</v>
      </c>
      <c r="B24" s="19" t="e" cm="1">
        <f t="array" aca="1" ref="B24" ca="1">[1]!s_west_netprofit($B$1,2026,$A24,180,1000000)</f>
        <v>#NAME?</v>
      </c>
      <c r="C24" s="20" t="e" cm="1">
        <f t="array" aca="1" ref="C24" ca="1">[1]!s_dq_close($B$1,$A24,3)</f>
        <v>#NAME?</v>
      </c>
    </row>
    <row r="25" spans="1:3" ht="18">
      <c r="A25" s="21">
        <f t="shared" ca="1" si="0"/>
        <v>46063</v>
      </c>
      <c r="B25" s="19" t="e" cm="1">
        <f t="array" aca="1" ref="B25" ca="1">[1]!s_west_netprofit($B$1,2026,$A25,180,1000000)</f>
        <v>#NAME?</v>
      </c>
      <c r="C25" s="20" t="e" cm="1">
        <f t="array" aca="1" ref="C25" ca="1">[1]!s_dq_close($B$1,$A25,3)</f>
        <v>#NAME?</v>
      </c>
    </row>
    <row r="26" spans="1:3" ht="18">
      <c r="A26" s="21">
        <f t="shared" ca="1" si="0"/>
        <v>46056</v>
      </c>
      <c r="B26" s="19" t="e" cm="1">
        <f t="array" aca="1" ref="B26" ca="1">[1]!s_west_netprofit($B$1,2026,$A26,180,1000000)</f>
        <v>#NAME?</v>
      </c>
      <c r="C26" s="20" t="e" cm="1">
        <f t="array" aca="1" ref="C26" ca="1">[1]!s_dq_close($B$1,$A26,3)</f>
        <v>#NAME?</v>
      </c>
    </row>
    <row r="27" spans="1:3" ht="18">
      <c r="A27" s="21">
        <f t="shared" ca="1" si="0"/>
        <v>46049</v>
      </c>
      <c r="B27" s="19" t="e" cm="1">
        <f t="array" aca="1" ref="B27" ca="1">[1]!s_west_netprofit($B$1,2026,$A27,180,1000000)</f>
        <v>#NAME?</v>
      </c>
      <c r="C27" s="20" t="e" cm="1">
        <f t="array" aca="1" ref="C27" ca="1">[1]!s_dq_close($B$1,$A27,3)</f>
        <v>#NAME?</v>
      </c>
    </row>
    <row r="28" spans="1:3" ht="18">
      <c r="A28" s="21">
        <f t="shared" ca="1" si="0"/>
        <v>46042</v>
      </c>
      <c r="B28" s="19" t="e" cm="1">
        <f t="array" aca="1" ref="B28" ca="1">[1]!s_west_netprofit($B$1,2026,$A28,180,1000000)</f>
        <v>#NAME?</v>
      </c>
      <c r="C28" s="20" t="e" cm="1">
        <f t="array" aca="1" ref="C28" ca="1">[1]!s_dq_close($B$1,$A28,3)</f>
        <v>#NAME?</v>
      </c>
    </row>
    <row r="29" spans="1:3" ht="18">
      <c r="A29" s="21">
        <f t="shared" ca="1" si="0"/>
        <v>46035</v>
      </c>
      <c r="B29" s="19" t="e" cm="1">
        <f t="array" aca="1" ref="B29" ca="1">[1]!s_west_netprofit($B$1,2026,$A29,180,1000000)</f>
        <v>#NAME?</v>
      </c>
      <c r="C29" s="20" t="e" cm="1">
        <f t="array" aca="1" ref="C29" ca="1">[1]!s_dq_close($B$1,$A29,3)</f>
        <v>#NAME?</v>
      </c>
    </row>
    <row r="30" spans="1:3" ht="18">
      <c r="A30" s="21">
        <f t="shared" ca="1" si="0"/>
        <v>46028</v>
      </c>
      <c r="B30" s="19" t="e" cm="1">
        <f t="array" aca="1" ref="B30" ca="1">[1]!s_west_netprofit($B$1,2026,$A30,180,1000000)</f>
        <v>#NAME?</v>
      </c>
      <c r="C30" s="20" t="e" cm="1">
        <f t="array" aca="1" ref="C30" ca="1">[1]!s_dq_close($B$1,$A30,3)</f>
        <v>#NAME?</v>
      </c>
    </row>
    <row r="31" spans="1:3" ht="18">
      <c r="A31" s="21">
        <f t="shared" ca="1" si="0"/>
        <v>46021</v>
      </c>
      <c r="B31" s="19" t="e" cm="1">
        <f t="array" aca="1" ref="B31" ca="1">[1]!s_west_netprofit($B$1,2026,$A31,180,1000000)</f>
        <v>#NAME?</v>
      </c>
      <c r="C31" s="20" t="e" cm="1">
        <f t="array" aca="1" ref="C31" ca="1">[1]!s_dq_close($B$1,$A31,3)</f>
        <v>#NAME?</v>
      </c>
    </row>
    <row r="32" spans="1:3" ht="18">
      <c r="A32" s="21">
        <f t="shared" ca="1" si="0"/>
        <v>46014</v>
      </c>
      <c r="B32" s="19" t="e" cm="1">
        <f t="array" aca="1" ref="B32" ca="1">[1]!s_west_netprofit($B$1,2026,$A32,180,1000000)</f>
        <v>#NAME?</v>
      </c>
      <c r="C32" s="20" t="e" cm="1">
        <f t="array" aca="1" ref="C32" ca="1">[1]!s_dq_close($B$1,$A32,3)</f>
        <v>#NAME?</v>
      </c>
    </row>
    <row r="33" spans="1:3" ht="18">
      <c r="A33" s="21">
        <f t="shared" ca="1" si="0"/>
        <v>46007</v>
      </c>
      <c r="B33" s="19" t="e" cm="1">
        <f t="array" aca="1" ref="B33" ca="1">[1]!s_west_netprofit($B$1,2026,$A33,180,1000000)</f>
        <v>#NAME?</v>
      </c>
      <c r="C33" s="20" t="e" cm="1">
        <f t="array" aca="1" ref="C33" ca="1">[1]!s_dq_close($B$1,$A33,3)</f>
        <v>#NAME?</v>
      </c>
    </row>
    <row r="34" spans="1:3" ht="18">
      <c r="A34" s="21">
        <f t="shared" ca="1" si="0"/>
        <v>46000</v>
      </c>
      <c r="B34" s="19" t="e" cm="1">
        <f t="array" aca="1" ref="B34" ca="1">[1]!s_west_netprofit($B$1,2026,$A34,180,1000000)</f>
        <v>#NAME?</v>
      </c>
      <c r="C34" s="20" t="e" cm="1">
        <f t="array" aca="1" ref="C34" ca="1">[1]!s_dq_close($B$1,$A34,3)</f>
        <v>#NAME?</v>
      </c>
    </row>
    <row r="35" spans="1:3" ht="18">
      <c r="A35" s="21">
        <f t="shared" ca="1" si="0"/>
        <v>45993</v>
      </c>
      <c r="B35" s="19" t="e" cm="1">
        <f t="array" aca="1" ref="B35" ca="1">[1]!s_west_netprofit($B$1,2026,$A35,180,1000000)</f>
        <v>#NAME?</v>
      </c>
      <c r="C35" s="20" t="e" cm="1">
        <f t="array" aca="1" ref="C35" ca="1">[1]!s_dq_close($B$1,$A35,3)</f>
        <v>#NAME?</v>
      </c>
    </row>
    <row r="36" spans="1:3" ht="18">
      <c r="A36" s="21">
        <f t="shared" ca="1" si="0"/>
        <v>45986</v>
      </c>
      <c r="B36" s="19" t="e" cm="1">
        <f t="array" aca="1" ref="B36" ca="1">[1]!s_west_netprofit($B$1,2026,$A36,180,1000000)</f>
        <v>#NAME?</v>
      </c>
      <c r="C36" s="20" t="e" cm="1">
        <f t="array" aca="1" ref="C36" ca="1">[1]!s_dq_close($B$1,$A36,3)</f>
        <v>#NAME?</v>
      </c>
    </row>
    <row r="37" spans="1:3" ht="18">
      <c r="A37" s="21">
        <f t="shared" ca="1" si="0"/>
        <v>45979</v>
      </c>
      <c r="B37" s="19" t="e" cm="1">
        <f t="array" aca="1" ref="B37" ca="1">[1]!s_west_netprofit($B$1,2026,$A37,180,1000000)</f>
        <v>#NAME?</v>
      </c>
      <c r="C37" s="20" t="e" cm="1">
        <f t="array" aca="1" ref="C37" ca="1">[1]!s_dq_close($B$1,$A37,3)</f>
        <v>#NAME?</v>
      </c>
    </row>
    <row r="38" spans="1:3" ht="18">
      <c r="A38" s="21">
        <f t="shared" ca="1" si="0"/>
        <v>45972</v>
      </c>
      <c r="B38" s="19" t="e" cm="1">
        <f t="array" aca="1" ref="B38" ca="1">[1]!s_west_netprofit($B$1,2026,$A38,180,1000000)</f>
        <v>#NAME?</v>
      </c>
      <c r="C38" s="20" t="e" cm="1">
        <f t="array" aca="1" ref="C38" ca="1">[1]!s_dq_close($B$1,$A38,3)</f>
        <v>#NAME?</v>
      </c>
    </row>
    <row r="39" spans="1:3" ht="18">
      <c r="A39" s="21">
        <f t="shared" ca="1" si="0"/>
        <v>45965</v>
      </c>
      <c r="B39" s="19" t="e" cm="1">
        <f t="array" aca="1" ref="B39" ca="1">[1]!s_west_netprofit($B$1,2026,$A39,180,1000000)</f>
        <v>#NAME?</v>
      </c>
      <c r="C39" s="20" t="e" cm="1">
        <f t="array" aca="1" ref="C39" ca="1">[1]!s_dq_close($B$1,$A39,3)</f>
        <v>#NAME?</v>
      </c>
    </row>
    <row r="40" spans="1:3" ht="18">
      <c r="A40" s="21">
        <f t="shared" ca="1" si="0"/>
        <v>45958</v>
      </c>
      <c r="B40" s="19" t="e" cm="1">
        <f t="array" aca="1" ref="B40" ca="1">[1]!s_west_netprofit($B$1,2026,$A40,180,1000000)</f>
        <v>#NAME?</v>
      </c>
      <c r="C40" s="20" t="e" cm="1">
        <f t="array" aca="1" ref="C40" ca="1">[1]!s_dq_close($B$1,$A40,3)</f>
        <v>#NAME?</v>
      </c>
    </row>
    <row r="41" spans="1:3" ht="18">
      <c r="A41" s="21">
        <f t="shared" ca="1" si="0"/>
        <v>45951</v>
      </c>
      <c r="B41" s="19" t="e" cm="1">
        <f t="array" aca="1" ref="B41" ca="1">[1]!s_west_netprofit($B$1,2026,$A41,180,1000000)</f>
        <v>#NAME?</v>
      </c>
      <c r="C41" s="20" t="e" cm="1">
        <f t="array" aca="1" ref="C41" ca="1">[1]!s_dq_close($B$1,$A41,3)</f>
        <v>#NAME?</v>
      </c>
    </row>
    <row r="42" spans="1:3" ht="18">
      <c r="A42" s="21">
        <f t="shared" ca="1" si="0"/>
        <v>45944</v>
      </c>
      <c r="B42" s="19" t="e" cm="1">
        <f t="array" aca="1" ref="B42" ca="1">[1]!s_west_netprofit($B$1,2026,$A42,180,1000000)</f>
        <v>#NAME?</v>
      </c>
      <c r="C42" s="20" t="e" cm="1">
        <f t="array" aca="1" ref="C42" ca="1">[1]!s_dq_close($B$1,$A42,3)</f>
        <v>#NAME?</v>
      </c>
    </row>
    <row r="43" spans="1:3" ht="18">
      <c r="A43" s="21">
        <f t="shared" ca="1" si="0"/>
        <v>45937</v>
      </c>
      <c r="B43" s="19" t="e" cm="1">
        <f t="array" aca="1" ref="B43" ca="1">[1]!s_west_netprofit($B$1,2026,$A43,180,1000000)</f>
        <v>#NAME?</v>
      </c>
      <c r="C43" s="20" t="e" cm="1">
        <f t="array" aca="1" ref="C43" ca="1">[1]!s_dq_close($B$1,$A43,3)</f>
        <v>#NAME?</v>
      </c>
    </row>
    <row r="44" spans="1:3" ht="18">
      <c r="A44" s="21">
        <f t="shared" ca="1" si="0"/>
        <v>45930</v>
      </c>
      <c r="B44" s="19" t="e" cm="1">
        <f t="array" aca="1" ref="B44" ca="1">[1]!s_west_netprofit($B$1,2026,$A44,180,1000000)</f>
        <v>#NAME?</v>
      </c>
      <c r="C44" s="20" t="e" cm="1">
        <f t="array" aca="1" ref="C44" ca="1">[1]!s_dq_close($B$1,$A44,3)</f>
        <v>#NAME?</v>
      </c>
    </row>
    <row r="45" spans="1:3" ht="18">
      <c r="A45" s="21">
        <f t="shared" ca="1" si="0"/>
        <v>45923</v>
      </c>
      <c r="B45" s="19" t="e" cm="1">
        <f t="array" aca="1" ref="B45" ca="1">[1]!s_west_netprofit($B$1,2026,$A45,180,1000000)</f>
        <v>#NAME?</v>
      </c>
      <c r="C45" s="20" t="e" cm="1">
        <f t="array" aca="1" ref="C45" ca="1">[1]!s_dq_close($B$1,$A45,3)</f>
        <v>#NAME?</v>
      </c>
    </row>
    <row r="46" spans="1:3" ht="18">
      <c r="A46" s="21">
        <f t="shared" ca="1" si="0"/>
        <v>45916</v>
      </c>
      <c r="B46" s="19" t="e" cm="1">
        <f t="array" aca="1" ref="B46" ca="1">[1]!s_west_netprofit($B$1,2026,$A46,180,1000000)</f>
        <v>#NAME?</v>
      </c>
      <c r="C46" s="20" t="e" cm="1">
        <f t="array" aca="1" ref="C46" ca="1">[1]!s_dq_close($B$1,$A46,3)</f>
        <v>#NAME?</v>
      </c>
    </row>
    <row r="47" spans="1:3" ht="18">
      <c r="A47" s="21">
        <f t="shared" ca="1" si="0"/>
        <v>45909</v>
      </c>
      <c r="B47" s="19" t="e" cm="1">
        <f t="array" aca="1" ref="B47" ca="1">[1]!s_west_netprofit($B$1,2026,$A47,180,1000000)</f>
        <v>#NAME?</v>
      </c>
      <c r="C47" s="20" t="e" cm="1">
        <f t="array" aca="1" ref="C47" ca="1">[1]!s_dq_close($B$1,$A47,3)</f>
        <v>#NAME?</v>
      </c>
    </row>
    <row r="48" spans="1:3" ht="18">
      <c r="A48" s="21">
        <f t="shared" ca="1" si="0"/>
        <v>45902</v>
      </c>
      <c r="B48" s="19" t="e" cm="1">
        <f t="array" aca="1" ref="B48" ca="1">[1]!s_west_netprofit($B$1,2026,$A48,180,1000000)</f>
        <v>#NAME?</v>
      </c>
      <c r="C48" s="20" t="e" cm="1">
        <f t="array" aca="1" ref="C48" ca="1">[1]!s_dq_close($B$1,$A48,3)</f>
        <v>#NAME?</v>
      </c>
    </row>
    <row r="49" spans="1:3" ht="18">
      <c r="A49" s="21">
        <f t="shared" ca="1" si="0"/>
        <v>45895</v>
      </c>
      <c r="B49" s="19" t="e" cm="1">
        <f t="array" aca="1" ref="B49" ca="1">[1]!s_west_netprofit($B$1,2026,$A49,180,1000000)</f>
        <v>#NAME?</v>
      </c>
      <c r="C49" s="20" t="e" cm="1">
        <f t="array" aca="1" ref="C49" ca="1">[1]!s_dq_close($B$1,$A49,3)</f>
        <v>#NAME?</v>
      </c>
    </row>
    <row r="50" spans="1:3" ht="18">
      <c r="A50" s="21">
        <f t="shared" ca="1" si="0"/>
        <v>45888</v>
      </c>
      <c r="B50" s="19" t="e" cm="1">
        <f t="array" aca="1" ref="B50" ca="1">[1]!s_west_netprofit($B$1,2026,$A50,180,1000000)</f>
        <v>#NAME?</v>
      </c>
      <c r="C50" s="20" t="e" cm="1">
        <f t="array" aca="1" ref="C50" ca="1">[1]!s_dq_close($B$1,$A50,3)</f>
        <v>#NAME?</v>
      </c>
    </row>
    <row r="51" spans="1:3" ht="18">
      <c r="A51" s="21">
        <f t="shared" ca="1" si="0"/>
        <v>45881</v>
      </c>
      <c r="B51" s="19" t="e" cm="1">
        <f t="array" aca="1" ref="B51" ca="1">[1]!s_west_netprofit($B$1,2026,$A51,180,1000000)</f>
        <v>#NAME?</v>
      </c>
      <c r="C51" s="20" t="e" cm="1">
        <f t="array" aca="1" ref="C51" ca="1">[1]!s_dq_close($B$1,$A51,3)</f>
        <v>#NAME?</v>
      </c>
    </row>
    <row r="52" spans="1:3" ht="18">
      <c r="A52" s="21">
        <f t="shared" ca="1" si="0"/>
        <v>45874</v>
      </c>
      <c r="B52" s="19" t="e" cm="1">
        <f t="array" aca="1" ref="B52" ca="1">[1]!s_west_netprofit($B$1,2026,$A52,180,1000000)</f>
        <v>#NAME?</v>
      </c>
      <c r="C52" s="20" t="e" cm="1">
        <f t="array" aca="1" ref="C52" ca="1">[1]!s_dq_close($B$1,$A52,3)</f>
        <v>#NAME?</v>
      </c>
    </row>
    <row r="53" spans="1:3" ht="18">
      <c r="A53" s="21">
        <f t="shared" ca="1" si="0"/>
        <v>45867</v>
      </c>
      <c r="B53" s="19" t="e" cm="1">
        <f t="array" aca="1" ref="B53" ca="1">[1]!s_west_netprofit($B$1,2026,$A53,180,1000000)</f>
        <v>#NAME?</v>
      </c>
      <c r="C53" s="20" t="e" cm="1">
        <f t="array" aca="1" ref="C53" ca="1">[1]!s_dq_close($B$1,$A53,3)</f>
        <v>#NAME?</v>
      </c>
    </row>
    <row r="54" spans="1:3" ht="18">
      <c r="A54" s="21">
        <f t="shared" ca="1" si="0"/>
        <v>45860</v>
      </c>
      <c r="B54" s="19" t="e" cm="1">
        <f t="array" aca="1" ref="B54" ca="1">[1]!s_west_netprofit($B$1,2026,$A54,180,1000000)</f>
        <v>#NAME?</v>
      </c>
      <c r="C54" s="20" t="e" cm="1">
        <f t="array" aca="1" ref="C54" ca="1">[1]!s_dq_close($B$1,$A54,3)</f>
        <v>#NAME?</v>
      </c>
    </row>
    <row r="55" spans="1:3" ht="18">
      <c r="A55" s="21">
        <f t="shared" ca="1" si="0"/>
        <v>45853</v>
      </c>
      <c r="B55" s="19" t="e" cm="1">
        <f t="array" aca="1" ref="B55" ca="1">[1]!s_west_netprofit($B$1,2026,$A55,180,1000000)</f>
        <v>#NAME?</v>
      </c>
      <c r="C55" s="20" t="e" cm="1">
        <f t="array" aca="1" ref="C55" ca="1">[1]!s_dq_close($B$1,$A55,3)</f>
        <v>#NAME?</v>
      </c>
    </row>
    <row r="56" spans="1:3" ht="18">
      <c r="A56" s="21">
        <f t="shared" ca="1" si="0"/>
        <v>45846</v>
      </c>
      <c r="B56" s="19" t="e" cm="1">
        <f t="array" aca="1" ref="B56" ca="1">[1]!s_west_netprofit($B$1,2026,$A56,180,1000000)</f>
        <v>#NAME?</v>
      </c>
      <c r="C56" s="20" t="e" cm="1">
        <f t="array" aca="1" ref="C56" ca="1">[1]!s_dq_close($B$1,$A56,3)</f>
        <v>#NAME?</v>
      </c>
    </row>
    <row r="57" spans="1:3" ht="18">
      <c r="A57" s="21">
        <f t="shared" ca="1" si="0"/>
        <v>45839</v>
      </c>
      <c r="B57" s="19" t="e" cm="1">
        <f t="array" aca="1" ref="B57" ca="1">[1]!s_west_netprofit($B$1,2026,$A57,180,1000000)</f>
        <v>#NAME?</v>
      </c>
      <c r="C57" s="20" t="e" cm="1">
        <f t="array" aca="1" ref="C57" ca="1">[1]!s_dq_close($B$1,$A57,3)</f>
        <v>#NAME?</v>
      </c>
    </row>
    <row r="58" spans="1:3" ht="18">
      <c r="A58" s="21">
        <f t="shared" ca="1" si="0"/>
        <v>45832</v>
      </c>
      <c r="B58" s="19" t="e" cm="1">
        <f t="array" aca="1" ref="B58" ca="1">[1]!s_west_netprofit($B$1,2026,$A58,180,1000000)</f>
        <v>#NAME?</v>
      </c>
      <c r="C58" s="20" t="e" cm="1">
        <f t="array" aca="1" ref="C58" ca="1">[1]!s_dq_close($B$1,$A58,3)</f>
        <v>#NAME?</v>
      </c>
    </row>
    <row r="59" spans="1:3" ht="18">
      <c r="A59" s="21">
        <f t="shared" ca="1" si="0"/>
        <v>45825</v>
      </c>
      <c r="B59" s="19" t="e" cm="1">
        <f t="array" aca="1" ref="B59" ca="1">[1]!s_west_netprofit($B$1,2026,$A59,180,1000000)</f>
        <v>#NAME?</v>
      </c>
      <c r="C59" s="20" t="e" cm="1">
        <f t="array" aca="1" ref="C59" ca="1">[1]!s_dq_close($B$1,$A59,3)</f>
        <v>#NAME?</v>
      </c>
    </row>
    <row r="60" spans="1:3" ht="18">
      <c r="A60" s="21">
        <f t="shared" ca="1" si="0"/>
        <v>45818</v>
      </c>
      <c r="B60" s="19" t="e" cm="1">
        <f t="array" aca="1" ref="B60" ca="1">[1]!s_west_netprofit($B$1,2026,$A60,180,1000000)</f>
        <v>#NAME?</v>
      </c>
      <c r="C60" s="20" t="e" cm="1">
        <f t="array" aca="1" ref="C60" ca="1">[1]!s_dq_close($B$1,$A60,3)</f>
        <v>#NAME?</v>
      </c>
    </row>
    <row r="61" spans="1:3" ht="18">
      <c r="A61" s="21">
        <f t="shared" ca="1" si="0"/>
        <v>45811</v>
      </c>
      <c r="B61" s="19" t="e" cm="1">
        <f t="array" aca="1" ref="B61" ca="1">[1]!s_west_netprofit($B$1,2026,$A61,180,1000000)</f>
        <v>#NAME?</v>
      </c>
      <c r="C61" s="20" t="e" cm="1">
        <f t="array" aca="1" ref="C61" ca="1">[1]!s_dq_close($B$1,$A61,3)</f>
        <v>#NAME?</v>
      </c>
    </row>
    <row r="62" spans="1:3" ht="18">
      <c r="A62" s="21">
        <f t="shared" ca="1" si="0"/>
        <v>45804</v>
      </c>
      <c r="B62" s="19" t="e" cm="1">
        <f t="array" aca="1" ref="B62" ca="1">[1]!s_west_netprofit($B$1,2026,$A62,180,1000000)</f>
        <v>#NAME?</v>
      </c>
      <c r="C62" s="20" t="e" cm="1">
        <f t="array" aca="1" ref="C62" ca="1">[1]!s_dq_close($B$1,$A62,3)</f>
        <v>#NAME?</v>
      </c>
    </row>
    <row r="63" spans="1:3" ht="18">
      <c r="A63" s="21">
        <f t="shared" ca="1" si="0"/>
        <v>45797</v>
      </c>
      <c r="B63" s="19" t="e" cm="1">
        <f t="array" aca="1" ref="B63" ca="1">[1]!s_west_netprofit($B$1,2026,$A63,180,1000000)</f>
        <v>#NAME?</v>
      </c>
      <c r="C63" s="20" t="e" cm="1">
        <f t="array" aca="1" ref="C63" ca="1">[1]!s_dq_close($B$1,$A63,3)</f>
        <v>#NAME?</v>
      </c>
    </row>
    <row r="64" spans="1:3" ht="18">
      <c r="A64" s="21">
        <f t="shared" ca="1" si="0"/>
        <v>45790</v>
      </c>
      <c r="B64" s="19" t="e" cm="1">
        <f t="array" aca="1" ref="B64" ca="1">[1]!s_west_netprofit($B$1,2026,$A64,180,1000000)</f>
        <v>#NAME?</v>
      </c>
      <c r="C64" s="20" t="e" cm="1">
        <f t="array" aca="1" ref="C64" ca="1">[1]!s_dq_close($B$1,$A64,3)</f>
        <v>#NAME?</v>
      </c>
    </row>
    <row r="65" spans="1:3" ht="18">
      <c r="A65" s="21">
        <f t="shared" ca="1" si="0"/>
        <v>45783</v>
      </c>
      <c r="B65" s="19" t="e" cm="1">
        <f t="array" aca="1" ref="B65" ca="1">[1]!s_west_netprofit($B$1,2026,$A65,180,1000000)</f>
        <v>#NAME?</v>
      </c>
      <c r="C65" s="20" t="e" cm="1">
        <f t="array" aca="1" ref="C65" ca="1">[1]!s_dq_close($B$1,$A65,3)</f>
        <v>#NAME?</v>
      </c>
    </row>
    <row r="66" spans="1:3" ht="18">
      <c r="A66" s="21">
        <f t="shared" ca="1" si="0"/>
        <v>45776</v>
      </c>
      <c r="B66" s="19" t="e" cm="1">
        <f t="array" aca="1" ref="B66" ca="1">[1]!s_west_netprofit($B$1,2026,$A66,180,1000000)</f>
        <v>#NAME?</v>
      </c>
      <c r="C66" s="20" t="e" cm="1">
        <f t="array" aca="1" ref="C66" ca="1">[1]!s_dq_close($B$1,$A66,3)</f>
        <v>#NAME?</v>
      </c>
    </row>
    <row r="67" spans="1:3" ht="18">
      <c r="A67" s="21">
        <f t="shared" ca="1" si="0"/>
        <v>45769</v>
      </c>
      <c r="B67" s="19" t="e" cm="1">
        <f t="array" aca="1" ref="B67" ca="1">[1]!s_west_netprofit($B$1,2026,$A67,180,1000000)</f>
        <v>#NAME?</v>
      </c>
      <c r="C67" s="20" t="e" cm="1">
        <f t="array" aca="1" ref="C67" ca="1">[1]!s_dq_close($B$1,$A67,3)</f>
        <v>#NAME?</v>
      </c>
    </row>
    <row r="68" spans="1:3" ht="18">
      <c r="A68" s="21">
        <f t="shared" ca="1" si="0"/>
        <v>45762</v>
      </c>
      <c r="B68" s="19" t="e" cm="1">
        <f t="array" aca="1" ref="B68" ca="1">[1]!s_west_netprofit($B$1,2026,$A68,180,1000000)</f>
        <v>#NAME?</v>
      </c>
      <c r="C68" s="20" t="e" cm="1">
        <f t="array" aca="1" ref="C68" ca="1">[1]!s_dq_close($B$1,$A68,3)</f>
        <v>#NAME?</v>
      </c>
    </row>
    <row r="69" spans="1:3" ht="18">
      <c r="A69" s="21">
        <f t="shared" ca="1" si="0"/>
        <v>45755</v>
      </c>
      <c r="B69" s="19" t="e" cm="1">
        <f t="array" aca="1" ref="B69" ca="1">[1]!s_west_netprofit($B$1,2026,$A69,180,1000000)</f>
        <v>#NAME?</v>
      </c>
      <c r="C69" s="20" t="e" cm="1">
        <f t="array" aca="1" ref="C69" ca="1">[1]!s_dq_close($B$1,$A69,3)</f>
        <v>#NAME?</v>
      </c>
    </row>
    <row r="70" spans="1:3" ht="18">
      <c r="A70" s="21">
        <f t="shared" ca="1" si="0"/>
        <v>45748</v>
      </c>
      <c r="B70" s="19" t="e" cm="1">
        <f t="array" aca="1" ref="B70" ca="1">[1]!s_west_netprofit($B$1,2026,$A70,180,1000000)</f>
        <v>#NAME?</v>
      </c>
      <c r="C70" s="20" t="e" cm="1">
        <f t="array" aca="1" ref="C70" ca="1">[1]!s_dq_close($B$1,$A70,3)</f>
        <v>#NAME?</v>
      </c>
    </row>
    <row r="71" spans="1:3" ht="18">
      <c r="A71" s="21">
        <f t="shared" ca="1" si="0"/>
        <v>45741</v>
      </c>
      <c r="B71" s="19" t="e" cm="1">
        <f t="array" aca="1" ref="B71" ca="1">[1]!s_west_netprofit($B$1,2026,$A71,180,1000000)</f>
        <v>#NAME?</v>
      </c>
      <c r="C71" s="20" t="e" cm="1">
        <f t="array" aca="1" ref="C71" ca="1">[1]!s_dq_close($B$1,$A71,3)</f>
        <v>#NAME?</v>
      </c>
    </row>
    <row r="72" spans="1:3" ht="18">
      <c r="A72" s="21">
        <f t="shared" ca="1" si="0"/>
        <v>45734</v>
      </c>
      <c r="B72" s="19" t="e" cm="1">
        <f t="array" aca="1" ref="B72" ca="1">[1]!s_west_netprofit($B$1,2026,$A72,180,1000000)</f>
        <v>#NAME?</v>
      </c>
      <c r="C72" s="20" t="e" cm="1">
        <f t="array" aca="1" ref="C72" ca="1">[1]!s_dq_close($B$1,$A72,3)</f>
        <v>#NAME?</v>
      </c>
    </row>
    <row r="73" spans="1:3" ht="18">
      <c r="A73" s="21">
        <f t="shared" ca="1" si="0"/>
        <v>45727</v>
      </c>
      <c r="B73" s="19" t="e" cm="1">
        <f t="array" aca="1" ref="B73" ca="1">[1]!s_west_netprofit($B$1,2026,$A73,180,1000000)</f>
        <v>#NAME?</v>
      </c>
      <c r="C73" s="20" t="e" cm="1">
        <f t="array" aca="1" ref="C73" ca="1">[1]!s_dq_close($B$1,$A73,3)</f>
        <v>#NAME?</v>
      </c>
    </row>
    <row r="74" spans="1:3" ht="18">
      <c r="A74" s="21">
        <f t="shared" ca="1" si="0"/>
        <v>45720</v>
      </c>
      <c r="B74" s="19" t="e" cm="1">
        <f t="array" aca="1" ref="B74" ca="1">[1]!s_west_netprofit($B$1,2026,$A74,180,1000000)</f>
        <v>#NAME?</v>
      </c>
      <c r="C74" s="20" t="e" cm="1">
        <f t="array" aca="1" ref="C74" ca="1">[1]!s_dq_close($B$1,$A74,3)</f>
        <v>#NAME?</v>
      </c>
    </row>
    <row r="75" spans="1:3" ht="18">
      <c r="A75" s="21">
        <f t="shared" ca="1" si="0"/>
        <v>45713</v>
      </c>
      <c r="B75" s="19" t="e" cm="1">
        <f t="array" aca="1" ref="B75" ca="1">[1]!s_west_netprofit($B$1,2026,$A75,180,1000000)</f>
        <v>#NAME?</v>
      </c>
      <c r="C75" s="20" t="e" cm="1">
        <f t="array" aca="1" ref="C75" ca="1">[1]!s_dq_close($B$1,$A75,3)</f>
        <v>#NAME?</v>
      </c>
    </row>
    <row r="76" spans="1:3" ht="18">
      <c r="A76" s="21">
        <f t="shared" ref="A76:A99" ca="1" si="1">A75-7</f>
        <v>45706</v>
      </c>
      <c r="B76" s="19" t="e" cm="1">
        <f t="array" aca="1" ref="B76" ca="1">[1]!s_west_netprofit($B$1,2026,$A76,180,1000000)</f>
        <v>#NAME?</v>
      </c>
      <c r="C76" s="20" t="e" cm="1">
        <f t="array" aca="1" ref="C76" ca="1">[1]!s_dq_close($B$1,$A76,3)</f>
        <v>#NAME?</v>
      </c>
    </row>
    <row r="77" spans="1:3" ht="18">
      <c r="A77" s="21">
        <f t="shared" ca="1" si="1"/>
        <v>45699</v>
      </c>
      <c r="B77" s="19" t="e" cm="1">
        <f t="array" aca="1" ref="B77" ca="1">[1]!s_west_netprofit($B$1,2026,$A77,180,1000000)</f>
        <v>#NAME?</v>
      </c>
      <c r="C77" s="20" t="e" cm="1">
        <f t="array" aca="1" ref="C77" ca="1">[1]!s_dq_close($B$1,$A77,3)</f>
        <v>#NAME?</v>
      </c>
    </row>
    <row r="78" spans="1:3" ht="18">
      <c r="A78" s="21">
        <f t="shared" ca="1" si="1"/>
        <v>45692</v>
      </c>
      <c r="B78" s="19" t="e" cm="1">
        <f t="array" aca="1" ref="B78" ca="1">[1]!s_west_netprofit($B$1,2026,$A78,180,1000000)</f>
        <v>#NAME?</v>
      </c>
      <c r="C78" s="20" t="e" cm="1">
        <f t="array" aca="1" ref="C78" ca="1">[1]!s_dq_close($B$1,$A78,3)</f>
        <v>#NAME?</v>
      </c>
    </row>
    <row r="79" spans="1:3" ht="18">
      <c r="A79" s="21">
        <f t="shared" ca="1" si="1"/>
        <v>45685</v>
      </c>
      <c r="B79" s="19" t="e" cm="1">
        <f t="array" aca="1" ref="B79" ca="1">[1]!s_west_netprofit($B$1,2026,$A79,180,1000000)</f>
        <v>#NAME?</v>
      </c>
      <c r="C79" s="20" t="e" cm="1">
        <f t="array" aca="1" ref="C79" ca="1">[1]!s_dq_close($B$1,$A79,3)</f>
        <v>#NAME?</v>
      </c>
    </row>
    <row r="80" spans="1:3" ht="18">
      <c r="A80" s="21">
        <f t="shared" ca="1" si="1"/>
        <v>45678</v>
      </c>
      <c r="B80" s="19" t="e" cm="1">
        <f t="array" aca="1" ref="B80" ca="1">[1]!s_west_netprofit($B$1,2026,$A80,180,1000000)</f>
        <v>#NAME?</v>
      </c>
      <c r="C80" s="20" t="e" cm="1">
        <f t="array" aca="1" ref="C80" ca="1">[1]!s_dq_close($B$1,$A80,3)</f>
        <v>#NAME?</v>
      </c>
    </row>
    <row r="81" spans="1:3" ht="18">
      <c r="A81" s="21">
        <f t="shared" ca="1" si="1"/>
        <v>45671</v>
      </c>
      <c r="B81" s="19" t="e" cm="1">
        <f t="array" aca="1" ref="B81" ca="1">[1]!s_west_netprofit($B$1,2026,$A81,180,1000000)</f>
        <v>#NAME?</v>
      </c>
      <c r="C81" s="20" t="e" cm="1">
        <f t="array" aca="1" ref="C81" ca="1">[1]!s_dq_close($B$1,$A81,3)</f>
        <v>#NAME?</v>
      </c>
    </row>
    <row r="82" spans="1:3" ht="18">
      <c r="A82" s="21">
        <f t="shared" ca="1" si="1"/>
        <v>45664</v>
      </c>
      <c r="B82" s="19" t="e" cm="1">
        <f t="array" aca="1" ref="B82" ca="1">[1]!s_west_netprofit($B$1,2026,$A82,180,1000000)</f>
        <v>#NAME?</v>
      </c>
      <c r="C82" s="20" t="e" cm="1">
        <f t="array" aca="1" ref="C82" ca="1">[1]!s_dq_close($B$1,$A82,3)</f>
        <v>#NAME?</v>
      </c>
    </row>
    <row r="83" spans="1:3" ht="18">
      <c r="A83" s="21">
        <f t="shared" ca="1" si="1"/>
        <v>45657</v>
      </c>
      <c r="B83" s="19" t="e" cm="1">
        <f t="array" aca="1" ref="B83" ca="1">[1]!s_west_netprofit($B$1,2026,$A83,180,1000000)</f>
        <v>#NAME?</v>
      </c>
      <c r="C83" s="20" t="e" cm="1">
        <f t="array" aca="1" ref="C83" ca="1">[1]!s_dq_close($B$1,$A83,3)</f>
        <v>#NAME?</v>
      </c>
    </row>
    <row r="84" spans="1:3" ht="18">
      <c r="A84" s="21">
        <f t="shared" ca="1" si="1"/>
        <v>45650</v>
      </c>
      <c r="B84" s="19" t="e" cm="1">
        <f t="array" aca="1" ref="B84" ca="1">[1]!s_west_netprofit($B$1,2026,$A84,180,1000000)</f>
        <v>#NAME?</v>
      </c>
      <c r="C84" s="20" t="e" cm="1">
        <f t="array" aca="1" ref="C84" ca="1">[1]!s_dq_close($B$1,$A84,3)</f>
        <v>#NAME?</v>
      </c>
    </row>
    <row r="85" spans="1:3" ht="18">
      <c r="A85" s="21">
        <f t="shared" ca="1" si="1"/>
        <v>45643</v>
      </c>
      <c r="B85" s="19" t="e" cm="1">
        <f t="array" aca="1" ref="B85" ca="1">[1]!s_west_netprofit($B$1,2026,$A85,180,1000000)</f>
        <v>#NAME?</v>
      </c>
      <c r="C85" s="20" t="e" cm="1">
        <f t="array" aca="1" ref="C85" ca="1">[1]!s_dq_close($B$1,$A85,3)</f>
        <v>#NAME?</v>
      </c>
    </row>
    <row r="86" spans="1:3" ht="18">
      <c r="A86" s="21">
        <f t="shared" ca="1" si="1"/>
        <v>45636</v>
      </c>
      <c r="B86" s="19" t="e" cm="1">
        <f t="array" aca="1" ref="B86" ca="1">[1]!s_west_netprofit($B$1,2026,$A86,180,1000000)</f>
        <v>#NAME?</v>
      </c>
      <c r="C86" s="20" t="e" cm="1">
        <f t="array" aca="1" ref="C86" ca="1">[1]!s_dq_close($B$1,$A86,3)</f>
        <v>#NAME?</v>
      </c>
    </row>
    <row r="87" spans="1:3" ht="18">
      <c r="A87" s="21">
        <f t="shared" ca="1" si="1"/>
        <v>45629</v>
      </c>
      <c r="B87" s="19" t="e" cm="1">
        <f t="array" aca="1" ref="B87" ca="1">[1]!s_west_netprofit($B$1,2026,$A87,180,1000000)</f>
        <v>#NAME?</v>
      </c>
      <c r="C87" s="20" t="e" cm="1">
        <f t="array" aca="1" ref="C87" ca="1">[1]!s_dq_close($B$1,$A87,3)</f>
        <v>#NAME?</v>
      </c>
    </row>
    <row r="88" spans="1:3" ht="18">
      <c r="A88" s="21">
        <f t="shared" ca="1" si="1"/>
        <v>45622</v>
      </c>
      <c r="B88" s="19" t="e" cm="1">
        <f t="array" aca="1" ref="B88" ca="1">[1]!s_west_netprofit($B$1,2026,$A88,180,1000000)</f>
        <v>#NAME?</v>
      </c>
      <c r="C88" s="20" t="e" cm="1">
        <f t="array" aca="1" ref="C88" ca="1">[1]!s_dq_close($B$1,$A88,3)</f>
        <v>#NAME?</v>
      </c>
    </row>
    <row r="89" spans="1:3" ht="18">
      <c r="A89" s="21">
        <f t="shared" ca="1" si="1"/>
        <v>45615</v>
      </c>
      <c r="B89" s="19" t="e" cm="1">
        <f t="array" aca="1" ref="B89" ca="1">[1]!s_west_netprofit($B$1,2026,$A89,180,1000000)</f>
        <v>#NAME?</v>
      </c>
      <c r="C89" s="20" t="e" cm="1">
        <f t="array" aca="1" ref="C89" ca="1">[1]!s_dq_close($B$1,$A89,3)</f>
        <v>#NAME?</v>
      </c>
    </row>
    <row r="90" spans="1:3" ht="18">
      <c r="A90" s="21">
        <f t="shared" ca="1" si="1"/>
        <v>45608</v>
      </c>
      <c r="B90" s="19" t="e" cm="1">
        <f t="array" aca="1" ref="B90" ca="1">[1]!s_west_netprofit($B$1,2026,$A90,180,1000000)</f>
        <v>#NAME?</v>
      </c>
      <c r="C90" s="20" t="e" cm="1">
        <f t="array" aca="1" ref="C90" ca="1">[1]!s_dq_close($B$1,$A90,3)</f>
        <v>#NAME?</v>
      </c>
    </row>
    <row r="91" spans="1:3" ht="18">
      <c r="A91" s="21">
        <f t="shared" ca="1" si="1"/>
        <v>45601</v>
      </c>
      <c r="B91" s="19" t="e" cm="1">
        <f t="array" aca="1" ref="B91" ca="1">[1]!s_west_netprofit($B$1,2026,$A91,180,1000000)</f>
        <v>#NAME?</v>
      </c>
      <c r="C91" s="20" t="e" cm="1">
        <f t="array" aca="1" ref="C91" ca="1">[1]!s_dq_close($B$1,$A91,3)</f>
        <v>#NAME?</v>
      </c>
    </row>
    <row r="92" spans="1:3" ht="18">
      <c r="A92" s="21">
        <f t="shared" ca="1" si="1"/>
        <v>45594</v>
      </c>
      <c r="B92" s="19" t="e" cm="1">
        <f t="array" aca="1" ref="B92" ca="1">[1]!s_west_netprofit($B$1,2026,$A92,180,1000000)</f>
        <v>#NAME?</v>
      </c>
      <c r="C92" s="20" t="e" cm="1">
        <f t="array" aca="1" ref="C92" ca="1">[1]!s_dq_close($B$1,$A92,3)</f>
        <v>#NAME?</v>
      </c>
    </row>
    <row r="93" spans="1:3" ht="18">
      <c r="A93" s="21">
        <f t="shared" ca="1" si="1"/>
        <v>45587</v>
      </c>
      <c r="B93" s="19" t="e" cm="1">
        <f t="array" aca="1" ref="B93" ca="1">[1]!s_west_netprofit($B$1,2026,$A93,180,1000000)</f>
        <v>#NAME?</v>
      </c>
      <c r="C93" s="20" t="e" cm="1">
        <f t="array" aca="1" ref="C93" ca="1">[1]!s_dq_close($B$1,$A93,3)</f>
        <v>#NAME?</v>
      </c>
    </row>
    <row r="94" spans="1:3" ht="18">
      <c r="A94" s="21">
        <f t="shared" ca="1" si="1"/>
        <v>45580</v>
      </c>
      <c r="B94" s="19" t="e" cm="1">
        <f t="array" aca="1" ref="B94" ca="1">[1]!s_west_netprofit($B$1,2026,$A94,180,1000000)</f>
        <v>#NAME?</v>
      </c>
      <c r="C94" s="20" t="e" cm="1">
        <f t="array" aca="1" ref="C94" ca="1">[1]!s_dq_close($B$1,$A94,3)</f>
        <v>#NAME?</v>
      </c>
    </row>
    <row r="95" spans="1:3" ht="18">
      <c r="A95" s="21">
        <f t="shared" ca="1" si="1"/>
        <v>45573</v>
      </c>
      <c r="B95" s="19" t="e" cm="1">
        <f t="array" aca="1" ref="B95" ca="1">[1]!s_west_netprofit($B$1,2026,$A95,180,1000000)</f>
        <v>#NAME?</v>
      </c>
      <c r="C95" s="20" t="e" cm="1">
        <f t="array" aca="1" ref="C95" ca="1">[1]!s_dq_close($B$1,$A95,3)</f>
        <v>#NAME?</v>
      </c>
    </row>
    <row r="96" spans="1:3" ht="18">
      <c r="A96" s="21">
        <f t="shared" ca="1" si="1"/>
        <v>45566</v>
      </c>
      <c r="B96" s="19" t="e" cm="1">
        <f t="array" aca="1" ref="B96" ca="1">[1]!s_west_netprofit($B$1,2026,$A96,180,1000000)</f>
        <v>#NAME?</v>
      </c>
      <c r="C96" s="20" t="e" cm="1">
        <f t="array" aca="1" ref="C96" ca="1">[1]!s_dq_close($B$1,$A96,3)</f>
        <v>#NAME?</v>
      </c>
    </row>
    <row r="97" spans="1:3" ht="18">
      <c r="A97" s="21">
        <f t="shared" ca="1" si="1"/>
        <v>45559</v>
      </c>
      <c r="B97" s="19" t="e" cm="1">
        <f t="array" aca="1" ref="B97" ca="1">[1]!s_west_netprofit($B$1,2026,$A97,180,1000000)</f>
        <v>#NAME?</v>
      </c>
      <c r="C97" s="20" t="e" cm="1">
        <f t="array" aca="1" ref="C97" ca="1">[1]!s_dq_close($B$1,$A97,3)</f>
        <v>#NAME?</v>
      </c>
    </row>
    <row r="98" spans="1:3" ht="18">
      <c r="A98" s="21">
        <f t="shared" ca="1" si="1"/>
        <v>45552</v>
      </c>
      <c r="B98" s="19" t="e" cm="1">
        <f t="array" aca="1" ref="B98" ca="1">[1]!s_west_netprofit($B$1,2026,$A98,180,1000000)</f>
        <v>#NAME?</v>
      </c>
      <c r="C98" s="20" t="e" cm="1">
        <f t="array" aca="1" ref="C98" ca="1">[1]!s_dq_close($B$1,$A98,3)</f>
        <v>#NAME?</v>
      </c>
    </row>
    <row r="99" spans="1:3" ht="19" thickBot="1">
      <c r="A99" s="22">
        <f t="shared" ca="1" si="1"/>
        <v>45545</v>
      </c>
      <c r="B99" s="23" t="e" cm="1">
        <f t="array" aca="1" ref="B99" ca="1">[1]!s_west_netprofit($B$1,2026,$A99,180,1000000)</f>
        <v>#NAME?</v>
      </c>
      <c r="C99" s="24" t="e" cm="1">
        <f t="array" aca="1" ref="C99" ca="1">[1]!s_dq_close($B$1,$A99,3)</f>
        <v>#NAME?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594DB-E5A4-FF41-97B5-3E16E6B19AF4}">
  <dimension ref="A1:D99"/>
  <sheetViews>
    <sheetView workbookViewId="0">
      <selection sqref="A1:XFD1048576"/>
    </sheetView>
  </sheetViews>
  <sheetFormatPr baseColWidth="10" defaultColWidth="9.1640625" defaultRowHeight="16"/>
  <cols>
    <col min="1" max="1" width="36.33203125" customWidth="1"/>
    <col min="2" max="2" width="26" customWidth="1"/>
    <col min="3" max="3" width="40" customWidth="1"/>
    <col min="4" max="4" width="11" bestFit="1" customWidth="1"/>
  </cols>
  <sheetData>
    <row r="1" spans="1:4" ht="17" thickBot="1">
      <c r="A1" t="e">
        <f ca="1">[1]!S_INFO_NAME($B$1)</f>
        <v>#NAME?</v>
      </c>
      <c r="B1" s="1"/>
      <c r="C1" t="s">
        <v>0</v>
      </c>
      <c r="D1" s="2">
        <f ca="1">TODAY()</f>
        <v>46161</v>
      </c>
    </row>
    <row r="2" spans="1:4" s="6" customFormat="1" ht="18">
      <c r="A2" s="3" t="s">
        <v>4</v>
      </c>
      <c r="B2" s="4">
        <v>2025</v>
      </c>
      <c r="C2" s="5">
        <v>2026</v>
      </c>
    </row>
    <row r="3" spans="1:4" s="6" customFormat="1" ht="18">
      <c r="A3" s="7" t="s">
        <v>5</v>
      </c>
      <c r="B3" s="8" t="e">
        <f ca="1">[1]!s_west_instnum_np($B$1,2025,$D$1,180)</f>
        <v>#NAME?</v>
      </c>
      <c r="C3" s="9" t="e">
        <f ca="1">[1]!s_west_instnum_np($B$1,2026,$D$1,180)</f>
        <v>#NAME?</v>
      </c>
    </row>
    <row r="4" spans="1:4" s="6" customFormat="1" ht="18">
      <c r="A4" s="7" t="s">
        <v>2</v>
      </c>
      <c r="B4" s="10" t="e">
        <f ca="1">[1]!s_west_instnum_np($A$1,2025,$D$1,180)</f>
        <v>#NAME?</v>
      </c>
      <c r="C4" s="11" t="e">
        <f ca="1">[1]!s_west_netprofit($B$1,2026,$D$1,180,1000000)</f>
        <v>#NAME?</v>
      </c>
    </row>
    <row r="5" spans="1:4" s="6" customFormat="1" ht="18">
      <c r="A5" s="7" t="s">
        <v>6</v>
      </c>
      <c r="B5" s="10" t="e">
        <f ca="1">[1]!s_west_maxnetprofit($B$1,2025,$D$1,180,1000000)</f>
        <v>#NAME?</v>
      </c>
      <c r="C5" s="11" t="e">
        <f ca="1">[1]!s_west_maxnetprofit($B$1,2026,$D$1,180,1000000)</f>
        <v>#NAME?</v>
      </c>
    </row>
    <row r="6" spans="1:4" s="6" customFormat="1" ht="18">
      <c r="A6" s="7" t="s">
        <v>7</v>
      </c>
      <c r="B6" s="10" t="e">
        <f ca="1">[1]!s_west_minnetprofit($B$1,2025,$D$1,180,1000000)</f>
        <v>#NAME?</v>
      </c>
      <c r="C6" s="11" t="e">
        <f ca="1">[1]!s_west_minnetprofit($B$1,2026,$D$1,180,1000000)</f>
        <v>#NAME?</v>
      </c>
    </row>
    <row r="7" spans="1:4" s="6" customFormat="1" ht="18">
      <c r="A7" s="7" t="s">
        <v>8</v>
      </c>
      <c r="B7" s="10" t="e">
        <f ca="1">[1]!s_west_mediannetprofit($B$1,2025,$D$1,180,1000000)</f>
        <v>#NAME?</v>
      </c>
      <c r="C7" s="11" t="e">
        <f ca="1">[1]!s_west_mediannetprofit($B$1,2026,$D$1,180,1000000)</f>
        <v>#NAME?</v>
      </c>
    </row>
    <row r="8" spans="1:4" s="6" customFormat="1" ht="19" thickBot="1">
      <c r="A8" s="12" t="s">
        <v>9</v>
      </c>
      <c r="B8" s="13" t="e">
        <f ca="1">[1]!s_west_stdnetprofit($B$1,2025,$D$1,180,1000000)</f>
        <v>#NAME?</v>
      </c>
      <c r="C8" s="14" t="e">
        <f ca="1">[1]!s_west_stdnetprofit($B$1,2026,$D$1,180,1000000)</f>
        <v>#NAME?</v>
      </c>
    </row>
    <row r="10" spans="1:4">
      <c r="A10" s="15" t="s">
        <v>1</v>
      </c>
      <c r="B10" s="16" t="s">
        <v>2</v>
      </c>
      <c r="C10" s="17" t="s">
        <v>3</v>
      </c>
    </row>
    <row r="11" spans="1:4" ht="18">
      <c r="A11" s="18">
        <f ca="1">TODAY()-IF(WEEKDAY(TODAY(),2)=6,1,IF(WEEKDAY(TODAY(),2)=7,2,0))</f>
        <v>46161</v>
      </c>
      <c r="B11" s="19" t="e" cm="1">
        <f t="array" aca="1" ref="B11" ca="1">[1]!s_west_netprofit($B$1,2026,$A11,180,1000000)</f>
        <v>#NAME?</v>
      </c>
      <c r="C11" s="20" t="e" cm="1">
        <f t="array" aca="1" ref="C11" ca="1">[1]!s_dq_close($B$1,$A11,3)</f>
        <v>#NAME?</v>
      </c>
    </row>
    <row r="12" spans="1:4" ht="18">
      <c r="A12" s="21">
        <f t="shared" ref="A12:A75" ca="1" si="0">A11-7</f>
        <v>46154</v>
      </c>
      <c r="B12" s="19" t="e" cm="1">
        <f t="array" aca="1" ref="B12" ca="1">[1]!s_west_netprofit($B$1,2026,$A12,180,1000000)</f>
        <v>#NAME?</v>
      </c>
      <c r="C12" s="20" t="e" cm="1">
        <f t="array" aca="1" ref="C12" ca="1">[1]!s_dq_close($B$1,$A12,3)</f>
        <v>#NAME?</v>
      </c>
    </row>
    <row r="13" spans="1:4" ht="18">
      <c r="A13" s="21">
        <f t="shared" ca="1" si="0"/>
        <v>46147</v>
      </c>
      <c r="B13" s="19" t="e" cm="1">
        <f t="array" aca="1" ref="B13" ca="1">[1]!s_west_netprofit($B$1,2026,$A13,180,1000000)</f>
        <v>#NAME?</v>
      </c>
      <c r="C13" s="20" t="e" cm="1">
        <f t="array" aca="1" ref="C13" ca="1">[1]!s_dq_close($B$1,$A13,3)</f>
        <v>#NAME?</v>
      </c>
    </row>
    <row r="14" spans="1:4" ht="18">
      <c r="A14" s="21">
        <f t="shared" ca="1" si="0"/>
        <v>46140</v>
      </c>
      <c r="B14" s="19" t="e" cm="1">
        <f t="array" aca="1" ref="B14" ca="1">[1]!s_west_netprofit($B$1,2026,$A14,180,1000000)</f>
        <v>#NAME?</v>
      </c>
      <c r="C14" s="20" t="e" cm="1">
        <f t="array" aca="1" ref="C14" ca="1">[1]!s_dq_close($B$1,$A14,3)</f>
        <v>#NAME?</v>
      </c>
    </row>
    <row r="15" spans="1:4" ht="18">
      <c r="A15" s="21">
        <f t="shared" ca="1" si="0"/>
        <v>46133</v>
      </c>
      <c r="B15" s="19" t="e" cm="1">
        <f t="array" aca="1" ref="B15" ca="1">[1]!s_west_netprofit($B$1,2026,$A15,180,1000000)</f>
        <v>#NAME?</v>
      </c>
      <c r="C15" s="20" t="e" cm="1">
        <f t="array" aca="1" ref="C15" ca="1">[1]!s_dq_close($B$1,$A15,3)</f>
        <v>#NAME?</v>
      </c>
    </row>
    <row r="16" spans="1:4" ht="18">
      <c r="A16" s="21">
        <f t="shared" ca="1" si="0"/>
        <v>46126</v>
      </c>
      <c r="B16" s="19" t="e" cm="1">
        <f t="array" aca="1" ref="B16" ca="1">[1]!s_west_netprofit($B$1,2026,$A16,180,1000000)</f>
        <v>#NAME?</v>
      </c>
      <c r="C16" s="20" t="e" cm="1">
        <f t="array" aca="1" ref="C16" ca="1">[1]!s_dq_close($B$1,$A16,3)</f>
        <v>#NAME?</v>
      </c>
    </row>
    <row r="17" spans="1:3" ht="18">
      <c r="A17" s="21">
        <f t="shared" ca="1" si="0"/>
        <v>46119</v>
      </c>
      <c r="B17" s="19" t="e" cm="1">
        <f t="array" aca="1" ref="B17" ca="1">[1]!s_west_netprofit($B$1,2026,$A17,180,1000000)</f>
        <v>#NAME?</v>
      </c>
      <c r="C17" s="20" t="e" cm="1">
        <f t="array" aca="1" ref="C17" ca="1">[1]!s_dq_close($B$1,$A17,3)</f>
        <v>#NAME?</v>
      </c>
    </row>
    <row r="18" spans="1:3" ht="18">
      <c r="A18" s="21">
        <f t="shared" ca="1" si="0"/>
        <v>46112</v>
      </c>
      <c r="B18" s="19" t="e" cm="1">
        <f t="array" aca="1" ref="B18" ca="1">[1]!s_west_netprofit($B$1,2026,$A18,180,1000000)</f>
        <v>#NAME?</v>
      </c>
      <c r="C18" s="20" t="e" cm="1">
        <f t="array" aca="1" ref="C18" ca="1">[1]!s_dq_close($B$1,$A18,3)</f>
        <v>#NAME?</v>
      </c>
    </row>
    <row r="19" spans="1:3" ht="18">
      <c r="A19" s="21">
        <f t="shared" ca="1" si="0"/>
        <v>46105</v>
      </c>
      <c r="B19" s="19" t="e" cm="1">
        <f t="array" aca="1" ref="B19" ca="1">[1]!s_west_netprofit($B$1,2026,$A19,180,1000000)</f>
        <v>#NAME?</v>
      </c>
      <c r="C19" s="20" t="e" cm="1">
        <f t="array" aca="1" ref="C19" ca="1">[1]!s_dq_close($B$1,$A19,3)</f>
        <v>#NAME?</v>
      </c>
    </row>
    <row r="20" spans="1:3" ht="18">
      <c r="A20" s="21">
        <f t="shared" ca="1" si="0"/>
        <v>46098</v>
      </c>
      <c r="B20" s="19" t="e" cm="1">
        <f t="array" aca="1" ref="B20" ca="1">[1]!s_west_netprofit($B$1,2026,$A20,180,1000000)</f>
        <v>#NAME?</v>
      </c>
      <c r="C20" s="20" t="e" cm="1">
        <f t="array" aca="1" ref="C20" ca="1">[1]!s_dq_close($B$1,$A20,3)</f>
        <v>#NAME?</v>
      </c>
    </row>
    <row r="21" spans="1:3" ht="18">
      <c r="A21" s="21">
        <f t="shared" ca="1" si="0"/>
        <v>46091</v>
      </c>
      <c r="B21" s="19" t="e" cm="1">
        <f t="array" aca="1" ref="B21" ca="1">[1]!s_west_netprofit($B$1,2026,$A21,180,1000000)</f>
        <v>#NAME?</v>
      </c>
      <c r="C21" s="20" t="e" cm="1">
        <f t="array" aca="1" ref="C21" ca="1">[1]!s_dq_close($B$1,$A21,3)</f>
        <v>#NAME?</v>
      </c>
    </row>
    <row r="22" spans="1:3" ht="18">
      <c r="A22" s="21">
        <f t="shared" ca="1" si="0"/>
        <v>46084</v>
      </c>
      <c r="B22" s="19" t="e" cm="1">
        <f t="array" aca="1" ref="B22" ca="1">[1]!s_west_netprofit($B$1,2026,$A22,180,1000000)</f>
        <v>#NAME?</v>
      </c>
      <c r="C22" s="20" t="e" cm="1">
        <f t="array" aca="1" ref="C22" ca="1">[1]!s_dq_close($B$1,$A22,3)</f>
        <v>#NAME?</v>
      </c>
    </row>
    <row r="23" spans="1:3" ht="18">
      <c r="A23" s="21">
        <f t="shared" ca="1" si="0"/>
        <v>46077</v>
      </c>
      <c r="B23" s="19" t="e" cm="1">
        <f t="array" aca="1" ref="B23" ca="1">[1]!s_west_netprofit($B$1,2026,$A23,180,1000000)</f>
        <v>#NAME?</v>
      </c>
      <c r="C23" s="20" t="e" cm="1">
        <f t="array" aca="1" ref="C23" ca="1">[1]!s_dq_close($B$1,$A23,3)</f>
        <v>#NAME?</v>
      </c>
    </row>
    <row r="24" spans="1:3" ht="18">
      <c r="A24" s="21">
        <f t="shared" ca="1" si="0"/>
        <v>46070</v>
      </c>
      <c r="B24" s="19" t="e" cm="1">
        <f t="array" aca="1" ref="B24" ca="1">[1]!s_west_netprofit($B$1,2026,$A24,180,1000000)</f>
        <v>#NAME?</v>
      </c>
      <c r="C24" s="20" t="e" cm="1">
        <f t="array" aca="1" ref="C24" ca="1">[1]!s_dq_close($B$1,$A24,3)</f>
        <v>#NAME?</v>
      </c>
    </row>
    <row r="25" spans="1:3" ht="18">
      <c r="A25" s="21">
        <f t="shared" ca="1" si="0"/>
        <v>46063</v>
      </c>
      <c r="B25" s="19" t="e" cm="1">
        <f t="array" aca="1" ref="B25" ca="1">[1]!s_west_netprofit($B$1,2026,$A25,180,1000000)</f>
        <v>#NAME?</v>
      </c>
      <c r="C25" s="20" t="e" cm="1">
        <f t="array" aca="1" ref="C25" ca="1">[1]!s_dq_close($B$1,$A25,3)</f>
        <v>#NAME?</v>
      </c>
    </row>
    <row r="26" spans="1:3" ht="18">
      <c r="A26" s="21">
        <f t="shared" ca="1" si="0"/>
        <v>46056</v>
      </c>
      <c r="B26" s="19" t="e" cm="1">
        <f t="array" aca="1" ref="B26" ca="1">[1]!s_west_netprofit($B$1,2026,$A26,180,1000000)</f>
        <v>#NAME?</v>
      </c>
      <c r="C26" s="20" t="e" cm="1">
        <f t="array" aca="1" ref="C26" ca="1">[1]!s_dq_close($B$1,$A26,3)</f>
        <v>#NAME?</v>
      </c>
    </row>
    <row r="27" spans="1:3" ht="18">
      <c r="A27" s="21">
        <f t="shared" ca="1" si="0"/>
        <v>46049</v>
      </c>
      <c r="B27" s="19" t="e" cm="1">
        <f t="array" aca="1" ref="B27" ca="1">[1]!s_west_netprofit($B$1,2026,$A27,180,1000000)</f>
        <v>#NAME?</v>
      </c>
      <c r="C27" s="20" t="e" cm="1">
        <f t="array" aca="1" ref="C27" ca="1">[1]!s_dq_close($B$1,$A27,3)</f>
        <v>#NAME?</v>
      </c>
    </row>
    <row r="28" spans="1:3" ht="18">
      <c r="A28" s="21">
        <f t="shared" ca="1" si="0"/>
        <v>46042</v>
      </c>
      <c r="B28" s="19" t="e" cm="1">
        <f t="array" aca="1" ref="B28" ca="1">[1]!s_west_netprofit($B$1,2026,$A28,180,1000000)</f>
        <v>#NAME?</v>
      </c>
      <c r="C28" s="20" t="e" cm="1">
        <f t="array" aca="1" ref="C28" ca="1">[1]!s_dq_close($B$1,$A28,3)</f>
        <v>#NAME?</v>
      </c>
    </row>
    <row r="29" spans="1:3" ht="18">
      <c r="A29" s="21">
        <f t="shared" ca="1" si="0"/>
        <v>46035</v>
      </c>
      <c r="B29" s="19" t="e" cm="1">
        <f t="array" aca="1" ref="B29" ca="1">[1]!s_west_netprofit($B$1,2026,$A29,180,1000000)</f>
        <v>#NAME?</v>
      </c>
      <c r="C29" s="20" t="e" cm="1">
        <f t="array" aca="1" ref="C29" ca="1">[1]!s_dq_close($B$1,$A29,3)</f>
        <v>#NAME?</v>
      </c>
    </row>
    <row r="30" spans="1:3" ht="18">
      <c r="A30" s="21">
        <f t="shared" ca="1" si="0"/>
        <v>46028</v>
      </c>
      <c r="B30" s="19" t="e" cm="1">
        <f t="array" aca="1" ref="B30" ca="1">[1]!s_west_netprofit($B$1,2026,$A30,180,1000000)</f>
        <v>#NAME?</v>
      </c>
      <c r="C30" s="20" t="e" cm="1">
        <f t="array" aca="1" ref="C30" ca="1">[1]!s_dq_close($B$1,$A30,3)</f>
        <v>#NAME?</v>
      </c>
    </row>
    <row r="31" spans="1:3" ht="18">
      <c r="A31" s="21">
        <f t="shared" ca="1" si="0"/>
        <v>46021</v>
      </c>
      <c r="B31" s="19" t="e" cm="1">
        <f t="array" aca="1" ref="B31" ca="1">[1]!s_west_netprofit($B$1,2026,$A31,180,1000000)</f>
        <v>#NAME?</v>
      </c>
      <c r="C31" s="20" t="e" cm="1">
        <f t="array" aca="1" ref="C31" ca="1">[1]!s_dq_close($B$1,$A31,3)</f>
        <v>#NAME?</v>
      </c>
    </row>
    <row r="32" spans="1:3" ht="18">
      <c r="A32" s="21">
        <f t="shared" ca="1" si="0"/>
        <v>46014</v>
      </c>
      <c r="B32" s="19" t="e" cm="1">
        <f t="array" aca="1" ref="B32" ca="1">[1]!s_west_netprofit($B$1,2026,$A32,180,1000000)</f>
        <v>#NAME?</v>
      </c>
      <c r="C32" s="20" t="e" cm="1">
        <f t="array" aca="1" ref="C32" ca="1">[1]!s_dq_close($B$1,$A32,3)</f>
        <v>#NAME?</v>
      </c>
    </row>
    <row r="33" spans="1:3" ht="18">
      <c r="A33" s="21">
        <f t="shared" ca="1" si="0"/>
        <v>46007</v>
      </c>
      <c r="B33" s="19" t="e" cm="1">
        <f t="array" aca="1" ref="B33" ca="1">[1]!s_west_netprofit($B$1,2026,$A33,180,1000000)</f>
        <v>#NAME?</v>
      </c>
      <c r="C33" s="20" t="e" cm="1">
        <f t="array" aca="1" ref="C33" ca="1">[1]!s_dq_close($B$1,$A33,3)</f>
        <v>#NAME?</v>
      </c>
    </row>
    <row r="34" spans="1:3" ht="18">
      <c r="A34" s="21">
        <f t="shared" ca="1" si="0"/>
        <v>46000</v>
      </c>
      <c r="B34" s="19" t="e" cm="1">
        <f t="array" aca="1" ref="B34" ca="1">[1]!s_west_netprofit($B$1,2026,$A34,180,1000000)</f>
        <v>#NAME?</v>
      </c>
      <c r="C34" s="20" t="e" cm="1">
        <f t="array" aca="1" ref="C34" ca="1">[1]!s_dq_close($B$1,$A34,3)</f>
        <v>#NAME?</v>
      </c>
    </row>
    <row r="35" spans="1:3" ht="18">
      <c r="A35" s="21">
        <f t="shared" ca="1" si="0"/>
        <v>45993</v>
      </c>
      <c r="B35" s="19" t="e" cm="1">
        <f t="array" aca="1" ref="B35" ca="1">[1]!s_west_netprofit($B$1,2026,$A35,180,1000000)</f>
        <v>#NAME?</v>
      </c>
      <c r="C35" s="20" t="e" cm="1">
        <f t="array" aca="1" ref="C35" ca="1">[1]!s_dq_close($B$1,$A35,3)</f>
        <v>#NAME?</v>
      </c>
    </row>
    <row r="36" spans="1:3" ht="18">
      <c r="A36" s="21">
        <f t="shared" ca="1" si="0"/>
        <v>45986</v>
      </c>
      <c r="B36" s="19" t="e" cm="1">
        <f t="array" aca="1" ref="B36" ca="1">[1]!s_west_netprofit($B$1,2026,$A36,180,1000000)</f>
        <v>#NAME?</v>
      </c>
      <c r="C36" s="20" t="e" cm="1">
        <f t="array" aca="1" ref="C36" ca="1">[1]!s_dq_close($B$1,$A36,3)</f>
        <v>#NAME?</v>
      </c>
    </row>
    <row r="37" spans="1:3" ht="18">
      <c r="A37" s="21">
        <f t="shared" ca="1" si="0"/>
        <v>45979</v>
      </c>
      <c r="B37" s="19" t="e" cm="1">
        <f t="array" aca="1" ref="B37" ca="1">[1]!s_west_netprofit($B$1,2026,$A37,180,1000000)</f>
        <v>#NAME?</v>
      </c>
      <c r="C37" s="20" t="e" cm="1">
        <f t="array" aca="1" ref="C37" ca="1">[1]!s_dq_close($B$1,$A37,3)</f>
        <v>#NAME?</v>
      </c>
    </row>
    <row r="38" spans="1:3" ht="18">
      <c r="A38" s="21">
        <f t="shared" ca="1" si="0"/>
        <v>45972</v>
      </c>
      <c r="B38" s="19" t="e" cm="1">
        <f t="array" aca="1" ref="B38" ca="1">[1]!s_west_netprofit($B$1,2026,$A38,180,1000000)</f>
        <v>#NAME?</v>
      </c>
      <c r="C38" s="20" t="e" cm="1">
        <f t="array" aca="1" ref="C38" ca="1">[1]!s_dq_close($B$1,$A38,3)</f>
        <v>#NAME?</v>
      </c>
    </row>
    <row r="39" spans="1:3" ht="18">
      <c r="A39" s="21">
        <f t="shared" ca="1" si="0"/>
        <v>45965</v>
      </c>
      <c r="B39" s="19" t="e" cm="1">
        <f t="array" aca="1" ref="B39" ca="1">[1]!s_west_netprofit($B$1,2026,$A39,180,1000000)</f>
        <v>#NAME?</v>
      </c>
      <c r="C39" s="20" t="e" cm="1">
        <f t="array" aca="1" ref="C39" ca="1">[1]!s_dq_close($B$1,$A39,3)</f>
        <v>#NAME?</v>
      </c>
    </row>
    <row r="40" spans="1:3" ht="18">
      <c r="A40" s="21">
        <f t="shared" ca="1" si="0"/>
        <v>45958</v>
      </c>
      <c r="B40" s="19" t="e" cm="1">
        <f t="array" aca="1" ref="B40" ca="1">[1]!s_west_netprofit($B$1,2026,$A40,180,1000000)</f>
        <v>#NAME?</v>
      </c>
      <c r="C40" s="20" t="e" cm="1">
        <f t="array" aca="1" ref="C40" ca="1">[1]!s_dq_close($B$1,$A40,3)</f>
        <v>#NAME?</v>
      </c>
    </row>
    <row r="41" spans="1:3" ht="18">
      <c r="A41" s="21">
        <f t="shared" ca="1" si="0"/>
        <v>45951</v>
      </c>
      <c r="B41" s="19" t="e" cm="1">
        <f t="array" aca="1" ref="B41" ca="1">[1]!s_west_netprofit($B$1,2026,$A41,180,1000000)</f>
        <v>#NAME?</v>
      </c>
      <c r="C41" s="20" t="e" cm="1">
        <f t="array" aca="1" ref="C41" ca="1">[1]!s_dq_close($B$1,$A41,3)</f>
        <v>#NAME?</v>
      </c>
    </row>
    <row r="42" spans="1:3" ht="18">
      <c r="A42" s="21">
        <f t="shared" ca="1" si="0"/>
        <v>45944</v>
      </c>
      <c r="B42" s="19" t="e" cm="1">
        <f t="array" aca="1" ref="B42" ca="1">[1]!s_west_netprofit($B$1,2026,$A42,180,1000000)</f>
        <v>#NAME?</v>
      </c>
      <c r="C42" s="20" t="e" cm="1">
        <f t="array" aca="1" ref="C42" ca="1">[1]!s_dq_close($B$1,$A42,3)</f>
        <v>#NAME?</v>
      </c>
    </row>
    <row r="43" spans="1:3" ht="18">
      <c r="A43" s="21">
        <f t="shared" ca="1" si="0"/>
        <v>45937</v>
      </c>
      <c r="B43" s="19" t="e" cm="1">
        <f t="array" aca="1" ref="B43" ca="1">[1]!s_west_netprofit($B$1,2026,$A43,180,1000000)</f>
        <v>#NAME?</v>
      </c>
      <c r="C43" s="20" t="e" cm="1">
        <f t="array" aca="1" ref="C43" ca="1">[1]!s_dq_close($B$1,$A43,3)</f>
        <v>#NAME?</v>
      </c>
    </row>
    <row r="44" spans="1:3" ht="18">
      <c r="A44" s="21">
        <f t="shared" ca="1" si="0"/>
        <v>45930</v>
      </c>
      <c r="B44" s="19" t="e" cm="1">
        <f t="array" aca="1" ref="B44" ca="1">[1]!s_west_netprofit($B$1,2026,$A44,180,1000000)</f>
        <v>#NAME?</v>
      </c>
      <c r="C44" s="20" t="e" cm="1">
        <f t="array" aca="1" ref="C44" ca="1">[1]!s_dq_close($B$1,$A44,3)</f>
        <v>#NAME?</v>
      </c>
    </row>
    <row r="45" spans="1:3" ht="18">
      <c r="A45" s="21">
        <f t="shared" ca="1" si="0"/>
        <v>45923</v>
      </c>
      <c r="B45" s="19" t="e" cm="1">
        <f t="array" aca="1" ref="B45" ca="1">[1]!s_west_netprofit($B$1,2026,$A45,180,1000000)</f>
        <v>#NAME?</v>
      </c>
      <c r="C45" s="20" t="e" cm="1">
        <f t="array" aca="1" ref="C45" ca="1">[1]!s_dq_close($B$1,$A45,3)</f>
        <v>#NAME?</v>
      </c>
    </row>
    <row r="46" spans="1:3" ht="18">
      <c r="A46" s="21">
        <f t="shared" ca="1" si="0"/>
        <v>45916</v>
      </c>
      <c r="B46" s="19" t="e" cm="1">
        <f t="array" aca="1" ref="B46" ca="1">[1]!s_west_netprofit($B$1,2026,$A46,180,1000000)</f>
        <v>#NAME?</v>
      </c>
      <c r="C46" s="20" t="e" cm="1">
        <f t="array" aca="1" ref="C46" ca="1">[1]!s_dq_close($B$1,$A46,3)</f>
        <v>#NAME?</v>
      </c>
    </row>
    <row r="47" spans="1:3" ht="18">
      <c r="A47" s="21">
        <f t="shared" ca="1" si="0"/>
        <v>45909</v>
      </c>
      <c r="B47" s="19" t="e" cm="1">
        <f t="array" aca="1" ref="B47" ca="1">[1]!s_west_netprofit($B$1,2026,$A47,180,1000000)</f>
        <v>#NAME?</v>
      </c>
      <c r="C47" s="20" t="e" cm="1">
        <f t="array" aca="1" ref="C47" ca="1">[1]!s_dq_close($B$1,$A47,3)</f>
        <v>#NAME?</v>
      </c>
    </row>
    <row r="48" spans="1:3" ht="18">
      <c r="A48" s="21">
        <f t="shared" ca="1" si="0"/>
        <v>45902</v>
      </c>
      <c r="B48" s="19" t="e" cm="1">
        <f t="array" aca="1" ref="B48" ca="1">[1]!s_west_netprofit($B$1,2026,$A48,180,1000000)</f>
        <v>#NAME?</v>
      </c>
      <c r="C48" s="20" t="e" cm="1">
        <f t="array" aca="1" ref="C48" ca="1">[1]!s_dq_close($B$1,$A48,3)</f>
        <v>#NAME?</v>
      </c>
    </row>
    <row r="49" spans="1:3" ht="18">
      <c r="A49" s="21">
        <f t="shared" ca="1" si="0"/>
        <v>45895</v>
      </c>
      <c r="B49" s="19" t="e" cm="1">
        <f t="array" aca="1" ref="B49" ca="1">[1]!s_west_netprofit($B$1,2026,$A49,180,1000000)</f>
        <v>#NAME?</v>
      </c>
      <c r="C49" s="20" t="e" cm="1">
        <f t="array" aca="1" ref="C49" ca="1">[1]!s_dq_close($B$1,$A49,3)</f>
        <v>#NAME?</v>
      </c>
    </row>
    <row r="50" spans="1:3" ht="18">
      <c r="A50" s="21">
        <f t="shared" ca="1" si="0"/>
        <v>45888</v>
      </c>
      <c r="B50" s="19" t="e" cm="1">
        <f t="array" aca="1" ref="B50" ca="1">[1]!s_west_netprofit($B$1,2026,$A50,180,1000000)</f>
        <v>#NAME?</v>
      </c>
      <c r="C50" s="20" t="e" cm="1">
        <f t="array" aca="1" ref="C50" ca="1">[1]!s_dq_close($B$1,$A50,3)</f>
        <v>#NAME?</v>
      </c>
    </row>
    <row r="51" spans="1:3" ht="18">
      <c r="A51" s="21">
        <f t="shared" ca="1" si="0"/>
        <v>45881</v>
      </c>
      <c r="B51" s="19" t="e" cm="1">
        <f t="array" aca="1" ref="B51" ca="1">[1]!s_west_netprofit($B$1,2026,$A51,180,1000000)</f>
        <v>#NAME?</v>
      </c>
      <c r="C51" s="20" t="e" cm="1">
        <f t="array" aca="1" ref="C51" ca="1">[1]!s_dq_close($B$1,$A51,3)</f>
        <v>#NAME?</v>
      </c>
    </row>
    <row r="52" spans="1:3" ht="18">
      <c r="A52" s="21">
        <f t="shared" ca="1" si="0"/>
        <v>45874</v>
      </c>
      <c r="B52" s="19" t="e" cm="1">
        <f t="array" aca="1" ref="B52" ca="1">[1]!s_west_netprofit($B$1,2026,$A52,180,1000000)</f>
        <v>#NAME?</v>
      </c>
      <c r="C52" s="20" t="e" cm="1">
        <f t="array" aca="1" ref="C52" ca="1">[1]!s_dq_close($B$1,$A52,3)</f>
        <v>#NAME?</v>
      </c>
    </row>
    <row r="53" spans="1:3" ht="18">
      <c r="A53" s="21">
        <f t="shared" ca="1" si="0"/>
        <v>45867</v>
      </c>
      <c r="B53" s="19" t="e" cm="1">
        <f t="array" aca="1" ref="B53" ca="1">[1]!s_west_netprofit($B$1,2026,$A53,180,1000000)</f>
        <v>#NAME?</v>
      </c>
      <c r="C53" s="20" t="e" cm="1">
        <f t="array" aca="1" ref="C53" ca="1">[1]!s_dq_close($B$1,$A53,3)</f>
        <v>#NAME?</v>
      </c>
    </row>
    <row r="54" spans="1:3" ht="18">
      <c r="A54" s="21">
        <f t="shared" ca="1" si="0"/>
        <v>45860</v>
      </c>
      <c r="B54" s="19" t="e" cm="1">
        <f t="array" aca="1" ref="B54" ca="1">[1]!s_west_netprofit($B$1,2026,$A54,180,1000000)</f>
        <v>#NAME?</v>
      </c>
      <c r="C54" s="20" t="e" cm="1">
        <f t="array" aca="1" ref="C54" ca="1">[1]!s_dq_close($B$1,$A54,3)</f>
        <v>#NAME?</v>
      </c>
    </row>
    <row r="55" spans="1:3" ht="18">
      <c r="A55" s="21">
        <f t="shared" ca="1" si="0"/>
        <v>45853</v>
      </c>
      <c r="B55" s="19" t="e" cm="1">
        <f t="array" aca="1" ref="B55" ca="1">[1]!s_west_netprofit($B$1,2026,$A55,180,1000000)</f>
        <v>#NAME?</v>
      </c>
      <c r="C55" s="20" t="e" cm="1">
        <f t="array" aca="1" ref="C55" ca="1">[1]!s_dq_close($B$1,$A55,3)</f>
        <v>#NAME?</v>
      </c>
    </row>
    <row r="56" spans="1:3" ht="18">
      <c r="A56" s="21">
        <f t="shared" ca="1" si="0"/>
        <v>45846</v>
      </c>
      <c r="B56" s="19" t="e" cm="1">
        <f t="array" aca="1" ref="B56" ca="1">[1]!s_west_netprofit($B$1,2026,$A56,180,1000000)</f>
        <v>#NAME?</v>
      </c>
      <c r="C56" s="20" t="e" cm="1">
        <f t="array" aca="1" ref="C56" ca="1">[1]!s_dq_close($B$1,$A56,3)</f>
        <v>#NAME?</v>
      </c>
    </row>
    <row r="57" spans="1:3" ht="18">
      <c r="A57" s="21">
        <f t="shared" ca="1" si="0"/>
        <v>45839</v>
      </c>
      <c r="B57" s="19" t="e" cm="1">
        <f t="array" aca="1" ref="B57" ca="1">[1]!s_west_netprofit($B$1,2026,$A57,180,1000000)</f>
        <v>#NAME?</v>
      </c>
      <c r="C57" s="20" t="e" cm="1">
        <f t="array" aca="1" ref="C57" ca="1">[1]!s_dq_close($B$1,$A57,3)</f>
        <v>#NAME?</v>
      </c>
    </row>
    <row r="58" spans="1:3" ht="18">
      <c r="A58" s="21">
        <f t="shared" ca="1" si="0"/>
        <v>45832</v>
      </c>
      <c r="B58" s="19" t="e" cm="1">
        <f t="array" aca="1" ref="B58" ca="1">[1]!s_west_netprofit($B$1,2026,$A58,180,1000000)</f>
        <v>#NAME?</v>
      </c>
      <c r="C58" s="20" t="e" cm="1">
        <f t="array" aca="1" ref="C58" ca="1">[1]!s_dq_close($B$1,$A58,3)</f>
        <v>#NAME?</v>
      </c>
    </row>
    <row r="59" spans="1:3" ht="18">
      <c r="A59" s="21">
        <f t="shared" ca="1" si="0"/>
        <v>45825</v>
      </c>
      <c r="B59" s="19" t="e" cm="1">
        <f t="array" aca="1" ref="B59" ca="1">[1]!s_west_netprofit($B$1,2026,$A59,180,1000000)</f>
        <v>#NAME?</v>
      </c>
      <c r="C59" s="20" t="e" cm="1">
        <f t="array" aca="1" ref="C59" ca="1">[1]!s_dq_close($B$1,$A59,3)</f>
        <v>#NAME?</v>
      </c>
    </row>
    <row r="60" spans="1:3" ht="18">
      <c r="A60" s="21">
        <f t="shared" ca="1" si="0"/>
        <v>45818</v>
      </c>
      <c r="B60" s="19" t="e" cm="1">
        <f t="array" aca="1" ref="B60" ca="1">[1]!s_west_netprofit($B$1,2026,$A60,180,1000000)</f>
        <v>#NAME?</v>
      </c>
      <c r="C60" s="20" t="e" cm="1">
        <f t="array" aca="1" ref="C60" ca="1">[1]!s_dq_close($B$1,$A60,3)</f>
        <v>#NAME?</v>
      </c>
    </row>
    <row r="61" spans="1:3" ht="18">
      <c r="A61" s="21">
        <f t="shared" ca="1" si="0"/>
        <v>45811</v>
      </c>
      <c r="B61" s="19" t="e" cm="1">
        <f t="array" aca="1" ref="B61" ca="1">[1]!s_west_netprofit($B$1,2026,$A61,180,1000000)</f>
        <v>#NAME?</v>
      </c>
      <c r="C61" s="20" t="e" cm="1">
        <f t="array" aca="1" ref="C61" ca="1">[1]!s_dq_close($B$1,$A61,3)</f>
        <v>#NAME?</v>
      </c>
    </row>
    <row r="62" spans="1:3" ht="18">
      <c r="A62" s="21">
        <f t="shared" ca="1" si="0"/>
        <v>45804</v>
      </c>
      <c r="B62" s="19" t="e" cm="1">
        <f t="array" aca="1" ref="B62" ca="1">[1]!s_west_netprofit($B$1,2026,$A62,180,1000000)</f>
        <v>#NAME?</v>
      </c>
      <c r="C62" s="20" t="e" cm="1">
        <f t="array" aca="1" ref="C62" ca="1">[1]!s_dq_close($B$1,$A62,3)</f>
        <v>#NAME?</v>
      </c>
    </row>
    <row r="63" spans="1:3" ht="18">
      <c r="A63" s="21">
        <f t="shared" ca="1" si="0"/>
        <v>45797</v>
      </c>
      <c r="B63" s="19" t="e" cm="1">
        <f t="array" aca="1" ref="B63" ca="1">[1]!s_west_netprofit($B$1,2026,$A63,180,1000000)</f>
        <v>#NAME?</v>
      </c>
      <c r="C63" s="20" t="e" cm="1">
        <f t="array" aca="1" ref="C63" ca="1">[1]!s_dq_close($B$1,$A63,3)</f>
        <v>#NAME?</v>
      </c>
    </row>
    <row r="64" spans="1:3" ht="18">
      <c r="A64" s="21">
        <f t="shared" ca="1" si="0"/>
        <v>45790</v>
      </c>
      <c r="B64" s="19" t="e" cm="1">
        <f t="array" aca="1" ref="B64" ca="1">[1]!s_west_netprofit($B$1,2026,$A64,180,1000000)</f>
        <v>#NAME?</v>
      </c>
      <c r="C64" s="20" t="e" cm="1">
        <f t="array" aca="1" ref="C64" ca="1">[1]!s_dq_close($B$1,$A64,3)</f>
        <v>#NAME?</v>
      </c>
    </row>
    <row r="65" spans="1:3" ht="18">
      <c r="A65" s="21">
        <f t="shared" ca="1" si="0"/>
        <v>45783</v>
      </c>
      <c r="B65" s="19" t="e" cm="1">
        <f t="array" aca="1" ref="B65" ca="1">[1]!s_west_netprofit($B$1,2026,$A65,180,1000000)</f>
        <v>#NAME?</v>
      </c>
      <c r="C65" s="20" t="e" cm="1">
        <f t="array" aca="1" ref="C65" ca="1">[1]!s_dq_close($B$1,$A65,3)</f>
        <v>#NAME?</v>
      </c>
    </row>
    <row r="66" spans="1:3" ht="18">
      <c r="A66" s="21">
        <f t="shared" ca="1" si="0"/>
        <v>45776</v>
      </c>
      <c r="B66" s="19" t="e" cm="1">
        <f t="array" aca="1" ref="B66" ca="1">[1]!s_west_netprofit($B$1,2026,$A66,180,1000000)</f>
        <v>#NAME?</v>
      </c>
      <c r="C66" s="20" t="e" cm="1">
        <f t="array" aca="1" ref="C66" ca="1">[1]!s_dq_close($B$1,$A66,3)</f>
        <v>#NAME?</v>
      </c>
    </row>
    <row r="67" spans="1:3" ht="18">
      <c r="A67" s="21">
        <f t="shared" ca="1" si="0"/>
        <v>45769</v>
      </c>
      <c r="B67" s="19" t="e" cm="1">
        <f t="array" aca="1" ref="B67" ca="1">[1]!s_west_netprofit($B$1,2026,$A67,180,1000000)</f>
        <v>#NAME?</v>
      </c>
      <c r="C67" s="20" t="e" cm="1">
        <f t="array" aca="1" ref="C67" ca="1">[1]!s_dq_close($B$1,$A67,3)</f>
        <v>#NAME?</v>
      </c>
    </row>
    <row r="68" spans="1:3" ht="18">
      <c r="A68" s="21">
        <f t="shared" ca="1" si="0"/>
        <v>45762</v>
      </c>
      <c r="B68" s="19" t="e" cm="1">
        <f t="array" aca="1" ref="B68" ca="1">[1]!s_west_netprofit($B$1,2026,$A68,180,1000000)</f>
        <v>#NAME?</v>
      </c>
      <c r="C68" s="20" t="e" cm="1">
        <f t="array" aca="1" ref="C68" ca="1">[1]!s_dq_close($B$1,$A68,3)</f>
        <v>#NAME?</v>
      </c>
    </row>
    <row r="69" spans="1:3" ht="18">
      <c r="A69" s="21">
        <f t="shared" ca="1" si="0"/>
        <v>45755</v>
      </c>
      <c r="B69" s="19" t="e" cm="1">
        <f t="array" aca="1" ref="B69" ca="1">[1]!s_west_netprofit($B$1,2026,$A69,180,1000000)</f>
        <v>#NAME?</v>
      </c>
      <c r="C69" s="20" t="e" cm="1">
        <f t="array" aca="1" ref="C69" ca="1">[1]!s_dq_close($B$1,$A69,3)</f>
        <v>#NAME?</v>
      </c>
    </row>
    <row r="70" spans="1:3" ht="18">
      <c r="A70" s="21">
        <f t="shared" ca="1" si="0"/>
        <v>45748</v>
      </c>
      <c r="B70" s="19" t="e" cm="1">
        <f t="array" aca="1" ref="B70" ca="1">[1]!s_west_netprofit($B$1,2026,$A70,180,1000000)</f>
        <v>#NAME?</v>
      </c>
      <c r="C70" s="20" t="e" cm="1">
        <f t="array" aca="1" ref="C70" ca="1">[1]!s_dq_close($B$1,$A70,3)</f>
        <v>#NAME?</v>
      </c>
    </row>
    <row r="71" spans="1:3" ht="18">
      <c r="A71" s="21">
        <f t="shared" ca="1" si="0"/>
        <v>45741</v>
      </c>
      <c r="B71" s="19" t="e" cm="1">
        <f t="array" aca="1" ref="B71" ca="1">[1]!s_west_netprofit($B$1,2026,$A71,180,1000000)</f>
        <v>#NAME?</v>
      </c>
      <c r="C71" s="20" t="e" cm="1">
        <f t="array" aca="1" ref="C71" ca="1">[1]!s_dq_close($B$1,$A71,3)</f>
        <v>#NAME?</v>
      </c>
    </row>
    <row r="72" spans="1:3" ht="18">
      <c r="A72" s="21">
        <f t="shared" ca="1" si="0"/>
        <v>45734</v>
      </c>
      <c r="B72" s="19" t="e" cm="1">
        <f t="array" aca="1" ref="B72" ca="1">[1]!s_west_netprofit($B$1,2026,$A72,180,1000000)</f>
        <v>#NAME?</v>
      </c>
      <c r="C72" s="20" t="e" cm="1">
        <f t="array" aca="1" ref="C72" ca="1">[1]!s_dq_close($B$1,$A72,3)</f>
        <v>#NAME?</v>
      </c>
    </row>
    <row r="73" spans="1:3" ht="18">
      <c r="A73" s="21">
        <f t="shared" ca="1" si="0"/>
        <v>45727</v>
      </c>
      <c r="B73" s="19" t="e" cm="1">
        <f t="array" aca="1" ref="B73" ca="1">[1]!s_west_netprofit($B$1,2026,$A73,180,1000000)</f>
        <v>#NAME?</v>
      </c>
      <c r="C73" s="20" t="e" cm="1">
        <f t="array" aca="1" ref="C73" ca="1">[1]!s_dq_close($B$1,$A73,3)</f>
        <v>#NAME?</v>
      </c>
    </row>
    <row r="74" spans="1:3" ht="18">
      <c r="A74" s="21">
        <f t="shared" ca="1" si="0"/>
        <v>45720</v>
      </c>
      <c r="B74" s="19" t="e" cm="1">
        <f t="array" aca="1" ref="B74" ca="1">[1]!s_west_netprofit($B$1,2026,$A74,180,1000000)</f>
        <v>#NAME?</v>
      </c>
      <c r="C74" s="20" t="e" cm="1">
        <f t="array" aca="1" ref="C74" ca="1">[1]!s_dq_close($B$1,$A74,3)</f>
        <v>#NAME?</v>
      </c>
    </row>
    <row r="75" spans="1:3" ht="18">
      <c r="A75" s="21">
        <f t="shared" ca="1" si="0"/>
        <v>45713</v>
      </c>
      <c r="B75" s="19" t="e" cm="1">
        <f t="array" aca="1" ref="B75" ca="1">[1]!s_west_netprofit($B$1,2026,$A75,180,1000000)</f>
        <v>#NAME?</v>
      </c>
      <c r="C75" s="20" t="e" cm="1">
        <f t="array" aca="1" ref="C75" ca="1">[1]!s_dq_close($B$1,$A75,3)</f>
        <v>#NAME?</v>
      </c>
    </row>
    <row r="76" spans="1:3" ht="18">
      <c r="A76" s="21">
        <f t="shared" ref="A76:A99" ca="1" si="1">A75-7</f>
        <v>45706</v>
      </c>
      <c r="B76" s="19" t="e" cm="1">
        <f t="array" aca="1" ref="B76" ca="1">[1]!s_west_netprofit($B$1,2026,$A76,180,1000000)</f>
        <v>#NAME?</v>
      </c>
      <c r="C76" s="20" t="e" cm="1">
        <f t="array" aca="1" ref="C76" ca="1">[1]!s_dq_close($B$1,$A76,3)</f>
        <v>#NAME?</v>
      </c>
    </row>
    <row r="77" spans="1:3" ht="18">
      <c r="A77" s="21">
        <f t="shared" ca="1" si="1"/>
        <v>45699</v>
      </c>
      <c r="B77" s="19" t="e" cm="1">
        <f t="array" aca="1" ref="B77" ca="1">[1]!s_west_netprofit($B$1,2026,$A77,180,1000000)</f>
        <v>#NAME?</v>
      </c>
      <c r="C77" s="20" t="e" cm="1">
        <f t="array" aca="1" ref="C77" ca="1">[1]!s_dq_close($B$1,$A77,3)</f>
        <v>#NAME?</v>
      </c>
    </row>
    <row r="78" spans="1:3" ht="18">
      <c r="A78" s="21">
        <f t="shared" ca="1" si="1"/>
        <v>45692</v>
      </c>
      <c r="B78" s="19" t="e" cm="1">
        <f t="array" aca="1" ref="B78" ca="1">[1]!s_west_netprofit($B$1,2026,$A78,180,1000000)</f>
        <v>#NAME?</v>
      </c>
      <c r="C78" s="20" t="e" cm="1">
        <f t="array" aca="1" ref="C78" ca="1">[1]!s_dq_close($B$1,$A78,3)</f>
        <v>#NAME?</v>
      </c>
    </row>
    <row r="79" spans="1:3" ht="18">
      <c r="A79" s="21">
        <f t="shared" ca="1" si="1"/>
        <v>45685</v>
      </c>
      <c r="B79" s="19" t="e" cm="1">
        <f t="array" aca="1" ref="B79" ca="1">[1]!s_west_netprofit($B$1,2026,$A79,180,1000000)</f>
        <v>#NAME?</v>
      </c>
      <c r="C79" s="20" t="e" cm="1">
        <f t="array" aca="1" ref="C79" ca="1">[1]!s_dq_close($B$1,$A79,3)</f>
        <v>#NAME?</v>
      </c>
    </row>
    <row r="80" spans="1:3" ht="18">
      <c r="A80" s="21">
        <f t="shared" ca="1" si="1"/>
        <v>45678</v>
      </c>
      <c r="B80" s="19" t="e" cm="1">
        <f t="array" aca="1" ref="B80" ca="1">[1]!s_west_netprofit($B$1,2026,$A80,180,1000000)</f>
        <v>#NAME?</v>
      </c>
      <c r="C80" s="20" t="e" cm="1">
        <f t="array" aca="1" ref="C80" ca="1">[1]!s_dq_close($B$1,$A80,3)</f>
        <v>#NAME?</v>
      </c>
    </row>
    <row r="81" spans="1:3" ht="18">
      <c r="A81" s="21">
        <f t="shared" ca="1" si="1"/>
        <v>45671</v>
      </c>
      <c r="B81" s="19" t="e" cm="1">
        <f t="array" aca="1" ref="B81" ca="1">[1]!s_west_netprofit($B$1,2026,$A81,180,1000000)</f>
        <v>#NAME?</v>
      </c>
      <c r="C81" s="20" t="e" cm="1">
        <f t="array" aca="1" ref="C81" ca="1">[1]!s_dq_close($B$1,$A81,3)</f>
        <v>#NAME?</v>
      </c>
    </row>
    <row r="82" spans="1:3" ht="18">
      <c r="A82" s="21">
        <f t="shared" ca="1" si="1"/>
        <v>45664</v>
      </c>
      <c r="B82" s="19" t="e" cm="1">
        <f t="array" aca="1" ref="B82" ca="1">[1]!s_west_netprofit($B$1,2026,$A82,180,1000000)</f>
        <v>#NAME?</v>
      </c>
      <c r="C82" s="20" t="e" cm="1">
        <f t="array" aca="1" ref="C82" ca="1">[1]!s_dq_close($B$1,$A82,3)</f>
        <v>#NAME?</v>
      </c>
    </row>
    <row r="83" spans="1:3" ht="18">
      <c r="A83" s="21">
        <f t="shared" ca="1" si="1"/>
        <v>45657</v>
      </c>
      <c r="B83" s="19" t="e" cm="1">
        <f t="array" aca="1" ref="B83" ca="1">[1]!s_west_netprofit($B$1,2026,$A83,180,1000000)</f>
        <v>#NAME?</v>
      </c>
      <c r="C83" s="20" t="e" cm="1">
        <f t="array" aca="1" ref="C83" ca="1">[1]!s_dq_close($B$1,$A83,3)</f>
        <v>#NAME?</v>
      </c>
    </row>
    <row r="84" spans="1:3" ht="18">
      <c r="A84" s="21">
        <f t="shared" ca="1" si="1"/>
        <v>45650</v>
      </c>
      <c r="B84" s="19" t="e" cm="1">
        <f t="array" aca="1" ref="B84" ca="1">[1]!s_west_netprofit($B$1,2026,$A84,180,1000000)</f>
        <v>#NAME?</v>
      </c>
      <c r="C84" s="20" t="e" cm="1">
        <f t="array" aca="1" ref="C84" ca="1">[1]!s_dq_close($B$1,$A84,3)</f>
        <v>#NAME?</v>
      </c>
    </row>
    <row r="85" spans="1:3" ht="18">
      <c r="A85" s="21">
        <f t="shared" ca="1" si="1"/>
        <v>45643</v>
      </c>
      <c r="B85" s="19" t="e" cm="1">
        <f t="array" aca="1" ref="B85" ca="1">[1]!s_west_netprofit($B$1,2026,$A85,180,1000000)</f>
        <v>#NAME?</v>
      </c>
      <c r="C85" s="20" t="e" cm="1">
        <f t="array" aca="1" ref="C85" ca="1">[1]!s_dq_close($B$1,$A85,3)</f>
        <v>#NAME?</v>
      </c>
    </row>
    <row r="86" spans="1:3" ht="18">
      <c r="A86" s="21">
        <f t="shared" ca="1" si="1"/>
        <v>45636</v>
      </c>
      <c r="B86" s="19" t="e" cm="1">
        <f t="array" aca="1" ref="B86" ca="1">[1]!s_west_netprofit($B$1,2026,$A86,180,1000000)</f>
        <v>#NAME?</v>
      </c>
      <c r="C86" s="20" t="e" cm="1">
        <f t="array" aca="1" ref="C86" ca="1">[1]!s_dq_close($B$1,$A86,3)</f>
        <v>#NAME?</v>
      </c>
    </row>
    <row r="87" spans="1:3" ht="18">
      <c r="A87" s="21">
        <f t="shared" ca="1" si="1"/>
        <v>45629</v>
      </c>
      <c r="B87" s="19" t="e" cm="1">
        <f t="array" aca="1" ref="B87" ca="1">[1]!s_west_netprofit($B$1,2026,$A87,180,1000000)</f>
        <v>#NAME?</v>
      </c>
      <c r="C87" s="20" t="e" cm="1">
        <f t="array" aca="1" ref="C87" ca="1">[1]!s_dq_close($B$1,$A87,3)</f>
        <v>#NAME?</v>
      </c>
    </row>
    <row r="88" spans="1:3" ht="18">
      <c r="A88" s="21">
        <f t="shared" ca="1" si="1"/>
        <v>45622</v>
      </c>
      <c r="B88" s="19" t="e" cm="1">
        <f t="array" aca="1" ref="B88" ca="1">[1]!s_west_netprofit($B$1,2026,$A88,180,1000000)</f>
        <v>#NAME?</v>
      </c>
      <c r="C88" s="20" t="e" cm="1">
        <f t="array" aca="1" ref="C88" ca="1">[1]!s_dq_close($B$1,$A88,3)</f>
        <v>#NAME?</v>
      </c>
    </row>
    <row r="89" spans="1:3" ht="18">
      <c r="A89" s="21">
        <f t="shared" ca="1" si="1"/>
        <v>45615</v>
      </c>
      <c r="B89" s="19" t="e" cm="1">
        <f t="array" aca="1" ref="B89" ca="1">[1]!s_west_netprofit($B$1,2026,$A89,180,1000000)</f>
        <v>#NAME?</v>
      </c>
      <c r="C89" s="20" t="e" cm="1">
        <f t="array" aca="1" ref="C89" ca="1">[1]!s_dq_close($B$1,$A89,3)</f>
        <v>#NAME?</v>
      </c>
    </row>
    <row r="90" spans="1:3" ht="18">
      <c r="A90" s="21">
        <f t="shared" ca="1" si="1"/>
        <v>45608</v>
      </c>
      <c r="B90" s="19" t="e" cm="1">
        <f t="array" aca="1" ref="B90" ca="1">[1]!s_west_netprofit($B$1,2026,$A90,180,1000000)</f>
        <v>#NAME?</v>
      </c>
      <c r="C90" s="20" t="e" cm="1">
        <f t="array" aca="1" ref="C90" ca="1">[1]!s_dq_close($B$1,$A90,3)</f>
        <v>#NAME?</v>
      </c>
    </row>
    <row r="91" spans="1:3" ht="18">
      <c r="A91" s="21">
        <f t="shared" ca="1" si="1"/>
        <v>45601</v>
      </c>
      <c r="B91" s="19" t="e" cm="1">
        <f t="array" aca="1" ref="B91" ca="1">[1]!s_west_netprofit($B$1,2026,$A91,180,1000000)</f>
        <v>#NAME?</v>
      </c>
      <c r="C91" s="20" t="e" cm="1">
        <f t="array" aca="1" ref="C91" ca="1">[1]!s_dq_close($B$1,$A91,3)</f>
        <v>#NAME?</v>
      </c>
    </row>
    <row r="92" spans="1:3" ht="18">
      <c r="A92" s="21">
        <f t="shared" ca="1" si="1"/>
        <v>45594</v>
      </c>
      <c r="B92" s="19" t="e" cm="1">
        <f t="array" aca="1" ref="B92" ca="1">[1]!s_west_netprofit($B$1,2026,$A92,180,1000000)</f>
        <v>#NAME?</v>
      </c>
      <c r="C92" s="20" t="e" cm="1">
        <f t="array" aca="1" ref="C92" ca="1">[1]!s_dq_close($B$1,$A92,3)</f>
        <v>#NAME?</v>
      </c>
    </row>
    <row r="93" spans="1:3" ht="18">
      <c r="A93" s="21">
        <f t="shared" ca="1" si="1"/>
        <v>45587</v>
      </c>
      <c r="B93" s="19" t="e" cm="1">
        <f t="array" aca="1" ref="B93" ca="1">[1]!s_west_netprofit($B$1,2026,$A93,180,1000000)</f>
        <v>#NAME?</v>
      </c>
      <c r="C93" s="20" t="e" cm="1">
        <f t="array" aca="1" ref="C93" ca="1">[1]!s_dq_close($B$1,$A93,3)</f>
        <v>#NAME?</v>
      </c>
    </row>
    <row r="94" spans="1:3" ht="18">
      <c r="A94" s="21">
        <f t="shared" ca="1" si="1"/>
        <v>45580</v>
      </c>
      <c r="B94" s="19" t="e" cm="1">
        <f t="array" aca="1" ref="B94" ca="1">[1]!s_west_netprofit($B$1,2026,$A94,180,1000000)</f>
        <v>#NAME?</v>
      </c>
      <c r="C94" s="20" t="e" cm="1">
        <f t="array" aca="1" ref="C94" ca="1">[1]!s_dq_close($B$1,$A94,3)</f>
        <v>#NAME?</v>
      </c>
    </row>
    <row r="95" spans="1:3" ht="18">
      <c r="A95" s="21">
        <f t="shared" ca="1" si="1"/>
        <v>45573</v>
      </c>
      <c r="B95" s="19" t="e" cm="1">
        <f t="array" aca="1" ref="B95" ca="1">[1]!s_west_netprofit($B$1,2026,$A95,180,1000000)</f>
        <v>#NAME?</v>
      </c>
      <c r="C95" s="20" t="e" cm="1">
        <f t="array" aca="1" ref="C95" ca="1">[1]!s_dq_close($B$1,$A95,3)</f>
        <v>#NAME?</v>
      </c>
    </row>
    <row r="96" spans="1:3" ht="18">
      <c r="A96" s="21">
        <f t="shared" ca="1" si="1"/>
        <v>45566</v>
      </c>
      <c r="B96" s="19" t="e" cm="1">
        <f t="array" aca="1" ref="B96" ca="1">[1]!s_west_netprofit($B$1,2026,$A96,180,1000000)</f>
        <v>#NAME?</v>
      </c>
      <c r="C96" s="20" t="e" cm="1">
        <f t="array" aca="1" ref="C96" ca="1">[1]!s_dq_close($B$1,$A96,3)</f>
        <v>#NAME?</v>
      </c>
    </row>
    <row r="97" spans="1:3" ht="18">
      <c r="A97" s="21">
        <f t="shared" ca="1" si="1"/>
        <v>45559</v>
      </c>
      <c r="B97" s="19" t="e" cm="1">
        <f t="array" aca="1" ref="B97" ca="1">[1]!s_west_netprofit($B$1,2026,$A97,180,1000000)</f>
        <v>#NAME?</v>
      </c>
      <c r="C97" s="20" t="e" cm="1">
        <f t="array" aca="1" ref="C97" ca="1">[1]!s_dq_close($B$1,$A97,3)</f>
        <v>#NAME?</v>
      </c>
    </row>
    <row r="98" spans="1:3" ht="18">
      <c r="A98" s="21">
        <f t="shared" ca="1" si="1"/>
        <v>45552</v>
      </c>
      <c r="B98" s="19" t="e" cm="1">
        <f t="array" aca="1" ref="B98" ca="1">[1]!s_west_netprofit($B$1,2026,$A98,180,1000000)</f>
        <v>#NAME?</v>
      </c>
      <c r="C98" s="20" t="e" cm="1">
        <f t="array" aca="1" ref="C98" ca="1">[1]!s_dq_close($B$1,$A98,3)</f>
        <v>#NAME?</v>
      </c>
    </row>
    <row r="99" spans="1:3" ht="19" thickBot="1">
      <c r="A99" s="22">
        <f t="shared" ca="1" si="1"/>
        <v>45545</v>
      </c>
      <c r="B99" s="23" t="e" cm="1">
        <f t="array" aca="1" ref="B99" ca="1">[1]!s_west_netprofit($B$1,2026,$A99,180,1000000)</f>
        <v>#NAME?</v>
      </c>
      <c r="C99" s="24" t="e" cm="1">
        <f t="array" aca="1" ref="C99" ca="1">[1]!s_dq_close($B$1,$A99,3)</f>
        <v>#NAME?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CB366-1816-7F46-9393-3CC1BEF056E0}">
  <dimension ref="A1:D99"/>
  <sheetViews>
    <sheetView workbookViewId="0">
      <selection sqref="A1:XFD1048576"/>
    </sheetView>
  </sheetViews>
  <sheetFormatPr baseColWidth="10" defaultColWidth="9.1640625" defaultRowHeight="16"/>
  <cols>
    <col min="1" max="1" width="36.33203125" customWidth="1"/>
    <col min="2" max="2" width="26" customWidth="1"/>
    <col min="3" max="3" width="40" customWidth="1"/>
    <col min="4" max="4" width="11" bestFit="1" customWidth="1"/>
  </cols>
  <sheetData>
    <row r="1" spans="1:4" ht="17" thickBot="1">
      <c r="A1" t="e">
        <f ca="1">[1]!S_INFO_NAME($B$1)</f>
        <v>#NAME?</v>
      </c>
      <c r="B1" s="1"/>
      <c r="C1" t="s">
        <v>0</v>
      </c>
      <c r="D1" s="2">
        <f ca="1">TODAY()</f>
        <v>46161</v>
      </c>
    </row>
    <row r="2" spans="1:4" s="6" customFormat="1" ht="18">
      <c r="A2" s="3" t="s">
        <v>4</v>
      </c>
      <c r="B2" s="4">
        <v>2025</v>
      </c>
      <c r="C2" s="5">
        <v>2026</v>
      </c>
    </row>
    <row r="3" spans="1:4" s="6" customFormat="1" ht="18">
      <c r="A3" s="7" t="s">
        <v>5</v>
      </c>
      <c r="B3" s="8" t="e">
        <f ca="1">[1]!s_west_instnum_np($B$1,2025,$D$1,180)</f>
        <v>#NAME?</v>
      </c>
      <c r="C3" s="9" t="e">
        <f ca="1">[1]!s_west_instnum_np($B$1,2026,$D$1,180)</f>
        <v>#NAME?</v>
      </c>
    </row>
    <row r="4" spans="1:4" s="6" customFormat="1" ht="18">
      <c r="A4" s="7" t="s">
        <v>2</v>
      </c>
      <c r="B4" s="10" t="e">
        <f ca="1">[1]!s_west_instnum_np($A$1,2025,$D$1,180)</f>
        <v>#NAME?</v>
      </c>
      <c r="C4" s="11" t="e">
        <f ca="1">[1]!s_west_netprofit($B$1,2026,$D$1,180,1000000)</f>
        <v>#NAME?</v>
      </c>
    </row>
    <row r="5" spans="1:4" s="6" customFormat="1" ht="18">
      <c r="A5" s="7" t="s">
        <v>6</v>
      </c>
      <c r="B5" s="10" t="e">
        <f ca="1">[1]!s_west_maxnetprofit($B$1,2025,$D$1,180,1000000)</f>
        <v>#NAME?</v>
      </c>
      <c r="C5" s="11" t="e">
        <f ca="1">[1]!s_west_maxnetprofit($B$1,2026,$D$1,180,1000000)</f>
        <v>#NAME?</v>
      </c>
    </row>
    <row r="6" spans="1:4" s="6" customFormat="1" ht="18">
      <c r="A6" s="7" t="s">
        <v>7</v>
      </c>
      <c r="B6" s="10" t="e">
        <f ca="1">[1]!s_west_minnetprofit($B$1,2025,$D$1,180,1000000)</f>
        <v>#NAME?</v>
      </c>
      <c r="C6" s="11" t="e">
        <f ca="1">[1]!s_west_minnetprofit($B$1,2026,$D$1,180,1000000)</f>
        <v>#NAME?</v>
      </c>
    </row>
    <row r="7" spans="1:4" s="6" customFormat="1" ht="18">
      <c r="A7" s="7" t="s">
        <v>8</v>
      </c>
      <c r="B7" s="10" t="e">
        <f ca="1">[1]!s_west_mediannetprofit($B$1,2025,$D$1,180,1000000)</f>
        <v>#NAME?</v>
      </c>
      <c r="C7" s="11" t="e">
        <f ca="1">[1]!s_west_mediannetprofit($B$1,2026,$D$1,180,1000000)</f>
        <v>#NAME?</v>
      </c>
    </row>
    <row r="8" spans="1:4" s="6" customFormat="1" ht="19" thickBot="1">
      <c r="A8" s="12" t="s">
        <v>9</v>
      </c>
      <c r="B8" s="13" t="e">
        <f ca="1">[1]!s_west_stdnetprofit($B$1,2025,$D$1,180,1000000)</f>
        <v>#NAME?</v>
      </c>
      <c r="C8" s="14" t="e">
        <f ca="1">[1]!s_west_stdnetprofit($B$1,2026,$D$1,180,1000000)</f>
        <v>#NAME?</v>
      </c>
    </row>
    <row r="10" spans="1:4">
      <c r="A10" s="15" t="s">
        <v>1</v>
      </c>
      <c r="B10" s="16" t="s">
        <v>2</v>
      </c>
      <c r="C10" s="17" t="s">
        <v>3</v>
      </c>
    </row>
    <row r="11" spans="1:4" ht="18">
      <c r="A11" s="18">
        <f ca="1">TODAY()-IF(WEEKDAY(TODAY(),2)=6,1,IF(WEEKDAY(TODAY(),2)=7,2,0))</f>
        <v>46161</v>
      </c>
      <c r="B11" s="19" t="e" cm="1">
        <f t="array" aca="1" ref="B11" ca="1">[1]!s_west_netprofit($B$1,2026,$A11,180,1000000)</f>
        <v>#NAME?</v>
      </c>
      <c r="C11" s="20" t="e" cm="1">
        <f t="array" aca="1" ref="C11" ca="1">[1]!s_dq_close($B$1,$A11,3)</f>
        <v>#NAME?</v>
      </c>
    </row>
    <row r="12" spans="1:4" ht="18">
      <c r="A12" s="21">
        <f t="shared" ref="A12:A75" ca="1" si="0">A11-7</f>
        <v>46154</v>
      </c>
      <c r="B12" s="19" t="e" cm="1">
        <f t="array" aca="1" ref="B12" ca="1">[1]!s_west_netprofit($B$1,2026,$A12,180,1000000)</f>
        <v>#NAME?</v>
      </c>
      <c r="C12" s="20" t="e" cm="1">
        <f t="array" aca="1" ref="C12" ca="1">[1]!s_dq_close($B$1,$A12,3)</f>
        <v>#NAME?</v>
      </c>
    </row>
    <row r="13" spans="1:4" ht="18">
      <c r="A13" s="21">
        <f t="shared" ca="1" si="0"/>
        <v>46147</v>
      </c>
      <c r="B13" s="19" t="e" cm="1">
        <f t="array" aca="1" ref="B13" ca="1">[1]!s_west_netprofit($B$1,2026,$A13,180,1000000)</f>
        <v>#NAME?</v>
      </c>
      <c r="C13" s="20" t="e" cm="1">
        <f t="array" aca="1" ref="C13" ca="1">[1]!s_dq_close($B$1,$A13,3)</f>
        <v>#NAME?</v>
      </c>
    </row>
    <row r="14" spans="1:4" ht="18">
      <c r="A14" s="21">
        <f t="shared" ca="1" si="0"/>
        <v>46140</v>
      </c>
      <c r="B14" s="19" t="e" cm="1">
        <f t="array" aca="1" ref="B14" ca="1">[1]!s_west_netprofit($B$1,2026,$A14,180,1000000)</f>
        <v>#NAME?</v>
      </c>
      <c r="C14" s="20" t="e" cm="1">
        <f t="array" aca="1" ref="C14" ca="1">[1]!s_dq_close($B$1,$A14,3)</f>
        <v>#NAME?</v>
      </c>
    </row>
    <row r="15" spans="1:4" ht="18">
      <c r="A15" s="21">
        <f t="shared" ca="1" si="0"/>
        <v>46133</v>
      </c>
      <c r="B15" s="19" t="e" cm="1">
        <f t="array" aca="1" ref="B15" ca="1">[1]!s_west_netprofit($B$1,2026,$A15,180,1000000)</f>
        <v>#NAME?</v>
      </c>
      <c r="C15" s="20" t="e" cm="1">
        <f t="array" aca="1" ref="C15" ca="1">[1]!s_dq_close($B$1,$A15,3)</f>
        <v>#NAME?</v>
      </c>
    </row>
    <row r="16" spans="1:4" ht="18">
      <c r="A16" s="21">
        <f t="shared" ca="1" si="0"/>
        <v>46126</v>
      </c>
      <c r="B16" s="19" t="e" cm="1">
        <f t="array" aca="1" ref="B16" ca="1">[1]!s_west_netprofit($B$1,2026,$A16,180,1000000)</f>
        <v>#NAME?</v>
      </c>
      <c r="C16" s="20" t="e" cm="1">
        <f t="array" aca="1" ref="C16" ca="1">[1]!s_dq_close($B$1,$A16,3)</f>
        <v>#NAME?</v>
      </c>
    </row>
    <row r="17" spans="1:3" ht="18">
      <c r="A17" s="21">
        <f t="shared" ca="1" si="0"/>
        <v>46119</v>
      </c>
      <c r="B17" s="19" t="e" cm="1">
        <f t="array" aca="1" ref="B17" ca="1">[1]!s_west_netprofit($B$1,2026,$A17,180,1000000)</f>
        <v>#NAME?</v>
      </c>
      <c r="C17" s="20" t="e" cm="1">
        <f t="array" aca="1" ref="C17" ca="1">[1]!s_dq_close($B$1,$A17,3)</f>
        <v>#NAME?</v>
      </c>
    </row>
    <row r="18" spans="1:3" ht="18">
      <c r="A18" s="21">
        <f t="shared" ca="1" si="0"/>
        <v>46112</v>
      </c>
      <c r="B18" s="19" t="e" cm="1">
        <f t="array" aca="1" ref="B18" ca="1">[1]!s_west_netprofit($B$1,2026,$A18,180,1000000)</f>
        <v>#NAME?</v>
      </c>
      <c r="C18" s="20" t="e" cm="1">
        <f t="array" aca="1" ref="C18" ca="1">[1]!s_dq_close($B$1,$A18,3)</f>
        <v>#NAME?</v>
      </c>
    </row>
    <row r="19" spans="1:3" ht="18">
      <c r="A19" s="21">
        <f t="shared" ca="1" si="0"/>
        <v>46105</v>
      </c>
      <c r="B19" s="19" t="e" cm="1">
        <f t="array" aca="1" ref="B19" ca="1">[1]!s_west_netprofit($B$1,2026,$A19,180,1000000)</f>
        <v>#NAME?</v>
      </c>
      <c r="C19" s="20" t="e" cm="1">
        <f t="array" aca="1" ref="C19" ca="1">[1]!s_dq_close($B$1,$A19,3)</f>
        <v>#NAME?</v>
      </c>
    </row>
    <row r="20" spans="1:3" ht="18">
      <c r="A20" s="21">
        <f t="shared" ca="1" si="0"/>
        <v>46098</v>
      </c>
      <c r="B20" s="19" t="e" cm="1">
        <f t="array" aca="1" ref="B20" ca="1">[1]!s_west_netprofit($B$1,2026,$A20,180,1000000)</f>
        <v>#NAME?</v>
      </c>
      <c r="C20" s="20" t="e" cm="1">
        <f t="array" aca="1" ref="C20" ca="1">[1]!s_dq_close($B$1,$A20,3)</f>
        <v>#NAME?</v>
      </c>
    </row>
    <row r="21" spans="1:3" ht="18">
      <c r="A21" s="21">
        <f t="shared" ca="1" si="0"/>
        <v>46091</v>
      </c>
      <c r="B21" s="19" t="e" cm="1">
        <f t="array" aca="1" ref="B21" ca="1">[1]!s_west_netprofit($B$1,2026,$A21,180,1000000)</f>
        <v>#NAME?</v>
      </c>
      <c r="C21" s="20" t="e" cm="1">
        <f t="array" aca="1" ref="C21" ca="1">[1]!s_dq_close($B$1,$A21,3)</f>
        <v>#NAME?</v>
      </c>
    </row>
    <row r="22" spans="1:3" ht="18">
      <c r="A22" s="21">
        <f t="shared" ca="1" si="0"/>
        <v>46084</v>
      </c>
      <c r="B22" s="19" t="e" cm="1">
        <f t="array" aca="1" ref="B22" ca="1">[1]!s_west_netprofit($B$1,2026,$A22,180,1000000)</f>
        <v>#NAME?</v>
      </c>
      <c r="C22" s="20" t="e" cm="1">
        <f t="array" aca="1" ref="C22" ca="1">[1]!s_dq_close($B$1,$A22,3)</f>
        <v>#NAME?</v>
      </c>
    </row>
    <row r="23" spans="1:3" ht="18">
      <c r="A23" s="21">
        <f t="shared" ca="1" si="0"/>
        <v>46077</v>
      </c>
      <c r="B23" s="19" t="e" cm="1">
        <f t="array" aca="1" ref="B23" ca="1">[1]!s_west_netprofit($B$1,2026,$A23,180,1000000)</f>
        <v>#NAME?</v>
      </c>
      <c r="C23" s="20" t="e" cm="1">
        <f t="array" aca="1" ref="C23" ca="1">[1]!s_dq_close($B$1,$A23,3)</f>
        <v>#NAME?</v>
      </c>
    </row>
    <row r="24" spans="1:3" ht="18">
      <c r="A24" s="21">
        <f t="shared" ca="1" si="0"/>
        <v>46070</v>
      </c>
      <c r="B24" s="19" t="e" cm="1">
        <f t="array" aca="1" ref="B24" ca="1">[1]!s_west_netprofit($B$1,2026,$A24,180,1000000)</f>
        <v>#NAME?</v>
      </c>
      <c r="C24" s="20" t="e" cm="1">
        <f t="array" aca="1" ref="C24" ca="1">[1]!s_dq_close($B$1,$A24,3)</f>
        <v>#NAME?</v>
      </c>
    </row>
    <row r="25" spans="1:3" ht="18">
      <c r="A25" s="21">
        <f t="shared" ca="1" si="0"/>
        <v>46063</v>
      </c>
      <c r="B25" s="19" t="e" cm="1">
        <f t="array" aca="1" ref="B25" ca="1">[1]!s_west_netprofit($B$1,2026,$A25,180,1000000)</f>
        <v>#NAME?</v>
      </c>
      <c r="C25" s="20" t="e" cm="1">
        <f t="array" aca="1" ref="C25" ca="1">[1]!s_dq_close($B$1,$A25,3)</f>
        <v>#NAME?</v>
      </c>
    </row>
    <row r="26" spans="1:3" ht="18">
      <c r="A26" s="21">
        <f t="shared" ca="1" si="0"/>
        <v>46056</v>
      </c>
      <c r="B26" s="19" t="e" cm="1">
        <f t="array" aca="1" ref="B26" ca="1">[1]!s_west_netprofit($B$1,2026,$A26,180,1000000)</f>
        <v>#NAME?</v>
      </c>
      <c r="C26" s="20" t="e" cm="1">
        <f t="array" aca="1" ref="C26" ca="1">[1]!s_dq_close($B$1,$A26,3)</f>
        <v>#NAME?</v>
      </c>
    </row>
    <row r="27" spans="1:3" ht="18">
      <c r="A27" s="21">
        <f t="shared" ca="1" si="0"/>
        <v>46049</v>
      </c>
      <c r="B27" s="19" t="e" cm="1">
        <f t="array" aca="1" ref="B27" ca="1">[1]!s_west_netprofit($B$1,2026,$A27,180,1000000)</f>
        <v>#NAME?</v>
      </c>
      <c r="C27" s="20" t="e" cm="1">
        <f t="array" aca="1" ref="C27" ca="1">[1]!s_dq_close($B$1,$A27,3)</f>
        <v>#NAME?</v>
      </c>
    </row>
    <row r="28" spans="1:3" ht="18">
      <c r="A28" s="21">
        <f t="shared" ca="1" si="0"/>
        <v>46042</v>
      </c>
      <c r="B28" s="19" t="e" cm="1">
        <f t="array" aca="1" ref="B28" ca="1">[1]!s_west_netprofit($B$1,2026,$A28,180,1000000)</f>
        <v>#NAME?</v>
      </c>
      <c r="C28" s="20" t="e" cm="1">
        <f t="array" aca="1" ref="C28" ca="1">[1]!s_dq_close($B$1,$A28,3)</f>
        <v>#NAME?</v>
      </c>
    </row>
    <row r="29" spans="1:3" ht="18">
      <c r="A29" s="21">
        <f t="shared" ca="1" si="0"/>
        <v>46035</v>
      </c>
      <c r="B29" s="19" t="e" cm="1">
        <f t="array" aca="1" ref="B29" ca="1">[1]!s_west_netprofit($B$1,2026,$A29,180,1000000)</f>
        <v>#NAME?</v>
      </c>
      <c r="C29" s="20" t="e" cm="1">
        <f t="array" aca="1" ref="C29" ca="1">[1]!s_dq_close($B$1,$A29,3)</f>
        <v>#NAME?</v>
      </c>
    </row>
    <row r="30" spans="1:3" ht="18">
      <c r="A30" s="21">
        <f t="shared" ca="1" si="0"/>
        <v>46028</v>
      </c>
      <c r="B30" s="19" t="e" cm="1">
        <f t="array" aca="1" ref="B30" ca="1">[1]!s_west_netprofit($B$1,2026,$A30,180,1000000)</f>
        <v>#NAME?</v>
      </c>
      <c r="C30" s="20" t="e" cm="1">
        <f t="array" aca="1" ref="C30" ca="1">[1]!s_dq_close($B$1,$A30,3)</f>
        <v>#NAME?</v>
      </c>
    </row>
    <row r="31" spans="1:3" ht="18">
      <c r="A31" s="21">
        <f t="shared" ca="1" si="0"/>
        <v>46021</v>
      </c>
      <c r="B31" s="19" t="e" cm="1">
        <f t="array" aca="1" ref="B31" ca="1">[1]!s_west_netprofit($B$1,2026,$A31,180,1000000)</f>
        <v>#NAME?</v>
      </c>
      <c r="C31" s="20" t="e" cm="1">
        <f t="array" aca="1" ref="C31" ca="1">[1]!s_dq_close($B$1,$A31,3)</f>
        <v>#NAME?</v>
      </c>
    </row>
    <row r="32" spans="1:3" ht="18">
      <c r="A32" s="21">
        <f t="shared" ca="1" si="0"/>
        <v>46014</v>
      </c>
      <c r="B32" s="19" t="e" cm="1">
        <f t="array" aca="1" ref="B32" ca="1">[1]!s_west_netprofit($B$1,2026,$A32,180,1000000)</f>
        <v>#NAME?</v>
      </c>
      <c r="C32" s="20" t="e" cm="1">
        <f t="array" aca="1" ref="C32" ca="1">[1]!s_dq_close($B$1,$A32,3)</f>
        <v>#NAME?</v>
      </c>
    </row>
    <row r="33" spans="1:3" ht="18">
      <c r="A33" s="21">
        <f t="shared" ca="1" si="0"/>
        <v>46007</v>
      </c>
      <c r="B33" s="19" t="e" cm="1">
        <f t="array" aca="1" ref="B33" ca="1">[1]!s_west_netprofit($B$1,2026,$A33,180,1000000)</f>
        <v>#NAME?</v>
      </c>
      <c r="C33" s="20" t="e" cm="1">
        <f t="array" aca="1" ref="C33" ca="1">[1]!s_dq_close($B$1,$A33,3)</f>
        <v>#NAME?</v>
      </c>
    </row>
    <row r="34" spans="1:3" ht="18">
      <c r="A34" s="21">
        <f t="shared" ca="1" si="0"/>
        <v>46000</v>
      </c>
      <c r="B34" s="19" t="e" cm="1">
        <f t="array" aca="1" ref="B34" ca="1">[1]!s_west_netprofit($B$1,2026,$A34,180,1000000)</f>
        <v>#NAME?</v>
      </c>
      <c r="C34" s="20" t="e" cm="1">
        <f t="array" aca="1" ref="C34" ca="1">[1]!s_dq_close($B$1,$A34,3)</f>
        <v>#NAME?</v>
      </c>
    </row>
    <row r="35" spans="1:3" ht="18">
      <c r="A35" s="21">
        <f t="shared" ca="1" si="0"/>
        <v>45993</v>
      </c>
      <c r="B35" s="19" t="e" cm="1">
        <f t="array" aca="1" ref="B35" ca="1">[1]!s_west_netprofit($B$1,2026,$A35,180,1000000)</f>
        <v>#NAME?</v>
      </c>
      <c r="C35" s="20" t="e" cm="1">
        <f t="array" aca="1" ref="C35" ca="1">[1]!s_dq_close($B$1,$A35,3)</f>
        <v>#NAME?</v>
      </c>
    </row>
    <row r="36" spans="1:3" ht="18">
      <c r="A36" s="21">
        <f t="shared" ca="1" si="0"/>
        <v>45986</v>
      </c>
      <c r="B36" s="19" t="e" cm="1">
        <f t="array" aca="1" ref="B36" ca="1">[1]!s_west_netprofit($B$1,2026,$A36,180,1000000)</f>
        <v>#NAME?</v>
      </c>
      <c r="C36" s="20" t="e" cm="1">
        <f t="array" aca="1" ref="C36" ca="1">[1]!s_dq_close($B$1,$A36,3)</f>
        <v>#NAME?</v>
      </c>
    </row>
    <row r="37" spans="1:3" ht="18">
      <c r="A37" s="21">
        <f t="shared" ca="1" si="0"/>
        <v>45979</v>
      </c>
      <c r="B37" s="19" t="e" cm="1">
        <f t="array" aca="1" ref="B37" ca="1">[1]!s_west_netprofit($B$1,2026,$A37,180,1000000)</f>
        <v>#NAME?</v>
      </c>
      <c r="C37" s="20" t="e" cm="1">
        <f t="array" aca="1" ref="C37" ca="1">[1]!s_dq_close($B$1,$A37,3)</f>
        <v>#NAME?</v>
      </c>
    </row>
    <row r="38" spans="1:3" ht="18">
      <c r="A38" s="21">
        <f t="shared" ca="1" si="0"/>
        <v>45972</v>
      </c>
      <c r="B38" s="19" t="e" cm="1">
        <f t="array" aca="1" ref="B38" ca="1">[1]!s_west_netprofit($B$1,2026,$A38,180,1000000)</f>
        <v>#NAME?</v>
      </c>
      <c r="C38" s="20" t="e" cm="1">
        <f t="array" aca="1" ref="C38" ca="1">[1]!s_dq_close($B$1,$A38,3)</f>
        <v>#NAME?</v>
      </c>
    </row>
    <row r="39" spans="1:3" ht="18">
      <c r="A39" s="21">
        <f t="shared" ca="1" si="0"/>
        <v>45965</v>
      </c>
      <c r="B39" s="19" t="e" cm="1">
        <f t="array" aca="1" ref="B39" ca="1">[1]!s_west_netprofit($B$1,2026,$A39,180,1000000)</f>
        <v>#NAME?</v>
      </c>
      <c r="C39" s="20" t="e" cm="1">
        <f t="array" aca="1" ref="C39" ca="1">[1]!s_dq_close($B$1,$A39,3)</f>
        <v>#NAME?</v>
      </c>
    </row>
    <row r="40" spans="1:3" ht="18">
      <c r="A40" s="21">
        <f t="shared" ca="1" si="0"/>
        <v>45958</v>
      </c>
      <c r="B40" s="19" t="e" cm="1">
        <f t="array" aca="1" ref="B40" ca="1">[1]!s_west_netprofit($B$1,2026,$A40,180,1000000)</f>
        <v>#NAME?</v>
      </c>
      <c r="C40" s="20" t="e" cm="1">
        <f t="array" aca="1" ref="C40" ca="1">[1]!s_dq_close($B$1,$A40,3)</f>
        <v>#NAME?</v>
      </c>
    </row>
    <row r="41" spans="1:3" ht="18">
      <c r="A41" s="21">
        <f t="shared" ca="1" si="0"/>
        <v>45951</v>
      </c>
      <c r="B41" s="19" t="e" cm="1">
        <f t="array" aca="1" ref="B41" ca="1">[1]!s_west_netprofit($B$1,2026,$A41,180,1000000)</f>
        <v>#NAME?</v>
      </c>
      <c r="C41" s="20" t="e" cm="1">
        <f t="array" aca="1" ref="C41" ca="1">[1]!s_dq_close($B$1,$A41,3)</f>
        <v>#NAME?</v>
      </c>
    </row>
    <row r="42" spans="1:3" ht="18">
      <c r="A42" s="21">
        <f t="shared" ca="1" si="0"/>
        <v>45944</v>
      </c>
      <c r="B42" s="19" t="e" cm="1">
        <f t="array" aca="1" ref="B42" ca="1">[1]!s_west_netprofit($B$1,2026,$A42,180,1000000)</f>
        <v>#NAME?</v>
      </c>
      <c r="C42" s="20" t="e" cm="1">
        <f t="array" aca="1" ref="C42" ca="1">[1]!s_dq_close($B$1,$A42,3)</f>
        <v>#NAME?</v>
      </c>
    </row>
    <row r="43" spans="1:3" ht="18">
      <c r="A43" s="21">
        <f t="shared" ca="1" si="0"/>
        <v>45937</v>
      </c>
      <c r="B43" s="19" t="e" cm="1">
        <f t="array" aca="1" ref="B43" ca="1">[1]!s_west_netprofit($B$1,2026,$A43,180,1000000)</f>
        <v>#NAME?</v>
      </c>
      <c r="C43" s="20" t="e" cm="1">
        <f t="array" aca="1" ref="C43" ca="1">[1]!s_dq_close($B$1,$A43,3)</f>
        <v>#NAME?</v>
      </c>
    </row>
    <row r="44" spans="1:3" ht="18">
      <c r="A44" s="21">
        <f t="shared" ca="1" si="0"/>
        <v>45930</v>
      </c>
      <c r="B44" s="19" t="e" cm="1">
        <f t="array" aca="1" ref="B44" ca="1">[1]!s_west_netprofit($B$1,2026,$A44,180,1000000)</f>
        <v>#NAME?</v>
      </c>
      <c r="C44" s="20" t="e" cm="1">
        <f t="array" aca="1" ref="C44" ca="1">[1]!s_dq_close($B$1,$A44,3)</f>
        <v>#NAME?</v>
      </c>
    </row>
    <row r="45" spans="1:3" ht="18">
      <c r="A45" s="21">
        <f t="shared" ca="1" si="0"/>
        <v>45923</v>
      </c>
      <c r="B45" s="19" t="e" cm="1">
        <f t="array" aca="1" ref="B45" ca="1">[1]!s_west_netprofit($B$1,2026,$A45,180,1000000)</f>
        <v>#NAME?</v>
      </c>
      <c r="C45" s="20" t="e" cm="1">
        <f t="array" aca="1" ref="C45" ca="1">[1]!s_dq_close($B$1,$A45,3)</f>
        <v>#NAME?</v>
      </c>
    </row>
    <row r="46" spans="1:3" ht="18">
      <c r="A46" s="21">
        <f t="shared" ca="1" si="0"/>
        <v>45916</v>
      </c>
      <c r="B46" s="19" t="e" cm="1">
        <f t="array" aca="1" ref="B46" ca="1">[1]!s_west_netprofit($B$1,2026,$A46,180,1000000)</f>
        <v>#NAME?</v>
      </c>
      <c r="C46" s="20" t="e" cm="1">
        <f t="array" aca="1" ref="C46" ca="1">[1]!s_dq_close($B$1,$A46,3)</f>
        <v>#NAME?</v>
      </c>
    </row>
    <row r="47" spans="1:3" ht="18">
      <c r="A47" s="21">
        <f t="shared" ca="1" si="0"/>
        <v>45909</v>
      </c>
      <c r="B47" s="19" t="e" cm="1">
        <f t="array" aca="1" ref="B47" ca="1">[1]!s_west_netprofit($B$1,2026,$A47,180,1000000)</f>
        <v>#NAME?</v>
      </c>
      <c r="C47" s="20" t="e" cm="1">
        <f t="array" aca="1" ref="C47" ca="1">[1]!s_dq_close($B$1,$A47,3)</f>
        <v>#NAME?</v>
      </c>
    </row>
    <row r="48" spans="1:3" ht="18">
      <c r="A48" s="21">
        <f t="shared" ca="1" si="0"/>
        <v>45902</v>
      </c>
      <c r="B48" s="19" t="e" cm="1">
        <f t="array" aca="1" ref="B48" ca="1">[1]!s_west_netprofit($B$1,2026,$A48,180,1000000)</f>
        <v>#NAME?</v>
      </c>
      <c r="C48" s="20" t="e" cm="1">
        <f t="array" aca="1" ref="C48" ca="1">[1]!s_dq_close($B$1,$A48,3)</f>
        <v>#NAME?</v>
      </c>
    </row>
    <row r="49" spans="1:3" ht="18">
      <c r="A49" s="21">
        <f t="shared" ca="1" si="0"/>
        <v>45895</v>
      </c>
      <c r="B49" s="19" t="e" cm="1">
        <f t="array" aca="1" ref="B49" ca="1">[1]!s_west_netprofit($B$1,2026,$A49,180,1000000)</f>
        <v>#NAME?</v>
      </c>
      <c r="C49" s="20" t="e" cm="1">
        <f t="array" aca="1" ref="C49" ca="1">[1]!s_dq_close($B$1,$A49,3)</f>
        <v>#NAME?</v>
      </c>
    </row>
    <row r="50" spans="1:3" ht="18">
      <c r="A50" s="21">
        <f t="shared" ca="1" si="0"/>
        <v>45888</v>
      </c>
      <c r="B50" s="19" t="e" cm="1">
        <f t="array" aca="1" ref="B50" ca="1">[1]!s_west_netprofit($B$1,2026,$A50,180,1000000)</f>
        <v>#NAME?</v>
      </c>
      <c r="C50" s="20" t="e" cm="1">
        <f t="array" aca="1" ref="C50" ca="1">[1]!s_dq_close($B$1,$A50,3)</f>
        <v>#NAME?</v>
      </c>
    </row>
    <row r="51" spans="1:3" ht="18">
      <c r="A51" s="21">
        <f t="shared" ca="1" si="0"/>
        <v>45881</v>
      </c>
      <c r="B51" s="19" t="e" cm="1">
        <f t="array" aca="1" ref="B51" ca="1">[1]!s_west_netprofit($B$1,2026,$A51,180,1000000)</f>
        <v>#NAME?</v>
      </c>
      <c r="C51" s="20" t="e" cm="1">
        <f t="array" aca="1" ref="C51" ca="1">[1]!s_dq_close($B$1,$A51,3)</f>
        <v>#NAME?</v>
      </c>
    </row>
    <row r="52" spans="1:3" ht="18">
      <c r="A52" s="21">
        <f t="shared" ca="1" si="0"/>
        <v>45874</v>
      </c>
      <c r="B52" s="19" t="e" cm="1">
        <f t="array" aca="1" ref="B52" ca="1">[1]!s_west_netprofit($B$1,2026,$A52,180,1000000)</f>
        <v>#NAME?</v>
      </c>
      <c r="C52" s="20" t="e" cm="1">
        <f t="array" aca="1" ref="C52" ca="1">[1]!s_dq_close($B$1,$A52,3)</f>
        <v>#NAME?</v>
      </c>
    </row>
    <row r="53" spans="1:3" ht="18">
      <c r="A53" s="21">
        <f t="shared" ca="1" si="0"/>
        <v>45867</v>
      </c>
      <c r="B53" s="19" t="e" cm="1">
        <f t="array" aca="1" ref="B53" ca="1">[1]!s_west_netprofit($B$1,2026,$A53,180,1000000)</f>
        <v>#NAME?</v>
      </c>
      <c r="C53" s="20" t="e" cm="1">
        <f t="array" aca="1" ref="C53" ca="1">[1]!s_dq_close($B$1,$A53,3)</f>
        <v>#NAME?</v>
      </c>
    </row>
    <row r="54" spans="1:3" ht="18">
      <c r="A54" s="21">
        <f t="shared" ca="1" si="0"/>
        <v>45860</v>
      </c>
      <c r="B54" s="19" t="e" cm="1">
        <f t="array" aca="1" ref="B54" ca="1">[1]!s_west_netprofit($B$1,2026,$A54,180,1000000)</f>
        <v>#NAME?</v>
      </c>
      <c r="C54" s="20" t="e" cm="1">
        <f t="array" aca="1" ref="C54" ca="1">[1]!s_dq_close($B$1,$A54,3)</f>
        <v>#NAME?</v>
      </c>
    </row>
    <row r="55" spans="1:3" ht="18">
      <c r="A55" s="21">
        <f t="shared" ca="1" si="0"/>
        <v>45853</v>
      </c>
      <c r="B55" s="19" t="e" cm="1">
        <f t="array" aca="1" ref="B55" ca="1">[1]!s_west_netprofit($B$1,2026,$A55,180,1000000)</f>
        <v>#NAME?</v>
      </c>
      <c r="C55" s="20" t="e" cm="1">
        <f t="array" aca="1" ref="C55" ca="1">[1]!s_dq_close($B$1,$A55,3)</f>
        <v>#NAME?</v>
      </c>
    </row>
    <row r="56" spans="1:3" ht="18">
      <c r="A56" s="21">
        <f t="shared" ca="1" si="0"/>
        <v>45846</v>
      </c>
      <c r="B56" s="19" t="e" cm="1">
        <f t="array" aca="1" ref="B56" ca="1">[1]!s_west_netprofit($B$1,2026,$A56,180,1000000)</f>
        <v>#NAME?</v>
      </c>
      <c r="C56" s="20" t="e" cm="1">
        <f t="array" aca="1" ref="C56" ca="1">[1]!s_dq_close($B$1,$A56,3)</f>
        <v>#NAME?</v>
      </c>
    </row>
    <row r="57" spans="1:3" ht="18">
      <c r="A57" s="21">
        <f t="shared" ca="1" si="0"/>
        <v>45839</v>
      </c>
      <c r="B57" s="19" t="e" cm="1">
        <f t="array" aca="1" ref="B57" ca="1">[1]!s_west_netprofit($B$1,2026,$A57,180,1000000)</f>
        <v>#NAME?</v>
      </c>
      <c r="C57" s="20" t="e" cm="1">
        <f t="array" aca="1" ref="C57" ca="1">[1]!s_dq_close($B$1,$A57,3)</f>
        <v>#NAME?</v>
      </c>
    </row>
    <row r="58" spans="1:3" ht="18">
      <c r="A58" s="21">
        <f t="shared" ca="1" si="0"/>
        <v>45832</v>
      </c>
      <c r="B58" s="19" t="e" cm="1">
        <f t="array" aca="1" ref="B58" ca="1">[1]!s_west_netprofit($B$1,2026,$A58,180,1000000)</f>
        <v>#NAME?</v>
      </c>
      <c r="C58" s="20" t="e" cm="1">
        <f t="array" aca="1" ref="C58" ca="1">[1]!s_dq_close($B$1,$A58,3)</f>
        <v>#NAME?</v>
      </c>
    </row>
    <row r="59" spans="1:3" ht="18">
      <c r="A59" s="21">
        <f t="shared" ca="1" si="0"/>
        <v>45825</v>
      </c>
      <c r="B59" s="19" t="e" cm="1">
        <f t="array" aca="1" ref="B59" ca="1">[1]!s_west_netprofit($B$1,2026,$A59,180,1000000)</f>
        <v>#NAME?</v>
      </c>
      <c r="C59" s="20" t="e" cm="1">
        <f t="array" aca="1" ref="C59" ca="1">[1]!s_dq_close($B$1,$A59,3)</f>
        <v>#NAME?</v>
      </c>
    </row>
    <row r="60" spans="1:3" ht="18">
      <c r="A60" s="21">
        <f t="shared" ca="1" si="0"/>
        <v>45818</v>
      </c>
      <c r="B60" s="19" t="e" cm="1">
        <f t="array" aca="1" ref="B60" ca="1">[1]!s_west_netprofit($B$1,2026,$A60,180,1000000)</f>
        <v>#NAME?</v>
      </c>
      <c r="C60" s="20" t="e" cm="1">
        <f t="array" aca="1" ref="C60" ca="1">[1]!s_dq_close($B$1,$A60,3)</f>
        <v>#NAME?</v>
      </c>
    </row>
    <row r="61" spans="1:3" ht="18">
      <c r="A61" s="21">
        <f t="shared" ca="1" si="0"/>
        <v>45811</v>
      </c>
      <c r="B61" s="19" t="e" cm="1">
        <f t="array" aca="1" ref="B61" ca="1">[1]!s_west_netprofit($B$1,2026,$A61,180,1000000)</f>
        <v>#NAME?</v>
      </c>
      <c r="C61" s="20" t="e" cm="1">
        <f t="array" aca="1" ref="C61" ca="1">[1]!s_dq_close($B$1,$A61,3)</f>
        <v>#NAME?</v>
      </c>
    </row>
    <row r="62" spans="1:3" ht="18">
      <c r="A62" s="21">
        <f t="shared" ca="1" si="0"/>
        <v>45804</v>
      </c>
      <c r="B62" s="19" t="e" cm="1">
        <f t="array" aca="1" ref="B62" ca="1">[1]!s_west_netprofit($B$1,2026,$A62,180,1000000)</f>
        <v>#NAME?</v>
      </c>
      <c r="C62" s="20" t="e" cm="1">
        <f t="array" aca="1" ref="C62" ca="1">[1]!s_dq_close($B$1,$A62,3)</f>
        <v>#NAME?</v>
      </c>
    </row>
    <row r="63" spans="1:3" ht="18">
      <c r="A63" s="21">
        <f t="shared" ca="1" si="0"/>
        <v>45797</v>
      </c>
      <c r="B63" s="19" t="e" cm="1">
        <f t="array" aca="1" ref="B63" ca="1">[1]!s_west_netprofit($B$1,2026,$A63,180,1000000)</f>
        <v>#NAME?</v>
      </c>
      <c r="C63" s="20" t="e" cm="1">
        <f t="array" aca="1" ref="C63" ca="1">[1]!s_dq_close($B$1,$A63,3)</f>
        <v>#NAME?</v>
      </c>
    </row>
    <row r="64" spans="1:3" ht="18">
      <c r="A64" s="21">
        <f t="shared" ca="1" si="0"/>
        <v>45790</v>
      </c>
      <c r="B64" s="19" t="e" cm="1">
        <f t="array" aca="1" ref="B64" ca="1">[1]!s_west_netprofit($B$1,2026,$A64,180,1000000)</f>
        <v>#NAME?</v>
      </c>
      <c r="C64" s="20" t="e" cm="1">
        <f t="array" aca="1" ref="C64" ca="1">[1]!s_dq_close($B$1,$A64,3)</f>
        <v>#NAME?</v>
      </c>
    </row>
    <row r="65" spans="1:3" ht="18">
      <c r="A65" s="21">
        <f t="shared" ca="1" si="0"/>
        <v>45783</v>
      </c>
      <c r="B65" s="19" t="e" cm="1">
        <f t="array" aca="1" ref="B65" ca="1">[1]!s_west_netprofit($B$1,2026,$A65,180,1000000)</f>
        <v>#NAME?</v>
      </c>
      <c r="C65" s="20" t="e" cm="1">
        <f t="array" aca="1" ref="C65" ca="1">[1]!s_dq_close($B$1,$A65,3)</f>
        <v>#NAME?</v>
      </c>
    </row>
    <row r="66" spans="1:3" ht="18">
      <c r="A66" s="21">
        <f t="shared" ca="1" si="0"/>
        <v>45776</v>
      </c>
      <c r="B66" s="19" t="e" cm="1">
        <f t="array" aca="1" ref="B66" ca="1">[1]!s_west_netprofit($B$1,2026,$A66,180,1000000)</f>
        <v>#NAME?</v>
      </c>
      <c r="C66" s="20" t="e" cm="1">
        <f t="array" aca="1" ref="C66" ca="1">[1]!s_dq_close($B$1,$A66,3)</f>
        <v>#NAME?</v>
      </c>
    </row>
    <row r="67" spans="1:3" ht="18">
      <c r="A67" s="21">
        <f t="shared" ca="1" si="0"/>
        <v>45769</v>
      </c>
      <c r="B67" s="19" t="e" cm="1">
        <f t="array" aca="1" ref="B67" ca="1">[1]!s_west_netprofit($B$1,2026,$A67,180,1000000)</f>
        <v>#NAME?</v>
      </c>
      <c r="C67" s="20" t="e" cm="1">
        <f t="array" aca="1" ref="C67" ca="1">[1]!s_dq_close($B$1,$A67,3)</f>
        <v>#NAME?</v>
      </c>
    </row>
    <row r="68" spans="1:3" ht="18">
      <c r="A68" s="21">
        <f t="shared" ca="1" si="0"/>
        <v>45762</v>
      </c>
      <c r="B68" s="19" t="e" cm="1">
        <f t="array" aca="1" ref="B68" ca="1">[1]!s_west_netprofit($B$1,2026,$A68,180,1000000)</f>
        <v>#NAME?</v>
      </c>
      <c r="C68" s="20" t="e" cm="1">
        <f t="array" aca="1" ref="C68" ca="1">[1]!s_dq_close($B$1,$A68,3)</f>
        <v>#NAME?</v>
      </c>
    </row>
    <row r="69" spans="1:3" ht="18">
      <c r="A69" s="21">
        <f t="shared" ca="1" si="0"/>
        <v>45755</v>
      </c>
      <c r="B69" s="19" t="e" cm="1">
        <f t="array" aca="1" ref="B69" ca="1">[1]!s_west_netprofit($B$1,2026,$A69,180,1000000)</f>
        <v>#NAME?</v>
      </c>
      <c r="C69" s="20" t="e" cm="1">
        <f t="array" aca="1" ref="C69" ca="1">[1]!s_dq_close($B$1,$A69,3)</f>
        <v>#NAME?</v>
      </c>
    </row>
    <row r="70" spans="1:3" ht="18">
      <c r="A70" s="21">
        <f t="shared" ca="1" si="0"/>
        <v>45748</v>
      </c>
      <c r="B70" s="19" t="e" cm="1">
        <f t="array" aca="1" ref="B70" ca="1">[1]!s_west_netprofit($B$1,2026,$A70,180,1000000)</f>
        <v>#NAME?</v>
      </c>
      <c r="C70" s="20" t="e" cm="1">
        <f t="array" aca="1" ref="C70" ca="1">[1]!s_dq_close($B$1,$A70,3)</f>
        <v>#NAME?</v>
      </c>
    </row>
    <row r="71" spans="1:3" ht="18">
      <c r="A71" s="21">
        <f t="shared" ca="1" si="0"/>
        <v>45741</v>
      </c>
      <c r="B71" s="19" t="e" cm="1">
        <f t="array" aca="1" ref="B71" ca="1">[1]!s_west_netprofit($B$1,2026,$A71,180,1000000)</f>
        <v>#NAME?</v>
      </c>
      <c r="C71" s="20" t="e" cm="1">
        <f t="array" aca="1" ref="C71" ca="1">[1]!s_dq_close($B$1,$A71,3)</f>
        <v>#NAME?</v>
      </c>
    </row>
    <row r="72" spans="1:3" ht="18">
      <c r="A72" s="21">
        <f t="shared" ca="1" si="0"/>
        <v>45734</v>
      </c>
      <c r="B72" s="19" t="e" cm="1">
        <f t="array" aca="1" ref="B72" ca="1">[1]!s_west_netprofit($B$1,2026,$A72,180,1000000)</f>
        <v>#NAME?</v>
      </c>
      <c r="C72" s="20" t="e" cm="1">
        <f t="array" aca="1" ref="C72" ca="1">[1]!s_dq_close($B$1,$A72,3)</f>
        <v>#NAME?</v>
      </c>
    </row>
    <row r="73" spans="1:3" ht="18">
      <c r="A73" s="21">
        <f t="shared" ca="1" si="0"/>
        <v>45727</v>
      </c>
      <c r="B73" s="19" t="e" cm="1">
        <f t="array" aca="1" ref="B73" ca="1">[1]!s_west_netprofit($B$1,2026,$A73,180,1000000)</f>
        <v>#NAME?</v>
      </c>
      <c r="C73" s="20" t="e" cm="1">
        <f t="array" aca="1" ref="C73" ca="1">[1]!s_dq_close($B$1,$A73,3)</f>
        <v>#NAME?</v>
      </c>
    </row>
    <row r="74" spans="1:3" ht="18">
      <c r="A74" s="21">
        <f t="shared" ca="1" si="0"/>
        <v>45720</v>
      </c>
      <c r="B74" s="19" t="e" cm="1">
        <f t="array" aca="1" ref="B74" ca="1">[1]!s_west_netprofit($B$1,2026,$A74,180,1000000)</f>
        <v>#NAME?</v>
      </c>
      <c r="C74" s="20" t="e" cm="1">
        <f t="array" aca="1" ref="C74" ca="1">[1]!s_dq_close($B$1,$A74,3)</f>
        <v>#NAME?</v>
      </c>
    </row>
    <row r="75" spans="1:3" ht="18">
      <c r="A75" s="21">
        <f t="shared" ca="1" si="0"/>
        <v>45713</v>
      </c>
      <c r="B75" s="19" t="e" cm="1">
        <f t="array" aca="1" ref="B75" ca="1">[1]!s_west_netprofit($B$1,2026,$A75,180,1000000)</f>
        <v>#NAME?</v>
      </c>
      <c r="C75" s="20" t="e" cm="1">
        <f t="array" aca="1" ref="C75" ca="1">[1]!s_dq_close($B$1,$A75,3)</f>
        <v>#NAME?</v>
      </c>
    </row>
    <row r="76" spans="1:3" ht="18">
      <c r="A76" s="21">
        <f t="shared" ref="A76:A99" ca="1" si="1">A75-7</f>
        <v>45706</v>
      </c>
      <c r="B76" s="19" t="e" cm="1">
        <f t="array" aca="1" ref="B76" ca="1">[1]!s_west_netprofit($B$1,2026,$A76,180,1000000)</f>
        <v>#NAME?</v>
      </c>
      <c r="C76" s="20" t="e" cm="1">
        <f t="array" aca="1" ref="C76" ca="1">[1]!s_dq_close($B$1,$A76,3)</f>
        <v>#NAME?</v>
      </c>
    </row>
    <row r="77" spans="1:3" ht="18">
      <c r="A77" s="21">
        <f t="shared" ca="1" si="1"/>
        <v>45699</v>
      </c>
      <c r="B77" s="19" t="e" cm="1">
        <f t="array" aca="1" ref="B77" ca="1">[1]!s_west_netprofit($B$1,2026,$A77,180,1000000)</f>
        <v>#NAME?</v>
      </c>
      <c r="C77" s="20" t="e" cm="1">
        <f t="array" aca="1" ref="C77" ca="1">[1]!s_dq_close($B$1,$A77,3)</f>
        <v>#NAME?</v>
      </c>
    </row>
    <row r="78" spans="1:3" ht="18">
      <c r="A78" s="21">
        <f t="shared" ca="1" si="1"/>
        <v>45692</v>
      </c>
      <c r="B78" s="19" t="e" cm="1">
        <f t="array" aca="1" ref="B78" ca="1">[1]!s_west_netprofit($B$1,2026,$A78,180,1000000)</f>
        <v>#NAME?</v>
      </c>
      <c r="C78" s="20" t="e" cm="1">
        <f t="array" aca="1" ref="C78" ca="1">[1]!s_dq_close($B$1,$A78,3)</f>
        <v>#NAME?</v>
      </c>
    </row>
    <row r="79" spans="1:3" ht="18">
      <c r="A79" s="21">
        <f t="shared" ca="1" si="1"/>
        <v>45685</v>
      </c>
      <c r="B79" s="19" t="e" cm="1">
        <f t="array" aca="1" ref="B79" ca="1">[1]!s_west_netprofit($B$1,2026,$A79,180,1000000)</f>
        <v>#NAME?</v>
      </c>
      <c r="C79" s="20" t="e" cm="1">
        <f t="array" aca="1" ref="C79" ca="1">[1]!s_dq_close($B$1,$A79,3)</f>
        <v>#NAME?</v>
      </c>
    </row>
    <row r="80" spans="1:3" ht="18">
      <c r="A80" s="21">
        <f t="shared" ca="1" si="1"/>
        <v>45678</v>
      </c>
      <c r="B80" s="19" t="e" cm="1">
        <f t="array" aca="1" ref="B80" ca="1">[1]!s_west_netprofit($B$1,2026,$A80,180,1000000)</f>
        <v>#NAME?</v>
      </c>
      <c r="C80" s="20" t="e" cm="1">
        <f t="array" aca="1" ref="C80" ca="1">[1]!s_dq_close($B$1,$A80,3)</f>
        <v>#NAME?</v>
      </c>
    </row>
    <row r="81" spans="1:3" ht="18">
      <c r="A81" s="21">
        <f t="shared" ca="1" si="1"/>
        <v>45671</v>
      </c>
      <c r="B81" s="19" t="e" cm="1">
        <f t="array" aca="1" ref="B81" ca="1">[1]!s_west_netprofit($B$1,2026,$A81,180,1000000)</f>
        <v>#NAME?</v>
      </c>
      <c r="C81" s="20" t="e" cm="1">
        <f t="array" aca="1" ref="C81" ca="1">[1]!s_dq_close($B$1,$A81,3)</f>
        <v>#NAME?</v>
      </c>
    </row>
    <row r="82" spans="1:3" ht="18">
      <c r="A82" s="21">
        <f t="shared" ca="1" si="1"/>
        <v>45664</v>
      </c>
      <c r="B82" s="19" t="e" cm="1">
        <f t="array" aca="1" ref="B82" ca="1">[1]!s_west_netprofit($B$1,2026,$A82,180,1000000)</f>
        <v>#NAME?</v>
      </c>
      <c r="C82" s="20" t="e" cm="1">
        <f t="array" aca="1" ref="C82" ca="1">[1]!s_dq_close($B$1,$A82,3)</f>
        <v>#NAME?</v>
      </c>
    </row>
    <row r="83" spans="1:3" ht="18">
      <c r="A83" s="21">
        <f t="shared" ca="1" si="1"/>
        <v>45657</v>
      </c>
      <c r="B83" s="19" t="e" cm="1">
        <f t="array" aca="1" ref="B83" ca="1">[1]!s_west_netprofit($B$1,2026,$A83,180,1000000)</f>
        <v>#NAME?</v>
      </c>
      <c r="C83" s="20" t="e" cm="1">
        <f t="array" aca="1" ref="C83" ca="1">[1]!s_dq_close($B$1,$A83,3)</f>
        <v>#NAME?</v>
      </c>
    </row>
    <row r="84" spans="1:3" ht="18">
      <c r="A84" s="21">
        <f t="shared" ca="1" si="1"/>
        <v>45650</v>
      </c>
      <c r="B84" s="19" t="e" cm="1">
        <f t="array" aca="1" ref="B84" ca="1">[1]!s_west_netprofit($B$1,2026,$A84,180,1000000)</f>
        <v>#NAME?</v>
      </c>
      <c r="C84" s="20" t="e" cm="1">
        <f t="array" aca="1" ref="C84" ca="1">[1]!s_dq_close($B$1,$A84,3)</f>
        <v>#NAME?</v>
      </c>
    </row>
    <row r="85" spans="1:3" ht="18">
      <c r="A85" s="21">
        <f t="shared" ca="1" si="1"/>
        <v>45643</v>
      </c>
      <c r="B85" s="19" t="e" cm="1">
        <f t="array" aca="1" ref="B85" ca="1">[1]!s_west_netprofit($B$1,2026,$A85,180,1000000)</f>
        <v>#NAME?</v>
      </c>
      <c r="C85" s="20" t="e" cm="1">
        <f t="array" aca="1" ref="C85" ca="1">[1]!s_dq_close($B$1,$A85,3)</f>
        <v>#NAME?</v>
      </c>
    </row>
    <row r="86" spans="1:3" ht="18">
      <c r="A86" s="21">
        <f t="shared" ca="1" si="1"/>
        <v>45636</v>
      </c>
      <c r="B86" s="19" t="e" cm="1">
        <f t="array" aca="1" ref="B86" ca="1">[1]!s_west_netprofit($B$1,2026,$A86,180,1000000)</f>
        <v>#NAME?</v>
      </c>
      <c r="C86" s="20" t="e" cm="1">
        <f t="array" aca="1" ref="C86" ca="1">[1]!s_dq_close($B$1,$A86,3)</f>
        <v>#NAME?</v>
      </c>
    </row>
    <row r="87" spans="1:3" ht="18">
      <c r="A87" s="21">
        <f t="shared" ca="1" si="1"/>
        <v>45629</v>
      </c>
      <c r="B87" s="19" t="e" cm="1">
        <f t="array" aca="1" ref="B87" ca="1">[1]!s_west_netprofit($B$1,2026,$A87,180,1000000)</f>
        <v>#NAME?</v>
      </c>
      <c r="C87" s="20" t="e" cm="1">
        <f t="array" aca="1" ref="C87" ca="1">[1]!s_dq_close($B$1,$A87,3)</f>
        <v>#NAME?</v>
      </c>
    </row>
    <row r="88" spans="1:3" ht="18">
      <c r="A88" s="21">
        <f t="shared" ca="1" si="1"/>
        <v>45622</v>
      </c>
      <c r="B88" s="19" t="e" cm="1">
        <f t="array" aca="1" ref="B88" ca="1">[1]!s_west_netprofit($B$1,2026,$A88,180,1000000)</f>
        <v>#NAME?</v>
      </c>
      <c r="C88" s="20" t="e" cm="1">
        <f t="array" aca="1" ref="C88" ca="1">[1]!s_dq_close($B$1,$A88,3)</f>
        <v>#NAME?</v>
      </c>
    </row>
    <row r="89" spans="1:3" ht="18">
      <c r="A89" s="21">
        <f t="shared" ca="1" si="1"/>
        <v>45615</v>
      </c>
      <c r="B89" s="19" t="e" cm="1">
        <f t="array" aca="1" ref="B89" ca="1">[1]!s_west_netprofit($B$1,2026,$A89,180,1000000)</f>
        <v>#NAME?</v>
      </c>
      <c r="C89" s="20" t="e" cm="1">
        <f t="array" aca="1" ref="C89" ca="1">[1]!s_dq_close($B$1,$A89,3)</f>
        <v>#NAME?</v>
      </c>
    </row>
    <row r="90" spans="1:3" ht="18">
      <c r="A90" s="21">
        <f t="shared" ca="1" si="1"/>
        <v>45608</v>
      </c>
      <c r="B90" s="19" t="e" cm="1">
        <f t="array" aca="1" ref="B90" ca="1">[1]!s_west_netprofit($B$1,2026,$A90,180,1000000)</f>
        <v>#NAME?</v>
      </c>
      <c r="C90" s="20" t="e" cm="1">
        <f t="array" aca="1" ref="C90" ca="1">[1]!s_dq_close($B$1,$A90,3)</f>
        <v>#NAME?</v>
      </c>
    </row>
    <row r="91" spans="1:3" ht="18">
      <c r="A91" s="21">
        <f t="shared" ca="1" si="1"/>
        <v>45601</v>
      </c>
      <c r="B91" s="19" t="e" cm="1">
        <f t="array" aca="1" ref="B91" ca="1">[1]!s_west_netprofit($B$1,2026,$A91,180,1000000)</f>
        <v>#NAME?</v>
      </c>
      <c r="C91" s="20" t="e" cm="1">
        <f t="array" aca="1" ref="C91" ca="1">[1]!s_dq_close($B$1,$A91,3)</f>
        <v>#NAME?</v>
      </c>
    </row>
    <row r="92" spans="1:3" ht="18">
      <c r="A92" s="21">
        <f t="shared" ca="1" si="1"/>
        <v>45594</v>
      </c>
      <c r="B92" s="19" t="e" cm="1">
        <f t="array" aca="1" ref="B92" ca="1">[1]!s_west_netprofit($B$1,2026,$A92,180,1000000)</f>
        <v>#NAME?</v>
      </c>
      <c r="C92" s="20" t="e" cm="1">
        <f t="array" aca="1" ref="C92" ca="1">[1]!s_dq_close($B$1,$A92,3)</f>
        <v>#NAME?</v>
      </c>
    </row>
    <row r="93" spans="1:3" ht="18">
      <c r="A93" s="21">
        <f t="shared" ca="1" si="1"/>
        <v>45587</v>
      </c>
      <c r="B93" s="19" t="e" cm="1">
        <f t="array" aca="1" ref="B93" ca="1">[1]!s_west_netprofit($B$1,2026,$A93,180,1000000)</f>
        <v>#NAME?</v>
      </c>
      <c r="C93" s="20" t="e" cm="1">
        <f t="array" aca="1" ref="C93" ca="1">[1]!s_dq_close($B$1,$A93,3)</f>
        <v>#NAME?</v>
      </c>
    </row>
    <row r="94" spans="1:3" ht="18">
      <c r="A94" s="21">
        <f t="shared" ca="1" si="1"/>
        <v>45580</v>
      </c>
      <c r="B94" s="19" t="e" cm="1">
        <f t="array" aca="1" ref="B94" ca="1">[1]!s_west_netprofit($B$1,2026,$A94,180,1000000)</f>
        <v>#NAME?</v>
      </c>
      <c r="C94" s="20" t="e" cm="1">
        <f t="array" aca="1" ref="C94" ca="1">[1]!s_dq_close($B$1,$A94,3)</f>
        <v>#NAME?</v>
      </c>
    </row>
    <row r="95" spans="1:3" ht="18">
      <c r="A95" s="21">
        <f t="shared" ca="1" si="1"/>
        <v>45573</v>
      </c>
      <c r="B95" s="19" t="e" cm="1">
        <f t="array" aca="1" ref="B95" ca="1">[1]!s_west_netprofit($B$1,2026,$A95,180,1000000)</f>
        <v>#NAME?</v>
      </c>
      <c r="C95" s="20" t="e" cm="1">
        <f t="array" aca="1" ref="C95" ca="1">[1]!s_dq_close($B$1,$A95,3)</f>
        <v>#NAME?</v>
      </c>
    </row>
    <row r="96" spans="1:3" ht="18">
      <c r="A96" s="21">
        <f t="shared" ca="1" si="1"/>
        <v>45566</v>
      </c>
      <c r="B96" s="19" t="e" cm="1">
        <f t="array" aca="1" ref="B96" ca="1">[1]!s_west_netprofit($B$1,2026,$A96,180,1000000)</f>
        <v>#NAME?</v>
      </c>
      <c r="C96" s="20" t="e" cm="1">
        <f t="array" aca="1" ref="C96" ca="1">[1]!s_dq_close($B$1,$A96,3)</f>
        <v>#NAME?</v>
      </c>
    </row>
    <row r="97" spans="1:3" ht="18">
      <c r="A97" s="21">
        <f t="shared" ca="1" si="1"/>
        <v>45559</v>
      </c>
      <c r="B97" s="19" t="e" cm="1">
        <f t="array" aca="1" ref="B97" ca="1">[1]!s_west_netprofit($B$1,2026,$A97,180,1000000)</f>
        <v>#NAME?</v>
      </c>
      <c r="C97" s="20" t="e" cm="1">
        <f t="array" aca="1" ref="C97" ca="1">[1]!s_dq_close($B$1,$A97,3)</f>
        <v>#NAME?</v>
      </c>
    </row>
    <row r="98" spans="1:3" ht="18">
      <c r="A98" s="21">
        <f t="shared" ca="1" si="1"/>
        <v>45552</v>
      </c>
      <c r="B98" s="19" t="e" cm="1">
        <f t="array" aca="1" ref="B98" ca="1">[1]!s_west_netprofit($B$1,2026,$A98,180,1000000)</f>
        <v>#NAME?</v>
      </c>
      <c r="C98" s="20" t="e" cm="1">
        <f t="array" aca="1" ref="C98" ca="1">[1]!s_dq_close($B$1,$A98,3)</f>
        <v>#NAME?</v>
      </c>
    </row>
    <row r="99" spans="1:3" ht="19" thickBot="1">
      <c r="A99" s="22">
        <f t="shared" ca="1" si="1"/>
        <v>45545</v>
      </c>
      <c r="B99" s="23" t="e" cm="1">
        <f t="array" aca="1" ref="B99" ca="1">[1]!s_west_netprofit($B$1,2026,$A99,180,1000000)</f>
        <v>#NAME?</v>
      </c>
      <c r="C99" s="24" t="e" cm="1">
        <f t="array" aca="1" ref="C99" ca="1">[1]!s_dq_close($B$1,$A99,3)</f>
        <v>#NAME?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11BA2-982A-0244-8F53-B42E715AACEC}">
  <dimension ref="A1:D99"/>
  <sheetViews>
    <sheetView workbookViewId="0">
      <selection sqref="A1:XFD1048576"/>
    </sheetView>
  </sheetViews>
  <sheetFormatPr baseColWidth="10" defaultColWidth="9.1640625" defaultRowHeight="16"/>
  <cols>
    <col min="1" max="1" width="36.33203125" customWidth="1"/>
    <col min="2" max="2" width="26" customWidth="1"/>
    <col min="3" max="3" width="40" customWidth="1"/>
    <col min="4" max="4" width="11" bestFit="1" customWidth="1"/>
  </cols>
  <sheetData>
    <row r="1" spans="1:4" ht="17" thickBot="1">
      <c r="A1" t="e">
        <f ca="1">[1]!S_INFO_NAME($B$1)</f>
        <v>#NAME?</v>
      </c>
      <c r="B1" s="1"/>
      <c r="C1" t="s">
        <v>0</v>
      </c>
      <c r="D1" s="2">
        <f ca="1">TODAY()</f>
        <v>46161</v>
      </c>
    </row>
    <row r="2" spans="1:4" s="6" customFormat="1" ht="18">
      <c r="A2" s="3" t="s">
        <v>4</v>
      </c>
      <c r="B2" s="4">
        <v>2025</v>
      </c>
      <c r="C2" s="5">
        <v>2026</v>
      </c>
    </row>
    <row r="3" spans="1:4" s="6" customFormat="1" ht="18">
      <c r="A3" s="7" t="s">
        <v>5</v>
      </c>
      <c r="B3" s="8" t="e">
        <f ca="1">[1]!s_west_instnum_np($B$1,2025,$D$1,180)</f>
        <v>#NAME?</v>
      </c>
      <c r="C3" s="9" t="e">
        <f ca="1">[1]!s_west_instnum_np($B$1,2026,$D$1,180)</f>
        <v>#NAME?</v>
      </c>
    </row>
    <row r="4" spans="1:4" s="6" customFormat="1" ht="18">
      <c r="A4" s="7" t="s">
        <v>2</v>
      </c>
      <c r="B4" s="10" t="e">
        <f ca="1">[1]!s_west_instnum_np($A$1,2025,$D$1,180)</f>
        <v>#NAME?</v>
      </c>
      <c r="C4" s="11" t="e">
        <f ca="1">[1]!s_west_netprofit($B$1,2026,$D$1,180,1000000)</f>
        <v>#NAME?</v>
      </c>
    </row>
    <row r="5" spans="1:4" s="6" customFormat="1" ht="18">
      <c r="A5" s="7" t="s">
        <v>6</v>
      </c>
      <c r="B5" s="10" t="e">
        <f ca="1">[1]!s_west_maxnetprofit($B$1,2025,$D$1,180,1000000)</f>
        <v>#NAME?</v>
      </c>
      <c r="C5" s="11" t="e">
        <f ca="1">[1]!s_west_maxnetprofit($B$1,2026,$D$1,180,1000000)</f>
        <v>#NAME?</v>
      </c>
    </row>
    <row r="6" spans="1:4" s="6" customFormat="1" ht="18">
      <c r="A6" s="7" t="s">
        <v>7</v>
      </c>
      <c r="B6" s="10" t="e">
        <f ca="1">[1]!s_west_minnetprofit($B$1,2025,$D$1,180,1000000)</f>
        <v>#NAME?</v>
      </c>
      <c r="C6" s="11" t="e">
        <f ca="1">[1]!s_west_minnetprofit($B$1,2026,$D$1,180,1000000)</f>
        <v>#NAME?</v>
      </c>
    </row>
    <row r="7" spans="1:4" s="6" customFormat="1" ht="18">
      <c r="A7" s="7" t="s">
        <v>8</v>
      </c>
      <c r="B7" s="10" t="e">
        <f ca="1">[1]!s_west_mediannetprofit($B$1,2025,$D$1,180,1000000)</f>
        <v>#NAME?</v>
      </c>
      <c r="C7" s="11" t="e">
        <f ca="1">[1]!s_west_mediannetprofit($B$1,2026,$D$1,180,1000000)</f>
        <v>#NAME?</v>
      </c>
    </row>
    <row r="8" spans="1:4" s="6" customFormat="1" ht="19" thickBot="1">
      <c r="A8" s="12" t="s">
        <v>9</v>
      </c>
      <c r="B8" s="13" t="e">
        <f ca="1">[1]!s_west_stdnetprofit($B$1,2025,$D$1,180,1000000)</f>
        <v>#NAME?</v>
      </c>
      <c r="C8" s="14" t="e">
        <f ca="1">[1]!s_west_stdnetprofit($B$1,2026,$D$1,180,1000000)</f>
        <v>#NAME?</v>
      </c>
    </row>
    <row r="10" spans="1:4">
      <c r="A10" s="15" t="s">
        <v>1</v>
      </c>
      <c r="B10" s="16" t="s">
        <v>2</v>
      </c>
      <c r="C10" s="17" t="s">
        <v>3</v>
      </c>
    </row>
    <row r="11" spans="1:4" ht="18">
      <c r="A11" s="18">
        <f ca="1">TODAY()-IF(WEEKDAY(TODAY(),2)=6,1,IF(WEEKDAY(TODAY(),2)=7,2,0))</f>
        <v>46161</v>
      </c>
      <c r="B11" s="19" t="e" cm="1">
        <f t="array" aca="1" ref="B11" ca="1">[1]!s_west_netprofit($B$1,2026,$A11,180,1000000)</f>
        <v>#NAME?</v>
      </c>
      <c r="C11" s="20" t="e" cm="1">
        <f t="array" aca="1" ref="C11" ca="1">[1]!s_dq_close($B$1,$A11,3)</f>
        <v>#NAME?</v>
      </c>
    </row>
    <row r="12" spans="1:4" ht="18">
      <c r="A12" s="21">
        <f t="shared" ref="A12:A75" ca="1" si="0">A11-7</f>
        <v>46154</v>
      </c>
      <c r="B12" s="19" t="e" cm="1">
        <f t="array" aca="1" ref="B12" ca="1">[1]!s_west_netprofit($B$1,2026,$A12,180,1000000)</f>
        <v>#NAME?</v>
      </c>
      <c r="C12" s="20" t="e" cm="1">
        <f t="array" aca="1" ref="C12" ca="1">[1]!s_dq_close($B$1,$A12,3)</f>
        <v>#NAME?</v>
      </c>
    </row>
    <row r="13" spans="1:4" ht="18">
      <c r="A13" s="21">
        <f t="shared" ca="1" si="0"/>
        <v>46147</v>
      </c>
      <c r="B13" s="19" t="e" cm="1">
        <f t="array" aca="1" ref="B13" ca="1">[1]!s_west_netprofit($B$1,2026,$A13,180,1000000)</f>
        <v>#NAME?</v>
      </c>
      <c r="C13" s="20" t="e" cm="1">
        <f t="array" aca="1" ref="C13" ca="1">[1]!s_dq_close($B$1,$A13,3)</f>
        <v>#NAME?</v>
      </c>
    </row>
    <row r="14" spans="1:4" ht="18">
      <c r="A14" s="21">
        <f t="shared" ca="1" si="0"/>
        <v>46140</v>
      </c>
      <c r="B14" s="19" t="e" cm="1">
        <f t="array" aca="1" ref="B14" ca="1">[1]!s_west_netprofit($B$1,2026,$A14,180,1000000)</f>
        <v>#NAME?</v>
      </c>
      <c r="C14" s="20" t="e" cm="1">
        <f t="array" aca="1" ref="C14" ca="1">[1]!s_dq_close($B$1,$A14,3)</f>
        <v>#NAME?</v>
      </c>
    </row>
    <row r="15" spans="1:4" ht="18">
      <c r="A15" s="21">
        <f t="shared" ca="1" si="0"/>
        <v>46133</v>
      </c>
      <c r="B15" s="19" t="e" cm="1">
        <f t="array" aca="1" ref="B15" ca="1">[1]!s_west_netprofit($B$1,2026,$A15,180,1000000)</f>
        <v>#NAME?</v>
      </c>
      <c r="C15" s="20" t="e" cm="1">
        <f t="array" aca="1" ref="C15" ca="1">[1]!s_dq_close($B$1,$A15,3)</f>
        <v>#NAME?</v>
      </c>
    </row>
    <row r="16" spans="1:4" ht="18">
      <c r="A16" s="21">
        <f t="shared" ca="1" si="0"/>
        <v>46126</v>
      </c>
      <c r="B16" s="19" t="e" cm="1">
        <f t="array" aca="1" ref="B16" ca="1">[1]!s_west_netprofit($B$1,2026,$A16,180,1000000)</f>
        <v>#NAME?</v>
      </c>
      <c r="C16" s="20" t="e" cm="1">
        <f t="array" aca="1" ref="C16" ca="1">[1]!s_dq_close($B$1,$A16,3)</f>
        <v>#NAME?</v>
      </c>
    </row>
    <row r="17" spans="1:3" ht="18">
      <c r="A17" s="21">
        <f t="shared" ca="1" si="0"/>
        <v>46119</v>
      </c>
      <c r="B17" s="19" t="e" cm="1">
        <f t="array" aca="1" ref="B17" ca="1">[1]!s_west_netprofit($B$1,2026,$A17,180,1000000)</f>
        <v>#NAME?</v>
      </c>
      <c r="C17" s="20" t="e" cm="1">
        <f t="array" aca="1" ref="C17" ca="1">[1]!s_dq_close($B$1,$A17,3)</f>
        <v>#NAME?</v>
      </c>
    </row>
    <row r="18" spans="1:3" ht="18">
      <c r="A18" s="21">
        <f t="shared" ca="1" si="0"/>
        <v>46112</v>
      </c>
      <c r="B18" s="19" t="e" cm="1">
        <f t="array" aca="1" ref="B18" ca="1">[1]!s_west_netprofit($B$1,2026,$A18,180,1000000)</f>
        <v>#NAME?</v>
      </c>
      <c r="C18" s="20" t="e" cm="1">
        <f t="array" aca="1" ref="C18" ca="1">[1]!s_dq_close($B$1,$A18,3)</f>
        <v>#NAME?</v>
      </c>
    </row>
    <row r="19" spans="1:3" ht="18">
      <c r="A19" s="21">
        <f t="shared" ca="1" si="0"/>
        <v>46105</v>
      </c>
      <c r="B19" s="19" t="e" cm="1">
        <f t="array" aca="1" ref="B19" ca="1">[1]!s_west_netprofit($B$1,2026,$A19,180,1000000)</f>
        <v>#NAME?</v>
      </c>
      <c r="C19" s="20" t="e" cm="1">
        <f t="array" aca="1" ref="C19" ca="1">[1]!s_dq_close($B$1,$A19,3)</f>
        <v>#NAME?</v>
      </c>
    </row>
    <row r="20" spans="1:3" ht="18">
      <c r="A20" s="21">
        <f t="shared" ca="1" si="0"/>
        <v>46098</v>
      </c>
      <c r="B20" s="19" t="e" cm="1">
        <f t="array" aca="1" ref="B20" ca="1">[1]!s_west_netprofit($B$1,2026,$A20,180,1000000)</f>
        <v>#NAME?</v>
      </c>
      <c r="C20" s="20" t="e" cm="1">
        <f t="array" aca="1" ref="C20" ca="1">[1]!s_dq_close($B$1,$A20,3)</f>
        <v>#NAME?</v>
      </c>
    </row>
    <row r="21" spans="1:3" ht="18">
      <c r="A21" s="21">
        <f t="shared" ca="1" si="0"/>
        <v>46091</v>
      </c>
      <c r="B21" s="19" t="e" cm="1">
        <f t="array" aca="1" ref="B21" ca="1">[1]!s_west_netprofit($B$1,2026,$A21,180,1000000)</f>
        <v>#NAME?</v>
      </c>
      <c r="C21" s="20" t="e" cm="1">
        <f t="array" aca="1" ref="C21" ca="1">[1]!s_dq_close($B$1,$A21,3)</f>
        <v>#NAME?</v>
      </c>
    </row>
    <row r="22" spans="1:3" ht="18">
      <c r="A22" s="21">
        <f t="shared" ca="1" si="0"/>
        <v>46084</v>
      </c>
      <c r="B22" s="19" t="e" cm="1">
        <f t="array" aca="1" ref="B22" ca="1">[1]!s_west_netprofit($B$1,2026,$A22,180,1000000)</f>
        <v>#NAME?</v>
      </c>
      <c r="C22" s="20" t="e" cm="1">
        <f t="array" aca="1" ref="C22" ca="1">[1]!s_dq_close($B$1,$A22,3)</f>
        <v>#NAME?</v>
      </c>
    </row>
    <row r="23" spans="1:3" ht="18">
      <c r="A23" s="21">
        <f t="shared" ca="1" si="0"/>
        <v>46077</v>
      </c>
      <c r="B23" s="19" t="e" cm="1">
        <f t="array" aca="1" ref="B23" ca="1">[1]!s_west_netprofit($B$1,2026,$A23,180,1000000)</f>
        <v>#NAME?</v>
      </c>
      <c r="C23" s="20" t="e" cm="1">
        <f t="array" aca="1" ref="C23" ca="1">[1]!s_dq_close($B$1,$A23,3)</f>
        <v>#NAME?</v>
      </c>
    </row>
    <row r="24" spans="1:3" ht="18">
      <c r="A24" s="21">
        <f t="shared" ca="1" si="0"/>
        <v>46070</v>
      </c>
      <c r="B24" s="19" t="e" cm="1">
        <f t="array" aca="1" ref="B24" ca="1">[1]!s_west_netprofit($B$1,2026,$A24,180,1000000)</f>
        <v>#NAME?</v>
      </c>
      <c r="C24" s="20" t="e" cm="1">
        <f t="array" aca="1" ref="C24" ca="1">[1]!s_dq_close($B$1,$A24,3)</f>
        <v>#NAME?</v>
      </c>
    </row>
    <row r="25" spans="1:3" ht="18">
      <c r="A25" s="21">
        <f t="shared" ca="1" si="0"/>
        <v>46063</v>
      </c>
      <c r="B25" s="19" t="e" cm="1">
        <f t="array" aca="1" ref="B25" ca="1">[1]!s_west_netprofit($B$1,2026,$A25,180,1000000)</f>
        <v>#NAME?</v>
      </c>
      <c r="C25" s="20" t="e" cm="1">
        <f t="array" aca="1" ref="C25" ca="1">[1]!s_dq_close($B$1,$A25,3)</f>
        <v>#NAME?</v>
      </c>
    </row>
    <row r="26" spans="1:3" ht="18">
      <c r="A26" s="21">
        <f t="shared" ca="1" si="0"/>
        <v>46056</v>
      </c>
      <c r="B26" s="19" t="e" cm="1">
        <f t="array" aca="1" ref="B26" ca="1">[1]!s_west_netprofit($B$1,2026,$A26,180,1000000)</f>
        <v>#NAME?</v>
      </c>
      <c r="C26" s="20" t="e" cm="1">
        <f t="array" aca="1" ref="C26" ca="1">[1]!s_dq_close($B$1,$A26,3)</f>
        <v>#NAME?</v>
      </c>
    </row>
    <row r="27" spans="1:3" ht="18">
      <c r="A27" s="21">
        <f t="shared" ca="1" si="0"/>
        <v>46049</v>
      </c>
      <c r="B27" s="19" t="e" cm="1">
        <f t="array" aca="1" ref="B27" ca="1">[1]!s_west_netprofit($B$1,2026,$A27,180,1000000)</f>
        <v>#NAME?</v>
      </c>
      <c r="C27" s="20" t="e" cm="1">
        <f t="array" aca="1" ref="C27" ca="1">[1]!s_dq_close($B$1,$A27,3)</f>
        <v>#NAME?</v>
      </c>
    </row>
    <row r="28" spans="1:3" ht="18">
      <c r="A28" s="21">
        <f t="shared" ca="1" si="0"/>
        <v>46042</v>
      </c>
      <c r="B28" s="19" t="e" cm="1">
        <f t="array" aca="1" ref="B28" ca="1">[1]!s_west_netprofit($B$1,2026,$A28,180,1000000)</f>
        <v>#NAME?</v>
      </c>
      <c r="C28" s="20" t="e" cm="1">
        <f t="array" aca="1" ref="C28" ca="1">[1]!s_dq_close($B$1,$A28,3)</f>
        <v>#NAME?</v>
      </c>
    </row>
    <row r="29" spans="1:3" ht="18">
      <c r="A29" s="21">
        <f t="shared" ca="1" si="0"/>
        <v>46035</v>
      </c>
      <c r="B29" s="19" t="e" cm="1">
        <f t="array" aca="1" ref="B29" ca="1">[1]!s_west_netprofit($B$1,2026,$A29,180,1000000)</f>
        <v>#NAME?</v>
      </c>
      <c r="C29" s="20" t="e" cm="1">
        <f t="array" aca="1" ref="C29" ca="1">[1]!s_dq_close($B$1,$A29,3)</f>
        <v>#NAME?</v>
      </c>
    </row>
    <row r="30" spans="1:3" ht="18">
      <c r="A30" s="21">
        <f t="shared" ca="1" si="0"/>
        <v>46028</v>
      </c>
      <c r="B30" s="19" t="e" cm="1">
        <f t="array" aca="1" ref="B30" ca="1">[1]!s_west_netprofit($B$1,2026,$A30,180,1000000)</f>
        <v>#NAME?</v>
      </c>
      <c r="C30" s="20" t="e" cm="1">
        <f t="array" aca="1" ref="C30" ca="1">[1]!s_dq_close($B$1,$A30,3)</f>
        <v>#NAME?</v>
      </c>
    </row>
    <row r="31" spans="1:3" ht="18">
      <c r="A31" s="21">
        <f t="shared" ca="1" si="0"/>
        <v>46021</v>
      </c>
      <c r="B31" s="19" t="e" cm="1">
        <f t="array" aca="1" ref="B31" ca="1">[1]!s_west_netprofit($B$1,2026,$A31,180,1000000)</f>
        <v>#NAME?</v>
      </c>
      <c r="C31" s="20" t="e" cm="1">
        <f t="array" aca="1" ref="C31" ca="1">[1]!s_dq_close($B$1,$A31,3)</f>
        <v>#NAME?</v>
      </c>
    </row>
    <row r="32" spans="1:3" ht="18">
      <c r="A32" s="21">
        <f t="shared" ca="1" si="0"/>
        <v>46014</v>
      </c>
      <c r="B32" s="19" t="e" cm="1">
        <f t="array" aca="1" ref="B32" ca="1">[1]!s_west_netprofit($B$1,2026,$A32,180,1000000)</f>
        <v>#NAME?</v>
      </c>
      <c r="C32" s="20" t="e" cm="1">
        <f t="array" aca="1" ref="C32" ca="1">[1]!s_dq_close($B$1,$A32,3)</f>
        <v>#NAME?</v>
      </c>
    </row>
    <row r="33" spans="1:3" ht="18">
      <c r="A33" s="21">
        <f t="shared" ca="1" si="0"/>
        <v>46007</v>
      </c>
      <c r="B33" s="19" t="e" cm="1">
        <f t="array" aca="1" ref="B33" ca="1">[1]!s_west_netprofit($B$1,2026,$A33,180,1000000)</f>
        <v>#NAME?</v>
      </c>
      <c r="C33" s="20" t="e" cm="1">
        <f t="array" aca="1" ref="C33" ca="1">[1]!s_dq_close($B$1,$A33,3)</f>
        <v>#NAME?</v>
      </c>
    </row>
    <row r="34" spans="1:3" ht="18">
      <c r="A34" s="21">
        <f t="shared" ca="1" si="0"/>
        <v>46000</v>
      </c>
      <c r="B34" s="19" t="e" cm="1">
        <f t="array" aca="1" ref="B34" ca="1">[1]!s_west_netprofit($B$1,2026,$A34,180,1000000)</f>
        <v>#NAME?</v>
      </c>
      <c r="C34" s="20" t="e" cm="1">
        <f t="array" aca="1" ref="C34" ca="1">[1]!s_dq_close($B$1,$A34,3)</f>
        <v>#NAME?</v>
      </c>
    </row>
    <row r="35" spans="1:3" ht="18">
      <c r="A35" s="21">
        <f t="shared" ca="1" si="0"/>
        <v>45993</v>
      </c>
      <c r="B35" s="19" t="e" cm="1">
        <f t="array" aca="1" ref="B35" ca="1">[1]!s_west_netprofit($B$1,2026,$A35,180,1000000)</f>
        <v>#NAME?</v>
      </c>
      <c r="C35" s="20" t="e" cm="1">
        <f t="array" aca="1" ref="C35" ca="1">[1]!s_dq_close($B$1,$A35,3)</f>
        <v>#NAME?</v>
      </c>
    </row>
    <row r="36" spans="1:3" ht="18">
      <c r="A36" s="21">
        <f t="shared" ca="1" si="0"/>
        <v>45986</v>
      </c>
      <c r="B36" s="19" t="e" cm="1">
        <f t="array" aca="1" ref="B36" ca="1">[1]!s_west_netprofit($B$1,2026,$A36,180,1000000)</f>
        <v>#NAME?</v>
      </c>
      <c r="C36" s="20" t="e" cm="1">
        <f t="array" aca="1" ref="C36" ca="1">[1]!s_dq_close($B$1,$A36,3)</f>
        <v>#NAME?</v>
      </c>
    </row>
    <row r="37" spans="1:3" ht="18">
      <c r="A37" s="21">
        <f t="shared" ca="1" si="0"/>
        <v>45979</v>
      </c>
      <c r="B37" s="19" t="e" cm="1">
        <f t="array" aca="1" ref="B37" ca="1">[1]!s_west_netprofit($B$1,2026,$A37,180,1000000)</f>
        <v>#NAME?</v>
      </c>
      <c r="C37" s="20" t="e" cm="1">
        <f t="array" aca="1" ref="C37" ca="1">[1]!s_dq_close($B$1,$A37,3)</f>
        <v>#NAME?</v>
      </c>
    </row>
    <row r="38" spans="1:3" ht="18">
      <c r="A38" s="21">
        <f t="shared" ca="1" si="0"/>
        <v>45972</v>
      </c>
      <c r="B38" s="19" t="e" cm="1">
        <f t="array" aca="1" ref="B38" ca="1">[1]!s_west_netprofit($B$1,2026,$A38,180,1000000)</f>
        <v>#NAME?</v>
      </c>
      <c r="C38" s="20" t="e" cm="1">
        <f t="array" aca="1" ref="C38" ca="1">[1]!s_dq_close($B$1,$A38,3)</f>
        <v>#NAME?</v>
      </c>
    </row>
    <row r="39" spans="1:3" ht="18">
      <c r="A39" s="21">
        <f t="shared" ca="1" si="0"/>
        <v>45965</v>
      </c>
      <c r="B39" s="19" t="e" cm="1">
        <f t="array" aca="1" ref="B39" ca="1">[1]!s_west_netprofit($B$1,2026,$A39,180,1000000)</f>
        <v>#NAME?</v>
      </c>
      <c r="C39" s="20" t="e" cm="1">
        <f t="array" aca="1" ref="C39" ca="1">[1]!s_dq_close($B$1,$A39,3)</f>
        <v>#NAME?</v>
      </c>
    </row>
    <row r="40" spans="1:3" ht="18">
      <c r="A40" s="21">
        <f t="shared" ca="1" si="0"/>
        <v>45958</v>
      </c>
      <c r="B40" s="19" t="e" cm="1">
        <f t="array" aca="1" ref="B40" ca="1">[1]!s_west_netprofit($B$1,2026,$A40,180,1000000)</f>
        <v>#NAME?</v>
      </c>
      <c r="C40" s="20" t="e" cm="1">
        <f t="array" aca="1" ref="C40" ca="1">[1]!s_dq_close($B$1,$A40,3)</f>
        <v>#NAME?</v>
      </c>
    </row>
    <row r="41" spans="1:3" ht="18">
      <c r="A41" s="21">
        <f t="shared" ca="1" si="0"/>
        <v>45951</v>
      </c>
      <c r="B41" s="19" t="e" cm="1">
        <f t="array" aca="1" ref="B41" ca="1">[1]!s_west_netprofit($B$1,2026,$A41,180,1000000)</f>
        <v>#NAME?</v>
      </c>
      <c r="C41" s="20" t="e" cm="1">
        <f t="array" aca="1" ref="C41" ca="1">[1]!s_dq_close($B$1,$A41,3)</f>
        <v>#NAME?</v>
      </c>
    </row>
    <row r="42" spans="1:3" ht="18">
      <c r="A42" s="21">
        <f t="shared" ca="1" si="0"/>
        <v>45944</v>
      </c>
      <c r="B42" s="19" t="e" cm="1">
        <f t="array" aca="1" ref="B42" ca="1">[1]!s_west_netprofit($B$1,2026,$A42,180,1000000)</f>
        <v>#NAME?</v>
      </c>
      <c r="C42" s="20" t="e" cm="1">
        <f t="array" aca="1" ref="C42" ca="1">[1]!s_dq_close($B$1,$A42,3)</f>
        <v>#NAME?</v>
      </c>
    </row>
    <row r="43" spans="1:3" ht="18">
      <c r="A43" s="21">
        <f t="shared" ca="1" si="0"/>
        <v>45937</v>
      </c>
      <c r="B43" s="19" t="e" cm="1">
        <f t="array" aca="1" ref="B43" ca="1">[1]!s_west_netprofit($B$1,2026,$A43,180,1000000)</f>
        <v>#NAME?</v>
      </c>
      <c r="C43" s="20" t="e" cm="1">
        <f t="array" aca="1" ref="C43" ca="1">[1]!s_dq_close($B$1,$A43,3)</f>
        <v>#NAME?</v>
      </c>
    </row>
    <row r="44" spans="1:3" ht="18">
      <c r="A44" s="21">
        <f t="shared" ca="1" si="0"/>
        <v>45930</v>
      </c>
      <c r="B44" s="19" t="e" cm="1">
        <f t="array" aca="1" ref="B44" ca="1">[1]!s_west_netprofit($B$1,2026,$A44,180,1000000)</f>
        <v>#NAME?</v>
      </c>
      <c r="C44" s="20" t="e" cm="1">
        <f t="array" aca="1" ref="C44" ca="1">[1]!s_dq_close($B$1,$A44,3)</f>
        <v>#NAME?</v>
      </c>
    </row>
    <row r="45" spans="1:3" ht="18">
      <c r="A45" s="21">
        <f t="shared" ca="1" si="0"/>
        <v>45923</v>
      </c>
      <c r="B45" s="19" t="e" cm="1">
        <f t="array" aca="1" ref="B45" ca="1">[1]!s_west_netprofit($B$1,2026,$A45,180,1000000)</f>
        <v>#NAME?</v>
      </c>
      <c r="C45" s="20" t="e" cm="1">
        <f t="array" aca="1" ref="C45" ca="1">[1]!s_dq_close($B$1,$A45,3)</f>
        <v>#NAME?</v>
      </c>
    </row>
    <row r="46" spans="1:3" ht="18">
      <c r="A46" s="21">
        <f t="shared" ca="1" si="0"/>
        <v>45916</v>
      </c>
      <c r="B46" s="19" t="e" cm="1">
        <f t="array" aca="1" ref="B46" ca="1">[1]!s_west_netprofit($B$1,2026,$A46,180,1000000)</f>
        <v>#NAME?</v>
      </c>
      <c r="C46" s="20" t="e" cm="1">
        <f t="array" aca="1" ref="C46" ca="1">[1]!s_dq_close($B$1,$A46,3)</f>
        <v>#NAME?</v>
      </c>
    </row>
    <row r="47" spans="1:3" ht="18">
      <c r="A47" s="21">
        <f t="shared" ca="1" si="0"/>
        <v>45909</v>
      </c>
      <c r="B47" s="19" t="e" cm="1">
        <f t="array" aca="1" ref="B47" ca="1">[1]!s_west_netprofit($B$1,2026,$A47,180,1000000)</f>
        <v>#NAME?</v>
      </c>
      <c r="C47" s="20" t="e" cm="1">
        <f t="array" aca="1" ref="C47" ca="1">[1]!s_dq_close($B$1,$A47,3)</f>
        <v>#NAME?</v>
      </c>
    </row>
    <row r="48" spans="1:3" ht="18">
      <c r="A48" s="21">
        <f t="shared" ca="1" si="0"/>
        <v>45902</v>
      </c>
      <c r="B48" s="19" t="e" cm="1">
        <f t="array" aca="1" ref="B48" ca="1">[1]!s_west_netprofit($B$1,2026,$A48,180,1000000)</f>
        <v>#NAME?</v>
      </c>
      <c r="C48" s="20" t="e" cm="1">
        <f t="array" aca="1" ref="C48" ca="1">[1]!s_dq_close($B$1,$A48,3)</f>
        <v>#NAME?</v>
      </c>
    </row>
    <row r="49" spans="1:3" ht="18">
      <c r="A49" s="21">
        <f t="shared" ca="1" si="0"/>
        <v>45895</v>
      </c>
      <c r="B49" s="19" t="e" cm="1">
        <f t="array" aca="1" ref="B49" ca="1">[1]!s_west_netprofit($B$1,2026,$A49,180,1000000)</f>
        <v>#NAME?</v>
      </c>
      <c r="C49" s="20" t="e" cm="1">
        <f t="array" aca="1" ref="C49" ca="1">[1]!s_dq_close($B$1,$A49,3)</f>
        <v>#NAME?</v>
      </c>
    </row>
    <row r="50" spans="1:3" ht="18">
      <c r="A50" s="21">
        <f t="shared" ca="1" si="0"/>
        <v>45888</v>
      </c>
      <c r="B50" s="19" t="e" cm="1">
        <f t="array" aca="1" ref="B50" ca="1">[1]!s_west_netprofit($B$1,2026,$A50,180,1000000)</f>
        <v>#NAME?</v>
      </c>
      <c r="C50" s="20" t="e" cm="1">
        <f t="array" aca="1" ref="C50" ca="1">[1]!s_dq_close($B$1,$A50,3)</f>
        <v>#NAME?</v>
      </c>
    </row>
    <row r="51" spans="1:3" ht="18">
      <c r="A51" s="21">
        <f t="shared" ca="1" si="0"/>
        <v>45881</v>
      </c>
      <c r="B51" s="19" t="e" cm="1">
        <f t="array" aca="1" ref="B51" ca="1">[1]!s_west_netprofit($B$1,2026,$A51,180,1000000)</f>
        <v>#NAME?</v>
      </c>
      <c r="C51" s="20" t="e" cm="1">
        <f t="array" aca="1" ref="C51" ca="1">[1]!s_dq_close($B$1,$A51,3)</f>
        <v>#NAME?</v>
      </c>
    </row>
    <row r="52" spans="1:3" ht="18">
      <c r="A52" s="21">
        <f t="shared" ca="1" si="0"/>
        <v>45874</v>
      </c>
      <c r="B52" s="19" t="e" cm="1">
        <f t="array" aca="1" ref="B52" ca="1">[1]!s_west_netprofit($B$1,2026,$A52,180,1000000)</f>
        <v>#NAME?</v>
      </c>
      <c r="C52" s="20" t="e" cm="1">
        <f t="array" aca="1" ref="C52" ca="1">[1]!s_dq_close($B$1,$A52,3)</f>
        <v>#NAME?</v>
      </c>
    </row>
    <row r="53" spans="1:3" ht="18">
      <c r="A53" s="21">
        <f t="shared" ca="1" si="0"/>
        <v>45867</v>
      </c>
      <c r="B53" s="19" t="e" cm="1">
        <f t="array" aca="1" ref="B53" ca="1">[1]!s_west_netprofit($B$1,2026,$A53,180,1000000)</f>
        <v>#NAME?</v>
      </c>
      <c r="C53" s="20" t="e" cm="1">
        <f t="array" aca="1" ref="C53" ca="1">[1]!s_dq_close($B$1,$A53,3)</f>
        <v>#NAME?</v>
      </c>
    </row>
    <row r="54" spans="1:3" ht="18">
      <c r="A54" s="21">
        <f t="shared" ca="1" si="0"/>
        <v>45860</v>
      </c>
      <c r="B54" s="19" t="e" cm="1">
        <f t="array" aca="1" ref="B54" ca="1">[1]!s_west_netprofit($B$1,2026,$A54,180,1000000)</f>
        <v>#NAME?</v>
      </c>
      <c r="C54" s="20" t="e" cm="1">
        <f t="array" aca="1" ref="C54" ca="1">[1]!s_dq_close($B$1,$A54,3)</f>
        <v>#NAME?</v>
      </c>
    </row>
    <row r="55" spans="1:3" ht="18">
      <c r="A55" s="21">
        <f t="shared" ca="1" si="0"/>
        <v>45853</v>
      </c>
      <c r="B55" s="19" t="e" cm="1">
        <f t="array" aca="1" ref="B55" ca="1">[1]!s_west_netprofit($B$1,2026,$A55,180,1000000)</f>
        <v>#NAME?</v>
      </c>
      <c r="C55" s="20" t="e" cm="1">
        <f t="array" aca="1" ref="C55" ca="1">[1]!s_dq_close($B$1,$A55,3)</f>
        <v>#NAME?</v>
      </c>
    </row>
    <row r="56" spans="1:3" ht="18">
      <c r="A56" s="21">
        <f t="shared" ca="1" si="0"/>
        <v>45846</v>
      </c>
      <c r="B56" s="19" t="e" cm="1">
        <f t="array" aca="1" ref="B56" ca="1">[1]!s_west_netprofit($B$1,2026,$A56,180,1000000)</f>
        <v>#NAME?</v>
      </c>
      <c r="C56" s="20" t="e" cm="1">
        <f t="array" aca="1" ref="C56" ca="1">[1]!s_dq_close($B$1,$A56,3)</f>
        <v>#NAME?</v>
      </c>
    </row>
    <row r="57" spans="1:3" ht="18">
      <c r="A57" s="21">
        <f t="shared" ca="1" si="0"/>
        <v>45839</v>
      </c>
      <c r="B57" s="19" t="e" cm="1">
        <f t="array" aca="1" ref="B57" ca="1">[1]!s_west_netprofit($B$1,2026,$A57,180,1000000)</f>
        <v>#NAME?</v>
      </c>
      <c r="C57" s="20" t="e" cm="1">
        <f t="array" aca="1" ref="C57" ca="1">[1]!s_dq_close($B$1,$A57,3)</f>
        <v>#NAME?</v>
      </c>
    </row>
    <row r="58" spans="1:3" ht="18">
      <c r="A58" s="21">
        <f t="shared" ca="1" si="0"/>
        <v>45832</v>
      </c>
      <c r="B58" s="19" t="e" cm="1">
        <f t="array" aca="1" ref="B58" ca="1">[1]!s_west_netprofit($B$1,2026,$A58,180,1000000)</f>
        <v>#NAME?</v>
      </c>
      <c r="C58" s="20" t="e" cm="1">
        <f t="array" aca="1" ref="C58" ca="1">[1]!s_dq_close($B$1,$A58,3)</f>
        <v>#NAME?</v>
      </c>
    </row>
    <row r="59" spans="1:3" ht="18">
      <c r="A59" s="21">
        <f t="shared" ca="1" si="0"/>
        <v>45825</v>
      </c>
      <c r="B59" s="19" t="e" cm="1">
        <f t="array" aca="1" ref="B59" ca="1">[1]!s_west_netprofit($B$1,2026,$A59,180,1000000)</f>
        <v>#NAME?</v>
      </c>
      <c r="C59" s="20" t="e" cm="1">
        <f t="array" aca="1" ref="C59" ca="1">[1]!s_dq_close($B$1,$A59,3)</f>
        <v>#NAME?</v>
      </c>
    </row>
    <row r="60" spans="1:3" ht="18">
      <c r="A60" s="21">
        <f t="shared" ca="1" si="0"/>
        <v>45818</v>
      </c>
      <c r="B60" s="19" t="e" cm="1">
        <f t="array" aca="1" ref="B60" ca="1">[1]!s_west_netprofit($B$1,2026,$A60,180,1000000)</f>
        <v>#NAME?</v>
      </c>
      <c r="C60" s="20" t="e" cm="1">
        <f t="array" aca="1" ref="C60" ca="1">[1]!s_dq_close($B$1,$A60,3)</f>
        <v>#NAME?</v>
      </c>
    </row>
    <row r="61" spans="1:3" ht="18">
      <c r="A61" s="21">
        <f t="shared" ca="1" si="0"/>
        <v>45811</v>
      </c>
      <c r="B61" s="19" t="e" cm="1">
        <f t="array" aca="1" ref="B61" ca="1">[1]!s_west_netprofit($B$1,2026,$A61,180,1000000)</f>
        <v>#NAME?</v>
      </c>
      <c r="C61" s="20" t="e" cm="1">
        <f t="array" aca="1" ref="C61" ca="1">[1]!s_dq_close($B$1,$A61,3)</f>
        <v>#NAME?</v>
      </c>
    </row>
    <row r="62" spans="1:3" ht="18">
      <c r="A62" s="21">
        <f t="shared" ca="1" si="0"/>
        <v>45804</v>
      </c>
      <c r="B62" s="19" t="e" cm="1">
        <f t="array" aca="1" ref="B62" ca="1">[1]!s_west_netprofit($B$1,2026,$A62,180,1000000)</f>
        <v>#NAME?</v>
      </c>
      <c r="C62" s="20" t="e" cm="1">
        <f t="array" aca="1" ref="C62" ca="1">[1]!s_dq_close($B$1,$A62,3)</f>
        <v>#NAME?</v>
      </c>
    </row>
    <row r="63" spans="1:3" ht="18">
      <c r="A63" s="21">
        <f t="shared" ca="1" si="0"/>
        <v>45797</v>
      </c>
      <c r="B63" s="19" t="e" cm="1">
        <f t="array" aca="1" ref="B63" ca="1">[1]!s_west_netprofit($B$1,2026,$A63,180,1000000)</f>
        <v>#NAME?</v>
      </c>
      <c r="C63" s="20" t="e" cm="1">
        <f t="array" aca="1" ref="C63" ca="1">[1]!s_dq_close($B$1,$A63,3)</f>
        <v>#NAME?</v>
      </c>
    </row>
    <row r="64" spans="1:3" ht="18">
      <c r="A64" s="21">
        <f t="shared" ca="1" si="0"/>
        <v>45790</v>
      </c>
      <c r="B64" s="19" t="e" cm="1">
        <f t="array" aca="1" ref="B64" ca="1">[1]!s_west_netprofit($B$1,2026,$A64,180,1000000)</f>
        <v>#NAME?</v>
      </c>
      <c r="C64" s="20" t="e" cm="1">
        <f t="array" aca="1" ref="C64" ca="1">[1]!s_dq_close($B$1,$A64,3)</f>
        <v>#NAME?</v>
      </c>
    </row>
    <row r="65" spans="1:3" ht="18">
      <c r="A65" s="21">
        <f t="shared" ca="1" si="0"/>
        <v>45783</v>
      </c>
      <c r="B65" s="19" t="e" cm="1">
        <f t="array" aca="1" ref="B65" ca="1">[1]!s_west_netprofit($B$1,2026,$A65,180,1000000)</f>
        <v>#NAME?</v>
      </c>
      <c r="C65" s="20" t="e" cm="1">
        <f t="array" aca="1" ref="C65" ca="1">[1]!s_dq_close($B$1,$A65,3)</f>
        <v>#NAME?</v>
      </c>
    </row>
    <row r="66" spans="1:3" ht="18">
      <c r="A66" s="21">
        <f t="shared" ca="1" si="0"/>
        <v>45776</v>
      </c>
      <c r="B66" s="19" t="e" cm="1">
        <f t="array" aca="1" ref="B66" ca="1">[1]!s_west_netprofit($B$1,2026,$A66,180,1000000)</f>
        <v>#NAME?</v>
      </c>
      <c r="C66" s="20" t="e" cm="1">
        <f t="array" aca="1" ref="C66" ca="1">[1]!s_dq_close($B$1,$A66,3)</f>
        <v>#NAME?</v>
      </c>
    </row>
    <row r="67" spans="1:3" ht="18">
      <c r="A67" s="21">
        <f t="shared" ca="1" si="0"/>
        <v>45769</v>
      </c>
      <c r="B67" s="19" t="e" cm="1">
        <f t="array" aca="1" ref="B67" ca="1">[1]!s_west_netprofit($B$1,2026,$A67,180,1000000)</f>
        <v>#NAME?</v>
      </c>
      <c r="C67" s="20" t="e" cm="1">
        <f t="array" aca="1" ref="C67" ca="1">[1]!s_dq_close($B$1,$A67,3)</f>
        <v>#NAME?</v>
      </c>
    </row>
    <row r="68" spans="1:3" ht="18">
      <c r="A68" s="21">
        <f t="shared" ca="1" si="0"/>
        <v>45762</v>
      </c>
      <c r="B68" s="19" t="e" cm="1">
        <f t="array" aca="1" ref="B68" ca="1">[1]!s_west_netprofit($B$1,2026,$A68,180,1000000)</f>
        <v>#NAME?</v>
      </c>
      <c r="C68" s="20" t="e" cm="1">
        <f t="array" aca="1" ref="C68" ca="1">[1]!s_dq_close($B$1,$A68,3)</f>
        <v>#NAME?</v>
      </c>
    </row>
    <row r="69" spans="1:3" ht="18">
      <c r="A69" s="21">
        <f t="shared" ca="1" si="0"/>
        <v>45755</v>
      </c>
      <c r="B69" s="19" t="e" cm="1">
        <f t="array" aca="1" ref="B69" ca="1">[1]!s_west_netprofit($B$1,2026,$A69,180,1000000)</f>
        <v>#NAME?</v>
      </c>
      <c r="C69" s="20" t="e" cm="1">
        <f t="array" aca="1" ref="C69" ca="1">[1]!s_dq_close($B$1,$A69,3)</f>
        <v>#NAME?</v>
      </c>
    </row>
    <row r="70" spans="1:3" ht="18">
      <c r="A70" s="21">
        <f t="shared" ca="1" si="0"/>
        <v>45748</v>
      </c>
      <c r="B70" s="19" t="e" cm="1">
        <f t="array" aca="1" ref="B70" ca="1">[1]!s_west_netprofit($B$1,2026,$A70,180,1000000)</f>
        <v>#NAME?</v>
      </c>
      <c r="C70" s="20" t="e" cm="1">
        <f t="array" aca="1" ref="C70" ca="1">[1]!s_dq_close($B$1,$A70,3)</f>
        <v>#NAME?</v>
      </c>
    </row>
    <row r="71" spans="1:3" ht="18">
      <c r="A71" s="21">
        <f t="shared" ca="1" si="0"/>
        <v>45741</v>
      </c>
      <c r="B71" s="19" t="e" cm="1">
        <f t="array" aca="1" ref="B71" ca="1">[1]!s_west_netprofit($B$1,2026,$A71,180,1000000)</f>
        <v>#NAME?</v>
      </c>
      <c r="C71" s="20" t="e" cm="1">
        <f t="array" aca="1" ref="C71" ca="1">[1]!s_dq_close($B$1,$A71,3)</f>
        <v>#NAME?</v>
      </c>
    </row>
    <row r="72" spans="1:3" ht="18">
      <c r="A72" s="21">
        <f t="shared" ca="1" si="0"/>
        <v>45734</v>
      </c>
      <c r="B72" s="19" t="e" cm="1">
        <f t="array" aca="1" ref="B72" ca="1">[1]!s_west_netprofit($B$1,2026,$A72,180,1000000)</f>
        <v>#NAME?</v>
      </c>
      <c r="C72" s="20" t="e" cm="1">
        <f t="array" aca="1" ref="C72" ca="1">[1]!s_dq_close($B$1,$A72,3)</f>
        <v>#NAME?</v>
      </c>
    </row>
    <row r="73" spans="1:3" ht="18">
      <c r="A73" s="21">
        <f t="shared" ca="1" si="0"/>
        <v>45727</v>
      </c>
      <c r="B73" s="19" t="e" cm="1">
        <f t="array" aca="1" ref="B73" ca="1">[1]!s_west_netprofit($B$1,2026,$A73,180,1000000)</f>
        <v>#NAME?</v>
      </c>
      <c r="C73" s="20" t="e" cm="1">
        <f t="array" aca="1" ref="C73" ca="1">[1]!s_dq_close($B$1,$A73,3)</f>
        <v>#NAME?</v>
      </c>
    </row>
    <row r="74" spans="1:3" ht="18">
      <c r="A74" s="21">
        <f t="shared" ca="1" si="0"/>
        <v>45720</v>
      </c>
      <c r="B74" s="19" t="e" cm="1">
        <f t="array" aca="1" ref="B74" ca="1">[1]!s_west_netprofit($B$1,2026,$A74,180,1000000)</f>
        <v>#NAME?</v>
      </c>
      <c r="C74" s="20" t="e" cm="1">
        <f t="array" aca="1" ref="C74" ca="1">[1]!s_dq_close($B$1,$A74,3)</f>
        <v>#NAME?</v>
      </c>
    </row>
    <row r="75" spans="1:3" ht="18">
      <c r="A75" s="21">
        <f t="shared" ca="1" si="0"/>
        <v>45713</v>
      </c>
      <c r="B75" s="19" t="e" cm="1">
        <f t="array" aca="1" ref="B75" ca="1">[1]!s_west_netprofit($B$1,2026,$A75,180,1000000)</f>
        <v>#NAME?</v>
      </c>
      <c r="C75" s="20" t="e" cm="1">
        <f t="array" aca="1" ref="C75" ca="1">[1]!s_dq_close($B$1,$A75,3)</f>
        <v>#NAME?</v>
      </c>
    </row>
    <row r="76" spans="1:3" ht="18">
      <c r="A76" s="21">
        <f t="shared" ref="A76:A99" ca="1" si="1">A75-7</f>
        <v>45706</v>
      </c>
      <c r="B76" s="19" t="e" cm="1">
        <f t="array" aca="1" ref="B76" ca="1">[1]!s_west_netprofit($B$1,2026,$A76,180,1000000)</f>
        <v>#NAME?</v>
      </c>
      <c r="C76" s="20" t="e" cm="1">
        <f t="array" aca="1" ref="C76" ca="1">[1]!s_dq_close($B$1,$A76,3)</f>
        <v>#NAME?</v>
      </c>
    </row>
    <row r="77" spans="1:3" ht="18">
      <c r="A77" s="21">
        <f t="shared" ca="1" si="1"/>
        <v>45699</v>
      </c>
      <c r="B77" s="19" t="e" cm="1">
        <f t="array" aca="1" ref="B77" ca="1">[1]!s_west_netprofit($B$1,2026,$A77,180,1000000)</f>
        <v>#NAME?</v>
      </c>
      <c r="C77" s="20" t="e" cm="1">
        <f t="array" aca="1" ref="C77" ca="1">[1]!s_dq_close($B$1,$A77,3)</f>
        <v>#NAME?</v>
      </c>
    </row>
    <row r="78" spans="1:3" ht="18">
      <c r="A78" s="21">
        <f t="shared" ca="1" si="1"/>
        <v>45692</v>
      </c>
      <c r="B78" s="19" t="e" cm="1">
        <f t="array" aca="1" ref="B78" ca="1">[1]!s_west_netprofit($B$1,2026,$A78,180,1000000)</f>
        <v>#NAME?</v>
      </c>
      <c r="C78" s="20" t="e" cm="1">
        <f t="array" aca="1" ref="C78" ca="1">[1]!s_dq_close($B$1,$A78,3)</f>
        <v>#NAME?</v>
      </c>
    </row>
    <row r="79" spans="1:3" ht="18">
      <c r="A79" s="21">
        <f t="shared" ca="1" si="1"/>
        <v>45685</v>
      </c>
      <c r="B79" s="19" t="e" cm="1">
        <f t="array" aca="1" ref="B79" ca="1">[1]!s_west_netprofit($B$1,2026,$A79,180,1000000)</f>
        <v>#NAME?</v>
      </c>
      <c r="C79" s="20" t="e" cm="1">
        <f t="array" aca="1" ref="C79" ca="1">[1]!s_dq_close($B$1,$A79,3)</f>
        <v>#NAME?</v>
      </c>
    </row>
    <row r="80" spans="1:3" ht="18">
      <c r="A80" s="21">
        <f t="shared" ca="1" si="1"/>
        <v>45678</v>
      </c>
      <c r="B80" s="19" t="e" cm="1">
        <f t="array" aca="1" ref="B80" ca="1">[1]!s_west_netprofit($B$1,2026,$A80,180,1000000)</f>
        <v>#NAME?</v>
      </c>
      <c r="C80" s="20" t="e" cm="1">
        <f t="array" aca="1" ref="C80" ca="1">[1]!s_dq_close($B$1,$A80,3)</f>
        <v>#NAME?</v>
      </c>
    </row>
    <row r="81" spans="1:3" ht="18">
      <c r="A81" s="21">
        <f t="shared" ca="1" si="1"/>
        <v>45671</v>
      </c>
      <c r="B81" s="19" t="e" cm="1">
        <f t="array" aca="1" ref="B81" ca="1">[1]!s_west_netprofit($B$1,2026,$A81,180,1000000)</f>
        <v>#NAME?</v>
      </c>
      <c r="C81" s="20" t="e" cm="1">
        <f t="array" aca="1" ref="C81" ca="1">[1]!s_dq_close($B$1,$A81,3)</f>
        <v>#NAME?</v>
      </c>
    </row>
    <row r="82" spans="1:3" ht="18">
      <c r="A82" s="21">
        <f t="shared" ca="1" si="1"/>
        <v>45664</v>
      </c>
      <c r="B82" s="19" t="e" cm="1">
        <f t="array" aca="1" ref="B82" ca="1">[1]!s_west_netprofit($B$1,2026,$A82,180,1000000)</f>
        <v>#NAME?</v>
      </c>
      <c r="C82" s="20" t="e" cm="1">
        <f t="array" aca="1" ref="C82" ca="1">[1]!s_dq_close($B$1,$A82,3)</f>
        <v>#NAME?</v>
      </c>
    </row>
    <row r="83" spans="1:3" ht="18">
      <c r="A83" s="21">
        <f t="shared" ca="1" si="1"/>
        <v>45657</v>
      </c>
      <c r="B83" s="19" t="e" cm="1">
        <f t="array" aca="1" ref="B83" ca="1">[1]!s_west_netprofit($B$1,2026,$A83,180,1000000)</f>
        <v>#NAME?</v>
      </c>
      <c r="C83" s="20" t="e" cm="1">
        <f t="array" aca="1" ref="C83" ca="1">[1]!s_dq_close($B$1,$A83,3)</f>
        <v>#NAME?</v>
      </c>
    </row>
    <row r="84" spans="1:3" ht="18">
      <c r="A84" s="21">
        <f t="shared" ca="1" si="1"/>
        <v>45650</v>
      </c>
      <c r="B84" s="19" t="e" cm="1">
        <f t="array" aca="1" ref="B84" ca="1">[1]!s_west_netprofit($B$1,2026,$A84,180,1000000)</f>
        <v>#NAME?</v>
      </c>
      <c r="C84" s="20" t="e" cm="1">
        <f t="array" aca="1" ref="C84" ca="1">[1]!s_dq_close($B$1,$A84,3)</f>
        <v>#NAME?</v>
      </c>
    </row>
    <row r="85" spans="1:3" ht="18">
      <c r="A85" s="21">
        <f t="shared" ca="1" si="1"/>
        <v>45643</v>
      </c>
      <c r="B85" s="19" t="e" cm="1">
        <f t="array" aca="1" ref="B85" ca="1">[1]!s_west_netprofit($B$1,2026,$A85,180,1000000)</f>
        <v>#NAME?</v>
      </c>
      <c r="C85" s="20" t="e" cm="1">
        <f t="array" aca="1" ref="C85" ca="1">[1]!s_dq_close($B$1,$A85,3)</f>
        <v>#NAME?</v>
      </c>
    </row>
    <row r="86" spans="1:3" ht="18">
      <c r="A86" s="21">
        <f t="shared" ca="1" si="1"/>
        <v>45636</v>
      </c>
      <c r="B86" s="19" t="e" cm="1">
        <f t="array" aca="1" ref="B86" ca="1">[1]!s_west_netprofit($B$1,2026,$A86,180,1000000)</f>
        <v>#NAME?</v>
      </c>
      <c r="C86" s="20" t="e" cm="1">
        <f t="array" aca="1" ref="C86" ca="1">[1]!s_dq_close($B$1,$A86,3)</f>
        <v>#NAME?</v>
      </c>
    </row>
    <row r="87" spans="1:3" ht="18">
      <c r="A87" s="21">
        <f t="shared" ca="1" si="1"/>
        <v>45629</v>
      </c>
      <c r="B87" s="19" t="e" cm="1">
        <f t="array" aca="1" ref="B87" ca="1">[1]!s_west_netprofit($B$1,2026,$A87,180,1000000)</f>
        <v>#NAME?</v>
      </c>
      <c r="C87" s="20" t="e" cm="1">
        <f t="array" aca="1" ref="C87" ca="1">[1]!s_dq_close($B$1,$A87,3)</f>
        <v>#NAME?</v>
      </c>
    </row>
    <row r="88" spans="1:3" ht="18">
      <c r="A88" s="21">
        <f t="shared" ca="1" si="1"/>
        <v>45622</v>
      </c>
      <c r="B88" s="19" t="e" cm="1">
        <f t="array" aca="1" ref="B88" ca="1">[1]!s_west_netprofit($B$1,2026,$A88,180,1000000)</f>
        <v>#NAME?</v>
      </c>
      <c r="C88" s="20" t="e" cm="1">
        <f t="array" aca="1" ref="C88" ca="1">[1]!s_dq_close($B$1,$A88,3)</f>
        <v>#NAME?</v>
      </c>
    </row>
    <row r="89" spans="1:3" ht="18">
      <c r="A89" s="21">
        <f t="shared" ca="1" si="1"/>
        <v>45615</v>
      </c>
      <c r="B89" s="19" t="e" cm="1">
        <f t="array" aca="1" ref="B89" ca="1">[1]!s_west_netprofit($B$1,2026,$A89,180,1000000)</f>
        <v>#NAME?</v>
      </c>
      <c r="C89" s="20" t="e" cm="1">
        <f t="array" aca="1" ref="C89" ca="1">[1]!s_dq_close($B$1,$A89,3)</f>
        <v>#NAME?</v>
      </c>
    </row>
    <row r="90" spans="1:3" ht="18">
      <c r="A90" s="21">
        <f t="shared" ca="1" si="1"/>
        <v>45608</v>
      </c>
      <c r="B90" s="19" t="e" cm="1">
        <f t="array" aca="1" ref="B90" ca="1">[1]!s_west_netprofit($B$1,2026,$A90,180,1000000)</f>
        <v>#NAME?</v>
      </c>
      <c r="C90" s="20" t="e" cm="1">
        <f t="array" aca="1" ref="C90" ca="1">[1]!s_dq_close($B$1,$A90,3)</f>
        <v>#NAME?</v>
      </c>
    </row>
    <row r="91" spans="1:3" ht="18">
      <c r="A91" s="21">
        <f t="shared" ca="1" si="1"/>
        <v>45601</v>
      </c>
      <c r="B91" s="19" t="e" cm="1">
        <f t="array" aca="1" ref="B91" ca="1">[1]!s_west_netprofit($B$1,2026,$A91,180,1000000)</f>
        <v>#NAME?</v>
      </c>
      <c r="C91" s="20" t="e" cm="1">
        <f t="array" aca="1" ref="C91" ca="1">[1]!s_dq_close($B$1,$A91,3)</f>
        <v>#NAME?</v>
      </c>
    </row>
    <row r="92" spans="1:3" ht="18">
      <c r="A92" s="21">
        <f t="shared" ca="1" si="1"/>
        <v>45594</v>
      </c>
      <c r="B92" s="19" t="e" cm="1">
        <f t="array" aca="1" ref="B92" ca="1">[1]!s_west_netprofit($B$1,2026,$A92,180,1000000)</f>
        <v>#NAME?</v>
      </c>
      <c r="C92" s="20" t="e" cm="1">
        <f t="array" aca="1" ref="C92" ca="1">[1]!s_dq_close($B$1,$A92,3)</f>
        <v>#NAME?</v>
      </c>
    </row>
    <row r="93" spans="1:3" ht="18">
      <c r="A93" s="21">
        <f t="shared" ca="1" si="1"/>
        <v>45587</v>
      </c>
      <c r="B93" s="19" t="e" cm="1">
        <f t="array" aca="1" ref="B93" ca="1">[1]!s_west_netprofit($B$1,2026,$A93,180,1000000)</f>
        <v>#NAME?</v>
      </c>
      <c r="C93" s="20" t="e" cm="1">
        <f t="array" aca="1" ref="C93" ca="1">[1]!s_dq_close($B$1,$A93,3)</f>
        <v>#NAME?</v>
      </c>
    </row>
    <row r="94" spans="1:3" ht="18">
      <c r="A94" s="21">
        <f t="shared" ca="1" si="1"/>
        <v>45580</v>
      </c>
      <c r="B94" s="19" t="e" cm="1">
        <f t="array" aca="1" ref="B94" ca="1">[1]!s_west_netprofit($B$1,2026,$A94,180,1000000)</f>
        <v>#NAME?</v>
      </c>
      <c r="C94" s="20" t="e" cm="1">
        <f t="array" aca="1" ref="C94" ca="1">[1]!s_dq_close($B$1,$A94,3)</f>
        <v>#NAME?</v>
      </c>
    </row>
    <row r="95" spans="1:3" ht="18">
      <c r="A95" s="21">
        <f t="shared" ca="1" si="1"/>
        <v>45573</v>
      </c>
      <c r="B95" s="19" t="e" cm="1">
        <f t="array" aca="1" ref="B95" ca="1">[1]!s_west_netprofit($B$1,2026,$A95,180,1000000)</f>
        <v>#NAME?</v>
      </c>
      <c r="C95" s="20" t="e" cm="1">
        <f t="array" aca="1" ref="C95" ca="1">[1]!s_dq_close($B$1,$A95,3)</f>
        <v>#NAME?</v>
      </c>
    </row>
    <row r="96" spans="1:3" ht="18">
      <c r="A96" s="21">
        <f t="shared" ca="1" si="1"/>
        <v>45566</v>
      </c>
      <c r="B96" s="19" t="e" cm="1">
        <f t="array" aca="1" ref="B96" ca="1">[1]!s_west_netprofit($B$1,2026,$A96,180,1000000)</f>
        <v>#NAME?</v>
      </c>
      <c r="C96" s="20" t="e" cm="1">
        <f t="array" aca="1" ref="C96" ca="1">[1]!s_dq_close($B$1,$A96,3)</f>
        <v>#NAME?</v>
      </c>
    </row>
    <row r="97" spans="1:3" ht="18">
      <c r="A97" s="21">
        <f t="shared" ca="1" si="1"/>
        <v>45559</v>
      </c>
      <c r="B97" s="19" t="e" cm="1">
        <f t="array" aca="1" ref="B97" ca="1">[1]!s_west_netprofit($B$1,2026,$A97,180,1000000)</f>
        <v>#NAME?</v>
      </c>
      <c r="C97" s="20" t="e" cm="1">
        <f t="array" aca="1" ref="C97" ca="1">[1]!s_dq_close($B$1,$A97,3)</f>
        <v>#NAME?</v>
      </c>
    </row>
    <row r="98" spans="1:3" ht="18">
      <c r="A98" s="21">
        <f t="shared" ca="1" si="1"/>
        <v>45552</v>
      </c>
      <c r="B98" s="19" t="e" cm="1">
        <f t="array" aca="1" ref="B98" ca="1">[1]!s_west_netprofit($B$1,2026,$A98,180,1000000)</f>
        <v>#NAME?</v>
      </c>
      <c r="C98" s="20" t="e" cm="1">
        <f t="array" aca="1" ref="C98" ca="1">[1]!s_dq_close($B$1,$A98,3)</f>
        <v>#NAME?</v>
      </c>
    </row>
    <row r="99" spans="1:3" ht="19" thickBot="1">
      <c r="A99" s="22">
        <f t="shared" ca="1" si="1"/>
        <v>45545</v>
      </c>
      <c r="B99" s="23" t="e" cm="1">
        <f t="array" aca="1" ref="B99" ca="1">[1]!s_west_netprofit($B$1,2026,$A99,180,1000000)</f>
        <v>#NAME?</v>
      </c>
      <c r="C99" s="24" t="e" cm="1">
        <f t="array" aca="1" ref="C99" ca="1">[1]!s_dq_close($B$1,$A99,3)</f>
        <v>#NAME?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2D6E9-7BF9-6B42-BC22-70846EFB4752}">
  <dimension ref="A1:D99"/>
  <sheetViews>
    <sheetView workbookViewId="0">
      <selection sqref="A1:XFD1048576"/>
    </sheetView>
  </sheetViews>
  <sheetFormatPr baseColWidth="10" defaultColWidth="9.1640625" defaultRowHeight="16"/>
  <cols>
    <col min="1" max="1" width="36.33203125" customWidth="1"/>
    <col min="2" max="2" width="26" customWidth="1"/>
    <col min="3" max="3" width="40" customWidth="1"/>
    <col min="4" max="4" width="11" bestFit="1" customWidth="1"/>
  </cols>
  <sheetData>
    <row r="1" spans="1:4" ht="17" thickBot="1">
      <c r="A1" t="e">
        <f ca="1">[1]!S_INFO_NAME($B$1)</f>
        <v>#NAME?</v>
      </c>
      <c r="B1" s="1"/>
      <c r="C1" t="s">
        <v>0</v>
      </c>
      <c r="D1" s="2">
        <f ca="1">TODAY()</f>
        <v>46161</v>
      </c>
    </row>
    <row r="2" spans="1:4" s="6" customFormat="1" ht="18">
      <c r="A2" s="3" t="s">
        <v>4</v>
      </c>
      <c r="B2" s="4">
        <v>2025</v>
      </c>
      <c r="C2" s="5">
        <v>2026</v>
      </c>
    </row>
    <row r="3" spans="1:4" s="6" customFormat="1" ht="18">
      <c r="A3" s="7" t="s">
        <v>5</v>
      </c>
      <c r="B3" s="8" t="e">
        <f ca="1">[1]!s_west_instnum_np($B$1,2025,$D$1,180)</f>
        <v>#NAME?</v>
      </c>
      <c r="C3" s="9" t="e">
        <f ca="1">[1]!s_west_instnum_np($B$1,2026,$D$1,180)</f>
        <v>#NAME?</v>
      </c>
    </row>
    <row r="4" spans="1:4" s="6" customFormat="1" ht="18">
      <c r="A4" s="7" t="s">
        <v>2</v>
      </c>
      <c r="B4" s="10" t="e">
        <f ca="1">[1]!s_west_instnum_np($A$1,2025,$D$1,180)</f>
        <v>#NAME?</v>
      </c>
      <c r="C4" s="11" t="e">
        <f ca="1">[1]!s_west_netprofit($B$1,2026,$D$1,180,1000000)</f>
        <v>#NAME?</v>
      </c>
    </row>
    <row r="5" spans="1:4" s="6" customFormat="1" ht="18">
      <c r="A5" s="7" t="s">
        <v>6</v>
      </c>
      <c r="B5" s="10" t="e">
        <f ca="1">[1]!s_west_maxnetprofit($B$1,2025,$D$1,180,1000000)</f>
        <v>#NAME?</v>
      </c>
      <c r="C5" s="11" t="e">
        <f ca="1">[1]!s_west_maxnetprofit($B$1,2026,$D$1,180,1000000)</f>
        <v>#NAME?</v>
      </c>
    </row>
    <row r="6" spans="1:4" s="6" customFormat="1" ht="18">
      <c r="A6" s="7" t="s">
        <v>7</v>
      </c>
      <c r="B6" s="10" t="e">
        <f ca="1">[1]!s_west_minnetprofit($B$1,2025,$D$1,180,1000000)</f>
        <v>#NAME?</v>
      </c>
      <c r="C6" s="11" t="e">
        <f ca="1">[1]!s_west_minnetprofit($B$1,2026,$D$1,180,1000000)</f>
        <v>#NAME?</v>
      </c>
    </row>
    <row r="7" spans="1:4" s="6" customFormat="1" ht="18">
      <c r="A7" s="7" t="s">
        <v>8</v>
      </c>
      <c r="B7" s="10" t="e">
        <f ca="1">[1]!s_west_mediannetprofit($B$1,2025,$D$1,180,1000000)</f>
        <v>#NAME?</v>
      </c>
      <c r="C7" s="11" t="e">
        <f ca="1">[1]!s_west_mediannetprofit($B$1,2026,$D$1,180,1000000)</f>
        <v>#NAME?</v>
      </c>
    </row>
    <row r="8" spans="1:4" s="6" customFormat="1" ht="19" thickBot="1">
      <c r="A8" s="12" t="s">
        <v>9</v>
      </c>
      <c r="B8" s="13" t="e">
        <f ca="1">[1]!s_west_stdnetprofit($B$1,2025,$D$1,180,1000000)</f>
        <v>#NAME?</v>
      </c>
      <c r="C8" s="14" t="e">
        <f ca="1">[1]!s_west_stdnetprofit($B$1,2026,$D$1,180,1000000)</f>
        <v>#NAME?</v>
      </c>
    </row>
    <row r="10" spans="1:4">
      <c r="A10" s="15" t="s">
        <v>1</v>
      </c>
      <c r="B10" s="16" t="s">
        <v>2</v>
      </c>
      <c r="C10" s="17" t="s">
        <v>3</v>
      </c>
    </row>
    <row r="11" spans="1:4" ht="18">
      <c r="A11" s="18">
        <f ca="1">TODAY()-IF(WEEKDAY(TODAY(),2)=6,1,IF(WEEKDAY(TODAY(),2)=7,2,0))</f>
        <v>46161</v>
      </c>
      <c r="B11" s="19" t="e" cm="1">
        <f t="array" aca="1" ref="B11" ca="1">[1]!s_west_netprofit($B$1,2026,$A11,180,1000000)</f>
        <v>#NAME?</v>
      </c>
      <c r="C11" s="20" t="e" cm="1">
        <f t="array" aca="1" ref="C11" ca="1">[1]!s_dq_close($B$1,$A11,3)</f>
        <v>#NAME?</v>
      </c>
    </row>
    <row r="12" spans="1:4" ht="18">
      <c r="A12" s="21">
        <f t="shared" ref="A12:A75" ca="1" si="0">A11-7</f>
        <v>46154</v>
      </c>
      <c r="B12" s="19" t="e" cm="1">
        <f t="array" aca="1" ref="B12" ca="1">[1]!s_west_netprofit($B$1,2026,$A12,180,1000000)</f>
        <v>#NAME?</v>
      </c>
      <c r="C12" s="20" t="e" cm="1">
        <f t="array" aca="1" ref="C12" ca="1">[1]!s_dq_close($B$1,$A12,3)</f>
        <v>#NAME?</v>
      </c>
    </row>
    <row r="13" spans="1:4" ht="18">
      <c r="A13" s="21">
        <f t="shared" ca="1" si="0"/>
        <v>46147</v>
      </c>
      <c r="B13" s="19" t="e" cm="1">
        <f t="array" aca="1" ref="B13" ca="1">[1]!s_west_netprofit($B$1,2026,$A13,180,1000000)</f>
        <v>#NAME?</v>
      </c>
      <c r="C13" s="20" t="e" cm="1">
        <f t="array" aca="1" ref="C13" ca="1">[1]!s_dq_close($B$1,$A13,3)</f>
        <v>#NAME?</v>
      </c>
    </row>
    <row r="14" spans="1:4" ht="18">
      <c r="A14" s="21">
        <f t="shared" ca="1" si="0"/>
        <v>46140</v>
      </c>
      <c r="B14" s="19" t="e" cm="1">
        <f t="array" aca="1" ref="B14" ca="1">[1]!s_west_netprofit($B$1,2026,$A14,180,1000000)</f>
        <v>#NAME?</v>
      </c>
      <c r="C14" s="20" t="e" cm="1">
        <f t="array" aca="1" ref="C14" ca="1">[1]!s_dq_close($B$1,$A14,3)</f>
        <v>#NAME?</v>
      </c>
    </row>
    <row r="15" spans="1:4" ht="18">
      <c r="A15" s="21">
        <f t="shared" ca="1" si="0"/>
        <v>46133</v>
      </c>
      <c r="B15" s="19" t="e" cm="1">
        <f t="array" aca="1" ref="B15" ca="1">[1]!s_west_netprofit($B$1,2026,$A15,180,1000000)</f>
        <v>#NAME?</v>
      </c>
      <c r="C15" s="20" t="e" cm="1">
        <f t="array" aca="1" ref="C15" ca="1">[1]!s_dq_close($B$1,$A15,3)</f>
        <v>#NAME?</v>
      </c>
    </row>
    <row r="16" spans="1:4" ht="18">
      <c r="A16" s="21">
        <f t="shared" ca="1" si="0"/>
        <v>46126</v>
      </c>
      <c r="B16" s="19" t="e" cm="1">
        <f t="array" aca="1" ref="B16" ca="1">[1]!s_west_netprofit($B$1,2026,$A16,180,1000000)</f>
        <v>#NAME?</v>
      </c>
      <c r="C16" s="20" t="e" cm="1">
        <f t="array" aca="1" ref="C16" ca="1">[1]!s_dq_close($B$1,$A16,3)</f>
        <v>#NAME?</v>
      </c>
    </row>
    <row r="17" spans="1:3" ht="18">
      <c r="A17" s="21">
        <f t="shared" ca="1" si="0"/>
        <v>46119</v>
      </c>
      <c r="B17" s="19" t="e" cm="1">
        <f t="array" aca="1" ref="B17" ca="1">[1]!s_west_netprofit($B$1,2026,$A17,180,1000000)</f>
        <v>#NAME?</v>
      </c>
      <c r="C17" s="20" t="e" cm="1">
        <f t="array" aca="1" ref="C17" ca="1">[1]!s_dq_close($B$1,$A17,3)</f>
        <v>#NAME?</v>
      </c>
    </row>
    <row r="18" spans="1:3" ht="18">
      <c r="A18" s="21">
        <f t="shared" ca="1" si="0"/>
        <v>46112</v>
      </c>
      <c r="B18" s="19" t="e" cm="1">
        <f t="array" aca="1" ref="B18" ca="1">[1]!s_west_netprofit($B$1,2026,$A18,180,1000000)</f>
        <v>#NAME?</v>
      </c>
      <c r="C18" s="20" t="e" cm="1">
        <f t="array" aca="1" ref="C18" ca="1">[1]!s_dq_close($B$1,$A18,3)</f>
        <v>#NAME?</v>
      </c>
    </row>
    <row r="19" spans="1:3" ht="18">
      <c r="A19" s="21">
        <f t="shared" ca="1" si="0"/>
        <v>46105</v>
      </c>
      <c r="B19" s="19" t="e" cm="1">
        <f t="array" aca="1" ref="B19" ca="1">[1]!s_west_netprofit($B$1,2026,$A19,180,1000000)</f>
        <v>#NAME?</v>
      </c>
      <c r="C19" s="20" t="e" cm="1">
        <f t="array" aca="1" ref="C19" ca="1">[1]!s_dq_close($B$1,$A19,3)</f>
        <v>#NAME?</v>
      </c>
    </row>
    <row r="20" spans="1:3" ht="18">
      <c r="A20" s="21">
        <f t="shared" ca="1" si="0"/>
        <v>46098</v>
      </c>
      <c r="B20" s="19" t="e" cm="1">
        <f t="array" aca="1" ref="B20" ca="1">[1]!s_west_netprofit($B$1,2026,$A20,180,1000000)</f>
        <v>#NAME?</v>
      </c>
      <c r="C20" s="20" t="e" cm="1">
        <f t="array" aca="1" ref="C20" ca="1">[1]!s_dq_close($B$1,$A20,3)</f>
        <v>#NAME?</v>
      </c>
    </row>
    <row r="21" spans="1:3" ht="18">
      <c r="A21" s="21">
        <f t="shared" ca="1" si="0"/>
        <v>46091</v>
      </c>
      <c r="B21" s="19" t="e" cm="1">
        <f t="array" aca="1" ref="B21" ca="1">[1]!s_west_netprofit($B$1,2026,$A21,180,1000000)</f>
        <v>#NAME?</v>
      </c>
      <c r="C21" s="20" t="e" cm="1">
        <f t="array" aca="1" ref="C21" ca="1">[1]!s_dq_close($B$1,$A21,3)</f>
        <v>#NAME?</v>
      </c>
    </row>
    <row r="22" spans="1:3" ht="18">
      <c r="A22" s="21">
        <f t="shared" ca="1" si="0"/>
        <v>46084</v>
      </c>
      <c r="B22" s="19" t="e" cm="1">
        <f t="array" aca="1" ref="B22" ca="1">[1]!s_west_netprofit($B$1,2026,$A22,180,1000000)</f>
        <v>#NAME?</v>
      </c>
      <c r="C22" s="20" t="e" cm="1">
        <f t="array" aca="1" ref="C22" ca="1">[1]!s_dq_close($B$1,$A22,3)</f>
        <v>#NAME?</v>
      </c>
    </row>
    <row r="23" spans="1:3" ht="18">
      <c r="A23" s="21">
        <f t="shared" ca="1" si="0"/>
        <v>46077</v>
      </c>
      <c r="B23" s="19" t="e" cm="1">
        <f t="array" aca="1" ref="B23" ca="1">[1]!s_west_netprofit($B$1,2026,$A23,180,1000000)</f>
        <v>#NAME?</v>
      </c>
      <c r="C23" s="20" t="e" cm="1">
        <f t="array" aca="1" ref="C23" ca="1">[1]!s_dq_close($B$1,$A23,3)</f>
        <v>#NAME?</v>
      </c>
    </row>
    <row r="24" spans="1:3" ht="18">
      <c r="A24" s="21">
        <f t="shared" ca="1" si="0"/>
        <v>46070</v>
      </c>
      <c r="B24" s="19" t="e" cm="1">
        <f t="array" aca="1" ref="B24" ca="1">[1]!s_west_netprofit($B$1,2026,$A24,180,1000000)</f>
        <v>#NAME?</v>
      </c>
      <c r="C24" s="20" t="e" cm="1">
        <f t="array" aca="1" ref="C24" ca="1">[1]!s_dq_close($B$1,$A24,3)</f>
        <v>#NAME?</v>
      </c>
    </row>
    <row r="25" spans="1:3" ht="18">
      <c r="A25" s="21">
        <f t="shared" ca="1" si="0"/>
        <v>46063</v>
      </c>
      <c r="B25" s="19" t="e" cm="1">
        <f t="array" aca="1" ref="B25" ca="1">[1]!s_west_netprofit($B$1,2026,$A25,180,1000000)</f>
        <v>#NAME?</v>
      </c>
      <c r="C25" s="20" t="e" cm="1">
        <f t="array" aca="1" ref="C25" ca="1">[1]!s_dq_close($B$1,$A25,3)</f>
        <v>#NAME?</v>
      </c>
    </row>
    <row r="26" spans="1:3" ht="18">
      <c r="A26" s="21">
        <f t="shared" ca="1" si="0"/>
        <v>46056</v>
      </c>
      <c r="B26" s="19" t="e" cm="1">
        <f t="array" aca="1" ref="B26" ca="1">[1]!s_west_netprofit($B$1,2026,$A26,180,1000000)</f>
        <v>#NAME?</v>
      </c>
      <c r="C26" s="20" t="e" cm="1">
        <f t="array" aca="1" ref="C26" ca="1">[1]!s_dq_close($B$1,$A26,3)</f>
        <v>#NAME?</v>
      </c>
    </row>
    <row r="27" spans="1:3" ht="18">
      <c r="A27" s="21">
        <f t="shared" ca="1" si="0"/>
        <v>46049</v>
      </c>
      <c r="B27" s="19" t="e" cm="1">
        <f t="array" aca="1" ref="B27" ca="1">[1]!s_west_netprofit($B$1,2026,$A27,180,1000000)</f>
        <v>#NAME?</v>
      </c>
      <c r="C27" s="20" t="e" cm="1">
        <f t="array" aca="1" ref="C27" ca="1">[1]!s_dq_close($B$1,$A27,3)</f>
        <v>#NAME?</v>
      </c>
    </row>
    <row r="28" spans="1:3" ht="18">
      <c r="A28" s="21">
        <f t="shared" ca="1" si="0"/>
        <v>46042</v>
      </c>
      <c r="B28" s="19" t="e" cm="1">
        <f t="array" aca="1" ref="B28" ca="1">[1]!s_west_netprofit($B$1,2026,$A28,180,1000000)</f>
        <v>#NAME?</v>
      </c>
      <c r="C28" s="20" t="e" cm="1">
        <f t="array" aca="1" ref="C28" ca="1">[1]!s_dq_close($B$1,$A28,3)</f>
        <v>#NAME?</v>
      </c>
    </row>
    <row r="29" spans="1:3" ht="18">
      <c r="A29" s="21">
        <f t="shared" ca="1" si="0"/>
        <v>46035</v>
      </c>
      <c r="B29" s="19" t="e" cm="1">
        <f t="array" aca="1" ref="B29" ca="1">[1]!s_west_netprofit($B$1,2026,$A29,180,1000000)</f>
        <v>#NAME?</v>
      </c>
      <c r="C29" s="20" t="e" cm="1">
        <f t="array" aca="1" ref="C29" ca="1">[1]!s_dq_close($B$1,$A29,3)</f>
        <v>#NAME?</v>
      </c>
    </row>
    <row r="30" spans="1:3" ht="18">
      <c r="A30" s="21">
        <f t="shared" ca="1" si="0"/>
        <v>46028</v>
      </c>
      <c r="B30" s="19" t="e" cm="1">
        <f t="array" aca="1" ref="B30" ca="1">[1]!s_west_netprofit($B$1,2026,$A30,180,1000000)</f>
        <v>#NAME?</v>
      </c>
      <c r="C30" s="20" t="e" cm="1">
        <f t="array" aca="1" ref="C30" ca="1">[1]!s_dq_close($B$1,$A30,3)</f>
        <v>#NAME?</v>
      </c>
    </row>
    <row r="31" spans="1:3" ht="18">
      <c r="A31" s="21">
        <f t="shared" ca="1" si="0"/>
        <v>46021</v>
      </c>
      <c r="B31" s="19" t="e" cm="1">
        <f t="array" aca="1" ref="B31" ca="1">[1]!s_west_netprofit($B$1,2026,$A31,180,1000000)</f>
        <v>#NAME?</v>
      </c>
      <c r="C31" s="20" t="e" cm="1">
        <f t="array" aca="1" ref="C31" ca="1">[1]!s_dq_close($B$1,$A31,3)</f>
        <v>#NAME?</v>
      </c>
    </row>
    <row r="32" spans="1:3" ht="18">
      <c r="A32" s="21">
        <f t="shared" ca="1" si="0"/>
        <v>46014</v>
      </c>
      <c r="B32" s="19" t="e" cm="1">
        <f t="array" aca="1" ref="B32" ca="1">[1]!s_west_netprofit($B$1,2026,$A32,180,1000000)</f>
        <v>#NAME?</v>
      </c>
      <c r="C32" s="20" t="e" cm="1">
        <f t="array" aca="1" ref="C32" ca="1">[1]!s_dq_close($B$1,$A32,3)</f>
        <v>#NAME?</v>
      </c>
    </row>
    <row r="33" spans="1:3" ht="18">
      <c r="A33" s="21">
        <f t="shared" ca="1" si="0"/>
        <v>46007</v>
      </c>
      <c r="B33" s="19" t="e" cm="1">
        <f t="array" aca="1" ref="B33" ca="1">[1]!s_west_netprofit($B$1,2026,$A33,180,1000000)</f>
        <v>#NAME?</v>
      </c>
      <c r="C33" s="20" t="e" cm="1">
        <f t="array" aca="1" ref="C33" ca="1">[1]!s_dq_close($B$1,$A33,3)</f>
        <v>#NAME?</v>
      </c>
    </row>
    <row r="34" spans="1:3" ht="18">
      <c r="A34" s="21">
        <f t="shared" ca="1" si="0"/>
        <v>46000</v>
      </c>
      <c r="B34" s="19" t="e" cm="1">
        <f t="array" aca="1" ref="B34" ca="1">[1]!s_west_netprofit($B$1,2026,$A34,180,1000000)</f>
        <v>#NAME?</v>
      </c>
      <c r="C34" s="20" t="e" cm="1">
        <f t="array" aca="1" ref="C34" ca="1">[1]!s_dq_close($B$1,$A34,3)</f>
        <v>#NAME?</v>
      </c>
    </row>
    <row r="35" spans="1:3" ht="18">
      <c r="A35" s="21">
        <f t="shared" ca="1" si="0"/>
        <v>45993</v>
      </c>
      <c r="B35" s="19" t="e" cm="1">
        <f t="array" aca="1" ref="B35" ca="1">[1]!s_west_netprofit($B$1,2026,$A35,180,1000000)</f>
        <v>#NAME?</v>
      </c>
      <c r="C35" s="20" t="e" cm="1">
        <f t="array" aca="1" ref="C35" ca="1">[1]!s_dq_close($B$1,$A35,3)</f>
        <v>#NAME?</v>
      </c>
    </row>
    <row r="36" spans="1:3" ht="18">
      <c r="A36" s="21">
        <f t="shared" ca="1" si="0"/>
        <v>45986</v>
      </c>
      <c r="B36" s="19" t="e" cm="1">
        <f t="array" aca="1" ref="B36" ca="1">[1]!s_west_netprofit($B$1,2026,$A36,180,1000000)</f>
        <v>#NAME?</v>
      </c>
      <c r="C36" s="20" t="e" cm="1">
        <f t="array" aca="1" ref="C36" ca="1">[1]!s_dq_close($B$1,$A36,3)</f>
        <v>#NAME?</v>
      </c>
    </row>
    <row r="37" spans="1:3" ht="18">
      <c r="A37" s="21">
        <f t="shared" ca="1" si="0"/>
        <v>45979</v>
      </c>
      <c r="B37" s="19" t="e" cm="1">
        <f t="array" aca="1" ref="B37" ca="1">[1]!s_west_netprofit($B$1,2026,$A37,180,1000000)</f>
        <v>#NAME?</v>
      </c>
      <c r="C37" s="20" t="e" cm="1">
        <f t="array" aca="1" ref="C37" ca="1">[1]!s_dq_close($B$1,$A37,3)</f>
        <v>#NAME?</v>
      </c>
    </row>
    <row r="38" spans="1:3" ht="18">
      <c r="A38" s="21">
        <f t="shared" ca="1" si="0"/>
        <v>45972</v>
      </c>
      <c r="B38" s="19" t="e" cm="1">
        <f t="array" aca="1" ref="B38" ca="1">[1]!s_west_netprofit($B$1,2026,$A38,180,1000000)</f>
        <v>#NAME?</v>
      </c>
      <c r="C38" s="20" t="e" cm="1">
        <f t="array" aca="1" ref="C38" ca="1">[1]!s_dq_close($B$1,$A38,3)</f>
        <v>#NAME?</v>
      </c>
    </row>
    <row r="39" spans="1:3" ht="18">
      <c r="A39" s="21">
        <f t="shared" ca="1" si="0"/>
        <v>45965</v>
      </c>
      <c r="B39" s="19" t="e" cm="1">
        <f t="array" aca="1" ref="B39" ca="1">[1]!s_west_netprofit($B$1,2026,$A39,180,1000000)</f>
        <v>#NAME?</v>
      </c>
      <c r="C39" s="20" t="e" cm="1">
        <f t="array" aca="1" ref="C39" ca="1">[1]!s_dq_close($B$1,$A39,3)</f>
        <v>#NAME?</v>
      </c>
    </row>
    <row r="40" spans="1:3" ht="18">
      <c r="A40" s="21">
        <f t="shared" ca="1" si="0"/>
        <v>45958</v>
      </c>
      <c r="B40" s="19" t="e" cm="1">
        <f t="array" aca="1" ref="B40" ca="1">[1]!s_west_netprofit($B$1,2026,$A40,180,1000000)</f>
        <v>#NAME?</v>
      </c>
      <c r="C40" s="20" t="e" cm="1">
        <f t="array" aca="1" ref="C40" ca="1">[1]!s_dq_close($B$1,$A40,3)</f>
        <v>#NAME?</v>
      </c>
    </row>
    <row r="41" spans="1:3" ht="18">
      <c r="A41" s="21">
        <f t="shared" ca="1" si="0"/>
        <v>45951</v>
      </c>
      <c r="B41" s="19" t="e" cm="1">
        <f t="array" aca="1" ref="B41" ca="1">[1]!s_west_netprofit($B$1,2026,$A41,180,1000000)</f>
        <v>#NAME?</v>
      </c>
      <c r="C41" s="20" t="e" cm="1">
        <f t="array" aca="1" ref="C41" ca="1">[1]!s_dq_close($B$1,$A41,3)</f>
        <v>#NAME?</v>
      </c>
    </row>
    <row r="42" spans="1:3" ht="18">
      <c r="A42" s="21">
        <f t="shared" ca="1" si="0"/>
        <v>45944</v>
      </c>
      <c r="B42" s="19" t="e" cm="1">
        <f t="array" aca="1" ref="B42" ca="1">[1]!s_west_netprofit($B$1,2026,$A42,180,1000000)</f>
        <v>#NAME?</v>
      </c>
      <c r="C42" s="20" t="e" cm="1">
        <f t="array" aca="1" ref="C42" ca="1">[1]!s_dq_close($B$1,$A42,3)</f>
        <v>#NAME?</v>
      </c>
    </row>
    <row r="43" spans="1:3" ht="18">
      <c r="A43" s="21">
        <f t="shared" ca="1" si="0"/>
        <v>45937</v>
      </c>
      <c r="B43" s="19" t="e" cm="1">
        <f t="array" aca="1" ref="B43" ca="1">[1]!s_west_netprofit($B$1,2026,$A43,180,1000000)</f>
        <v>#NAME?</v>
      </c>
      <c r="C43" s="20" t="e" cm="1">
        <f t="array" aca="1" ref="C43" ca="1">[1]!s_dq_close($B$1,$A43,3)</f>
        <v>#NAME?</v>
      </c>
    </row>
    <row r="44" spans="1:3" ht="18">
      <c r="A44" s="21">
        <f t="shared" ca="1" si="0"/>
        <v>45930</v>
      </c>
      <c r="B44" s="19" t="e" cm="1">
        <f t="array" aca="1" ref="B44" ca="1">[1]!s_west_netprofit($B$1,2026,$A44,180,1000000)</f>
        <v>#NAME?</v>
      </c>
      <c r="C44" s="20" t="e" cm="1">
        <f t="array" aca="1" ref="C44" ca="1">[1]!s_dq_close($B$1,$A44,3)</f>
        <v>#NAME?</v>
      </c>
    </row>
    <row r="45" spans="1:3" ht="18">
      <c r="A45" s="21">
        <f t="shared" ca="1" si="0"/>
        <v>45923</v>
      </c>
      <c r="B45" s="19" t="e" cm="1">
        <f t="array" aca="1" ref="B45" ca="1">[1]!s_west_netprofit($B$1,2026,$A45,180,1000000)</f>
        <v>#NAME?</v>
      </c>
      <c r="C45" s="20" t="e" cm="1">
        <f t="array" aca="1" ref="C45" ca="1">[1]!s_dq_close($B$1,$A45,3)</f>
        <v>#NAME?</v>
      </c>
    </row>
    <row r="46" spans="1:3" ht="18">
      <c r="A46" s="21">
        <f t="shared" ca="1" si="0"/>
        <v>45916</v>
      </c>
      <c r="B46" s="19" t="e" cm="1">
        <f t="array" aca="1" ref="B46" ca="1">[1]!s_west_netprofit($B$1,2026,$A46,180,1000000)</f>
        <v>#NAME?</v>
      </c>
      <c r="C46" s="20" t="e" cm="1">
        <f t="array" aca="1" ref="C46" ca="1">[1]!s_dq_close($B$1,$A46,3)</f>
        <v>#NAME?</v>
      </c>
    </row>
    <row r="47" spans="1:3" ht="18">
      <c r="A47" s="21">
        <f t="shared" ca="1" si="0"/>
        <v>45909</v>
      </c>
      <c r="B47" s="19" t="e" cm="1">
        <f t="array" aca="1" ref="B47" ca="1">[1]!s_west_netprofit($B$1,2026,$A47,180,1000000)</f>
        <v>#NAME?</v>
      </c>
      <c r="C47" s="20" t="e" cm="1">
        <f t="array" aca="1" ref="C47" ca="1">[1]!s_dq_close($B$1,$A47,3)</f>
        <v>#NAME?</v>
      </c>
    </row>
    <row r="48" spans="1:3" ht="18">
      <c r="A48" s="21">
        <f t="shared" ca="1" si="0"/>
        <v>45902</v>
      </c>
      <c r="B48" s="19" t="e" cm="1">
        <f t="array" aca="1" ref="B48" ca="1">[1]!s_west_netprofit($B$1,2026,$A48,180,1000000)</f>
        <v>#NAME?</v>
      </c>
      <c r="C48" s="20" t="e" cm="1">
        <f t="array" aca="1" ref="C48" ca="1">[1]!s_dq_close($B$1,$A48,3)</f>
        <v>#NAME?</v>
      </c>
    </row>
    <row r="49" spans="1:3" ht="18">
      <c r="A49" s="21">
        <f t="shared" ca="1" si="0"/>
        <v>45895</v>
      </c>
      <c r="B49" s="19" t="e" cm="1">
        <f t="array" aca="1" ref="B49" ca="1">[1]!s_west_netprofit($B$1,2026,$A49,180,1000000)</f>
        <v>#NAME?</v>
      </c>
      <c r="C49" s="20" t="e" cm="1">
        <f t="array" aca="1" ref="C49" ca="1">[1]!s_dq_close($B$1,$A49,3)</f>
        <v>#NAME?</v>
      </c>
    </row>
    <row r="50" spans="1:3" ht="18">
      <c r="A50" s="21">
        <f t="shared" ca="1" si="0"/>
        <v>45888</v>
      </c>
      <c r="B50" s="19" t="e" cm="1">
        <f t="array" aca="1" ref="B50" ca="1">[1]!s_west_netprofit($B$1,2026,$A50,180,1000000)</f>
        <v>#NAME?</v>
      </c>
      <c r="C50" s="20" t="e" cm="1">
        <f t="array" aca="1" ref="C50" ca="1">[1]!s_dq_close($B$1,$A50,3)</f>
        <v>#NAME?</v>
      </c>
    </row>
    <row r="51" spans="1:3" ht="18">
      <c r="A51" s="21">
        <f t="shared" ca="1" si="0"/>
        <v>45881</v>
      </c>
      <c r="B51" s="19" t="e" cm="1">
        <f t="array" aca="1" ref="B51" ca="1">[1]!s_west_netprofit($B$1,2026,$A51,180,1000000)</f>
        <v>#NAME?</v>
      </c>
      <c r="C51" s="20" t="e" cm="1">
        <f t="array" aca="1" ref="C51" ca="1">[1]!s_dq_close($B$1,$A51,3)</f>
        <v>#NAME?</v>
      </c>
    </row>
    <row r="52" spans="1:3" ht="18">
      <c r="A52" s="21">
        <f t="shared" ca="1" si="0"/>
        <v>45874</v>
      </c>
      <c r="B52" s="19" t="e" cm="1">
        <f t="array" aca="1" ref="B52" ca="1">[1]!s_west_netprofit($B$1,2026,$A52,180,1000000)</f>
        <v>#NAME?</v>
      </c>
      <c r="C52" s="20" t="e" cm="1">
        <f t="array" aca="1" ref="C52" ca="1">[1]!s_dq_close($B$1,$A52,3)</f>
        <v>#NAME?</v>
      </c>
    </row>
    <row r="53" spans="1:3" ht="18">
      <c r="A53" s="21">
        <f t="shared" ca="1" si="0"/>
        <v>45867</v>
      </c>
      <c r="B53" s="19" t="e" cm="1">
        <f t="array" aca="1" ref="B53" ca="1">[1]!s_west_netprofit($B$1,2026,$A53,180,1000000)</f>
        <v>#NAME?</v>
      </c>
      <c r="C53" s="20" t="e" cm="1">
        <f t="array" aca="1" ref="C53" ca="1">[1]!s_dq_close($B$1,$A53,3)</f>
        <v>#NAME?</v>
      </c>
    </row>
    <row r="54" spans="1:3" ht="18">
      <c r="A54" s="21">
        <f t="shared" ca="1" si="0"/>
        <v>45860</v>
      </c>
      <c r="B54" s="19" t="e" cm="1">
        <f t="array" aca="1" ref="B54" ca="1">[1]!s_west_netprofit($B$1,2026,$A54,180,1000000)</f>
        <v>#NAME?</v>
      </c>
      <c r="C54" s="20" t="e" cm="1">
        <f t="array" aca="1" ref="C54" ca="1">[1]!s_dq_close($B$1,$A54,3)</f>
        <v>#NAME?</v>
      </c>
    </row>
    <row r="55" spans="1:3" ht="18">
      <c r="A55" s="21">
        <f t="shared" ca="1" si="0"/>
        <v>45853</v>
      </c>
      <c r="B55" s="19" t="e" cm="1">
        <f t="array" aca="1" ref="B55" ca="1">[1]!s_west_netprofit($B$1,2026,$A55,180,1000000)</f>
        <v>#NAME?</v>
      </c>
      <c r="C55" s="20" t="e" cm="1">
        <f t="array" aca="1" ref="C55" ca="1">[1]!s_dq_close($B$1,$A55,3)</f>
        <v>#NAME?</v>
      </c>
    </row>
    <row r="56" spans="1:3" ht="18">
      <c r="A56" s="21">
        <f t="shared" ca="1" si="0"/>
        <v>45846</v>
      </c>
      <c r="B56" s="19" t="e" cm="1">
        <f t="array" aca="1" ref="B56" ca="1">[1]!s_west_netprofit($B$1,2026,$A56,180,1000000)</f>
        <v>#NAME?</v>
      </c>
      <c r="C56" s="20" t="e" cm="1">
        <f t="array" aca="1" ref="C56" ca="1">[1]!s_dq_close($B$1,$A56,3)</f>
        <v>#NAME?</v>
      </c>
    </row>
    <row r="57" spans="1:3" ht="18">
      <c r="A57" s="21">
        <f t="shared" ca="1" si="0"/>
        <v>45839</v>
      </c>
      <c r="B57" s="19" t="e" cm="1">
        <f t="array" aca="1" ref="B57" ca="1">[1]!s_west_netprofit($B$1,2026,$A57,180,1000000)</f>
        <v>#NAME?</v>
      </c>
      <c r="C57" s="20" t="e" cm="1">
        <f t="array" aca="1" ref="C57" ca="1">[1]!s_dq_close($B$1,$A57,3)</f>
        <v>#NAME?</v>
      </c>
    </row>
    <row r="58" spans="1:3" ht="18">
      <c r="A58" s="21">
        <f t="shared" ca="1" si="0"/>
        <v>45832</v>
      </c>
      <c r="B58" s="19" t="e" cm="1">
        <f t="array" aca="1" ref="B58" ca="1">[1]!s_west_netprofit($B$1,2026,$A58,180,1000000)</f>
        <v>#NAME?</v>
      </c>
      <c r="C58" s="20" t="e" cm="1">
        <f t="array" aca="1" ref="C58" ca="1">[1]!s_dq_close($B$1,$A58,3)</f>
        <v>#NAME?</v>
      </c>
    </row>
    <row r="59" spans="1:3" ht="18">
      <c r="A59" s="21">
        <f t="shared" ca="1" si="0"/>
        <v>45825</v>
      </c>
      <c r="B59" s="19" t="e" cm="1">
        <f t="array" aca="1" ref="B59" ca="1">[1]!s_west_netprofit($B$1,2026,$A59,180,1000000)</f>
        <v>#NAME?</v>
      </c>
      <c r="C59" s="20" t="e" cm="1">
        <f t="array" aca="1" ref="C59" ca="1">[1]!s_dq_close($B$1,$A59,3)</f>
        <v>#NAME?</v>
      </c>
    </row>
    <row r="60" spans="1:3" ht="18">
      <c r="A60" s="21">
        <f t="shared" ca="1" si="0"/>
        <v>45818</v>
      </c>
      <c r="B60" s="19" t="e" cm="1">
        <f t="array" aca="1" ref="B60" ca="1">[1]!s_west_netprofit($B$1,2026,$A60,180,1000000)</f>
        <v>#NAME?</v>
      </c>
      <c r="C60" s="20" t="e" cm="1">
        <f t="array" aca="1" ref="C60" ca="1">[1]!s_dq_close($B$1,$A60,3)</f>
        <v>#NAME?</v>
      </c>
    </row>
    <row r="61" spans="1:3" ht="18">
      <c r="A61" s="21">
        <f t="shared" ca="1" si="0"/>
        <v>45811</v>
      </c>
      <c r="B61" s="19" t="e" cm="1">
        <f t="array" aca="1" ref="B61" ca="1">[1]!s_west_netprofit($B$1,2026,$A61,180,1000000)</f>
        <v>#NAME?</v>
      </c>
      <c r="C61" s="20" t="e" cm="1">
        <f t="array" aca="1" ref="C61" ca="1">[1]!s_dq_close($B$1,$A61,3)</f>
        <v>#NAME?</v>
      </c>
    </row>
    <row r="62" spans="1:3" ht="18">
      <c r="A62" s="21">
        <f t="shared" ca="1" si="0"/>
        <v>45804</v>
      </c>
      <c r="B62" s="19" t="e" cm="1">
        <f t="array" aca="1" ref="B62" ca="1">[1]!s_west_netprofit($B$1,2026,$A62,180,1000000)</f>
        <v>#NAME?</v>
      </c>
      <c r="C62" s="20" t="e" cm="1">
        <f t="array" aca="1" ref="C62" ca="1">[1]!s_dq_close($B$1,$A62,3)</f>
        <v>#NAME?</v>
      </c>
    </row>
    <row r="63" spans="1:3" ht="18">
      <c r="A63" s="21">
        <f t="shared" ca="1" si="0"/>
        <v>45797</v>
      </c>
      <c r="B63" s="19" t="e" cm="1">
        <f t="array" aca="1" ref="B63" ca="1">[1]!s_west_netprofit($B$1,2026,$A63,180,1000000)</f>
        <v>#NAME?</v>
      </c>
      <c r="C63" s="20" t="e" cm="1">
        <f t="array" aca="1" ref="C63" ca="1">[1]!s_dq_close($B$1,$A63,3)</f>
        <v>#NAME?</v>
      </c>
    </row>
    <row r="64" spans="1:3" ht="18">
      <c r="A64" s="21">
        <f t="shared" ca="1" si="0"/>
        <v>45790</v>
      </c>
      <c r="B64" s="19" t="e" cm="1">
        <f t="array" aca="1" ref="B64" ca="1">[1]!s_west_netprofit($B$1,2026,$A64,180,1000000)</f>
        <v>#NAME?</v>
      </c>
      <c r="C64" s="20" t="e" cm="1">
        <f t="array" aca="1" ref="C64" ca="1">[1]!s_dq_close($B$1,$A64,3)</f>
        <v>#NAME?</v>
      </c>
    </row>
    <row r="65" spans="1:3" ht="18">
      <c r="A65" s="21">
        <f t="shared" ca="1" si="0"/>
        <v>45783</v>
      </c>
      <c r="B65" s="19" t="e" cm="1">
        <f t="array" aca="1" ref="B65" ca="1">[1]!s_west_netprofit($B$1,2026,$A65,180,1000000)</f>
        <v>#NAME?</v>
      </c>
      <c r="C65" s="20" t="e" cm="1">
        <f t="array" aca="1" ref="C65" ca="1">[1]!s_dq_close($B$1,$A65,3)</f>
        <v>#NAME?</v>
      </c>
    </row>
    <row r="66" spans="1:3" ht="18">
      <c r="A66" s="21">
        <f t="shared" ca="1" si="0"/>
        <v>45776</v>
      </c>
      <c r="B66" s="19" t="e" cm="1">
        <f t="array" aca="1" ref="B66" ca="1">[1]!s_west_netprofit($B$1,2026,$A66,180,1000000)</f>
        <v>#NAME?</v>
      </c>
      <c r="C66" s="20" t="e" cm="1">
        <f t="array" aca="1" ref="C66" ca="1">[1]!s_dq_close($B$1,$A66,3)</f>
        <v>#NAME?</v>
      </c>
    </row>
    <row r="67" spans="1:3" ht="18">
      <c r="A67" s="21">
        <f t="shared" ca="1" si="0"/>
        <v>45769</v>
      </c>
      <c r="B67" s="19" t="e" cm="1">
        <f t="array" aca="1" ref="B67" ca="1">[1]!s_west_netprofit($B$1,2026,$A67,180,1000000)</f>
        <v>#NAME?</v>
      </c>
      <c r="C67" s="20" t="e" cm="1">
        <f t="array" aca="1" ref="C67" ca="1">[1]!s_dq_close($B$1,$A67,3)</f>
        <v>#NAME?</v>
      </c>
    </row>
    <row r="68" spans="1:3" ht="18">
      <c r="A68" s="21">
        <f t="shared" ca="1" si="0"/>
        <v>45762</v>
      </c>
      <c r="B68" s="19" t="e" cm="1">
        <f t="array" aca="1" ref="B68" ca="1">[1]!s_west_netprofit($B$1,2026,$A68,180,1000000)</f>
        <v>#NAME?</v>
      </c>
      <c r="C68" s="20" t="e" cm="1">
        <f t="array" aca="1" ref="C68" ca="1">[1]!s_dq_close($B$1,$A68,3)</f>
        <v>#NAME?</v>
      </c>
    </row>
    <row r="69" spans="1:3" ht="18">
      <c r="A69" s="21">
        <f t="shared" ca="1" si="0"/>
        <v>45755</v>
      </c>
      <c r="B69" s="19" t="e" cm="1">
        <f t="array" aca="1" ref="B69" ca="1">[1]!s_west_netprofit($B$1,2026,$A69,180,1000000)</f>
        <v>#NAME?</v>
      </c>
      <c r="C69" s="20" t="e" cm="1">
        <f t="array" aca="1" ref="C69" ca="1">[1]!s_dq_close($B$1,$A69,3)</f>
        <v>#NAME?</v>
      </c>
    </row>
    <row r="70" spans="1:3" ht="18">
      <c r="A70" s="21">
        <f t="shared" ca="1" si="0"/>
        <v>45748</v>
      </c>
      <c r="B70" s="19" t="e" cm="1">
        <f t="array" aca="1" ref="B70" ca="1">[1]!s_west_netprofit($B$1,2026,$A70,180,1000000)</f>
        <v>#NAME?</v>
      </c>
      <c r="C70" s="20" t="e" cm="1">
        <f t="array" aca="1" ref="C70" ca="1">[1]!s_dq_close($B$1,$A70,3)</f>
        <v>#NAME?</v>
      </c>
    </row>
    <row r="71" spans="1:3" ht="18">
      <c r="A71" s="21">
        <f t="shared" ca="1" si="0"/>
        <v>45741</v>
      </c>
      <c r="B71" s="19" t="e" cm="1">
        <f t="array" aca="1" ref="B71" ca="1">[1]!s_west_netprofit($B$1,2026,$A71,180,1000000)</f>
        <v>#NAME?</v>
      </c>
      <c r="C71" s="20" t="e" cm="1">
        <f t="array" aca="1" ref="C71" ca="1">[1]!s_dq_close($B$1,$A71,3)</f>
        <v>#NAME?</v>
      </c>
    </row>
    <row r="72" spans="1:3" ht="18">
      <c r="A72" s="21">
        <f t="shared" ca="1" si="0"/>
        <v>45734</v>
      </c>
      <c r="B72" s="19" t="e" cm="1">
        <f t="array" aca="1" ref="B72" ca="1">[1]!s_west_netprofit($B$1,2026,$A72,180,1000000)</f>
        <v>#NAME?</v>
      </c>
      <c r="C72" s="20" t="e" cm="1">
        <f t="array" aca="1" ref="C72" ca="1">[1]!s_dq_close($B$1,$A72,3)</f>
        <v>#NAME?</v>
      </c>
    </row>
    <row r="73" spans="1:3" ht="18">
      <c r="A73" s="21">
        <f t="shared" ca="1" si="0"/>
        <v>45727</v>
      </c>
      <c r="B73" s="19" t="e" cm="1">
        <f t="array" aca="1" ref="B73" ca="1">[1]!s_west_netprofit($B$1,2026,$A73,180,1000000)</f>
        <v>#NAME?</v>
      </c>
      <c r="C73" s="20" t="e" cm="1">
        <f t="array" aca="1" ref="C73" ca="1">[1]!s_dq_close($B$1,$A73,3)</f>
        <v>#NAME?</v>
      </c>
    </row>
    <row r="74" spans="1:3" ht="18">
      <c r="A74" s="21">
        <f t="shared" ca="1" si="0"/>
        <v>45720</v>
      </c>
      <c r="B74" s="19" t="e" cm="1">
        <f t="array" aca="1" ref="B74" ca="1">[1]!s_west_netprofit($B$1,2026,$A74,180,1000000)</f>
        <v>#NAME?</v>
      </c>
      <c r="C74" s="20" t="e" cm="1">
        <f t="array" aca="1" ref="C74" ca="1">[1]!s_dq_close($B$1,$A74,3)</f>
        <v>#NAME?</v>
      </c>
    </row>
    <row r="75" spans="1:3" ht="18">
      <c r="A75" s="21">
        <f t="shared" ca="1" si="0"/>
        <v>45713</v>
      </c>
      <c r="B75" s="19" t="e" cm="1">
        <f t="array" aca="1" ref="B75" ca="1">[1]!s_west_netprofit($B$1,2026,$A75,180,1000000)</f>
        <v>#NAME?</v>
      </c>
      <c r="C75" s="20" t="e" cm="1">
        <f t="array" aca="1" ref="C75" ca="1">[1]!s_dq_close($B$1,$A75,3)</f>
        <v>#NAME?</v>
      </c>
    </row>
    <row r="76" spans="1:3" ht="18">
      <c r="A76" s="21">
        <f t="shared" ref="A76:A99" ca="1" si="1">A75-7</f>
        <v>45706</v>
      </c>
      <c r="B76" s="19" t="e" cm="1">
        <f t="array" aca="1" ref="B76" ca="1">[1]!s_west_netprofit($B$1,2026,$A76,180,1000000)</f>
        <v>#NAME?</v>
      </c>
      <c r="C76" s="20" t="e" cm="1">
        <f t="array" aca="1" ref="C76" ca="1">[1]!s_dq_close($B$1,$A76,3)</f>
        <v>#NAME?</v>
      </c>
    </row>
    <row r="77" spans="1:3" ht="18">
      <c r="A77" s="21">
        <f t="shared" ca="1" si="1"/>
        <v>45699</v>
      </c>
      <c r="B77" s="19" t="e" cm="1">
        <f t="array" aca="1" ref="B77" ca="1">[1]!s_west_netprofit($B$1,2026,$A77,180,1000000)</f>
        <v>#NAME?</v>
      </c>
      <c r="C77" s="20" t="e" cm="1">
        <f t="array" aca="1" ref="C77" ca="1">[1]!s_dq_close($B$1,$A77,3)</f>
        <v>#NAME?</v>
      </c>
    </row>
    <row r="78" spans="1:3" ht="18">
      <c r="A78" s="21">
        <f t="shared" ca="1" si="1"/>
        <v>45692</v>
      </c>
      <c r="B78" s="19" t="e" cm="1">
        <f t="array" aca="1" ref="B78" ca="1">[1]!s_west_netprofit($B$1,2026,$A78,180,1000000)</f>
        <v>#NAME?</v>
      </c>
      <c r="C78" s="20" t="e" cm="1">
        <f t="array" aca="1" ref="C78" ca="1">[1]!s_dq_close($B$1,$A78,3)</f>
        <v>#NAME?</v>
      </c>
    </row>
    <row r="79" spans="1:3" ht="18">
      <c r="A79" s="21">
        <f t="shared" ca="1" si="1"/>
        <v>45685</v>
      </c>
      <c r="B79" s="19" t="e" cm="1">
        <f t="array" aca="1" ref="B79" ca="1">[1]!s_west_netprofit($B$1,2026,$A79,180,1000000)</f>
        <v>#NAME?</v>
      </c>
      <c r="C79" s="20" t="e" cm="1">
        <f t="array" aca="1" ref="C79" ca="1">[1]!s_dq_close($B$1,$A79,3)</f>
        <v>#NAME?</v>
      </c>
    </row>
    <row r="80" spans="1:3" ht="18">
      <c r="A80" s="21">
        <f t="shared" ca="1" si="1"/>
        <v>45678</v>
      </c>
      <c r="B80" s="19" t="e" cm="1">
        <f t="array" aca="1" ref="B80" ca="1">[1]!s_west_netprofit($B$1,2026,$A80,180,1000000)</f>
        <v>#NAME?</v>
      </c>
      <c r="C80" s="20" t="e" cm="1">
        <f t="array" aca="1" ref="C80" ca="1">[1]!s_dq_close($B$1,$A80,3)</f>
        <v>#NAME?</v>
      </c>
    </row>
    <row r="81" spans="1:3" ht="18">
      <c r="A81" s="21">
        <f t="shared" ca="1" si="1"/>
        <v>45671</v>
      </c>
      <c r="B81" s="19" t="e" cm="1">
        <f t="array" aca="1" ref="B81" ca="1">[1]!s_west_netprofit($B$1,2026,$A81,180,1000000)</f>
        <v>#NAME?</v>
      </c>
      <c r="C81" s="20" t="e" cm="1">
        <f t="array" aca="1" ref="C81" ca="1">[1]!s_dq_close($B$1,$A81,3)</f>
        <v>#NAME?</v>
      </c>
    </row>
    <row r="82" spans="1:3" ht="18">
      <c r="A82" s="21">
        <f t="shared" ca="1" si="1"/>
        <v>45664</v>
      </c>
      <c r="B82" s="19" t="e" cm="1">
        <f t="array" aca="1" ref="B82" ca="1">[1]!s_west_netprofit($B$1,2026,$A82,180,1000000)</f>
        <v>#NAME?</v>
      </c>
      <c r="C82" s="20" t="e" cm="1">
        <f t="array" aca="1" ref="C82" ca="1">[1]!s_dq_close($B$1,$A82,3)</f>
        <v>#NAME?</v>
      </c>
    </row>
    <row r="83" spans="1:3" ht="18">
      <c r="A83" s="21">
        <f t="shared" ca="1" si="1"/>
        <v>45657</v>
      </c>
      <c r="B83" s="19" t="e" cm="1">
        <f t="array" aca="1" ref="B83" ca="1">[1]!s_west_netprofit($B$1,2026,$A83,180,1000000)</f>
        <v>#NAME?</v>
      </c>
      <c r="C83" s="20" t="e" cm="1">
        <f t="array" aca="1" ref="C83" ca="1">[1]!s_dq_close($B$1,$A83,3)</f>
        <v>#NAME?</v>
      </c>
    </row>
    <row r="84" spans="1:3" ht="18">
      <c r="A84" s="21">
        <f t="shared" ca="1" si="1"/>
        <v>45650</v>
      </c>
      <c r="B84" s="19" t="e" cm="1">
        <f t="array" aca="1" ref="B84" ca="1">[1]!s_west_netprofit($B$1,2026,$A84,180,1000000)</f>
        <v>#NAME?</v>
      </c>
      <c r="C84" s="20" t="e" cm="1">
        <f t="array" aca="1" ref="C84" ca="1">[1]!s_dq_close($B$1,$A84,3)</f>
        <v>#NAME?</v>
      </c>
    </row>
    <row r="85" spans="1:3" ht="18">
      <c r="A85" s="21">
        <f t="shared" ca="1" si="1"/>
        <v>45643</v>
      </c>
      <c r="B85" s="19" t="e" cm="1">
        <f t="array" aca="1" ref="B85" ca="1">[1]!s_west_netprofit($B$1,2026,$A85,180,1000000)</f>
        <v>#NAME?</v>
      </c>
      <c r="C85" s="20" t="e" cm="1">
        <f t="array" aca="1" ref="C85" ca="1">[1]!s_dq_close($B$1,$A85,3)</f>
        <v>#NAME?</v>
      </c>
    </row>
    <row r="86" spans="1:3" ht="18">
      <c r="A86" s="21">
        <f t="shared" ca="1" si="1"/>
        <v>45636</v>
      </c>
      <c r="B86" s="19" t="e" cm="1">
        <f t="array" aca="1" ref="B86" ca="1">[1]!s_west_netprofit($B$1,2026,$A86,180,1000000)</f>
        <v>#NAME?</v>
      </c>
      <c r="C86" s="20" t="e" cm="1">
        <f t="array" aca="1" ref="C86" ca="1">[1]!s_dq_close($B$1,$A86,3)</f>
        <v>#NAME?</v>
      </c>
    </row>
    <row r="87" spans="1:3" ht="18">
      <c r="A87" s="21">
        <f t="shared" ca="1" si="1"/>
        <v>45629</v>
      </c>
      <c r="B87" s="19" t="e" cm="1">
        <f t="array" aca="1" ref="B87" ca="1">[1]!s_west_netprofit($B$1,2026,$A87,180,1000000)</f>
        <v>#NAME?</v>
      </c>
      <c r="C87" s="20" t="e" cm="1">
        <f t="array" aca="1" ref="C87" ca="1">[1]!s_dq_close($B$1,$A87,3)</f>
        <v>#NAME?</v>
      </c>
    </row>
    <row r="88" spans="1:3" ht="18">
      <c r="A88" s="21">
        <f t="shared" ca="1" si="1"/>
        <v>45622</v>
      </c>
      <c r="B88" s="19" t="e" cm="1">
        <f t="array" aca="1" ref="B88" ca="1">[1]!s_west_netprofit($B$1,2026,$A88,180,1000000)</f>
        <v>#NAME?</v>
      </c>
      <c r="C88" s="20" t="e" cm="1">
        <f t="array" aca="1" ref="C88" ca="1">[1]!s_dq_close($B$1,$A88,3)</f>
        <v>#NAME?</v>
      </c>
    </row>
    <row r="89" spans="1:3" ht="18">
      <c r="A89" s="21">
        <f t="shared" ca="1" si="1"/>
        <v>45615</v>
      </c>
      <c r="B89" s="19" t="e" cm="1">
        <f t="array" aca="1" ref="B89" ca="1">[1]!s_west_netprofit($B$1,2026,$A89,180,1000000)</f>
        <v>#NAME?</v>
      </c>
      <c r="C89" s="20" t="e" cm="1">
        <f t="array" aca="1" ref="C89" ca="1">[1]!s_dq_close($B$1,$A89,3)</f>
        <v>#NAME?</v>
      </c>
    </row>
    <row r="90" spans="1:3" ht="18">
      <c r="A90" s="21">
        <f t="shared" ca="1" si="1"/>
        <v>45608</v>
      </c>
      <c r="B90" s="19" t="e" cm="1">
        <f t="array" aca="1" ref="B90" ca="1">[1]!s_west_netprofit($B$1,2026,$A90,180,1000000)</f>
        <v>#NAME?</v>
      </c>
      <c r="C90" s="20" t="e" cm="1">
        <f t="array" aca="1" ref="C90" ca="1">[1]!s_dq_close($B$1,$A90,3)</f>
        <v>#NAME?</v>
      </c>
    </row>
    <row r="91" spans="1:3" ht="18">
      <c r="A91" s="21">
        <f t="shared" ca="1" si="1"/>
        <v>45601</v>
      </c>
      <c r="B91" s="19" t="e" cm="1">
        <f t="array" aca="1" ref="B91" ca="1">[1]!s_west_netprofit($B$1,2026,$A91,180,1000000)</f>
        <v>#NAME?</v>
      </c>
      <c r="C91" s="20" t="e" cm="1">
        <f t="array" aca="1" ref="C91" ca="1">[1]!s_dq_close($B$1,$A91,3)</f>
        <v>#NAME?</v>
      </c>
    </row>
    <row r="92" spans="1:3" ht="18">
      <c r="A92" s="21">
        <f t="shared" ca="1" si="1"/>
        <v>45594</v>
      </c>
      <c r="B92" s="19" t="e" cm="1">
        <f t="array" aca="1" ref="B92" ca="1">[1]!s_west_netprofit($B$1,2026,$A92,180,1000000)</f>
        <v>#NAME?</v>
      </c>
      <c r="C92" s="20" t="e" cm="1">
        <f t="array" aca="1" ref="C92" ca="1">[1]!s_dq_close($B$1,$A92,3)</f>
        <v>#NAME?</v>
      </c>
    </row>
    <row r="93" spans="1:3" ht="18">
      <c r="A93" s="21">
        <f t="shared" ca="1" si="1"/>
        <v>45587</v>
      </c>
      <c r="B93" s="19" t="e" cm="1">
        <f t="array" aca="1" ref="B93" ca="1">[1]!s_west_netprofit($B$1,2026,$A93,180,1000000)</f>
        <v>#NAME?</v>
      </c>
      <c r="C93" s="20" t="e" cm="1">
        <f t="array" aca="1" ref="C93" ca="1">[1]!s_dq_close($B$1,$A93,3)</f>
        <v>#NAME?</v>
      </c>
    </row>
    <row r="94" spans="1:3" ht="18">
      <c r="A94" s="21">
        <f t="shared" ca="1" si="1"/>
        <v>45580</v>
      </c>
      <c r="B94" s="19" t="e" cm="1">
        <f t="array" aca="1" ref="B94" ca="1">[1]!s_west_netprofit($B$1,2026,$A94,180,1000000)</f>
        <v>#NAME?</v>
      </c>
      <c r="C94" s="20" t="e" cm="1">
        <f t="array" aca="1" ref="C94" ca="1">[1]!s_dq_close($B$1,$A94,3)</f>
        <v>#NAME?</v>
      </c>
    </row>
    <row r="95" spans="1:3" ht="18">
      <c r="A95" s="21">
        <f t="shared" ca="1" si="1"/>
        <v>45573</v>
      </c>
      <c r="B95" s="19" t="e" cm="1">
        <f t="array" aca="1" ref="B95" ca="1">[1]!s_west_netprofit($B$1,2026,$A95,180,1000000)</f>
        <v>#NAME?</v>
      </c>
      <c r="C95" s="20" t="e" cm="1">
        <f t="array" aca="1" ref="C95" ca="1">[1]!s_dq_close($B$1,$A95,3)</f>
        <v>#NAME?</v>
      </c>
    </row>
    <row r="96" spans="1:3" ht="18">
      <c r="A96" s="21">
        <f t="shared" ca="1" si="1"/>
        <v>45566</v>
      </c>
      <c r="B96" s="19" t="e" cm="1">
        <f t="array" aca="1" ref="B96" ca="1">[1]!s_west_netprofit($B$1,2026,$A96,180,1000000)</f>
        <v>#NAME?</v>
      </c>
      <c r="C96" s="20" t="e" cm="1">
        <f t="array" aca="1" ref="C96" ca="1">[1]!s_dq_close($B$1,$A96,3)</f>
        <v>#NAME?</v>
      </c>
    </row>
    <row r="97" spans="1:3" ht="18">
      <c r="A97" s="21">
        <f t="shared" ca="1" si="1"/>
        <v>45559</v>
      </c>
      <c r="B97" s="19" t="e" cm="1">
        <f t="array" aca="1" ref="B97" ca="1">[1]!s_west_netprofit($B$1,2026,$A97,180,1000000)</f>
        <v>#NAME?</v>
      </c>
      <c r="C97" s="20" t="e" cm="1">
        <f t="array" aca="1" ref="C97" ca="1">[1]!s_dq_close($B$1,$A97,3)</f>
        <v>#NAME?</v>
      </c>
    </row>
    <row r="98" spans="1:3" ht="18">
      <c r="A98" s="21">
        <f t="shared" ca="1" si="1"/>
        <v>45552</v>
      </c>
      <c r="B98" s="19" t="e" cm="1">
        <f t="array" aca="1" ref="B98" ca="1">[1]!s_west_netprofit($B$1,2026,$A98,180,1000000)</f>
        <v>#NAME?</v>
      </c>
      <c r="C98" s="20" t="e" cm="1">
        <f t="array" aca="1" ref="C98" ca="1">[1]!s_dq_close($B$1,$A98,3)</f>
        <v>#NAME?</v>
      </c>
    </row>
    <row r="99" spans="1:3" ht="19" thickBot="1">
      <c r="A99" s="22">
        <f t="shared" ca="1" si="1"/>
        <v>45545</v>
      </c>
      <c r="B99" s="23" t="e" cm="1">
        <f t="array" aca="1" ref="B99" ca="1">[1]!s_west_netprofit($B$1,2026,$A99,180,1000000)</f>
        <v>#NAME?</v>
      </c>
      <c r="C99" s="24" t="e" cm="1">
        <f t="array" aca="1" ref="C99" ca="1">[1]!s_dq_close($B$1,$A99,3)</f>
        <v>#NAME?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C81E1-6B8D-C542-949E-8154A241A448}">
  <dimension ref="A1:D99"/>
  <sheetViews>
    <sheetView workbookViewId="0">
      <selection sqref="A1:XFD1048576"/>
    </sheetView>
  </sheetViews>
  <sheetFormatPr baseColWidth="10" defaultColWidth="9.1640625" defaultRowHeight="16"/>
  <cols>
    <col min="1" max="1" width="36.33203125" customWidth="1"/>
    <col min="2" max="2" width="26" customWidth="1"/>
    <col min="3" max="3" width="40" customWidth="1"/>
    <col min="4" max="4" width="11" bestFit="1" customWidth="1"/>
  </cols>
  <sheetData>
    <row r="1" spans="1:4" ht="17" thickBot="1">
      <c r="A1" t="e">
        <f ca="1">[1]!S_INFO_NAME($B$1)</f>
        <v>#NAME?</v>
      </c>
      <c r="B1" s="1"/>
      <c r="C1" t="s">
        <v>0</v>
      </c>
      <c r="D1" s="2">
        <f ca="1">TODAY()</f>
        <v>46161</v>
      </c>
    </row>
    <row r="2" spans="1:4" s="6" customFormat="1" ht="18">
      <c r="A2" s="3" t="s">
        <v>4</v>
      </c>
      <c r="B2" s="4">
        <v>2025</v>
      </c>
      <c r="C2" s="5">
        <v>2026</v>
      </c>
    </row>
    <row r="3" spans="1:4" s="6" customFormat="1" ht="18">
      <c r="A3" s="7" t="s">
        <v>5</v>
      </c>
      <c r="B3" s="8" t="e">
        <f ca="1">[1]!s_west_instnum_np($B$1,2025,$D$1,180)</f>
        <v>#NAME?</v>
      </c>
      <c r="C3" s="9" t="e">
        <f ca="1">[1]!s_west_instnum_np($B$1,2026,$D$1,180)</f>
        <v>#NAME?</v>
      </c>
    </row>
    <row r="4" spans="1:4" s="6" customFormat="1" ht="18">
      <c r="A4" s="7" t="s">
        <v>2</v>
      </c>
      <c r="B4" s="10" t="e">
        <f ca="1">[1]!s_west_instnum_np($A$1,2025,$D$1,180)</f>
        <v>#NAME?</v>
      </c>
      <c r="C4" s="11" t="e">
        <f ca="1">[1]!s_west_netprofit($B$1,2026,$D$1,180,1000000)</f>
        <v>#NAME?</v>
      </c>
    </row>
    <row r="5" spans="1:4" s="6" customFormat="1" ht="18">
      <c r="A5" s="7" t="s">
        <v>6</v>
      </c>
      <c r="B5" s="10" t="e">
        <f ca="1">[1]!s_west_maxnetprofit($B$1,2025,$D$1,180,1000000)</f>
        <v>#NAME?</v>
      </c>
      <c r="C5" s="11" t="e">
        <f ca="1">[1]!s_west_maxnetprofit($B$1,2026,$D$1,180,1000000)</f>
        <v>#NAME?</v>
      </c>
    </row>
    <row r="6" spans="1:4" s="6" customFormat="1" ht="18">
      <c r="A6" s="7" t="s">
        <v>7</v>
      </c>
      <c r="B6" s="10" t="e">
        <f ca="1">[1]!s_west_minnetprofit($B$1,2025,$D$1,180,1000000)</f>
        <v>#NAME?</v>
      </c>
      <c r="C6" s="11" t="e">
        <f ca="1">[1]!s_west_minnetprofit($B$1,2026,$D$1,180,1000000)</f>
        <v>#NAME?</v>
      </c>
    </row>
    <row r="7" spans="1:4" s="6" customFormat="1" ht="18">
      <c r="A7" s="7" t="s">
        <v>8</v>
      </c>
      <c r="B7" s="10" t="e">
        <f ca="1">[1]!s_west_mediannetprofit($B$1,2025,$D$1,180,1000000)</f>
        <v>#NAME?</v>
      </c>
      <c r="C7" s="11" t="e">
        <f ca="1">[1]!s_west_mediannetprofit($B$1,2026,$D$1,180,1000000)</f>
        <v>#NAME?</v>
      </c>
    </row>
    <row r="8" spans="1:4" s="6" customFormat="1" ht="19" thickBot="1">
      <c r="A8" s="12" t="s">
        <v>9</v>
      </c>
      <c r="B8" s="13" t="e">
        <f ca="1">[1]!s_west_stdnetprofit($B$1,2025,$D$1,180,1000000)</f>
        <v>#NAME?</v>
      </c>
      <c r="C8" s="14" t="e">
        <f ca="1">[1]!s_west_stdnetprofit($B$1,2026,$D$1,180,1000000)</f>
        <v>#NAME?</v>
      </c>
    </row>
    <row r="10" spans="1:4">
      <c r="A10" s="15" t="s">
        <v>1</v>
      </c>
      <c r="B10" s="16" t="s">
        <v>2</v>
      </c>
      <c r="C10" s="17" t="s">
        <v>3</v>
      </c>
    </row>
    <row r="11" spans="1:4" ht="18">
      <c r="A11" s="18">
        <f ca="1">TODAY()-IF(WEEKDAY(TODAY(),2)=6,1,IF(WEEKDAY(TODAY(),2)=7,2,0))</f>
        <v>46161</v>
      </c>
      <c r="B11" s="19" t="e" cm="1">
        <f t="array" aca="1" ref="B11" ca="1">[1]!s_west_netprofit($B$1,2026,$A11,180,1000000)</f>
        <v>#NAME?</v>
      </c>
      <c r="C11" s="20" t="e" cm="1">
        <f t="array" aca="1" ref="C11" ca="1">[1]!s_dq_close($B$1,$A11,3)</f>
        <v>#NAME?</v>
      </c>
    </row>
    <row r="12" spans="1:4" ht="18">
      <c r="A12" s="21">
        <f t="shared" ref="A12:A75" ca="1" si="0">A11-7</f>
        <v>46154</v>
      </c>
      <c r="B12" s="19" t="e" cm="1">
        <f t="array" aca="1" ref="B12" ca="1">[1]!s_west_netprofit($B$1,2026,$A12,180,1000000)</f>
        <v>#NAME?</v>
      </c>
      <c r="C12" s="20" t="e" cm="1">
        <f t="array" aca="1" ref="C12" ca="1">[1]!s_dq_close($B$1,$A12,3)</f>
        <v>#NAME?</v>
      </c>
    </row>
    <row r="13" spans="1:4" ht="18">
      <c r="A13" s="21">
        <f t="shared" ca="1" si="0"/>
        <v>46147</v>
      </c>
      <c r="B13" s="19" t="e" cm="1">
        <f t="array" aca="1" ref="B13" ca="1">[1]!s_west_netprofit($B$1,2026,$A13,180,1000000)</f>
        <v>#NAME?</v>
      </c>
      <c r="C13" s="20" t="e" cm="1">
        <f t="array" aca="1" ref="C13" ca="1">[1]!s_dq_close($B$1,$A13,3)</f>
        <v>#NAME?</v>
      </c>
    </row>
    <row r="14" spans="1:4" ht="18">
      <c r="A14" s="21">
        <f t="shared" ca="1" si="0"/>
        <v>46140</v>
      </c>
      <c r="B14" s="19" t="e" cm="1">
        <f t="array" aca="1" ref="B14" ca="1">[1]!s_west_netprofit($B$1,2026,$A14,180,1000000)</f>
        <v>#NAME?</v>
      </c>
      <c r="C14" s="20" t="e" cm="1">
        <f t="array" aca="1" ref="C14" ca="1">[1]!s_dq_close($B$1,$A14,3)</f>
        <v>#NAME?</v>
      </c>
    </row>
    <row r="15" spans="1:4" ht="18">
      <c r="A15" s="21">
        <f t="shared" ca="1" si="0"/>
        <v>46133</v>
      </c>
      <c r="B15" s="19" t="e" cm="1">
        <f t="array" aca="1" ref="B15" ca="1">[1]!s_west_netprofit($B$1,2026,$A15,180,1000000)</f>
        <v>#NAME?</v>
      </c>
      <c r="C15" s="20" t="e" cm="1">
        <f t="array" aca="1" ref="C15" ca="1">[1]!s_dq_close($B$1,$A15,3)</f>
        <v>#NAME?</v>
      </c>
    </row>
    <row r="16" spans="1:4" ht="18">
      <c r="A16" s="21">
        <f t="shared" ca="1" si="0"/>
        <v>46126</v>
      </c>
      <c r="B16" s="19" t="e" cm="1">
        <f t="array" aca="1" ref="B16" ca="1">[1]!s_west_netprofit($B$1,2026,$A16,180,1000000)</f>
        <v>#NAME?</v>
      </c>
      <c r="C16" s="20" t="e" cm="1">
        <f t="array" aca="1" ref="C16" ca="1">[1]!s_dq_close($B$1,$A16,3)</f>
        <v>#NAME?</v>
      </c>
    </row>
    <row r="17" spans="1:3" ht="18">
      <c r="A17" s="21">
        <f t="shared" ca="1" si="0"/>
        <v>46119</v>
      </c>
      <c r="B17" s="19" t="e" cm="1">
        <f t="array" aca="1" ref="B17" ca="1">[1]!s_west_netprofit($B$1,2026,$A17,180,1000000)</f>
        <v>#NAME?</v>
      </c>
      <c r="C17" s="20" t="e" cm="1">
        <f t="array" aca="1" ref="C17" ca="1">[1]!s_dq_close($B$1,$A17,3)</f>
        <v>#NAME?</v>
      </c>
    </row>
    <row r="18" spans="1:3" ht="18">
      <c r="A18" s="21">
        <f t="shared" ca="1" si="0"/>
        <v>46112</v>
      </c>
      <c r="B18" s="19" t="e" cm="1">
        <f t="array" aca="1" ref="B18" ca="1">[1]!s_west_netprofit($B$1,2026,$A18,180,1000000)</f>
        <v>#NAME?</v>
      </c>
      <c r="C18" s="20" t="e" cm="1">
        <f t="array" aca="1" ref="C18" ca="1">[1]!s_dq_close($B$1,$A18,3)</f>
        <v>#NAME?</v>
      </c>
    </row>
    <row r="19" spans="1:3" ht="18">
      <c r="A19" s="21">
        <f t="shared" ca="1" si="0"/>
        <v>46105</v>
      </c>
      <c r="B19" s="19" t="e" cm="1">
        <f t="array" aca="1" ref="B19" ca="1">[1]!s_west_netprofit($B$1,2026,$A19,180,1000000)</f>
        <v>#NAME?</v>
      </c>
      <c r="C19" s="20" t="e" cm="1">
        <f t="array" aca="1" ref="C19" ca="1">[1]!s_dq_close($B$1,$A19,3)</f>
        <v>#NAME?</v>
      </c>
    </row>
    <row r="20" spans="1:3" ht="18">
      <c r="A20" s="21">
        <f t="shared" ca="1" si="0"/>
        <v>46098</v>
      </c>
      <c r="B20" s="19" t="e" cm="1">
        <f t="array" aca="1" ref="B20" ca="1">[1]!s_west_netprofit($B$1,2026,$A20,180,1000000)</f>
        <v>#NAME?</v>
      </c>
      <c r="C20" s="20" t="e" cm="1">
        <f t="array" aca="1" ref="C20" ca="1">[1]!s_dq_close($B$1,$A20,3)</f>
        <v>#NAME?</v>
      </c>
    </row>
    <row r="21" spans="1:3" ht="18">
      <c r="A21" s="21">
        <f t="shared" ca="1" si="0"/>
        <v>46091</v>
      </c>
      <c r="B21" s="19" t="e" cm="1">
        <f t="array" aca="1" ref="B21" ca="1">[1]!s_west_netprofit($B$1,2026,$A21,180,1000000)</f>
        <v>#NAME?</v>
      </c>
      <c r="C21" s="20" t="e" cm="1">
        <f t="array" aca="1" ref="C21" ca="1">[1]!s_dq_close($B$1,$A21,3)</f>
        <v>#NAME?</v>
      </c>
    </row>
    <row r="22" spans="1:3" ht="18">
      <c r="A22" s="21">
        <f t="shared" ca="1" si="0"/>
        <v>46084</v>
      </c>
      <c r="B22" s="19" t="e" cm="1">
        <f t="array" aca="1" ref="B22" ca="1">[1]!s_west_netprofit($B$1,2026,$A22,180,1000000)</f>
        <v>#NAME?</v>
      </c>
      <c r="C22" s="20" t="e" cm="1">
        <f t="array" aca="1" ref="C22" ca="1">[1]!s_dq_close($B$1,$A22,3)</f>
        <v>#NAME?</v>
      </c>
    </row>
    <row r="23" spans="1:3" ht="18">
      <c r="A23" s="21">
        <f t="shared" ca="1" si="0"/>
        <v>46077</v>
      </c>
      <c r="B23" s="19" t="e" cm="1">
        <f t="array" aca="1" ref="B23" ca="1">[1]!s_west_netprofit($B$1,2026,$A23,180,1000000)</f>
        <v>#NAME?</v>
      </c>
      <c r="C23" s="20" t="e" cm="1">
        <f t="array" aca="1" ref="C23" ca="1">[1]!s_dq_close($B$1,$A23,3)</f>
        <v>#NAME?</v>
      </c>
    </row>
    <row r="24" spans="1:3" ht="18">
      <c r="A24" s="21">
        <f t="shared" ca="1" si="0"/>
        <v>46070</v>
      </c>
      <c r="B24" s="19" t="e" cm="1">
        <f t="array" aca="1" ref="B24" ca="1">[1]!s_west_netprofit($B$1,2026,$A24,180,1000000)</f>
        <v>#NAME?</v>
      </c>
      <c r="C24" s="20" t="e" cm="1">
        <f t="array" aca="1" ref="C24" ca="1">[1]!s_dq_close($B$1,$A24,3)</f>
        <v>#NAME?</v>
      </c>
    </row>
    <row r="25" spans="1:3" ht="18">
      <c r="A25" s="21">
        <f t="shared" ca="1" si="0"/>
        <v>46063</v>
      </c>
      <c r="B25" s="19" t="e" cm="1">
        <f t="array" aca="1" ref="B25" ca="1">[1]!s_west_netprofit($B$1,2026,$A25,180,1000000)</f>
        <v>#NAME?</v>
      </c>
      <c r="C25" s="20" t="e" cm="1">
        <f t="array" aca="1" ref="C25" ca="1">[1]!s_dq_close($B$1,$A25,3)</f>
        <v>#NAME?</v>
      </c>
    </row>
    <row r="26" spans="1:3" ht="18">
      <c r="A26" s="21">
        <f t="shared" ca="1" si="0"/>
        <v>46056</v>
      </c>
      <c r="B26" s="19" t="e" cm="1">
        <f t="array" aca="1" ref="B26" ca="1">[1]!s_west_netprofit($B$1,2026,$A26,180,1000000)</f>
        <v>#NAME?</v>
      </c>
      <c r="C26" s="20" t="e" cm="1">
        <f t="array" aca="1" ref="C26" ca="1">[1]!s_dq_close($B$1,$A26,3)</f>
        <v>#NAME?</v>
      </c>
    </row>
    <row r="27" spans="1:3" ht="18">
      <c r="A27" s="21">
        <f t="shared" ca="1" si="0"/>
        <v>46049</v>
      </c>
      <c r="B27" s="19" t="e" cm="1">
        <f t="array" aca="1" ref="B27" ca="1">[1]!s_west_netprofit($B$1,2026,$A27,180,1000000)</f>
        <v>#NAME?</v>
      </c>
      <c r="C27" s="20" t="e" cm="1">
        <f t="array" aca="1" ref="C27" ca="1">[1]!s_dq_close($B$1,$A27,3)</f>
        <v>#NAME?</v>
      </c>
    </row>
    <row r="28" spans="1:3" ht="18">
      <c r="A28" s="21">
        <f t="shared" ca="1" si="0"/>
        <v>46042</v>
      </c>
      <c r="B28" s="19" t="e" cm="1">
        <f t="array" aca="1" ref="B28" ca="1">[1]!s_west_netprofit($B$1,2026,$A28,180,1000000)</f>
        <v>#NAME?</v>
      </c>
      <c r="C28" s="20" t="e" cm="1">
        <f t="array" aca="1" ref="C28" ca="1">[1]!s_dq_close($B$1,$A28,3)</f>
        <v>#NAME?</v>
      </c>
    </row>
    <row r="29" spans="1:3" ht="18">
      <c r="A29" s="21">
        <f t="shared" ca="1" si="0"/>
        <v>46035</v>
      </c>
      <c r="B29" s="19" t="e" cm="1">
        <f t="array" aca="1" ref="B29" ca="1">[1]!s_west_netprofit($B$1,2026,$A29,180,1000000)</f>
        <v>#NAME?</v>
      </c>
      <c r="C29" s="20" t="e" cm="1">
        <f t="array" aca="1" ref="C29" ca="1">[1]!s_dq_close($B$1,$A29,3)</f>
        <v>#NAME?</v>
      </c>
    </row>
    <row r="30" spans="1:3" ht="18">
      <c r="A30" s="21">
        <f t="shared" ca="1" si="0"/>
        <v>46028</v>
      </c>
      <c r="B30" s="19" t="e" cm="1">
        <f t="array" aca="1" ref="B30" ca="1">[1]!s_west_netprofit($B$1,2026,$A30,180,1000000)</f>
        <v>#NAME?</v>
      </c>
      <c r="C30" s="20" t="e" cm="1">
        <f t="array" aca="1" ref="C30" ca="1">[1]!s_dq_close($B$1,$A30,3)</f>
        <v>#NAME?</v>
      </c>
    </row>
    <row r="31" spans="1:3" ht="18">
      <c r="A31" s="21">
        <f t="shared" ca="1" si="0"/>
        <v>46021</v>
      </c>
      <c r="B31" s="19" t="e" cm="1">
        <f t="array" aca="1" ref="B31" ca="1">[1]!s_west_netprofit($B$1,2026,$A31,180,1000000)</f>
        <v>#NAME?</v>
      </c>
      <c r="C31" s="20" t="e" cm="1">
        <f t="array" aca="1" ref="C31" ca="1">[1]!s_dq_close($B$1,$A31,3)</f>
        <v>#NAME?</v>
      </c>
    </row>
    <row r="32" spans="1:3" ht="18">
      <c r="A32" s="21">
        <f t="shared" ca="1" si="0"/>
        <v>46014</v>
      </c>
      <c r="B32" s="19" t="e" cm="1">
        <f t="array" aca="1" ref="B32" ca="1">[1]!s_west_netprofit($B$1,2026,$A32,180,1000000)</f>
        <v>#NAME?</v>
      </c>
      <c r="C32" s="20" t="e" cm="1">
        <f t="array" aca="1" ref="C32" ca="1">[1]!s_dq_close($B$1,$A32,3)</f>
        <v>#NAME?</v>
      </c>
    </row>
    <row r="33" spans="1:3" ht="18">
      <c r="A33" s="21">
        <f t="shared" ca="1" si="0"/>
        <v>46007</v>
      </c>
      <c r="B33" s="19" t="e" cm="1">
        <f t="array" aca="1" ref="B33" ca="1">[1]!s_west_netprofit($B$1,2026,$A33,180,1000000)</f>
        <v>#NAME?</v>
      </c>
      <c r="C33" s="20" t="e" cm="1">
        <f t="array" aca="1" ref="C33" ca="1">[1]!s_dq_close($B$1,$A33,3)</f>
        <v>#NAME?</v>
      </c>
    </row>
    <row r="34" spans="1:3" ht="18">
      <c r="A34" s="21">
        <f t="shared" ca="1" si="0"/>
        <v>46000</v>
      </c>
      <c r="B34" s="19" t="e" cm="1">
        <f t="array" aca="1" ref="B34" ca="1">[1]!s_west_netprofit($B$1,2026,$A34,180,1000000)</f>
        <v>#NAME?</v>
      </c>
      <c r="C34" s="20" t="e" cm="1">
        <f t="array" aca="1" ref="C34" ca="1">[1]!s_dq_close($B$1,$A34,3)</f>
        <v>#NAME?</v>
      </c>
    </row>
    <row r="35" spans="1:3" ht="18">
      <c r="A35" s="21">
        <f t="shared" ca="1" si="0"/>
        <v>45993</v>
      </c>
      <c r="B35" s="19" t="e" cm="1">
        <f t="array" aca="1" ref="B35" ca="1">[1]!s_west_netprofit($B$1,2026,$A35,180,1000000)</f>
        <v>#NAME?</v>
      </c>
      <c r="C35" s="20" t="e" cm="1">
        <f t="array" aca="1" ref="C35" ca="1">[1]!s_dq_close($B$1,$A35,3)</f>
        <v>#NAME?</v>
      </c>
    </row>
    <row r="36" spans="1:3" ht="18">
      <c r="A36" s="21">
        <f t="shared" ca="1" si="0"/>
        <v>45986</v>
      </c>
      <c r="B36" s="19" t="e" cm="1">
        <f t="array" aca="1" ref="B36" ca="1">[1]!s_west_netprofit($B$1,2026,$A36,180,1000000)</f>
        <v>#NAME?</v>
      </c>
      <c r="C36" s="20" t="e" cm="1">
        <f t="array" aca="1" ref="C36" ca="1">[1]!s_dq_close($B$1,$A36,3)</f>
        <v>#NAME?</v>
      </c>
    </row>
    <row r="37" spans="1:3" ht="18">
      <c r="A37" s="21">
        <f t="shared" ca="1" si="0"/>
        <v>45979</v>
      </c>
      <c r="B37" s="19" t="e" cm="1">
        <f t="array" aca="1" ref="B37" ca="1">[1]!s_west_netprofit($B$1,2026,$A37,180,1000000)</f>
        <v>#NAME?</v>
      </c>
      <c r="C37" s="20" t="e" cm="1">
        <f t="array" aca="1" ref="C37" ca="1">[1]!s_dq_close($B$1,$A37,3)</f>
        <v>#NAME?</v>
      </c>
    </row>
    <row r="38" spans="1:3" ht="18">
      <c r="A38" s="21">
        <f t="shared" ca="1" si="0"/>
        <v>45972</v>
      </c>
      <c r="B38" s="19" t="e" cm="1">
        <f t="array" aca="1" ref="B38" ca="1">[1]!s_west_netprofit($B$1,2026,$A38,180,1000000)</f>
        <v>#NAME?</v>
      </c>
      <c r="C38" s="20" t="e" cm="1">
        <f t="array" aca="1" ref="C38" ca="1">[1]!s_dq_close($B$1,$A38,3)</f>
        <v>#NAME?</v>
      </c>
    </row>
    <row r="39" spans="1:3" ht="18">
      <c r="A39" s="21">
        <f t="shared" ca="1" si="0"/>
        <v>45965</v>
      </c>
      <c r="B39" s="19" t="e" cm="1">
        <f t="array" aca="1" ref="B39" ca="1">[1]!s_west_netprofit($B$1,2026,$A39,180,1000000)</f>
        <v>#NAME?</v>
      </c>
      <c r="C39" s="20" t="e" cm="1">
        <f t="array" aca="1" ref="C39" ca="1">[1]!s_dq_close($B$1,$A39,3)</f>
        <v>#NAME?</v>
      </c>
    </row>
    <row r="40" spans="1:3" ht="18">
      <c r="A40" s="21">
        <f t="shared" ca="1" si="0"/>
        <v>45958</v>
      </c>
      <c r="B40" s="19" t="e" cm="1">
        <f t="array" aca="1" ref="B40" ca="1">[1]!s_west_netprofit($B$1,2026,$A40,180,1000000)</f>
        <v>#NAME?</v>
      </c>
      <c r="C40" s="20" t="e" cm="1">
        <f t="array" aca="1" ref="C40" ca="1">[1]!s_dq_close($B$1,$A40,3)</f>
        <v>#NAME?</v>
      </c>
    </row>
    <row r="41" spans="1:3" ht="18">
      <c r="A41" s="21">
        <f t="shared" ca="1" si="0"/>
        <v>45951</v>
      </c>
      <c r="B41" s="19" t="e" cm="1">
        <f t="array" aca="1" ref="B41" ca="1">[1]!s_west_netprofit($B$1,2026,$A41,180,1000000)</f>
        <v>#NAME?</v>
      </c>
      <c r="C41" s="20" t="e" cm="1">
        <f t="array" aca="1" ref="C41" ca="1">[1]!s_dq_close($B$1,$A41,3)</f>
        <v>#NAME?</v>
      </c>
    </row>
    <row r="42" spans="1:3" ht="18">
      <c r="A42" s="21">
        <f t="shared" ca="1" si="0"/>
        <v>45944</v>
      </c>
      <c r="B42" s="19" t="e" cm="1">
        <f t="array" aca="1" ref="B42" ca="1">[1]!s_west_netprofit($B$1,2026,$A42,180,1000000)</f>
        <v>#NAME?</v>
      </c>
      <c r="C42" s="20" t="e" cm="1">
        <f t="array" aca="1" ref="C42" ca="1">[1]!s_dq_close($B$1,$A42,3)</f>
        <v>#NAME?</v>
      </c>
    </row>
    <row r="43" spans="1:3" ht="18">
      <c r="A43" s="21">
        <f t="shared" ca="1" si="0"/>
        <v>45937</v>
      </c>
      <c r="B43" s="19" t="e" cm="1">
        <f t="array" aca="1" ref="B43" ca="1">[1]!s_west_netprofit($B$1,2026,$A43,180,1000000)</f>
        <v>#NAME?</v>
      </c>
      <c r="C43" s="20" t="e" cm="1">
        <f t="array" aca="1" ref="C43" ca="1">[1]!s_dq_close($B$1,$A43,3)</f>
        <v>#NAME?</v>
      </c>
    </row>
    <row r="44" spans="1:3" ht="18">
      <c r="A44" s="21">
        <f t="shared" ca="1" si="0"/>
        <v>45930</v>
      </c>
      <c r="B44" s="19" t="e" cm="1">
        <f t="array" aca="1" ref="B44" ca="1">[1]!s_west_netprofit($B$1,2026,$A44,180,1000000)</f>
        <v>#NAME?</v>
      </c>
      <c r="C44" s="20" t="e" cm="1">
        <f t="array" aca="1" ref="C44" ca="1">[1]!s_dq_close($B$1,$A44,3)</f>
        <v>#NAME?</v>
      </c>
    </row>
    <row r="45" spans="1:3" ht="18">
      <c r="A45" s="21">
        <f t="shared" ca="1" si="0"/>
        <v>45923</v>
      </c>
      <c r="B45" s="19" t="e" cm="1">
        <f t="array" aca="1" ref="B45" ca="1">[1]!s_west_netprofit($B$1,2026,$A45,180,1000000)</f>
        <v>#NAME?</v>
      </c>
      <c r="C45" s="20" t="e" cm="1">
        <f t="array" aca="1" ref="C45" ca="1">[1]!s_dq_close($B$1,$A45,3)</f>
        <v>#NAME?</v>
      </c>
    </row>
    <row r="46" spans="1:3" ht="18">
      <c r="A46" s="21">
        <f t="shared" ca="1" si="0"/>
        <v>45916</v>
      </c>
      <c r="B46" s="19" t="e" cm="1">
        <f t="array" aca="1" ref="B46" ca="1">[1]!s_west_netprofit($B$1,2026,$A46,180,1000000)</f>
        <v>#NAME?</v>
      </c>
      <c r="C46" s="20" t="e" cm="1">
        <f t="array" aca="1" ref="C46" ca="1">[1]!s_dq_close($B$1,$A46,3)</f>
        <v>#NAME?</v>
      </c>
    </row>
    <row r="47" spans="1:3" ht="18">
      <c r="A47" s="21">
        <f t="shared" ca="1" si="0"/>
        <v>45909</v>
      </c>
      <c r="B47" s="19" t="e" cm="1">
        <f t="array" aca="1" ref="B47" ca="1">[1]!s_west_netprofit($B$1,2026,$A47,180,1000000)</f>
        <v>#NAME?</v>
      </c>
      <c r="C47" s="20" t="e" cm="1">
        <f t="array" aca="1" ref="C47" ca="1">[1]!s_dq_close($B$1,$A47,3)</f>
        <v>#NAME?</v>
      </c>
    </row>
    <row r="48" spans="1:3" ht="18">
      <c r="A48" s="21">
        <f t="shared" ca="1" si="0"/>
        <v>45902</v>
      </c>
      <c r="B48" s="19" t="e" cm="1">
        <f t="array" aca="1" ref="B48" ca="1">[1]!s_west_netprofit($B$1,2026,$A48,180,1000000)</f>
        <v>#NAME?</v>
      </c>
      <c r="C48" s="20" t="e" cm="1">
        <f t="array" aca="1" ref="C48" ca="1">[1]!s_dq_close($B$1,$A48,3)</f>
        <v>#NAME?</v>
      </c>
    </row>
    <row r="49" spans="1:3" ht="18">
      <c r="A49" s="21">
        <f t="shared" ca="1" si="0"/>
        <v>45895</v>
      </c>
      <c r="B49" s="19" t="e" cm="1">
        <f t="array" aca="1" ref="B49" ca="1">[1]!s_west_netprofit($B$1,2026,$A49,180,1000000)</f>
        <v>#NAME?</v>
      </c>
      <c r="C49" s="20" t="e" cm="1">
        <f t="array" aca="1" ref="C49" ca="1">[1]!s_dq_close($B$1,$A49,3)</f>
        <v>#NAME?</v>
      </c>
    </row>
    <row r="50" spans="1:3" ht="18">
      <c r="A50" s="21">
        <f t="shared" ca="1" si="0"/>
        <v>45888</v>
      </c>
      <c r="B50" s="19" t="e" cm="1">
        <f t="array" aca="1" ref="B50" ca="1">[1]!s_west_netprofit($B$1,2026,$A50,180,1000000)</f>
        <v>#NAME?</v>
      </c>
      <c r="C50" s="20" t="e" cm="1">
        <f t="array" aca="1" ref="C50" ca="1">[1]!s_dq_close($B$1,$A50,3)</f>
        <v>#NAME?</v>
      </c>
    </row>
    <row r="51" spans="1:3" ht="18">
      <c r="A51" s="21">
        <f t="shared" ca="1" si="0"/>
        <v>45881</v>
      </c>
      <c r="B51" s="19" t="e" cm="1">
        <f t="array" aca="1" ref="B51" ca="1">[1]!s_west_netprofit($B$1,2026,$A51,180,1000000)</f>
        <v>#NAME?</v>
      </c>
      <c r="C51" s="20" t="e" cm="1">
        <f t="array" aca="1" ref="C51" ca="1">[1]!s_dq_close($B$1,$A51,3)</f>
        <v>#NAME?</v>
      </c>
    </row>
    <row r="52" spans="1:3" ht="18">
      <c r="A52" s="21">
        <f t="shared" ca="1" si="0"/>
        <v>45874</v>
      </c>
      <c r="B52" s="19" t="e" cm="1">
        <f t="array" aca="1" ref="B52" ca="1">[1]!s_west_netprofit($B$1,2026,$A52,180,1000000)</f>
        <v>#NAME?</v>
      </c>
      <c r="C52" s="20" t="e" cm="1">
        <f t="array" aca="1" ref="C52" ca="1">[1]!s_dq_close($B$1,$A52,3)</f>
        <v>#NAME?</v>
      </c>
    </row>
    <row r="53" spans="1:3" ht="18">
      <c r="A53" s="21">
        <f t="shared" ca="1" si="0"/>
        <v>45867</v>
      </c>
      <c r="B53" s="19" t="e" cm="1">
        <f t="array" aca="1" ref="B53" ca="1">[1]!s_west_netprofit($B$1,2026,$A53,180,1000000)</f>
        <v>#NAME?</v>
      </c>
      <c r="C53" s="20" t="e" cm="1">
        <f t="array" aca="1" ref="C53" ca="1">[1]!s_dq_close($B$1,$A53,3)</f>
        <v>#NAME?</v>
      </c>
    </row>
    <row r="54" spans="1:3" ht="18">
      <c r="A54" s="21">
        <f t="shared" ca="1" si="0"/>
        <v>45860</v>
      </c>
      <c r="B54" s="19" t="e" cm="1">
        <f t="array" aca="1" ref="B54" ca="1">[1]!s_west_netprofit($B$1,2026,$A54,180,1000000)</f>
        <v>#NAME?</v>
      </c>
      <c r="C54" s="20" t="e" cm="1">
        <f t="array" aca="1" ref="C54" ca="1">[1]!s_dq_close($B$1,$A54,3)</f>
        <v>#NAME?</v>
      </c>
    </row>
    <row r="55" spans="1:3" ht="18">
      <c r="A55" s="21">
        <f t="shared" ca="1" si="0"/>
        <v>45853</v>
      </c>
      <c r="B55" s="19" t="e" cm="1">
        <f t="array" aca="1" ref="B55" ca="1">[1]!s_west_netprofit($B$1,2026,$A55,180,1000000)</f>
        <v>#NAME?</v>
      </c>
      <c r="C55" s="20" t="e" cm="1">
        <f t="array" aca="1" ref="C55" ca="1">[1]!s_dq_close($B$1,$A55,3)</f>
        <v>#NAME?</v>
      </c>
    </row>
    <row r="56" spans="1:3" ht="18">
      <c r="A56" s="21">
        <f t="shared" ca="1" si="0"/>
        <v>45846</v>
      </c>
      <c r="B56" s="19" t="e" cm="1">
        <f t="array" aca="1" ref="B56" ca="1">[1]!s_west_netprofit($B$1,2026,$A56,180,1000000)</f>
        <v>#NAME?</v>
      </c>
      <c r="C56" s="20" t="e" cm="1">
        <f t="array" aca="1" ref="C56" ca="1">[1]!s_dq_close($B$1,$A56,3)</f>
        <v>#NAME?</v>
      </c>
    </row>
    <row r="57" spans="1:3" ht="18">
      <c r="A57" s="21">
        <f t="shared" ca="1" si="0"/>
        <v>45839</v>
      </c>
      <c r="B57" s="19" t="e" cm="1">
        <f t="array" aca="1" ref="B57" ca="1">[1]!s_west_netprofit($B$1,2026,$A57,180,1000000)</f>
        <v>#NAME?</v>
      </c>
      <c r="C57" s="20" t="e" cm="1">
        <f t="array" aca="1" ref="C57" ca="1">[1]!s_dq_close($B$1,$A57,3)</f>
        <v>#NAME?</v>
      </c>
    </row>
    <row r="58" spans="1:3" ht="18">
      <c r="A58" s="21">
        <f t="shared" ca="1" si="0"/>
        <v>45832</v>
      </c>
      <c r="B58" s="19" t="e" cm="1">
        <f t="array" aca="1" ref="B58" ca="1">[1]!s_west_netprofit($B$1,2026,$A58,180,1000000)</f>
        <v>#NAME?</v>
      </c>
      <c r="C58" s="20" t="e" cm="1">
        <f t="array" aca="1" ref="C58" ca="1">[1]!s_dq_close($B$1,$A58,3)</f>
        <v>#NAME?</v>
      </c>
    </row>
    <row r="59" spans="1:3" ht="18">
      <c r="A59" s="21">
        <f t="shared" ca="1" si="0"/>
        <v>45825</v>
      </c>
      <c r="B59" s="19" t="e" cm="1">
        <f t="array" aca="1" ref="B59" ca="1">[1]!s_west_netprofit($B$1,2026,$A59,180,1000000)</f>
        <v>#NAME?</v>
      </c>
      <c r="C59" s="20" t="e" cm="1">
        <f t="array" aca="1" ref="C59" ca="1">[1]!s_dq_close($B$1,$A59,3)</f>
        <v>#NAME?</v>
      </c>
    </row>
    <row r="60" spans="1:3" ht="18">
      <c r="A60" s="21">
        <f t="shared" ca="1" si="0"/>
        <v>45818</v>
      </c>
      <c r="B60" s="19" t="e" cm="1">
        <f t="array" aca="1" ref="B60" ca="1">[1]!s_west_netprofit($B$1,2026,$A60,180,1000000)</f>
        <v>#NAME?</v>
      </c>
      <c r="C60" s="20" t="e" cm="1">
        <f t="array" aca="1" ref="C60" ca="1">[1]!s_dq_close($B$1,$A60,3)</f>
        <v>#NAME?</v>
      </c>
    </row>
    <row r="61" spans="1:3" ht="18">
      <c r="A61" s="21">
        <f t="shared" ca="1" si="0"/>
        <v>45811</v>
      </c>
      <c r="B61" s="19" t="e" cm="1">
        <f t="array" aca="1" ref="B61" ca="1">[1]!s_west_netprofit($B$1,2026,$A61,180,1000000)</f>
        <v>#NAME?</v>
      </c>
      <c r="C61" s="20" t="e" cm="1">
        <f t="array" aca="1" ref="C61" ca="1">[1]!s_dq_close($B$1,$A61,3)</f>
        <v>#NAME?</v>
      </c>
    </row>
    <row r="62" spans="1:3" ht="18">
      <c r="A62" s="21">
        <f t="shared" ca="1" si="0"/>
        <v>45804</v>
      </c>
      <c r="B62" s="19" t="e" cm="1">
        <f t="array" aca="1" ref="B62" ca="1">[1]!s_west_netprofit($B$1,2026,$A62,180,1000000)</f>
        <v>#NAME?</v>
      </c>
      <c r="C62" s="20" t="e" cm="1">
        <f t="array" aca="1" ref="C62" ca="1">[1]!s_dq_close($B$1,$A62,3)</f>
        <v>#NAME?</v>
      </c>
    </row>
    <row r="63" spans="1:3" ht="18">
      <c r="A63" s="21">
        <f t="shared" ca="1" si="0"/>
        <v>45797</v>
      </c>
      <c r="B63" s="19" t="e" cm="1">
        <f t="array" aca="1" ref="B63" ca="1">[1]!s_west_netprofit($B$1,2026,$A63,180,1000000)</f>
        <v>#NAME?</v>
      </c>
      <c r="C63" s="20" t="e" cm="1">
        <f t="array" aca="1" ref="C63" ca="1">[1]!s_dq_close($B$1,$A63,3)</f>
        <v>#NAME?</v>
      </c>
    </row>
    <row r="64" spans="1:3" ht="18">
      <c r="A64" s="21">
        <f t="shared" ca="1" si="0"/>
        <v>45790</v>
      </c>
      <c r="B64" s="19" t="e" cm="1">
        <f t="array" aca="1" ref="B64" ca="1">[1]!s_west_netprofit($B$1,2026,$A64,180,1000000)</f>
        <v>#NAME?</v>
      </c>
      <c r="C64" s="20" t="e" cm="1">
        <f t="array" aca="1" ref="C64" ca="1">[1]!s_dq_close($B$1,$A64,3)</f>
        <v>#NAME?</v>
      </c>
    </row>
    <row r="65" spans="1:3" ht="18">
      <c r="A65" s="21">
        <f t="shared" ca="1" si="0"/>
        <v>45783</v>
      </c>
      <c r="B65" s="19" t="e" cm="1">
        <f t="array" aca="1" ref="B65" ca="1">[1]!s_west_netprofit($B$1,2026,$A65,180,1000000)</f>
        <v>#NAME?</v>
      </c>
      <c r="C65" s="20" t="e" cm="1">
        <f t="array" aca="1" ref="C65" ca="1">[1]!s_dq_close($B$1,$A65,3)</f>
        <v>#NAME?</v>
      </c>
    </row>
    <row r="66" spans="1:3" ht="18">
      <c r="A66" s="21">
        <f t="shared" ca="1" si="0"/>
        <v>45776</v>
      </c>
      <c r="B66" s="19" t="e" cm="1">
        <f t="array" aca="1" ref="B66" ca="1">[1]!s_west_netprofit($B$1,2026,$A66,180,1000000)</f>
        <v>#NAME?</v>
      </c>
      <c r="C66" s="20" t="e" cm="1">
        <f t="array" aca="1" ref="C66" ca="1">[1]!s_dq_close($B$1,$A66,3)</f>
        <v>#NAME?</v>
      </c>
    </row>
    <row r="67" spans="1:3" ht="18">
      <c r="A67" s="21">
        <f t="shared" ca="1" si="0"/>
        <v>45769</v>
      </c>
      <c r="B67" s="19" t="e" cm="1">
        <f t="array" aca="1" ref="B67" ca="1">[1]!s_west_netprofit($B$1,2026,$A67,180,1000000)</f>
        <v>#NAME?</v>
      </c>
      <c r="C67" s="20" t="e" cm="1">
        <f t="array" aca="1" ref="C67" ca="1">[1]!s_dq_close($B$1,$A67,3)</f>
        <v>#NAME?</v>
      </c>
    </row>
    <row r="68" spans="1:3" ht="18">
      <c r="A68" s="21">
        <f t="shared" ca="1" si="0"/>
        <v>45762</v>
      </c>
      <c r="B68" s="19" t="e" cm="1">
        <f t="array" aca="1" ref="B68" ca="1">[1]!s_west_netprofit($B$1,2026,$A68,180,1000000)</f>
        <v>#NAME?</v>
      </c>
      <c r="C68" s="20" t="e" cm="1">
        <f t="array" aca="1" ref="C68" ca="1">[1]!s_dq_close($B$1,$A68,3)</f>
        <v>#NAME?</v>
      </c>
    </row>
    <row r="69" spans="1:3" ht="18">
      <c r="A69" s="21">
        <f t="shared" ca="1" si="0"/>
        <v>45755</v>
      </c>
      <c r="B69" s="19" t="e" cm="1">
        <f t="array" aca="1" ref="B69" ca="1">[1]!s_west_netprofit($B$1,2026,$A69,180,1000000)</f>
        <v>#NAME?</v>
      </c>
      <c r="C69" s="20" t="e" cm="1">
        <f t="array" aca="1" ref="C69" ca="1">[1]!s_dq_close($B$1,$A69,3)</f>
        <v>#NAME?</v>
      </c>
    </row>
    <row r="70" spans="1:3" ht="18">
      <c r="A70" s="21">
        <f t="shared" ca="1" si="0"/>
        <v>45748</v>
      </c>
      <c r="B70" s="19" t="e" cm="1">
        <f t="array" aca="1" ref="B70" ca="1">[1]!s_west_netprofit($B$1,2026,$A70,180,1000000)</f>
        <v>#NAME?</v>
      </c>
      <c r="C70" s="20" t="e" cm="1">
        <f t="array" aca="1" ref="C70" ca="1">[1]!s_dq_close($B$1,$A70,3)</f>
        <v>#NAME?</v>
      </c>
    </row>
    <row r="71" spans="1:3" ht="18">
      <c r="A71" s="21">
        <f t="shared" ca="1" si="0"/>
        <v>45741</v>
      </c>
      <c r="B71" s="19" t="e" cm="1">
        <f t="array" aca="1" ref="B71" ca="1">[1]!s_west_netprofit($B$1,2026,$A71,180,1000000)</f>
        <v>#NAME?</v>
      </c>
      <c r="C71" s="20" t="e" cm="1">
        <f t="array" aca="1" ref="C71" ca="1">[1]!s_dq_close($B$1,$A71,3)</f>
        <v>#NAME?</v>
      </c>
    </row>
    <row r="72" spans="1:3" ht="18">
      <c r="A72" s="21">
        <f t="shared" ca="1" si="0"/>
        <v>45734</v>
      </c>
      <c r="B72" s="19" t="e" cm="1">
        <f t="array" aca="1" ref="B72" ca="1">[1]!s_west_netprofit($B$1,2026,$A72,180,1000000)</f>
        <v>#NAME?</v>
      </c>
      <c r="C72" s="20" t="e" cm="1">
        <f t="array" aca="1" ref="C72" ca="1">[1]!s_dq_close($B$1,$A72,3)</f>
        <v>#NAME?</v>
      </c>
    </row>
    <row r="73" spans="1:3" ht="18">
      <c r="A73" s="21">
        <f t="shared" ca="1" si="0"/>
        <v>45727</v>
      </c>
      <c r="B73" s="19" t="e" cm="1">
        <f t="array" aca="1" ref="B73" ca="1">[1]!s_west_netprofit($B$1,2026,$A73,180,1000000)</f>
        <v>#NAME?</v>
      </c>
      <c r="C73" s="20" t="e" cm="1">
        <f t="array" aca="1" ref="C73" ca="1">[1]!s_dq_close($B$1,$A73,3)</f>
        <v>#NAME?</v>
      </c>
    </row>
    <row r="74" spans="1:3" ht="18">
      <c r="A74" s="21">
        <f t="shared" ca="1" si="0"/>
        <v>45720</v>
      </c>
      <c r="B74" s="19" t="e" cm="1">
        <f t="array" aca="1" ref="B74" ca="1">[1]!s_west_netprofit($B$1,2026,$A74,180,1000000)</f>
        <v>#NAME?</v>
      </c>
      <c r="C74" s="20" t="e" cm="1">
        <f t="array" aca="1" ref="C74" ca="1">[1]!s_dq_close($B$1,$A74,3)</f>
        <v>#NAME?</v>
      </c>
    </row>
    <row r="75" spans="1:3" ht="18">
      <c r="A75" s="21">
        <f t="shared" ca="1" si="0"/>
        <v>45713</v>
      </c>
      <c r="B75" s="19" t="e" cm="1">
        <f t="array" aca="1" ref="B75" ca="1">[1]!s_west_netprofit($B$1,2026,$A75,180,1000000)</f>
        <v>#NAME?</v>
      </c>
      <c r="C75" s="20" t="e" cm="1">
        <f t="array" aca="1" ref="C75" ca="1">[1]!s_dq_close($B$1,$A75,3)</f>
        <v>#NAME?</v>
      </c>
    </row>
    <row r="76" spans="1:3" ht="18">
      <c r="A76" s="21">
        <f t="shared" ref="A76:A99" ca="1" si="1">A75-7</f>
        <v>45706</v>
      </c>
      <c r="B76" s="19" t="e" cm="1">
        <f t="array" aca="1" ref="B76" ca="1">[1]!s_west_netprofit($B$1,2026,$A76,180,1000000)</f>
        <v>#NAME?</v>
      </c>
      <c r="C76" s="20" t="e" cm="1">
        <f t="array" aca="1" ref="C76" ca="1">[1]!s_dq_close($B$1,$A76,3)</f>
        <v>#NAME?</v>
      </c>
    </row>
    <row r="77" spans="1:3" ht="18">
      <c r="A77" s="21">
        <f t="shared" ca="1" si="1"/>
        <v>45699</v>
      </c>
      <c r="B77" s="19" t="e" cm="1">
        <f t="array" aca="1" ref="B77" ca="1">[1]!s_west_netprofit($B$1,2026,$A77,180,1000000)</f>
        <v>#NAME?</v>
      </c>
      <c r="C77" s="20" t="e" cm="1">
        <f t="array" aca="1" ref="C77" ca="1">[1]!s_dq_close($B$1,$A77,3)</f>
        <v>#NAME?</v>
      </c>
    </row>
    <row r="78" spans="1:3" ht="18">
      <c r="A78" s="21">
        <f t="shared" ca="1" si="1"/>
        <v>45692</v>
      </c>
      <c r="B78" s="19" t="e" cm="1">
        <f t="array" aca="1" ref="B78" ca="1">[1]!s_west_netprofit($B$1,2026,$A78,180,1000000)</f>
        <v>#NAME?</v>
      </c>
      <c r="C78" s="20" t="e" cm="1">
        <f t="array" aca="1" ref="C78" ca="1">[1]!s_dq_close($B$1,$A78,3)</f>
        <v>#NAME?</v>
      </c>
    </row>
    <row r="79" spans="1:3" ht="18">
      <c r="A79" s="21">
        <f t="shared" ca="1" si="1"/>
        <v>45685</v>
      </c>
      <c r="B79" s="19" t="e" cm="1">
        <f t="array" aca="1" ref="B79" ca="1">[1]!s_west_netprofit($B$1,2026,$A79,180,1000000)</f>
        <v>#NAME?</v>
      </c>
      <c r="C79" s="20" t="e" cm="1">
        <f t="array" aca="1" ref="C79" ca="1">[1]!s_dq_close($B$1,$A79,3)</f>
        <v>#NAME?</v>
      </c>
    </row>
    <row r="80" spans="1:3" ht="18">
      <c r="A80" s="21">
        <f t="shared" ca="1" si="1"/>
        <v>45678</v>
      </c>
      <c r="B80" s="19" t="e" cm="1">
        <f t="array" aca="1" ref="B80" ca="1">[1]!s_west_netprofit($B$1,2026,$A80,180,1000000)</f>
        <v>#NAME?</v>
      </c>
      <c r="C80" s="20" t="e" cm="1">
        <f t="array" aca="1" ref="C80" ca="1">[1]!s_dq_close($B$1,$A80,3)</f>
        <v>#NAME?</v>
      </c>
    </row>
    <row r="81" spans="1:3" ht="18">
      <c r="A81" s="21">
        <f t="shared" ca="1" si="1"/>
        <v>45671</v>
      </c>
      <c r="B81" s="19" t="e" cm="1">
        <f t="array" aca="1" ref="B81" ca="1">[1]!s_west_netprofit($B$1,2026,$A81,180,1000000)</f>
        <v>#NAME?</v>
      </c>
      <c r="C81" s="20" t="e" cm="1">
        <f t="array" aca="1" ref="C81" ca="1">[1]!s_dq_close($B$1,$A81,3)</f>
        <v>#NAME?</v>
      </c>
    </row>
    <row r="82" spans="1:3" ht="18">
      <c r="A82" s="21">
        <f t="shared" ca="1" si="1"/>
        <v>45664</v>
      </c>
      <c r="B82" s="19" t="e" cm="1">
        <f t="array" aca="1" ref="B82" ca="1">[1]!s_west_netprofit($B$1,2026,$A82,180,1000000)</f>
        <v>#NAME?</v>
      </c>
      <c r="C82" s="20" t="e" cm="1">
        <f t="array" aca="1" ref="C82" ca="1">[1]!s_dq_close($B$1,$A82,3)</f>
        <v>#NAME?</v>
      </c>
    </row>
    <row r="83" spans="1:3" ht="18">
      <c r="A83" s="21">
        <f t="shared" ca="1" si="1"/>
        <v>45657</v>
      </c>
      <c r="B83" s="19" t="e" cm="1">
        <f t="array" aca="1" ref="B83" ca="1">[1]!s_west_netprofit($B$1,2026,$A83,180,1000000)</f>
        <v>#NAME?</v>
      </c>
      <c r="C83" s="20" t="e" cm="1">
        <f t="array" aca="1" ref="C83" ca="1">[1]!s_dq_close($B$1,$A83,3)</f>
        <v>#NAME?</v>
      </c>
    </row>
    <row r="84" spans="1:3" ht="18">
      <c r="A84" s="21">
        <f t="shared" ca="1" si="1"/>
        <v>45650</v>
      </c>
      <c r="B84" s="19" t="e" cm="1">
        <f t="array" aca="1" ref="B84" ca="1">[1]!s_west_netprofit($B$1,2026,$A84,180,1000000)</f>
        <v>#NAME?</v>
      </c>
      <c r="C84" s="20" t="e" cm="1">
        <f t="array" aca="1" ref="C84" ca="1">[1]!s_dq_close($B$1,$A84,3)</f>
        <v>#NAME?</v>
      </c>
    </row>
    <row r="85" spans="1:3" ht="18">
      <c r="A85" s="21">
        <f t="shared" ca="1" si="1"/>
        <v>45643</v>
      </c>
      <c r="B85" s="19" t="e" cm="1">
        <f t="array" aca="1" ref="B85" ca="1">[1]!s_west_netprofit($B$1,2026,$A85,180,1000000)</f>
        <v>#NAME?</v>
      </c>
      <c r="C85" s="20" t="e" cm="1">
        <f t="array" aca="1" ref="C85" ca="1">[1]!s_dq_close($B$1,$A85,3)</f>
        <v>#NAME?</v>
      </c>
    </row>
    <row r="86" spans="1:3" ht="18">
      <c r="A86" s="21">
        <f t="shared" ca="1" si="1"/>
        <v>45636</v>
      </c>
      <c r="B86" s="19" t="e" cm="1">
        <f t="array" aca="1" ref="B86" ca="1">[1]!s_west_netprofit($B$1,2026,$A86,180,1000000)</f>
        <v>#NAME?</v>
      </c>
      <c r="C86" s="20" t="e" cm="1">
        <f t="array" aca="1" ref="C86" ca="1">[1]!s_dq_close($B$1,$A86,3)</f>
        <v>#NAME?</v>
      </c>
    </row>
    <row r="87" spans="1:3" ht="18">
      <c r="A87" s="21">
        <f t="shared" ca="1" si="1"/>
        <v>45629</v>
      </c>
      <c r="B87" s="19" t="e" cm="1">
        <f t="array" aca="1" ref="B87" ca="1">[1]!s_west_netprofit($B$1,2026,$A87,180,1000000)</f>
        <v>#NAME?</v>
      </c>
      <c r="C87" s="20" t="e" cm="1">
        <f t="array" aca="1" ref="C87" ca="1">[1]!s_dq_close($B$1,$A87,3)</f>
        <v>#NAME?</v>
      </c>
    </row>
    <row r="88" spans="1:3" ht="18">
      <c r="A88" s="21">
        <f t="shared" ca="1" si="1"/>
        <v>45622</v>
      </c>
      <c r="B88" s="19" t="e" cm="1">
        <f t="array" aca="1" ref="B88" ca="1">[1]!s_west_netprofit($B$1,2026,$A88,180,1000000)</f>
        <v>#NAME?</v>
      </c>
      <c r="C88" s="20" t="e" cm="1">
        <f t="array" aca="1" ref="C88" ca="1">[1]!s_dq_close($B$1,$A88,3)</f>
        <v>#NAME?</v>
      </c>
    </row>
    <row r="89" spans="1:3" ht="18">
      <c r="A89" s="21">
        <f t="shared" ca="1" si="1"/>
        <v>45615</v>
      </c>
      <c r="B89" s="19" t="e" cm="1">
        <f t="array" aca="1" ref="B89" ca="1">[1]!s_west_netprofit($B$1,2026,$A89,180,1000000)</f>
        <v>#NAME?</v>
      </c>
      <c r="C89" s="20" t="e" cm="1">
        <f t="array" aca="1" ref="C89" ca="1">[1]!s_dq_close($B$1,$A89,3)</f>
        <v>#NAME?</v>
      </c>
    </row>
    <row r="90" spans="1:3" ht="18">
      <c r="A90" s="21">
        <f t="shared" ca="1" si="1"/>
        <v>45608</v>
      </c>
      <c r="B90" s="19" t="e" cm="1">
        <f t="array" aca="1" ref="B90" ca="1">[1]!s_west_netprofit($B$1,2026,$A90,180,1000000)</f>
        <v>#NAME?</v>
      </c>
      <c r="C90" s="20" t="e" cm="1">
        <f t="array" aca="1" ref="C90" ca="1">[1]!s_dq_close($B$1,$A90,3)</f>
        <v>#NAME?</v>
      </c>
    </row>
    <row r="91" spans="1:3" ht="18">
      <c r="A91" s="21">
        <f t="shared" ca="1" si="1"/>
        <v>45601</v>
      </c>
      <c r="B91" s="19" t="e" cm="1">
        <f t="array" aca="1" ref="B91" ca="1">[1]!s_west_netprofit($B$1,2026,$A91,180,1000000)</f>
        <v>#NAME?</v>
      </c>
      <c r="C91" s="20" t="e" cm="1">
        <f t="array" aca="1" ref="C91" ca="1">[1]!s_dq_close($B$1,$A91,3)</f>
        <v>#NAME?</v>
      </c>
    </row>
    <row r="92" spans="1:3" ht="18">
      <c r="A92" s="21">
        <f t="shared" ca="1" si="1"/>
        <v>45594</v>
      </c>
      <c r="B92" s="19" t="e" cm="1">
        <f t="array" aca="1" ref="B92" ca="1">[1]!s_west_netprofit($B$1,2026,$A92,180,1000000)</f>
        <v>#NAME?</v>
      </c>
      <c r="C92" s="20" t="e" cm="1">
        <f t="array" aca="1" ref="C92" ca="1">[1]!s_dq_close($B$1,$A92,3)</f>
        <v>#NAME?</v>
      </c>
    </row>
    <row r="93" spans="1:3" ht="18">
      <c r="A93" s="21">
        <f t="shared" ca="1" si="1"/>
        <v>45587</v>
      </c>
      <c r="B93" s="19" t="e" cm="1">
        <f t="array" aca="1" ref="B93" ca="1">[1]!s_west_netprofit($B$1,2026,$A93,180,1000000)</f>
        <v>#NAME?</v>
      </c>
      <c r="C93" s="20" t="e" cm="1">
        <f t="array" aca="1" ref="C93" ca="1">[1]!s_dq_close($B$1,$A93,3)</f>
        <v>#NAME?</v>
      </c>
    </row>
    <row r="94" spans="1:3" ht="18">
      <c r="A94" s="21">
        <f t="shared" ca="1" si="1"/>
        <v>45580</v>
      </c>
      <c r="B94" s="19" t="e" cm="1">
        <f t="array" aca="1" ref="B94" ca="1">[1]!s_west_netprofit($B$1,2026,$A94,180,1000000)</f>
        <v>#NAME?</v>
      </c>
      <c r="C94" s="20" t="e" cm="1">
        <f t="array" aca="1" ref="C94" ca="1">[1]!s_dq_close($B$1,$A94,3)</f>
        <v>#NAME?</v>
      </c>
    </row>
    <row r="95" spans="1:3" ht="18">
      <c r="A95" s="21">
        <f t="shared" ca="1" si="1"/>
        <v>45573</v>
      </c>
      <c r="B95" s="19" t="e" cm="1">
        <f t="array" aca="1" ref="B95" ca="1">[1]!s_west_netprofit($B$1,2026,$A95,180,1000000)</f>
        <v>#NAME?</v>
      </c>
      <c r="C95" s="20" t="e" cm="1">
        <f t="array" aca="1" ref="C95" ca="1">[1]!s_dq_close($B$1,$A95,3)</f>
        <v>#NAME?</v>
      </c>
    </row>
    <row r="96" spans="1:3" ht="18">
      <c r="A96" s="21">
        <f t="shared" ca="1" si="1"/>
        <v>45566</v>
      </c>
      <c r="B96" s="19" t="e" cm="1">
        <f t="array" aca="1" ref="B96" ca="1">[1]!s_west_netprofit($B$1,2026,$A96,180,1000000)</f>
        <v>#NAME?</v>
      </c>
      <c r="C96" s="20" t="e" cm="1">
        <f t="array" aca="1" ref="C96" ca="1">[1]!s_dq_close($B$1,$A96,3)</f>
        <v>#NAME?</v>
      </c>
    </row>
    <row r="97" spans="1:3" ht="18">
      <c r="A97" s="21">
        <f t="shared" ca="1" si="1"/>
        <v>45559</v>
      </c>
      <c r="B97" s="19" t="e" cm="1">
        <f t="array" aca="1" ref="B97" ca="1">[1]!s_west_netprofit($B$1,2026,$A97,180,1000000)</f>
        <v>#NAME?</v>
      </c>
      <c r="C97" s="20" t="e" cm="1">
        <f t="array" aca="1" ref="C97" ca="1">[1]!s_dq_close($B$1,$A97,3)</f>
        <v>#NAME?</v>
      </c>
    </row>
    <row r="98" spans="1:3" ht="18">
      <c r="A98" s="21">
        <f t="shared" ca="1" si="1"/>
        <v>45552</v>
      </c>
      <c r="B98" s="19" t="e" cm="1">
        <f t="array" aca="1" ref="B98" ca="1">[1]!s_west_netprofit($B$1,2026,$A98,180,1000000)</f>
        <v>#NAME?</v>
      </c>
      <c r="C98" s="20" t="e" cm="1">
        <f t="array" aca="1" ref="C98" ca="1">[1]!s_dq_close($B$1,$A98,3)</f>
        <v>#NAME?</v>
      </c>
    </row>
    <row r="99" spans="1:3" ht="19" thickBot="1">
      <c r="A99" s="22">
        <f t="shared" ca="1" si="1"/>
        <v>45545</v>
      </c>
      <c r="B99" s="23" t="e" cm="1">
        <f t="array" aca="1" ref="B99" ca="1">[1]!s_west_netprofit($B$1,2026,$A99,180,1000000)</f>
        <v>#NAME?</v>
      </c>
      <c r="C99" s="24" t="e" cm="1">
        <f t="array" aca="1" ref="C99" ca="1">[1]!s_dq_close($B$1,$A99,3)</f>
        <v>#NAME?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2F143-D3F5-0B48-85CB-A38E40D5316B}">
  <dimension ref="A1:D99"/>
  <sheetViews>
    <sheetView workbookViewId="0">
      <selection sqref="A1:XFD1048576"/>
    </sheetView>
  </sheetViews>
  <sheetFormatPr baseColWidth="10" defaultColWidth="9.1640625" defaultRowHeight="16"/>
  <cols>
    <col min="1" max="1" width="36.33203125" customWidth="1"/>
    <col min="2" max="2" width="26" customWidth="1"/>
    <col min="3" max="3" width="40" customWidth="1"/>
    <col min="4" max="4" width="11" bestFit="1" customWidth="1"/>
  </cols>
  <sheetData>
    <row r="1" spans="1:4" ht="17" thickBot="1">
      <c r="A1" t="e">
        <f ca="1">[1]!S_INFO_NAME($B$1)</f>
        <v>#NAME?</v>
      </c>
      <c r="B1" s="1"/>
      <c r="C1" t="s">
        <v>0</v>
      </c>
      <c r="D1" s="2">
        <f ca="1">TODAY()</f>
        <v>46161</v>
      </c>
    </row>
    <row r="2" spans="1:4" s="6" customFormat="1" ht="18">
      <c r="A2" s="3" t="s">
        <v>4</v>
      </c>
      <c r="B2" s="4">
        <v>2025</v>
      </c>
      <c r="C2" s="5">
        <v>2026</v>
      </c>
    </row>
    <row r="3" spans="1:4" s="6" customFormat="1" ht="18">
      <c r="A3" s="7" t="s">
        <v>5</v>
      </c>
      <c r="B3" s="8" t="e">
        <f ca="1">[1]!s_west_instnum_np($B$1,2025,$D$1,180)</f>
        <v>#NAME?</v>
      </c>
      <c r="C3" s="9" t="e">
        <f ca="1">[1]!s_west_instnum_np($B$1,2026,$D$1,180)</f>
        <v>#NAME?</v>
      </c>
    </row>
    <row r="4" spans="1:4" s="6" customFormat="1" ht="18">
      <c r="A4" s="7" t="s">
        <v>2</v>
      </c>
      <c r="B4" s="10" t="e">
        <f ca="1">[1]!s_west_instnum_np($A$1,2025,$D$1,180)</f>
        <v>#NAME?</v>
      </c>
      <c r="C4" s="11" t="e">
        <f ca="1">[1]!s_west_netprofit($B$1,2026,$D$1,180,1000000)</f>
        <v>#NAME?</v>
      </c>
    </row>
    <row r="5" spans="1:4" s="6" customFormat="1" ht="18">
      <c r="A5" s="7" t="s">
        <v>6</v>
      </c>
      <c r="B5" s="10" t="e">
        <f ca="1">[1]!s_west_maxnetprofit($B$1,2025,$D$1,180,1000000)</f>
        <v>#NAME?</v>
      </c>
      <c r="C5" s="11" t="e">
        <f ca="1">[1]!s_west_maxnetprofit($B$1,2026,$D$1,180,1000000)</f>
        <v>#NAME?</v>
      </c>
    </row>
    <row r="6" spans="1:4" s="6" customFormat="1" ht="18">
      <c r="A6" s="7" t="s">
        <v>7</v>
      </c>
      <c r="B6" s="10" t="e">
        <f ca="1">[1]!s_west_minnetprofit($B$1,2025,$D$1,180,1000000)</f>
        <v>#NAME?</v>
      </c>
      <c r="C6" s="11" t="e">
        <f ca="1">[1]!s_west_minnetprofit($B$1,2026,$D$1,180,1000000)</f>
        <v>#NAME?</v>
      </c>
    </row>
    <row r="7" spans="1:4" s="6" customFormat="1" ht="18">
      <c r="A7" s="7" t="s">
        <v>8</v>
      </c>
      <c r="B7" s="10" t="e">
        <f ca="1">[1]!s_west_mediannetprofit($B$1,2025,$D$1,180,1000000)</f>
        <v>#NAME?</v>
      </c>
      <c r="C7" s="11" t="e">
        <f ca="1">[1]!s_west_mediannetprofit($B$1,2026,$D$1,180,1000000)</f>
        <v>#NAME?</v>
      </c>
    </row>
    <row r="8" spans="1:4" s="6" customFormat="1" ht="19" thickBot="1">
      <c r="A8" s="12" t="s">
        <v>9</v>
      </c>
      <c r="B8" s="13" t="e">
        <f ca="1">[1]!s_west_stdnetprofit($B$1,2025,$D$1,180,1000000)</f>
        <v>#NAME?</v>
      </c>
      <c r="C8" s="14" t="e">
        <f ca="1">[1]!s_west_stdnetprofit($B$1,2026,$D$1,180,1000000)</f>
        <v>#NAME?</v>
      </c>
    </row>
    <row r="10" spans="1:4">
      <c r="A10" s="15" t="s">
        <v>1</v>
      </c>
      <c r="B10" s="16" t="s">
        <v>2</v>
      </c>
      <c r="C10" s="17" t="s">
        <v>3</v>
      </c>
    </row>
    <row r="11" spans="1:4" ht="18">
      <c r="A11" s="18">
        <f ca="1">TODAY()-IF(WEEKDAY(TODAY(),2)=6,1,IF(WEEKDAY(TODAY(),2)=7,2,0))</f>
        <v>46161</v>
      </c>
      <c r="B11" s="19" t="e" cm="1">
        <f t="array" aca="1" ref="B11" ca="1">[1]!s_west_netprofit($B$1,2026,$A11,180,1000000)</f>
        <v>#NAME?</v>
      </c>
      <c r="C11" s="20" t="e" cm="1">
        <f t="array" aca="1" ref="C11" ca="1">[1]!s_dq_close($B$1,$A11,3)</f>
        <v>#NAME?</v>
      </c>
    </row>
    <row r="12" spans="1:4" ht="18">
      <c r="A12" s="21">
        <f t="shared" ref="A12:A75" ca="1" si="0">A11-7</f>
        <v>46154</v>
      </c>
      <c r="B12" s="19" t="e" cm="1">
        <f t="array" aca="1" ref="B12" ca="1">[1]!s_west_netprofit($B$1,2026,$A12,180,1000000)</f>
        <v>#NAME?</v>
      </c>
      <c r="C12" s="20" t="e" cm="1">
        <f t="array" aca="1" ref="C12" ca="1">[1]!s_dq_close($B$1,$A12,3)</f>
        <v>#NAME?</v>
      </c>
    </row>
    <row r="13" spans="1:4" ht="18">
      <c r="A13" s="21">
        <f t="shared" ca="1" si="0"/>
        <v>46147</v>
      </c>
      <c r="B13" s="19" t="e" cm="1">
        <f t="array" aca="1" ref="B13" ca="1">[1]!s_west_netprofit($B$1,2026,$A13,180,1000000)</f>
        <v>#NAME?</v>
      </c>
      <c r="C13" s="20" t="e" cm="1">
        <f t="array" aca="1" ref="C13" ca="1">[1]!s_dq_close($B$1,$A13,3)</f>
        <v>#NAME?</v>
      </c>
    </row>
    <row r="14" spans="1:4" ht="18">
      <c r="A14" s="21">
        <f t="shared" ca="1" si="0"/>
        <v>46140</v>
      </c>
      <c r="B14" s="19" t="e" cm="1">
        <f t="array" aca="1" ref="B14" ca="1">[1]!s_west_netprofit($B$1,2026,$A14,180,1000000)</f>
        <v>#NAME?</v>
      </c>
      <c r="C14" s="20" t="e" cm="1">
        <f t="array" aca="1" ref="C14" ca="1">[1]!s_dq_close($B$1,$A14,3)</f>
        <v>#NAME?</v>
      </c>
    </row>
    <row r="15" spans="1:4" ht="18">
      <c r="A15" s="21">
        <f t="shared" ca="1" si="0"/>
        <v>46133</v>
      </c>
      <c r="B15" s="19" t="e" cm="1">
        <f t="array" aca="1" ref="B15" ca="1">[1]!s_west_netprofit($B$1,2026,$A15,180,1000000)</f>
        <v>#NAME?</v>
      </c>
      <c r="C15" s="20" t="e" cm="1">
        <f t="array" aca="1" ref="C15" ca="1">[1]!s_dq_close($B$1,$A15,3)</f>
        <v>#NAME?</v>
      </c>
    </row>
    <row r="16" spans="1:4" ht="18">
      <c r="A16" s="21">
        <f t="shared" ca="1" si="0"/>
        <v>46126</v>
      </c>
      <c r="B16" s="19" t="e" cm="1">
        <f t="array" aca="1" ref="B16" ca="1">[1]!s_west_netprofit($B$1,2026,$A16,180,1000000)</f>
        <v>#NAME?</v>
      </c>
      <c r="C16" s="20" t="e" cm="1">
        <f t="array" aca="1" ref="C16" ca="1">[1]!s_dq_close($B$1,$A16,3)</f>
        <v>#NAME?</v>
      </c>
    </row>
    <row r="17" spans="1:3" ht="18">
      <c r="A17" s="21">
        <f t="shared" ca="1" si="0"/>
        <v>46119</v>
      </c>
      <c r="B17" s="19" t="e" cm="1">
        <f t="array" aca="1" ref="B17" ca="1">[1]!s_west_netprofit($B$1,2026,$A17,180,1000000)</f>
        <v>#NAME?</v>
      </c>
      <c r="C17" s="20" t="e" cm="1">
        <f t="array" aca="1" ref="C17" ca="1">[1]!s_dq_close($B$1,$A17,3)</f>
        <v>#NAME?</v>
      </c>
    </row>
    <row r="18" spans="1:3" ht="18">
      <c r="A18" s="21">
        <f t="shared" ca="1" si="0"/>
        <v>46112</v>
      </c>
      <c r="B18" s="19" t="e" cm="1">
        <f t="array" aca="1" ref="B18" ca="1">[1]!s_west_netprofit($B$1,2026,$A18,180,1000000)</f>
        <v>#NAME?</v>
      </c>
      <c r="C18" s="20" t="e" cm="1">
        <f t="array" aca="1" ref="C18" ca="1">[1]!s_dq_close($B$1,$A18,3)</f>
        <v>#NAME?</v>
      </c>
    </row>
    <row r="19" spans="1:3" ht="18">
      <c r="A19" s="21">
        <f t="shared" ca="1" si="0"/>
        <v>46105</v>
      </c>
      <c r="B19" s="19" t="e" cm="1">
        <f t="array" aca="1" ref="B19" ca="1">[1]!s_west_netprofit($B$1,2026,$A19,180,1000000)</f>
        <v>#NAME?</v>
      </c>
      <c r="C19" s="20" t="e" cm="1">
        <f t="array" aca="1" ref="C19" ca="1">[1]!s_dq_close($B$1,$A19,3)</f>
        <v>#NAME?</v>
      </c>
    </row>
    <row r="20" spans="1:3" ht="18">
      <c r="A20" s="21">
        <f t="shared" ca="1" si="0"/>
        <v>46098</v>
      </c>
      <c r="B20" s="19" t="e" cm="1">
        <f t="array" aca="1" ref="B20" ca="1">[1]!s_west_netprofit($B$1,2026,$A20,180,1000000)</f>
        <v>#NAME?</v>
      </c>
      <c r="C20" s="20" t="e" cm="1">
        <f t="array" aca="1" ref="C20" ca="1">[1]!s_dq_close($B$1,$A20,3)</f>
        <v>#NAME?</v>
      </c>
    </row>
    <row r="21" spans="1:3" ht="18">
      <c r="A21" s="21">
        <f t="shared" ca="1" si="0"/>
        <v>46091</v>
      </c>
      <c r="B21" s="19" t="e" cm="1">
        <f t="array" aca="1" ref="B21" ca="1">[1]!s_west_netprofit($B$1,2026,$A21,180,1000000)</f>
        <v>#NAME?</v>
      </c>
      <c r="C21" s="20" t="e" cm="1">
        <f t="array" aca="1" ref="C21" ca="1">[1]!s_dq_close($B$1,$A21,3)</f>
        <v>#NAME?</v>
      </c>
    </row>
    <row r="22" spans="1:3" ht="18">
      <c r="A22" s="21">
        <f t="shared" ca="1" si="0"/>
        <v>46084</v>
      </c>
      <c r="B22" s="19" t="e" cm="1">
        <f t="array" aca="1" ref="B22" ca="1">[1]!s_west_netprofit($B$1,2026,$A22,180,1000000)</f>
        <v>#NAME?</v>
      </c>
      <c r="C22" s="20" t="e" cm="1">
        <f t="array" aca="1" ref="C22" ca="1">[1]!s_dq_close($B$1,$A22,3)</f>
        <v>#NAME?</v>
      </c>
    </row>
    <row r="23" spans="1:3" ht="18">
      <c r="A23" s="21">
        <f t="shared" ca="1" si="0"/>
        <v>46077</v>
      </c>
      <c r="B23" s="19" t="e" cm="1">
        <f t="array" aca="1" ref="B23" ca="1">[1]!s_west_netprofit($B$1,2026,$A23,180,1000000)</f>
        <v>#NAME?</v>
      </c>
      <c r="C23" s="20" t="e" cm="1">
        <f t="array" aca="1" ref="C23" ca="1">[1]!s_dq_close($B$1,$A23,3)</f>
        <v>#NAME?</v>
      </c>
    </row>
    <row r="24" spans="1:3" ht="18">
      <c r="A24" s="21">
        <f t="shared" ca="1" si="0"/>
        <v>46070</v>
      </c>
      <c r="B24" s="19" t="e" cm="1">
        <f t="array" aca="1" ref="B24" ca="1">[1]!s_west_netprofit($B$1,2026,$A24,180,1000000)</f>
        <v>#NAME?</v>
      </c>
      <c r="C24" s="20" t="e" cm="1">
        <f t="array" aca="1" ref="C24" ca="1">[1]!s_dq_close($B$1,$A24,3)</f>
        <v>#NAME?</v>
      </c>
    </row>
    <row r="25" spans="1:3" ht="18">
      <c r="A25" s="21">
        <f t="shared" ca="1" si="0"/>
        <v>46063</v>
      </c>
      <c r="B25" s="19" t="e" cm="1">
        <f t="array" aca="1" ref="B25" ca="1">[1]!s_west_netprofit($B$1,2026,$A25,180,1000000)</f>
        <v>#NAME?</v>
      </c>
      <c r="C25" s="20" t="e" cm="1">
        <f t="array" aca="1" ref="C25" ca="1">[1]!s_dq_close($B$1,$A25,3)</f>
        <v>#NAME?</v>
      </c>
    </row>
    <row r="26" spans="1:3" ht="18">
      <c r="A26" s="21">
        <f t="shared" ca="1" si="0"/>
        <v>46056</v>
      </c>
      <c r="B26" s="19" t="e" cm="1">
        <f t="array" aca="1" ref="B26" ca="1">[1]!s_west_netprofit($B$1,2026,$A26,180,1000000)</f>
        <v>#NAME?</v>
      </c>
      <c r="C26" s="20" t="e" cm="1">
        <f t="array" aca="1" ref="C26" ca="1">[1]!s_dq_close($B$1,$A26,3)</f>
        <v>#NAME?</v>
      </c>
    </row>
    <row r="27" spans="1:3" ht="18">
      <c r="A27" s="21">
        <f t="shared" ca="1" si="0"/>
        <v>46049</v>
      </c>
      <c r="B27" s="19" t="e" cm="1">
        <f t="array" aca="1" ref="B27" ca="1">[1]!s_west_netprofit($B$1,2026,$A27,180,1000000)</f>
        <v>#NAME?</v>
      </c>
      <c r="C27" s="20" t="e" cm="1">
        <f t="array" aca="1" ref="C27" ca="1">[1]!s_dq_close($B$1,$A27,3)</f>
        <v>#NAME?</v>
      </c>
    </row>
    <row r="28" spans="1:3" ht="18">
      <c r="A28" s="21">
        <f t="shared" ca="1" si="0"/>
        <v>46042</v>
      </c>
      <c r="B28" s="19" t="e" cm="1">
        <f t="array" aca="1" ref="B28" ca="1">[1]!s_west_netprofit($B$1,2026,$A28,180,1000000)</f>
        <v>#NAME?</v>
      </c>
      <c r="C28" s="20" t="e" cm="1">
        <f t="array" aca="1" ref="C28" ca="1">[1]!s_dq_close($B$1,$A28,3)</f>
        <v>#NAME?</v>
      </c>
    </row>
    <row r="29" spans="1:3" ht="18">
      <c r="A29" s="21">
        <f t="shared" ca="1" si="0"/>
        <v>46035</v>
      </c>
      <c r="B29" s="19" t="e" cm="1">
        <f t="array" aca="1" ref="B29" ca="1">[1]!s_west_netprofit($B$1,2026,$A29,180,1000000)</f>
        <v>#NAME?</v>
      </c>
      <c r="C29" s="20" t="e" cm="1">
        <f t="array" aca="1" ref="C29" ca="1">[1]!s_dq_close($B$1,$A29,3)</f>
        <v>#NAME?</v>
      </c>
    </row>
    <row r="30" spans="1:3" ht="18">
      <c r="A30" s="21">
        <f t="shared" ca="1" si="0"/>
        <v>46028</v>
      </c>
      <c r="B30" s="19" t="e" cm="1">
        <f t="array" aca="1" ref="B30" ca="1">[1]!s_west_netprofit($B$1,2026,$A30,180,1000000)</f>
        <v>#NAME?</v>
      </c>
      <c r="C30" s="20" t="e" cm="1">
        <f t="array" aca="1" ref="C30" ca="1">[1]!s_dq_close($B$1,$A30,3)</f>
        <v>#NAME?</v>
      </c>
    </row>
    <row r="31" spans="1:3" ht="18">
      <c r="A31" s="21">
        <f t="shared" ca="1" si="0"/>
        <v>46021</v>
      </c>
      <c r="B31" s="19" t="e" cm="1">
        <f t="array" aca="1" ref="B31" ca="1">[1]!s_west_netprofit($B$1,2026,$A31,180,1000000)</f>
        <v>#NAME?</v>
      </c>
      <c r="C31" s="20" t="e" cm="1">
        <f t="array" aca="1" ref="C31" ca="1">[1]!s_dq_close($B$1,$A31,3)</f>
        <v>#NAME?</v>
      </c>
    </row>
    <row r="32" spans="1:3" ht="18">
      <c r="A32" s="21">
        <f t="shared" ca="1" si="0"/>
        <v>46014</v>
      </c>
      <c r="B32" s="19" t="e" cm="1">
        <f t="array" aca="1" ref="B32" ca="1">[1]!s_west_netprofit($B$1,2026,$A32,180,1000000)</f>
        <v>#NAME?</v>
      </c>
      <c r="C32" s="20" t="e" cm="1">
        <f t="array" aca="1" ref="C32" ca="1">[1]!s_dq_close($B$1,$A32,3)</f>
        <v>#NAME?</v>
      </c>
    </row>
    <row r="33" spans="1:3" ht="18">
      <c r="A33" s="21">
        <f t="shared" ca="1" si="0"/>
        <v>46007</v>
      </c>
      <c r="B33" s="19" t="e" cm="1">
        <f t="array" aca="1" ref="B33" ca="1">[1]!s_west_netprofit($B$1,2026,$A33,180,1000000)</f>
        <v>#NAME?</v>
      </c>
      <c r="C33" s="20" t="e" cm="1">
        <f t="array" aca="1" ref="C33" ca="1">[1]!s_dq_close($B$1,$A33,3)</f>
        <v>#NAME?</v>
      </c>
    </row>
    <row r="34" spans="1:3" ht="18">
      <c r="A34" s="21">
        <f t="shared" ca="1" si="0"/>
        <v>46000</v>
      </c>
      <c r="B34" s="19" t="e" cm="1">
        <f t="array" aca="1" ref="B34" ca="1">[1]!s_west_netprofit($B$1,2026,$A34,180,1000000)</f>
        <v>#NAME?</v>
      </c>
      <c r="C34" s="20" t="e" cm="1">
        <f t="array" aca="1" ref="C34" ca="1">[1]!s_dq_close($B$1,$A34,3)</f>
        <v>#NAME?</v>
      </c>
    </row>
    <row r="35" spans="1:3" ht="18">
      <c r="A35" s="21">
        <f t="shared" ca="1" si="0"/>
        <v>45993</v>
      </c>
      <c r="B35" s="19" t="e" cm="1">
        <f t="array" aca="1" ref="B35" ca="1">[1]!s_west_netprofit($B$1,2026,$A35,180,1000000)</f>
        <v>#NAME?</v>
      </c>
      <c r="C35" s="20" t="e" cm="1">
        <f t="array" aca="1" ref="C35" ca="1">[1]!s_dq_close($B$1,$A35,3)</f>
        <v>#NAME?</v>
      </c>
    </row>
    <row r="36" spans="1:3" ht="18">
      <c r="A36" s="21">
        <f t="shared" ca="1" si="0"/>
        <v>45986</v>
      </c>
      <c r="B36" s="19" t="e" cm="1">
        <f t="array" aca="1" ref="B36" ca="1">[1]!s_west_netprofit($B$1,2026,$A36,180,1000000)</f>
        <v>#NAME?</v>
      </c>
      <c r="C36" s="20" t="e" cm="1">
        <f t="array" aca="1" ref="C36" ca="1">[1]!s_dq_close($B$1,$A36,3)</f>
        <v>#NAME?</v>
      </c>
    </row>
    <row r="37" spans="1:3" ht="18">
      <c r="A37" s="21">
        <f t="shared" ca="1" si="0"/>
        <v>45979</v>
      </c>
      <c r="B37" s="19" t="e" cm="1">
        <f t="array" aca="1" ref="B37" ca="1">[1]!s_west_netprofit($B$1,2026,$A37,180,1000000)</f>
        <v>#NAME?</v>
      </c>
      <c r="C37" s="20" t="e" cm="1">
        <f t="array" aca="1" ref="C37" ca="1">[1]!s_dq_close($B$1,$A37,3)</f>
        <v>#NAME?</v>
      </c>
    </row>
    <row r="38" spans="1:3" ht="18">
      <c r="A38" s="21">
        <f t="shared" ca="1" si="0"/>
        <v>45972</v>
      </c>
      <c r="B38" s="19" t="e" cm="1">
        <f t="array" aca="1" ref="B38" ca="1">[1]!s_west_netprofit($B$1,2026,$A38,180,1000000)</f>
        <v>#NAME?</v>
      </c>
      <c r="C38" s="20" t="e" cm="1">
        <f t="array" aca="1" ref="C38" ca="1">[1]!s_dq_close($B$1,$A38,3)</f>
        <v>#NAME?</v>
      </c>
    </row>
    <row r="39" spans="1:3" ht="18">
      <c r="A39" s="21">
        <f t="shared" ca="1" si="0"/>
        <v>45965</v>
      </c>
      <c r="B39" s="19" t="e" cm="1">
        <f t="array" aca="1" ref="B39" ca="1">[1]!s_west_netprofit($B$1,2026,$A39,180,1000000)</f>
        <v>#NAME?</v>
      </c>
      <c r="C39" s="20" t="e" cm="1">
        <f t="array" aca="1" ref="C39" ca="1">[1]!s_dq_close($B$1,$A39,3)</f>
        <v>#NAME?</v>
      </c>
    </row>
    <row r="40" spans="1:3" ht="18">
      <c r="A40" s="21">
        <f t="shared" ca="1" si="0"/>
        <v>45958</v>
      </c>
      <c r="B40" s="19" t="e" cm="1">
        <f t="array" aca="1" ref="B40" ca="1">[1]!s_west_netprofit($B$1,2026,$A40,180,1000000)</f>
        <v>#NAME?</v>
      </c>
      <c r="C40" s="20" t="e" cm="1">
        <f t="array" aca="1" ref="C40" ca="1">[1]!s_dq_close($B$1,$A40,3)</f>
        <v>#NAME?</v>
      </c>
    </row>
    <row r="41" spans="1:3" ht="18">
      <c r="A41" s="21">
        <f t="shared" ca="1" si="0"/>
        <v>45951</v>
      </c>
      <c r="B41" s="19" t="e" cm="1">
        <f t="array" aca="1" ref="B41" ca="1">[1]!s_west_netprofit($B$1,2026,$A41,180,1000000)</f>
        <v>#NAME?</v>
      </c>
      <c r="C41" s="20" t="e" cm="1">
        <f t="array" aca="1" ref="C41" ca="1">[1]!s_dq_close($B$1,$A41,3)</f>
        <v>#NAME?</v>
      </c>
    </row>
    <row r="42" spans="1:3" ht="18">
      <c r="A42" s="21">
        <f t="shared" ca="1" si="0"/>
        <v>45944</v>
      </c>
      <c r="B42" s="19" t="e" cm="1">
        <f t="array" aca="1" ref="B42" ca="1">[1]!s_west_netprofit($B$1,2026,$A42,180,1000000)</f>
        <v>#NAME?</v>
      </c>
      <c r="C42" s="20" t="e" cm="1">
        <f t="array" aca="1" ref="C42" ca="1">[1]!s_dq_close($B$1,$A42,3)</f>
        <v>#NAME?</v>
      </c>
    </row>
    <row r="43" spans="1:3" ht="18">
      <c r="A43" s="21">
        <f t="shared" ca="1" si="0"/>
        <v>45937</v>
      </c>
      <c r="B43" s="19" t="e" cm="1">
        <f t="array" aca="1" ref="B43" ca="1">[1]!s_west_netprofit($B$1,2026,$A43,180,1000000)</f>
        <v>#NAME?</v>
      </c>
      <c r="C43" s="20" t="e" cm="1">
        <f t="array" aca="1" ref="C43" ca="1">[1]!s_dq_close($B$1,$A43,3)</f>
        <v>#NAME?</v>
      </c>
    </row>
    <row r="44" spans="1:3" ht="18">
      <c r="A44" s="21">
        <f t="shared" ca="1" si="0"/>
        <v>45930</v>
      </c>
      <c r="B44" s="19" t="e" cm="1">
        <f t="array" aca="1" ref="B44" ca="1">[1]!s_west_netprofit($B$1,2026,$A44,180,1000000)</f>
        <v>#NAME?</v>
      </c>
      <c r="C44" s="20" t="e" cm="1">
        <f t="array" aca="1" ref="C44" ca="1">[1]!s_dq_close($B$1,$A44,3)</f>
        <v>#NAME?</v>
      </c>
    </row>
    <row r="45" spans="1:3" ht="18">
      <c r="A45" s="21">
        <f t="shared" ca="1" si="0"/>
        <v>45923</v>
      </c>
      <c r="B45" s="19" t="e" cm="1">
        <f t="array" aca="1" ref="B45" ca="1">[1]!s_west_netprofit($B$1,2026,$A45,180,1000000)</f>
        <v>#NAME?</v>
      </c>
      <c r="C45" s="20" t="e" cm="1">
        <f t="array" aca="1" ref="C45" ca="1">[1]!s_dq_close($B$1,$A45,3)</f>
        <v>#NAME?</v>
      </c>
    </row>
    <row r="46" spans="1:3" ht="18">
      <c r="A46" s="21">
        <f t="shared" ca="1" si="0"/>
        <v>45916</v>
      </c>
      <c r="B46" s="19" t="e" cm="1">
        <f t="array" aca="1" ref="B46" ca="1">[1]!s_west_netprofit($B$1,2026,$A46,180,1000000)</f>
        <v>#NAME?</v>
      </c>
      <c r="C46" s="20" t="e" cm="1">
        <f t="array" aca="1" ref="C46" ca="1">[1]!s_dq_close($B$1,$A46,3)</f>
        <v>#NAME?</v>
      </c>
    </row>
    <row r="47" spans="1:3" ht="18">
      <c r="A47" s="21">
        <f t="shared" ca="1" si="0"/>
        <v>45909</v>
      </c>
      <c r="B47" s="19" t="e" cm="1">
        <f t="array" aca="1" ref="B47" ca="1">[1]!s_west_netprofit($B$1,2026,$A47,180,1000000)</f>
        <v>#NAME?</v>
      </c>
      <c r="C47" s="20" t="e" cm="1">
        <f t="array" aca="1" ref="C47" ca="1">[1]!s_dq_close($B$1,$A47,3)</f>
        <v>#NAME?</v>
      </c>
    </row>
    <row r="48" spans="1:3" ht="18">
      <c r="A48" s="21">
        <f t="shared" ca="1" si="0"/>
        <v>45902</v>
      </c>
      <c r="B48" s="19" t="e" cm="1">
        <f t="array" aca="1" ref="B48" ca="1">[1]!s_west_netprofit($B$1,2026,$A48,180,1000000)</f>
        <v>#NAME?</v>
      </c>
      <c r="C48" s="20" t="e" cm="1">
        <f t="array" aca="1" ref="C48" ca="1">[1]!s_dq_close($B$1,$A48,3)</f>
        <v>#NAME?</v>
      </c>
    </row>
    <row r="49" spans="1:3" ht="18">
      <c r="A49" s="21">
        <f t="shared" ca="1" si="0"/>
        <v>45895</v>
      </c>
      <c r="B49" s="19" t="e" cm="1">
        <f t="array" aca="1" ref="B49" ca="1">[1]!s_west_netprofit($B$1,2026,$A49,180,1000000)</f>
        <v>#NAME?</v>
      </c>
      <c r="C49" s="20" t="e" cm="1">
        <f t="array" aca="1" ref="C49" ca="1">[1]!s_dq_close($B$1,$A49,3)</f>
        <v>#NAME?</v>
      </c>
    </row>
    <row r="50" spans="1:3" ht="18">
      <c r="A50" s="21">
        <f t="shared" ca="1" si="0"/>
        <v>45888</v>
      </c>
      <c r="B50" s="19" t="e" cm="1">
        <f t="array" aca="1" ref="B50" ca="1">[1]!s_west_netprofit($B$1,2026,$A50,180,1000000)</f>
        <v>#NAME?</v>
      </c>
      <c r="C50" s="20" t="e" cm="1">
        <f t="array" aca="1" ref="C50" ca="1">[1]!s_dq_close($B$1,$A50,3)</f>
        <v>#NAME?</v>
      </c>
    </row>
    <row r="51" spans="1:3" ht="18">
      <c r="A51" s="21">
        <f t="shared" ca="1" si="0"/>
        <v>45881</v>
      </c>
      <c r="B51" s="19" t="e" cm="1">
        <f t="array" aca="1" ref="B51" ca="1">[1]!s_west_netprofit($B$1,2026,$A51,180,1000000)</f>
        <v>#NAME?</v>
      </c>
      <c r="C51" s="20" t="e" cm="1">
        <f t="array" aca="1" ref="C51" ca="1">[1]!s_dq_close($B$1,$A51,3)</f>
        <v>#NAME?</v>
      </c>
    </row>
    <row r="52" spans="1:3" ht="18">
      <c r="A52" s="21">
        <f t="shared" ca="1" si="0"/>
        <v>45874</v>
      </c>
      <c r="B52" s="19" t="e" cm="1">
        <f t="array" aca="1" ref="B52" ca="1">[1]!s_west_netprofit($B$1,2026,$A52,180,1000000)</f>
        <v>#NAME?</v>
      </c>
      <c r="C52" s="20" t="e" cm="1">
        <f t="array" aca="1" ref="C52" ca="1">[1]!s_dq_close($B$1,$A52,3)</f>
        <v>#NAME?</v>
      </c>
    </row>
    <row r="53" spans="1:3" ht="18">
      <c r="A53" s="21">
        <f t="shared" ca="1" si="0"/>
        <v>45867</v>
      </c>
      <c r="B53" s="19" t="e" cm="1">
        <f t="array" aca="1" ref="B53" ca="1">[1]!s_west_netprofit($B$1,2026,$A53,180,1000000)</f>
        <v>#NAME?</v>
      </c>
      <c r="C53" s="20" t="e" cm="1">
        <f t="array" aca="1" ref="C53" ca="1">[1]!s_dq_close($B$1,$A53,3)</f>
        <v>#NAME?</v>
      </c>
    </row>
    <row r="54" spans="1:3" ht="18">
      <c r="A54" s="21">
        <f t="shared" ca="1" si="0"/>
        <v>45860</v>
      </c>
      <c r="B54" s="19" t="e" cm="1">
        <f t="array" aca="1" ref="B54" ca="1">[1]!s_west_netprofit($B$1,2026,$A54,180,1000000)</f>
        <v>#NAME?</v>
      </c>
      <c r="C54" s="20" t="e" cm="1">
        <f t="array" aca="1" ref="C54" ca="1">[1]!s_dq_close($B$1,$A54,3)</f>
        <v>#NAME?</v>
      </c>
    </row>
    <row r="55" spans="1:3" ht="18">
      <c r="A55" s="21">
        <f t="shared" ca="1" si="0"/>
        <v>45853</v>
      </c>
      <c r="B55" s="19" t="e" cm="1">
        <f t="array" aca="1" ref="B55" ca="1">[1]!s_west_netprofit($B$1,2026,$A55,180,1000000)</f>
        <v>#NAME?</v>
      </c>
      <c r="C55" s="20" t="e" cm="1">
        <f t="array" aca="1" ref="C55" ca="1">[1]!s_dq_close($B$1,$A55,3)</f>
        <v>#NAME?</v>
      </c>
    </row>
    <row r="56" spans="1:3" ht="18">
      <c r="A56" s="21">
        <f t="shared" ca="1" si="0"/>
        <v>45846</v>
      </c>
      <c r="B56" s="19" t="e" cm="1">
        <f t="array" aca="1" ref="B56" ca="1">[1]!s_west_netprofit($B$1,2026,$A56,180,1000000)</f>
        <v>#NAME?</v>
      </c>
      <c r="C56" s="20" t="e" cm="1">
        <f t="array" aca="1" ref="C56" ca="1">[1]!s_dq_close($B$1,$A56,3)</f>
        <v>#NAME?</v>
      </c>
    </row>
    <row r="57" spans="1:3" ht="18">
      <c r="A57" s="21">
        <f t="shared" ca="1" si="0"/>
        <v>45839</v>
      </c>
      <c r="B57" s="19" t="e" cm="1">
        <f t="array" aca="1" ref="B57" ca="1">[1]!s_west_netprofit($B$1,2026,$A57,180,1000000)</f>
        <v>#NAME?</v>
      </c>
      <c r="C57" s="20" t="e" cm="1">
        <f t="array" aca="1" ref="C57" ca="1">[1]!s_dq_close($B$1,$A57,3)</f>
        <v>#NAME?</v>
      </c>
    </row>
    <row r="58" spans="1:3" ht="18">
      <c r="A58" s="21">
        <f t="shared" ca="1" si="0"/>
        <v>45832</v>
      </c>
      <c r="B58" s="19" t="e" cm="1">
        <f t="array" aca="1" ref="B58" ca="1">[1]!s_west_netprofit($B$1,2026,$A58,180,1000000)</f>
        <v>#NAME?</v>
      </c>
      <c r="C58" s="20" t="e" cm="1">
        <f t="array" aca="1" ref="C58" ca="1">[1]!s_dq_close($B$1,$A58,3)</f>
        <v>#NAME?</v>
      </c>
    </row>
    <row r="59" spans="1:3" ht="18">
      <c r="A59" s="21">
        <f t="shared" ca="1" si="0"/>
        <v>45825</v>
      </c>
      <c r="B59" s="19" t="e" cm="1">
        <f t="array" aca="1" ref="B59" ca="1">[1]!s_west_netprofit($B$1,2026,$A59,180,1000000)</f>
        <v>#NAME?</v>
      </c>
      <c r="C59" s="20" t="e" cm="1">
        <f t="array" aca="1" ref="C59" ca="1">[1]!s_dq_close($B$1,$A59,3)</f>
        <v>#NAME?</v>
      </c>
    </row>
    <row r="60" spans="1:3" ht="18">
      <c r="A60" s="21">
        <f t="shared" ca="1" si="0"/>
        <v>45818</v>
      </c>
      <c r="B60" s="19" t="e" cm="1">
        <f t="array" aca="1" ref="B60" ca="1">[1]!s_west_netprofit($B$1,2026,$A60,180,1000000)</f>
        <v>#NAME?</v>
      </c>
      <c r="C60" s="20" t="e" cm="1">
        <f t="array" aca="1" ref="C60" ca="1">[1]!s_dq_close($B$1,$A60,3)</f>
        <v>#NAME?</v>
      </c>
    </row>
    <row r="61" spans="1:3" ht="18">
      <c r="A61" s="21">
        <f t="shared" ca="1" si="0"/>
        <v>45811</v>
      </c>
      <c r="B61" s="19" t="e" cm="1">
        <f t="array" aca="1" ref="B61" ca="1">[1]!s_west_netprofit($B$1,2026,$A61,180,1000000)</f>
        <v>#NAME?</v>
      </c>
      <c r="C61" s="20" t="e" cm="1">
        <f t="array" aca="1" ref="C61" ca="1">[1]!s_dq_close($B$1,$A61,3)</f>
        <v>#NAME?</v>
      </c>
    </row>
    <row r="62" spans="1:3" ht="18">
      <c r="A62" s="21">
        <f t="shared" ca="1" si="0"/>
        <v>45804</v>
      </c>
      <c r="B62" s="19" t="e" cm="1">
        <f t="array" aca="1" ref="B62" ca="1">[1]!s_west_netprofit($B$1,2026,$A62,180,1000000)</f>
        <v>#NAME?</v>
      </c>
      <c r="C62" s="20" t="e" cm="1">
        <f t="array" aca="1" ref="C62" ca="1">[1]!s_dq_close($B$1,$A62,3)</f>
        <v>#NAME?</v>
      </c>
    </row>
    <row r="63" spans="1:3" ht="18">
      <c r="A63" s="21">
        <f t="shared" ca="1" si="0"/>
        <v>45797</v>
      </c>
      <c r="B63" s="19" t="e" cm="1">
        <f t="array" aca="1" ref="B63" ca="1">[1]!s_west_netprofit($B$1,2026,$A63,180,1000000)</f>
        <v>#NAME?</v>
      </c>
      <c r="C63" s="20" t="e" cm="1">
        <f t="array" aca="1" ref="C63" ca="1">[1]!s_dq_close($B$1,$A63,3)</f>
        <v>#NAME?</v>
      </c>
    </row>
    <row r="64" spans="1:3" ht="18">
      <c r="A64" s="21">
        <f t="shared" ca="1" si="0"/>
        <v>45790</v>
      </c>
      <c r="B64" s="19" t="e" cm="1">
        <f t="array" aca="1" ref="B64" ca="1">[1]!s_west_netprofit($B$1,2026,$A64,180,1000000)</f>
        <v>#NAME?</v>
      </c>
      <c r="C64" s="20" t="e" cm="1">
        <f t="array" aca="1" ref="C64" ca="1">[1]!s_dq_close($B$1,$A64,3)</f>
        <v>#NAME?</v>
      </c>
    </row>
    <row r="65" spans="1:3" ht="18">
      <c r="A65" s="21">
        <f t="shared" ca="1" si="0"/>
        <v>45783</v>
      </c>
      <c r="B65" s="19" t="e" cm="1">
        <f t="array" aca="1" ref="B65" ca="1">[1]!s_west_netprofit($B$1,2026,$A65,180,1000000)</f>
        <v>#NAME?</v>
      </c>
      <c r="C65" s="20" t="e" cm="1">
        <f t="array" aca="1" ref="C65" ca="1">[1]!s_dq_close($B$1,$A65,3)</f>
        <v>#NAME?</v>
      </c>
    </row>
    <row r="66" spans="1:3" ht="18">
      <c r="A66" s="21">
        <f t="shared" ca="1" si="0"/>
        <v>45776</v>
      </c>
      <c r="B66" s="19" t="e" cm="1">
        <f t="array" aca="1" ref="B66" ca="1">[1]!s_west_netprofit($B$1,2026,$A66,180,1000000)</f>
        <v>#NAME?</v>
      </c>
      <c r="C66" s="20" t="e" cm="1">
        <f t="array" aca="1" ref="C66" ca="1">[1]!s_dq_close($B$1,$A66,3)</f>
        <v>#NAME?</v>
      </c>
    </row>
    <row r="67" spans="1:3" ht="18">
      <c r="A67" s="21">
        <f t="shared" ca="1" si="0"/>
        <v>45769</v>
      </c>
      <c r="B67" s="19" t="e" cm="1">
        <f t="array" aca="1" ref="B67" ca="1">[1]!s_west_netprofit($B$1,2026,$A67,180,1000000)</f>
        <v>#NAME?</v>
      </c>
      <c r="C67" s="20" t="e" cm="1">
        <f t="array" aca="1" ref="C67" ca="1">[1]!s_dq_close($B$1,$A67,3)</f>
        <v>#NAME?</v>
      </c>
    </row>
    <row r="68" spans="1:3" ht="18">
      <c r="A68" s="21">
        <f t="shared" ca="1" si="0"/>
        <v>45762</v>
      </c>
      <c r="B68" s="19" t="e" cm="1">
        <f t="array" aca="1" ref="B68" ca="1">[1]!s_west_netprofit($B$1,2026,$A68,180,1000000)</f>
        <v>#NAME?</v>
      </c>
      <c r="C68" s="20" t="e" cm="1">
        <f t="array" aca="1" ref="C68" ca="1">[1]!s_dq_close($B$1,$A68,3)</f>
        <v>#NAME?</v>
      </c>
    </row>
    <row r="69" spans="1:3" ht="18">
      <c r="A69" s="21">
        <f t="shared" ca="1" si="0"/>
        <v>45755</v>
      </c>
      <c r="B69" s="19" t="e" cm="1">
        <f t="array" aca="1" ref="B69" ca="1">[1]!s_west_netprofit($B$1,2026,$A69,180,1000000)</f>
        <v>#NAME?</v>
      </c>
      <c r="C69" s="20" t="e" cm="1">
        <f t="array" aca="1" ref="C69" ca="1">[1]!s_dq_close($B$1,$A69,3)</f>
        <v>#NAME?</v>
      </c>
    </row>
    <row r="70" spans="1:3" ht="18">
      <c r="A70" s="21">
        <f t="shared" ca="1" si="0"/>
        <v>45748</v>
      </c>
      <c r="B70" s="19" t="e" cm="1">
        <f t="array" aca="1" ref="B70" ca="1">[1]!s_west_netprofit($B$1,2026,$A70,180,1000000)</f>
        <v>#NAME?</v>
      </c>
      <c r="C70" s="20" t="e" cm="1">
        <f t="array" aca="1" ref="C70" ca="1">[1]!s_dq_close($B$1,$A70,3)</f>
        <v>#NAME?</v>
      </c>
    </row>
    <row r="71" spans="1:3" ht="18">
      <c r="A71" s="21">
        <f t="shared" ca="1" si="0"/>
        <v>45741</v>
      </c>
      <c r="B71" s="19" t="e" cm="1">
        <f t="array" aca="1" ref="B71" ca="1">[1]!s_west_netprofit($B$1,2026,$A71,180,1000000)</f>
        <v>#NAME?</v>
      </c>
      <c r="C71" s="20" t="e" cm="1">
        <f t="array" aca="1" ref="C71" ca="1">[1]!s_dq_close($B$1,$A71,3)</f>
        <v>#NAME?</v>
      </c>
    </row>
    <row r="72" spans="1:3" ht="18">
      <c r="A72" s="21">
        <f t="shared" ca="1" si="0"/>
        <v>45734</v>
      </c>
      <c r="B72" s="19" t="e" cm="1">
        <f t="array" aca="1" ref="B72" ca="1">[1]!s_west_netprofit($B$1,2026,$A72,180,1000000)</f>
        <v>#NAME?</v>
      </c>
      <c r="C72" s="20" t="e" cm="1">
        <f t="array" aca="1" ref="C72" ca="1">[1]!s_dq_close($B$1,$A72,3)</f>
        <v>#NAME?</v>
      </c>
    </row>
    <row r="73" spans="1:3" ht="18">
      <c r="A73" s="21">
        <f t="shared" ca="1" si="0"/>
        <v>45727</v>
      </c>
      <c r="B73" s="19" t="e" cm="1">
        <f t="array" aca="1" ref="B73" ca="1">[1]!s_west_netprofit($B$1,2026,$A73,180,1000000)</f>
        <v>#NAME?</v>
      </c>
      <c r="C73" s="20" t="e" cm="1">
        <f t="array" aca="1" ref="C73" ca="1">[1]!s_dq_close($B$1,$A73,3)</f>
        <v>#NAME?</v>
      </c>
    </row>
    <row r="74" spans="1:3" ht="18">
      <c r="A74" s="21">
        <f t="shared" ca="1" si="0"/>
        <v>45720</v>
      </c>
      <c r="B74" s="19" t="e" cm="1">
        <f t="array" aca="1" ref="B74" ca="1">[1]!s_west_netprofit($B$1,2026,$A74,180,1000000)</f>
        <v>#NAME?</v>
      </c>
      <c r="C74" s="20" t="e" cm="1">
        <f t="array" aca="1" ref="C74" ca="1">[1]!s_dq_close($B$1,$A74,3)</f>
        <v>#NAME?</v>
      </c>
    </row>
    <row r="75" spans="1:3" ht="18">
      <c r="A75" s="21">
        <f t="shared" ca="1" si="0"/>
        <v>45713</v>
      </c>
      <c r="B75" s="19" t="e" cm="1">
        <f t="array" aca="1" ref="B75" ca="1">[1]!s_west_netprofit($B$1,2026,$A75,180,1000000)</f>
        <v>#NAME?</v>
      </c>
      <c r="C75" s="20" t="e" cm="1">
        <f t="array" aca="1" ref="C75" ca="1">[1]!s_dq_close($B$1,$A75,3)</f>
        <v>#NAME?</v>
      </c>
    </row>
    <row r="76" spans="1:3" ht="18">
      <c r="A76" s="21">
        <f t="shared" ref="A76:A99" ca="1" si="1">A75-7</f>
        <v>45706</v>
      </c>
      <c r="B76" s="19" t="e" cm="1">
        <f t="array" aca="1" ref="B76" ca="1">[1]!s_west_netprofit($B$1,2026,$A76,180,1000000)</f>
        <v>#NAME?</v>
      </c>
      <c r="C76" s="20" t="e" cm="1">
        <f t="array" aca="1" ref="C76" ca="1">[1]!s_dq_close($B$1,$A76,3)</f>
        <v>#NAME?</v>
      </c>
    </row>
    <row r="77" spans="1:3" ht="18">
      <c r="A77" s="21">
        <f t="shared" ca="1" si="1"/>
        <v>45699</v>
      </c>
      <c r="B77" s="19" t="e" cm="1">
        <f t="array" aca="1" ref="B77" ca="1">[1]!s_west_netprofit($B$1,2026,$A77,180,1000000)</f>
        <v>#NAME?</v>
      </c>
      <c r="C77" s="20" t="e" cm="1">
        <f t="array" aca="1" ref="C77" ca="1">[1]!s_dq_close($B$1,$A77,3)</f>
        <v>#NAME?</v>
      </c>
    </row>
    <row r="78" spans="1:3" ht="18">
      <c r="A78" s="21">
        <f t="shared" ca="1" si="1"/>
        <v>45692</v>
      </c>
      <c r="B78" s="19" t="e" cm="1">
        <f t="array" aca="1" ref="B78" ca="1">[1]!s_west_netprofit($B$1,2026,$A78,180,1000000)</f>
        <v>#NAME?</v>
      </c>
      <c r="C78" s="20" t="e" cm="1">
        <f t="array" aca="1" ref="C78" ca="1">[1]!s_dq_close($B$1,$A78,3)</f>
        <v>#NAME?</v>
      </c>
    </row>
    <row r="79" spans="1:3" ht="18">
      <c r="A79" s="21">
        <f t="shared" ca="1" si="1"/>
        <v>45685</v>
      </c>
      <c r="B79" s="19" t="e" cm="1">
        <f t="array" aca="1" ref="B79" ca="1">[1]!s_west_netprofit($B$1,2026,$A79,180,1000000)</f>
        <v>#NAME?</v>
      </c>
      <c r="C79" s="20" t="e" cm="1">
        <f t="array" aca="1" ref="C79" ca="1">[1]!s_dq_close($B$1,$A79,3)</f>
        <v>#NAME?</v>
      </c>
    </row>
    <row r="80" spans="1:3" ht="18">
      <c r="A80" s="21">
        <f t="shared" ca="1" si="1"/>
        <v>45678</v>
      </c>
      <c r="B80" s="19" t="e" cm="1">
        <f t="array" aca="1" ref="B80" ca="1">[1]!s_west_netprofit($B$1,2026,$A80,180,1000000)</f>
        <v>#NAME?</v>
      </c>
      <c r="C80" s="20" t="e" cm="1">
        <f t="array" aca="1" ref="C80" ca="1">[1]!s_dq_close($B$1,$A80,3)</f>
        <v>#NAME?</v>
      </c>
    </row>
    <row r="81" spans="1:3" ht="18">
      <c r="A81" s="21">
        <f t="shared" ca="1" si="1"/>
        <v>45671</v>
      </c>
      <c r="B81" s="19" t="e" cm="1">
        <f t="array" aca="1" ref="B81" ca="1">[1]!s_west_netprofit($B$1,2026,$A81,180,1000000)</f>
        <v>#NAME?</v>
      </c>
      <c r="C81" s="20" t="e" cm="1">
        <f t="array" aca="1" ref="C81" ca="1">[1]!s_dq_close($B$1,$A81,3)</f>
        <v>#NAME?</v>
      </c>
    </row>
    <row r="82" spans="1:3" ht="18">
      <c r="A82" s="21">
        <f t="shared" ca="1" si="1"/>
        <v>45664</v>
      </c>
      <c r="B82" s="19" t="e" cm="1">
        <f t="array" aca="1" ref="B82" ca="1">[1]!s_west_netprofit($B$1,2026,$A82,180,1000000)</f>
        <v>#NAME?</v>
      </c>
      <c r="C82" s="20" t="e" cm="1">
        <f t="array" aca="1" ref="C82" ca="1">[1]!s_dq_close($B$1,$A82,3)</f>
        <v>#NAME?</v>
      </c>
    </row>
    <row r="83" spans="1:3" ht="18">
      <c r="A83" s="21">
        <f t="shared" ca="1" si="1"/>
        <v>45657</v>
      </c>
      <c r="B83" s="19" t="e" cm="1">
        <f t="array" aca="1" ref="B83" ca="1">[1]!s_west_netprofit($B$1,2026,$A83,180,1000000)</f>
        <v>#NAME?</v>
      </c>
      <c r="C83" s="20" t="e" cm="1">
        <f t="array" aca="1" ref="C83" ca="1">[1]!s_dq_close($B$1,$A83,3)</f>
        <v>#NAME?</v>
      </c>
    </row>
    <row r="84" spans="1:3" ht="18">
      <c r="A84" s="21">
        <f t="shared" ca="1" si="1"/>
        <v>45650</v>
      </c>
      <c r="B84" s="19" t="e" cm="1">
        <f t="array" aca="1" ref="B84" ca="1">[1]!s_west_netprofit($B$1,2026,$A84,180,1000000)</f>
        <v>#NAME?</v>
      </c>
      <c r="C84" s="20" t="e" cm="1">
        <f t="array" aca="1" ref="C84" ca="1">[1]!s_dq_close($B$1,$A84,3)</f>
        <v>#NAME?</v>
      </c>
    </row>
    <row r="85" spans="1:3" ht="18">
      <c r="A85" s="21">
        <f t="shared" ca="1" si="1"/>
        <v>45643</v>
      </c>
      <c r="B85" s="19" t="e" cm="1">
        <f t="array" aca="1" ref="B85" ca="1">[1]!s_west_netprofit($B$1,2026,$A85,180,1000000)</f>
        <v>#NAME?</v>
      </c>
      <c r="C85" s="20" t="e" cm="1">
        <f t="array" aca="1" ref="C85" ca="1">[1]!s_dq_close($B$1,$A85,3)</f>
        <v>#NAME?</v>
      </c>
    </row>
    <row r="86" spans="1:3" ht="18">
      <c r="A86" s="21">
        <f t="shared" ca="1" si="1"/>
        <v>45636</v>
      </c>
      <c r="B86" s="19" t="e" cm="1">
        <f t="array" aca="1" ref="B86" ca="1">[1]!s_west_netprofit($B$1,2026,$A86,180,1000000)</f>
        <v>#NAME?</v>
      </c>
      <c r="C86" s="20" t="e" cm="1">
        <f t="array" aca="1" ref="C86" ca="1">[1]!s_dq_close($B$1,$A86,3)</f>
        <v>#NAME?</v>
      </c>
    </row>
    <row r="87" spans="1:3" ht="18">
      <c r="A87" s="21">
        <f t="shared" ca="1" si="1"/>
        <v>45629</v>
      </c>
      <c r="B87" s="19" t="e" cm="1">
        <f t="array" aca="1" ref="B87" ca="1">[1]!s_west_netprofit($B$1,2026,$A87,180,1000000)</f>
        <v>#NAME?</v>
      </c>
      <c r="C87" s="20" t="e" cm="1">
        <f t="array" aca="1" ref="C87" ca="1">[1]!s_dq_close($B$1,$A87,3)</f>
        <v>#NAME?</v>
      </c>
    </row>
    <row r="88" spans="1:3" ht="18">
      <c r="A88" s="21">
        <f t="shared" ca="1" si="1"/>
        <v>45622</v>
      </c>
      <c r="B88" s="19" t="e" cm="1">
        <f t="array" aca="1" ref="B88" ca="1">[1]!s_west_netprofit($B$1,2026,$A88,180,1000000)</f>
        <v>#NAME?</v>
      </c>
      <c r="C88" s="20" t="e" cm="1">
        <f t="array" aca="1" ref="C88" ca="1">[1]!s_dq_close($B$1,$A88,3)</f>
        <v>#NAME?</v>
      </c>
    </row>
    <row r="89" spans="1:3" ht="18">
      <c r="A89" s="21">
        <f t="shared" ca="1" si="1"/>
        <v>45615</v>
      </c>
      <c r="B89" s="19" t="e" cm="1">
        <f t="array" aca="1" ref="B89" ca="1">[1]!s_west_netprofit($B$1,2026,$A89,180,1000000)</f>
        <v>#NAME?</v>
      </c>
      <c r="C89" s="20" t="e" cm="1">
        <f t="array" aca="1" ref="C89" ca="1">[1]!s_dq_close($B$1,$A89,3)</f>
        <v>#NAME?</v>
      </c>
    </row>
    <row r="90" spans="1:3" ht="18">
      <c r="A90" s="21">
        <f t="shared" ca="1" si="1"/>
        <v>45608</v>
      </c>
      <c r="B90" s="19" t="e" cm="1">
        <f t="array" aca="1" ref="B90" ca="1">[1]!s_west_netprofit($B$1,2026,$A90,180,1000000)</f>
        <v>#NAME?</v>
      </c>
      <c r="C90" s="20" t="e" cm="1">
        <f t="array" aca="1" ref="C90" ca="1">[1]!s_dq_close($B$1,$A90,3)</f>
        <v>#NAME?</v>
      </c>
    </row>
    <row r="91" spans="1:3" ht="18">
      <c r="A91" s="21">
        <f t="shared" ca="1" si="1"/>
        <v>45601</v>
      </c>
      <c r="B91" s="19" t="e" cm="1">
        <f t="array" aca="1" ref="B91" ca="1">[1]!s_west_netprofit($B$1,2026,$A91,180,1000000)</f>
        <v>#NAME?</v>
      </c>
      <c r="C91" s="20" t="e" cm="1">
        <f t="array" aca="1" ref="C91" ca="1">[1]!s_dq_close($B$1,$A91,3)</f>
        <v>#NAME?</v>
      </c>
    </row>
    <row r="92" spans="1:3" ht="18">
      <c r="A92" s="21">
        <f t="shared" ca="1" si="1"/>
        <v>45594</v>
      </c>
      <c r="B92" s="19" t="e" cm="1">
        <f t="array" aca="1" ref="B92" ca="1">[1]!s_west_netprofit($B$1,2026,$A92,180,1000000)</f>
        <v>#NAME?</v>
      </c>
      <c r="C92" s="20" t="e" cm="1">
        <f t="array" aca="1" ref="C92" ca="1">[1]!s_dq_close($B$1,$A92,3)</f>
        <v>#NAME?</v>
      </c>
    </row>
    <row r="93" spans="1:3" ht="18">
      <c r="A93" s="21">
        <f t="shared" ca="1" si="1"/>
        <v>45587</v>
      </c>
      <c r="B93" s="19" t="e" cm="1">
        <f t="array" aca="1" ref="B93" ca="1">[1]!s_west_netprofit($B$1,2026,$A93,180,1000000)</f>
        <v>#NAME?</v>
      </c>
      <c r="C93" s="20" t="e" cm="1">
        <f t="array" aca="1" ref="C93" ca="1">[1]!s_dq_close($B$1,$A93,3)</f>
        <v>#NAME?</v>
      </c>
    </row>
    <row r="94" spans="1:3" ht="18">
      <c r="A94" s="21">
        <f t="shared" ca="1" si="1"/>
        <v>45580</v>
      </c>
      <c r="B94" s="19" t="e" cm="1">
        <f t="array" aca="1" ref="B94" ca="1">[1]!s_west_netprofit($B$1,2026,$A94,180,1000000)</f>
        <v>#NAME?</v>
      </c>
      <c r="C94" s="20" t="e" cm="1">
        <f t="array" aca="1" ref="C94" ca="1">[1]!s_dq_close($B$1,$A94,3)</f>
        <v>#NAME?</v>
      </c>
    </row>
    <row r="95" spans="1:3" ht="18">
      <c r="A95" s="21">
        <f t="shared" ca="1" si="1"/>
        <v>45573</v>
      </c>
      <c r="B95" s="19" t="e" cm="1">
        <f t="array" aca="1" ref="B95" ca="1">[1]!s_west_netprofit($B$1,2026,$A95,180,1000000)</f>
        <v>#NAME?</v>
      </c>
      <c r="C95" s="20" t="e" cm="1">
        <f t="array" aca="1" ref="C95" ca="1">[1]!s_dq_close($B$1,$A95,3)</f>
        <v>#NAME?</v>
      </c>
    </row>
    <row r="96" spans="1:3" ht="18">
      <c r="A96" s="21">
        <f t="shared" ca="1" si="1"/>
        <v>45566</v>
      </c>
      <c r="B96" s="19" t="e" cm="1">
        <f t="array" aca="1" ref="B96" ca="1">[1]!s_west_netprofit($B$1,2026,$A96,180,1000000)</f>
        <v>#NAME?</v>
      </c>
      <c r="C96" s="20" t="e" cm="1">
        <f t="array" aca="1" ref="C96" ca="1">[1]!s_dq_close($B$1,$A96,3)</f>
        <v>#NAME?</v>
      </c>
    </row>
    <row r="97" spans="1:3" ht="18">
      <c r="A97" s="21">
        <f t="shared" ca="1" si="1"/>
        <v>45559</v>
      </c>
      <c r="B97" s="19" t="e" cm="1">
        <f t="array" aca="1" ref="B97" ca="1">[1]!s_west_netprofit($B$1,2026,$A97,180,1000000)</f>
        <v>#NAME?</v>
      </c>
      <c r="C97" s="20" t="e" cm="1">
        <f t="array" aca="1" ref="C97" ca="1">[1]!s_dq_close($B$1,$A97,3)</f>
        <v>#NAME?</v>
      </c>
    </row>
    <row r="98" spans="1:3" ht="18">
      <c r="A98" s="21">
        <f t="shared" ca="1" si="1"/>
        <v>45552</v>
      </c>
      <c r="B98" s="19" t="e" cm="1">
        <f t="array" aca="1" ref="B98" ca="1">[1]!s_west_netprofit($B$1,2026,$A98,180,1000000)</f>
        <v>#NAME?</v>
      </c>
      <c r="C98" s="20" t="e" cm="1">
        <f t="array" aca="1" ref="C98" ca="1">[1]!s_dq_close($B$1,$A98,3)</f>
        <v>#NAME?</v>
      </c>
    </row>
    <row r="99" spans="1:3" ht="19" thickBot="1">
      <c r="A99" s="22">
        <f t="shared" ca="1" si="1"/>
        <v>45545</v>
      </c>
      <c r="B99" s="23" t="e" cm="1">
        <f t="array" aca="1" ref="B99" ca="1">[1]!s_west_netprofit($B$1,2026,$A99,180,1000000)</f>
        <v>#NAME?</v>
      </c>
      <c r="C99" s="24" t="e" cm="1">
        <f t="array" aca="1" ref="C99" ca="1">[1]!s_dq_close($B$1,$A99,3)</f>
        <v>#NAME?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81A9-9DFA-7F43-A28B-155C84E69272}">
  <dimension ref="A1:D99"/>
  <sheetViews>
    <sheetView workbookViewId="0">
      <selection sqref="A1:XFD1048576"/>
    </sheetView>
  </sheetViews>
  <sheetFormatPr baseColWidth="10" defaultColWidth="9.1640625" defaultRowHeight="16"/>
  <cols>
    <col min="1" max="1" width="36.33203125" customWidth="1"/>
    <col min="2" max="2" width="26" customWidth="1"/>
    <col min="3" max="3" width="40" customWidth="1"/>
    <col min="4" max="4" width="11" bestFit="1" customWidth="1"/>
  </cols>
  <sheetData>
    <row r="1" spans="1:4" ht="17" thickBot="1">
      <c r="A1" t="e">
        <f ca="1">[1]!S_INFO_NAME($B$1)</f>
        <v>#NAME?</v>
      </c>
      <c r="B1" s="1"/>
      <c r="C1" t="s">
        <v>0</v>
      </c>
      <c r="D1" s="2">
        <f ca="1">TODAY()</f>
        <v>46161</v>
      </c>
    </row>
    <row r="2" spans="1:4" s="6" customFormat="1" ht="18">
      <c r="A2" s="3" t="s">
        <v>4</v>
      </c>
      <c r="B2" s="4">
        <v>2025</v>
      </c>
      <c r="C2" s="5">
        <v>2026</v>
      </c>
    </row>
    <row r="3" spans="1:4" s="6" customFormat="1" ht="18">
      <c r="A3" s="7" t="s">
        <v>5</v>
      </c>
      <c r="B3" s="8" t="e">
        <f ca="1">[1]!s_west_instnum_np($B$1,2025,$D$1,180)</f>
        <v>#NAME?</v>
      </c>
      <c r="C3" s="9" t="e">
        <f ca="1">[1]!s_west_instnum_np($B$1,2026,$D$1,180)</f>
        <v>#NAME?</v>
      </c>
    </row>
    <row r="4" spans="1:4" s="6" customFormat="1" ht="18">
      <c r="A4" s="7" t="s">
        <v>2</v>
      </c>
      <c r="B4" s="10" t="e">
        <f ca="1">[1]!s_west_instnum_np($A$1,2025,$D$1,180)</f>
        <v>#NAME?</v>
      </c>
      <c r="C4" s="11" t="e">
        <f ca="1">[1]!s_west_netprofit($B$1,2026,$D$1,180,1000000)</f>
        <v>#NAME?</v>
      </c>
    </row>
    <row r="5" spans="1:4" s="6" customFormat="1" ht="18">
      <c r="A5" s="7" t="s">
        <v>6</v>
      </c>
      <c r="B5" s="10" t="e">
        <f ca="1">[1]!s_west_maxnetprofit($B$1,2025,$D$1,180,1000000)</f>
        <v>#NAME?</v>
      </c>
      <c r="C5" s="11" t="e">
        <f ca="1">[1]!s_west_maxnetprofit($B$1,2026,$D$1,180,1000000)</f>
        <v>#NAME?</v>
      </c>
    </row>
    <row r="6" spans="1:4" s="6" customFormat="1" ht="18">
      <c r="A6" s="7" t="s">
        <v>7</v>
      </c>
      <c r="B6" s="10" t="e">
        <f ca="1">[1]!s_west_minnetprofit($B$1,2025,$D$1,180,1000000)</f>
        <v>#NAME?</v>
      </c>
      <c r="C6" s="11" t="e">
        <f ca="1">[1]!s_west_minnetprofit($B$1,2026,$D$1,180,1000000)</f>
        <v>#NAME?</v>
      </c>
    </row>
    <row r="7" spans="1:4" s="6" customFormat="1" ht="18">
      <c r="A7" s="7" t="s">
        <v>8</v>
      </c>
      <c r="B7" s="10" t="e">
        <f ca="1">[1]!s_west_mediannetprofit($B$1,2025,$D$1,180,1000000)</f>
        <v>#NAME?</v>
      </c>
      <c r="C7" s="11" t="e">
        <f ca="1">[1]!s_west_mediannetprofit($B$1,2026,$D$1,180,1000000)</f>
        <v>#NAME?</v>
      </c>
    </row>
    <row r="8" spans="1:4" s="6" customFormat="1" ht="19" thickBot="1">
      <c r="A8" s="12" t="s">
        <v>9</v>
      </c>
      <c r="B8" s="13" t="e">
        <f ca="1">[1]!s_west_stdnetprofit($B$1,2025,$D$1,180,1000000)</f>
        <v>#NAME?</v>
      </c>
      <c r="C8" s="14" t="e">
        <f ca="1">[1]!s_west_stdnetprofit($B$1,2026,$D$1,180,1000000)</f>
        <v>#NAME?</v>
      </c>
    </row>
    <row r="10" spans="1:4">
      <c r="A10" s="15" t="s">
        <v>1</v>
      </c>
      <c r="B10" s="16" t="s">
        <v>2</v>
      </c>
      <c r="C10" s="17" t="s">
        <v>3</v>
      </c>
    </row>
    <row r="11" spans="1:4" ht="18">
      <c r="A11" s="18">
        <f ca="1">TODAY()-IF(WEEKDAY(TODAY(),2)=6,1,IF(WEEKDAY(TODAY(),2)=7,2,0))</f>
        <v>46161</v>
      </c>
      <c r="B11" s="19" t="e" cm="1">
        <f t="array" aca="1" ref="B11" ca="1">[1]!s_west_netprofit($B$1,2026,$A11,180,1000000)</f>
        <v>#NAME?</v>
      </c>
      <c r="C11" s="20" t="e" cm="1">
        <f t="array" aca="1" ref="C11" ca="1">[1]!s_dq_close($B$1,$A11,3)</f>
        <v>#NAME?</v>
      </c>
    </row>
    <row r="12" spans="1:4" ht="18">
      <c r="A12" s="21">
        <f t="shared" ref="A12:A75" ca="1" si="0">A11-7</f>
        <v>46154</v>
      </c>
      <c r="B12" s="19" t="e" cm="1">
        <f t="array" aca="1" ref="B12" ca="1">[1]!s_west_netprofit($B$1,2026,$A12,180,1000000)</f>
        <v>#NAME?</v>
      </c>
      <c r="C12" s="20" t="e" cm="1">
        <f t="array" aca="1" ref="C12" ca="1">[1]!s_dq_close($B$1,$A12,3)</f>
        <v>#NAME?</v>
      </c>
    </row>
    <row r="13" spans="1:4" ht="18">
      <c r="A13" s="21">
        <f t="shared" ca="1" si="0"/>
        <v>46147</v>
      </c>
      <c r="B13" s="19" t="e" cm="1">
        <f t="array" aca="1" ref="B13" ca="1">[1]!s_west_netprofit($B$1,2026,$A13,180,1000000)</f>
        <v>#NAME?</v>
      </c>
      <c r="C13" s="20" t="e" cm="1">
        <f t="array" aca="1" ref="C13" ca="1">[1]!s_dq_close($B$1,$A13,3)</f>
        <v>#NAME?</v>
      </c>
    </row>
    <row r="14" spans="1:4" ht="18">
      <c r="A14" s="21">
        <f t="shared" ca="1" si="0"/>
        <v>46140</v>
      </c>
      <c r="B14" s="19" t="e" cm="1">
        <f t="array" aca="1" ref="B14" ca="1">[1]!s_west_netprofit($B$1,2026,$A14,180,1000000)</f>
        <v>#NAME?</v>
      </c>
      <c r="C14" s="20" t="e" cm="1">
        <f t="array" aca="1" ref="C14" ca="1">[1]!s_dq_close($B$1,$A14,3)</f>
        <v>#NAME?</v>
      </c>
    </row>
    <row r="15" spans="1:4" ht="18">
      <c r="A15" s="21">
        <f t="shared" ca="1" si="0"/>
        <v>46133</v>
      </c>
      <c r="B15" s="19" t="e" cm="1">
        <f t="array" aca="1" ref="B15" ca="1">[1]!s_west_netprofit($B$1,2026,$A15,180,1000000)</f>
        <v>#NAME?</v>
      </c>
      <c r="C15" s="20" t="e" cm="1">
        <f t="array" aca="1" ref="C15" ca="1">[1]!s_dq_close($B$1,$A15,3)</f>
        <v>#NAME?</v>
      </c>
    </row>
    <row r="16" spans="1:4" ht="18">
      <c r="A16" s="21">
        <f t="shared" ca="1" si="0"/>
        <v>46126</v>
      </c>
      <c r="B16" s="19" t="e" cm="1">
        <f t="array" aca="1" ref="B16" ca="1">[1]!s_west_netprofit($B$1,2026,$A16,180,1000000)</f>
        <v>#NAME?</v>
      </c>
      <c r="C16" s="20" t="e" cm="1">
        <f t="array" aca="1" ref="C16" ca="1">[1]!s_dq_close($B$1,$A16,3)</f>
        <v>#NAME?</v>
      </c>
    </row>
    <row r="17" spans="1:3" ht="18">
      <c r="A17" s="21">
        <f t="shared" ca="1" si="0"/>
        <v>46119</v>
      </c>
      <c r="B17" s="19" t="e" cm="1">
        <f t="array" aca="1" ref="B17" ca="1">[1]!s_west_netprofit($B$1,2026,$A17,180,1000000)</f>
        <v>#NAME?</v>
      </c>
      <c r="C17" s="20" t="e" cm="1">
        <f t="array" aca="1" ref="C17" ca="1">[1]!s_dq_close($B$1,$A17,3)</f>
        <v>#NAME?</v>
      </c>
    </row>
    <row r="18" spans="1:3" ht="18">
      <c r="A18" s="21">
        <f t="shared" ca="1" si="0"/>
        <v>46112</v>
      </c>
      <c r="B18" s="19" t="e" cm="1">
        <f t="array" aca="1" ref="B18" ca="1">[1]!s_west_netprofit($B$1,2026,$A18,180,1000000)</f>
        <v>#NAME?</v>
      </c>
      <c r="C18" s="20" t="e" cm="1">
        <f t="array" aca="1" ref="C18" ca="1">[1]!s_dq_close($B$1,$A18,3)</f>
        <v>#NAME?</v>
      </c>
    </row>
    <row r="19" spans="1:3" ht="18">
      <c r="A19" s="21">
        <f t="shared" ca="1" si="0"/>
        <v>46105</v>
      </c>
      <c r="B19" s="19" t="e" cm="1">
        <f t="array" aca="1" ref="B19" ca="1">[1]!s_west_netprofit($B$1,2026,$A19,180,1000000)</f>
        <v>#NAME?</v>
      </c>
      <c r="C19" s="20" t="e" cm="1">
        <f t="array" aca="1" ref="C19" ca="1">[1]!s_dq_close($B$1,$A19,3)</f>
        <v>#NAME?</v>
      </c>
    </row>
    <row r="20" spans="1:3" ht="18">
      <c r="A20" s="21">
        <f t="shared" ca="1" si="0"/>
        <v>46098</v>
      </c>
      <c r="B20" s="19" t="e" cm="1">
        <f t="array" aca="1" ref="B20" ca="1">[1]!s_west_netprofit($B$1,2026,$A20,180,1000000)</f>
        <v>#NAME?</v>
      </c>
      <c r="C20" s="20" t="e" cm="1">
        <f t="array" aca="1" ref="C20" ca="1">[1]!s_dq_close($B$1,$A20,3)</f>
        <v>#NAME?</v>
      </c>
    </row>
    <row r="21" spans="1:3" ht="18">
      <c r="A21" s="21">
        <f t="shared" ca="1" si="0"/>
        <v>46091</v>
      </c>
      <c r="B21" s="19" t="e" cm="1">
        <f t="array" aca="1" ref="B21" ca="1">[1]!s_west_netprofit($B$1,2026,$A21,180,1000000)</f>
        <v>#NAME?</v>
      </c>
      <c r="C21" s="20" t="e" cm="1">
        <f t="array" aca="1" ref="C21" ca="1">[1]!s_dq_close($B$1,$A21,3)</f>
        <v>#NAME?</v>
      </c>
    </row>
    <row r="22" spans="1:3" ht="18">
      <c r="A22" s="21">
        <f t="shared" ca="1" si="0"/>
        <v>46084</v>
      </c>
      <c r="B22" s="19" t="e" cm="1">
        <f t="array" aca="1" ref="B22" ca="1">[1]!s_west_netprofit($B$1,2026,$A22,180,1000000)</f>
        <v>#NAME?</v>
      </c>
      <c r="C22" s="20" t="e" cm="1">
        <f t="array" aca="1" ref="C22" ca="1">[1]!s_dq_close($B$1,$A22,3)</f>
        <v>#NAME?</v>
      </c>
    </row>
    <row r="23" spans="1:3" ht="18">
      <c r="A23" s="21">
        <f t="shared" ca="1" si="0"/>
        <v>46077</v>
      </c>
      <c r="B23" s="19" t="e" cm="1">
        <f t="array" aca="1" ref="B23" ca="1">[1]!s_west_netprofit($B$1,2026,$A23,180,1000000)</f>
        <v>#NAME?</v>
      </c>
      <c r="C23" s="20" t="e" cm="1">
        <f t="array" aca="1" ref="C23" ca="1">[1]!s_dq_close($B$1,$A23,3)</f>
        <v>#NAME?</v>
      </c>
    </row>
    <row r="24" spans="1:3" ht="18">
      <c r="A24" s="21">
        <f t="shared" ca="1" si="0"/>
        <v>46070</v>
      </c>
      <c r="B24" s="19" t="e" cm="1">
        <f t="array" aca="1" ref="B24" ca="1">[1]!s_west_netprofit($B$1,2026,$A24,180,1000000)</f>
        <v>#NAME?</v>
      </c>
      <c r="C24" s="20" t="e" cm="1">
        <f t="array" aca="1" ref="C24" ca="1">[1]!s_dq_close($B$1,$A24,3)</f>
        <v>#NAME?</v>
      </c>
    </row>
    <row r="25" spans="1:3" ht="18">
      <c r="A25" s="21">
        <f t="shared" ca="1" si="0"/>
        <v>46063</v>
      </c>
      <c r="B25" s="19" t="e" cm="1">
        <f t="array" aca="1" ref="B25" ca="1">[1]!s_west_netprofit($B$1,2026,$A25,180,1000000)</f>
        <v>#NAME?</v>
      </c>
      <c r="C25" s="20" t="e" cm="1">
        <f t="array" aca="1" ref="C25" ca="1">[1]!s_dq_close($B$1,$A25,3)</f>
        <v>#NAME?</v>
      </c>
    </row>
    <row r="26" spans="1:3" ht="18">
      <c r="A26" s="21">
        <f t="shared" ca="1" si="0"/>
        <v>46056</v>
      </c>
      <c r="B26" s="19" t="e" cm="1">
        <f t="array" aca="1" ref="B26" ca="1">[1]!s_west_netprofit($B$1,2026,$A26,180,1000000)</f>
        <v>#NAME?</v>
      </c>
      <c r="C26" s="20" t="e" cm="1">
        <f t="array" aca="1" ref="C26" ca="1">[1]!s_dq_close($B$1,$A26,3)</f>
        <v>#NAME?</v>
      </c>
    </row>
    <row r="27" spans="1:3" ht="18">
      <c r="A27" s="21">
        <f t="shared" ca="1" si="0"/>
        <v>46049</v>
      </c>
      <c r="B27" s="19" t="e" cm="1">
        <f t="array" aca="1" ref="B27" ca="1">[1]!s_west_netprofit($B$1,2026,$A27,180,1000000)</f>
        <v>#NAME?</v>
      </c>
      <c r="C27" s="20" t="e" cm="1">
        <f t="array" aca="1" ref="C27" ca="1">[1]!s_dq_close($B$1,$A27,3)</f>
        <v>#NAME?</v>
      </c>
    </row>
    <row r="28" spans="1:3" ht="18">
      <c r="A28" s="21">
        <f t="shared" ca="1" si="0"/>
        <v>46042</v>
      </c>
      <c r="B28" s="19" t="e" cm="1">
        <f t="array" aca="1" ref="B28" ca="1">[1]!s_west_netprofit($B$1,2026,$A28,180,1000000)</f>
        <v>#NAME?</v>
      </c>
      <c r="C28" s="20" t="e" cm="1">
        <f t="array" aca="1" ref="C28" ca="1">[1]!s_dq_close($B$1,$A28,3)</f>
        <v>#NAME?</v>
      </c>
    </row>
    <row r="29" spans="1:3" ht="18">
      <c r="A29" s="21">
        <f t="shared" ca="1" si="0"/>
        <v>46035</v>
      </c>
      <c r="B29" s="19" t="e" cm="1">
        <f t="array" aca="1" ref="B29" ca="1">[1]!s_west_netprofit($B$1,2026,$A29,180,1000000)</f>
        <v>#NAME?</v>
      </c>
      <c r="C29" s="20" t="e" cm="1">
        <f t="array" aca="1" ref="C29" ca="1">[1]!s_dq_close($B$1,$A29,3)</f>
        <v>#NAME?</v>
      </c>
    </row>
    <row r="30" spans="1:3" ht="18">
      <c r="A30" s="21">
        <f t="shared" ca="1" si="0"/>
        <v>46028</v>
      </c>
      <c r="B30" s="19" t="e" cm="1">
        <f t="array" aca="1" ref="B30" ca="1">[1]!s_west_netprofit($B$1,2026,$A30,180,1000000)</f>
        <v>#NAME?</v>
      </c>
      <c r="C30" s="20" t="e" cm="1">
        <f t="array" aca="1" ref="C30" ca="1">[1]!s_dq_close($B$1,$A30,3)</f>
        <v>#NAME?</v>
      </c>
    </row>
    <row r="31" spans="1:3" ht="18">
      <c r="A31" s="21">
        <f t="shared" ca="1" si="0"/>
        <v>46021</v>
      </c>
      <c r="B31" s="19" t="e" cm="1">
        <f t="array" aca="1" ref="B31" ca="1">[1]!s_west_netprofit($B$1,2026,$A31,180,1000000)</f>
        <v>#NAME?</v>
      </c>
      <c r="C31" s="20" t="e" cm="1">
        <f t="array" aca="1" ref="C31" ca="1">[1]!s_dq_close($B$1,$A31,3)</f>
        <v>#NAME?</v>
      </c>
    </row>
    <row r="32" spans="1:3" ht="18">
      <c r="A32" s="21">
        <f t="shared" ca="1" si="0"/>
        <v>46014</v>
      </c>
      <c r="B32" s="19" t="e" cm="1">
        <f t="array" aca="1" ref="B32" ca="1">[1]!s_west_netprofit($B$1,2026,$A32,180,1000000)</f>
        <v>#NAME?</v>
      </c>
      <c r="C32" s="20" t="e" cm="1">
        <f t="array" aca="1" ref="C32" ca="1">[1]!s_dq_close($B$1,$A32,3)</f>
        <v>#NAME?</v>
      </c>
    </row>
    <row r="33" spans="1:3" ht="18">
      <c r="A33" s="21">
        <f t="shared" ca="1" si="0"/>
        <v>46007</v>
      </c>
      <c r="B33" s="19" t="e" cm="1">
        <f t="array" aca="1" ref="B33" ca="1">[1]!s_west_netprofit($B$1,2026,$A33,180,1000000)</f>
        <v>#NAME?</v>
      </c>
      <c r="C33" s="20" t="e" cm="1">
        <f t="array" aca="1" ref="C33" ca="1">[1]!s_dq_close($B$1,$A33,3)</f>
        <v>#NAME?</v>
      </c>
    </row>
    <row r="34" spans="1:3" ht="18">
      <c r="A34" s="21">
        <f t="shared" ca="1" si="0"/>
        <v>46000</v>
      </c>
      <c r="B34" s="19" t="e" cm="1">
        <f t="array" aca="1" ref="B34" ca="1">[1]!s_west_netprofit($B$1,2026,$A34,180,1000000)</f>
        <v>#NAME?</v>
      </c>
      <c r="C34" s="20" t="e" cm="1">
        <f t="array" aca="1" ref="C34" ca="1">[1]!s_dq_close($B$1,$A34,3)</f>
        <v>#NAME?</v>
      </c>
    </row>
    <row r="35" spans="1:3" ht="18">
      <c r="A35" s="21">
        <f t="shared" ca="1" si="0"/>
        <v>45993</v>
      </c>
      <c r="B35" s="19" t="e" cm="1">
        <f t="array" aca="1" ref="B35" ca="1">[1]!s_west_netprofit($B$1,2026,$A35,180,1000000)</f>
        <v>#NAME?</v>
      </c>
      <c r="C35" s="20" t="e" cm="1">
        <f t="array" aca="1" ref="C35" ca="1">[1]!s_dq_close($B$1,$A35,3)</f>
        <v>#NAME?</v>
      </c>
    </row>
    <row r="36" spans="1:3" ht="18">
      <c r="A36" s="21">
        <f t="shared" ca="1" si="0"/>
        <v>45986</v>
      </c>
      <c r="B36" s="19" t="e" cm="1">
        <f t="array" aca="1" ref="B36" ca="1">[1]!s_west_netprofit($B$1,2026,$A36,180,1000000)</f>
        <v>#NAME?</v>
      </c>
      <c r="C36" s="20" t="e" cm="1">
        <f t="array" aca="1" ref="C36" ca="1">[1]!s_dq_close($B$1,$A36,3)</f>
        <v>#NAME?</v>
      </c>
    </row>
    <row r="37" spans="1:3" ht="18">
      <c r="A37" s="21">
        <f t="shared" ca="1" si="0"/>
        <v>45979</v>
      </c>
      <c r="B37" s="19" t="e" cm="1">
        <f t="array" aca="1" ref="B37" ca="1">[1]!s_west_netprofit($B$1,2026,$A37,180,1000000)</f>
        <v>#NAME?</v>
      </c>
      <c r="C37" s="20" t="e" cm="1">
        <f t="array" aca="1" ref="C37" ca="1">[1]!s_dq_close($B$1,$A37,3)</f>
        <v>#NAME?</v>
      </c>
    </row>
    <row r="38" spans="1:3" ht="18">
      <c r="A38" s="21">
        <f t="shared" ca="1" si="0"/>
        <v>45972</v>
      </c>
      <c r="B38" s="19" t="e" cm="1">
        <f t="array" aca="1" ref="B38" ca="1">[1]!s_west_netprofit($B$1,2026,$A38,180,1000000)</f>
        <v>#NAME?</v>
      </c>
      <c r="C38" s="20" t="e" cm="1">
        <f t="array" aca="1" ref="C38" ca="1">[1]!s_dq_close($B$1,$A38,3)</f>
        <v>#NAME?</v>
      </c>
    </row>
    <row r="39" spans="1:3" ht="18">
      <c r="A39" s="21">
        <f t="shared" ca="1" si="0"/>
        <v>45965</v>
      </c>
      <c r="B39" s="19" t="e" cm="1">
        <f t="array" aca="1" ref="B39" ca="1">[1]!s_west_netprofit($B$1,2026,$A39,180,1000000)</f>
        <v>#NAME?</v>
      </c>
      <c r="C39" s="20" t="e" cm="1">
        <f t="array" aca="1" ref="C39" ca="1">[1]!s_dq_close($B$1,$A39,3)</f>
        <v>#NAME?</v>
      </c>
    </row>
    <row r="40" spans="1:3" ht="18">
      <c r="A40" s="21">
        <f t="shared" ca="1" si="0"/>
        <v>45958</v>
      </c>
      <c r="B40" s="19" t="e" cm="1">
        <f t="array" aca="1" ref="B40" ca="1">[1]!s_west_netprofit($B$1,2026,$A40,180,1000000)</f>
        <v>#NAME?</v>
      </c>
      <c r="C40" s="20" t="e" cm="1">
        <f t="array" aca="1" ref="C40" ca="1">[1]!s_dq_close($B$1,$A40,3)</f>
        <v>#NAME?</v>
      </c>
    </row>
    <row r="41" spans="1:3" ht="18">
      <c r="A41" s="21">
        <f t="shared" ca="1" si="0"/>
        <v>45951</v>
      </c>
      <c r="B41" s="19" t="e" cm="1">
        <f t="array" aca="1" ref="B41" ca="1">[1]!s_west_netprofit($B$1,2026,$A41,180,1000000)</f>
        <v>#NAME?</v>
      </c>
      <c r="C41" s="20" t="e" cm="1">
        <f t="array" aca="1" ref="C41" ca="1">[1]!s_dq_close($B$1,$A41,3)</f>
        <v>#NAME?</v>
      </c>
    </row>
    <row r="42" spans="1:3" ht="18">
      <c r="A42" s="21">
        <f t="shared" ca="1" si="0"/>
        <v>45944</v>
      </c>
      <c r="B42" s="19" t="e" cm="1">
        <f t="array" aca="1" ref="B42" ca="1">[1]!s_west_netprofit($B$1,2026,$A42,180,1000000)</f>
        <v>#NAME?</v>
      </c>
      <c r="C42" s="20" t="e" cm="1">
        <f t="array" aca="1" ref="C42" ca="1">[1]!s_dq_close($B$1,$A42,3)</f>
        <v>#NAME?</v>
      </c>
    </row>
    <row r="43" spans="1:3" ht="18">
      <c r="A43" s="21">
        <f t="shared" ca="1" si="0"/>
        <v>45937</v>
      </c>
      <c r="B43" s="19" t="e" cm="1">
        <f t="array" aca="1" ref="B43" ca="1">[1]!s_west_netprofit($B$1,2026,$A43,180,1000000)</f>
        <v>#NAME?</v>
      </c>
      <c r="C43" s="20" t="e" cm="1">
        <f t="array" aca="1" ref="C43" ca="1">[1]!s_dq_close($B$1,$A43,3)</f>
        <v>#NAME?</v>
      </c>
    </row>
    <row r="44" spans="1:3" ht="18">
      <c r="A44" s="21">
        <f t="shared" ca="1" si="0"/>
        <v>45930</v>
      </c>
      <c r="B44" s="19" t="e" cm="1">
        <f t="array" aca="1" ref="B44" ca="1">[1]!s_west_netprofit($B$1,2026,$A44,180,1000000)</f>
        <v>#NAME?</v>
      </c>
      <c r="C44" s="20" t="e" cm="1">
        <f t="array" aca="1" ref="C44" ca="1">[1]!s_dq_close($B$1,$A44,3)</f>
        <v>#NAME?</v>
      </c>
    </row>
    <row r="45" spans="1:3" ht="18">
      <c r="A45" s="21">
        <f t="shared" ca="1" si="0"/>
        <v>45923</v>
      </c>
      <c r="B45" s="19" t="e" cm="1">
        <f t="array" aca="1" ref="B45" ca="1">[1]!s_west_netprofit($B$1,2026,$A45,180,1000000)</f>
        <v>#NAME?</v>
      </c>
      <c r="C45" s="20" t="e" cm="1">
        <f t="array" aca="1" ref="C45" ca="1">[1]!s_dq_close($B$1,$A45,3)</f>
        <v>#NAME?</v>
      </c>
    </row>
    <row r="46" spans="1:3" ht="18">
      <c r="A46" s="21">
        <f t="shared" ca="1" si="0"/>
        <v>45916</v>
      </c>
      <c r="B46" s="19" t="e" cm="1">
        <f t="array" aca="1" ref="B46" ca="1">[1]!s_west_netprofit($B$1,2026,$A46,180,1000000)</f>
        <v>#NAME?</v>
      </c>
      <c r="C46" s="20" t="e" cm="1">
        <f t="array" aca="1" ref="C46" ca="1">[1]!s_dq_close($B$1,$A46,3)</f>
        <v>#NAME?</v>
      </c>
    </row>
    <row r="47" spans="1:3" ht="18">
      <c r="A47" s="21">
        <f t="shared" ca="1" si="0"/>
        <v>45909</v>
      </c>
      <c r="B47" s="19" t="e" cm="1">
        <f t="array" aca="1" ref="B47" ca="1">[1]!s_west_netprofit($B$1,2026,$A47,180,1000000)</f>
        <v>#NAME?</v>
      </c>
      <c r="C47" s="20" t="e" cm="1">
        <f t="array" aca="1" ref="C47" ca="1">[1]!s_dq_close($B$1,$A47,3)</f>
        <v>#NAME?</v>
      </c>
    </row>
    <row r="48" spans="1:3" ht="18">
      <c r="A48" s="21">
        <f t="shared" ca="1" si="0"/>
        <v>45902</v>
      </c>
      <c r="B48" s="19" t="e" cm="1">
        <f t="array" aca="1" ref="B48" ca="1">[1]!s_west_netprofit($B$1,2026,$A48,180,1000000)</f>
        <v>#NAME?</v>
      </c>
      <c r="C48" s="20" t="e" cm="1">
        <f t="array" aca="1" ref="C48" ca="1">[1]!s_dq_close($B$1,$A48,3)</f>
        <v>#NAME?</v>
      </c>
    </row>
    <row r="49" spans="1:3" ht="18">
      <c r="A49" s="21">
        <f t="shared" ca="1" si="0"/>
        <v>45895</v>
      </c>
      <c r="B49" s="19" t="e" cm="1">
        <f t="array" aca="1" ref="B49" ca="1">[1]!s_west_netprofit($B$1,2026,$A49,180,1000000)</f>
        <v>#NAME?</v>
      </c>
      <c r="C49" s="20" t="e" cm="1">
        <f t="array" aca="1" ref="C49" ca="1">[1]!s_dq_close($B$1,$A49,3)</f>
        <v>#NAME?</v>
      </c>
    </row>
    <row r="50" spans="1:3" ht="18">
      <c r="A50" s="21">
        <f t="shared" ca="1" si="0"/>
        <v>45888</v>
      </c>
      <c r="B50" s="19" t="e" cm="1">
        <f t="array" aca="1" ref="B50" ca="1">[1]!s_west_netprofit($B$1,2026,$A50,180,1000000)</f>
        <v>#NAME?</v>
      </c>
      <c r="C50" s="20" t="e" cm="1">
        <f t="array" aca="1" ref="C50" ca="1">[1]!s_dq_close($B$1,$A50,3)</f>
        <v>#NAME?</v>
      </c>
    </row>
    <row r="51" spans="1:3" ht="18">
      <c r="A51" s="21">
        <f t="shared" ca="1" si="0"/>
        <v>45881</v>
      </c>
      <c r="B51" s="19" t="e" cm="1">
        <f t="array" aca="1" ref="B51" ca="1">[1]!s_west_netprofit($B$1,2026,$A51,180,1000000)</f>
        <v>#NAME?</v>
      </c>
      <c r="C51" s="20" t="e" cm="1">
        <f t="array" aca="1" ref="C51" ca="1">[1]!s_dq_close($B$1,$A51,3)</f>
        <v>#NAME?</v>
      </c>
    </row>
    <row r="52" spans="1:3" ht="18">
      <c r="A52" s="21">
        <f t="shared" ca="1" si="0"/>
        <v>45874</v>
      </c>
      <c r="B52" s="19" t="e" cm="1">
        <f t="array" aca="1" ref="B52" ca="1">[1]!s_west_netprofit($B$1,2026,$A52,180,1000000)</f>
        <v>#NAME?</v>
      </c>
      <c r="C52" s="20" t="e" cm="1">
        <f t="array" aca="1" ref="C52" ca="1">[1]!s_dq_close($B$1,$A52,3)</f>
        <v>#NAME?</v>
      </c>
    </row>
    <row r="53" spans="1:3" ht="18">
      <c r="A53" s="21">
        <f t="shared" ca="1" si="0"/>
        <v>45867</v>
      </c>
      <c r="B53" s="19" t="e" cm="1">
        <f t="array" aca="1" ref="B53" ca="1">[1]!s_west_netprofit($B$1,2026,$A53,180,1000000)</f>
        <v>#NAME?</v>
      </c>
      <c r="C53" s="20" t="e" cm="1">
        <f t="array" aca="1" ref="C53" ca="1">[1]!s_dq_close($B$1,$A53,3)</f>
        <v>#NAME?</v>
      </c>
    </row>
    <row r="54" spans="1:3" ht="18">
      <c r="A54" s="21">
        <f t="shared" ca="1" si="0"/>
        <v>45860</v>
      </c>
      <c r="B54" s="19" t="e" cm="1">
        <f t="array" aca="1" ref="B54" ca="1">[1]!s_west_netprofit($B$1,2026,$A54,180,1000000)</f>
        <v>#NAME?</v>
      </c>
      <c r="C54" s="20" t="e" cm="1">
        <f t="array" aca="1" ref="C54" ca="1">[1]!s_dq_close($B$1,$A54,3)</f>
        <v>#NAME?</v>
      </c>
    </row>
    <row r="55" spans="1:3" ht="18">
      <c r="A55" s="21">
        <f t="shared" ca="1" si="0"/>
        <v>45853</v>
      </c>
      <c r="B55" s="19" t="e" cm="1">
        <f t="array" aca="1" ref="B55" ca="1">[1]!s_west_netprofit($B$1,2026,$A55,180,1000000)</f>
        <v>#NAME?</v>
      </c>
      <c r="C55" s="20" t="e" cm="1">
        <f t="array" aca="1" ref="C55" ca="1">[1]!s_dq_close($B$1,$A55,3)</f>
        <v>#NAME?</v>
      </c>
    </row>
    <row r="56" spans="1:3" ht="18">
      <c r="A56" s="21">
        <f t="shared" ca="1" si="0"/>
        <v>45846</v>
      </c>
      <c r="B56" s="19" t="e" cm="1">
        <f t="array" aca="1" ref="B56" ca="1">[1]!s_west_netprofit($B$1,2026,$A56,180,1000000)</f>
        <v>#NAME?</v>
      </c>
      <c r="C56" s="20" t="e" cm="1">
        <f t="array" aca="1" ref="C56" ca="1">[1]!s_dq_close($B$1,$A56,3)</f>
        <v>#NAME?</v>
      </c>
    </row>
    <row r="57" spans="1:3" ht="18">
      <c r="A57" s="21">
        <f t="shared" ca="1" si="0"/>
        <v>45839</v>
      </c>
      <c r="B57" s="19" t="e" cm="1">
        <f t="array" aca="1" ref="B57" ca="1">[1]!s_west_netprofit($B$1,2026,$A57,180,1000000)</f>
        <v>#NAME?</v>
      </c>
      <c r="C57" s="20" t="e" cm="1">
        <f t="array" aca="1" ref="C57" ca="1">[1]!s_dq_close($B$1,$A57,3)</f>
        <v>#NAME?</v>
      </c>
    </row>
    <row r="58" spans="1:3" ht="18">
      <c r="A58" s="21">
        <f t="shared" ca="1" si="0"/>
        <v>45832</v>
      </c>
      <c r="B58" s="19" t="e" cm="1">
        <f t="array" aca="1" ref="B58" ca="1">[1]!s_west_netprofit($B$1,2026,$A58,180,1000000)</f>
        <v>#NAME?</v>
      </c>
      <c r="C58" s="20" t="e" cm="1">
        <f t="array" aca="1" ref="C58" ca="1">[1]!s_dq_close($B$1,$A58,3)</f>
        <v>#NAME?</v>
      </c>
    </row>
    <row r="59" spans="1:3" ht="18">
      <c r="A59" s="21">
        <f t="shared" ca="1" si="0"/>
        <v>45825</v>
      </c>
      <c r="B59" s="19" t="e" cm="1">
        <f t="array" aca="1" ref="B59" ca="1">[1]!s_west_netprofit($B$1,2026,$A59,180,1000000)</f>
        <v>#NAME?</v>
      </c>
      <c r="C59" s="20" t="e" cm="1">
        <f t="array" aca="1" ref="C59" ca="1">[1]!s_dq_close($B$1,$A59,3)</f>
        <v>#NAME?</v>
      </c>
    </row>
    <row r="60" spans="1:3" ht="18">
      <c r="A60" s="21">
        <f t="shared" ca="1" si="0"/>
        <v>45818</v>
      </c>
      <c r="B60" s="19" t="e" cm="1">
        <f t="array" aca="1" ref="B60" ca="1">[1]!s_west_netprofit($B$1,2026,$A60,180,1000000)</f>
        <v>#NAME?</v>
      </c>
      <c r="C60" s="20" t="e" cm="1">
        <f t="array" aca="1" ref="C60" ca="1">[1]!s_dq_close($B$1,$A60,3)</f>
        <v>#NAME?</v>
      </c>
    </row>
    <row r="61" spans="1:3" ht="18">
      <c r="A61" s="21">
        <f t="shared" ca="1" si="0"/>
        <v>45811</v>
      </c>
      <c r="B61" s="19" t="e" cm="1">
        <f t="array" aca="1" ref="B61" ca="1">[1]!s_west_netprofit($B$1,2026,$A61,180,1000000)</f>
        <v>#NAME?</v>
      </c>
      <c r="C61" s="20" t="e" cm="1">
        <f t="array" aca="1" ref="C61" ca="1">[1]!s_dq_close($B$1,$A61,3)</f>
        <v>#NAME?</v>
      </c>
    </row>
    <row r="62" spans="1:3" ht="18">
      <c r="A62" s="21">
        <f t="shared" ca="1" si="0"/>
        <v>45804</v>
      </c>
      <c r="B62" s="19" t="e" cm="1">
        <f t="array" aca="1" ref="B62" ca="1">[1]!s_west_netprofit($B$1,2026,$A62,180,1000000)</f>
        <v>#NAME?</v>
      </c>
      <c r="C62" s="20" t="e" cm="1">
        <f t="array" aca="1" ref="C62" ca="1">[1]!s_dq_close($B$1,$A62,3)</f>
        <v>#NAME?</v>
      </c>
    </row>
    <row r="63" spans="1:3" ht="18">
      <c r="A63" s="21">
        <f t="shared" ca="1" si="0"/>
        <v>45797</v>
      </c>
      <c r="B63" s="19" t="e" cm="1">
        <f t="array" aca="1" ref="B63" ca="1">[1]!s_west_netprofit($B$1,2026,$A63,180,1000000)</f>
        <v>#NAME?</v>
      </c>
      <c r="C63" s="20" t="e" cm="1">
        <f t="array" aca="1" ref="C63" ca="1">[1]!s_dq_close($B$1,$A63,3)</f>
        <v>#NAME?</v>
      </c>
    </row>
    <row r="64" spans="1:3" ht="18">
      <c r="A64" s="21">
        <f t="shared" ca="1" si="0"/>
        <v>45790</v>
      </c>
      <c r="B64" s="19" t="e" cm="1">
        <f t="array" aca="1" ref="B64" ca="1">[1]!s_west_netprofit($B$1,2026,$A64,180,1000000)</f>
        <v>#NAME?</v>
      </c>
      <c r="C64" s="20" t="e" cm="1">
        <f t="array" aca="1" ref="C64" ca="1">[1]!s_dq_close($B$1,$A64,3)</f>
        <v>#NAME?</v>
      </c>
    </row>
    <row r="65" spans="1:3" ht="18">
      <c r="A65" s="21">
        <f t="shared" ca="1" si="0"/>
        <v>45783</v>
      </c>
      <c r="B65" s="19" t="e" cm="1">
        <f t="array" aca="1" ref="B65" ca="1">[1]!s_west_netprofit($B$1,2026,$A65,180,1000000)</f>
        <v>#NAME?</v>
      </c>
      <c r="C65" s="20" t="e" cm="1">
        <f t="array" aca="1" ref="C65" ca="1">[1]!s_dq_close($B$1,$A65,3)</f>
        <v>#NAME?</v>
      </c>
    </row>
    <row r="66" spans="1:3" ht="18">
      <c r="A66" s="21">
        <f t="shared" ca="1" si="0"/>
        <v>45776</v>
      </c>
      <c r="B66" s="19" t="e" cm="1">
        <f t="array" aca="1" ref="B66" ca="1">[1]!s_west_netprofit($B$1,2026,$A66,180,1000000)</f>
        <v>#NAME?</v>
      </c>
      <c r="C66" s="20" t="e" cm="1">
        <f t="array" aca="1" ref="C66" ca="1">[1]!s_dq_close($B$1,$A66,3)</f>
        <v>#NAME?</v>
      </c>
    </row>
    <row r="67" spans="1:3" ht="18">
      <c r="A67" s="21">
        <f t="shared" ca="1" si="0"/>
        <v>45769</v>
      </c>
      <c r="B67" s="19" t="e" cm="1">
        <f t="array" aca="1" ref="B67" ca="1">[1]!s_west_netprofit($B$1,2026,$A67,180,1000000)</f>
        <v>#NAME?</v>
      </c>
      <c r="C67" s="20" t="e" cm="1">
        <f t="array" aca="1" ref="C67" ca="1">[1]!s_dq_close($B$1,$A67,3)</f>
        <v>#NAME?</v>
      </c>
    </row>
    <row r="68" spans="1:3" ht="18">
      <c r="A68" s="21">
        <f t="shared" ca="1" si="0"/>
        <v>45762</v>
      </c>
      <c r="B68" s="19" t="e" cm="1">
        <f t="array" aca="1" ref="B68" ca="1">[1]!s_west_netprofit($B$1,2026,$A68,180,1000000)</f>
        <v>#NAME?</v>
      </c>
      <c r="C68" s="20" t="e" cm="1">
        <f t="array" aca="1" ref="C68" ca="1">[1]!s_dq_close($B$1,$A68,3)</f>
        <v>#NAME?</v>
      </c>
    </row>
    <row r="69" spans="1:3" ht="18">
      <c r="A69" s="21">
        <f t="shared" ca="1" si="0"/>
        <v>45755</v>
      </c>
      <c r="B69" s="19" t="e" cm="1">
        <f t="array" aca="1" ref="B69" ca="1">[1]!s_west_netprofit($B$1,2026,$A69,180,1000000)</f>
        <v>#NAME?</v>
      </c>
      <c r="C69" s="20" t="e" cm="1">
        <f t="array" aca="1" ref="C69" ca="1">[1]!s_dq_close($B$1,$A69,3)</f>
        <v>#NAME?</v>
      </c>
    </row>
    <row r="70" spans="1:3" ht="18">
      <c r="A70" s="21">
        <f t="shared" ca="1" si="0"/>
        <v>45748</v>
      </c>
      <c r="B70" s="19" t="e" cm="1">
        <f t="array" aca="1" ref="B70" ca="1">[1]!s_west_netprofit($B$1,2026,$A70,180,1000000)</f>
        <v>#NAME?</v>
      </c>
      <c r="C70" s="20" t="e" cm="1">
        <f t="array" aca="1" ref="C70" ca="1">[1]!s_dq_close($B$1,$A70,3)</f>
        <v>#NAME?</v>
      </c>
    </row>
    <row r="71" spans="1:3" ht="18">
      <c r="A71" s="21">
        <f t="shared" ca="1" si="0"/>
        <v>45741</v>
      </c>
      <c r="B71" s="19" t="e" cm="1">
        <f t="array" aca="1" ref="B71" ca="1">[1]!s_west_netprofit($B$1,2026,$A71,180,1000000)</f>
        <v>#NAME?</v>
      </c>
      <c r="C71" s="20" t="e" cm="1">
        <f t="array" aca="1" ref="C71" ca="1">[1]!s_dq_close($B$1,$A71,3)</f>
        <v>#NAME?</v>
      </c>
    </row>
    <row r="72" spans="1:3" ht="18">
      <c r="A72" s="21">
        <f t="shared" ca="1" si="0"/>
        <v>45734</v>
      </c>
      <c r="B72" s="19" t="e" cm="1">
        <f t="array" aca="1" ref="B72" ca="1">[1]!s_west_netprofit($B$1,2026,$A72,180,1000000)</f>
        <v>#NAME?</v>
      </c>
      <c r="C72" s="20" t="e" cm="1">
        <f t="array" aca="1" ref="C72" ca="1">[1]!s_dq_close($B$1,$A72,3)</f>
        <v>#NAME?</v>
      </c>
    </row>
    <row r="73" spans="1:3" ht="18">
      <c r="A73" s="21">
        <f t="shared" ca="1" si="0"/>
        <v>45727</v>
      </c>
      <c r="B73" s="19" t="e" cm="1">
        <f t="array" aca="1" ref="B73" ca="1">[1]!s_west_netprofit($B$1,2026,$A73,180,1000000)</f>
        <v>#NAME?</v>
      </c>
      <c r="C73" s="20" t="e" cm="1">
        <f t="array" aca="1" ref="C73" ca="1">[1]!s_dq_close($B$1,$A73,3)</f>
        <v>#NAME?</v>
      </c>
    </row>
    <row r="74" spans="1:3" ht="18">
      <c r="A74" s="21">
        <f t="shared" ca="1" si="0"/>
        <v>45720</v>
      </c>
      <c r="B74" s="19" t="e" cm="1">
        <f t="array" aca="1" ref="B74" ca="1">[1]!s_west_netprofit($B$1,2026,$A74,180,1000000)</f>
        <v>#NAME?</v>
      </c>
      <c r="C74" s="20" t="e" cm="1">
        <f t="array" aca="1" ref="C74" ca="1">[1]!s_dq_close($B$1,$A74,3)</f>
        <v>#NAME?</v>
      </c>
    </row>
    <row r="75" spans="1:3" ht="18">
      <c r="A75" s="21">
        <f t="shared" ca="1" si="0"/>
        <v>45713</v>
      </c>
      <c r="B75" s="19" t="e" cm="1">
        <f t="array" aca="1" ref="B75" ca="1">[1]!s_west_netprofit($B$1,2026,$A75,180,1000000)</f>
        <v>#NAME?</v>
      </c>
      <c r="C75" s="20" t="e" cm="1">
        <f t="array" aca="1" ref="C75" ca="1">[1]!s_dq_close($B$1,$A75,3)</f>
        <v>#NAME?</v>
      </c>
    </row>
    <row r="76" spans="1:3" ht="18">
      <c r="A76" s="21">
        <f t="shared" ref="A76:A99" ca="1" si="1">A75-7</f>
        <v>45706</v>
      </c>
      <c r="B76" s="19" t="e" cm="1">
        <f t="array" aca="1" ref="B76" ca="1">[1]!s_west_netprofit($B$1,2026,$A76,180,1000000)</f>
        <v>#NAME?</v>
      </c>
      <c r="C76" s="20" t="e" cm="1">
        <f t="array" aca="1" ref="C76" ca="1">[1]!s_dq_close($B$1,$A76,3)</f>
        <v>#NAME?</v>
      </c>
    </row>
    <row r="77" spans="1:3" ht="18">
      <c r="A77" s="21">
        <f t="shared" ca="1" si="1"/>
        <v>45699</v>
      </c>
      <c r="B77" s="19" t="e" cm="1">
        <f t="array" aca="1" ref="B77" ca="1">[1]!s_west_netprofit($B$1,2026,$A77,180,1000000)</f>
        <v>#NAME?</v>
      </c>
      <c r="C77" s="20" t="e" cm="1">
        <f t="array" aca="1" ref="C77" ca="1">[1]!s_dq_close($B$1,$A77,3)</f>
        <v>#NAME?</v>
      </c>
    </row>
    <row r="78" spans="1:3" ht="18">
      <c r="A78" s="21">
        <f t="shared" ca="1" si="1"/>
        <v>45692</v>
      </c>
      <c r="B78" s="19" t="e" cm="1">
        <f t="array" aca="1" ref="B78" ca="1">[1]!s_west_netprofit($B$1,2026,$A78,180,1000000)</f>
        <v>#NAME?</v>
      </c>
      <c r="C78" s="20" t="e" cm="1">
        <f t="array" aca="1" ref="C78" ca="1">[1]!s_dq_close($B$1,$A78,3)</f>
        <v>#NAME?</v>
      </c>
    </row>
    <row r="79" spans="1:3" ht="18">
      <c r="A79" s="21">
        <f t="shared" ca="1" si="1"/>
        <v>45685</v>
      </c>
      <c r="B79" s="19" t="e" cm="1">
        <f t="array" aca="1" ref="B79" ca="1">[1]!s_west_netprofit($B$1,2026,$A79,180,1000000)</f>
        <v>#NAME?</v>
      </c>
      <c r="C79" s="20" t="e" cm="1">
        <f t="array" aca="1" ref="C79" ca="1">[1]!s_dq_close($B$1,$A79,3)</f>
        <v>#NAME?</v>
      </c>
    </row>
    <row r="80" spans="1:3" ht="18">
      <c r="A80" s="21">
        <f t="shared" ca="1" si="1"/>
        <v>45678</v>
      </c>
      <c r="B80" s="19" t="e" cm="1">
        <f t="array" aca="1" ref="B80" ca="1">[1]!s_west_netprofit($B$1,2026,$A80,180,1000000)</f>
        <v>#NAME?</v>
      </c>
      <c r="C80" s="20" t="e" cm="1">
        <f t="array" aca="1" ref="C80" ca="1">[1]!s_dq_close($B$1,$A80,3)</f>
        <v>#NAME?</v>
      </c>
    </row>
    <row r="81" spans="1:3" ht="18">
      <c r="A81" s="21">
        <f t="shared" ca="1" si="1"/>
        <v>45671</v>
      </c>
      <c r="B81" s="19" t="e" cm="1">
        <f t="array" aca="1" ref="B81" ca="1">[1]!s_west_netprofit($B$1,2026,$A81,180,1000000)</f>
        <v>#NAME?</v>
      </c>
      <c r="C81" s="20" t="e" cm="1">
        <f t="array" aca="1" ref="C81" ca="1">[1]!s_dq_close($B$1,$A81,3)</f>
        <v>#NAME?</v>
      </c>
    </row>
    <row r="82" spans="1:3" ht="18">
      <c r="A82" s="21">
        <f t="shared" ca="1" si="1"/>
        <v>45664</v>
      </c>
      <c r="B82" s="19" t="e" cm="1">
        <f t="array" aca="1" ref="B82" ca="1">[1]!s_west_netprofit($B$1,2026,$A82,180,1000000)</f>
        <v>#NAME?</v>
      </c>
      <c r="C82" s="20" t="e" cm="1">
        <f t="array" aca="1" ref="C82" ca="1">[1]!s_dq_close($B$1,$A82,3)</f>
        <v>#NAME?</v>
      </c>
    </row>
    <row r="83" spans="1:3" ht="18">
      <c r="A83" s="21">
        <f t="shared" ca="1" si="1"/>
        <v>45657</v>
      </c>
      <c r="B83" s="19" t="e" cm="1">
        <f t="array" aca="1" ref="B83" ca="1">[1]!s_west_netprofit($B$1,2026,$A83,180,1000000)</f>
        <v>#NAME?</v>
      </c>
      <c r="C83" s="20" t="e" cm="1">
        <f t="array" aca="1" ref="C83" ca="1">[1]!s_dq_close($B$1,$A83,3)</f>
        <v>#NAME?</v>
      </c>
    </row>
    <row r="84" spans="1:3" ht="18">
      <c r="A84" s="21">
        <f t="shared" ca="1" si="1"/>
        <v>45650</v>
      </c>
      <c r="B84" s="19" t="e" cm="1">
        <f t="array" aca="1" ref="B84" ca="1">[1]!s_west_netprofit($B$1,2026,$A84,180,1000000)</f>
        <v>#NAME?</v>
      </c>
      <c r="C84" s="20" t="e" cm="1">
        <f t="array" aca="1" ref="C84" ca="1">[1]!s_dq_close($B$1,$A84,3)</f>
        <v>#NAME?</v>
      </c>
    </row>
    <row r="85" spans="1:3" ht="18">
      <c r="A85" s="21">
        <f t="shared" ca="1" si="1"/>
        <v>45643</v>
      </c>
      <c r="B85" s="19" t="e" cm="1">
        <f t="array" aca="1" ref="B85" ca="1">[1]!s_west_netprofit($B$1,2026,$A85,180,1000000)</f>
        <v>#NAME?</v>
      </c>
      <c r="C85" s="20" t="e" cm="1">
        <f t="array" aca="1" ref="C85" ca="1">[1]!s_dq_close($B$1,$A85,3)</f>
        <v>#NAME?</v>
      </c>
    </row>
    <row r="86" spans="1:3" ht="18">
      <c r="A86" s="21">
        <f t="shared" ca="1" si="1"/>
        <v>45636</v>
      </c>
      <c r="B86" s="19" t="e" cm="1">
        <f t="array" aca="1" ref="B86" ca="1">[1]!s_west_netprofit($B$1,2026,$A86,180,1000000)</f>
        <v>#NAME?</v>
      </c>
      <c r="C86" s="20" t="e" cm="1">
        <f t="array" aca="1" ref="C86" ca="1">[1]!s_dq_close($B$1,$A86,3)</f>
        <v>#NAME?</v>
      </c>
    </row>
    <row r="87" spans="1:3" ht="18">
      <c r="A87" s="21">
        <f t="shared" ca="1" si="1"/>
        <v>45629</v>
      </c>
      <c r="B87" s="19" t="e" cm="1">
        <f t="array" aca="1" ref="B87" ca="1">[1]!s_west_netprofit($B$1,2026,$A87,180,1000000)</f>
        <v>#NAME?</v>
      </c>
      <c r="C87" s="20" t="e" cm="1">
        <f t="array" aca="1" ref="C87" ca="1">[1]!s_dq_close($B$1,$A87,3)</f>
        <v>#NAME?</v>
      </c>
    </row>
    <row r="88" spans="1:3" ht="18">
      <c r="A88" s="21">
        <f t="shared" ca="1" si="1"/>
        <v>45622</v>
      </c>
      <c r="B88" s="19" t="e" cm="1">
        <f t="array" aca="1" ref="B88" ca="1">[1]!s_west_netprofit($B$1,2026,$A88,180,1000000)</f>
        <v>#NAME?</v>
      </c>
      <c r="C88" s="20" t="e" cm="1">
        <f t="array" aca="1" ref="C88" ca="1">[1]!s_dq_close($B$1,$A88,3)</f>
        <v>#NAME?</v>
      </c>
    </row>
    <row r="89" spans="1:3" ht="18">
      <c r="A89" s="21">
        <f t="shared" ca="1" si="1"/>
        <v>45615</v>
      </c>
      <c r="B89" s="19" t="e" cm="1">
        <f t="array" aca="1" ref="B89" ca="1">[1]!s_west_netprofit($B$1,2026,$A89,180,1000000)</f>
        <v>#NAME?</v>
      </c>
      <c r="C89" s="20" t="e" cm="1">
        <f t="array" aca="1" ref="C89" ca="1">[1]!s_dq_close($B$1,$A89,3)</f>
        <v>#NAME?</v>
      </c>
    </row>
    <row r="90" spans="1:3" ht="18">
      <c r="A90" s="21">
        <f t="shared" ca="1" si="1"/>
        <v>45608</v>
      </c>
      <c r="B90" s="19" t="e" cm="1">
        <f t="array" aca="1" ref="B90" ca="1">[1]!s_west_netprofit($B$1,2026,$A90,180,1000000)</f>
        <v>#NAME?</v>
      </c>
      <c r="C90" s="20" t="e" cm="1">
        <f t="array" aca="1" ref="C90" ca="1">[1]!s_dq_close($B$1,$A90,3)</f>
        <v>#NAME?</v>
      </c>
    </row>
    <row r="91" spans="1:3" ht="18">
      <c r="A91" s="21">
        <f t="shared" ca="1" si="1"/>
        <v>45601</v>
      </c>
      <c r="B91" s="19" t="e" cm="1">
        <f t="array" aca="1" ref="B91" ca="1">[1]!s_west_netprofit($B$1,2026,$A91,180,1000000)</f>
        <v>#NAME?</v>
      </c>
      <c r="C91" s="20" t="e" cm="1">
        <f t="array" aca="1" ref="C91" ca="1">[1]!s_dq_close($B$1,$A91,3)</f>
        <v>#NAME?</v>
      </c>
    </row>
    <row r="92" spans="1:3" ht="18">
      <c r="A92" s="21">
        <f t="shared" ca="1" si="1"/>
        <v>45594</v>
      </c>
      <c r="B92" s="19" t="e" cm="1">
        <f t="array" aca="1" ref="B92" ca="1">[1]!s_west_netprofit($B$1,2026,$A92,180,1000000)</f>
        <v>#NAME?</v>
      </c>
      <c r="C92" s="20" t="e" cm="1">
        <f t="array" aca="1" ref="C92" ca="1">[1]!s_dq_close($B$1,$A92,3)</f>
        <v>#NAME?</v>
      </c>
    </row>
    <row r="93" spans="1:3" ht="18">
      <c r="A93" s="21">
        <f t="shared" ca="1" si="1"/>
        <v>45587</v>
      </c>
      <c r="B93" s="19" t="e" cm="1">
        <f t="array" aca="1" ref="B93" ca="1">[1]!s_west_netprofit($B$1,2026,$A93,180,1000000)</f>
        <v>#NAME?</v>
      </c>
      <c r="C93" s="20" t="e" cm="1">
        <f t="array" aca="1" ref="C93" ca="1">[1]!s_dq_close($B$1,$A93,3)</f>
        <v>#NAME?</v>
      </c>
    </row>
    <row r="94" spans="1:3" ht="18">
      <c r="A94" s="21">
        <f t="shared" ca="1" si="1"/>
        <v>45580</v>
      </c>
      <c r="B94" s="19" t="e" cm="1">
        <f t="array" aca="1" ref="B94" ca="1">[1]!s_west_netprofit($B$1,2026,$A94,180,1000000)</f>
        <v>#NAME?</v>
      </c>
      <c r="C94" s="20" t="e" cm="1">
        <f t="array" aca="1" ref="C94" ca="1">[1]!s_dq_close($B$1,$A94,3)</f>
        <v>#NAME?</v>
      </c>
    </row>
    <row r="95" spans="1:3" ht="18">
      <c r="A95" s="21">
        <f t="shared" ca="1" si="1"/>
        <v>45573</v>
      </c>
      <c r="B95" s="19" t="e" cm="1">
        <f t="array" aca="1" ref="B95" ca="1">[1]!s_west_netprofit($B$1,2026,$A95,180,1000000)</f>
        <v>#NAME?</v>
      </c>
      <c r="C95" s="20" t="e" cm="1">
        <f t="array" aca="1" ref="C95" ca="1">[1]!s_dq_close($B$1,$A95,3)</f>
        <v>#NAME?</v>
      </c>
    </row>
    <row r="96" spans="1:3" ht="18">
      <c r="A96" s="21">
        <f t="shared" ca="1" si="1"/>
        <v>45566</v>
      </c>
      <c r="B96" s="19" t="e" cm="1">
        <f t="array" aca="1" ref="B96" ca="1">[1]!s_west_netprofit($B$1,2026,$A96,180,1000000)</f>
        <v>#NAME?</v>
      </c>
      <c r="C96" s="20" t="e" cm="1">
        <f t="array" aca="1" ref="C96" ca="1">[1]!s_dq_close($B$1,$A96,3)</f>
        <v>#NAME?</v>
      </c>
    </row>
    <row r="97" spans="1:3" ht="18">
      <c r="A97" s="21">
        <f t="shared" ca="1" si="1"/>
        <v>45559</v>
      </c>
      <c r="B97" s="19" t="e" cm="1">
        <f t="array" aca="1" ref="B97" ca="1">[1]!s_west_netprofit($B$1,2026,$A97,180,1000000)</f>
        <v>#NAME?</v>
      </c>
      <c r="C97" s="20" t="e" cm="1">
        <f t="array" aca="1" ref="C97" ca="1">[1]!s_dq_close($B$1,$A97,3)</f>
        <v>#NAME?</v>
      </c>
    </row>
    <row r="98" spans="1:3" ht="18">
      <c r="A98" s="21">
        <f t="shared" ca="1" si="1"/>
        <v>45552</v>
      </c>
      <c r="B98" s="19" t="e" cm="1">
        <f t="array" aca="1" ref="B98" ca="1">[1]!s_west_netprofit($B$1,2026,$A98,180,1000000)</f>
        <v>#NAME?</v>
      </c>
      <c r="C98" s="20" t="e" cm="1">
        <f t="array" aca="1" ref="C98" ca="1">[1]!s_dq_close($B$1,$A98,3)</f>
        <v>#NAME?</v>
      </c>
    </row>
    <row r="99" spans="1:3" ht="19" thickBot="1">
      <c r="A99" s="22">
        <f t="shared" ca="1" si="1"/>
        <v>45545</v>
      </c>
      <c r="B99" s="23" t="e" cm="1">
        <f t="array" aca="1" ref="B99" ca="1">[1]!s_west_netprofit($B$1,2026,$A99,180,1000000)</f>
        <v>#NAME?</v>
      </c>
      <c r="C99" s="24" t="e" cm="1">
        <f t="array" aca="1" ref="C99" ca="1">[1]!s_dq_close($B$1,$A99,3)</f>
        <v>#NAME?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944D1-6662-8D46-9132-DA9A7E4368E1}">
  <dimension ref="A1:D99"/>
  <sheetViews>
    <sheetView workbookViewId="0">
      <selection sqref="A1:XFD1048576"/>
    </sheetView>
  </sheetViews>
  <sheetFormatPr baseColWidth="10" defaultColWidth="9.1640625" defaultRowHeight="16"/>
  <cols>
    <col min="1" max="1" width="36.33203125" customWidth="1"/>
    <col min="2" max="2" width="26" customWidth="1"/>
    <col min="3" max="3" width="40" customWidth="1"/>
    <col min="4" max="4" width="11" bestFit="1" customWidth="1"/>
  </cols>
  <sheetData>
    <row r="1" spans="1:4" ht="17" thickBot="1">
      <c r="A1" t="e">
        <f ca="1">[1]!S_INFO_NAME($B$1)</f>
        <v>#NAME?</v>
      </c>
      <c r="B1" s="1"/>
      <c r="C1" t="s">
        <v>0</v>
      </c>
      <c r="D1" s="2">
        <f ca="1">TODAY()</f>
        <v>46161</v>
      </c>
    </row>
    <row r="2" spans="1:4" s="6" customFormat="1" ht="18">
      <c r="A2" s="3" t="s">
        <v>4</v>
      </c>
      <c r="B2" s="4">
        <v>2025</v>
      </c>
      <c r="C2" s="5">
        <v>2026</v>
      </c>
    </row>
    <row r="3" spans="1:4" s="6" customFormat="1" ht="18">
      <c r="A3" s="7" t="s">
        <v>5</v>
      </c>
      <c r="B3" s="8" t="e">
        <f ca="1">[1]!s_west_instnum_np($B$1,2025,$D$1,180)</f>
        <v>#NAME?</v>
      </c>
      <c r="C3" s="9" t="e">
        <f ca="1">[1]!s_west_instnum_np($B$1,2026,$D$1,180)</f>
        <v>#NAME?</v>
      </c>
    </row>
    <row r="4" spans="1:4" s="6" customFormat="1" ht="18">
      <c r="A4" s="7" t="s">
        <v>2</v>
      </c>
      <c r="B4" s="10" t="e">
        <f ca="1">[1]!s_west_instnum_np($A$1,2025,$D$1,180)</f>
        <v>#NAME?</v>
      </c>
      <c r="C4" s="11" t="e">
        <f ca="1">[1]!s_west_netprofit($B$1,2026,$D$1,180,1000000)</f>
        <v>#NAME?</v>
      </c>
    </row>
    <row r="5" spans="1:4" s="6" customFormat="1" ht="18">
      <c r="A5" s="7" t="s">
        <v>6</v>
      </c>
      <c r="B5" s="10" t="e">
        <f ca="1">[1]!s_west_maxnetprofit($B$1,2025,$D$1,180,1000000)</f>
        <v>#NAME?</v>
      </c>
      <c r="C5" s="11" t="e">
        <f ca="1">[1]!s_west_maxnetprofit($B$1,2026,$D$1,180,1000000)</f>
        <v>#NAME?</v>
      </c>
    </row>
    <row r="6" spans="1:4" s="6" customFormat="1" ht="18">
      <c r="A6" s="7" t="s">
        <v>7</v>
      </c>
      <c r="B6" s="10" t="e">
        <f ca="1">[1]!s_west_minnetprofit($B$1,2025,$D$1,180,1000000)</f>
        <v>#NAME?</v>
      </c>
      <c r="C6" s="11" t="e">
        <f ca="1">[1]!s_west_minnetprofit($B$1,2026,$D$1,180,1000000)</f>
        <v>#NAME?</v>
      </c>
    </row>
    <row r="7" spans="1:4" s="6" customFormat="1" ht="18">
      <c r="A7" s="7" t="s">
        <v>8</v>
      </c>
      <c r="B7" s="10" t="e">
        <f ca="1">[1]!s_west_mediannetprofit($B$1,2025,$D$1,180,1000000)</f>
        <v>#NAME?</v>
      </c>
      <c r="C7" s="11" t="e">
        <f ca="1">[1]!s_west_mediannetprofit($B$1,2026,$D$1,180,1000000)</f>
        <v>#NAME?</v>
      </c>
    </row>
    <row r="8" spans="1:4" s="6" customFormat="1" ht="19" thickBot="1">
      <c r="A8" s="12" t="s">
        <v>9</v>
      </c>
      <c r="B8" s="13" t="e">
        <f ca="1">[1]!s_west_stdnetprofit($B$1,2025,$D$1,180,1000000)</f>
        <v>#NAME?</v>
      </c>
      <c r="C8" s="14" t="e">
        <f ca="1">[1]!s_west_stdnetprofit($B$1,2026,$D$1,180,1000000)</f>
        <v>#NAME?</v>
      </c>
    </row>
    <row r="10" spans="1:4">
      <c r="A10" s="15" t="s">
        <v>1</v>
      </c>
      <c r="B10" s="16" t="s">
        <v>2</v>
      </c>
      <c r="C10" s="17" t="s">
        <v>3</v>
      </c>
    </row>
    <row r="11" spans="1:4" ht="18">
      <c r="A11" s="18">
        <f ca="1">TODAY()-IF(WEEKDAY(TODAY(),2)=6,1,IF(WEEKDAY(TODAY(),2)=7,2,0))</f>
        <v>46161</v>
      </c>
      <c r="B11" s="19" t="e" cm="1">
        <f t="array" aca="1" ref="B11" ca="1">[1]!s_west_netprofit($B$1,2026,$A11,180,1000000)</f>
        <v>#NAME?</v>
      </c>
      <c r="C11" s="20" t="e" cm="1">
        <f t="array" aca="1" ref="C11" ca="1">[1]!s_dq_close($B$1,$A11,3)</f>
        <v>#NAME?</v>
      </c>
    </row>
    <row r="12" spans="1:4" ht="18">
      <c r="A12" s="21">
        <f t="shared" ref="A12:A75" ca="1" si="0">A11-7</f>
        <v>46154</v>
      </c>
      <c r="B12" s="19" t="e" cm="1">
        <f t="array" aca="1" ref="B12" ca="1">[1]!s_west_netprofit($B$1,2026,$A12,180,1000000)</f>
        <v>#NAME?</v>
      </c>
      <c r="C12" s="20" t="e" cm="1">
        <f t="array" aca="1" ref="C12" ca="1">[1]!s_dq_close($B$1,$A12,3)</f>
        <v>#NAME?</v>
      </c>
    </row>
    <row r="13" spans="1:4" ht="18">
      <c r="A13" s="21">
        <f t="shared" ca="1" si="0"/>
        <v>46147</v>
      </c>
      <c r="B13" s="19" t="e" cm="1">
        <f t="array" aca="1" ref="B13" ca="1">[1]!s_west_netprofit($B$1,2026,$A13,180,1000000)</f>
        <v>#NAME?</v>
      </c>
      <c r="C13" s="20" t="e" cm="1">
        <f t="array" aca="1" ref="C13" ca="1">[1]!s_dq_close($B$1,$A13,3)</f>
        <v>#NAME?</v>
      </c>
    </row>
    <row r="14" spans="1:4" ht="18">
      <c r="A14" s="21">
        <f t="shared" ca="1" si="0"/>
        <v>46140</v>
      </c>
      <c r="B14" s="19" t="e" cm="1">
        <f t="array" aca="1" ref="B14" ca="1">[1]!s_west_netprofit($B$1,2026,$A14,180,1000000)</f>
        <v>#NAME?</v>
      </c>
      <c r="C14" s="20" t="e" cm="1">
        <f t="array" aca="1" ref="C14" ca="1">[1]!s_dq_close($B$1,$A14,3)</f>
        <v>#NAME?</v>
      </c>
    </row>
    <row r="15" spans="1:4" ht="18">
      <c r="A15" s="21">
        <f t="shared" ca="1" si="0"/>
        <v>46133</v>
      </c>
      <c r="B15" s="19" t="e" cm="1">
        <f t="array" aca="1" ref="B15" ca="1">[1]!s_west_netprofit($B$1,2026,$A15,180,1000000)</f>
        <v>#NAME?</v>
      </c>
      <c r="C15" s="20" t="e" cm="1">
        <f t="array" aca="1" ref="C15" ca="1">[1]!s_dq_close($B$1,$A15,3)</f>
        <v>#NAME?</v>
      </c>
    </row>
    <row r="16" spans="1:4" ht="18">
      <c r="A16" s="21">
        <f t="shared" ca="1" si="0"/>
        <v>46126</v>
      </c>
      <c r="B16" s="19" t="e" cm="1">
        <f t="array" aca="1" ref="B16" ca="1">[1]!s_west_netprofit($B$1,2026,$A16,180,1000000)</f>
        <v>#NAME?</v>
      </c>
      <c r="C16" s="20" t="e" cm="1">
        <f t="array" aca="1" ref="C16" ca="1">[1]!s_dq_close($B$1,$A16,3)</f>
        <v>#NAME?</v>
      </c>
    </row>
    <row r="17" spans="1:3" ht="18">
      <c r="A17" s="21">
        <f t="shared" ca="1" si="0"/>
        <v>46119</v>
      </c>
      <c r="B17" s="19" t="e" cm="1">
        <f t="array" aca="1" ref="B17" ca="1">[1]!s_west_netprofit($B$1,2026,$A17,180,1000000)</f>
        <v>#NAME?</v>
      </c>
      <c r="C17" s="20" t="e" cm="1">
        <f t="array" aca="1" ref="C17" ca="1">[1]!s_dq_close($B$1,$A17,3)</f>
        <v>#NAME?</v>
      </c>
    </row>
    <row r="18" spans="1:3" ht="18">
      <c r="A18" s="21">
        <f t="shared" ca="1" si="0"/>
        <v>46112</v>
      </c>
      <c r="B18" s="19" t="e" cm="1">
        <f t="array" aca="1" ref="B18" ca="1">[1]!s_west_netprofit($B$1,2026,$A18,180,1000000)</f>
        <v>#NAME?</v>
      </c>
      <c r="C18" s="20" t="e" cm="1">
        <f t="array" aca="1" ref="C18" ca="1">[1]!s_dq_close($B$1,$A18,3)</f>
        <v>#NAME?</v>
      </c>
    </row>
    <row r="19" spans="1:3" ht="18">
      <c r="A19" s="21">
        <f t="shared" ca="1" si="0"/>
        <v>46105</v>
      </c>
      <c r="B19" s="19" t="e" cm="1">
        <f t="array" aca="1" ref="B19" ca="1">[1]!s_west_netprofit($B$1,2026,$A19,180,1000000)</f>
        <v>#NAME?</v>
      </c>
      <c r="C19" s="20" t="e" cm="1">
        <f t="array" aca="1" ref="C19" ca="1">[1]!s_dq_close($B$1,$A19,3)</f>
        <v>#NAME?</v>
      </c>
    </row>
    <row r="20" spans="1:3" ht="18">
      <c r="A20" s="21">
        <f t="shared" ca="1" si="0"/>
        <v>46098</v>
      </c>
      <c r="B20" s="19" t="e" cm="1">
        <f t="array" aca="1" ref="B20" ca="1">[1]!s_west_netprofit($B$1,2026,$A20,180,1000000)</f>
        <v>#NAME?</v>
      </c>
      <c r="C20" s="20" t="e" cm="1">
        <f t="array" aca="1" ref="C20" ca="1">[1]!s_dq_close($B$1,$A20,3)</f>
        <v>#NAME?</v>
      </c>
    </row>
    <row r="21" spans="1:3" ht="18">
      <c r="A21" s="21">
        <f t="shared" ca="1" si="0"/>
        <v>46091</v>
      </c>
      <c r="B21" s="19" t="e" cm="1">
        <f t="array" aca="1" ref="B21" ca="1">[1]!s_west_netprofit($B$1,2026,$A21,180,1000000)</f>
        <v>#NAME?</v>
      </c>
      <c r="C21" s="20" t="e" cm="1">
        <f t="array" aca="1" ref="C21" ca="1">[1]!s_dq_close($B$1,$A21,3)</f>
        <v>#NAME?</v>
      </c>
    </row>
    <row r="22" spans="1:3" ht="18">
      <c r="A22" s="21">
        <f t="shared" ca="1" si="0"/>
        <v>46084</v>
      </c>
      <c r="B22" s="19" t="e" cm="1">
        <f t="array" aca="1" ref="B22" ca="1">[1]!s_west_netprofit($B$1,2026,$A22,180,1000000)</f>
        <v>#NAME?</v>
      </c>
      <c r="C22" s="20" t="e" cm="1">
        <f t="array" aca="1" ref="C22" ca="1">[1]!s_dq_close($B$1,$A22,3)</f>
        <v>#NAME?</v>
      </c>
    </row>
    <row r="23" spans="1:3" ht="18">
      <c r="A23" s="21">
        <f t="shared" ca="1" si="0"/>
        <v>46077</v>
      </c>
      <c r="B23" s="19" t="e" cm="1">
        <f t="array" aca="1" ref="B23" ca="1">[1]!s_west_netprofit($B$1,2026,$A23,180,1000000)</f>
        <v>#NAME?</v>
      </c>
      <c r="C23" s="20" t="e" cm="1">
        <f t="array" aca="1" ref="C23" ca="1">[1]!s_dq_close($B$1,$A23,3)</f>
        <v>#NAME?</v>
      </c>
    </row>
    <row r="24" spans="1:3" ht="18">
      <c r="A24" s="21">
        <f t="shared" ca="1" si="0"/>
        <v>46070</v>
      </c>
      <c r="B24" s="19" t="e" cm="1">
        <f t="array" aca="1" ref="B24" ca="1">[1]!s_west_netprofit($B$1,2026,$A24,180,1000000)</f>
        <v>#NAME?</v>
      </c>
      <c r="C24" s="20" t="e" cm="1">
        <f t="array" aca="1" ref="C24" ca="1">[1]!s_dq_close($B$1,$A24,3)</f>
        <v>#NAME?</v>
      </c>
    </row>
    <row r="25" spans="1:3" ht="18">
      <c r="A25" s="21">
        <f t="shared" ca="1" si="0"/>
        <v>46063</v>
      </c>
      <c r="B25" s="19" t="e" cm="1">
        <f t="array" aca="1" ref="B25" ca="1">[1]!s_west_netprofit($B$1,2026,$A25,180,1000000)</f>
        <v>#NAME?</v>
      </c>
      <c r="C25" s="20" t="e" cm="1">
        <f t="array" aca="1" ref="C25" ca="1">[1]!s_dq_close($B$1,$A25,3)</f>
        <v>#NAME?</v>
      </c>
    </row>
    <row r="26" spans="1:3" ht="18">
      <c r="A26" s="21">
        <f t="shared" ca="1" si="0"/>
        <v>46056</v>
      </c>
      <c r="B26" s="19" t="e" cm="1">
        <f t="array" aca="1" ref="B26" ca="1">[1]!s_west_netprofit($B$1,2026,$A26,180,1000000)</f>
        <v>#NAME?</v>
      </c>
      <c r="C26" s="20" t="e" cm="1">
        <f t="array" aca="1" ref="C26" ca="1">[1]!s_dq_close($B$1,$A26,3)</f>
        <v>#NAME?</v>
      </c>
    </row>
    <row r="27" spans="1:3" ht="18">
      <c r="A27" s="21">
        <f t="shared" ca="1" si="0"/>
        <v>46049</v>
      </c>
      <c r="B27" s="19" t="e" cm="1">
        <f t="array" aca="1" ref="B27" ca="1">[1]!s_west_netprofit($B$1,2026,$A27,180,1000000)</f>
        <v>#NAME?</v>
      </c>
      <c r="C27" s="20" t="e" cm="1">
        <f t="array" aca="1" ref="C27" ca="1">[1]!s_dq_close($B$1,$A27,3)</f>
        <v>#NAME?</v>
      </c>
    </row>
    <row r="28" spans="1:3" ht="18">
      <c r="A28" s="21">
        <f t="shared" ca="1" si="0"/>
        <v>46042</v>
      </c>
      <c r="B28" s="19" t="e" cm="1">
        <f t="array" aca="1" ref="B28" ca="1">[1]!s_west_netprofit($B$1,2026,$A28,180,1000000)</f>
        <v>#NAME?</v>
      </c>
      <c r="C28" s="20" t="e" cm="1">
        <f t="array" aca="1" ref="C28" ca="1">[1]!s_dq_close($B$1,$A28,3)</f>
        <v>#NAME?</v>
      </c>
    </row>
    <row r="29" spans="1:3" ht="18">
      <c r="A29" s="21">
        <f t="shared" ca="1" si="0"/>
        <v>46035</v>
      </c>
      <c r="B29" s="19" t="e" cm="1">
        <f t="array" aca="1" ref="B29" ca="1">[1]!s_west_netprofit($B$1,2026,$A29,180,1000000)</f>
        <v>#NAME?</v>
      </c>
      <c r="C29" s="20" t="e" cm="1">
        <f t="array" aca="1" ref="C29" ca="1">[1]!s_dq_close($B$1,$A29,3)</f>
        <v>#NAME?</v>
      </c>
    </row>
    <row r="30" spans="1:3" ht="18">
      <c r="A30" s="21">
        <f t="shared" ca="1" si="0"/>
        <v>46028</v>
      </c>
      <c r="B30" s="19" t="e" cm="1">
        <f t="array" aca="1" ref="B30" ca="1">[1]!s_west_netprofit($B$1,2026,$A30,180,1000000)</f>
        <v>#NAME?</v>
      </c>
      <c r="C30" s="20" t="e" cm="1">
        <f t="array" aca="1" ref="C30" ca="1">[1]!s_dq_close($B$1,$A30,3)</f>
        <v>#NAME?</v>
      </c>
    </row>
    <row r="31" spans="1:3" ht="18">
      <c r="A31" s="21">
        <f t="shared" ca="1" si="0"/>
        <v>46021</v>
      </c>
      <c r="B31" s="19" t="e" cm="1">
        <f t="array" aca="1" ref="B31" ca="1">[1]!s_west_netprofit($B$1,2026,$A31,180,1000000)</f>
        <v>#NAME?</v>
      </c>
      <c r="C31" s="20" t="e" cm="1">
        <f t="array" aca="1" ref="C31" ca="1">[1]!s_dq_close($B$1,$A31,3)</f>
        <v>#NAME?</v>
      </c>
    </row>
    <row r="32" spans="1:3" ht="18">
      <c r="A32" s="21">
        <f t="shared" ca="1" si="0"/>
        <v>46014</v>
      </c>
      <c r="B32" s="19" t="e" cm="1">
        <f t="array" aca="1" ref="B32" ca="1">[1]!s_west_netprofit($B$1,2026,$A32,180,1000000)</f>
        <v>#NAME?</v>
      </c>
      <c r="C32" s="20" t="e" cm="1">
        <f t="array" aca="1" ref="C32" ca="1">[1]!s_dq_close($B$1,$A32,3)</f>
        <v>#NAME?</v>
      </c>
    </row>
    <row r="33" spans="1:3" ht="18">
      <c r="A33" s="21">
        <f t="shared" ca="1" si="0"/>
        <v>46007</v>
      </c>
      <c r="B33" s="19" t="e" cm="1">
        <f t="array" aca="1" ref="B33" ca="1">[1]!s_west_netprofit($B$1,2026,$A33,180,1000000)</f>
        <v>#NAME?</v>
      </c>
      <c r="C33" s="20" t="e" cm="1">
        <f t="array" aca="1" ref="C33" ca="1">[1]!s_dq_close($B$1,$A33,3)</f>
        <v>#NAME?</v>
      </c>
    </row>
    <row r="34" spans="1:3" ht="18">
      <c r="A34" s="21">
        <f t="shared" ca="1" si="0"/>
        <v>46000</v>
      </c>
      <c r="B34" s="19" t="e" cm="1">
        <f t="array" aca="1" ref="B34" ca="1">[1]!s_west_netprofit($B$1,2026,$A34,180,1000000)</f>
        <v>#NAME?</v>
      </c>
      <c r="C34" s="20" t="e" cm="1">
        <f t="array" aca="1" ref="C34" ca="1">[1]!s_dq_close($B$1,$A34,3)</f>
        <v>#NAME?</v>
      </c>
    </row>
    <row r="35" spans="1:3" ht="18">
      <c r="A35" s="21">
        <f t="shared" ca="1" si="0"/>
        <v>45993</v>
      </c>
      <c r="B35" s="19" t="e" cm="1">
        <f t="array" aca="1" ref="B35" ca="1">[1]!s_west_netprofit($B$1,2026,$A35,180,1000000)</f>
        <v>#NAME?</v>
      </c>
      <c r="C35" s="20" t="e" cm="1">
        <f t="array" aca="1" ref="C35" ca="1">[1]!s_dq_close($B$1,$A35,3)</f>
        <v>#NAME?</v>
      </c>
    </row>
    <row r="36" spans="1:3" ht="18">
      <c r="A36" s="21">
        <f t="shared" ca="1" si="0"/>
        <v>45986</v>
      </c>
      <c r="B36" s="19" t="e" cm="1">
        <f t="array" aca="1" ref="B36" ca="1">[1]!s_west_netprofit($B$1,2026,$A36,180,1000000)</f>
        <v>#NAME?</v>
      </c>
      <c r="C36" s="20" t="e" cm="1">
        <f t="array" aca="1" ref="C36" ca="1">[1]!s_dq_close($B$1,$A36,3)</f>
        <v>#NAME?</v>
      </c>
    </row>
    <row r="37" spans="1:3" ht="18">
      <c r="A37" s="21">
        <f t="shared" ca="1" si="0"/>
        <v>45979</v>
      </c>
      <c r="B37" s="19" t="e" cm="1">
        <f t="array" aca="1" ref="B37" ca="1">[1]!s_west_netprofit($B$1,2026,$A37,180,1000000)</f>
        <v>#NAME?</v>
      </c>
      <c r="C37" s="20" t="e" cm="1">
        <f t="array" aca="1" ref="C37" ca="1">[1]!s_dq_close($B$1,$A37,3)</f>
        <v>#NAME?</v>
      </c>
    </row>
    <row r="38" spans="1:3" ht="18">
      <c r="A38" s="21">
        <f t="shared" ca="1" si="0"/>
        <v>45972</v>
      </c>
      <c r="B38" s="19" t="e" cm="1">
        <f t="array" aca="1" ref="B38" ca="1">[1]!s_west_netprofit($B$1,2026,$A38,180,1000000)</f>
        <v>#NAME?</v>
      </c>
      <c r="C38" s="20" t="e" cm="1">
        <f t="array" aca="1" ref="C38" ca="1">[1]!s_dq_close($B$1,$A38,3)</f>
        <v>#NAME?</v>
      </c>
    </row>
    <row r="39" spans="1:3" ht="18">
      <c r="A39" s="21">
        <f t="shared" ca="1" si="0"/>
        <v>45965</v>
      </c>
      <c r="B39" s="19" t="e" cm="1">
        <f t="array" aca="1" ref="B39" ca="1">[1]!s_west_netprofit($B$1,2026,$A39,180,1000000)</f>
        <v>#NAME?</v>
      </c>
      <c r="C39" s="20" t="e" cm="1">
        <f t="array" aca="1" ref="C39" ca="1">[1]!s_dq_close($B$1,$A39,3)</f>
        <v>#NAME?</v>
      </c>
    </row>
    <row r="40" spans="1:3" ht="18">
      <c r="A40" s="21">
        <f t="shared" ca="1" si="0"/>
        <v>45958</v>
      </c>
      <c r="B40" s="19" t="e" cm="1">
        <f t="array" aca="1" ref="B40" ca="1">[1]!s_west_netprofit($B$1,2026,$A40,180,1000000)</f>
        <v>#NAME?</v>
      </c>
      <c r="C40" s="20" t="e" cm="1">
        <f t="array" aca="1" ref="C40" ca="1">[1]!s_dq_close($B$1,$A40,3)</f>
        <v>#NAME?</v>
      </c>
    </row>
    <row r="41" spans="1:3" ht="18">
      <c r="A41" s="21">
        <f t="shared" ca="1" si="0"/>
        <v>45951</v>
      </c>
      <c r="B41" s="19" t="e" cm="1">
        <f t="array" aca="1" ref="B41" ca="1">[1]!s_west_netprofit($B$1,2026,$A41,180,1000000)</f>
        <v>#NAME?</v>
      </c>
      <c r="C41" s="20" t="e" cm="1">
        <f t="array" aca="1" ref="C41" ca="1">[1]!s_dq_close($B$1,$A41,3)</f>
        <v>#NAME?</v>
      </c>
    </row>
    <row r="42" spans="1:3" ht="18">
      <c r="A42" s="21">
        <f t="shared" ca="1" si="0"/>
        <v>45944</v>
      </c>
      <c r="B42" s="19" t="e" cm="1">
        <f t="array" aca="1" ref="B42" ca="1">[1]!s_west_netprofit($B$1,2026,$A42,180,1000000)</f>
        <v>#NAME?</v>
      </c>
      <c r="C42" s="20" t="e" cm="1">
        <f t="array" aca="1" ref="C42" ca="1">[1]!s_dq_close($B$1,$A42,3)</f>
        <v>#NAME?</v>
      </c>
    </row>
    <row r="43" spans="1:3" ht="18">
      <c r="A43" s="21">
        <f t="shared" ca="1" si="0"/>
        <v>45937</v>
      </c>
      <c r="B43" s="19" t="e" cm="1">
        <f t="array" aca="1" ref="B43" ca="1">[1]!s_west_netprofit($B$1,2026,$A43,180,1000000)</f>
        <v>#NAME?</v>
      </c>
      <c r="C43" s="20" t="e" cm="1">
        <f t="array" aca="1" ref="C43" ca="1">[1]!s_dq_close($B$1,$A43,3)</f>
        <v>#NAME?</v>
      </c>
    </row>
    <row r="44" spans="1:3" ht="18">
      <c r="A44" s="21">
        <f t="shared" ca="1" si="0"/>
        <v>45930</v>
      </c>
      <c r="B44" s="19" t="e" cm="1">
        <f t="array" aca="1" ref="B44" ca="1">[1]!s_west_netprofit($B$1,2026,$A44,180,1000000)</f>
        <v>#NAME?</v>
      </c>
      <c r="C44" s="20" t="e" cm="1">
        <f t="array" aca="1" ref="C44" ca="1">[1]!s_dq_close($B$1,$A44,3)</f>
        <v>#NAME?</v>
      </c>
    </row>
    <row r="45" spans="1:3" ht="18">
      <c r="A45" s="21">
        <f t="shared" ca="1" si="0"/>
        <v>45923</v>
      </c>
      <c r="B45" s="19" t="e" cm="1">
        <f t="array" aca="1" ref="B45" ca="1">[1]!s_west_netprofit($B$1,2026,$A45,180,1000000)</f>
        <v>#NAME?</v>
      </c>
      <c r="C45" s="20" t="e" cm="1">
        <f t="array" aca="1" ref="C45" ca="1">[1]!s_dq_close($B$1,$A45,3)</f>
        <v>#NAME?</v>
      </c>
    </row>
    <row r="46" spans="1:3" ht="18">
      <c r="A46" s="21">
        <f t="shared" ca="1" si="0"/>
        <v>45916</v>
      </c>
      <c r="B46" s="19" t="e" cm="1">
        <f t="array" aca="1" ref="B46" ca="1">[1]!s_west_netprofit($B$1,2026,$A46,180,1000000)</f>
        <v>#NAME?</v>
      </c>
      <c r="C46" s="20" t="e" cm="1">
        <f t="array" aca="1" ref="C46" ca="1">[1]!s_dq_close($B$1,$A46,3)</f>
        <v>#NAME?</v>
      </c>
    </row>
    <row r="47" spans="1:3" ht="18">
      <c r="A47" s="21">
        <f t="shared" ca="1" si="0"/>
        <v>45909</v>
      </c>
      <c r="B47" s="19" t="e" cm="1">
        <f t="array" aca="1" ref="B47" ca="1">[1]!s_west_netprofit($B$1,2026,$A47,180,1000000)</f>
        <v>#NAME?</v>
      </c>
      <c r="C47" s="20" t="e" cm="1">
        <f t="array" aca="1" ref="C47" ca="1">[1]!s_dq_close($B$1,$A47,3)</f>
        <v>#NAME?</v>
      </c>
    </row>
    <row r="48" spans="1:3" ht="18">
      <c r="A48" s="21">
        <f t="shared" ca="1" si="0"/>
        <v>45902</v>
      </c>
      <c r="B48" s="19" t="e" cm="1">
        <f t="array" aca="1" ref="B48" ca="1">[1]!s_west_netprofit($B$1,2026,$A48,180,1000000)</f>
        <v>#NAME?</v>
      </c>
      <c r="C48" s="20" t="e" cm="1">
        <f t="array" aca="1" ref="C48" ca="1">[1]!s_dq_close($B$1,$A48,3)</f>
        <v>#NAME?</v>
      </c>
    </row>
    <row r="49" spans="1:3" ht="18">
      <c r="A49" s="21">
        <f t="shared" ca="1" si="0"/>
        <v>45895</v>
      </c>
      <c r="B49" s="19" t="e" cm="1">
        <f t="array" aca="1" ref="B49" ca="1">[1]!s_west_netprofit($B$1,2026,$A49,180,1000000)</f>
        <v>#NAME?</v>
      </c>
      <c r="C49" s="20" t="e" cm="1">
        <f t="array" aca="1" ref="C49" ca="1">[1]!s_dq_close($B$1,$A49,3)</f>
        <v>#NAME?</v>
      </c>
    </row>
    <row r="50" spans="1:3" ht="18">
      <c r="A50" s="21">
        <f t="shared" ca="1" si="0"/>
        <v>45888</v>
      </c>
      <c r="B50" s="19" t="e" cm="1">
        <f t="array" aca="1" ref="B50" ca="1">[1]!s_west_netprofit($B$1,2026,$A50,180,1000000)</f>
        <v>#NAME?</v>
      </c>
      <c r="C50" s="20" t="e" cm="1">
        <f t="array" aca="1" ref="C50" ca="1">[1]!s_dq_close($B$1,$A50,3)</f>
        <v>#NAME?</v>
      </c>
    </row>
    <row r="51" spans="1:3" ht="18">
      <c r="A51" s="21">
        <f t="shared" ca="1" si="0"/>
        <v>45881</v>
      </c>
      <c r="B51" s="19" t="e" cm="1">
        <f t="array" aca="1" ref="B51" ca="1">[1]!s_west_netprofit($B$1,2026,$A51,180,1000000)</f>
        <v>#NAME?</v>
      </c>
      <c r="C51" s="20" t="e" cm="1">
        <f t="array" aca="1" ref="C51" ca="1">[1]!s_dq_close($B$1,$A51,3)</f>
        <v>#NAME?</v>
      </c>
    </row>
    <row r="52" spans="1:3" ht="18">
      <c r="A52" s="21">
        <f t="shared" ca="1" si="0"/>
        <v>45874</v>
      </c>
      <c r="B52" s="19" t="e" cm="1">
        <f t="array" aca="1" ref="B52" ca="1">[1]!s_west_netprofit($B$1,2026,$A52,180,1000000)</f>
        <v>#NAME?</v>
      </c>
      <c r="C52" s="20" t="e" cm="1">
        <f t="array" aca="1" ref="C52" ca="1">[1]!s_dq_close($B$1,$A52,3)</f>
        <v>#NAME?</v>
      </c>
    </row>
    <row r="53" spans="1:3" ht="18">
      <c r="A53" s="21">
        <f t="shared" ca="1" si="0"/>
        <v>45867</v>
      </c>
      <c r="B53" s="19" t="e" cm="1">
        <f t="array" aca="1" ref="B53" ca="1">[1]!s_west_netprofit($B$1,2026,$A53,180,1000000)</f>
        <v>#NAME?</v>
      </c>
      <c r="C53" s="20" t="e" cm="1">
        <f t="array" aca="1" ref="C53" ca="1">[1]!s_dq_close($B$1,$A53,3)</f>
        <v>#NAME?</v>
      </c>
    </row>
    <row r="54" spans="1:3" ht="18">
      <c r="A54" s="21">
        <f t="shared" ca="1" si="0"/>
        <v>45860</v>
      </c>
      <c r="B54" s="19" t="e" cm="1">
        <f t="array" aca="1" ref="B54" ca="1">[1]!s_west_netprofit($B$1,2026,$A54,180,1000000)</f>
        <v>#NAME?</v>
      </c>
      <c r="C54" s="20" t="e" cm="1">
        <f t="array" aca="1" ref="C54" ca="1">[1]!s_dq_close($B$1,$A54,3)</f>
        <v>#NAME?</v>
      </c>
    </row>
    <row r="55" spans="1:3" ht="18">
      <c r="A55" s="21">
        <f t="shared" ca="1" si="0"/>
        <v>45853</v>
      </c>
      <c r="B55" s="19" t="e" cm="1">
        <f t="array" aca="1" ref="B55" ca="1">[1]!s_west_netprofit($B$1,2026,$A55,180,1000000)</f>
        <v>#NAME?</v>
      </c>
      <c r="C55" s="20" t="e" cm="1">
        <f t="array" aca="1" ref="C55" ca="1">[1]!s_dq_close($B$1,$A55,3)</f>
        <v>#NAME?</v>
      </c>
    </row>
    <row r="56" spans="1:3" ht="18">
      <c r="A56" s="21">
        <f t="shared" ca="1" si="0"/>
        <v>45846</v>
      </c>
      <c r="B56" s="19" t="e" cm="1">
        <f t="array" aca="1" ref="B56" ca="1">[1]!s_west_netprofit($B$1,2026,$A56,180,1000000)</f>
        <v>#NAME?</v>
      </c>
      <c r="C56" s="20" t="e" cm="1">
        <f t="array" aca="1" ref="C56" ca="1">[1]!s_dq_close($B$1,$A56,3)</f>
        <v>#NAME?</v>
      </c>
    </row>
    <row r="57" spans="1:3" ht="18">
      <c r="A57" s="21">
        <f t="shared" ca="1" si="0"/>
        <v>45839</v>
      </c>
      <c r="B57" s="19" t="e" cm="1">
        <f t="array" aca="1" ref="B57" ca="1">[1]!s_west_netprofit($B$1,2026,$A57,180,1000000)</f>
        <v>#NAME?</v>
      </c>
      <c r="C57" s="20" t="e" cm="1">
        <f t="array" aca="1" ref="C57" ca="1">[1]!s_dq_close($B$1,$A57,3)</f>
        <v>#NAME?</v>
      </c>
    </row>
    <row r="58" spans="1:3" ht="18">
      <c r="A58" s="21">
        <f t="shared" ca="1" si="0"/>
        <v>45832</v>
      </c>
      <c r="B58" s="19" t="e" cm="1">
        <f t="array" aca="1" ref="B58" ca="1">[1]!s_west_netprofit($B$1,2026,$A58,180,1000000)</f>
        <v>#NAME?</v>
      </c>
      <c r="C58" s="20" t="e" cm="1">
        <f t="array" aca="1" ref="C58" ca="1">[1]!s_dq_close($B$1,$A58,3)</f>
        <v>#NAME?</v>
      </c>
    </row>
    <row r="59" spans="1:3" ht="18">
      <c r="A59" s="21">
        <f t="shared" ca="1" si="0"/>
        <v>45825</v>
      </c>
      <c r="B59" s="19" t="e" cm="1">
        <f t="array" aca="1" ref="B59" ca="1">[1]!s_west_netprofit($B$1,2026,$A59,180,1000000)</f>
        <v>#NAME?</v>
      </c>
      <c r="C59" s="20" t="e" cm="1">
        <f t="array" aca="1" ref="C59" ca="1">[1]!s_dq_close($B$1,$A59,3)</f>
        <v>#NAME?</v>
      </c>
    </row>
    <row r="60" spans="1:3" ht="18">
      <c r="A60" s="21">
        <f t="shared" ca="1" si="0"/>
        <v>45818</v>
      </c>
      <c r="B60" s="19" t="e" cm="1">
        <f t="array" aca="1" ref="B60" ca="1">[1]!s_west_netprofit($B$1,2026,$A60,180,1000000)</f>
        <v>#NAME?</v>
      </c>
      <c r="C60" s="20" t="e" cm="1">
        <f t="array" aca="1" ref="C60" ca="1">[1]!s_dq_close($B$1,$A60,3)</f>
        <v>#NAME?</v>
      </c>
    </row>
    <row r="61" spans="1:3" ht="18">
      <c r="A61" s="21">
        <f t="shared" ca="1" si="0"/>
        <v>45811</v>
      </c>
      <c r="B61" s="19" t="e" cm="1">
        <f t="array" aca="1" ref="B61" ca="1">[1]!s_west_netprofit($B$1,2026,$A61,180,1000000)</f>
        <v>#NAME?</v>
      </c>
      <c r="C61" s="20" t="e" cm="1">
        <f t="array" aca="1" ref="C61" ca="1">[1]!s_dq_close($B$1,$A61,3)</f>
        <v>#NAME?</v>
      </c>
    </row>
    <row r="62" spans="1:3" ht="18">
      <c r="A62" s="21">
        <f t="shared" ca="1" si="0"/>
        <v>45804</v>
      </c>
      <c r="B62" s="19" t="e" cm="1">
        <f t="array" aca="1" ref="B62" ca="1">[1]!s_west_netprofit($B$1,2026,$A62,180,1000000)</f>
        <v>#NAME?</v>
      </c>
      <c r="C62" s="20" t="e" cm="1">
        <f t="array" aca="1" ref="C62" ca="1">[1]!s_dq_close($B$1,$A62,3)</f>
        <v>#NAME?</v>
      </c>
    </row>
    <row r="63" spans="1:3" ht="18">
      <c r="A63" s="21">
        <f t="shared" ca="1" si="0"/>
        <v>45797</v>
      </c>
      <c r="B63" s="19" t="e" cm="1">
        <f t="array" aca="1" ref="B63" ca="1">[1]!s_west_netprofit($B$1,2026,$A63,180,1000000)</f>
        <v>#NAME?</v>
      </c>
      <c r="C63" s="20" t="e" cm="1">
        <f t="array" aca="1" ref="C63" ca="1">[1]!s_dq_close($B$1,$A63,3)</f>
        <v>#NAME?</v>
      </c>
    </row>
    <row r="64" spans="1:3" ht="18">
      <c r="A64" s="21">
        <f t="shared" ca="1" si="0"/>
        <v>45790</v>
      </c>
      <c r="B64" s="19" t="e" cm="1">
        <f t="array" aca="1" ref="B64" ca="1">[1]!s_west_netprofit($B$1,2026,$A64,180,1000000)</f>
        <v>#NAME?</v>
      </c>
      <c r="C64" s="20" t="e" cm="1">
        <f t="array" aca="1" ref="C64" ca="1">[1]!s_dq_close($B$1,$A64,3)</f>
        <v>#NAME?</v>
      </c>
    </row>
    <row r="65" spans="1:3" ht="18">
      <c r="A65" s="21">
        <f t="shared" ca="1" si="0"/>
        <v>45783</v>
      </c>
      <c r="B65" s="19" t="e" cm="1">
        <f t="array" aca="1" ref="B65" ca="1">[1]!s_west_netprofit($B$1,2026,$A65,180,1000000)</f>
        <v>#NAME?</v>
      </c>
      <c r="C65" s="20" t="e" cm="1">
        <f t="array" aca="1" ref="C65" ca="1">[1]!s_dq_close($B$1,$A65,3)</f>
        <v>#NAME?</v>
      </c>
    </row>
    <row r="66" spans="1:3" ht="18">
      <c r="A66" s="21">
        <f t="shared" ca="1" si="0"/>
        <v>45776</v>
      </c>
      <c r="B66" s="19" t="e" cm="1">
        <f t="array" aca="1" ref="B66" ca="1">[1]!s_west_netprofit($B$1,2026,$A66,180,1000000)</f>
        <v>#NAME?</v>
      </c>
      <c r="C66" s="20" t="e" cm="1">
        <f t="array" aca="1" ref="C66" ca="1">[1]!s_dq_close($B$1,$A66,3)</f>
        <v>#NAME?</v>
      </c>
    </row>
    <row r="67" spans="1:3" ht="18">
      <c r="A67" s="21">
        <f t="shared" ca="1" si="0"/>
        <v>45769</v>
      </c>
      <c r="B67" s="19" t="e" cm="1">
        <f t="array" aca="1" ref="B67" ca="1">[1]!s_west_netprofit($B$1,2026,$A67,180,1000000)</f>
        <v>#NAME?</v>
      </c>
      <c r="C67" s="20" t="e" cm="1">
        <f t="array" aca="1" ref="C67" ca="1">[1]!s_dq_close($B$1,$A67,3)</f>
        <v>#NAME?</v>
      </c>
    </row>
    <row r="68" spans="1:3" ht="18">
      <c r="A68" s="21">
        <f t="shared" ca="1" si="0"/>
        <v>45762</v>
      </c>
      <c r="B68" s="19" t="e" cm="1">
        <f t="array" aca="1" ref="B68" ca="1">[1]!s_west_netprofit($B$1,2026,$A68,180,1000000)</f>
        <v>#NAME?</v>
      </c>
      <c r="C68" s="20" t="e" cm="1">
        <f t="array" aca="1" ref="C68" ca="1">[1]!s_dq_close($B$1,$A68,3)</f>
        <v>#NAME?</v>
      </c>
    </row>
    <row r="69" spans="1:3" ht="18">
      <c r="A69" s="21">
        <f t="shared" ca="1" si="0"/>
        <v>45755</v>
      </c>
      <c r="B69" s="19" t="e" cm="1">
        <f t="array" aca="1" ref="B69" ca="1">[1]!s_west_netprofit($B$1,2026,$A69,180,1000000)</f>
        <v>#NAME?</v>
      </c>
      <c r="C69" s="20" t="e" cm="1">
        <f t="array" aca="1" ref="C69" ca="1">[1]!s_dq_close($B$1,$A69,3)</f>
        <v>#NAME?</v>
      </c>
    </row>
    <row r="70" spans="1:3" ht="18">
      <c r="A70" s="21">
        <f t="shared" ca="1" si="0"/>
        <v>45748</v>
      </c>
      <c r="B70" s="19" t="e" cm="1">
        <f t="array" aca="1" ref="B70" ca="1">[1]!s_west_netprofit($B$1,2026,$A70,180,1000000)</f>
        <v>#NAME?</v>
      </c>
      <c r="C70" s="20" t="e" cm="1">
        <f t="array" aca="1" ref="C70" ca="1">[1]!s_dq_close($B$1,$A70,3)</f>
        <v>#NAME?</v>
      </c>
    </row>
    <row r="71" spans="1:3" ht="18">
      <c r="A71" s="21">
        <f t="shared" ca="1" si="0"/>
        <v>45741</v>
      </c>
      <c r="B71" s="19" t="e" cm="1">
        <f t="array" aca="1" ref="B71" ca="1">[1]!s_west_netprofit($B$1,2026,$A71,180,1000000)</f>
        <v>#NAME?</v>
      </c>
      <c r="C71" s="20" t="e" cm="1">
        <f t="array" aca="1" ref="C71" ca="1">[1]!s_dq_close($B$1,$A71,3)</f>
        <v>#NAME?</v>
      </c>
    </row>
    <row r="72" spans="1:3" ht="18">
      <c r="A72" s="21">
        <f t="shared" ca="1" si="0"/>
        <v>45734</v>
      </c>
      <c r="B72" s="19" t="e" cm="1">
        <f t="array" aca="1" ref="B72" ca="1">[1]!s_west_netprofit($B$1,2026,$A72,180,1000000)</f>
        <v>#NAME?</v>
      </c>
      <c r="C72" s="20" t="e" cm="1">
        <f t="array" aca="1" ref="C72" ca="1">[1]!s_dq_close($B$1,$A72,3)</f>
        <v>#NAME?</v>
      </c>
    </row>
    <row r="73" spans="1:3" ht="18">
      <c r="A73" s="21">
        <f t="shared" ca="1" si="0"/>
        <v>45727</v>
      </c>
      <c r="B73" s="19" t="e" cm="1">
        <f t="array" aca="1" ref="B73" ca="1">[1]!s_west_netprofit($B$1,2026,$A73,180,1000000)</f>
        <v>#NAME?</v>
      </c>
      <c r="C73" s="20" t="e" cm="1">
        <f t="array" aca="1" ref="C73" ca="1">[1]!s_dq_close($B$1,$A73,3)</f>
        <v>#NAME?</v>
      </c>
    </row>
    <row r="74" spans="1:3" ht="18">
      <c r="A74" s="21">
        <f t="shared" ca="1" si="0"/>
        <v>45720</v>
      </c>
      <c r="B74" s="19" t="e" cm="1">
        <f t="array" aca="1" ref="B74" ca="1">[1]!s_west_netprofit($B$1,2026,$A74,180,1000000)</f>
        <v>#NAME?</v>
      </c>
      <c r="C74" s="20" t="e" cm="1">
        <f t="array" aca="1" ref="C74" ca="1">[1]!s_dq_close($B$1,$A74,3)</f>
        <v>#NAME?</v>
      </c>
    </row>
    <row r="75" spans="1:3" ht="18">
      <c r="A75" s="21">
        <f t="shared" ca="1" si="0"/>
        <v>45713</v>
      </c>
      <c r="B75" s="19" t="e" cm="1">
        <f t="array" aca="1" ref="B75" ca="1">[1]!s_west_netprofit($B$1,2026,$A75,180,1000000)</f>
        <v>#NAME?</v>
      </c>
      <c r="C75" s="20" t="e" cm="1">
        <f t="array" aca="1" ref="C75" ca="1">[1]!s_dq_close($B$1,$A75,3)</f>
        <v>#NAME?</v>
      </c>
    </row>
    <row r="76" spans="1:3" ht="18">
      <c r="A76" s="21">
        <f t="shared" ref="A76:A99" ca="1" si="1">A75-7</f>
        <v>45706</v>
      </c>
      <c r="B76" s="19" t="e" cm="1">
        <f t="array" aca="1" ref="B76" ca="1">[1]!s_west_netprofit($B$1,2026,$A76,180,1000000)</f>
        <v>#NAME?</v>
      </c>
      <c r="C76" s="20" t="e" cm="1">
        <f t="array" aca="1" ref="C76" ca="1">[1]!s_dq_close($B$1,$A76,3)</f>
        <v>#NAME?</v>
      </c>
    </row>
    <row r="77" spans="1:3" ht="18">
      <c r="A77" s="21">
        <f t="shared" ca="1" si="1"/>
        <v>45699</v>
      </c>
      <c r="B77" s="19" t="e" cm="1">
        <f t="array" aca="1" ref="B77" ca="1">[1]!s_west_netprofit($B$1,2026,$A77,180,1000000)</f>
        <v>#NAME?</v>
      </c>
      <c r="C77" s="20" t="e" cm="1">
        <f t="array" aca="1" ref="C77" ca="1">[1]!s_dq_close($B$1,$A77,3)</f>
        <v>#NAME?</v>
      </c>
    </row>
    <row r="78" spans="1:3" ht="18">
      <c r="A78" s="21">
        <f t="shared" ca="1" si="1"/>
        <v>45692</v>
      </c>
      <c r="B78" s="19" t="e" cm="1">
        <f t="array" aca="1" ref="B78" ca="1">[1]!s_west_netprofit($B$1,2026,$A78,180,1000000)</f>
        <v>#NAME?</v>
      </c>
      <c r="C78" s="20" t="e" cm="1">
        <f t="array" aca="1" ref="C78" ca="1">[1]!s_dq_close($B$1,$A78,3)</f>
        <v>#NAME?</v>
      </c>
    </row>
    <row r="79" spans="1:3" ht="18">
      <c r="A79" s="21">
        <f t="shared" ca="1" si="1"/>
        <v>45685</v>
      </c>
      <c r="B79" s="19" t="e" cm="1">
        <f t="array" aca="1" ref="B79" ca="1">[1]!s_west_netprofit($B$1,2026,$A79,180,1000000)</f>
        <v>#NAME?</v>
      </c>
      <c r="C79" s="20" t="e" cm="1">
        <f t="array" aca="1" ref="C79" ca="1">[1]!s_dq_close($B$1,$A79,3)</f>
        <v>#NAME?</v>
      </c>
    </row>
    <row r="80" spans="1:3" ht="18">
      <c r="A80" s="21">
        <f t="shared" ca="1" si="1"/>
        <v>45678</v>
      </c>
      <c r="B80" s="19" t="e" cm="1">
        <f t="array" aca="1" ref="B80" ca="1">[1]!s_west_netprofit($B$1,2026,$A80,180,1000000)</f>
        <v>#NAME?</v>
      </c>
      <c r="C80" s="20" t="e" cm="1">
        <f t="array" aca="1" ref="C80" ca="1">[1]!s_dq_close($B$1,$A80,3)</f>
        <v>#NAME?</v>
      </c>
    </row>
    <row r="81" spans="1:3" ht="18">
      <c r="A81" s="21">
        <f t="shared" ca="1" si="1"/>
        <v>45671</v>
      </c>
      <c r="B81" s="19" t="e" cm="1">
        <f t="array" aca="1" ref="B81" ca="1">[1]!s_west_netprofit($B$1,2026,$A81,180,1000000)</f>
        <v>#NAME?</v>
      </c>
      <c r="C81" s="20" t="e" cm="1">
        <f t="array" aca="1" ref="C81" ca="1">[1]!s_dq_close($B$1,$A81,3)</f>
        <v>#NAME?</v>
      </c>
    </row>
    <row r="82" spans="1:3" ht="18">
      <c r="A82" s="21">
        <f t="shared" ca="1" si="1"/>
        <v>45664</v>
      </c>
      <c r="B82" s="19" t="e" cm="1">
        <f t="array" aca="1" ref="B82" ca="1">[1]!s_west_netprofit($B$1,2026,$A82,180,1000000)</f>
        <v>#NAME?</v>
      </c>
      <c r="C82" s="20" t="e" cm="1">
        <f t="array" aca="1" ref="C82" ca="1">[1]!s_dq_close($B$1,$A82,3)</f>
        <v>#NAME?</v>
      </c>
    </row>
    <row r="83" spans="1:3" ht="18">
      <c r="A83" s="21">
        <f t="shared" ca="1" si="1"/>
        <v>45657</v>
      </c>
      <c r="B83" s="19" t="e" cm="1">
        <f t="array" aca="1" ref="B83" ca="1">[1]!s_west_netprofit($B$1,2026,$A83,180,1000000)</f>
        <v>#NAME?</v>
      </c>
      <c r="C83" s="20" t="e" cm="1">
        <f t="array" aca="1" ref="C83" ca="1">[1]!s_dq_close($B$1,$A83,3)</f>
        <v>#NAME?</v>
      </c>
    </row>
    <row r="84" spans="1:3" ht="18">
      <c r="A84" s="21">
        <f t="shared" ca="1" si="1"/>
        <v>45650</v>
      </c>
      <c r="B84" s="19" t="e" cm="1">
        <f t="array" aca="1" ref="B84" ca="1">[1]!s_west_netprofit($B$1,2026,$A84,180,1000000)</f>
        <v>#NAME?</v>
      </c>
      <c r="C84" s="20" t="e" cm="1">
        <f t="array" aca="1" ref="C84" ca="1">[1]!s_dq_close($B$1,$A84,3)</f>
        <v>#NAME?</v>
      </c>
    </row>
    <row r="85" spans="1:3" ht="18">
      <c r="A85" s="21">
        <f t="shared" ca="1" si="1"/>
        <v>45643</v>
      </c>
      <c r="B85" s="19" t="e" cm="1">
        <f t="array" aca="1" ref="B85" ca="1">[1]!s_west_netprofit($B$1,2026,$A85,180,1000000)</f>
        <v>#NAME?</v>
      </c>
      <c r="C85" s="20" t="e" cm="1">
        <f t="array" aca="1" ref="C85" ca="1">[1]!s_dq_close($B$1,$A85,3)</f>
        <v>#NAME?</v>
      </c>
    </row>
    <row r="86" spans="1:3" ht="18">
      <c r="A86" s="21">
        <f t="shared" ca="1" si="1"/>
        <v>45636</v>
      </c>
      <c r="B86" s="19" t="e" cm="1">
        <f t="array" aca="1" ref="B86" ca="1">[1]!s_west_netprofit($B$1,2026,$A86,180,1000000)</f>
        <v>#NAME?</v>
      </c>
      <c r="C86" s="20" t="e" cm="1">
        <f t="array" aca="1" ref="C86" ca="1">[1]!s_dq_close($B$1,$A86,3)</f>
        <v>#NAME?</v>
      </c>
    </row>
    <row r="87" spans="1:3" ht="18">
      <c r="A87" s="21">
        <f t="shared" ca="1" si="1"/>
        <v>45629</v>
      </c>
      <c r="B87" s="19" t="e" cm="1">
        <f t="array" aca="1" ref="B87" ca="1">[1]!s_west_netprofit($B$1,2026,$A87,180,1000000)</f>
        <v>#NAME?</v>
      </c>
      <c r="C87" s="20" t="e" cm="1">
        <f t="array" aca="1" ref="C87" ca="1">[1]!s_dq_close($B$1,$A87,3)</f>
        <v>#NAME?</v>
      </c>
    </row>
    <row r="88" spans="1:3" ht="18">
      <c r="A88" s="21">
        <f t="shared" ca="1" si="1"/>
        <v>45622</v>
      </c>
      <c r="B88" s="19" t="e" cm="1">
        <f t="array" aca="1" ref="B88" ca="1">[1]!s_west_netprofit($B$1,2026,$A88,180,1000000)</f>
        <v>#NAME?</v>
      </c>
      <c r="C88" s="20" t="e" cm="1">
        <f t="array" aca="1" ref="C88" ca="1">[1]!s_dq_close($B$1,$A88,3)</f>
        <v>#NAME?</v>
      </c>
    </row>
    <row r="89" spans="1:3" ht="18">
      <c r="A89" s="21">
        <f t="shared" ca="1" si="1"/>
        <v>45615</v>
      </c>
      <c r="B89" s="19" t="e" cm="1">
        <f t="array" aca="1" ref="B89" ca="1">[1]!s_west_netprofit($B$1,2026,$A89,180,1000000)</f>
        <v>#NAME?</v>
      </c>
      <c r="C89" s="20" t="e" cm="1">
        <f t="array" aca="1" ref="C89" ca="1">[1]!s_dq_close($B$1,$A89,3)</f>
        <v>#NAME?</v>
      </c>
    </row>
    <row r="90" spans="1:3" ht="18">
      <c r="A90" s="21">
        <f t="shared" ca="1" si="1"/>
        <v>45608</v>
      </c>
      <c r="B90" s="19" t="e" cm="1">
        <f t="array" aca="1" ref="B90" ca="1">[1]!s_west_netprofit($B$1,2026,$A90,180,1000000)</f>
        <v>#NAME?</v>
      </c>
      <c r="C90" s="20" t="e" cm="1">
        <f t="array" aca="1" ref="C90" ca="1">[1]!s_dq_close($B$1,$A90,3)</f>
        <v>#NAME?</v>
      </c>
    </row>
    <row r="91" spans="1:3" ht="18">
      <c r="A91" s="21">
        <f t="shared" ca="1" si="1"/>
        <v>45601</v>
      </c>
      <c r="B91" s="19" t="e" cm="1">
        <f t="array" aca="1" ref="B91" ca="1">[1]!s_west_netprofit($B$1,2026,$A91,180,1000000)</f>
        <v>#NAME?</v>
      </c>
      <c r="C91" s="20" t="e" cm="1">
        <f t="array" aca="1" ref="C91" ca="1">[1]!s_dq_close($B$1,$A91,3)</f>
        <v>#NAME?</v>
      </c>
    </row>
    <row r="92" spans="1:3" ht="18">
      <c r="A92" s="21">
        <f t="shared" ca="1" si="1"/>
        <v>45594</v>
      </c>
      <c r="B92" s="19" t="e" cm="1">
        <f t="array" aca="1" ref="B92" ca="1">[1]!s_west_netprofit($B$1,2026,$A92,180,1000000)</f>
        <v>#NAME?</v>
      </c>
      <c r="C92" s="20" t="e" cm="1">
        <f t="array" aca="1" ref="C92" ca="1">[1]!s_dq_close($B$1,$A92,3)</f>
        <v>#NAME?</v>
      </c>
    </row>
    <row r="93" spans="1:3" ht="18">
      <c r="A93" s="21">
        <f t="shared" ca="1" si="1"/>
        <v>45587</v>
      </c>
      <c r="B93" s="19" t="e" cm="1">
        <f t="array" aca="1" ref="B93" ca="1">[1]!s_west_netprofit($B$1,2026,$A93,180,1000000)</f>
        <v>#NAME?</v>
      </c>
      <c r="C93" s="20" t="e" cm="1">
        <f t="array" aca="1" ref="C93" ca="1">[1]!s_dq_close($B$1,$A93,3)</f>
        <v>#NAME?</v>
      </c>
    </row>
    <row r="94" spans="1:3" ht="18">
      <c r="A94" s="21">
        <f t="shared" ca="1" si="1"/>
        <v>45580</v>
      </c>
      <c r="B94" s="19" t="e" cm="1">
        <f t="array" aca="1" ref="B94" ca="1">[1]!s_west_netprofit($B$1,2026,$A94,180,1000000)</f>
        <v>#NAME?</v>
      </c>
      <c r="C94" s="20" t="e" cm="1">
        <f t="array" aca="1" ref="C94" ca="1">[1]!s_dq_close($B$1,$A94,3)</f>
        <v>#NAME?</v>
      </c>
    </row>
    <row r="95" spans="1:3" ht="18">
      <c r="A95" s="21">
        <f t="shared" ca="1" si="1"/>
        <v>45573</v>
      </c>
      <c r="B95" s="19" t="e" cm="1">
        <f t="array" aca="1" ref="B95" ca="1">[1]!s_west_netprofit($B$1,2026,$A95,180,1000000)</f>
        <v>#NAME?</v>
      </c>
      <c r="C95" s="20" t="e" cm="1">
        <f t="array" aca="1" ref="C95" ca="1">[1]!s_dq_close($B$1,$A95,3)</f>
        <v>#NAME?</v>
      </c>
    </row>
    <row r="96" spans="1:3" ht="18">
      <c r="A96" s="21">
        <f t="shared" ca="1" si="1"/>
        <v>45566</v>
      </c>
      <c r="B96" s="19" t="e" cm="1">
        <f t="array" aca="1" ref="B96" ca="1">[1]!s_west_netprofit($B$1,2026,$A96,180,1000000)</f>
        <v>#NAME?</v>
      </c>
      <c r="C96" s="20" t="e" cm="1">
        <f t="array" aca="1" ref="C96" ca="1">[1]!s_dq_close($B$1,$A96,3)</f>
        <v>#NAME?</v>
      </c>
    </row>
    <row r="97" spans="1:3" ht="18">
      <c r="A97" s="21">
        <f t="shared" ca="1" si="1"/>
        <v>45559</v>
      </c>
      <c r="B97" s="19" t="e" cm="1">
        <f t="array" aca="1" ref="B97" ca="1">[1]!s_west_netprofit($B$1,2026,$A97,180,1000000)</f>
        <v>#NAME?</v>
      </c>
      <c r="C97" s="20" t="e" cm="1">
        <f t="array" aca="1" ref="C97" ca="1">[1]!s_dq_close($B$1,$A97,3)</f>
        <v>#NAME?</v>
      </c>
    </row>
    <row r="98" spans="1:3" ht="18">
      <c r="A98" s="21">
        <f t="shared" ca="1" si="1"/>
        <v>45552</v>
      </c>
      <c r="B98" s="19" t="e" cm="1">
        <f t="array" aca="1" ref="B98" ca="1">[1]!s_west_netprofit($B$1,2026,$A98,180,1000000)</f>
        <v>#NAME?</v>
      </c>
      <c r="C98" s="20" t="e" cm="1">
        <f t="array" aca="1" ref="C98" ca="1">[1]!s_dq_close($B$1,$A98,3)</f>
        <v>#NAME?</v>
      </c>
    </row>
    <row r="99" spans="1:3" ht="19" thickBot="1">
      <c r="A99" s="22">
        <f t="shared" ca="1" si="1"/>
        <v>45545</v>
      </c>
      <c r="B99" s="23" t="e" cm="1">
        <f t="array" aca="1" ref="B99" ca="1">[1]!s_west_netprofit($B$1,2026,$A99,180,1000000)</f>
        <v>#NAME?</v>
      </c>
      <c r="C99" s="24" t="e" cm="1">
        <f t="array" aca="1" ref="C99" ca="1">[1]!s_dq_close($B$1,$A99,3)</f>
        <v>#NAME?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494B4-200F-CF4E-A07E-A87148AA8125}">
  <dimension ref="A1:D99"/>
  <sheetViews>
    <sheetView workbookViewId="0">
      <selection sqref="A1:XFD1048576"/>
    </sheetView>
  </sheetViews>
  <sheetFormatPr baseColWidth="10" defaultColWidth="9.1640625" defaultRowHeight="16"/>
  <cols>
    <col min="1" max="1" width="36.33203125" customWidth="1"/>
    <col min="2" max="2" width="26" customWidth="1"/>
    <col min="3" max="3" width="40" customWidth="1"/>
    <col min="4" max="4" width="11" bestFit="1" customWidth="1"/>
  </cols>
  <sheetData>
    <row r="1" spans="1:4" ht="17" thickBot="1">
      <c r="A1" t="e">
        <f ca="1">[1]!S_INFO_NAME($B$1)</f>
        <v>#NAME?</v>
      </c>
      <c r="B1" s="1"/>
      <c r="C1" t="s">
        <v>0</v>
      </c>
      <c r="D1" s="2">
        <f ca="1">TODAY()</f>
        <v>46161</v>
      </c>
    </row>
    <row r="2" spans="1:4" s="6" customFormat="1" ht="18">
      <c r="A2" s="3" t="s">
        <v>4</v>
      </c>
      <c r="B2" s="4">
        <v>2025</v>
      </c>
      <c r="C2" s="5">
        <v>2026</v>
      </c>
    </row>
    <row r="3" spans="1:4" s="6" customFormat="1" ht="18">
      <c r="A3" s="7" t="s">
        <v>5</v>
      </c>
      <c r="B3" s="8" t="e">
        <f ca="1">[1]!s_west_instnum_np($B$1,2025,$D$1,180)</f>
        <v>#NAME?</v>
      </c>
      <c r="C3" s="9" t="e">
        <f ca="1">[1]!s_west_instnum_np($B$1,2026,$D$1,180)</f>
        <v>#NAME?</v>
      </c>
    </row>
    <row r="4" spans="1:4" s="6" customFormat="1" ht="18">
      <c r="A4" s="7" t="s">
        <v>2</v>
      </c>
      <c r="B4" s="10" t="e">
        <f ca="1">[1]!s_west_instnum_np($A$1,2025,$D$1,180)</f>
        <v>#NAME?</v>
      </c>
      <c r="C4" s="11" t="e">
        <f ca="1">[1]!s_west_netprofit($B$1,2026,$D$1,180,1000000)</f>
        <v>#NAME?</v>
      </c>
    </row>
    <row r="5" spans="1:4" s="6" customFormat="1" ht="18">
      <c r="A5" s="7" t="s">
        <v>6</v>
      </c>
      <c r="B5" s="10" t="e">
        <f ca="1">[1]!s_west_maxnetprofit($B$1,2025,$D$1,180,1000000)</f>
        <v>#NAME?</v>
      </c>
      <c r="C5" s="11" t="e">
        <f ca="1">[1]!s_west_maxnetprofit($B$1,2026,$D$1,180,1000000)</f>
        <v>#NAME?</v>
      </c>
    </row>
    <row r="6" spans="1:4" s="6" customFormat="1" ht="18">
      <c r="A6" s="7" t="s">
        <v>7</v>
      </c>
      <c r="B6" s="10" t="e">
        <f ca="1">[1]!s_west_minnetprofit($B$1,2025,$D$1,180,1000000)</f>
        <v>#NAME?</v>
      </c>
      <c r="C6" s="11" t="e">
        <f ca="1">[1]!s_west_minnetprofit($B$1,2026,$D$1,180,1000000)</f>
        <v>#NAME?</v>
      </c>
    </row>
    <row r="7" spans="1:4" s="6" customFormat="1" ht="18">
      <c r="A7" s="7" t="s">
        <v>8</v>
      </c>
      <c r="B7" s="10" t="e">
        <f ca="1">[1]!s_west_mediannetprofit($B$1,2025,$D$1,180,1000000)</f>
        <v>#NAME?</v>
      </c>
      <c r="C7" s="11" t="e">
        <f ca="1">[1]!s_west_mediannetprofit($B$1,2026,$D$1,180,1000000)</f>
        <v>#NAME?</v>
      </c>
    </row>
    <row r="8" spans="1:4" s="6" customFormat="1" ht="19" thickBot="1">
      <c r="A8" s="12" t="s">
        <v>9</v>
      </c>
      <c r="B8" s="13" t="e">
        <f ca="1">[1]!s_west_stdnetprofit($B$1,2025,$D$1,180,1000000)</f>
        <v>#NAME?</v>
      </c>
      <c r="C8" s="14" t="e">
        <f ca="1">[1]!s_west_stdnetprofit($B$1,2026,$D$1,180,1000000)</f>
        <v>#NAME?</v>
      </c>
    </row>
    <row r="10" spans="1:4">
      <c r="A10" s="15" t="s">
        <v>1</v>
      </c>
      <c r="B10" s="16" t="s">
        <v>2</v>
      </c>
      <c r="C10" s="17" t="s">
        <v>3</v>
      </c>
    </row>
    <row r="11" spans="1:4" ht="18">
      <c r="A11" s="18">
        <f ca="1">TODAY()-IF(WEEKDAY(TODAY(),2)=6,1,IF(WEEKDAY(TODAY(),2)=7,2,0))</f>
        <v>46161</v>
      </c>
      <c r="B11" s="19" t="e" cm="1">
        <f t="array" aca="1" ref="B11" ca="1">[1]!s_west_netprofit($B$1,2026,$A11,180,1000000)</f>
        <v>#NAME?</v>
      </c>
      <c r="C11" s="20" t="e" cm="1">
        <f t="array" aca="1" ref="C11" ca="1">[1]!s_dq_close($B$1,$A11,3)</f>
        <v>#NAME?</v>
      </c>
    </row>
    <row r="12" spans="1:4" ht="18">
      <c r="A12" s="21">
        <f t="shared" ref="A12:A75" ca="1" si="0">A11-7</f>
        <v>46154</v>
      </c>
      <c r="B12" s="19" t="e" cm="1">
        <f t="array" aca="1" ref="B12" ca="1">[1]!s_west_netprofit($B$1,2026,$A12,180,1000000)</f>
        <v>#NAME?</v>
      </c>
      <c r="C12" s="20" t="e" cm="1">
        <f t="array" aca="1" ref="C12" ca="1">[1]!s_dq_close($B$1,$A12,3)</f>
        <v>#NAME?</v>
      </c>
    </row>
    <row r="13" spans="1:4" ht="18">
      <c r="A13" s="21">
        <f t="shared" ca="1" si="0"/>
        <v>46147</v>
      </c>
      <c r="B13" s="19" t="e" cm="1">
        <f t="array" aca="1" ref="B13" ca="1">[1]!s_west_netprofit($B$1,2026,$A13,180,1000000)</f>
        <v>#NAME?</v>
      </c>
      <c r="C13" s="20" t="e" cm="1">
        <f t="array" aca="1" ref="C13" ca="1">[1]!s_dq_close($B$1,$A13,3)</f>
        <v>#NAME?</v>
      </c>
    </row>
    <row r="14" spans="1:4" ht="18">
      <c r="A14" s="21">
        <f t="shared" ca="1" si="0"/>
        <v>46140</v>
      </c>
      <c r="B14" s="19" t="e" cm="1">
        <f t="array" aca="1" ref="B14" ca="1">[1]!s_west_netprofit($B$1,2026,$A14,180,1000000)</f>
        <v>#NAME?</v>
      </c>
      <c r="C14" s="20" t="e" cm="1">
        <f t="array" aca="1" ref="C14" ca="1">[1]!s_dq_close($B$1,$A14,3)</f>
        <v>#NAME?</v>
      </c>
    </row>
    <row r="15" spans="1:4" ht="18">
      <c r="A15" s="21">
        <f t="shared" ca="1" si="0"/>
        <v>46133</v>
      </c>
      <c r="B15" s="19" t="e" cm="1">
        <f t="array" aca="1" ref="B15" ca="1">[1]!s_west_netprofit($B$1,2026,$A15,180,1000000)</f>
        <v>#NAME?</v>
      </c>
      <c r="C15" s="20" t="e" cm="1">
        <f t="array" aca="1" ref="C15" ca="1">[1]!s_dq_close($B$1,$A15,3)</f>
        <v>#NAME?</v>
      </c>
    </row>
    <row r="16" spans="1:4" ht="18">
      <c r="A16" s="21">
        <f t="shared" ca="1" si="0"/>
        <v>46126</v>
      </c>
      <c r="B16" s="19" t="e" cm="1">
        <f t="array" aca="1" ref="B16" ca="1">[1]!s_west_netprofit($B$1,2026,$A16,180,1000000)</f>
        <v>#NAME?</v>
      </c>
      <c r="C16" s="20" t="e" cm="1">
        <f t="array" aca="1" ref="C16" ca="1">[1]!s_dq_close($B$1,$A16,3)</f>
        <v>#NAME?</v>
      </c>
    </row>
    <row r="17" spans="1:3" ht="18">
      <c r="A17" s="21">
        <f t="shared" ca="1" si="0"/>
        <v>46119</v>
      </c>
      <c r="B17" s="19" t="e" cm="1">
        <f t="array" aca="1" ref="B17" ca="1">[1]!s_west_netprofit($B$1,2026,$A17,180,1000000)</f>
        <v>#NAME?</v>
      </c>
      <c r="C17" s="20" t="e" cm="1">
        <f t="array" aca="1" ref="C17" ca="1">[1]!s_dq_close($B$1,$A17,3)</f>
        <v>#NAME?</v>
      </c>
    </row>
    <row r="18" spans="1:3" ht="18">
      <c r="A18" s="21">
        <f t="shared" ca="1" si="0"/>
        <v>46112</v>
      </c>
      <c r="B18" s="19" t="e" cm="1">
        <f t="array" aca="1" ref="B18" ca="1">[1]!s_west_netprofit($B$1,2026,$A18,180,1000000)</f>
        <v>#NAME?</v>
      </c>
      <c r="C18" s="20" t="e" cm="1">
        <f t="array" aca="1" ref="C18" ca="1">[1]!s_dq_close($B$1,$A18,3)</f>
        <v>#NAME?</v>
      </c>
    </row>
    <row r="19" spans="1:3" ht="18">
      <c r="A19" s="21">
        <f t="shared" ca="1" si="0"/>
        <v>46105</v>
      </c>
      <c r="B19" s="19" t="e" cm="1">
        <f t="array" aca="1" ref="B19" ca="1">[1]!s_west_netprofit($B$1,2026,$A19,180,1000000)</f>
        <v>#NAME?</v>
      </c>
      <c r="C19" s="20" t="e" cm="1">
        <f t="array" aca="1" ref="C19" ca="1">[1]!s_dq_close($B$1,$A19,3)</f>
        <v>#NAME?</v>
      </c>
    </row>
    <row r="20" spans="1:3" ht="18">
      <c r="A20" s="21">
        <f t="shared" ca="1" si="0"/>
        <v>46098</v>
      </c>
      <c r="B20" s="19" t="e" cm="1">
        <f t="array" aca="1" ref="B20" ca="1">[1]!s_west_netprofit($B$1,2026,$A20,180,1000000)</f>
        <v>#NAME?</v>
      </c>
      <c r="C20" s="20" t="e" cm="1">
        <f t="array" aca="1" ref="C20" ca="1">[1]!s_dq_close($B$1,$A20,3)</f>
        <v>#NAME?</v>
      </c>
    </row>
    <row r="21" spans="1:3" ht="18">
      <c r="A21" s="21">
        <f t="shared" ca="1" si="0"/>
        <v>46091</v>
      </c>
      <c r="B21" s="19" t="e" cm="1">
        <f t="array" aca="1" ref="B21" ca="1">[1]!s_west_netprofit($B$1,2026,$A21,180,1000000)</f>
        <v>#NAME?</v>
      </c>
      <c r="C21" s="20" t="e" cm="1">
        <f t="array" aca="1" ref="C21" ca="1">[1]!s_dq_close($B$1,$A21,3)</f>
        <v>#NAME?</v>
      </c>
    </row>
    <row r="22" spans="1:3" ht="18">
      <c r="A22" s="21">
        <f t="shared" ca="1" si="0"/>
        <v>46084</v>
      </c>
      <c r="B22" s="19" t="e" cm="1">
        <f t="array" aca="1" ref="B22" ca="1">[1]!s_west_netprofit($B$1,2026,$A22,180,1000000)</f>
        <v>#NAME?</v>
      </c>
      <c r="C22" s="20" t="e" cm="1">
        <f t="array" aca="1" ref="C22" ca="1">[1]!s_dq_close($B$1,$A22,3)</f>
        <v>#NAME?</v>
      </c>
    </row>
    <row r="23" spans="1:3" ht="18">
      <c r="A23" s="21">
        <f t="shared" ca="1" si="0"/>
        <v>46077</v>
      </c>
      <c r="B23" s="19" t="e" cm="1">
        <f t="array" aca="1" ref="B23" ca="1">[1]!s_west_netprofit($B$1,2026,$A23,180,1000000)</f>
        <v>#NAME?</v>
      </c>
      <c r="C23" s="20" t="e" cm="1">
        <f t="array" aca="1" ref="C23" ca="1">[1]!s_dq_close($B$1,$A23,3)</f>
        <v>#NAME?</v>
      </c>
    </row>
    <row r="24" spans="1:3" ht="18">
      <c r="A24" s="21">
        <f t="shared" ca="1" si="0"/>
        <v>46070</v>
      </c>
      <c r="B24" s="19" t="e" cm="1">
        <f t="array" aca="1" ref="B24" ca="1">[1]!s_west_netprofit($B$1,2026,$A24,180,1000000)</f>
        <v>#NAME?</v>
      </c>
      <c r="C24" s="20" t="e" cm="1">
        <f t="array" aca="1" ref="C24" ca="1">[1]!s_dq_close($B$1,$A24,3)</f>
        <v>#NAME?</v>
      </c>
    </row>
    <row r="25" spans="1:3" ht="18">
      <c r="A25" s="21">
        <f t="shared" ca="1" si="0"/>
        <v>46063</v>
      </c>
      <c r="B25" s="19" t="e" cm="1">
        <f t="array" aca="1" ref="B25" ca="1">[1]!s_west_netprofit($B$1,2026,$A25,180,1000000)</f>
        <v>#NAME?</v>
      </c>
      <c r="C25" s="20" t="e" cm="1">
        <f t="array" aca="1" ref="C25" ca="1">[1]!s_dq_close($B$1,$A25,3)</f>
        <v>#NAME?</v>
      </c>
    </row>
    <row r="26" spans="1:3" ht="18">
      <c r="A26" s="21">
        <f t="shared" ca="1" si="0"/>
        <v>46056</v>
      </c>
      <c r="B26" s="19" t="e" cm="1">
        <f t="array" aca="1" ref="B26" ca="1">[1]!s_west_netprofit($B$1,2026,$A26,180,1000000)</f>
        <v>#NAME?</v>
      </c>
      <c r="C26" s="20" t="e" cm="1">
        <f t="array" aca="1" ref="C26" ca="1">[1]!s_dq_close($B$1,$A26,3)</f>
        <v>#NAME?</v>
      </c>
    </row>
    <row r="27" spans="1:3" ht="18">
      <c r="A27" s="21">
        <f t="shared" ca="1" si="0"/>
        <v>46049</v>
      </c>
      <c r="B27" s="19" t="e" cm="1">
        <f t="array" aca="1" ref="B27" ca="1">[1]!s_west_netprofit($B$1,2026,$A27,180,1000000)</f>
        <v>#NAME?</v>
      </c>
      <c r="C27" s="20" t="e" cm="1">
        <f t="array" aca="1" ref="C27" ca="1">[1]!s_dq_close($B$1,$A27,3)</f>
        <v>#NAME?</v>
      </c>
    </row>
    <row r="28" spans="1:3" ht="18">
      <c r="A28" s="21">
        <f t="shared" ca="1" si="0"/>
        <v>46042</v>
      </c>
      <c r="B28" s="19" t="e" cm="1">
        <f t="array" aca="1" ref="B28" ca="1">[1]!s_west_netprofit($B$1,2026,$A28,180,1000000)</f>
        <v>#NAME?</v>
      </c>
      <c r="C28" s="20" t="e" cm="1">
        <f t="array" aca="1" ref="C28" ca="1">[1]!s_dq_close($B$1,$A28,3)</f>
        <v>#NAME?</v>
      </c>
    </row>
    <row r="29" spans="1:3" ht="18">
      <c r="A29" s="21">
        <f t="shared" ca="1" si="0"/>
        <v>46035</v>
      </c>
      <c r="B29" s="19" t="e" cm="1">
        <f t="array" aca="1" ref="B29" ca="1">[1]!s_west_netprofit($B$1,2026,$A29,180,1000000)</f>
        <v>#NAME?</v>
      </c>
      <c r="C29" s="20" t="e" cm="1">
        <f t="array" aca="1" ref="C29" ca="1">[1]!s_dq_close($B$1,$A29,3)</f>
        <v>#NAME?</v>
      </c>
    </row>
    <row r="30" spans="1:3" ht="18">
      <c r="A30" s="21">
        <f t="shared" ca="1" si="0"/>
        <v>46028</v>
      </c>
      <c r="B30" s="19" t="e" cm="1">
        <f t="array" aca="1" ref="B30" ca="1">[1]!s_west_netprofit($B$1,2026,$A30,180,1000000)</f>
        <v>#NAME?</v>
      </c>
      <c r="C30" s="20" t="e" cm="1">
        <f t="array" aca="1" ref="C30" ca="1">[1]!s_dq_close($B$1,$A30,3)</f>
        <v>#NAME?</v>
      </c>
    </row>
    <row r="31" spans="1:3" ht="18">
      <c r="A31" s="21">
        <f t="shared" ca="1" si="0"/>
        <v>46021</v>
      </c>
      <c r="B31" s="19" t="e" cm="1">
        <f t="array" aca="1" ref="B31" ca="1">[1]!s_west_netprofit($B$1,2026,$A31,180,1000000)</f>
        <v>#NAME?</v>
      </c>
      <c r="C31" s="20" t="e" cm="1">
        <f t="array" aca="1" ref="C31" ca="1">[1]!s_dq_close($B$1,$A31,3)</f>
        <v>#NAME?</v>
      </c>
    </row>
    <row r="32" spans="1:3" ht="18">
      <c r="A32" s="21">
        <f t="shared" ca="1" si="0"/>
        <v>46014</v>
      </c>
      <c r="B32" s="19" t="e" cm="1">
        <f t="array" aca="1" ref="B32" ca="1">[1]!s_west_netprofit($B$1,2026,$A32,180,1000000)</f>
        <v>#NAME?</v>
      </c>
      <c r="C32" s="20" t="e" cm="1">
        <f t="array" aca="1" ref="C32" ca="1">[1]!s_dq_close($B$1,$A32,3)</f>
        <v>#NAME?</v>
      </c>
    </row>
    <row r="33" spans="1:3" ht="18">
      <c r="A33" s="21">
        <f t="shared" ca="1" si="0"/>
        <v>46007</v>
      </c>
      <c r="B33" s="19" t="e" cm="1">
        <f t="array" aca="1" ref="B33" ca="1">[1]!s_west_netprofit($B$1,2026,$A33,180,1000000)</f>
        <v>#NAME?</v>
      </c>
      <c r="C33" s="20" t="e" cm="1">
        <f t="array" aca="1" ref="C33" ca="1">[1]!s_dq_close($B$1,$A33,3)</f>
        <v>#NAME?</v>
      </c>
    </row>
    <row r="34" spans="1:3" ht="18">
      <c r="A34" s="21">
        <f t="shared" ca="1" si="0"/>
        <v>46000</v>
      </c>
      <c r="B34" s="19" t="e" cm="1">
        <f t="array" aca="1" ref="B34" ca="1">[1]!s_west_netprofit($B$1,2026,$A34,180,1000000)</f>
        <v>#NAME?</v>
      </c>
      <c r="C34" s="20" t="e" cm="1">
        <f t="array" aca="1" ref="C34" ca="1">[1]!s_dq_close($B$1,$A34,3)</f>
        <v>#NAME?</v>
      </c>
    </row>
    <row r="35" spans="1:3" ht="18">
      <c r="A35" s="21">
        <f t="shared" ca="1" si="0"/>
        <v>45993</v>
      </c>
      <c r="B35" s="19" t="e" cm="1">
        <f t="array" aca="1" ref="B35" ca="1">[1]!s_west_netprofit($B$1,2026,$A35,180,1000000)</f>
        <v>#NAME?</v>
      </c>
      <c r="C35" s="20" t="e" cm="1">
        <f t="array" aca="1" ref="C35" ca="1">[1]!s_dq_close($B$1,$A35,3)</f>
        <v>#NAME?</v>
      </c>
    </row>
    <row r="36" spans="1:3" ht="18">
      <c r="A36" s="21">
        <f t="shared" ca="1" si="0"/>
        <v>45986</v>
      </c>
      <c r="B36" s="19" t="e" cm="1">
        <f t="array" aca="1" ref="B36" ca="1">[1]!s_west_netprofit($B$1,2026,$A36,180,1000000)</f>
        <v>#NAME?</v>
      </c>
      <c r="C36" s="20" t="e" cm="1">
        <f t="array" aca="1" ref="C36" ca="1">[1]!s_dq_close($B$1,$A36,3)</f>
        <v>#NAME?</v>
      </c>
    </row>
    <row r="37" spans="1:3" ht="18">
      <c r="A37" s="21">
        <f t="shared" ca="1" si="0"/>
        <v>45979</v>
      </c>
      <c r="B37" s="19" t="e" cm="1">
        <f t="array" aca="1" ref="B37" ca="1">[1]!s_west_netprofit($B$1,2026,$A37,180,1000000)</f>
        <v>#NAME?</v>
      </c>
      <c r="C37" s="20" t="e" cm="1">
        <f t="array" aca="1" ref="C37" ca="1">[1]!s_dq_close($B$1,$A37,3)</f>
        <v>#NAME?</v>
      </c>
    </row>
    <row r="38" spans="1:3" ht="18">
      <c r="A38" s="21">
        <f t="shared" ca="1" si="0"/>
        <v>45972</v>
      </c>
      <c r="B38" s="19" t="e" cm="1">
        <f t="array" aca="1" ref="B38" ca="1">[1]!s_west_netprofit($B$1,2026,$A38,180,1000000)</f>
        <v>#NAME?</v>
      </c>
      <c r="C38" s="20" t="e" cm="1">
        <f t="array" aca="1" ref="C38" ca="1">[1]!s_dq_close($B$1,$A38,3)</f>
        <v>#NAME?</v>
      </c>
    </row>
    <row r="39" spans="1:3" ht="18">
      <c r="A39" s="21">
        <f t="shared" ca="1" si="0"/>
        <v>45965</v>
      </c>
      <c r="B39" s="19" t="e" cm="1">
        <f t="array" aca="1" ref="B39" ca="1">[1]!s_west_netprofit($B$1,2026,$A39,180,1000000)</f>
        <v>#NAME?</v>
      </c>
      <c r="C39" s="20" t="e" cm="1">
        <f t="array" aca="1" ref="C39" ca="1">[1]!s_dq_close($B$1,$A39,3)</f>
        <v>#NAME?</v>
      </c>
    </row>
    <row r="40" spans="1:3" ht="18">
      <c r="A40" s="21">
        <f t="shared" ca="1" si="0"/>
        <v>45958</v>
      </c>
      <c r="B40" s="19" t="e" cm="1">
        <f t="array" aca="1" ref="B40" ca="1">[1]!s_west_netprofit($B$1,2026,$A40,180,1000000)</f>
        <v>#NAME?</v>
      </c>
      <c r="C40" s="20" t="e" cm="1">
        <f t="array" aca="1" ref="C40" ca="1">[1]!s_dq_close($B$1,$A40,3)</f>
        <v>#NAME?</v>
      </c>
    </row>
    <row r="41" spans="1:3" ht="18">
      <c r="A41" s="21">
        <f t="shared" ca="1" si="0"/>
        <v>45951</v>
      </c>
      <c r="B41" s="19" t="e" cm="1">
        <f t="array" aca="1" ref="B41" ca="1">[1]!s_west_netprofit($B$1,2026,$A41,180,1000000)</f>
        <v>#NAME?</v>
      </c>
      <c r="C41" s="20" t="e" cm="1">
        <f t="array" aca="1" ref="C41" ca="1">[1]!s_dq_close($B$1,$A41,3)</f>
        <v>#NAME?</v>
      </c>
    </row>
    <row r="42" spans="1:3" ht="18">
      <c r="A42" s="21">
        <f t="shared" ca="1" si="0"/>
        <v>45944</v>
      </c>
      <c r="B42" s="19" t="e" cm="1">
        <f t="array" aca="1" ref="B42" ca="1">[1]!s_west_netprofit($B$1,2026,$A42,180,1000000)</f>
        <v>#NAME?</v>
      </c>
      <c r="C42" s="20" t="e" cm="1">
        <f t="array" aca="1" ref="C42" ca="1">[1]!s_dq_close($B$1,$A42,3)</f>
        <v>#NAME?</v>
      </c>
    </row>
    <row r="43" spans="1:3" ht="18">
      <c r="A43" s="21">
        <f t="shared" ca="1" si="0"/>
        <v>45937</v>
      </c>
      <c r="B43" s="19" t="e" cm="1">
        <f t="array" aca="1" ref="B43" ca="1">[1]!s_west_netprofit($B$1,2026,$A43,180,1000000)</f>
        <v>#NAME?</v>
      </c>
      <c r="C43" s="20" t="e" cm="1">
        <f t="array" aca="1" ref="C43" ca="1">[1]!s_dq_close($B$1,$A43,3)</f>
        <v>#NAME?</v>
      </c>
    </row>
    <row r="44" spans="1:3" ht="18">
      <c r="A44" s="21">
        <f t="shared" ca="1" si="0"/>
        <v>45930</v>
      </c>
      <c r="B44" s="19" t="e" cm="1">
        <f t="array" aca="1" ref="B44" ca="1">[1]!s_west_netprofit($B$1,2026,$A44,180,1000000)</f>
        <v>#NAME?</v>
      </c>
      <c r="C44" s="20" t="e" cm="1">
        <f t="array" aca="1" ref="C44" ca="1">[1]!s_dq_close($B$1,$A44,3)</f>
        <v>#NAME?</v>
      </c>
    </row>
    <row r="45" spans="1:3" ht="18">
      <c r="A45" s="21">
        <f t="shared" ca="1" si="0"/>
        <v>45923</v>
      </c>
      <c r="B45" s="19" t="e" cm="1">
        <f t="array" aca="1" ref="B45" ca="1">[1]!s_west_netprofit($B$1,2026,$A45,180,1000000)</f>
        <v>#NAME?</v>
      </c>
      <c r="C45" s="20" t="e" cm="1">
        <f t="array" aca="1" ref="C45" ca="1">[1]!s_dq_close($B$1,$A45,3)</f>
        <v>#NAME?</v>
      </c>
    </row>
    <row r="46" spans="1:3" ht="18">
      <c r="A46" s="21">
        <f t="shared" ca="1" si="0"/>
        <v>45916</v>
      </c>
      <c r="B46" s="19" t="e" cm="1">
        <f t="array" aca="1" ref="B46" ca="1">[1]!s_west_netprofit($B$1,2026,$A46,180,1000000)</f>
        <v>#NAME?</v>
      </c>
      <c r="C46" s="20" t="e" cm="1">
        <f t="array" aca="1" ref="C46" ca="1">[1]!s_dq_close($B$1,$A46,3)</f>
        <v>#NAME?</v>
      </c>
    </row>
    <row r="47" spans="1:3" ht="18">
      <c r="A47" s="21">
        <f t="shared" ca="1" si="0"/>
        <v>45909</v>
      </c>
      <c r="B47" s="19" t="e" cm="1">
        <f t="array" aca="1" ref="B47" ca="1">[1]!s_west_netprofit($B$1,2026,$A47,180,1000000)</f>
        <v>#NAME?</v>
      </c>
      <c r="C47" s="20" t="e" cm="1">
        <f t="array" aca="1" ref="C47" ca="1">[1]!s_dq_close($B$1,$A47,3)</f>
        <v>#NAME?</v>
      </c>
    </row>
    <row r="48" spans="1:3" ht="18">
      <c r="A48" s="21">
        <f t="shared" ca="1" si="0"/>
        <v>45902</v>
      </c>
      <c r="B48" s="19" t="e" cm="1">
        <f t="array" aca="1" ref="B48" ca="1">[1]!s_west_netprofit($B$1,2026,$A48,180,1000000)</f>
        <v>#NAME?</v>
      </c>
      <c r="C48" s="20" t="e" cm="1">
        <f t="array" aca="1" ref="C48" ca="1">[1]!s_dq_close($B$1,$A48,3)</f>
        <v>#NAME?</v>
      </c>
    </row>
    <row r="49" spans="1:3" ht="18">
      <c r="A49" s="21">
        <f t="shared" ca="1" si="0"/>
        <v>45895</v>
      </c>
      <c r="B49" s="19" t="e" cm="1">
        <f t="array" aca="1" ref="B49" ca="1">[1]!s_west_netprofit($B$1,2026,$A49,180,1000000)</f>
        <v>#NAME?</v>
      </c>
      <c r="C49" s="20" t="e" cm="1">
        <f t="array" aca="1" ref="C49" ca="1">[1]!s_dq_close($B$1,$A49,3)</f>
        <v>#NAME?</v>
      </c>
    </row>
    <row r="50" spans="1:3" ht="18">
      <c r="A50" s="21">
        <f t="shared" ca="1" si="0"/>
        <v>45888</v>
      </c>
      <c r="B50" s="19" t="e" cm="1">
        <f t="array" aca="1" ref="B50" ca="1">[1]!s_west_netprofit($B$1,2026,$A50,180,1000000)</f>
        <v>#NAME?</v>
      </c>
      <c r="C50" s="20" t="e" cm="1">
        <f t="array" aca="1" ref="C50" ca="1">[1]!s_dq_close($B$1,$A50,3)</f>
        <v>#NAME?</v>
      </c>
    </row>
    <row r="51" spans="1:3" ht="18">
      <c r="A51" s="21">
        <f t="shared" ca="1" si="0"/>
        <v>45881</v>
      </c>
      <c r="B51" s="19" t="e" cm="1">
        <f t="array" aca="1" ref="B51" ca="1">[1]!s_west_netprofit($B$1,2026,$A51,180,1000000)</f>
        <v>#NAME?</v>
      </c>
      <c r="C51" s="20" t="e" cm="1">
        <f t="array" aca="1" ref="C51" ca="1">[1]!s_dq_close($B$1,$A51,3)</f>
        <v>#NAME?</v>
      </c>
    </row>
    <row r="52" spans="1:3" ht="18">
      <c r="A52" s="21">
        <f t="shared" ca="1" si="0"/>
        <v>45874</v>
      </c>
      <c r="B52" s="19" t="e" cm="1">
        <f t="array" aca="1" ref="B52" ca="1">[1]!s_west_netprofit($B$1,2026,$A52,180,1000000)</f>
        <v>#NAME?</v>
      </c>
      <c r="C52" s="20" t="e" cm="1">
        <f t="array" aca="1" ref="C52" ca="1">[1]!s_dq_close($B$1,$A52,3)</f>
        <v>#NAME?</v>
      </c>
    </row>
    <row r="53" spans="1:3" ht="18">
      <c r="A53" s="21">
        <f t="shared" ca="1" si="0"/>
        <v>45867</v>
      </c>
      <c r="B53" s="19" t="e" cm="1">
        <f t="array" aca="1" ref="B53" ca="1">[1]!s_west_netprofit($B$1,2026,$A53,180,1000000)</f>
        <v>#NAME?</v>
      </c>
      <c r="C53" s="20" t="e" cm="1">
        <f t="array" aca="1" ref="C53" ca="1">[1]!s_dq_close($B$1,$A53,3)</f>
        <v>#NAME?</v>
      </c>
    </row>
    <row r="54" spans="1:3" ht="18">
      <c r="A54" s="21">
        <f t="shared" ca="1" si="0"/>
        <v>45860</v>
      </c>
      <c r="B54" s="19" t="e" cm="1">
        <f t="array" aca="1" ref="B54" ca="1">[1]!s_west_netprofit($B$1,2026,$A54,180,1000000)</f>
        <v>#NAME?</v>
      </c>
      <c r="C54" s="20" t="e" cm="1">
        <f t="array" aca="1" ref="C54" ca="1">[1]!s_dq_close($B$1,$A54,3)</f>
        <v>#NAME?</v>
      </c>
    </row>
    <row r="55" spans="1:3" ht="18">
      <c r="A55" s="21">
        <f t="shared" ca="1" si="0"/>
        <v>45853</v>
      </c>
      <c r="B55" s="19" t="e" cm="1">
        <f t="array" aca="1" ref="B55" ca="1">[1]!s_west_netprofit($B$1,2026,$A55,180,1000000)</f>
        <v>#NAME?</v>
      </c>
      <c r="C55" s="20" t="e" cm="1">
        <f t="array" aca="1" ref="C55" ca="1">[1]!s_dq_close($B$1,$A55,3)</f>
        <v>#NAME?</v>
      </c>
    </row>
    <row r="56" spans="1:3" ht="18">
      <c r="A56" s="21">
        <f t="shared" ca="1" si="0"/>
        <v>45846</v>
      </c>
      <c r="B56" s="19" t="e" cm="1">
        <f t="array" aca="1" ref="B56" ca="1">[1]!s_west_netprofit($B$1,2026,$A56,180,1000000)</f>
        <v>#NAME?</v>
      </c>
      <c r="C56" s="20" t="e" cm="1">
        <f t="array" aca="1" ref="C56" ca="1">[1]!s_dq_close($B$1,$A56,3)</f>
        <v>#NAME?</v>
      </c>
    </row>
    <row r="57" spans="1:3" ht="18">
      <c r="A57" s="21">
        <f t="shared" ca="1" si="0"/>
        <v>45839</v>
      </c>
      <c r="B57" s="19" t="e" cm="1">
        <f t="array" aca="1" ref="B57" ca="1">[1]!s_west_netprofit($B$1,2026,$A57,180,1000000)</f>
        <v>#NAME?</v>
      </c>
      <c r="C57" s="20" t="e" cm="1">
        <f t="array" aca="1" ref="C57" ca="1">[1]!s_dq_close($B$1,$A57,3)</f>
        <v>#NAME?</v>
      </c>
    </row>
    <row r="58" spans="1:3" ht="18">
      <c r="A58" s="21">
        <f t="shared" ca="1" si="0"/>
        <v>45832</v>
      </c>
      <c r="B58" s="19" t="e" cm="1">
        <f t="array" aca="1" ref="B58" ca="1">[1]!s_west_netprofit($B$1,2026,$A58,180,1000000)</f>
        <v>#NAME?</v>
      </c>
      <c r="C58" s="20" t="e" cm="1">
        <f t="array" aca="1" ref="C58" ca="1">[1]!s_dq_close($B$1,$A58,3)</f>
        <v>#NAME?</v>
      </c>
    </row>
    <row r="59" spans="1:3" ht="18">
      <c r="A59" s="21">
        <f t="shared" ca="1" si="0"/>
        <v>45825</v>
      </c>
      <c r="B59" s="19" t="e" cm="1">
        <f t="array" aca="1" ref="B59" ca="1">[1]!s_west_netprofit($B$1,2026,$A59,180,1000000)</f>
        <v>#NAME?</v>
      </c>
      <c r="C59" s="20" t="e" cm="1">
        <f t="array" aca="1" ref="C59" ca="1">[1]!s_dq_close($B$1,$A59,3)</f>
        <v>#NAME?</v>
      </c>
    </row>
    <row r="60" spans="1:3" ht="18">
      <c r="A60" s="21">
        <f t="shared" ca="1" si="0"/>
        <v>45818</v>
      </c>
      <c r="B60" s="19" t="e" cm="1">
        <f t="array" aca="1" ref="B60" ca="1">[1]!s_west_netprofit($B$1,2026,$A60,180,1000000)</f>
        <v>#NAME?</v>
      </c>
      <c r="C60" s="20" t="e" cm="1">
        <f t="array" aca="1" ref="C60" ca="1">[1]!s_dq_close($B$1,$A60,3)</f>
        <v>#NAME?</v>
      </c>
    </row>
    <row r="61" spans="1:3" ht="18">
      <c r="A61" s="21">
        <f t="shared" ca="1" si="0"/>
        <v>45811</v>
      </c>
      <c r="B61" s="19" t="e" cm="1">
        <f t="array" aca="1" ref="B61" ca="1">[1]!s_west_netprofit($B$1,2026,$A61,180,1000000)</f>
        <v>#NAME?</v>
      </c>
      <c r="C61" s="20" t="e" cm="1">
        <f t="array" aca="1" ref="C61" ca="1">[1]!s_dq_close($B$1,$A61,3)</f>
        <v>#NAME?</v>
      </c>
    </row>
    <row r="62" spans="1:3" ht="18">
      <c r="A62" s="21">
        <f t="shared" ca="1" si="0"/>
        <v>45804</v>
      </c>
      <c r="B62" s="19" t="e" cm="1">
        <f t="array" aca="1" ref="B62" ca="1">[1]!s_west_netprofit($B$1,2026,$A62,180,1000000)</f>
        <v>#NAME?</v>
      </c>
      <c r="C62" s="20" t="e" cm="1">
        <f t="array" aca="1" ref="C62" ca="1">[1]!s_dq_close($B$1,$A62,3)</f>
        <v>#NAME?</v>
      </c>
    </row>
    <row r="63" spans="1:3" ht="18">
      <c r="A63" s="21">
        <f t="shared" ca="1" si="0"/>
        <v>45797</v>
      </c>
      <c r="B63" s="19" t="e" cm="1">
        <f t="array" aca="1" ref="B63" ca="1">[1]!s_west_netprofit($B$1,2026,$A63,180,1000000)</f>
        <v>#NAME?</v>
      </c>
      <c r="C63" s="20" t="e" cm="1">
        <f t="array" aca="1" ref="C63" ca="1">[1]!s_dq_close($B$1,$A63,3)</f>
        <v>#NAME?</v>
      </c>
    </row>
    <row r="64" spans="1:3" ht="18">
      <c r="A64" s="21">
        <f t="shared" ca="1" si="0"/>
        <v>45790</v>
      </c>
      <c r="B64" s="19" t="e" cm="1">
        <f t="array" aca="1" ref="B64" ca="1">[1]!s_west_netprofit($B$1,2026,$A64,180,1000000)</f>
        <v>#NAME?</v>
      </c>
      <c r="C64" s="20" t="e" cm="1">
        <f t="array" aca="1" ref="C64" ca="1">[1]!s_dq_close($B$1,$A64,3)</f>
        <v>#NAME?</v>
      </c>
    </row>
    <row r="65" spans="1:3" ht="18">
      <c r="A65" s="21">
        <f t="shared" ca="1" si="0"/>
        <v>45783</v>
      </c>
      <c r="B65" s="19" t="e" cm="1">
        <f t="array" aca="1" ref="B65" ca="1">[1]!s_west_netprofit($B$1,2026,$A65,180,1000000)</f>
        <v>#NAME?</v>
      </c>
      <c r="C65" s="20" t="e" cm="1">
        <f t="array" aca="1" ref="C65" ca="1">[1]!s_dq_close($B$1,$A65,3)</f>
        <v>#NAME?</v>
      </c>
    </row>
    <row r="66" spans="1:3" ht="18">
      <c r="A66" s="21">
        <f t="shared" ca="1" si="0"/>
        <v>45776</v>
      </c>
      <c r="B66" s="19" t="e" cm="1">
        <f t="array" aca="1" ref="B66" ca="1">[1]!s_west_netprofit($B$1,2026,$A66,180,1000000)</f>
        <v>#NAME?</v>
      </c>
      <c r="C66" s="20" t="e" cm="1">
        <f t="array" aca="1" ref="C66" ca="1">[1]!s_dq_close($B$1,$A66,3)</f>
        <v>#NAME?</v>
      </c>
    </row>
    <row r="67" spans="1:3" ht="18">
      <c r="A67" s="21">
        <f t="shared" ca="1" si="0"/>
        <v>45769</v>
      </c>
      <c r="B67" s="19" t="e" cm="1">
        <f t="array" aca="1" ref="B67" ca="1">[1]!s_west_netprofit($B$1,2026,$A67,180,1000000)</f>
        <v>#NAME?</v>
      </c>
      <c r="C67" s="20" t="e" cm="1">
        <f t="array" aca="1" ref="C67" ca="1">[1]!s_dq_close($B$1,$A67,3)</f>
        <v>#NAME?</v>
      </c>
    </row>
    <row r="68" spans="1:3" ht="18">
      <c r="A68" s="21">
        <f t="shared" ca="1" si="0"/>
        <v>45762</v>
      </c>
      <c r="B68" s="19" t="e" cm="1">
        <f t="array" aca="1" ref="B68" ca="1">[1]!s_west_netprofit($B$1,2026,$A68,180,1000000)</f>
        <v>#NAME?</v>
      </c>
      <c r="C68" s="20" t="e" cm="1">
        <f t="array" aca="1" ref="C68" ca="1">[1]!s_dq_close($B$1,$A68,3)</f>
        <v>#NAME?</v>
      </c>
    </row>
    <row r="69" spans="1:3" ht="18">
      <c r="A69" s="21">
        <f t="shared" ca="1" si="0"/>
        <v>45755</v>
      </c>
      <c r="B69" s="19" t="e" cm="1">
        <f t="array" aca="1" ref="B69" ca="1">[1]!s_west_netprofit($B$1,2026,$A69,180,1000000)</f>
        <v>#NAME?</v>
      </c>
      <c r="C69" s="20" t="e" cm="1">
        <f t="array" aca="1" ref="C69" ca="1">[1]!s_dq_close($B$1,$A69,3)</f>
        <v>#NAME?</v>
      </c>
    </row>
    <row r="70" spans="1:3" ht="18">
      <c r="A70" s="21">
        <f t="shared" ca="1" si="0"/>
        <v>45748</v>
      </c>
      <c r="B70" s="19" t="e" cm="1">
        <f t="array" aca="1" ref="B70" ca="1">[1]!s_west_netprofit($B$1,2026,$A70,180,1000000)</f>
        <v>#NAME?</v>
      </c>
      <c r="C70" s="20" t="e" cm="1">
        <f t="array" aca="1" ref="C70" ca="1">[1]!s_dq_close($B$1,$A70,3)</f>
        <v>#NAME?</v>
      </c>
    </row>
    <row r="71" spans="1:3" ht="18">
      <c r="A71" s="21">
        <f t="shared" ca="1" si="0"/>
        <v>45741</v>
      </c>
      <c r="B71" s="19" t="e" cm="1">
        <f t="array" aca="1" ref="B71" ca="1">[1]!s_west_netprofit($B$1,2026,$A71,180,1000000)</f>
        <v>#NAME?</v>
      </c>
      <c r="C71" s="20" t="e" cm="1">
        <f t="array" aca="1" ref="C71" ca="1">[1]!s_dq_close($B$1,$A71,3)</f>
        <v>#NAME?</v>
      </c>
    </row>
    <row r="72" spans="1:3" ht="18">
      <c r="A72" s="21">
        <f t="shared" ca="1" si="0"/>
        <v>45734</v>
      </c>
      <c r="B72" s="19" t="e" cm="1">
        <f t="array" aca="1" ref="B72" ca="1">[1]!s_west_netprofit($B$1,2026,$A72,180,1000000)</f>
        <v>#NAME?</v>
      </c>
      <c r="C72" s="20" t="e" cm="1">
        <f t="array" aca="1" ref="C72" ca="1">[1]!s_dq_close($B$1,$A72,3)</f>
        <v>#NAME?</v>
      </c>
    </row>
    <row r="73" spans="1:3" ht="18">
      <c r="A73" s="21">
        <f t="shared" ca="1" si="0"/>
        <v>45727</v>
      </c>
      <c r="B73" s="19" t="e" cm="1">
        <f t="array" aca="1" ref="B73" ca="1">[1]!s_west_netprofit($B$1,2026,$A73,180,1000000)</f>
        <v>#NAME?</v>
      </c>
      <c r="C73" s="20" t="e" cm="1">
        <f t="array" aca="1" ref="C73" ca="1">[1]!s_dq_close($B$1,$A73,3)</f>
        <v>#NAME?</v>
      </c>
    </row>
    <row r="74" spans="1:3" ht="18">
      <c r="A74" s="21">
        <f t="shared" ca="1" si="0"/>
        <v>45720</v>
      </c>
      <c r="B74" s="19" t="e" cm="1">
        <f t="array" aca="1" ref="B74" ca="1">[1]!s_west_netprofit($B$1,2026,$A74,180,1000000)</f>
        <v>#NAME?</v>
      </c>
      <c r="C74" s="20" t="e" cm="1">
        <f t="array" aca="1" ref="C74" ca="1">[1]!s_dq_close($B$1,$A74,3)</f>
        <v>#NAME?</v>
      </c>
    </row>
    <row r="75" spans="1:3" ht="18">
      <c r="A75" s="21">
        <f t="shared" ca="1" si="0"/>
        <v>45713</v>
      </c>
      <c r="B75" s="19" t="e" cm="1">
        <f t="array" aca="1" ref="B75" ca="1">[1]!s_west_netprofit($B$1,2026,$A75,180,1000000)</f>
        <v>#NAME?</v>
      </c>
      <c r="C75" s="20" t="e" cm="1">
        <f t="array" aca="1" ref="C75" ca="1">[1]!s_dq_close($B$1,$A75,3)</f>
        <v>#NAME?</v>
      </c>
    </row>
    <row r="76" spans="1:3" ht="18">
      <c r="A76" s="21">
        <f t="shared" ref="A76:A99" ca="1" si="1">A75-7</f>
        <v>45706</v>
      </c>
      <c r="B76" s="19" t="e" cm="1">
        <f t="array" aca="1" ref="B76" ca="1">[1]!s_west_netprofit($B$1,2026,$A76,180,1000000)</f>
        <v>#NAME?</v>
      </c>
      <c r="C76" s="20" t="e" cm="1">
        <f t="array" aca="1" ref="C76" ca="1">[1]!s_dq_close($B$1,$A76,3)</f>
        <v>#NAME?</v>
      </c>
    </row>
    <row r="77" spans="1:3" ht="18">
      <c r="A77" s="21">
        <f t="shared" ca="1" si="1"/>
        <v>45699</v>
      </c>
      <c r="B77" s="19" t="e" cm="1">
        <f t="array" aca="1" ref="B77" ca="1">[1]!s_west_netprofit($B$1,2026,$A77,180,1000000)</f>
        <v>#NAME?</v>
      </c>
      <c r="C77" s="20" t="e" cm="1">
        <f t="array" aca="1" ref="C77" ca="1">[1]!s_dq_close($B$1,$A77,3)</f>
        <v>#NAME?</v>
      </c>
    </row>
    <row r="78" spans="1:3" ht="18">
      <c r="A78" s="21">
        <f t="shared" ca="1" si="1"/>
        <v>45692</v>
      </c>
      <c r="B78" s="19" t="e" cm="1">
        <f t="array" aca="1" ref="B78" ca="1">[1]!s_west_netprofit($B$1,2026,$A78,180,1000000)</f>
        <v>#NAME?</v>
      </c>
      <c r="C78" s="20" t="e" cm="1">
        <f t="array" aca="1" ref="C78" ca="1">[1]!s_dq_close($B$1,$A78,3)</f>
        <v>#NAME?</v>
      </c>
    </row>
    <row r="79" spans="1:3" ht="18">
      <c r="A79" s="21">
        <f t="shared" ca="1" si="1"/>
        <v>45685</v>
      </c>
      <c r="B79" s="19" t="e" cm="1">
        <f t="array" aca="1" ref="B79" ca="1">[1]!s_west_netprofit($B$1,2026,$A79,180,1000000)</f>
        <v>#NAME?</v>
      </c>
      <c r="C79" s="20" t="e" cm="1">
        <f t="array" aca="1" ref="C79" ca="1">[1]!s_dq_close($B$1,$A79,3)</f>
        <v>#NAME?</v>
      </c>
    </row>
    <row r="80" spans="1:3" ht="18">
      <c r="A80" s="21">
        <f t="shared" ca="1" si="1"/>
        <v>45678</v>
      </c>
      <c r="B80" s="19" t="e" cm="1">
        <f t="array" aca="1" ref="B80" ca="1">[1]!s_west_netprofit($B$1,2026,$A80,180,1000000)</f>
        <v>#NAME?</v>
      </c>
      <c r="C80" s="20" t="e" cm="1">
        <f t="array" aca="1" ref="C80" ca="1">[1]!s_dq_close($B$1,$A80,3)</f>
        <v>#NAME?</v>
      </c>
    </row>
    <row r="81" spans="1:3" ht="18">
      <c r="A81" s="21">
        <f t="shared" ca="1" si="1"/>
        <v>45671</v>
      </c>
      <c r="B81" s="19" t="e" cm="1">
        <f t="array" aca="1" ref="B81" ca="1">[1]!s_west_netprofit($B$1,2026,$A81,180,1000000)</f>
        <v>#NAME?</v>
      </c>
      <c r="C81" s="20" t="e" cm="1">
        <f t="array" aca="1" ref="C81" ca="1">[1]!s_dq_close($B$1,$A81,3)</f>
        <v>#NAME?</v>
      </c>
    </row>
    <row r="82" spans="1:3" ht="18">
      <c r="A82" s="21">
        <f t="shared" ca="1" si="1"/>
        <v>45664</v>
      </c>
      <c r="B82" s="19" t="e" cm="1">
        <f t="array" aca="1" ref="B82" ca="1">[1]!s_west_netprofit($B$1,2026,$A82,180,1000000)</f>
        <v>#NAME?</v>
      </c>
      <c r="C82" s="20" t="e" cm="1">
        <f t="array" aca="1" ref="C82" ca="1">[1]!s_dq_close($B$1,$A82,3)</f>
        <v>#NAME?</v>
      </c>
    </row>
    <row r="83" spans="1:3" ht="18">
      <c r="A83" s="21">
        <f t="shared" ca="1" si="1"/>
        <v>45657</v>
      </c>
      <c r="B83" s="19" t="e" cm="1">
        <f t="array" aca="1" ref="B83" ca="1">[1]!s_west_netprofit($B$1,2026,$A83,180,1000000)</f>
        <v>#NAME?</v>
      </c>
      <c r="C83" s="20" t="e" cm="1">
        <f t="array" aca="1" ref="C83" ca="1">[1]!s_dq_close($B$1,$A83,3)</f>
        <v>#NAME?</v>
      </c>
    </row>
    <row r="84" spans="1:3" ht="18">
      <c r="A84" s="21">
        <f t="shared" ca="1" si="1"/>
        <v>45650</v>
      </c>
      <c r="B84" s="19" t="e" cm="1">
        <f t="array" aca="1" ref="B84" ca="1">[1]!s_west_netprofit($B$1,2026,$A84,180,1000000)</f>
        <v>#NAME?</v>
      </c>
      <c r="C84" s="20" t="e" cm="1">
        <f t="array" aca="1" ref="C84" ca="1">[1]!s_dq_close($B$1,$A84,3)</f>
        <v>#NAME?</v>
      </c>
    </row>
    <row r="85" spans="1:3" ht="18">
      <c r="A85" s="21">
        <f t="shared" ca="1" si="1"/>
        <v>45643</v>
      </c>
      <c r="B85" s="19" t="e" cm="1">
        <f t="array" aca="1" ref="B85" ca="1">[1]!s_west_netprofit($B$1,2026,$A85,180,1000000)</f>
        <v>#NAME?</v>
      </c>
      <c r="C85" s="20" t="e" cm="1">
        <f t="array" aca="1" ref="C85" ca="1">[1]!s_dq_close($B$1,$A85,3)</f>
        <v>#NAME?</v>
      </c>
    </row>
    <row r="86" spans="1:3" ht="18">
      <c r="A86" s="21">
        <f t="shared" ca="1" si="1"/>
        <v>45636</v>
      </c>
      <c r="B86" s="19" t="e" cm="1">
        <f t="array" aca="1" ref="B86" ca="1">[1]!s_west_netprofit($B$1,2026,$A86,180,1000000)</f>
        <v>#NAME?</v>
      </c>
      <c r="C86" s="20" t="e" cm="1">
        <f t="array" aca="1" ref="C86" ca="1">[1]!s_dq_close($B$1,$A86,3)</f>
        <v>#NAME?</v>
      </c>
    </row>
    <row r="87" spans="1:3" ht="18">
      <c r="A87" s="21">
        <f t="shared" ca="1" si="1"/>
        <v>45629</v>
      </c>
      <c r="B87" s="19" t="e" cm="1">
        <f t="array" aca="1" ref="B87" ca="1">[1]!s_west_netprofit($B$1,2026,$A87,180,1000000)</f>
        <v>#NAME?</v>
      </c>
      <c r="C87" s="20" t="e" cm="1">
        <f t="array" aca="1" ref="C87" ca="1">[1]!s_dq_close($B$1,$A87,3)</f>
        <v>#NAME?</v>
      </c>
    </row>
    <row r="88" spans="1:3" ht="18">
      <c r="A88" s="21">
        <f t="shared" ca="1" si="1"/>
        <v>45622</v>
      </c>
      <c r="B88" s="19" t="e" cm="1">
        <f t="array" aca="1" ref="B88" ca="1">[1]!s_west_netprofit($B$1,2026,$A88,180,1000000)</f>
        <v>#NAME?</v>
      </c>
      <c r="C88" s="20" t="e" cm="1">
        <f t="array" aca="1" ref="C88" ca="1">[1]!s_dq_close($B$1,$A88,3)</f>
        <v>#NAME?</v>
      </c>
    </row>
    <row r="89" spans="1:3" ht="18">
      <c r="A89" s="21">
        <f t="shared" ca="1" si="1"/>
        <v>45615</v>
      </c>
      <c r="B89" s="19" t="e" cm="1">
        <f t="array" aca="1" ref="B89" ca="1">[1]!s_west_netprofit($B$1,2026,$A89,180,1000000)</f>
        <v>#NAME?</v>
      </c>
      <c r="C89" s="20" t="e" cm="1">
        <f t="array" aca="1" ref="C89" ca="1">[1]!s_dq_close($B$1,$A89,3)</f>
        <v>#NAME?</v>
      </c>
    </row>
    <row r="90" spans="1:3" ht="18">
      <c r="A90" s="21">
        <f t="shared" ca="1" si="1"/>
        <v>45608</v>
      </c>
      <c r="B90" s="19" t="e" cm="1">
        <f t="array" aca="1" ref="B90" ca="1">[1]!s_west_netprofit($B$1,2026,$A90,180,1000000)</f>
        <v>#NAME?</v>
      </c>
      <c r="C90" s="20" t="e" cm="1">
        <f t="array" aca="1" ref="C90" ca="1">[1]!s_dq_close($B$1,$A90,3)</f>
        <v>#NAME?</v>
      </c>
    </row>
    <row r="91" spans="1:3" ht="18">
      <c r="A91" s="21">
        <f t="shared" ca="1" si="1"/>
        <v>45601</v>
      </c>
      <c r="B91" s="19" t="e" cm="1">
        <f t="array" aca="1" ref="B91" ca="1">[1]!s_west_netprofit($B$1,2026,$A91,180,1000000)</f>
        <v>#NAME?</v>
      </c>
      <c r="C91" s="20" t="e" cm="1">
        <f t="array" aca="1" ref="C91" ca="1">[1]!s_dq_close($B$1,$A91,3)</f>
        <v>#NAME?</v>
      </c>
    </row>
    <row r="92" spans="1:3" ht="18">
      <c r="A92" s="21">
        <f t="shared" ca="1" si="1"/>
        <v>45594</v>
      </c>
      <c r="B92" s="19" t="e" cm="1">
        <f t="array" aca="1" ref="B92" ca="1">[1]!s_west_netprofit($B$1,2026,$A92,180,1000000)</f>
        <v>#NAME?</v>
      </c>
      <c r="C92" s="20" t="e" cm="1">
        <f t="array" aca="1" ref="C92" ca="1">[1]!s_dq_close($B$1,$A92,3)</f>
        <v>#NAME?</v>
      </c>
    </row>
    <row r="93" spans="1:3" ht="18">
      <c r="A93" s="21">
        <f t="shared" ca="1" si="1"/>
        <v>45587</v>
      </c>
      <c r="B93" s="19" t="e" cm="1">
        <f t="array" aca="1" ref="B93" ca="1">[1]!s_west_netprofit($B$1,2026,$A93,180,1000000)</f>
        <v>#NAME?</v>
      </c>
      <c r="C93" s="20" t="e" cm="1">
        <f t="array" aca="1" ref="C93" ca="1">[1]!s_dq_close($B$1,$A93,3)</f>
        <v>#NAME?</v>
      </c>
    </row>
    <row r="94" spans="1:3" ht="18">
      <c r="A94" s="21">
        <f t="shared" ca="1" si="1"/>
        <v>45580</v>
      </c>
      <c r="B94" s="19" t="e" cm="1">
        <f t="array" aca="1" ref="B94" ca="1">[1]!s_west_netprofit($B$1,2026,$A94,180,1000000)</f>
        <v>#NAME?</v>
      </c>
      <c r="C94" s="20" t="e" cm="1">
        <f t="array" aca="1" ref="C94" ca="1">[1]!s_dq_close($B$1,$A94,3)</f>
        <v>#NAME?</v>
      </c>
    </row>
    <row r="95" spans="1:3" ht="18">
      <c r="A95" s="21">
        <f t="shared" ca="1" si="1"/>
        <v>45573</v>
      </c>
      <c r="B95" s="19" t="e" cm="1">
        <f t="array" aca="1" ref="B95" ca="1">[1]!s_west_netprofit($B$1,2026,$A95,180,1000000)</f>
        <v>#NAME?</v>
      </c>
      <c r="C95" s="20" t="e" cm="1">
        <f t="array" aca="1" ref="C95" ca="1">[1]!s_dq_close($B$1,$A95,3)</f>
        <v>#NAME?</v>
      </c>
    </row>
    <row r="96" spans="1:3" ht="18">
      <c r="A96" s="21">
        <f t="shared" ca="1" si="1"/>
        <v>45566</v>
      </c>
      <c r="B96" s="19" t="e" cm="1">
        <f t="array" aca="1" ref="B96" ca="1">[1]!s_west_netprofit($B$1,2026,$A96,180,1000000)</f>
        <v>#NAME?</v>
      </c>
      <c r="C96" s="20" t="e" cm="1">
        <f t="array" aca="1" ref="C96" ca="1">[1]!s_dq_close($B$1,$A96,3)</f>
        <v>#NAME?</v>
      </c>
    </row>
    <row r="97" spans="1:3" ht="18">
      <c r="A97" s="21">
        <f t="shared" ca="1" si="1"/>
        <v>45559</v>
      </c>
      <c r="B97" s="19" t="e" cm="1">
        <f t="array" aca="1" ref="B97" ca="1">[1]!s_west_netprofit($B$1,2026,$A97,180,1000000)</f>
        <v>#NAME?</v>
      </c>
      <c r="C97" s="20" t="e" cm="1">
        <f t="array" aca="1" ref="C97" ca="1">[1]!s_dq_close($B$1,$A97,3)</f>
        <v>#NAME?</v>
      </c>
    </row>
    <row r="98" spans="1:3" ht="18">
      <c r="A98" s="21">
        <f t="shared" ca="1" si="1"/>
        <v>45552</v>
      </c>
      <c r="B98" s="19" t="e" cm="1">
        <f t="array" aca="1" ref="B98" ca="1">[1]!s_west_netprofit($B$1,2026,$A98,180,1000000)</f>
        <v>#NAME?</v>
      </c>
      <c r="C98" s="20" t="e" cm="1">
        <f t="array" aca="1" ref="C98" ca="1">[1]!s_dq_close($B$1,$A98,3)</f>
        <v>#NAME?</v>
      </c>
    </row>
    <row r="99" spans="1:3" ht="19" thickBot="1">
      <c r="A99" s="22">
        <f t="shared" ca="1" si="1"/>
        <v>45545</v>
      </c>
      <c r="B99" s="23" t="e" cm="1">
        <f t="array" aca="1" ref="B99" ca="1">[1]!s_west_netprofit($B$1,2026,$A99,180,1000000)</f>
        <v>#NAME?</v>
      </c>
      <c r="C99" s="24" t="e" cm="1">
        <f t="array" aca="1" ref="C99" ca="1">[1]!s_dq_close($B$1,$A99,3)</f>
        <v>#NAME?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58566-5D04-704A-A003-0C502FB134A1}">
  <dimension ref="A1:D99"/>
  <sheetViews>
    <sheetView workbookViewId="0">
      <selection sqref="A1:XFD1048576"/>
    </sheetView>
  </sheetViews>
  <sheetFormatPr baseColWidth="10" defaultColWidth="9.1640625" defaultRowHeight="16"/>
  <cols>
    <col min="1" max="1" width="36.33203125" customWidth="1"/>
    <col min="2" max="2" width="26" customWidth="1"/>
    <col min="3" max="3" width="40" customWidth="1"/>
    <col min="4" max="4" width="11" bestFit="1" customWidth="1"/>
  </cols>
  <sheetData>
    <row r="1" spans="1:4" ht="17" thickBot="1">
      <c r="A1" t="e">
        <f ca="1">[1]!S_INFO_NAME($B$1)</f>
        <v>#NAME?</v>
      </c>
      <c r="B1" s="1"/>
      <c r="C1" t="s">
        <v>0</v>
      </c>
      <c r="D1" s="2">
        <f ca="1">TODAY()</f>
        <v>46161</v>
      </c>
    </row>
    <row r="2" spans="1:4" s="6" customFormat="1" ht="18">
      <c r="A2" s="3" t="s">
        <v>4</v>
      </c>
      <c r="B2" s="4">
        <v>2025</v>
      </c>
      <c r="C2" s="5">
        <v>2026</v>
      </c>
    </row>
    <row r="3" spans="1:4" s="6" customFormat="1" ht="18">
      <c r="A3" s="7" t="s">
        <v>5</v>
      </c>
      <c r="B3" s="8" t="e">
        <f ca="1">[1]!s_west_instnum_np($B$1,2025,$D$1,180)</f>
        <v>#NAME?</v>
      </c>
      <c r="C3" s="9" t="e">
        <f ca="1">[1]!s_west_instnum_np($B$1,2026,$D$1,180)</f>
        <v>#NAME?</v>
      </c>
    </row>
    <row r="4" spans="1:4" s="6" customFormat="1" ht="18">
      <c r="A4" s="7" t="s">
        <v>2</v>
      </c>
      <c r="B4" s="10" t="e">
        <f ca="1">[1]!s_west_instnum_np($A$1,2025,$D$1,180)</f>
        <v>#NAME?</v>
      </c>
      <c r="C4" s="11" t="e">
        <f ca="1">[1]!s_west_netprofit($B$1,2026,$D$1,180,1000000)</f>
        <v>#NAME?</v>
      </c>
    </row>
    <row r="5" spans="1:4" s="6" customFormat="1" ht="18">
      <c r="A5" s="7" t="s">
        <v>6</v>
      </c>
      <c r="B5" s="10" t="e">
        <f ca="1">[1]!s_west_maxnetprofit($B$1,2025,$D$1,180,1000000)</f>
        <v>#NAME?</v>
      </c>
      <c r="C5" s="11" t="e">
        <f ca="1">[1]!s_west_maxnetprofit($B$1,2026,$D$1,180,1000000)</f>
        <v>#NAME?</v>
      </c>
    </row>
    <row r="6" spans="1:4" s="6" customFormat="1" ht="18">
      <c r="A6" s="7" t="s">
        <v>7</v>
      </c>
      <c r="B6" s="10" t="e">
        <f ca="1">[1]!s_west_minnetprofit($B$1,2025,$D$1,180,1000000)</f>
        <v>#NAME?</v>
      </c>
      <c r="C6" s="11" t="e">
        <f ca="1">[1]!s_west_minnetprofit($B$1,2026,$D$1,180,1000000)</f>
        <v>#NAME?</v>
      </c>
    </row>
    <row r="7" spans="1:4" s="6" customFormat="1" ht="18">
      <c r="A7" s="7" t="s">
        <v>8</v>
      </c>
      <c r="B7" s="10" t="e">
        <f ca="1">[1]!s_west_mediannetprofit($B$1,2025,$D$1,180,1000000)</f>
        <v>#NAME?</v>
      </c>
      <c r="C7" s="11" t="e">
        <f ca="1">[1]!s_west_mediannetprofit($B$1,2026,$D$1,180,1000000)</f>
        <v>#NAME?</v>
      </c>
    </row>
    <row r="8" spans="1:4" s="6" customFormat="1" ht="19" thickBot="1">
      <c r="A8" s="12" t="s">
        <v>9</v>
      </c>
      <c r="B8" s="13" t="e">
        <f ca="1">[1]!s_west_stdnetprofit($B$1,2025,$D$1,180,1000000)</f>
        <v>#NAME?</v>
      </c>
      <c r="C8" s="14" t="e">
        <f ca="1">[1]!s_west_stdnetprofit($B$1,2026,$D$1,180,1000000)</f>
        <v>#NAME?</v>
      </c>
    </row>
    <row r="10" spans="1:4">
      <c r="A10" s="15" t="s">
        <v>1</v>
      </c>
      <c r="B10" s="16" t="s">
        <v>2</v>
      </c>
      <c r="C10" s="17" t="s">
        <v>3</v>
      </c>
    </row>
    <row r="11" spans="1:4" ht="18">
      <c r="A11" s="18">
        <f ca="1">TODAY()-IF(WEEKDAY(TODAY(),2)=6,1,IF(WEEKDAY(TODAY(),2)=7,2,0))</f>
        <v>46161</v>
      </c>
      <c r="B11" s="19" t="e" cm="1">
        <f t="array" aca="1" ref="B11" ca="1">[1]!s_west_netprofit($B$1,2026,$A11,180,1000000)</f>
        <v>#NAME?</v>
      </c>
      <c r="C11" s="20" t="e" cm="1">
        <f t="array" aca="1" ref="C11" ca="1">[1]!s_dq_close($B$1,$A11,3)</f>
        <v>#NAME?</v>
      </c>
    </row>
    <row r="12" spans="1:4" ht="18">
      <c r="A12" s="21">
        <f t="shared" ref="A12:A75" ca="1" si="0">A11-7</f>
        <v>46154</v>
      </c>
      <c r="B12" s="19" t="e" cm="1">
        <f t="array" aca="1" ref="B12" ca="1">[1]!s_west_netprofit($B$1,2026,$A12,180,1000000)</f>
        <v>#NAME?</v>
      </c>
      <c r="C12" s="20" t="e" cm="1">
        <f t="array" aca="1" ref="C12" ca="1">[1]!s_dq_close($B$1,$A12,3)</f>
        <v>#NAME?</v>
      </c>
    </row>
    <row r="13" spans="1:4" ht="18">
      <c r="A13" s="21">
        <f t="shared" ca="1" si="0"/>
        <v>46147</v>
      </c>
      <c r="B13" s="19" t="e" cm="1">
        <f t="array" aca="1" ref="B13" ca="1">[1]!s_west_netprofit($B$1,2026,$A13,180,1000000)</f>
        <v>#NAME?</v>
      </c>
      <c r="C13" s="20" t="e" cm="1">
        <f t="array" aca="1" ref="C13" ca="1">[1]!s_dq_close($B$1,$A13,3)</f>
        <v>#NAME?</v>
      </c>
    </row>
    <row r="14" spans="1:4" ht="18">
      <c r="A14" s="21">
        <f t="shared" ca="1" si="0"/>
        <v>46140</v>
      </c>
      <c r="B14" s="19" t="e" cm="1">
        <f t="array" aca="1" ref="B14" ca="1">[1]!s_west_netprofit($B$1,2026,$A14,180,1000000)</f>
        <v>#NAME?</v>
      </c>
      <c r="C14" s="20" t="e" cm="1">
        <f t="array" aca="1" ref="C14" ca="1">[1]!s_dq_close($B$1,$A14,3)</f>
        <v>#NAME?</v>
      </c>
    </row>
    <row r="15" spans="1:4" ht="18">
      <c r="A15" s="21">
        <f t="shared" ca="1" si="0"/>
        <v>46133</v>
      </c>
      <c r="B15" s="19" t="e" cm="1">
        <f t="array" aca="1" ref="B15" ca="1">[1]!s_west_netprofit($B$1,2026,$A15,180,1000000)</f>
        <v>#NAME?</v>
      </c>
      <c r="C15" s="20" t="e" cm="1">
        <f t="array" aca="1" ref="C15" ca="1">[1]!s_dq_close($B$1,$A15,3)</f>
        <v>#NAME?</v>
      </c>
    </row>
    <row r="16" spans="1:4" ht="18">
      <c r="A16" s="21">
        <f t="shared" ca="1" si="0"/>
        <v>46126</v>
      </c>
      <c r="B16" s="19" t="e" cm="1">
        <f t="array" aca="1" ref="B16" ca="1">[1]!s_west_netprofit($B$1,2026,$A16,180,1000000)</f>
        <v>#NAME?</v>
      </c>
      <c r="C16" s="20" t="e" cm="1">
        <f t="array" aca="1" ref="C16" ca="1">[1]!s_dq_close($B$1,$A16,3)</f>
        <v>#NAME?</v>
      </c>
    </row>
    <row r="17" spans="1:3" ht="18">
      <c r="A17" s="21">
        <f t="shared" ca="1" si="0"/>
        <v>46119</v>
      </c>
      <c r="B17" s="19" t="e" cm="1">
        <f t="array" aca="1" ref="B17" ca="1">[1]!s_west_netprofit($B$1,2026,$A17,180,1000000)</f>
        <v>#NAME?</v>
      </c>
      <c r="C17" s="20" t="e" cm="1">
        <f t="array" aca="1" ref="C17" ca="1">[1]!s_dq_close($B$1,$A17,3)</f>
        <v>#NAME?</v>
      </c>
    </row>
    <row r="18" spans="1:3" ht="18">
      <c r="A18" s="21">
        <f t="shared" ca="1" si="0"/>
        <v>46112</v>
      </c>
      <c r="B18" s="19" t="e" cm="1">
        <f t="array" aca="1" ref="B18" ca="1">[1]!s_west_netprofit($B$1,2026,$A18,180,1000000)</f>
        <v>#NAME?</v>
      </c>
      <c r="C18" s="20" t="e" cm="1">
        <f t="array" aca="1" ref="C18" ca="1">[1]!s_dq_close($B$1,$A18,3)</f>
        <v>#NAME?</v>
      </c>
    </row>
    <row r="19" spans="1:3" ht="18">
      <c r="A19" s="21">
        <f t="shared" ca="1" si="0"/>
        <v>46105</v>
      </c>
      <c r="B19" s="19" t="e" cm="1">
        <f t="array" aca="1" ref="B19" ca="1">[1]!s_west_netprofit($B$1,2026,$A19,180,1000000)</f>
        <v>#NAME?</v>
      </c>
      <c r="C19" s="20" t="e" cm="1">
        <f t="array" aca="1" ref="C19" ca="1">[1]!s_dq_close($B$1,$A19,3)</f>
        <v>#NAME?</v>
      </c>
    </row>
    <row r="20" spans="1:3" ht="18">
      <c r="A20" s="21">
        <f t="shared" ca="1" si="0"/>
        <v>46098</v>
      </c>
      <c r="B20" s="19" t="e" cm="1">
        <f t="array" aca="1" ref="B20" ca="1">[1]!s_west_netprofit($B$1,2026,$A20,180,1000000)</f>
        <v>#NAME?</v>
      </c>
      <c r="C20" s="20" t="e" cm="1">
        <f t="array" aca="1" ref="C20" ca="1">[1]!s_dq_close($B$1,$A20,3)</f>
        <v>#NAME?</v>
      </c>
    </row>
    <row r="21" spans="1:3" ht="18">
      <c r="A21" s="21">
        <f t="shared" ca="1" si="0"/>
        <v>46091</v>
      </c>
      <c r="B21" s="19" t="e" cm="1">
        <f t="array" aca="1" ref="B21" ca="1">[1]!s_west_netprofit($B$1,2026,$A21,180,1000000)</f>
        <v>#NAME?</v>
      </c>
      <c r="C21" s="20" t="e" cm="1">
        <f t="array" aca="1" ref="C21" ca="1">[1]!s_dq_close($B$1,$A21,3)</f>
        <v>#NAME?</v>
      </c>
    </row>
    <row r="22" spans="1:3" ht="18">
      <c r="A22" s="21">
        <f t="shared" ca="1" si="0"/>
        <v>46084</v>
      </c>
      <c r="B22" s="19" t="e" cm="1">
        <f t="array" aca="1" ref="B22" ca="1">[1]!s_west_netprofit($B$1,2026,$A22,180,1000000)</f>
        <v>#NAME?</v>
      </c>
      <c r="C22" s="20" t="e" cm="1">
        <f t="array" aca="1" ref="C22" ca="1">[1]!s_dq_close($B$1,$A22,3)</f>
        <v>#NAME?</v>
      </c>
    </row>
    <row r="23" spans="1:3" ht="18">
      <c r="A23" s="21">
        <f t="shared" ca="1" si="0"/>
        <v>46077</v>
      </c>
      <c r="B23" s="19" t="e" cm="1">
        <f t="array" aca="1" ref="B23" ca="1">[1]!s_west_netprofit($B$1,2026,$A23,180,1000000)</f>
        <v>#NAME?</v>
      </c>
      <c r="C23" s="20" t="e" cm="1">
        <f t="array" aca="1" ref="C23" ca="1">[1]!s_dq_close($B$1,$A23,3)</f>
        <v>#NAME?</v>
      </c>
    </row>
    <row r="24" spans="1:3" ht="18">
      <c r="A24" s="21">
        <f t="shared" ca="1" si="0"/>
        <v>46070</v>
      </c>
      <c r="B24" s="19" t="e" cm="1">
        <f t="array" aca="1" ref="B24" ca="1">[1]!s_west_netprofit($B$1,2026,$A24,180,1000000)</f>
        <v>#NAME?</v>
      </c>
      <c r="C24" s="20" t="e" cm="1">
        <f t="array" aca="1" ref="C24" ca="1">[1]!s_dq_close($B$1,$A24,3)</f>
        <v>#NAME?</v>
      </c>
    </row>
    <row r="25" spans="1:3" ht="18">
      <c r="A25" s="21">
        <f t="shared" ca="1" si="0"/>
        <v>46063</v>
      </c>
      <c r="B25" s="19" t="e" cm="1">
        <f t="array" aca="1" ref="B25" ca="1">[1]!s_west_netprofit($B$1,2026,$A25,180,1000000)</f>
        <v>#NAME?</v>
      </c>
      <c r="C25" s="20" t="e" cm="1">
        <f t="array" aca="1" ref="C25" ca="1">[1]!s_dq_close($B$1,$A25,3)</f>
        <v>#NAME?</v>
      </c>
    </row>
    <row r="26" spans="1:3" ht="18">
      <c r="A26" s="21">
        <f t="shared" ca="1" si="0"/>
        <v>46056</v>
      </c>
      <c r="B26" s="19" t="e" cm="1">
        <f t="array" aca="1" ref="B26" ca="1">[1]!s_west_netprofit($B$1,2026,$A26,180,1000000)</f>
        <v>#NAME?</v>
      </c>
      <c r="C26" s="20" t="e" cm="1">
        <f t="array" aca="1" ref="C26" ca="1">[1]!s_dq_close($B$1,$A26,3)</f>
        <v>#NAME?</v>
      </c>
    </row>
    <row r="27" spans="1:3" ht="18">
      <c r="A27" s="21">
        <f t="shared" ca="1" si="0"/>
        <v>46049</v>
      </c>
      <c r="B27" s="19" t="e" cm="1">
        <f t="array" aca="1" ref="B27" ca="1">[1]!s_west_netprofit($B$1,2026,$A27,180,1000000)</f>
        <v>#NAME?</v>
      </c>
      <c r="C27" s="20" t="e" cm="1">
        <f t="array" aca="1" ref="C27" ca="1">[1]!s_dq_close($B$1,$A27,3)</f>
        <v>#NAME?</v>
      </c>
    </row>
    <row r="28" spans="1:3" ht="18">
      <c r="A28" s="21">
        <f t="shared" ca="1" si="0"/>
        <v>46042</v>
      </c>
      <c r="B28" s="19" t="e" cm="1">
        <f t="array" aca="1" ref="B28" ca="1">[1]!s_west_netprofit($B$1,2026,$A28,180,1000000)</f>
        <v>#NAME?</v>
      </c>
      <c r="C28" s="20" t="e" cm="1">
        <f t="array" aca="1" ref="C28" ca="1">[1]!s_dq_close($B$1,$A28,3)</f>
        <v>#NAME?</v>
      </c>
    </row>
    <row r="29" spans="1:3" ht="18">
      <c r="A29" s="21">
        <f t="shared" ca="1" si="0"/>
        <v>46035</v>
      </c>
      <c r="B29" s="19" t="e" cm="1">
        <f t="array" aca="1" ref="B29" ca="1">[1]!s_west_netprofit($B$1,2026,$A29,180,1000000)</f>
        <v>#NAME?</v>
      </c>
      <c r="C29" s="20" t="e" cm="1">
        <f t="array" aca="1" ref="C29" ca="1">[1]!s_dq_close($B$1,$A29,3)</f>
        <v>#NAME?</v>
      </c>
    </row>
    <row r="30" spans="1:3" ht="18">
      <c r="A30" s="21">
        <f t="shared" ca="1" si="0"/>
        <v>46028</v>
      </c>
      <c r="B30" s="19" t="e" cm="1">
        <f t="array" aca="1" ref="B30" ca="1">[1]!s_west_netprofit($B$1,2026,$A30,180,1000000)</f>
        <v>#NAME?</v>
      </c>
      <c r="C30" s="20" t="e" cm="1">
        <f t="array" aca="1" ref="C30" ca="1">[1]!s_dq_close($B$1,$A30,3)</f>
        <v>#NAME?</v>
      </c>
    </row>
    <row r="31" spans="1:3" ht="18">
      <c r="A31" s="21">
        <f t="shared" ca="1" si="0"/>
        <v>46021</v>
      </c>
      <c r="B31" s="19" t="e" cm="1">
        <f t="array" aca="1" ref="B31" ca="1">[1]!s_west_netprofit($B$1,2026,$A31,180,1000000)</f>
        <v>#NAME?</v>
      </c>
      <c r="C31" s="20" t="e" cm="1">
        <f t="array" aca="1" ref="C31" ca="1">[1]!s_dq_close($B$1,$A31,3)</f>
        <v>#NAME?</v>
      </c>
    </row>
    <row r="32" spans="1:3" ht="18">
      <c r="A32" s="21">
        <f t="shared" ca="1" si="0"/>
        <v>46014</v>
      </c>
      <c r="B32" s="19" t="e" cm="1">
        <f t="array" aca="1" ref="B32" ca="1">[1]!s_west_netprofit($B$1,2026,$A32,180,1000000)</f>
        <v>#NAME?</v>
      </c>
      <c r="C32" s="20" t="e" cm="1">
        <f t="array" aca="1" ref="C32" ca="1">[1]!s_dq_close($B$1,$A32,3)</f>
        <v>#NAME?</v>
      </c>
    </row>
    <row r="33" spans="1:3" ht="18">
      <c r="A33" s="21">
        <f t="shared" ca="1" si="0"/>
        <v>46007</v>
      </c>
      <c r="B33" s="19" t="e" cm="1">
        <f t="array" aca="1" ref="B33" ca="1">[1]!s_west_netprofit($B$1,2026,$A33,180,1000000)</f>
        <v>#NAME?</v>
      </c>
      <c r="C33" s="20" t="e" cm="1">
        <f t="array" aca="1" ref="C33" ca="1">[1]!s_dq_close($B$1,$A33,3)</f>
        <v>#NAME?</v>
      </c>
    </row>
    <row r="34" spans="1:3" ht="18">
      <c r="A34" s="21">
        <f t="shared" ca="1" si="0"/>
        <v>46000</v>
      </c>
      <c r="B34" s="19" t="e" cm="1">
        <f t="array" aca="1" ref="B34" ca="1">[1]!s_west_netprofit($B$1,2026,$A34,180,1000000)</f>
        <v>#NAME?</v>
      </c>
      <c r="C34" s="20" t="e" cm="1">
        <f t="array" aca="1" ref="C34" ca="1">[1]!s_dq_close($B$1,$A34,3)</f>
        <v>#NAME?</v>
      </c>
    </row>
    <row r="35" spans="1:3" ht="18">
      <c r="A35" s="21">
        <f t="shared" ca="1" si="0"/>
        <v>45993</v>
      </c>
      <c r="B35" s="19" t="e" cm="1">
        <f t="array" aca="1" ref="B35" ca="1">[1]!s_west_netprofit($B$1,2026,$A35,180,1000000)</f>
        <v>#NAME?</v>
      </c>
      <c r="C35" s="20" t="e" cm="1">
        <f t="array" aca="1" ref="C35" ca="1">[1]!s_dq_close($B$1,$A35,3)</f>
        <v>#NAME?</v>
      </c>
    </row>
    <row r="36" spans="1:3" ht="18">
      <c r="A36" s="21">
        <f t="shared" ca="1" si="0"/>
        <v>45986</v>
      </c>
      <c r="B36" s="19" t="e" cm="1">
        <f t="array" aca="1" ref="B36" ca="1">[1]!s_west_netprofit($B$1,2026,$A36,180,1000000)</f>
        <v>#NAME?</v>
      </c>
      <c r="C36" s="20" t="e" cm="1">
        <f t="array" aca="1" ref="C36" ca="1">[1]!s_dq_close($B$1,$A36,3)</f>
        <v>#NAME?</v>
      </c>
    </row>
    <row r="37" spans="1:3" ht="18">
      <c r="A37" s="21">
        <f t="shared" ca="1" si="0"/>
        <v>45979</v>
      </c>
      <c r="B37" s="19" t="e" cm="1">
        <f t="array" aca="1" ref="B37" ca="1">[1]!s_west_netprofit($B$1,2026,$A37,180,1000000)</f>
        <v>#NAME?</v>
      </c>
      <c r="C37" s="20" t="e" cm="1">
        <f t="array" aca="1" ref="C37" ca="1">[1]!s_dq_close($B$1,$A37,3)</f>
        <v>#NAME?</v>
      </c>
    </row>
    <row r="38" spans="1:3" ht="18">
      <c r="A38" s="21">
        <f t="shared" ca="1" si="0"/>
        <v>45972</v>
      </c>
      <c r="B38" s="19" t="e" cm="1">
        <f t="array" aca="1" ref="B38" ca="1">[1]!s_west_netprofit($B$1,2026,$A38,180,1000000)</f>
        <v>#NAME?</v>
      </c>
      <c r="C38" s="20" t="e" cm="1">
        <f t="array" aca="1" ref="C38" ca="1">[1]!s_dq_close($B$1,$A38,3)</f>
        <v>#NAME?</v>
      </c>
    </row>
    <row r="39" spans="1:3" ht="18">
      <c r="A39" s="21">
        <f t="shared" ca="1" si="0"/>
        <v>45965</v>
      </c>
      <c r="B39" s="19" t="e" cm="1">
        <f t="array" aca="1" ref="B39" ca="1">[1]!s_west_netprofit($B$1,2026,$A39,180,1000000)</f>
        <v>#NAME?</v>
      </c>
      <c r="C39" s="20" t="e" cm="1">
        <f t="array" aca="1" ref="C39" ca="1">[1]!s_dq_close($B$1,$A39,3)</f>
        <v>#NAME?</v>
      </c>
    </row>
    <row r="40" spans="1:3" ht="18">
      <c r="A40" s="21">
        <f t="shared" ca="1" si="0"/>
        <v>45958</v>
      </c>
      <c r="B40" s="19" t="e" cm="1">
        <f t="array" aca="1" ref="B40" ca="1">[1]!s_west_netprofit($B$1,2026,$A40,180,1000000)</f>
        <v>#NAME?</v>
      </c>
      <c r="C40" s="20" t="e" cm="1">
        <f t="array" aca="1" ref="C40" ca="1">[1]!s_dq_close($B$1,$A40,3)</f>
        <v>#NAME?</v>
      </c>
    </row>
    <row r="41" spans="1:3" ht="18">
      <c r="A41" s="21">
        <f t="shared" ca="1" si="0"/>
        <v>45951</v>
      </c>
      <c r="B41" s="19" t="e" cm="1">
        <f t="array" aca="1" ref="B41" ca="1">[1]!s_west_netprofit($B$1,2026,$A41,180,1000000)</f>
        <v>#NAME?</v>
      </c>
      <c r="C41" s="20" t="e" cm="1">
        <f t="array" aca="1" ref="C41" ca="1">[1]!s_dq_close($B$1,$A41,3)</f>
        <v>#NAME?</v>
      </c>
    </row>
    <row r="42" spans="1:3" ht="18">
      <c r="A42" s="21">
        <f t="shared" ca="1" si="0"/>
        <v>45944</v>
      </c>
      <c r="B42" s="19" t="e" cm="1">
        <f t="array" aca="1" ref="B42" ca="1">[1]!s_west_netprofit($B$1,2026,$A42,180,1000000)</f>
        <v>#NAME?</v>
      </c>
      <c r="C42" s="20" t="e" cm="1">
        <f t="array" aca="1" ref="C42" ca="1">[1]!s_dq_close($B$1,$A42,3)</f>
        <v>#NAME?</v>
      </c>
    </row>
    <row r="43" spans="1:3" ht="18">
      <c r="A43" s="21">
        <f t="shared" ca="1" si="0"/>
        <v>45937</v>
      </c>
      <c r="B43" s="19" t="e" cm="1">
        <f t="array" aca="1" ref="B43" ca="1">[1]!s_west_netprofit($B$1,2026,$A43,180,1000000)</f>
        <v>#NAME?</v>
      </c>
      <c r="C43" s="20" t="e" cm="1">
        <f t="array" aca="1" ref="C43" ca="1">[1]!s_dq_close($B$1,$A43,3)</f>
        <v>#NAME?</v>
      </c>
    </row>
    <row r="44" spans="1:3" ht="18">
      <c r="A44" s="21">
        <f t="shared" ca="1" si="0"/>
        <v>45930</v>
      </c>
      <c r="B44" s="19" t="e" cm="1">
        <f t="array" aca="1" ref="B44" ca="1">[1]!s_west_netprofit($B$1,2026,$A44,180,1000000)</f>
        <v>#NAME?</v>
      </c>
      <c r="C44" s="20" t="e" cm="1">
        <f t="array" aca="1" ref="C44" ca="1">[1]!s_dq_close($B$1,$A44,3)</f>
        <v>#NAME?</v>
      </c>
    </row>
    <row r="45" spans="1:3" ht="18">
      <c r="A45" s="21">
        <f t="shared" ca="1" si="0"/>
        <v>45923</v>
      </c>
      <c r="B45" s="19" t="e" cm="1">
        <f t="array" aca="1" ref="B45" ca="1">[1]!s_west_netprofit($B$1,2026,$A45,180,1000000)</f>
        <v>#NAME?</v>
      </c>
      <c r="C45" s="20" t="e" cm="1">
        <f t="array" aca="1" ref="C45" ca="1">[1]!s_dq_close($B$1,$A45,3)</f>
        <v>#NAME?</v>
      </c>
    </row>
    <row r="46" spans="1:3" ht="18">
      <c r="A46" s="21">
        <f t="shared" ca="1" si="0"/>
        <v>45916</v>
      </c>
      <c r="B46" s="19" t="e" cm="1">
        <f t="array" aca="1" ref="B46" ca="1">[1]!s_west_netprofit($B$1,2026,$A46,180,1000000)</f>
        <v>#NAME?</v>
      </c>
      <c r="C46" s="20" t="e" cm="1">
        <f t="array" aca="1" ref="C46" ca="1">[1]!s_dq_close($B$1,$A46,3)</f>
        <v>#NAME?</v>
      </c>
    </row>
    <row r="47" spans="1:3" ht="18">
      <c r="A47" s="21">
        <f t="shared" ca="1" si="0"/>
        <v>45909</v>
      </c>
      <c r="B47" s="19" t="e" cm="1">
        <f t="array" aca="1" ref="B47" ca="1">[1]!s_west_netprofit($B$1,2026,$A47,180,1000000)</f>
        <v>#NAME?</v>
      </c>
      <c r="C47" s="20" t="e" cm="1">
        <f t="array" aca="1" ref="C47" ca="1">[1]!s_dq_close($B$1,$A47,3)</f>
        <v>#NAME?</v>
      </c>
    </row>
    <row r="48" spans="1:3" ht="18">
      <c r="A48" s="21">
        <f t="shared" ca="1" si="0"/>
        <v>45902</v>
      </c>
      <c r="B48" s="19" t="e" cm="1">
        <f t="array" aca="1" ref="B48" ca="1">[1]!s_west_netprofit($B$1,2026,$A48,180,1000000)</f>
        <v>#NAME?</v>
      </c>
      <c r="C48" s="20" t="e" cm="1">
        <f t="array" aca="1" ref="C48" ca="1">[1]!s_dq_close($B$1,$A48,3)</f>
        <v>#NAME?</v>
      </c>
    </row>
    <row r="49" spans="1:3" ht="18">
      <c r="A49" s="21">
        <f t="shared" ca="1" si="0"/>
        <v>45895</v>
      </c>
      <c r="B49" s="19" t="e" cm="1">
        <f t="array" aca="1" ref="B49" ca="1">[1]!s_west_netprofit($B$1,2026,$A49,180,1000000)</f>
        <v>#NAME?</v>
      </c>
      <c r="C49" s="20" t="e" cm="1">
        <f t="array" aca="1" ref="C49" ca="1">[1]!s_dq_close($B$1,$A49,3)</f>
        <v>#NAME?</v>
      </c>
    </row>
    <row r="50" spans="1:3" ht="18">
      <c r="A50" s="21">
        <f t="shared" ca="1" si="0"/>
        <v>45888</v>
      </c>
      <c r="B50" s="19" t="e" cm="1">
        <f t="array" aca="1" ref="B50" ca="1">[1]!s_west_netprofit($B$1,2026,$A50,180,1000000)</f>
        <v>#NAME?</v>
      </c>
      <c r="C50" s="20" t="e" cm="1">
        <f t="array" aca="1" ref="C50" ca="1">[1]!s_dq_close($B$1,$A50,3)</f>
        <v>#NAME?</v>
      </c>
    </row>
    <row r="51" spans="1:3" ht="18">
      <c r="A51" s="21">
        <f t="shared" ca="1" si="0"/>
        <v>45881</v>
      </c>
      <c r="B51" s="19" t="e" cm="1">
        <f t="array" aca="1" ref="B51" ca="1">[1]!s_west_netprofit($B$1,2026,$A51,180,1000000)</f>
        <v>#NAME?</v>
      </c>
      <c r="C51" s="20" t="e" cm="1">
        <f t="array" aca="1" ref="C51" ca="1">[1]!s_dq_close($B$1,$A51,3)</f>
        <v>#NAME?</v>
      </c>
    </row>
    <row r="52" spans="1:3" ht="18">
      <c r="A52" s="21">
        <f t="shared" ca="1" si="0"/>
        <v>45874</v>
      </c>
      <c r="B52" s="19" t="e" cm="1">
        <f t="array" aca="1" ref="B52" ca="1">[1]!s_west_netprofit($B$1,2026,$A52,180,1000000)</f>
        <v>#NAME?</v>
      </c>
      <c r="C52" s="20" t="e" cm="1">
        <f t="array" aca="1" ref="C52" ca="1">[1]!s_dq_close($B$1,$A52,3)</f>
        <v>#NAME?</v>
      </c>
    </row>
    <row r="53" spans="1:3" ht="18">
      <c r="A53" s="21">
        <f t="shared" ca="1" si="0"/>
        <v>45867</v>
      </c>
      <c r="B53" s="19" t="e" cm="1">
        <f t="array" aca="1" ref="B53" ca="1">[1]!s_west_netprofit($B$1,2026,$A53,180,1000000)</f>
        <v>#NAME?</v>
      </c>
      <c r="C53" s="20" t="e" cm="1">
        <f t="array" aca="1" ref="C53" ca="1">[1]!s_dq_close($B$1,$A53,3)</f>
        <v>#NAME?</v>
      </c>
    </row>
    <row r="54" spans="1:3" ht="18">
      <c r="A54" s="21">
        <f t="shared" ca="1" si="0"/>
        <v>45860</v>
      </c>
      <c r="B54" s="19" t="e" cm="1">
        <f t="array" aca="1" ref="B54" ca="1">[1]!s_west_netprofit($B$1,2026,$A54,180,1000000)</f>
        <v>#NAME?</v>
      </c>
      <c r="C54" s="20" t="e" cm="1">
        <f t="array" aca="1" ref="C54" ca="1">[1]!s_dq_close($B$1,$A54,3)</f>
        <v>#NAME?</v>
      </c>
    </row>
    <row r="55" spans="1:3" ht="18">
      <c r="A55" s="21">
        <f t="shared" ca="1" si="0"/>
        <v>45853</v>
      </c>
      <c r="B55" s="19" t="e" cm="1">
        <f t="array" aca="1" ref="B55" ca="1">[1]!s_west_netprofit($B$1,2026,$A55,180,1000000)</f>
        <v>#NAME?</v>
      </c>
      <c r="C55" s="20" t="e" cm="1">
        <f t="array" aca="1" ref="C55" ca="1">[1]!s_dq_close($B$1,$A55,3)</f>
        <v>#NAME?</v>
      </c>
    </row>
    <row r="56" spans="1:3" ht="18">
      <c r="A56" s="21">
        <f t="shared" ca="1" si="0"/>
        <v>45846</v>
      </c>
      <c r="B56" s="19" t="e" cm="1">
        <f t="array" aca="1" ref="B56" ca="1">[1]!s_west_netprofit($B$1,2026,$A56,180,1000000)</f>
        <v>#NAME?</v>
      </c>
      <c r="C56" s="20" t="e" cm="1">
        <f t="array" aca="1" ref="C56" ca="1">[1]!s_dq_close($B$1,$A56,3)</f>
        <v>#NAME?</v>
      </c>
    </row>
    <row r="57" spans="1:3" ht="18">
      <c r="A57" s="21">
        <f t="shared" ca="1" si="0"/>
        <v>45839</v>
      </c>
      <c r="B57" s="19" t="e" cm="1">
        <f t="array" aca="1" ref="B57" ca="1">[1]!s_west_netprofit($B$1,2026,$A57,180,1000000)</f>
        <v>#NAME?</v>
      </c>
      <c r="C57" s="20" t="e" cm="1">
        <f t="array" aca="1" ref="C57" ca="1">[1]!s_dq_close($B$1,$A57,3)</f>
        <v>#NAME?</v>
      </c>
    </row>
    <row r="58" spans="1:3" ht="18">
      <c r="A58" s="21">
        <f t="shared" ca="1" si="0"/>
        <v>45832</v>
      </c>
      <c r="B58" s="19" t="e" cm="1">
        <f t="array" aca="1" ref="B58" ca="1">[1]!s_west_netprofit($B$1,2026,$A58,180,1000000)</f>
        <v>#NAME?</v>
      </c>
      <c r="C58" s="20" t="e" cm="1">
        <f t="array" aca="1" ref="C58" ca="1">[1]!s_dq_close($B$1,$A58,3)</f>
        <v>#NAME?</v>
      </c>
    </row>
    <row r="59" spans="1:3" ht="18">
      <c r="A59" s="21">
        <f t="shared" ca="1" si="0"/>
        <v>45825</v>
      </c>
      <c r="B59" s="19" t="e" cm="1">
        <f t="array" aca="1" ref="B59" ca="1">[1]!s_west_netprofit($B$1,2026,$A59,180,1000000)</f>
        <v>#NAME?</v>
      </c>
      <c r="C59" s="20" t="e" cm="1">
        <f t="array" aca="1" ref="C59" ca="1">[1]!s_dq_close($B$1,$A59,3)</f>
        <v>#NAME?</v>
      </c>
    </row>
    <row r="60" spans="1:3" ht="18">
      <c r="A60" s="21">
        <f t="shared" ca="1" si="0"/>
        <v>45818</v>
      </c>
      <c r="B60" s="19" t="e" cm="1">
        <f t="array" aca="1" ref="B60" ca="1">[1]!s_west_netprofit($B$1,2026,$A60,180,1000000)</f>
        <v>#NAME?</v>
      </c>
      <c r="C60" s="20" t="e" cm="1">
        <f t="array" aca="1" ref="C60" ca="1">[1]!s_dq_close($B$1,$A60,3)</f>
        <v>#NAME?</v>
      </c>
    </row>
    <row r="61" spans="1:3" ht="18">
      <c r="A61" s="21">
        <f t="shared" ca="1" si="0"/>
        <v>45811</v>
      </c>
      <c r="B61" s="19" t="e" cm="1">
        <f t="array" aca="1" ref="B61" ca="1">[1]!s_west_netprofit($B$1,2026,$A61,180,1000000)</f>
        <v>#NAME?</v>
      </c>
      <c r="C61" s="20" t="e" cm="1">
        <f t="array" aca="1" ref="C61" ca="1">[1]!s_dq_close($B$1,$A61,3)</f>
        <v>#NAME?</v>
      </c>
    </row>
    <row r="62" spans="1:3" ht="18">
      <c r="A62" s="21">
        <f t="shared" ca="1" si="0"/>
        <v>45804</v>
      </c>
      <c r="B62" s="19" t="e" cm="1">
        <f t="array" aca="1" ref="B62" ca="1">[1]!s_west_netprofit($B$1,2026,$A62,180,1000000)</f>
        <v>#NAME?</v>
      </c>
      <c r="C62" s="20" t="e" cm="1">
        <f t="array" aca="1" ref="C62" ca="1">[1]!s_dq_close($B$1,$A62,3)</f>
        <v>#NAME?</v>
      </c>
    </row>
    <row r="63" spans="1:3" ht="18">
      <c r="A63" s="21">
        <f t="shared" ca="1" si="0"/>
        <v>45797</v>
      </c>
      <c r="B63" s="19" t="e" cm="1">
        <f t="array" aca="1" ref="B63" ca="1">[1]!s_west_netprofit($B$1,2026,$A63,180,1000000)</f>
        <v>#NAME?</v>
      </c>
      <c r="C63" s="20" t="e" cm="1">
        <f t="array" aca="1" ref="C63" ca="1">[1]!s_dq_close($B$1,$A63,3)</f>
        <v>#NAME?</v>
      </c>
    </row>
    <row r="64" spans="1:3" ht="18">
      <c r="A64" s="21">
        <f t="shared" ca="1" si="0"/>
        <v>45790</v>
      </c>
      <c r="B64" s="19" t="e" cm="1">
        <f t="array" aca="1" ref="B64" ca="1">[1]!s_west_netprofit($B$1,2026,$A64,180,1000000)</f>
        <v>#NAME?</v>
      </c>
      <c r="C64" s="20" t="e" cm="1">
        <f t="array" aca="1" ref="C64" ca="1">[1]!s_dq_close($B$1,$A64,3)</f>
        <v>#NAME?</v>
      </c>
    </row>
    <row r="65" spans="1:3" ht="18">
      <c r="A65" s="21">
        <f t="shared" ca="1" si="0"/>
        <v>45783</v>
      </c>
      <c r="B65" s="19" t="e" cm="1">
        <f t="array" aca="1" ref="B65" ca="1">[1]!s_west_netprofit($B$1,2026,$A65,180,1000000)</f>
        <v>#NAME?</v>
      </c>
      <c r="C65" s="20" t="e" cm="1">
        <f t="array" aca="1" ref="C65" ca="1">[1]!s_dq_close($B$1,$A65,3)</f>
        <v>#NAME?</v>
      </c>
    </row>
    <row r="66" spans="1:3" ht="18">
      <c r="A66" s="21">
        <f t="shared" ca="1" si="0"/>
        <v>45776</v>
      </c>
      <c r="B66" s="19" t="e" cm="1">
        <f t="array" aca="1" ref="B66" ca="1">[1]!s_west_netprofit($B$1,2026,$A66,180,1000000)</f>
        <v>#NAME?</v>
      </c>
      <c r="C66" s="20" t="e" cm="1">
        <f t="array" aca="1" ref="C66" ca="1">[1]!s_dq_close($B$1,$A66,3)</f>
        <v>#NAME?</v>
      </c>
    </row>
    <row r="67" spans="1:3" ht="18">
      <c r="A67" s="21">
        <f t="shared" ca="1" si="0"/>
        <v>45769</v>
      </c>
      <c r="B67" s="19" t="e" cm="1">
        <f t="array" aca="1" ref="B67" ca="1">[1]!s_west_netprofit($B$1,2026,$A67,180,1000000)</f>
        <v>#NAME?</v>
      </c>
      <c r="C67" s="20" t="e" cm="1">
        <f t="array" aca="1" ref="C67" ca="1">[1]!s_dq_close($B$1,$A67,3)</f>
        <v>#NAME?</v>
      </c>
    </row>
    <row r="68" spans="1:3" ht="18">
      <c r="A68" s="21">
        <f t="shared" ca="1" si="0"/>
        <v>45762</v>
      </c>
      <c r="B68" s="19" t="e" cm="1">
        <f t="array" aca="1" ref="B68" ca="1">[1]!s_west_netprofit($B$1,2026,$A68,180,1000000)</f>
        <v>#NAME?</v>
      </c>
      <c r="C68" s="20" t="e" cm="1">
        <f t="array" aca="1" ref="C68" ca="1">[1]!s_dq_close($B$1,$A68,3)</f>
        <v>#NAME?</v>
      </c>
    </row>
    <row r="69" spans="1:3" ht="18">
      <c r="A69" s="21">
        <f t="shared" ca="1" si="0"/>
        <v>45755</v>
      </c>
      <c r="B69" s="19" t="e" cm="1">
        <f t="array" aca="1" ref="B69" ca="1">[1]!s_west_netprofit($B$1,2026,$A69,180,1000000)</f>
        <v>#NAME?</v>
      </c>
      <c r="C69" s="20" t="e" cm="1">
        <f t="array" aca="1" ref="C69" ca="1">[1]!s_dq_close($B$1,$A69,3)</f>
        <v>#NAME?</v>
      </c>
    </row>
    <row r="70" spans="1:3" ht="18">
      <c r="A70" s="21">
        <f t="shared" ca="1" si="0"/>
        <v>45748</v>
      </c>
      <c r="B70" s="19" t="e" cm="1">
        <f t="array" aca="1" ref="B70" ca="1">[1]!s_west_netprofit($B$1,2026,$A70,180,1000000)</f>
        <v>#NAME?</v>
      </c>
      <c r="C70" s="20" t="e" cm="1">
        <f t="array" aca="1" ref="C70" ca="1">[1]!s_dq_close($B$1,$A70,3)</f>
        <v>#NAME?</v>
      </c>
    </row>
    <row r="71" spans="1:3" ht="18">
      <c r="A71" s="21">
        <f t="shared" ca="1" si="0"/>
        <v>45741</v>
      </c>
      <c r="B71" s="19" t="e" cm="1">
        <f t="array" aca="1" ref="B71" ca="1">[1]!s_west_netprofit($B$1,2026,$A71,180,1000000)</f>
        <v>#NAME?</v>
      </c>
      <c r="C71" s="20" t="e" cm="1">
        <f t="array" aca="1" ref="C71" ca="1">[1]!s_dq_close($B$1,$A71,3)</f>
        <v>#NAME?</v>
      </c>
    </row>
    <row r="72" spans="1:3" ht="18">
      <c r="A72" s="21">
        <f t="shared" ca="1" si="0"/>
        <v>45734</v>
      </c>
      <c r="B72" s="19" t="e" cm="1">
        <f t="array" aca="1" ref="B72" ca="1">[1]!s_west_netprofit($B$1,2026,$A72,180,1000000)</f>
        <v>#NAME?</v>
      </c>
      <c r="C72" s="20" t="e" cm="1">
        <f t="array" aca="1" ref="C72" ca="1">[1]!s_dq_close($B$1,$A72,3)</f>
        <v>#NAME?</v>
      </c>
    </row>
    <row r="73" spans="1:3" ht="18">
      <c r="A73" s="21">
        <f t="shared" ca="1" si="0"/>
        <v>45727</v>
      </c>
      <c r="B73" s="19" t="e" cm="1">
        <f t="array" aca="1" ref="B73" ca="1">[1]!s_west_netprofit($B$1,2026,$A73,180,1000000)</f>
        <v>#NAME?</v>
      </c>
      <c r="C73" s="20" t="e" cm="1">
        <f t="array" aca="1" ref="C73" ca="1">[1]!s_dq_close($B$1,$A73,3)</f>
        <v>#NAME?</v>
      </c>
    </row>
    <row r="74" spans="1:3" ht="18">
      <c r="A74" s="21">
        <f t="shared" ca="1" si="0"/>
        <v>45720</v>
      </c>
      <c r="B74" s="19" t="e" cm="1">
        <f t="array" aca="1" ref="B74" ca="1">[1]!s_west_netprofit($B$1,2026,$A74,180,1000000)</f>
        <v>#NAME?</v>
      </c>
      <c r="C74" s="20" t="e" cm="1">
        <f t="array" aca="1" ref="C74" ca="1">[1]!s_dq_close($B$1,$A74,3)</f>
        <v>#NAME?</v>
      </c>
    </row>
    <row r="75" spans="1:3" ht="18">
      <c r="A75" s="21">
        <f t="shared" ca="1" si="0"/>
        <v>45713</v>
      </c>
      <c r="B75" s="19" t="e" cm="1">
        <f t="array" aca="1" ref="B75" ca="1">[1]!s_west_netprofit($B$1,2026,$A75,180,1000000)</f>
        <v>#NAME?</v>
      </c>
      <c r="C75" s="20" t="e" cm="1">
        <f t="array" aca="1" ref="C75" ca="1">[1]!s_dq_close($B$1,$A75,3)</f>
        <v>#NAME?</v>
      </c>
    </row>
    <row r="76" spans="1:3" ht="18">
      <c r="A76" s="21">
        <f t="shared" ref="A76:A99" ca="1" si="1">A75-7</f>
        <v>45706</v>
      </c>
      <c r="B76" s="19" t="e" cm="1">
        <f t="array" aca="1" ref="B76" ca="1">[1]!s_west_netprofit($B$1,2026,$A76,180,1000000)</f>
        <v>#NAME?</v>
      </c>
      <c r="C76" s="20" t="e" cm="1">
        <f t="array" aca="1" ref="C76" ca="1">[1]!s_dq_close($B$1,$A76,3)</f>
        <v>#NAME?</v>
      </c>
    </row>
    <row r="77" spans="1:3" ht="18">
      <c r="A77" s="21">
        <f t="shared" ca="1" si="1"/>
        <v>45699</v>
      </c>
      <c r="B77" s="19" t="e" cm="1">
        <f t="array" aca="1" ref="B77" ca="1">[1]!s_west_netprofit($B$1,2026,$A77,180,1000000)</f>
        <v>#NAME?</v>
      </c>
      <c r="C77" s="20" t="e" cm="1">
        <f t="array" aca="1" ref="C77" ca="1">[1]!s_dq_close($B$1,$A77,3)</f>
        <v>#NAME?</v>
      </c>
    </row>
    <row r="78" spans="1:3" ht="18">
      <c r="A78" s="21">
        <f t="shared" ca="1" si="1"/>
        <v>45692</v>
      </c>
      <c r="B78" s="19" t="e" cm="1">
        <f t="array" aca="1" ref="B78" ca="1">[1]!s_west_netprofit($B$1,2026,$A78,180,1000000)</f>
        <v>#NAME?</v>
      </c>
      <c r="C78" s="20" t="e" cm="1">
        <f t="array" aca="1" ref="C78" ca="1">[1]!s_dq_close($B$1,$A78,3)</f>
        <v>#NAME?</v>
      </c>
    </row>
    <row r="79" spans="1:3" ht="18">
      <c r="A79" s="21">
        <f t="shared" ca="1" si="1"/>
        <v>45685</v>
      </c>
      <c r="B79" s="19" t="e" cm="1">
        <f t="array" aca="1" ref="B79" ca="1">[1]!s_west_netprofit($B$1,2026,$A79,180,1000000)</f>
        <v>#NAME?</v>
      </c>
      <c r="C79" s="20" t="e" cm="1">
        <f t="array" aca="1" ref="C79" ca="1">[1]!s_dq_close($B$1,$A79,3)</f>
        <v>#NAME?</v>
      </c>
    </row>
    <row r="80" spans="1:3" ht="18">
      <c r="A80" s="21">
        <f t="shared" ca="1" si="1"/>
        <v>45678</v>
      </c>
      <c r="B80" s="19" t="e" cm="1">
        <f t="array" aca="1" ref="B80" ca="1">[1]!s_west_netprofit($B$1,2026,$A80,180,1000000)</f>
        <v>#NAME?</v>
      </c>
      <c r="C80" s="20" t="e" cm="1">
        <f t="array" aca="1" ref="C80" ca="1">[1]!s_dq_close($B$1,$A80,3)</f>
        <v>#NAME?</v>
      </c>
    </row>
    <row r="81" spans="1:3" ht="18">
      <c r="A81" s="21">
        <f t="shared" ca="1" si="1"/>
        <v>45671</v>
      </c>
      <c r="B81" s="19" t="e" cm="1">
        <f t="array" aca="1" ref="B81" ca="1">[1]!s_west_netprofit($B$1,2026,$A81,180,1000000)</f>
        <v>#NAME?</v>
      </c>
      <c r="C81" s="20" t="e" cm="1">
        <f t="array" aca="1" ref="C81" ca="1">[1]!s_dq_close($B$1,$A81,3)</f>
        <v>#NAME?</v>
      </c>
    </row>
    <row r="82" spans="1:3" ht="18">
      <c r="A82" s="21">
        <f t="shared" ca="1" si="1"/>
        <v>45664</v>
      </c>
      <c r="B82" s="19" t="e" cm="1">
        <f t="array" aca="1" ref="B82" ca="1">[1]!s_west_netprofit($B$1,2026,$A82,180,1000000)</f>
        <v>#NAME?</v>
      </c>
      <c r="C82" s="20" t="e" cm="1">
        <f t="array" aca="1" ref="C82" ca="1">[1]!s_dq_close($B$1,$A82,3)</f>
        <v>#NAME?</v>
      </c>
    </row>
    <row r="83" spans="1:3" ht="18">
      <c r="A83" s="21">
        <f t="shared" ca="1" si="1"/>
        <v>45657</v>
      </c>
      <c r="B83" s="19" t="e" cm="1">
        <f t="array" aca="1" ref="B83" ca="1">[1]!s_west_netprofit($B$1,2026,$A83,180,1000000)</f>
        <v>#NAME?</v>
      </c>
      <c r="C83" s="20" t="e" cm="1">
        <f t="array" aca="1" ref="C83" ca="1">[1]!s_dq_close($B$1,$A83,3)</f>
        <v>#NAME?</v>
      </c>
    </row>
    <row r="84" spans="1:3" ht="18">
      <c r="A84" s="21">
        <f t="shared" ca="1" si="1"/>
        <v>45650</v>
      </c>
      <c r="B84" s="19" t="e" cm="1">
        <f t="array" aca="1" ref="B84" ca="1">[1]!s_west_netprofit($B$1,2026,$A84,180,1000000)</f>
        <v>#NAME?</v>
      </c>
      <c r="C84" s="20" t="e" cm="1">
        <f t="array" aca="1" ref="C84" ca="1">[1]!s_dq_close($B$1,$A84,3)</f>
        <v>#NAME?</v>
      </c>
    </row>
    <row r="85" spans="1:3" ht="18">
      <c r="A85" s="21">
        <f t="shared" ca="1" si="1"/>
        <v>45643</v>
      </c>
      <c r="B85" s="19" t="e" cm="1">
        <f t="array" aca="1" ref="B85" ca="1">[1]!s_west_netprofit($B$1,2026,$A85,180,1000000)</f>
        <v>#NAME?</v>
      </c>
      <c r="C85" s="20" t="e" cm="1">
        <f t="array" aca="1" ref="C85" ca="1">[1]!s_dq_close($B$1,$A85,3)</f>
        <v>#NAME?</v>
      </c>
    </row>
    <row r="86" spans="1:3" ht="18">
      <c r="A86" s="21">
        <f t="shared" ca="1" si="1"/>
        <v>45636</v>
      </c>
      <c r="B86" s="19" t="e" cm="1">
        <f t="array" aca="1" ref="B86" ca="1">[1]!s_west_netprofit($B$1,2026,$A86,180,1000000)</f>
        <v>#NAME?</v>
      </c>
      <c r="C86" s="20" t="e" cm="1">
        <f t="array" aca="1" ref="C86" ca="1">[1]!s_dq_close($B$1,$A86,3)</f>
        <v>#NAME?</v>
      </c>
    </row>
    <row r="87" spans="1:3" ht="18">
      <c r="A87" s="21">
        <f t="shared" ca="1" si="1"/>
        <v>45629</v>
      </c>
      <c r="B87" s="19" t="e" cm="1">
        <f t="array" aca="1" ref="B87" ca="1">[1]!s_west_netprofit($B$1,2026,$A87,180,1000000)</f>
        <v>#NAME?</v>
      </c>
      <c r="C87" s="20" t="e" cm="1">
        <f t="array" aca="1" ref="C87" ca="1">[1]!s_dq_close($B$1,$A87,3)</f>
        <v>#NAME?</v>
      </c>
    </row>
    <row r="88" spans="1:3" ht="18">
      <c r="A88" s="21">
        <f t="shared" ca="1" si="1"/>
        <v>45622</v>
      </c>
      <c r="B88" s="19" t="e" cm="1">
        <f t="array" aca="1" ref="B88" ca="1">[1]!s_west_netprofit($B$1,2026,$A88,180,1000000)</f>
        <v>#NAME?</v>
      </c>
      <c r="C88" s="20" t="e" cm="1">
        <f t="array" aca="1" ref="C88" ca="1">[1]!s_dq_close($B$1,$A88,3)</f>
        <v>#NAME?</v>
      </c>
    </row>
    <row r="89" spans="1:3" ht="18">
      <c r="A89" s="21">
        <f t="shared" ca="1" si="1"/>
        <v>45615</v>
      </c>
      <c r="B89" s="19" t="e" cm="1">
        <f t="array" aca="1" ref="B89" ca="1">[1]!s_west_netprofit($B$1,2026,$A89,180,1000000)</f>
        <v>#NAME?</v>
      </c>
      <c r="C89" s="20" t="e" cm="1">
        <f t="array" aca="1" ref="C89" ca="1">[1]!s_dq_close($B$1,$A89,3)</f>
        <v>#NAME?</v>
      </c>
    </row>
    <row r="90" spans="1:3" ht="18">
      <c r="A90" s="21">
        <f t="shared" ca="1" si="1"/>
        <v>45608</v>
      </c>
      <c r="B90" s="19" t="e" cm="1">
        <f t="array" aca="1" ref="B90" ca="1">[1]!s_west_netprofit($B$1,2026,$A90,180,1000000)</f>
        <v>#NAME?</v>
      </c>
      <c r="C90" s="20" t="e" cm="1">
        <f t="array" aca="1" ref="C90" ca="1">[1]!s_dq_close($B$1,$A90,3)</f>
        <v>#NAME?</v>
      </c>
    </row>
    <row r="91" spans="1:3" ht="18">
      <c r="A91" s="21">
        <f t="shared" ca="1" si="1"/>
        <v>45601</v>
      </c>
      <c r="B91" s="19" t="e" cm="1">
        <f t="array" aca="1" ref="B91" ca="1">[1]!s_west_netprofit($B$1,2026,$A91,180,1000000)</f>
        <v>#NAME?</v>
      </c>
      <c r="C91" s="20" t="e" cm="1">
        <f t="array" aca="1" ref="C91" ca="1">[1]!s_dq_close($B$1,$A91,3)</f>
        <v>#NAME?</v>
      </c>
    </row>
    <row r="92" spans="1:3" ht="18">
      <c r="A92" s="21">
        <f t="shared" ca="1" si="1"/>
        <v>45594</v>
      </c>
      <c r="B92" s="19" t="e" cm="1">
        <f t="array" aca="1" ref="B92" ca="1">[1]!s_west_netprofit($B$1,2026,$A92,180,1000000)</f>
        <v>#NAME?</v>
      </c>
      <c r="C92" s="20" t="e" cm="1">
        <f t="array" aca="1" ref="C92" ca="1">[1]!s_dq_close($B$1,$A92,3)</f>
        <v>#NAME?</v>
      </c>
    </row>
    <row r="93" spans="1:3" ht="18">
      <c r="A93" s="21">
        <f t="shared" ca="1" si="1"/>
        <v>45587</v>
      </c>
      <c r="B93" s="19" t="e" cm="1">
        <f t="array" aca="1" ref="B93" ca="1">[1]!s_west_netprofit($B$1,2026,$A93,180,1000000)</f>
        <v>#NAME?</v>
      </c>
      <c r="C93" s="20" t="e" cm="1">
        <f t="array" aca="1" ref="C93" ca="1">[1]!s_dq_close($B$1,$A93,3)</f>
        <v>#NAME?</v>
      </c>
    </row>
    <row r="94" spans="1:3" ht="18">
      <c r="A94" s="21">
        <f t="shared" ca="1" si="1"/>
        <v>45580</v>
      </c>
      <c r="B94" s="19" t="e" cm="1">
        <f t="array" aca="1" ref="B94" ca="1">[1]!s_west_netprofit($B$1,2026,$A94,180,1000000)</f>
        <v>#NAME?</v>
      </c>
      <c r="C94" s="20" t="e" cm="1">
        <f t="array" aca="1" ref="C94" ca="1">[1]!s_dq_close($B$1,$A94,3)</f>
        <v>#NAME?</v>
      </c>
    </row>
    <row r="95" spans="1:3" ht="18">
      <c r="A95" s="21">
        <f t="shared" ca="1" si="1"/>
        <v>45573</v>
      </c>
      <c r="B95" s="19" t="e" cm="1">
        <f t="array" aca="1" ref="B95" ca="1">[1]!s_west_netprofit($B$1,2026,$A95,180,1000000)</f>
        <v>#NAME?</v>
      </c>
      <c r="C95" s="20" t="e" cm="1">
        <f t="array" aca="1" ref="C95" ca="1">[1]!s_dq_close($B$1,$A95,3)</f>
        <v>#NAME?</v>
      </c>
    </row>
    <row r="96" spans="1:3" ht="18">
      <c r="A96" s="21">
        <f t="shared" ca="1" si="1"/>
        <v>45566</v>
      </c>
      <c r="B96" s="19" t="e" cm="1">
        <f t="array" aca="1" ref="B96" ca="1">[1]!s_west_netprofit($B$1,2026,$A96,180,1000000)</f>
        <v>#NAME?</v>
      </c>
      <c r="C96" s="20" t="e" cm="1">
        <f t="array" aca="1" ref="C96" ca="1">[1]!s_dq_close($B$1,$A96,3)</f>
        <v>#NAME?</v>
      </c>
    </row>
    <row r="97" spans="1:3" ht="18">
      <c r="A97" s="21">
        <f t="shared" ca="1" si="1"/>
        <v>45559</v>
      </c>
      <c r="B97" s="19" t="e" cm="1">
        <f t="array" aca="1" ref="B97" ca="1">[1]!s_west_netprofit($B$1,2026,$A97,180,1000000)</f>
        <v>#NAME?</v>
      </c>
      <c r="C97" s="20" t="e" cm="1">
        <f t="array" aca="1" ref="C97" ca="1">[1]!s_dq_close($B$1,$A97,3)</f>
        <v>#NAME?</v>
      </c>
    </row>
    <row r="98" spans="1:3" ht="18">
      <c r="A98" s="21">
        <f t="shared" ca="1" si="1"/>
        <v>45552</v>
      </c>
      <c r="B98" s="19" t="e" cm="1">
        <f t="array" aca="1" ref="B98" ca="1">[1]!s_west_netprofit($B$1,2026,$A98,180,1000000)</f>
        <v>#NAME?</v>
      </c>
      <c r="C98" s="20" t="e" cm="1">
        <f t="array" aca="1" ref="C98" ca="1">[1]!s_dq_close($B$1,$A98,3)</f>
        <v>#NAME?</v>
      </c>
    </row>
    <row r="99" spans="1:3" ht="19" thickBot="1">
      <c r="A99" s="22">
        <f t="shared" ca="1" si="1"/>
        <v>45545</v>
      </c>
      <c r="B99" s="23" t="e" cm="1">
        <f t="array" aca="1" ref="B99" ca="1">[1]!s_west_netprofit($B$1,2026,$A99,180,1000000)</f>
        <v>#NAME?</v>
      </c>
      <c r="C99" s="24" t="e" cm="1">
        <f t="array" aca="1" ref="C99" ca="1">[1]!s_dq_close($B$1,$A99,3)</f>
        <v>#NAME?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78E41-A30A-B843-8A43-83C500EF6D39}">
  <dimension ref="A1:D99"/>
  <sheetViews>
    <sheetView workbookViewId="0">
      <selection sqref="A1:XFD1048576"/>
    </sheetView>
  </sheetViews>
  <sheetFormatPr baseColWidth="10" defaultColWidth="9.1640625" defaultRowHeight="16"/>
  <cols>
    <col min="1" max="1" width="36.33203125" customWidth="1"/>
    <col min="2" max="2" width="26" customWidth="1"/>
    <col min="3" max="3" width="40" customWidth="1"/>
    <col min="4" max="4" width="11" bestFit="1" customWidth="1"/>
  </cols>
  <sheetData>
    <row r="1" spans="1:4" ht="17" thickBot="1">
      <c r="A1" t="e">
        <f ca="1">[1]!S_INFO_NAME($B$1)</f>
        <v>#NAME?</v>
      </c>
      <c r="B1" s="1"/>
      <c r="C1" t="s">
        <v>0</v>
      </c>
      <c r="D1" s="2">
        <f ca="1">TODAY()</f>
        <v>46161</v>
      </c>
    </row>
    <row r="2" spans="1:4" s="6" customFormat="1" ht="18">
      <c r="A2" s="3" t="s">
        <v>4</v>
      </c>
      <c r="B2" s="4">
        <v>2025</v>
      </c>
      <c r="C2" s="5">
        <v>2026</v>
      </c>
    </row>
    <row r="3" spans="1:4" s="6" customFormat="1" ht="18">
      <c r="A3" s="7" t="s">
        <v>5</v>
      </c>
      <c r="B3" s="8" t="e">
        <f ca="1">[1]!s_west_instnum_np($B$1,2025,$D$1,180)</f>
        <v>#NAME?</v>
      </c>
      <c r="C3" s="9" t="e">
        <f ca="1">[1]!s_west_instnum_np($B$1,2026,$D$1,180)</f>
        <v>#NAME?</v>
      </c>
    </row>
    <row r="4" spans="1:4" s="6" customFormat="1" ht="18">
      <c r="A4" s="7" t="s">
        <v>2</v>
      </c>
      <c r="B4" s="10" t="e">
        <f ca="1">[1]!s_west_instnum_np($A$1,2025,$D$1,180)</f>
        <v>#NAME?</v>
      </c>
      <c r="C4" s="11" t="e">
        <f ca="1">[1]!s_west_netprofit($B$1,2026,$D$1,180,1000000)</f>
        <v>#NAME?</v>
      </c>
    </row>
    <row r="5" spans="1:4" s="6" customFormat="1" ht="18">
      <c r="A5" s="7" t="s">
        <v>6</v>
      </c>
      <c r="B5" s="10" t="e">
        <f ca="1">[1]!s_west_maxnetprofit($B$1,2025,$D$1,180,1000000)</f>
        <v>#NAME?</v>
      </c>
      <c r="C5" s="11" t="e">
        <f ca="1">[1]!s_west_maxnetprofit($B$1,2026,$D$1,180,1000000)</f>
        <v>#NAME?</v>
      </c>
    </row>
    <row r="6" spans="1:4" s="6" customFormat="1" ht="18">
      <c r="A6" s="7" t="s">
        <v>7</v>
      </c>
      <c r="B6" s="10" t="e">
        <f ca="1">[1]!s_west_minnetprofit($B$1,2025,$D$1,180,1000000)</f>
        <v>#NAME?</v>
      </c>
      <c r="C6" s="11" t="e">
        <f ca="1">[1]!s_west_minnetprofit($B$1,2026,$D$1,180,1000000)</f>
        <v>#NAME?</v>
      </c>
    </row>
    <row r="7" spans="1:4" s="6" customFormat="1" ht="18">
      <c r="A7" s="7" t="s">
        <v>8</v>
      </c>
      <c r="B7" s="10" t="e">
        <f ca="1">[1]!s_west_mediannetprofit($B$1,2025,$D$1,180,1000000)</f>
        <v>#NAME?</v>
      </c>
      <c r="C7" s="11" t="e">
        <f ca="1">[1]!s_west_mediannetprofit($B$1,2026,$D$1,180,1000000)</f>
        <v>#NAME?</v>
      </c>
    </row>
    <row r="8" spans="1:4" s="6" customFormat="1" ht="19" thickBot="1">
      <c r="A8" s="12" t="s">
        <v>9</v>
      </c>
      <c r="B8" s="13" t="e">
        <f ca="1">[1]!s_west_stdnetprofit($B$1,2025,$D$1,180,1000000)</f>
        <v>#NAME?</v>
      </c>
      <c r="C8" s="14" t="e">
        <f ca="1">[1]!s_west_stdnetprofit($B$1,2026,$D$1,180,1000000)</f>
        <v>#NAME?</v>
      </c>
    </row>
    <row r="10" spans="1:4">
      <c r="A10" s="15" t="s">
        <v>1</v>
      </c>
      <c r="B10" s="16" t="s">
        <v>2</v>
      </c>
      <c r="C10" s="17" t="s">
        <v>3</v>
      </c>
    </row>
    <row r="11" spans="1:4" ht="18">
      <c r="A11" s="18">
        <f ca="1">TODAY()-IF(WEEKDAY(TODAY(),2)=6,1,IF(WEEKDAY(TODAY(),2)=7,2,0))</f>
        <v>46161</v>
      </c>
      <c r="B11" s="19" t="e" cm="1">
        <f t="array" aca="1" ref="B11" ca="1">[1]!s_west_netprofit($B$1,2026,$A11,180,1000000)</f>
        <v>#NAME?</v>
      </c>
      <c r="C11" s="20" t="e" cm="1">
        <f t="array" aca="1" ref="C11" ca="1">[1]!s_dq_close($B$1,$A11,3)</f>
        <v>#NAME?</v>
      </c>
    </row>
    <row r="12" spans="1:4" ht="18">
      <c r="A12" s="21">
        <f t="shared" ref="A12:A75" ca="1" si="0">A11-7</f>
        <v>46154</v>
      </c>
      <c r="B12" s="19" t="e" cm="1">
        <f t="array" aca="1" ref="B12" ca="1">[1]!s_west_netprofit($B$1,2026,$A12,180,1000000)</f>
        <v>#NAME?</v>
      </c>
      <c r="C12" s="20" t="e" cm="1">
        <f t="array" aca="1" ref="C12" ca="1">[1]!s_dq_close($B$1,$A12,3)</f>
        <v>#NAME?</v>
      </c>
    </row>
    <row r="13" spans="1:4" ht="18">
      <c r="A13" s="21">
        <f t="shared" ca="1" si="0"/>
        <v>46147</v>
      </c>
      <c r="B13" s="19" t="e" cm="1">
        <f t="array" aca="1" ref="B13" ca="1">[1]!s_west_netprofit($B$1,2026,$A13,180,1000000)</f>
        <v>#NAME?</v>
      </c>
      <c r="C13" s="20" t="e" cm="1">
        <f t="array" aca="1" ref="C13" ca="1">[1]!s_dq_close($B$1,$A13,3)</f>
        <v>#NAME?</v>
      </c>
    </row>
    <row r="14" spans="1:4" ht="18">
      <c r="A14" s="21">
        <f t="shared" ca="1" si="0"/>
        <v>46140</v>
      </c>
      <c r="B14" s="19" t="e" cm="1">
        <f t="array" aca="1" ref="B14" ca="1">[1]!s_west_netprofit($B$1,2026,$A14,180,1000000)</f>
        <v>#NAME?</v>
      </c>
      <c r="C14" s="20" t="e" cm="1">
        <f t="array" aca="1" ref="C14" ca="1">[1]!s_dq_close($B$1,$A14,3)</f>
        <v>#NAME?</v>
      </c>
    </row>
    <row r="15" spans="1:4" ht="18">
      <c r="A15" s="21">
        <f t="shared" ca="1" si="0"/>
        <v>46133</v>
      </c>
      <c r="B15" s="19" t="e" cm="1">
        <f t="array" aca="1" ref="B15" ca="1">[1]!s_west_netprofit($B$1,2026,$A15,180,1000000)</f>
        <v>#NAME?</v>
      </c>
      <c r="C15" s="20" t="e" cm="1">
        <f t="array" aca="1" ref="C15" ca="1">[1]!s_dq_close($B$1,$A15,3)</f>
        <v>#NAME?</v>
      </c>
    </row>
    <row r="16" spans="1:4" ht="18">
      <c r="A16" s="21">
        <f t="shared" ca="1" si="0"/>
        <v>46126</v>
      </c>
      <c r="B16" s="19" t="e" cm="1">
        <f t="array" aca="1" ref="B16" ca="1">[1]!s_west_netprofit($B$1,2026,$A16,180,1000000)</f>
        <v>#NAME?</v>
      </c>
      <c r="C16" s="20" t="e" cm="1">
        <f t="array" aca="1" ref="C16" ca="1">[1]!s_dq_close($B$1,$A16,3)</f>
        <v>#NAME?</v>
      </c>
    </row>
    <row r="17" spans="1:3" ht="18">
      <c r="A17" s="21">
        <f t="shared" ca="1" si="0"/>
        <v>46119</v>
      </c>
      <c r="B17" s="19" t="e" cm="1">
        <f t="array" aca="1" ref="B17" ca="1">[1]!s_west_netprofit($B$1,2026,$A17,180,1000000)</f>
        <v>#NAME?</v>
      </c>
      <c r="C17" s="20" t="e" cm="1">
        <f t="array" aca="1" ref="C17" ca="1">[1]!s_dq_close($B$1,$A17,3)</f>
        <v>#NAME?</v>
      </c>
    </row>
    <row r="18" spans="1:3" ht="18">
      <c r="A18" s="21">
        <f t="shared" ca="1" si="0"/>
        <v>46112</v>
      </c>
      <c r="B18" s="19" t="e" cm="1">
        <f t="array" aca="1" ref="B18" ca="1">[1]!s_west_netprofit($B$1,2026,$A18,180,1000000)</f>
        <v>#NAME?</v>
      </c>
      <c r="C18" s="20" t="e" cm="1">
        <f t="array" aca="1" ref="C18" ca="1">[1]!s_dq_close($B$1,$A18,3)</f>
        <v>#NAME?</v>
      </c>
    </row>
    <row r="19" spans="1:3" ht="18">
      <c r="A19" s="21">
        <f t="shared" ca="1" si="0"/>
        <v>46105</v>
      </c>
      <c r="B19" s="19" t="e" cm="1">
        <f t="array" aca="1" ref="B19" ca="1">[1]!s_west_netprofit($B$1,2026,$A19,180,1000000)</f>
        <v>#NAME?</v>
      </c>
      <c r="C19" s="20" t="e" cm="1">
        <f t="array" aca="1" ref="C19" ca="1">[1]!s_dq_close($B$1,$A19,3)</f>
        <v>#NAME?</v>
      </c>
    </row>
    <row r="20" spans="1:3" ht="18">
      <c r="A20" s="21">
        <f t="shared" ca="1" si="0"/>
        <v>46098</v>
      </c>
      <c r="B20" s="19" t="e" cm="1">
        <f t="array" aca="1" ref="B20" ca="1">[1]!s_west_netprofit($B$1,2026,$A20,180,1000000)</f>
        <v>#NAME?</v>
      </c>
      <c r="C20" s="20" t="e" cm="1">
        <f t="array" aca="1" ref="C20" ca="1">[1]!s_dq_close($B$1,$A20,3)</f>
        <v>#NAME?</v>
      </c>
    </row>
    <row r="21" spans="1:3" ht="18">
      <c r="A21" s="21">
        <f t="shared" ca="1" si="0"/>
        <v>46091</v>
      </c>
      <c r="B21" s="19" t="e" cm="1">
        <f t="array" aca="1" ref="B21" ca="1">[1]!s_west_netprofit($B$1,2026,$A21,180,1000000)</f>
        <v>#NAME?</v>
      </c>
      <c r="C21" s="20" t="e" cm="1">
        <f t="array" aca="1" ref="C21" ca="1">[1]!s_dq_close($B$1,$A21,3)</f>
        <v>#NAME?</v>
      </c>
    </row>
    <row r="22" spans="1:3" ht="18">
      <c r="A22" s="21">
        <f t="shared" ca="1" si="0"/>
        <v>46084</v>
      </c>
      <c r="B22" s="19" t="e" cm="1">
        <f t="array" aca="1" ref="B22" ca="1">[1]!s_west_netprofit($B$1,2026,$A22,180,1000000)</f>
        <v>#NAME?</v>
      </c>
      <c r="C22" s="20" t="e" cm="1">
        <f t="array" aca="1" ref="C22" ca="1">[1]!s_dq_close($B$1,$A22,3)</f>
        <v>#NAME?</v>
      </c>
    </row>
    <row r="23" spans="1:3" ht="18">
      <c r="A23" s="21">
        <f t="shared" ca="1" si="0"/>
        <v>46077</v>
      </c>
      <c r="B23" s="19" t="e" cm="1">
        <f t="array" aca="1" ref="B23" ca="1">[1]!s_west_netprofit($B$1,2026,$A23,180,1000000)</f>
        <v>#NAME?</v>
      </c>
      <c r="C23" s="20" t="e" cm="1">
        <f t="array" aca="1" ref="C23" ca="1">[1]!s_dq_close($B$1,$A23,3)</f>
        <v>#NAME?</v>
      </c>
    </row>
    <row r="24" spans="1:3" ht="18">
      <c r="A24" s="21">
        <f t="shared" ca="1" si="0"/>
        <v>46070</v>
      </c>
      <c r="B24" s="19" t="e" cm="1">
        <f t="array" aca="1" ref="B24" ca="1">[1]!s_west_netprofit($B$1,2026,$A24,180,1000000)</f>
        <v>#NAME?</v>
      </c>
      <c r="C24" s="20" t="e" cm="1">
        <f t="array" aca="1" ref="C24" ca="1">[1]!s_dq_close($B$1,$A24,3)</f>
        <v>#NAME?</v>
      </c>
    </row>
    <row r="25" spans="1:3" ht="18">
      <c r="A25" s="21">
        <f t="shared" ca="1" si="0"/>
        <v>46063</v>
      </c>
      <c r="B25" s="19" t="e" cm="1">
        <f t="array" aca="1" ref="B25" ca="1">[1]!s_west_netprofit($B$1,2026,$A25,180,1000000)</f>
        <v>#NAME?</v>
      </c>
      <c r="C25" s="20" t="e" cm="1">
        <f t="array" aca="1" ref="C25" ca="1">[1]!s_dq_close($B$1,$A25,3)</f>
        <v>#NAME?</v>
      </c>
    </row>
    <row r="26" spans="1:3" ht="18">
      <c r="A26" s="21">
        <f t="shared" ca="1" si="0"/>
        <v>46056</v>
      </c>
      <c r="B26" s="19" t="e" cm="1">
        <f t="array" aca="1" ref="B26" ca="1">[1]!s_west_netprofit($B$1,2026,$A26,180,1000000)</f>
        <v>#NAME?</v>
      </c>
      <c r="C26" s="20" t="e" cm="1">
        <f t="array" aca="1" ref="C26" ca="1">[1]!s_dq_close($B$1,$A26,3)</f>
        <v>#NAME?</v>
      </c>
    </row>
    <row r="27" spans="1:3" ht="18">
      <c r="A27" s="21">
        <f t="shared" ca="1" si="0"/>
        <v>46049</v>
      </c>
      <c r="B27" s="19" t="e" cm="1">
        <f t="array" aca="1" ref="B27" ca="1">[1]!s_west_netprofit($B$1,2026,$A27,180,1000000)</f>
        <v>#NAME?</v>
      </c>
      <c r="C27" s="20" t="e" cm="1">
        <f t="array" aca="1" ref="C27" ca="1">[1]!s_dq_close($B$1,$A27,3)</f>
        <v>#NAME?</v>
      </c>
    </row>
    <row r="28" spans="1:3" ht="18">
      <c r="A28" s="21">
        <f t="shared" ca="1" si="0"/>
        <v>46042</v>
      </c>
      <c r="B28" s="19" t="e" cm="1">
        <f t="array" aca="1" ref="B28" ca="1">[1]!s_west_netprofit($B$1,2026,$A28,180,1000000)</f>
        <v>#NAME?</v>
      </c>
      <c r="C28" s="20" t="e" cm="1">
        <f t="array" aca="1" ref="C28" ca="1">[1]!s_dq_close($B$1,$A28,3)</f>
        <v>#NAME?</v>
      </c>
    </row>
    <row r="29" spans="1:3" ht="18">
      <c r="A29" s="21">
        <f t="shared" ca="1" si="0"/>
        <v>46035</v>
      </c>
      <c r="B29" s="19" t="e" cm="1">
        <f t="array" aca="1" ref="B29" ca="1">[1]!s_west_netprofit($B$1,2026,$A29,180,1000000)</f>
        <v>#NAME?</v>
      </c>
      <c r="C29" s="20" t="e" cm="1">
        <f t="array" aca="1" ref="C29" ca="1">[1]!s_dq_close($B$1,$A29,3)</f>
        <v>#NAME?</v>
      </c>
    </row>
    <row r="30" spans="1:3" ht="18">
      <c r="A30" s="21">
        <f t="shared" ca="1" si="0"/>
        <v>46028</v>
      </c>
      <c r="B30" s="19" t="e" cm="1">
        <f t="array" aca="1" ref="B30" ca="1">[1]!s_west_netprofit($B$1,2026,$A30,180,1000000)</f>
        <v>#NAME?</v>
      </c>
      <c r="C30" s="20" t="e" cm="1">
        <f t="array" aca="1" ref="C30" ca="1">[1]!s_dq_close($B$1,$A30,3)</f>
        <v>#NAME?</v>
      </c>
    </row>
    <row r="31" spans="1:3" ht="18">
      <c r="A31" s="21">
        <f t="shared" ca="1" si="0"/>
        <v>46021</v>
      </c>
      <c r="B31" s="19" t="e" cm="1">
        <f t="array" aca="1" ref="B31" ca="1">[1]!s_west_netprofit($B$1,2026,$A31,180,1000000)</f>
        <v>#NAME?</v>
      </c>
      <c r="C31" s="20" t="e" cm="1">
        <f t="array" aca="1" ref="C31" ca="1">[1]!s_dq_close($B$1,$A31,3)</f>
        <v>#NAME?</v>
      </c>
    </row>
    <row r="32" spans="1:3" ht="18">
      <c r="A32" s="21">
        <f t="shared" ca="1" si="0"/>
        <v>46014</v>
      </c>
      <c r="B32" s="19" t="e" cm="1">
        <f t="array" aca="1" ref="B32" ca="1">[1]!s_west_netprofit($B$1,2026,$A32,180,1000000)</f>
        <v>#NAME?</v>
      </c>
      <c r="C32" s="20" t="e" cm="1">
        <f t="array" aca="1" ref="C32" ca="1">[1]!s_dq_close($B$1,$A32,3)</f>
        <v>#NAME?</v>
      </c>
    </row>
    <row r="33" spans="1:3" ht="18">
      <c r="A33" s="21">
        <f t="shared" ca="1" si="0"/>
        <v>46007</v>
      </c>
      <c r="B33" s="19" t="e" cm="1">
        <f t="array" aca="1" ref="B33" ca="1">[1]!s_west_netprofit($B$1,2026,$A33,180,1000000)</f>
        <v>#NAME?</v>
      </c>
      <c r="C33" s="20" t="e" cm="1">
        <f t="array" aca="1" ref="C33" ca="1">[1]!s_dq_close($B$1,$A33,3)</f>
        <v>#NAME?</v>
      </c>
    </row>
    <row r="34" spans="1:3" ht="18">
      <c r="A34" s="21">
        <f t="shared" ca="1" si="0"/>
        <v>46000</v>
      </c>
      <c r="B34" s="19" t="e" cm="1">
        <f t="array" aca="1" ref="B34" ca="1">[1]!s_west_netprofit($B$1,2026,$A34,180,1000000)</f>
        <v>#NAME?</v>
      </c>
      <c r="C34" s="20" t="e" cm="1">
        <f t="array" aca="1" ref="C34" ca="1">[1]!s_dq_close($B$1,$A34,3)</f>
        <v>#NAME?</v>
      </c>
    </row>
    <row r="35" spans="1:3" ht="18">
      <c r="A35" s="21">
        <f t="shared" ca="1" si="0"/>
        <v>45993</v>
      </c>
      <c r="B35" s="19" t="e" cm="1">
        <f t="array" aca="1" ref="B35" ca="1">[1]!s_west_netprofit($B$1,2026,$A35,180,1000000)</f>
        <v>#NAME?</v>
      </c>
      <c r="C35" s="20" t="e" cm="1">
        <f t="array" aca="1" ref="C35" ca="1">[1]!s_dq_close($B$1,$A35,3)</f>
        <v>#NAME?</v>
      </c>
    </row>
    <row r="36" spans="1:3" ht="18">
      <c r="A36" s="21">
        <f t="shared" ca="1" si="0"/>
        <v>45986</v>
      </c>
      <c r="B36" s="19" t="e" cm="1">
        <f t="array" aca="1" ref="B36" ca="1">[1]!s_west_netprofit($B$1,2026,$A36,180,1000000)</f>
        <v>#NAME?</v>
      </c>
      <c r="C36" s="20" t="e" cm="1">
        <f t="array" aca="1" ref="C36" ca="1">[1]!s_dq_close($B$1,$A36,3)</f>
        <v>#NAME?</v>
      </c>
    </row>
    <row r="37" spans="1:3" ht="18">
      <c r="A37" s="21">
        <f t="shared" ca="1" si="0"/>
        <v>45979</v>
      </c>
      <c r="B37" s="19" t="e" cm="1">
        <f t="array" aca="1" ref="B37" ca="1">[1]!s_west_netprofit($B$1,2026,$A37,180,1000000)</f>
        <v>#NAME?</v>
      </c>
      <c r="C37" s="20" t="e" cm="1">
        <f t="array" aca="1" ref="C37" ca="1">[1]!s_dq_close($B$1,$A37,3)</f>
        <v>#NAME?</v>
      </c>
    </row>
    <row r="38" spans="1:3" ht="18">
      <c r="A38" s="21">
        <f t="shared" ca="1" si="0"/>
        <v>45972</v>
      </c>
      <c r="B38" s="19" t="e" cm="1">
        <f t="array" aca="1" ref="B38" ca="1">[1]!s_west_netprofit($B$1,2026,$A38,180,1000000)</f>
        <v>#NAME?</v>
      </c>
      <c r="C38" s="20" t="e" cm="1">
        <f t="array" aca="1" ref="C38" ca="1">[1]!s_dq_close($B$1,$A38,3)</f>
        <v>#NAME?</v>
      </c>
    </row>
    <row r="39" spans="1:3" ht="18">
      <c r="A39" s="21">
        <f t="shared" ca="1" si="0"/>
        <v>45965</v>
      </c>
      <c r="B39" s="19" t="e" cm="1">
        <f t="array" aca="1" ref="B39" ca="1">[1]!s_west_netprofit($B$1,2026,$A39,180,1000000)</f>
        <v>#NAME?</v>
      </c>
      <c r="C39" s="20" t="e" cm="1">
        <f t="array" aca="1" ref="C39" ca="1">[1]!s_dq_close($B$1,$A39,3)</f>
        <v>#NAME?</v>
      </c>
    </row>
    <row r="40" spans="1:3" ht="18">
      <c r="A40" s="21">
        <f t="shared" ca="1" si="0"/>
        <v>45958</v>
      </c>
      <c r="B40" s="19" t="e" cm="1">
        <f t="array" aca="1" ref="B40" ca="1">[1]!s_west_netprofit($B$1,2026,$A40,180,1000000)</f>
        <v>#NAME?</v>
      </c>
      <c r="C40" s="20" t="e" cm="1">
        <f t="array" aca="1" ref="C40" ca="1">[1]!s_dq_close($B$1,$A40,3)</f>
        <v>#NAME?</v>
      </c>
    </row>
    <row r="41" spans="1:3" ht="18">
      <c r="A41" s="21">
        <f t="shared" ca="1" si="0"/>
        <v>45951</v>
      </c>
      <c r="B41" s="19" t="e" cm="1">
        <f t="array" aca="1" ref="B41" ca="1">[1]!s_west_netprofit($B$1,2026,$A41,180,1000000)</f>
        <v>#NAME?</v>
      </c>
      <c r="C41" s="20" t="e" cm="1">
        <f t="array" aca="1" ref="C41" ca="1">[1]!s_dq_close($B$1,$A41,3)</f>
        <v>#NAME?</v>
      </c>
    </row>
    <row r="42" spans="1:3" ht="18">
      <c r="A42" s="21">
        <f t="shared" ca="1" si="0"/>
        <v>45944</v>
      </c>
      <c r="B42" s="19" t="e" cm="1">
        <f t="array" aca="1" ref="B42" ca="1">[1]!s_west_netprofit($B$1,2026,$A42,180,1000000)</f>
        <v>#NAME?</v>
      </c>
      <c r="C42" s="20" t="e" cm="1">
        <f t="array" aca="1" ref="C42" ca="1">[1]!s_dq_close($B$1,$A42,3)</f>
        <v>#NAME?</v>
      </c>
    </row>
    <row r="43" spans="1:3" ht="18">
      <c r="A43" s="21">
        <f t="shared" ca="1" si="0"/>
        <v>45937</v>
      </c>
      <c r="B43" s="19" t="e" cm="1">
        <f t="array" aca="1" ref="B43" ca="1">[1]!s_west_netprofit($B$1,2026,$A43,180,1000000)</f>
        <v>#NAME?</v>
      </c>
      <c r="C43" s="20" t="e" cm="1">
        <f t="array" aca="1" ref="C43" ca="1">[1]!s_dq_close($B$1,$A43,3)</f>
        <v>#NAME?</v>
      </c>
    </row>
    <row r="44" spans="1:3" ht="18">
      <c r="A44" s="21">
        <f t="shared" ca="1" si="0"/>
        <v>45930</v>
      </c>
      <c r="B44" s="19" t="e" cm="1">
        <f t="array" aca="1" ref="B44" ca="1">[1]!s_west_netprofit($B$1,2026,$A44,180,1000000)</f>
        <v>#NAME?</v>
      </c>
      <c r="C44" s="20" t="e" cm="1">
        <f t="array" aca="1" ref="C44" ca="1">[1]!s_dq_close($B$1,$A44,3)</f>
        <v>#NAME?</v>
      </c>
    </row>
    <row r="45" spans="1:3" ht="18">
      <c r="A45" s="21">
        <f t="shared" ca="1" si="0"/>
        <v>45923</v>
      </c>
      <c r="B45" s="19" t="e" cm="1">
        <f t="array" aca="1" ref="B45" ca="1">[1]!s_west_netprofit($B$1,2026,$A45,180,1000000)</f>
        <v>#NAME?</v>
      </c>
      <c r="C45" s="20" t="e" cm="1">
        <f t="array" aca="1" ref="C45" ca="1">[1]!s_dq_close($B$1,$A45,3)</f>
        <v>#NAME?</v>
      </c>
    </row>
    <row r="46" spans="1:3" ht="18">
      <c r="A46" s="21">
        <f t="shared" ca="1" si="0"/>
        <v>45916</v>
      </c>
      <c r="B46" s="19" t="e" cm="1">
        <f t="array" aca="1" ref="B46" ca="1">[1]!s_west_netprofit($B$1,2026,$A46,180,1000000)</f>
        <v>#NAME?</v>
      </c>
      <c r="C46" s="20" t="e" cm="1">
        <f t="array" aca="1" ref="C46" ca="1">[1]!s_dq_close($B$1,$A46,3)</f>
        <v>#NAME?</v>
      </c>
    </row>
    <row r="47" spans="1:3" ht="18">
      <c r="A47" s="21">
        <f t="shared" ca="1" si="0"/>
        <v>45909</v>
      </c>
      <c r="B47" s="19" t="e" cm="1">
        <f t="array" aca="1" ref="B47" ca="1">[1]!s_west_netprofit($B$1,2026,$A47,180,1000000)</f>
        <v>#NAME?</v>
      </c>
      <c r="C47" s="20" t="e" cm="1">
        <f t="array" aca="1" ref="C47" ca="1">[1]!s_dq_close($B$1,$A47,3)</f>
        <v>#NAME?</v>
      </c>
    </row>
    <row r="48" spans="1:3" ht="18">
      <c r="A48" s="21">
        <f t="shared" ca="1" si="0"/>
        <v>45902</v>
      </c>
      <c r="B48" s="19" t="e" cm="1">
        <f t="array" aca="1" ref="B48" ca="1">[1]!s_west_netprofit($B$1,2026,$A48,180,1000000)</f>
        <v>#NAME?</v>
      </c>
      <c r="C48" s="20" t="e" cm="1">
        <f t="array" aca="1" ref="C48" ca="1">[1]!s_dq_close($B$1,$A48,3)</f>
        <v>#NAME?</v>
      </c>
    </row>
    <row r="49" spans="1:3" ht="18">
      <c r="A49" s="21">
        <f t="shared" ca="1" si="0"/>
        <v>45895</v>
      </c>
      <c r="B49" s="19" t="e" cm="1">
        <f t="array" aca="1" ref="B49" ca="1">[1]!s_west_netprofit($B$1,2026,$A49,180,1000000)</f>
        <v>#NAME?</v>
      </c>
      <c r="C49" s="20" t="e" cm="1">
        <f t="array" aca="1" ref="C49" ca="1">[1]!s_dq_close($B$1,$A49,3)</f>
        <v>#NAME?</v>
      </c>
    </row>
    <row r="50" spans="1:3" ht="18">
      <c r="A50" s="21">
        <f t="shared" ca="1" si="0"/>
        <v>45888</v>
      </c>
      <c r="B50" s="19" t="e" cm="1">
        <f t="array" aca="1" ref="B50" ca="1">[1]!s_west_netprofit($B$1,2026,$A50,180,1000000)</f>
        <v>#NAME?</v>
      </c>
      <c r="C50" s="20" t="e" cm="1">
        <f t="array" aca="1" ref="C50" ca="1">[1]!s_dq_close($B$1,$A50,3)</f>
        <v>#NAME?</v>
      </c>
    </row>
    <row r="51" spans="1:3" ht="18">
      <c r="A51" s="21">
        <f t="shared" ca="1" si="0"/>
        <v>45881</v>
      </c>
      <c r="B51" s="19" t="e" cm="1">
        <f t="array" aca="1" ref="B51" ca="1">[1]!s_west_netprofit($B$1,2026,$A51,180,1000000)</f>
        <v>#NAME?</v>
      </c>
      <c r="C51" s="20" t="e" cm="1">
        <f t="array" aca="1" ref="C51" ca="1">[1]!s_dq_close($B$1,$A51,3)</f>
        <v>#NAME?</v>
      </c>
    </row>
    <row r="52" spans="1:3" ht="18">
      <c r="A52" s="21">
        <f t="shared" ca="1" si="0"/>
        <v>45874</v>
      </c>
      <c r="B52" s="19" t="e" cm="1">
        <f t="array" aca="1" ref="B52" ca="1">[1]!s_west_netprofit($B$1,2026,$A52,180,1000000)</f>
        <v>#NAME?</v>
      </c>
      <c r="C52" s="20" t="e" cm="1">
        <f t="array" aca="1" ref="C52" ca="1">[1]!s_dq_close($B$1,$A52,3)</f>
        <v>#NAME?</v>
      </c>
    </row>
    <row r="53" spans="1:3" ht="18">
      <c r="A53" s="21">
        <f t="shared" ca="1" si="0"/>
        <v>45867</v>
      </c>
      <c r="B53" s="19" t="e" cm="1">
        <f t="array" aca="1" ref="B53" ca="1">[1]!s_west_netprofit($B$1,2026,$A53,180,1000000)</f>
        <v>#NAME?</v>
      </c>
      <c r="C53" s="20" t="e" cm="1">
        <f t="array" aca="1" ref="C53" ca="1">[1]!s_dq_close($B$1,$A53,3)</f>
        <v>#NAME?</v>
      </c>
    </row>
    <row r="54" spans="1:3" ht="18">
      <c r="A54" s="21">
        <f t="shared" ca="1" si="0"/>
        <v>45860</v>
      </c>
      <c r="B54" s="19" t="e" cm="1">
        <f t="array" aca="1" ref="B54" ca="1">[1]!s_west_netprofit($B$1,2026,$A54,180,1000000)</f>
        <v>#NAME?</v>
      </c>
      <c r="C54" s="20" t="e" cm="1">
        <f t="array" aca="1" ref="C54" ca="1">[1]!s_dq_close($B$1,$A54,3)</f>
        <v>#NAME?</v>
      </c>
    </row>
    <row r="55" spans="1:3" ht="18">
      <c r="A55" s="21">
        <f t="shared" ca="1" si="0"/>
        <v>45853</v>
      </c>
      <c r="B55" s="19" t="e" cm="1">
        <f t="array" aca="1" ref="B55" ca="1">[1]!s_west_netprofit($B$1,2026,$A55,180,1000000)</f>
        <v>#NAME?</v>
      </c>
      <c r="C55" s="20" t="e" cm="1">
        <f t="array" aca="1" ref="C55" ca="1">[1]!s_dq_close($B$1,$A55,3)</f>
        <v>#NAME?</v>
      </c>
    </row>
    <row r="56" spans="1:3" ht="18">
      <c r="A56" s="21">
        <f t="shared" ca="1" si="0"/>
        <v>45846</v>
      </c>
      <c r="B56" s="19" t="e" cm="1">
        <f t="array" aca="1" ref="B56" ca="1">[1]!s_west_netprofit($B$1,2026,$A56,180,1000000)</f>
        <v>#NAME?</v>
      </c>
      <c r="C56" s="20" t="e" cm="1">
        <f t="array" aca="1" ref="C56" ca="1">[1]!s_dq_close($B$1,$A56,3)</f>
        <v>#NAME?</v>
      </c>
    </row>
    <row r="57" spans="1:3" ht="18">
      <c r="A57" s="21">
        <f t="shared" ca="1" si="0"/>
        <v>45839</v>
      </c>
      <c r="B57" s="19" t="e" cm="1">
        <f t="array" aca="1" ref="B57" ca="1">[1]!s_west_netprofit($B$1,2026,$A57,180,1000000)</f>
        <v>#NAME?</v>
      </c>
      <c r="C57" s="20" t="e" cm="1">
        <f t="array" aca="1" ref="C57" ca="1">[1]!s_dq_close($B$1,$A57,3)</f>
        <v>#NAME?</v>
      </c>
    </row>
    <row r="58" spans="1:3" ht="18">
      <c r="A58" s="21">
        <f t="shared" ca="1" si="0"/>
        <v>45832</v>
      </c>
      <c r="B58" s="19" t="e" cm="1">
        <f t="array" aca="1" ref="B58" ca="1">[1]!s_west_netprofit($B$1,2026,$A58,180,1000000)</f>
        <v>#NAME?</v>
      </c>
      <c r="C58" s="20" t="e" cm="1">
        <f t="array" aca="1" ref="C58" ca="1">[1]!s_dq_close($B$1,$A58,3)</f>
        <v>#NAME?</v>
      </c>
    </row>
    <row r="59" spans="1:3" ht="18">
      <c r="A59" s="21">
        <f t="shared" ca="1" si="0"/>
        <v>45825</v>
      </c>
      <c r="B59" s="19" t="e" cm="1">
        <f t="array" aca="1" ref="B59" ca="1">[1]!s_west_netprofit($B$1,2026,$A59,180,1000000)</f>
        <v>#NAME?</v>
      </c>
      <c r="C59" s="20" t="e" cm="1">
        <f t="array" aca="1" ref="C59" ca="1">[1]!s_dq_close($B$1,$A59,3)</f>
        <v>#NAME?</v>
      </c>
    </row>
    <row r="60" spans="1:3" ht="18">
      <c r="A60" s="21">
        <f t="shared" ca="1" si="0"/>
        <v>45818</v>
      </c>
      <c r="B60" s="19" t="e" cm="1">
        <f t="array" aca="1" ref="B60" ca="1">[1]!s_west_netprofit($B$1,2026,$A60,180,1000000)</f>
        <v>#NAME?</v>
      </c>
      <c r="C60" s="20" t="e" cm="1">
        <f t="array" aca="1" ref="C60" ca="1">[1]!s_dq_close($B$1,$A60,3)</f>
        <v>#NAME?</v>
      </c>
    </row>
    <row r="61" spans="1:3" ht="18">
      <c r="A61" s="21">
        <f t="shared" ca="1" si="0"/>
        <v>45811</v>
      </c>
      <c r="B61" s="19" t="e" cm="1">
        <f t="array" aca="1" ref="B61" ca="1">[1]!s_west_netprofit($B$1,2026,$A61,180,1000000)</f>
        <v>#NAME?</v>
      </c>
      <c r="C61" s="20" t="e" cm="1">
        <f t="array" aca="1" ref="C61" ca="1">[1]!s_dq_close($B$1,$A61,3)</f>
        <v>#NAME?</v>
      </c>
    </row>
    <row r="62" spans="1:3" ht="18">
      <c r="A62" s="21">
        <f t="shared" ca="1" si="0"/>
        <v>45804</v>
      </c>
      <c r="B62" s="19" t="e" cm="1">
        <f t="array" aca="1" ref="B62" ca="1">[1]!s_west_netprofit($B$1,2026,$A62,180,1000000)</f>
        <v>#NAME?</v>
      </c>
      <c r="C62" s="20" t="e" cm="1">
        <f t="array" aca="1" ref="C62" ca="1">[1]!s_dq_close($B$1,$A62,3)</f>
        <v>#NAME?</v>
      </c>
    </row>
    <row r="63" spans="1:3" ht="18">
      <c r="A63" s="21">
        <f t="shared" ca="1" si="0"/>
        <v>45797</v>
      </c>
      <c r="B63" s="19" t="e" cm="1">
        <f t="array" aca="1" ref="B63" ca="1">[1]!s_west_netprofit($B$1,2026,$A63,180,1000000)</f>
        <v>#NAME?</v>
      </c>
      <c r="C63" s="20" t="e" cm="1">
        <f t="array" aca="1" ref="C63" ca="1">[1]!s_dq_close($B$1,$A63,3)</f>
        <v>#NAME?</v>
      </c>
    </row>
    <row r="64" spans="1:3" ht="18">
      <c r="A64" s="21">
        <f t="shared" ca="1" si="0"/>
        <v>45790</v>
      </c>
      <c r="B64" s="19" t="e" cm="1">
        <f t="array" aca="1" ref="B64" ca="1">[1]!s_west_netprofit($B$1,2026,$A64,180,1000000)</f>
        <v>#NAME?</v>
      </c>
      <c r="C64" s="20" t="e" cm="1">
        <f t="array" aca="1" ref="C64" ca="1">[1]!s_dq_close($B$1,$A64,3)</f>
        <v>#NAME?</v>
      </c>
    </row>
    <row r="65" spans="1:3" ht="18">
      <c r="A65" s="21">
        <f t="shared" ca="1" si="0"/>
        <v>45783</v>
      </c>
      <c r="B65" s="19" t="e" cm="1">
        <f t="array" aca="1" ref="B65" ca="1">[1]!s_west_netprofit($B$1,2026,$A65,180,1000000)</f>
        <v>#NAME?</v>
      </c>
      <c r="C65" s="20" t="e" cm="1">
        <f t="array" aca="1" ref="C65" ca="1">[1]!s_dq_close($B$1,$A65,3)</f>
        <v>#NAME?</v>
      </c>
    </row>
    <row r="66" spans="1:3" ht="18">
      <c r="A66" s="21">
        <f t="shared" ca="1" si="0"/>
        <v>45776</v>
      </c>
      <c r="B66" s="19" t="e" cm="1">
        <f t="array" aca="1" ref="B66" ca="1">[1]!s_west_netprofit($B$1,2026,$A66,180,1000000)</f>
        <v>#NAME?</v>
      </c>
      <c r="C66" s="20" t="e" cm="1">
        <f t="array" aca="1" ref="C66" ca="1">[1]!s_dq_close($B$1,$A66,3)</f>
        <v>#NAME?</v>
      </c>
    </row>
    <row r="67" spans="1:3" ht="18">
      <c r="A67" s="21">
        <f t="shared" ca="1" si="0"/>
        <v>45769</v>
      </c>
      <c r="B67" s="19" t="e" cm="1">
        <f t="array" aca="1" ref="B67" ca="1">[1]!s_west_netprofit($B$1,2026,$A67,180,1000000)</f>
        <v>#NAME?</v>
      </c>
      <c r="C67" s="20" t="e" cm="1">
        <f t="array" aca="1" ref="C67" ca="1">[1]!s_dq_close($B$1,$A67,3)</f>
        <v>#NAME?</v>
      </c>
    </row>
    <row r="68" spans="1:3" ht="18">
      <c r="A68" s="21">
        <f t="shared" ca="1" si="0"/>
        <v>45762</v>
      </c>
      <c r="B68" s="19" t="e" cm="1">
        <f t="array" aca="1" ref="B68" ca="1">[1]!s_west_netprofit($B$1,2026,$A68,180,1000000)</f>
        <v>#NAME?</v>
      </c>
      <c r="C68" s="20" t="e" cm="1">
        <f t="array" aca="1" ref="C68" ca="1">[1]!s_dq_close($B$1,$A68,3)</f>
        <v>#NAME?</v>
      </c>
    </row>
    <row r="69" spans="1:3" ht="18">
      <c r="A69" s="21">
        <f t="shared" ca="1" si="0"/>
        <v>45755</v>
      </c>
      <c r="B69" s="19" t="e" cm="1">
        <f t="array" aca="1" ref="B69" ca="1">[1]!s_west_netprofit($B$1,2026,$A69,180,1000000)</f>
        <v>#NAME?</v>
      </c>
      <c r="C69" s="20" t="e" cm="1">
        <f t="array" aca="1" ref="C69" ca="1">[1]!s_dq_close($B$1,$A69,3)</f>
        <v>#NAME?</v>
      </c>
    </row>
    <row r="70" spans="1:3" ht="18">
      <c r="A70" s="21">
        <f t="shared" ca="1" si="0"/>
        <v>45748</v>
      </c>
      <c r="B70" s="19" t="e" cm="1">
        <f t="array" aca="1" ref="B70" ca="1">[1]!s_west_netprofit($B$1,2026,$A70,180,1000000)</f>
        <v>#NAME?</v>
      </c>
      <c r="C70" s="20" t="e" cm="1">
        <f t="array" aca="1" ref="C70" ca="1">[1]!s_dq_close($B$1,$A70,3)</f>
        <v>#NAME?</v>
      </c>
    </row>
    <row r="71" spans="1:3" ht="18">
      <c r="A71" s="21">
        <f t="shared" ca="1" si="0"/>
        <v>45741</v>
      </c>
      <c r="B71" s="19" t="e" cm="1">
        <f t="array" aca="1" ref="B71" ca="1">[1]!s_west_netprofit($B$1,2026,$A71,180,1000000)</f>
        <v>#NAME?</v>
      </c>
      <c r="C71" s="20" t="e" cm="1">
        <f t="array" aca="1" ref="C71" ca="1">[1]!s_dq_close($B$1,$A71,3)</f>
        <v>#NAME?</v>
      </c>
    </row>
    <row r="72" spans="1:3" ht="18">
      <c r="A72" s="21">
        <f t="shared" ca="1" si="0"/>
        <v>45734</v>
      </c>
      <c r="B72" s="19" t="e" cm="1">
        <f t="array" aca="1" ref="B72" ca="1">[1]!s_west_netprofit($B$1,2026,$A72,180,1000000)</f>
        <v>#NAME?</v>
      </c>
      <c r="C72" s="20" t="e" cm="1">
        <f t="array" aca="1" ref="C72" ca="1">[1]!s_dq_close($B$1,$A72,3)</f>
        <v>#NAME?</v>
      </c>
    </row>
    <row r="73" spans="1:3" ht="18">
      <c r="A73" s="21">
        <f t="shared" ca="1" si="0"/>
        <v>45727</v>
      </c>
      <c r="B73" s="19" t="e" cm="1">
        <f t="array" aca="1" ref="B73" ca="1">[1]!s_west_netprofit($B$1,2026,$A73,180,1000000)</f>
        <v>#NAME?</v>
      </c>
      <c r="C73" s="20" t="e" cm="1">
        <f t="array" aca="1" ref="C73" ca="1">[1]!s_dq_close($B$1,$A73,3)</f>
        <v>#NAME?</v>
      </c>
    </row>
    <row r="74" spans="1:3" ht="18">
      <c r="A74" s="21">
        <f t="shared" ca="1" si="0"/>
        <v>45720</v>
      </c>
      <c r="B74" s="19" t="e" cm="1">
        <f t="array" aca="1" ref="B74" ca="1">[1]!s_west_netprofit($B$1,2026,$A74,180,1000000)</f>
        <v>#NAME?</v>
      </c>
      <c r="C74" s="20" t="e" cm="1">
        <f t="array" aca="1" ref="C74" ca="1">[1]!s_dq_close($B$1,$A74,3)</f>
        <v>#NAME?</v>
      </c>
    </row>
    <row r="75" spans="1:3" ht="18">
      <c r="A75" s="21">
        <f t="shared" ca="1" si="0"/>
        <v>45713</v>
      </c>
      <c r="B75" s="19" t="e" cm="1">
        <f t="array" aca="1" ref="B75" ca="1">[1]!s_west_netprofit($B$1,2026,$A75,180,1000000)</f>
        <v>#NAME?</v>
      </c>
      <c r="C75" s="20" t="e" cm="1">
        <f t="array" aca="1" ref="C75" ca="1">[1]!s_dq_close($B$1,$A75,3)</f>
        <v>#NAME?</v>
      </c>
    </row>
    <row r="76" spans="1:3" ht="18">
      <c r="A76" s="21">
        <f t="shared" ref="A76:A99" ca="1" si="1">A75-7</f>
        <v>45706</v>
      </c>
      <c r="B76" s="19" t="e" cm="1">
        <f t="array" aca="1" ref="B76" ca="1">[1]!s_west_netprofit($B$1,2026,$A76,180,1000000)</f>
        <v>#NAME?</v>
      </c>
      <c r="C76" s="20" t="e" cm="1">
        <f t="array" aca="1" ref="C76" ca="1">[1]!s_dq_close($B$1,$A76,3)</f>
        <v>#NAME?</v>
      </c>
    </row>
    <row r="77" spans="1:3" ht="18">
      <c r="A77" s="21">
        <f t="shared" ca="1" si="1"/>
        <v>45699</v>
      </c>
      <c r="B77" s="19" t="e" cm="1">
        <f t="array" aca="1" ref="B77" ca="1">[1]!s_west_netprofit($B$1,2026,$A77,180,1000000)</f>
        <v>#NAME?</v>
      </c>
      <c r="C77" s="20" t="e" cm="1">
        <f t="array" aca="1" ref="C77" ca="1">[1]!s_dq_close($B$1,$A77,3)</f>
        <v>#NAME?</v>
      </c>
    </row>
    <row r="78" spans="1:3" ht="18">
      <c r="A78" s="21">
        <f t="shared" ca="1" si="1"/>
        <v>45692</v>
      </c>
      <c r="B78" s="19" t="e" cm="1">
        <f t="array" aca="1" ref="B78" ca="1">[1]!s_west_netprofit($B$1,2026,$A78,180,1000000)</f>
        <v>#NAME?</v>
      </c>
      <c r="C78" s="20" t="e" cm="1">
        <f t="array" aca="1" ref="C78" ca="1">[1]!s_dq_close($B$1,$A78,3)</f>
        <v>#NAME?</v>
      </c>
    </row>
    <row r="79" spans="1:3" ht="18">
      <c r="A79" s="21">
        <f t="shared" ca="1" si="1"/>
        <v>45685</v>
      </c>
      <c r="B79" s="19" t="e" cm="1">
        <f t="array" aca="1" ref="B79" ca="1">[1]!s_west_netprofit($B$1,2026,$A79,180,1000000)</f>
        <v>#NAME?</v>
      </c>
      <c r="C79" s="20" t="e" cm="1">
        <f t="array" aca="1" ref="C79" ca="1">[1]!s_dq_close($B$1,$A79,3)</f>
        <v>#NAME?</v>
      </c>
    </row>
    <row r="80" spans="1:3" ht="18">
      <c r="A80" s="21">
        <f t="shared" ca="1" si="1"/>
        <v>45678</v>
      </c>
      <c r="B80" s="19" t="e" cm="1">
        <f t="array" aca="1" ref="B80" ca="1">[1]!s_west_netprofit($B$1,2026,$A80,180,1000000)</f>
        <v>#NAME?</v>
      </c>
      <c r="C80" s="20" t="e" cm="1">
        <f t="array" aca="1" ref="C80" ca="1">[1]!s_dq_close($B$1,$A80,3)</f>
        <v>#NAME?</v>
      </c>
    </row>
    <row r="81" spans="1:3" ht="18">
      <c r="A81" s="21">
        <f t="shared" ca="1" si="1"/>
        <v>45671</v>
      </c>
      <c r="B81" s="19" t="e" cm="1">
        <f t="array" aca="1" ref="B81" ca="1">[1]!s_west_netprofit($B$1,2026,$A81,180,1000000)</f>
        <v>#NAME?</v>
      </c>
      <c r="C81" s="20" t="e" cm="1">
        <f t="array" aca="1" ref="C81" ca="1">[1]!s_dq_close($B$1,$A81,3)</f>
        <v>#NAME?</v>
      </c>
    </row>
    <row r="82" spans="1:3" ht="18">
      <c r="A82" s="21">
        <f t="shared" ca="1" si="1"/>
        <v>45664</v>
      </c>
      <c r="B82" s="19" t="e" cm="1">
        <f t="array" aca="1" ref="B82" ca="1">[1]!s_west_netprofit($B$1,2026,$A82,180,1000000)</f>
        <v>#NAME?</v>
      </c>
      <c r="C82" s="20" t="e" cm="1">
        <f t="array" aca="1" ref="C82" ca="1">[1]!s_dq_close($B$1,$A82,3)</f>
        <v>#NAME?</v>
      </c>
    </row>
    <row r="83" spans="1:3" ht="18">
      <c r="A83" s="21">
        <f t="shared" ca="1" si="1"/>
        <v>45657</v>
      </c>
      <c r="B83" s="19" t="e" cm="1">
        <f t="array" aca="1" ref="B83" ca="1">[1]!s_west_netprofit($B$1,2026,$A83,180,1000000)</f>
        <v>#NAME?</v>
      </c>
      <c r="C83" s="20" t="e" cm="1">
        <f t="array" aca="1" ref="C83" ca="1">[1]!s_dq_close($B$1,$A83,3)</f>
        <v>#NAME?</v>
      </c>
    </row>
    <row r="84" spans="1:3" ht="18">
      <c r="A84" s="21">
        <f t="shared" ca="1" si="1"/>
        <v>45650</v>
      </c>
      <c r="B84" s="19" t="e" cm="1">
        <f t="array" aca="1" ref="B84" ca="1">[1]!s_west_netprofit($B$1,2026,$A84,180,1000000)</f>
        <v>#NAME?</v>
      </c>
      <c r="C84" s="20" t="e" cm="1">
        <f t="array" aca="1" ref="C84" ca="1">[1]!s_dq_close($B$1,$A84,3)</f>
        <v>#NAME?</v>
      </c>
    </row>
    <row r="85" spans="1:3" ht="18">
      <c r="A85" s="21">
        <f t="shared" ca="1" si="1"/>
        <v>45643</v>
      </c>
      <c r="B85" s="19" t="e" cm="1">
        <f t="array" aca="1" ref="B85" ca="1">[1]!s_west_netprofit($B$1,2026,$A85,180,1000000)</f>
        <v>#NAME?</v>
      </c>
      <c r="C85" s="20" t="e" cm="1">
        <f t="array" aca="1" ref="C85" ca="1">[1]!s_dq_close($B$1,$A85,3)</f>
        <v>#NAME?</v>
      </c>
    </row>
    <row r="86" spans="1:3" ht="18">
      <c r="A86" s="21">
        <f t="shared" ca="1" si="1"/>
        <v>45636</v>
      </c>
      <c r="B86" s="19" t="e" cm="1">
        <f t="array" aca="1" ref="B86" ca="1">[1]!s_west_netprofit($B$1,2026,$A86,180,1000000)</f>
        <v>#NAME?</v>
      </c>
      <c r="C86" s="20" t="e" cm="1">
        <f t="array" aca="1" ref="C86" ca="1">[1]!s_dq_close($B$1,$A86,3)</f>
        <v>#NAME?</v>
      </c>
    </row>
    <row r="87" spans="1:3" ht="18">
      <c r="A87" s="21">
        <f t="shared" ca="1" si="1"/>
        <v>45629</v>
      </c>
      <c r="B87" s="19" t="e" cm="1">
        <f t="array" aca="1" ref="B87" ca="1">[1]!s_west_netprofit($B$1,2026,$A87,180,1000000)</f>
        <v>#NAME?</v>
      </c>
      <c r="C87" s="20" t="e" cm="1">
        <f t="array" aca="1" ref="C87" ca="1">[1]!s_dq_close($B$1,$A87,3)</f>
        <v>#NAME?</v>
      </c>
    </row>
    <row r="88" spans="1:3" ht="18">
      <c r="A88" s="21">
        <f t="shared" ca="1" si="1"/>
        <v>45622</v>
      </c>
      <c r="B88" s="19" t="e" cm="1">
        <f t="array" aca="1" ref="B88" ca="1">[1]!s_west_netprofit($B$1,2026,$A88,180,1000000)</f>
        <v>#NAME?</v>
      </c>
      <c r="C88" s="20" t="e" cm="1">
        <f t="array" aca="1" ref="C88" ca="1">[1]!s_dq_close($B$1,$A88,3)</f>
        <v>#NAME?</v>
      </c>
    </row>
    <row r="89" spans="1:3" ht="18">
      <c r="A89" s="21">
        <f t="shared" ca="1" si="1"/>
        <v>45615</v>
      </c>
      <c r="B89" s="19" t="e" cm="1">
        <f t="array" aca="1" ref="B89" ca="1">[1]!s_west_netprofit($B$1,2026,$A89,180,1000000)</f>
        <v>#NAME?</v>
      </c>
      <c r="C89" s="20" t="e" cm="1">
        <f t="array" aca="1" ref="C89" ca="1">[1]!s_dq_close($B$1,$A89,3)</f>
        <v>#NAME?</v>
      </c>
    </row>
    <row r="90" spans="1:3" ht="18">
      <c r="A90" s="21">
        <f t="shared" ca="1" si="1"/>
        <v>45608</v>
      </c>
      <c r="B90" s="19" t="e" cm="1">
        <f t="array" aca="1" ref="B90" ca="1">[1]!s_west_netprofit($B$1,2026,$A90,180,1000000)</f>
        <v>#NAME?</v>
      </c>
      <c r="C90" s="20" t="e" cm="1">
        <f t="array" aca="1" ref="C90" ca="1">[1]!s_dq_close($B$1,$A90,3)</f>
        <v>#NAME?</v>
      </c>
    </row>
    <row r="91" spans="1:3" ht="18">
      <c r="A91" s="21">
        <f t="shared" ca="1" si="1"/>
        <v>45601</v>
      </c>
      <c r="B91" s="19" t="e" cm="1">
        <f t="array" aca="1" ref="B91" ca="1">[1]!s_west_netprofit($B$1,2026,$A91,180,1000000)</f>
        <v>#NAME?</v>
      </c>
      <c r="C91" s="20" t="e" cm="1">
        <f t="array" aca="1" ref="C91" ca="1">[1]!s_dq_close($B$1,$A91,3)</f>
        <v>#NAME?</v>
      </c>
    </row>
    <row r="92" spans="1:3" ht="18">
      <c r="A92" s="21">
        <f t="shared" ca="1" si="1"/>
        <v>45594</v>
      </c>
      <c r="B92" s="19" t="e" cm="1">
        <f t="array" aca="1" ref="B92" ca="1">[1]!s_west_netprofit($B$1,2026,$A92,180,1000000)</f>
        <v>#NAME?</v>
      </c>
      <c r="C92" s="20" t="e" cm="1">
        <f t="array" aca="1" ref="C92" ca="1">[1]!s_dq_close($B$1,$A92,3)</f>
        <v>#NAME?</v>
      </c>
    </row>
    <row r="93" spans="1:3" ht="18">
      <c r="A93" s="21">
        <f t="shared" ca="1" si="1"/>
        <v>45587</v>
      </c>
      <c r="B93" s="19" t="e" cm="1">
        <f t="array" aca="1" ref="B93" ca="1">[1]!s_west_netprofit($B$1,2026,$A93,180,1000000)</f>
        <v>#NAME?</v>
      </c>
      <c r="C93" s="20" t="e" cm="1">
        <f t="array" aca="1" ref="C93" ca="1">[1]!s_dq_close($B$1,$A93,3)</f>
        <v>#NAME?</v>
      </c>
    </row>
    <row r="94" spans="1:3" ht="18">
      <c r="A94" s="21">
        <f t="shared" ca="1" si="1"/>
        <v>45580</v>
      </c>
      <c r="B94" s="19" t="e" cm="1">
        <f t="array" aca="1" ref="B94" ca="1">[1]!s_west_netprofit($B$1,2026,$A94,180,1000000)</f>
        <v>#NAME?</v>
      </c>
      <c r="C94" s="20" t="e" cm="1">
        <f t="array" aca="1" ref="C94" ca="1">[1]!s_dq_close($B$1,$A94,3)</f>
        <v>#NAME?</v>
      </c>
    </row>
    <row r="95" spans="1:3" ht="18">
      <c r="A95" s="21">
        <f t="shared" ca="1" si="1"/>
        <v>45573</v>
      </c>
      <c r="B95" s="19" t="e" cm="1">
        <f t="array" aca="1" ref="B95" ca="1">[1]!s_west_netprofit($B$1,2026,$A95,180,1000000)</f>
        <v>#NAME?</v>
      </c>
      <c r="C95" s="20" t="e" cm="1">
        <f t="array" aca="1" ref="C95" ca="1">[1]!s_dq_close($B$1,$A95,3)</f>
        <v>#NAME?</v>
      </c>
    </row>
    <row r="96" spans="1:3" ht="18">
      <c r="A96" s="21">
        <f t="shared" ca="1" si="1"/>
        <v>45566</v>
      </c>
      <c r="B96" s="19" t="e" cm="1">
        <f t="array" aca="1" ref="B96" ca="1">[1]!s_west_netprofit($B$1,2026,$A96,180,1000000)</f>
        <v>#NAME?</v>
      </c>
      <c r="C96" s="20" t="e" cm="1">
        <f t="array" aca="1" ref="C96" ca="1">[1]!s_dq_close($B$1,$A96,3)</f>
        <v>#NAME?</v>
      </c>
    </row>
    <row r="97" spans="1:3" ht="18">
      <c r="A97" s="21">
        <f t="shared" ca="1" si="1"/>
        <v>45559</v>
      </c>
      <c r="B97" s="19" t="e" cm="1">
        <f t="array" aca="1" ref="B97" ca="1">[1]!s_west_netprofit($B$1,2026,$A97,180,1000000)</f>
        <v>#NAME?</v>
      </c>
      <c r="C97" s="20" t="e" cm="1">
        <f t="array" aca="1" ref="C97" ca="1">[1]!s_dq_close($B$1,$A97,3)</f>
        <v>#NAME?</v>
      </c>
    </row>
    <row r="98" spans="1:3" ht="18">
      <c r="A98" s="21">
        <f t="shared" ca="1" si="1"/>
        <v>45552</v>
      </c>
      <c r="B98" s="19" t="e" cm="1">
        <f t="array" aca="1" ref="B98" ca="1">[1]!s_west_netprofit($B$1,2026,$A98,180,1000000)</f>
        <v>#NAME?</v>
      </c>
      <c r="C98" s="20" t="e" cm="1">
        <f t="array" aca="1" ref="C98" ca="1">[1]!s_dq_close($B$1,$A98,3)</f>
        <v>#NAME?</v>
      </c>
    </row>
    <row r="99" spans="1:3" ht="19" thickBot="1">
      <c r="A99" s="22">
        <f t="shared" ca="1" si="1"/>
        <v>45545</v>
      </c>
      <c r="B99" s="23" t="e" cm="1">
        <f t="array" aca="1" ref="B99" ca="1">[1]!s_west_netprofit($B$1,2026,$A99,180,1000000)</f>
        <v>#NAME?</v>
      </c>
      <c r="C99" s="24" t="e" cm="1">
        <f t="array" aca="1" ref="C99" ca="1">[1]!s_dq_close($B$1,$A99,3)</f>
        <v>#NAME?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85009-AC61-524D-8C22-76F986195664}">
  <dimension ref="A1:D99"/>
  <sheetViews>
    <sheetView workbookViewId="0">
      <selection sqref="A1:XFD1048576"/>
    </sheetView>
  </sheetViews>
  <sheetFormatPr baseColWidth="10" defaultColWidth="9.1640625" defaultRowHeight="16"/>
  <cols>
    <col min="1" max="1" width="36.33203125" customWidth="1"/>
    <col min="2" max="2" width="26" customWidth="1"/>
    <col min="3" max="3" width="40" customWidth="1"/>
    <col min="4" max="4" width="11" bestFit="1" customWidth="1"/>
  </cols>
  <sheetData>
    <row r="1" spans="1:4" ht="17" thickBot="1">
      <c r="A1" t="e">
        <f ca="1">[1]!S_INFO_NAME($B$1)</f>
        <v>#NAME?</v>
      </c>
      <c r="B1" s="1"/>
      <c r="C1" t="s">
        <v>0</v>
      </c>
      <c r="D1" s="2">
        <f ca="1">TODAY()</f>
        <v>46161</v>
      </c>
    </row>
    <row r="2" spans="1:4" s="6" customFormat="1" ht="18">
      <c r="A2" s="3" t="s">
        <v>4</v>
      </c>
      <c r="B2" s="4">
        <v>2025</v>
      </c>
      <c r="C2" s="5">
        <v>2026</v>
      </c>
    </row>
    <row r="3" spans="1:4" s="6" customFormat="1" ht="18">
      <c r="A3" s="7" t="s">
        <v>5</v>
      </c>
      <c r="B3" s="8" t="e">
        <f ca="1">[1]!s_west_instnum_np($B$1,2025,$D$1,180)</f>
        <v>#NAME?</v>
      </c>
      <c r="C3" s="9" t="e">
        <f ca="1">[1]!s_west_instnum_np($B$1,2026,$D$1,180)</f>
        <v>#NAME?</v>
      </c>
    </row>
    <row r="4" spans="1:4" s="6" customFormat="1" ht="18">
      <c r="A4" s="7" t="s">
        <v>2</v>
      </c>
      <c r="B4" s="10" t="e">
        <f ca="1">[1]!s_west_instnum_np($A$1,2025,$D$1,180)</f>
        <v>#NAME?</v>
      </c>
      <c r="C4" s="11" t="e">
        <f ca="1">[1]!s_west_netprofit($B$1,2026,$D$1,180,1000000)</f>
        <v>#NAME?</v>
      </c>
    </row>
    <row r="5" spans="1:4" s="6" customFormat="1" ht="18">
      <c r="A5" s="7" t="s">
        <v>6</v>
      </c>
      <c r="B5" s="10" t="e">
        <f ca="1">[1]!s_west_maxnetprofit($B$1,2025,$D$1,180,1000000)</f>
        <v>#NAME?</v>
      </c>
      <c r="C5" s="11" t="e">
        <f ca="1">[1]!s_west_maxnetprofit($B$1,2026,$D$1,180,1000000)</f>
        <v>#NAME?</v>
      </c>
    </row>
    <row r="6" spans="1:4" s="6" customFormat="1" ht="18">
      <c r="A6" s="7" t="s">
        <v>7</v>
      </c>
      <c r="B6" s="10" t="e">
        <f ca="1">[1]!s_west_minnetprofit($B$1,2025,$D$1,180,1000000)</f>
        <v>#NAME?</v>
      </c>
      <c r="C6" s="11" t="e">
        <f ca="1">[1]!s_west_minnetprofit($B$1,2026,$D$1,180,1000000)</f>
        <v>#NAME?</v>
      </c>
    </row>
    <row r="7" spans="1:4" s="6" customFormat="1" ht="18">
      <c r="A7" s="7" t="s">
        <v>8</v>
      </c>
      <c r="B7" s="10" t="e">
        <f ca="1">[1]!s_west_mediannetprofit($B$1,2025,$D$1,180,1000000)</f>
        <v>#NAME?</v>
      </c>
      <c r="C7" s="11" t="e">
        <f ca="1">[1]!s_west_mediannetprofit($B$1,2026,$D$1,180,1000000)</f>
        <v>#NAME?</v>
      </c>
    </row>
    <row r="8" spans="1:4" s="6" customFormat="1" ht="19" thickBot="1">
      <c r="A8" s="12" t="s">
        <v>9</v>
      </c>
      <c r="B8" s="13" t="e">
        <f ca="1">[1]!s_west_stdnetprofit($B$1,2025,$D$1,180,1000000)</f>
        <v>#NAME?</v>
      </c>
      <c r="C8" s="14" t="e">
        <f ca="1">[1]!s_west_stdnetprofit($B$1,2026,$D$1,180,1000000)</f>
        <v>#NAME?</v>
      </c>
    </row>
    <row r="10" spans="1:4">
      <c r="A10" s="15" t="s">
        <v>1</v>
      </c>
      <c r="B10" s="16" t="s">
        <v>2</v>
      </c>
      <c r="C10" s="17" t="s">
        <v>3</v>
      </c>
    </row>
    <row r="11" spans="1:4" ht="18">
      <c r="A11" s="18">
        <f ca="1">TODAY()-IF(WEEKDAY(TODAY(),2)=6,1,IF(WEEKDAY(TODAY(),2)=7,2,0))</f>
        <v>46161</v>
      </c>
      <c r="B11" s="19" t="e" cm="1">
        <f t="array" aca="1" ref="B11" ca="1">[1]!s_west_netprofit($B$1,2026,$A11,180,1000000)</f>
        <v>#NAME?</v>
      </c>
      <c r="C11" s="20" t="e" cm="1">
        <f t="array" aca="1" ref="C11" ca="1">[1]!s_dq_close($B$1,$A11,3)</f>
        <v>#NAME?</v>
      </c>
    </row>
    <row r="12" spans="1:4" ht="18">
      <c r="A12" s="21">
        <f t="shared" ref="A12:A75" ca="1" si="0">A11-7</f>
        <v>46154</v>
      </c>
      <c r="B12" s="19" t="e" cm="1">
        <f t="array" aca="1" ref="B12" ca="1">[1]!s_west_netprofit($B$1,2026,$A12,180,1000000)</f>
        <v>#NAME?</v>
      </c>
      <c r="C12" s="20" t="e" cm="1">
        <f t="array" aca="1" ref="C12" ca="1">[1]!s_dq_close($B$1,$A12,3)</f>
        <v>#NAME?</v>
      </c>
    </row>
    <row r="13" spans="1:4" ht="18">
      <c r="A13" s="21">
        <f t="shared" ca="1" si="0"/>
        <v>46147</v>
      </c>
      <c r="B13" s="19" t="e" cm="1">
        <f t="array" aca="1" ref="B13" ca="1">[1]!s_west_netprofit($B$1,2026,$A13,180,1000000)</f>
        <v>#NAME?</v>
      </c>
      <c r="C13" s="20" t="e" cm="1">
        <f t="array" aca="1" ref="C13" ca="1">[1]!s_dq_close($B$1,$A13,3)</f>
        <v>#NAME?</v>
      </c>
    </row>
    <row r="14" spans="1:4" ht="18">
      <c r="A14" s="21">
        <f t="shared" ca="1" si="0"/>
        <v>46140</v>
      </c>
      <c r="B14" s="19" t="e" cm="1">
        <f t="array" aca="1" ref="B14" ca="1">[1]!s_west_netprofit($B$1,2026,$A14,180,1000000)</f>
        <v>#NAME?</v>
      </c>
      <c r="C14" s="20" t="e" cm="1">
        <f t="array" aca="1" ref="C14" ca="1">[1]!s_dq_close($B$1,$A14,3)</f>
        <v>#NAME?</v>
      </c>
    </row>
    <row r="15" spans="1:4" ht="18">
      <c r="A15" s="21">
        <f t="shared" ca="1" si="0"/>
        <v>46133</v>
      </c>
      <c r="B15" s="19" t="e" cm="1">
        <f t="array" aca="1" ref="B15" ca="1">[1]!s_west_netprofit($B$1,2026,$A15,180,1000000)</f>
        <v>#NAME?</v>
      </c>
      <c r="C15" s="20" t="e" cm="1">
        <f t="array" aca="1" ref="C15" ca="1">[1]!s_dq_close($B$1,$A15,3)</f>
        <v>#NAME?</v>
      </c>
    </row>
    <row r="16" spans="1:4" ht="18">
      <c r="A16" s="21">
        <f t="shared" ca="1" si="0"/>
        <v>46126</v>
      </c>
      <c r="B16" s="19" t="e" cm="1">
        <f t="array" aca="1" ref="B16" ca="1">[1]!s_west_netprofit($B$1,2026,$A16,180,1000000)</f>
        <v>#NAME?</v>
      </c>
      <c r="C16" s="20" t="e" cm="1">
        <f t="array" aca="1" ref="C16" ca="1">[1]!s_dq_close($B$1,$A16,3)</f>
        <v>#NAME?</v>
      </c>
    </row>
    <row r="17" spans="1:3" ht="18">
      <c r="A17" s="21">
        <f t="shared" ca="1" si="0"/>
        <v>46119</v>
      </c>
      <c r="B17" s="19" t="e" cm="1">
        <f t="array" aca="1" ref="B17" ca="1">[1]!s_west_netprofit($B$1,2026,$A17,180,1000000)</f>
        <v>#NAME?</v>
      </c>
      <c r="C17" s="20" t="e" cm="1">
        <f t="array" aca="1" ref="C17" ca="1">[1]!s_dq_close($B$1,$A17,3)</f>
        <v>#NAME?</v>
      </c>
    </row>
    <row r="18" spans="1:3" ht="18">
      <c r="A18" s="21">
        <f t="shared" ca="1" si="0"/>
        <v>46112</v>
      </c>
      <c r="B18" s="19" t="e" cm="1">
        <f t="array" aca="1" ref="B18" ca="1">[1]!s_west_netprofit($B$1,2026,$A18,180,1000000)</f>
        <v>#NAME?</v>
      </c>
      <c r="C18" s="20" t="e" cm="1">
        <f t="array" aca="1" ref="C18" ca="1">[1]!s_dq_close($B$1,$A18,3)</f>
        <v>#NAME?</v>
      </c>
    </row>
    <row r="19" spans="1:3" ht="18">
      <c r="A19" s="21">
        <f t="shared" ca="1" si="0"/>
        <v>46105</v>
      </c>
      <c r="B19" s="19" t="e" cm="1">
        <f t="array" aca="1" ref="B19" ca="1">[1]!s_west_netprofit($B$1,2026,$A19,180,1000000)</f>
        <v>#NAME?</v>
      </c>
      <c r="C19" s="20" t="e" cm="1">
        <f t="array" aca="1" ref="C19" ca="1">[1]!s_dq_close($B$1,$A19,3)</f>
        <v>#NAME?</v>
      </c>
    </row>
    <row r="20" spans="1:3" ht="18">
      <c r="A20" s="21">
        <f t="shared" ca="1" si="0"/>
        <v>46098</v>
      </c>
      <c r="B20" s="19" t="e" cm="1">
        <f t="array" aca="1" ref="B20" ca="1">[1]!s_west_netprofit($B$1,2026,$A20,180,1000000)</f>
        <v>#NAME?</v>
      </c>
      <c r="C20" s="20" t="e" cm="1">
        <f t="array" aca="1" ref="C20" ca="1">[1]!s_dq_close($B$1,$A20,3)</f>
        <v>#NAME?</v>
      </c>
    </row>
    <row r="21" spans="1:3" ht="18">
      <c r="A21" s="21">
        <f t="shared" ca="1" si="0"/>
        <v>46091</v>
      </c>
      <c r="B21" s="19" t="e" cm="1">
        <f t="array" aca="1" ref="B21" ca="1">[1]!s_west_netprofit($B$1,2026,$A21,180,1000000)</f>
        <v>#NAME?</v>
      </c>
      <c r="C21" s="20" t="e" cm="1">
        <f t="array" aca="1" ref="C21" ca="1">[1]!s_dq_close($B$1,$A21,3)</f>
        <v>#NAME?</v>
      </c>
    </row>
    <row r="22" spans="1:3" ht="18">
      <c r="A22" s="21">
        <f t="shared" ca="1" si="0"/>
        <v>46084</v>
      </c>
      <c r="B22" s="19" t="e" cm="1">
        <f t="array" aca="1" ref="B22" ca="1">[1]!s_west_netprofit($B$1,2026,$A22,180,1000000)</f>
        <v>#NAME?</v>
      </c>
      <c r="C22" s="20" t="e" cm="1">
        <f t="array" aca="1" ref="C22" ca="1">[1]!s_dq_close($B$1,$A22,3)</f>
        <v>#NAME?</v>
      </c>
    </row>
    <row r="23" spans="1:3" ht="18">
      <c r="A23" s="21">
        <f t="shared" ca="1" si="0"/>
        <v>46077</v>
      </c>
      <c r="B23" s="19" t="e" cm="1">
        <f t="array" aca="1" ref="B23" ca="1">[1]!s_west_netprofit($B$1,2026,$A23,180,1000000)</f>
        <v>#NAME?</v>
      </c>
      <c r="C23" s="20" t="e" cm="1">
        <f t="array" aca="1" ref="C23" ca="1">[1]!s_dq_close($B$1,$A23,3)</f>
        <v>#NAME?</v>
      </c>
    </row>
    <row r="24" spans="1:3" ht="18">
      <c r="A24" s="21">
        <f t="shared" ca="1" si="0"/>
        <v>46070</v>
      </c>
      <c r="B24" s="19" t="e" cm="1">
        <f t="array" aca="1" ref="B24" ca="1">[1]!s_west_netprofit($B$1,2026,$A24,180,1000000)</f>
        <v>#NAME?</v>
      </c>
      <c r="C24" s="20" t="e" cm="1">
        <f t="array" aca="1" ref="C24" ca="1">[1]!s_dq_close($B$1,$A24,3)</f>
        <v>#NAME?</v>
      </c>
    </row>
    <row r="25" spans="1:3" ht="18">
      <c r="A25" s="21">
        <f t="shared" ca="1" si="0"/>
        <v>46063</v>
      </c>
      <c r="B25" s="19" t="e" cm="1">
        <f t="array" aca="1" ref="B25" ca="1">[1]!s_west_netprofit($B$1,2026,$A25,180,1000000)</f>
        <v>#NAME?</v>
      </c>
      <c r="C25" s="20" t="e" cm="1">
        <f t="array" aca="1" ref="C25" ca="1">[1]!s_dq_close($B$1,$A25,3)</f>
        <v>#NAME?</v>
      </c>
    </row>
    <row r="26" spans="1:3" ht="18">
      <c r="A26" s="21">
        <f t="shared" ca="1" si="0"/>
        <v>46056</v>
      </c>
      <c r="B26" s="19" t="e" cm="1">
        <f t="array" aca="1" ref="B26" ca="1">[1]!s_west_netprofit($B$1,2026,$A26,180,1000000)</f>
        <v>#NAME?</v>
      </c>
      <c r="C26" s="20" t="e" cm="1">
        <f t="array" aca="1" ref="C26" ca="1">[1]!s_dq_close($B$1,$A26,3)</f>
        <v>#NAME?</v>
      </c>
    </row>
    <row r="27" spans="1:3" ht="18">
      <c r="A27" s="21">
        <f t="shared" ca="1" si="0"/>
        <v>46049</v>
      </c>
      <c r="B27" s="19" t="e" cm="1">
        <f t="array" aca="1" ref="B27" ca="1">[1]!s_west_netprofit($B$1,2026,$A27,180,1000000)</f>
        <v>#NAME?</v>
      </c>
      <c r="C27" s="20" t="e" cm="1">
        <f t="array" aca="1" ref="C27" ca="1">[1]!s_dq_close($B$1,$A27,3)</f>
        <v>#NAME?</v>
      </c>
    </row>
    <row r="28" spans="1:3" ht="18">
      <c r="A28" s="21">
        <f t="shared" ca="1" si="0"/>
        <v>46042</v>
      </c>
      <c r="B28" s="19" t="e" cm="1">
        <f t="array" aca="1" ref="B28" ca="1">[1]!s_west_netprofit($B$1,2026,$A28,180,1000000)</f>
        <v>#NAME?</v>
      </c>
      <c r="C28" s="20" t="e" cm="1">
        <f t="array" aca="1" ref="C28" ca="1">[1]!s_dq_close($B$1,$A28,3)</f>
        <v>#NAME?</v>
      </c>
    </row>
    <row r="29" spans="1:3" ht="18">
      <c r="A29" s="21">
        <f t="shared" ca="1" si="0"/>
        <v>46035</v>
      </c>
      <c r="B29" s="19" t="e" cm="1">
        <f t="array" aca="1" ref="B29" ca="1">[1]!s_west_netprofit($B$1,2026,$A29,180,1000000)</f>
        <v>#NAME?</v>
      </c>
      <c r="C29" s="20" t="e" cm="1">
        <f t="array" aca="1" ref="C29" ca="1">[1]!s_dq_close($B$1,$A29,3)</f>
        <v>#NAME?</v>
      </c>
    </row>
    <row r="30" spans="1:3" ht="18">
      <c r="A30" s="21">
        <f t="shared" ca="1" si="0"/>
        <v>46028</v>
      </c>
      <c r="B30" s="19" t="e" cm="1">
        <f t="array" aca="1" ref="B30" ca="1">[1]!s_west_netprofit($B$1,2026,$A30,180,1000000)</f>
        <v>#NAME?</v>
      </c>
      <c r="C30" s="20" t="e" cm="1">
        <f t="array" aca="1" ref="C30" ca="1">[1]!s_dq_close($B$1,$A30,3)</f>
        <v>#NAME?</v>
      </c>
    </row>
    <row r="31" spans="1:3" ht="18">
      <c r="A31" s="21">
        <f t="shared" ca="1" si="0"/>
        <v>46021</v>
      </c>
      <c r="B31" s="19" t="e" cm="1">
        <f t="array" aca="1" ref="B31" ca="1">[1]!s_west_netprofit($B$1,2026,$A31,180,1000000)</f>
        <v>#NAME?</v>
      </c>
      <c r="C31" s="20" t="e" cm="1">
        <f t="array" aca="1" ref="C31" ca="1">[1]!s_dq_close($B$1,$A31,3)</f>
        <v>#NAME?</v>
      </c>
    </row>
    <row r="32" spans="1:3" ht="18">
      <c r="A32" s="21">
        <f t="shared" ca="1" si="0"/>
        <v>46014</v>
      </c>
      <c r="B32" s="19" t="e" cm="1">
        <f t="array" aca="1" ref="B32" ca="1">[1]!s_west_netprofit($B$1,2026,$A32,180,1000000)</f>
        <v>#NAME?</v>
      </c>
      <c r="C32" s="20" t="e" cm="1">
        <f t="array" aca="1" ref="C32" ca="1">[1]!s_dq_close($B$1,$A32,3)</f>
        <v>#NAME?</v>
      </c>
    </row>
    <row r="33" spans="1:3" ht="18">
      <c r="A33" s="21">
        <f t="shared" ca="1" si="0"/>
        <v>46007</v>
      </c>
      <c r="B33" s="19" t="e" cm="1">
        <f t="array" aca="1" ref="B33" ca="1">[1]!s_west_netprofit($B$1,2026,$A33,180,1000000)</f>
        <v>#NAME?</v>
      </c>
      <c r="C33" s="20" t="e" cm="1">
        <f t="array" aca="1" ref="C33" ca="1">[1]!s_dq_close($B$1,$A33,3)</f>
        <v>#NAME?</v>
      </c>
    </row>
    <row r="34" spans="1:3" ht="18">
      <c r="A34" s="21">
        <f t="shared" ca="1" si="0"/>
        <v>46000</v>
      </c>
      <c r="B34" s="19" t="e" cm="1">
        <f t="array" aca="1" ref="B34" ca="1">[1]!s_west_netprofit($B$1,2026,$A34,180,1000000)</f>
        <v>#NAME?</v>
      </c>
      <c r="C34" s="20" t="e" cm="1">
        <f t="array" aca="1" ref="C34" ca="1">[1]!s_dq_close($B$1,$A34,3)</f>
        <v>#NAME?</v>
      </c>
    </row>
    <row r="35" spans="1:3" ht="18">
      <c r="A35" s="21">
        <f t="shared" ca="1" si="0"/>
        <v>45993</v>
      </c>
      <c r="B35" s="19" t="e" cm="1">
        <f t="array" aca="1" ref="B35" ca="1">[1]!s_west_netprofit($B$1,2026,$A35,180,1000000)</f>
        <v>#NAME?</v>
      </c>
      <c r="C35" s="20" t="e" cm="1">
        <f t="array" aca="1" ref="C35" ca="1">[1]!s_dq_close($B$1,$A35,3)</f>
        <v>#NAME?</v>
      </c>
    </row>
    <row r="36" spans="1:3" ht="18">
      <c r="A36" s="21">
        <f t="shared" ca="1" si="0"/>
        <v>45986</v>
      </c>
      <c r="B36" s="19" t="e" cm="1">
        <f t="array" aca="1" ref="B36" ca="1">[1]!s_west_netprofit($B$1,2026,$A36,180,1000000)</f>
        <v>#NAME?</v>
      </c>
      <c r="C36" s="20" t="e" cm="1">
        <f t="array" aca="1" ref="C36" ca="1">[1]!s_dq_close($B$1,$A36,3)</f>
        <v>#NAME?</v>
      </c>
    </row>
    <row r="37" spans="1:3" ht="18">
      <c r="A37" s="21">
        <f t="shared" ca="1" si="0"/>
        <v>45979</v>
      </c>
      <c r="B37" s="19" t="e" cm="1">
        <f t="array" aca="1" ref="B37" ca="1">[1]!s_west_netprofit($B$1,2026,$A37,180,1000000)</f>
        <v>#NAME?</v>
      </c>
      <c r="C37" s="20" t="e" cm="1">
        <f t="array" aca="1" ref="C37" ca="1">[1]!s_dq_close($B$1,$A37,3)</f>
        <v>#NAME?</v>
      </c>
    </row>
    <row r="38" spans="1:3" ht="18">
      <c r="A38" s="21">
        <f t="shared" ca="1" si="0"/>
        <v>45972</v>
      </c>
      <c r="B38" s="19" t="e" cm="1">
        <f t="array" aca="1" ref="B38" ca="1">[1]!s_west_netprofit($B$1,2026,$A38,180,1000000)</f>
        <v>#NAME?</v>
      </c>
      <c r="C38" s="20" t="e" cm="1">
        <f t="array" aca="1" ref="C38" ca="1">[1]!s_dq_close($B$1,$A38,3)</f>
        <v>#NAME?</v>
      </c>
    </row>
    <row r="39" spans="1:3" ht="18">
      <c r="A39" s="21">
        <f t="shared" ca="1" si="0"/>
        <v>45965</v>
      </c>
      <c r="B39" s="19" t="e" cm="1">
        <f t="array" aca="1" ref="B39" ca="1">[1]!s_west_netprofit($B$1,2026,$A39,180,1000000)</f>
        <v>#NAME?</v>
      </c>
      <c r="C39" s="20" t="e" cm="1">
        <f t="array" aca="1" ref="C39" ca="1">[1]!s_dq_close($B$1,$A39,3)</f>
        <v>#NAME?</v>
      </c>
    </row>
    <row r="40" spans="1:3" ht="18">
      <c r="A40" s="21">
        <f t="shared" ca="1" si="0"/>
        <v>45958</v>
      </c>
      <c r="B40" s="19" t="e" cm="1">
        <f t="array" aca="1" ref="B40" ca="1">[1]!s_west_netprofit($B$1,2026,$A40,180,1000000)</f>
        <v>#NAME?</v>
      </c>
      <c r="C40" s="20" t="e" cm="1">
        <f t="array" aca="1" ref="C40" ca="1">[1]!s_dq_close($B$1,$A40,3)</f>
        <v>#NAME?</v>
      </c>
    </row>
    <row r="41" spans="1:3" ht="18">
      <c r="A41" s="21">
        <f t="shared" ca="1" si="0"/>
        <v>45951</v>
      </c>
      <c r="B41" s="19" t="e" cm="1">
        <f t="array" aca="1" ref="B41" ca="1">[1]!s_west_netprofit($B$1,2026,$A41,180,1000000)</f>
        <v>#NAME?</v>
      </c>
      <c r="C41" s="20" t="e" cm="1">
        <f t="array" aca="1" ref="C41" ca="1">[1]!s_dq_close($B$1,$A41,3)</f>
        <v>#NAME?</v>
      </c>
    </row>
    <row r="42" spans="1:3" ht="18">
      <c r="A42" s="21">
        <f t="shared" ca="1" si="0"/>
        <v>45944</v>
      </c>
      <c r="B42" s="19" t="e" cm="1">
        <f t="array" aca="1" ref="B42" ca="1">[1]!s_west_netprofit($B$1,2026,$A42,180,1000000)</f>
        <v>#NAME?</v>
      </c>
      <c r="C42" s="20" t="e" cm="1">
        <f t="array" aca="1" ref="C42" ca="1">[1]!s_dq_close($B$1,$A42,3)</f>
        <v>#NAME?</v>
      </c>
    </row>
    <row r="43" spans="1:3" ht="18">
      <c r="A43" s="21">
        <f t="shared" ca="1" si="0"/>
        <v>45937</v>
      </c>
      <c r="B43" s="19" t="e" cm="1">
        <f t="array" aca="1" ref="B43" ca="1">[1]!s_west_netprofit($B$1,2026,$A43,180,1000000)</f>
        <v>#NAME?</v>
      </c>
      <c r="C43" s="20" t="e" cm="1">
        <f t="array" aca="1" ref="C43" ca="1">[1]!s_dq_close($B$1,$A43,3)</f>
        <v>#NAME?</v>
      </c>
    </row>
    <row r="44" spans="1:3" ht="18">
      <c r="A44" s="21">
        <f t="shared" ca="1" si="0"/>
        <v>45930</v>
      </c>
      <c r="B44" s="19" t="e" cm="1">
        <f t="array" aca="1" ref="B44" ca="1">[1]!s_west_netprofit($B$1,2026,$A44,180,1000000)</f>
        <v>#NAME?</v>
      </c>
      <c r="C44" s="20" t="e" cm="1">
        <f t="array" aca="1" ref="C44" ca="1">[1]!s_dq_close($B$1,$A44,3)</f>
        <v>#NAME?</v>
      </c>
    </row>
    <row r="45" spans="1:3" ht="18">
      <c r="A45" s="21">
        <f t="shared" ca="1" si="0"/>
        <v>45923</v>
      </c>
      <c r="B45" s="19" t="e" cm="1">
        <f t="array" aca="1" ref="B45" ca="1">[1]!s_west_netprofit($B$1,2026,$A45,180,1000000)</f>
        <v>#NAME?</v>
      </c>
      <c r="C45" s="20" t="e" cm="1">
        <f t="array" aca="1" ref="C45" ca="1">[1]!s_dq_close($B$1,$A45,3)</f>
        <v>#NAME?</v>
      </c>
    </row>
    <row r="46" spans="1:3" ht="18">
      <c r="A46" s="21">
        <f t="shared" ca="1" si="0"/>
        <v>45916</v>
      </c>
      <c r="B46" s="19" t="e" cm="1">
        <f t="array" aca="1" ref="B46" ca="1">[1]!s_west_netprofit($B$1,2026,$A46,180,1000000)</f>
        <v>#NAME?</v>
      </c>
      <c r="C46" s="20" t="e" cm="1">
        <f t="array" aca="1" ref="C46" ca="1">[1]!s_dq_close($B$1,$A46,3)</f>
        <v>#NAME?</v>
      </c>
    </row>
    <row r="47" spans="1:3" ht="18">
      <c r="A47" s="21">
        <f t="shared" ca="1" si="0"/>
        <v>45909</v>
      </c>
      <c r="B47" s="19" t="e" cm="1">
        <f t="array" aca="1" ref="B47" ca="1">[1]!s_west_netprofit($B$1,2026,$A47,180,1000000)</f>
        <v>#NAME?</v>
      </c>
      <c r="C47" s="20" t="e" cm="1">
        <f t="array" aca="1" ref="C47" ca="1">[1]!s_dq_close($B$1,$A47,3)</f>
        <v>#NAME?</v>
      </c>
    </row>
    <row r="48" spans="1:3" ht="18">
      <c r="A48" s="21">
        <f t="shared" ca="1" si="0"/>
        <v>45902</v>
      </c>
      <c r="B48" s="19" t="e" cm="1">
        <f t="array" aca="1" ref="B48" ca="1">[1]!s_west_netprofit($B$1,2026,$A48,180,1000000)</f>
        <v>#NAME?</v>
      </c>
      <c r="C48" s="20" t="e" cm="1">
        <f t="array" aca="1" ref="C48" ca="1">[1]!s_dq_close($B$1,$A48,3)</f>
        <v>#NAME?</v>
      </c>
    </row>
    <row r="49" spans="1:3" ht="18">
      <c r="A49" s="21">
        <f t="shared" ca="1" si="0"/>
        <v>45895</v>
      </c>
      <c r="B49" s="19" t="e" cm="1">
        <f t="array" aca="1" ref="B49" ca="1">[1]!s_west_netprofit($B$1,2026,$A49,180,1000000)</f>
        <v>#NAME?</v>
      </c>
      <c r="C49" s="20" t="e" cm="1">
        <f t="array" aca="1" ref="C49" ca="1">[1]!s_dq_close($B$1,$A49,3)</f>
        <v>#NAME?</v>
      </c>
    </row>
    <row r="50" spans="1:3" ht="18">
      <c r="A50" s="21">
        <f t="shared" ca="1" si="0"/>
        <v>45888</v>
      </c>
      <c r="B50" s="19" t="e" cm="1">
        <f t="array" aca="1" ref="B50" ca="1">[1]!s_west_netprofit($B$1,2026,$A50,180,1000000)</f>
        <v>#NAME?</v>
      </c>
      <c r="C50" s="20" t="e" cm="1">
        <f t="array" aca="1" ref="C50" ca="1">[1]!s_dq_close($B$1,$A50,3)</f>
        <v>#NAME?</v>
      </c>
    </row>
    <row r="51" spans="1:3" ht="18">
      <c r="A51" s="21">
        <f t="shared" ca="1" si="0"/>
        <v>45881</v>
      </c>
      <c r="B51" s="19" t="e" cm="1">
        <f t="array" aca="1" ref="B51" ca="1">[1]!s_west_netprofit($B$1,2026,$A51,180,1000000)</f>
        <v>#NAME?</v>
      </c>
      <c r="C51" s="20" t="e" cm="1">
        <f t="array" aca="1" ref="C51" ca="1">[1]!s_dq_close($B$1,$A51,3)</f>
        <v>#NAME?</v>
      </c>
    </row>
    <row r="52" spans="1:3" ht="18">
      <c r="A52" s="21">
        <f t="shared" ca="1" si="0"/>
        <v>45874</v>
      </c>
      <c r="B52" s="19" t="e" cm="1">
        <f t="array" aca="1" ref="B52" ca="1">[1]!s_west_netprofit($B$1,2026,$A52,180,1000000)</f>
        <v>#NAME?</v>
      </c>
      <c r="C52" s="20" t="e" cm="1">
        <f t="array" aca="1" ref="C52" ca="1">[1]!s_dq_close($B$1,$A52,3)</f>
        <v>#NAME?</v>
      </c>
    </row>
    <row r="53" spans="1:3" ht="18">
      <c r="A53" s="21">
        <f t="shared" ca="1" si="0"/>
        <v>45867</v>
      </c>
      <c r="B53" s="19" t="e" cm="1">
        <f t="array" aca="1" ref="B53" ca="1">[1]!s_west_netprofit($B$1,2026,$A53,180,1000000)</f>
        <v>#NAME?</v>
      </c>
      <c r="C53" s="20" t="e" cm="1">
        <f t="array" aca="1" ref="C53" ca="1">[1]!s_dq_close($B$1,$A53,3)</f>
        <v>#NAME?</v>
      </c>
    </row>
    <row r="54" spans="1:3" ht="18">
      <c r="A54" s="21">
        <f t="shared" ca="1" si="0"/>
        <v>45860</v>
      </c>
      <c r="B54" s="19" t="e" cm="1">
        <f t="array" aca="1" ref="B54" ca="1">[1]!s_west_netprofit($B$1,2026,$A54,180,1000000)</f>
        <v>#NAME?</v>
      </c>
      <c r="C54" s="20" t="e" cm="1">
        <f t="array" aca="1" ref="C54" ca="1">[1]!s_dq_close($B$1,$A54,3)</f>
        <v>#NAME?</v>
      </c>
    </row>
    <row r="55" spans="1:3" ht="18">
      <c r="A55" s="21">
        <f t="shared" ca="1" si="0"/>
        <v>45853</v>
      </c>
      <c r="B55" s="19" t="e" cm="1">
        <f t="array" aca="1" ref="B55" ca="1">[1]!s_west_netprofit($B$1,2026,$A55,180,1000000)</f>
        <v>#NAME?</v>
      </c>
      <c r="C55" s="20" t="e" cm="1">
        <f t="array" aca="1" ref="C55" ca="1">[1]!s_dq_close($B$1,$A55,3)</f>
        <v>#NAME?</v>
      </c>
    </row>
    <row r="56" spans="1:3" ht="18">
      <c r="A56" s="21">
        <f t="shared" ca="1" si="0"/>
        <v>45846</v>
      </c>
      <c r="B56" s="19" t="e" cm="1">
        <f t="array" aca="1" ref="B56" ca="1">[1]!s_west_netprofit($B$1,2026,$A56,180,1000000)</f>
        <v>#NAME?</v>
      </c>
      <c r="C56" s="20" t="e" cm="1">
        <f t="array" aca="1" ref="C56" ca="1">[1]!s_dq_close($B$1,$A56,3)</f>
        <v>#NAME?</v>
      </c>
    </row>
    <row r="57" spans="1:3" ht="18">
      <c r="A57" s="21">
        <f t="shared" ca="1" si="0"/>
        <v>45839</v>
      </c>
      <c r="B57" s="19" t="e" cm="1">
        <f t="array" aca="1" ref="B57" ca="1">[1]!s_west_netprofit($B$1,2026,$A57,180,1000000)</f>
        <v>#NAME?</v>
      </c>
      <c r="C57" s="20" t="e" cm="1">
        <f t="array" aca="1" ref="C57" ca="1">[1]!s_dq_close($B$1,$A57,3)</f>
        <v>#NAME?</v>
      </c>
    </row>
    <row r="58" spans="1:3" ht="18">
      <c r="A58" s="21">
        <f t="shared" ca="1" si="0"/>
        <v>45832</v>
      </c>
      <c r="B58" s="19" t="e" cm="1">
        <f t="array" aca="1" ref="B58" ca="1">[1]!s_west_netprofit($B$1,2026,$A58,180,1000000)</f>
        <v>#NAME?</v>
      </c>
      <c r="C58" s="20" t="e" cm="1">
        <f t="array" aca="1" ref="C58" ca="1">[1]!s_dq_close($B$1,$A58,3)</f>
        <v>#NAME?</v>
      </c>
    </row>
    <row r="59" spans="1:3" ht="18">
      <c r="A59" s="21">
        <f t="shared" ca="1" si="0"/>
        <v>45825</v>
      </c>
      <c r="B59" s="19" t="e" cm="1">
        <f t="array" aca="1" ref="B59" ca="1">[1]!s_west_netprofit($B$1,2026,$A59,180,1000000)</f>
        <v>#NAME?</v>
      </c>
      <c r="C59" s="20" t="e" cm="1">
        <f t="array" aca="1" ref="C59" ca="1">[1]!s_dq_close($B$1,$A59,3)</f>
        <v>#NAME?</v>
      </c>
    </row>
    <row r="60" spans="1:3" ht="18">
      <c r="A60" s="21">
        <f t="shared" ca="1" si="0"/>
        <v>45818</v>
      </c>
      <c r="B60" s="19" t="e" cm="1">
        <f t="array" aca="1" ref="B60" ca="1">[1]!s_west_netprofit($B$1,2026,$A60,180,1000000)</f>
        <v>#NAME?</v>
      </c>
      <c r="C60" s="20" t="e" cm="1">
        <f t="array" aca="1" ref="C60" ca="1">[1]!s_dq_close($B$1,$A60,3)</f>
        <v>#NAME?</v>
      </c>
    </row>
    <row r="61" spans="1:3" ht="18">
      <c r="A61" s="21">
        <f t="shared" ca="1" si="0"/>
        <v>45811</v>
      </c>
      <c r="B61" s="19" t="e" cm="1">
        <f t="array" aca="1" ref="B61" ca="1">[1]!s_west_netprofit($B$1,2026,$A61,180,1000000)</f>
        <v>#NAME?</v>
      </c>
      <c r="C61" s="20" t="e" cm="1">
        <f t="array" aca="1" ref="C61" ca="1">[1]!s_dq_close($B$1,$A61,3)</f>
        <v>#NAME?</v>
      </c>
    </row>
    <row r="62" spans="1:3" ht="18">
      <c r="A62" s="21">
        <f t="shared" ca="1" si="0"/>
        <v>45804</v>
      </c>
      <c r="B62" s="19" t="e" cm="1">
        <f t="array" aca="1" ref="B62" ca="1">[1]!s_west_netprofit($B$1,2026,$A62,180,1000000)</f>
        <v>#NAME?</v>
      </c>
      <c r="C62" s="20" t="e" cm="1">
        <f t="array" aca="1" ref="C62" ca="1">[1]!s_dq_close($B$1,$A62,3)</f>
        <v>#NAME?</v>
      </c>
    </row>
    <row r="63" spans="1:3" ht="18">
      <c r="A63" s="21">
        <f t="shared" ca="1" si="0"/>
        <v>45797</v>
      </c>
      <c r="B63" s="19" t="e" cm="1">
        <f t="array" aca="1" ref="B63" ca="1">[1]!s_west_netprofit($B$1,2026,$A63,180,1000000)</f>
        <v>#NAME?</v>
      </c>
      <c r="C63" s="20" t="e" cm="1">
        <f t="array" aca="1" ref="C63" ca="1">[1]!s_dq_close($B$1,$A63,3)</f>
        <v>#NAME?</v>
      </c>
    </row>
    <row r="64" spans="1:3" ht="18">
      <c r="A64" s="21">
        <f t="shared" ca="1" si="0"/>
        <v>45790</v>
      </c>
      <c r="B64" s="19" t="e" cm="1">
        <f t="array" aca="1" ref="B64" ca="1">[1]!s_west_netprofit($B$1,2026,$A64,180,1000000)</f>
        <v>#NAME?</v>
      </c>
      <c r="C64" s="20" t="e" cm="1">
        <f t="array" aca="1" ref="C64" ca="1">[1]!s_dq_close($B$1,$A64,3)</f>
        <v>#NAME?</v>
      </c>
    </row>
    <row r="65" spans="1:3" ht="18">
      <c r="A65" s="21">
        <f t="shared" ca="1" si="0"/>
        <v>45783</v>
      </c>
      <c r="B65" s="19" t="e" cm="1">
        <f t="array" aca="1" ref="B65" ca="1">[1]!s_west_netprofit($B$1,2026,$A65,180,1000000)</f>
        <v>#NAME?</v>
      </c>
      <c r="C65" s="20" t="e" cm="1">
        <f t="array" aca="1" ref="C65" ca="1">[1]!s_dq_close($B$1,$A65,3)</f>
        <v>#NAME?</v>
      </c>
    </row>
    <row r="66" spans="1:3" ht="18">
      <c r="A66" s="21">
        <f t="shared" ca="1" si="0"/>
        <v>45776</v>
      </c>
      <c r="B66" s="19" t="e" cm="1">
        <f t="array" aca="1" ref="B66" ca="1">[1]!s_west_netprofit($B$1,2026,$A66,180,1000000)</f>
        <v>#NAME?</v>
      </c>
      <c r="C66" s="20" t="e" cm="1">
        <f t="array" aca="1" ref="C66" ca="1">[1]!s_dq_close($B$1,$A66,3)</f>
        <v>#NAME?</v>
      </c>
    </row>
    <row r="67" spans="1:3" ht="18">
      <c r="A67" s="21">
        <f t="shared" ca="1" si="0"/>
        <v>45769</v>
      </c>
      <c r="B67" s="19" t="e" cm="1">
        <f t="array" aca="1" ref="B67" ca="1">[1]!s_west_netprofit($B$1,2026,$A67,180,1000000)</f>
        <v>#NAME?</v>
      </c>
      <c r="C67" s="20" t="e" cm="1">
        <f t="array" aca="1" ref="C67" ca="1">[1]!s_dq_close($B$1,$A67,3)</f>
        <v>#NAME?</v>
      </c>
    </row>
    <row r="68" spans="1:3" ht="18">
      <c r="A68" s="21">
        <f t="shared" ca="1" si="0"/>
        <v>45762</v>
      </c>
      <c r="B68" s="19" t="e" cm="1">
        <f t="array" aca="1" ref="B68" ca="1">[1]!s_west_netprofit($B$1,2026,$A68,180,1000000)</f>
        <v>#NAME?</v>
      </c>
      <c r="C68" s="20" t="e" cm="1">
        <f t="array" aca="1" ref="C68" ca="1">[1]!s_dq_close($B$1,$A68,3)</f>
        <v>#NAME?</v>
      </c>
    </row>
    <row r="69" spans="1:3" ht="18">
      <c r="A69" s="21">
        <f t="shared" ca="1" si="0"/>
        <v>45755</v>
      </c>
      <c r="B69" s="19" t="e" cm="1">
        <f t="array" aca="1" ref="B69" ca="1">[1]!s_west_netprofit($B$1,2026,$A69,180,1000000)</f>
        <v>#NAME?</v>
      </c>
      <c r="C69" s="20" t="e" cm="1">
        <f t="array" aca="1" ref="C69" ca="1">[1]!s_dq_close($B$1,$A69,3)</f>
        <v>#NAME?</v>
      </c>
    </row>
    <row r="70" spans="1:3" ht="18">
      <c r="A70" s="21">
        <f t="shared" ca="1" si="0"/>
        <v>45748</v>
      </c>
      <c r="B70" s="19" t="e" cm="1">
        <f t="array" aca="1" ref="B70" ca="1">[1]!s_west_netprofit($B$1,2026,$A70,180,1000000)</f>
        <v>#NAME?</v>
      </c>
      <c r="C70" s="20" t="e" cm="1">
        <f t="array" aca="1" ref="C70" ca="1">[1]!s_dq_close($B$1,$A70,3)</f>
        <v>#NAME?</v>
      </c>
    </row>
    <row r="71" spans="1:3" ht="18">
      <c r="A71" s="21">
        <f t="shared" ca="1" si="0"/>
        <v>45741</v>
      </c>
      <c r="B71" s="19" t="e" cm="1">
        <f t="array" aca="1" ref="B71" ca="1">[1]!s_west_netprofit($B$1,2026,$A71,180,1000000)</f>
        <v>#NAME?</v>
      </c>
      <c r="C71" s="20" t="e" cm="1">
        <f t="array" aca="1" ref="C71" ca="1">[1]!s_dq_close($B$1,$A71,3)</f>
        <v>#NAME?</v>
      </c>
    </row>
    <row r="72" spans="1:3" ht="18">
      <c r="A72" s="21">
        <f t="shared" ca="1" si="0"/>
        <v>45734</v>
      </c>
      <c r="B72" s="19" t="e" cm="1">
        <f t="array" aca="1" ref="B72" ca="1">[1]!s_west_netprofit($B$1,2026,$A72,180,1000000)</f>
        <v>#NAME?</v>
      </c>
      <c r="C72" s="20" t="e" cm="1">
        <f t="array" aca="1" ref="C72" ca="1">[1]!s_dq_close($B$1,$A72,3)</f>
        <v>#NAME?</v>
      </c>
    </row>
    <row r="73" spans="1:3" ht="18">
      <c r="A73" s="21">
        <f t="shared" ca="1" si="0"/>
        <v>45727</v>
      </c>
      <c r="B73" s="19" t="e" cm="1">
        <f t="array" aca="1" ref="B73" ca="1">[1]!s_west_netprofit($B$1,2026,$A73,180,1000000)</f>
        <v>#NAME?</v>
      </c>
      <c r="C73" s="20" t="e" cm="1">
        <f t="array" aca="1" ref="C73" ca="1">[1]!s_dq_close($B$1,$A73,3)</f>
        <v>#NAME?</v>
      </c>
    </row>
    <row r="74" spans="1:3" ht="18">
      <c r="A74" s="21">
        <f t="shared" ca="1" si="0"/>
        <v>45720</v>
      </c>
      <c r="B74" s="19" t="e" cm="1">
        <f t="array" aca="1" ref="B74" ca="1">[1]!s_west_netprofit($B$1,2026,$A74,180,1000000)</f>
        <v>#NAME?</v>
      </c>
      <c r="C74" s="20" t="e" cm="1">
        <f t="array" aca="1" ref="C74" ca="1">[1]!s_dq_close($B$1,$A74,3)</f>
        <v>#NAME?</v>
      </c>
    </row>
    <row r="75" spans="1:3" ht="18">
      <c r="A75" s="21">
        <f t="shared" ca="1" si="0"/>
        <v>45713</v>
      </c>
      <c r="B75" s="19" t="e" cm="1">
        <f t="array" aca="1" ref="B75" ca="1">[1]!s_west_netprofit($B$1,2026,$A75,180,1000000)</f>
        <v>#NAME?</v>
      </c>
      <c r="C75" s="20" t="e" cm="1">
        <f t="array" aca="1" ref="C75" ca="1">[1]!s_dq_close($B$1,$A75,3)</f>
        <v>#NAME?</v>
      </c>
    </row>
    <row r="76" spans="1:3" ht="18">
      <c r="A76" s="21">
        <f t="shared" ref="A76:A99" ca="1" si="1">A75-7</f>
        <v>45706</v>
      </c>
      <c r="B76" s="19" t="e" cm="1">
        <f t="array" aca="1" ref="B76" ca="1">[1]!s_west_netprofit($B$1,2026,$A76,180,1000000)</f>
        <v>#NAME?</v>
      </c>
      <c r="C76" s="20" t="e" cm="1">
        <f t="array" aca="1" ref="C76" ca="1">[1]!s_dq_close($B$1,$A76,3)</f>
        <v>#NAME?</v>
      </c>
    </row>
    <row r="77" spans="1:3" ht="18">
      <c r="A77" s="21">
        <f t="shared" ca="1" si="1"/>
        <v>45699</v>
      </c>
      <c r="B77" s="19" t="e" cm="1">
        <f t="array" aca="1" ref="B77" ca="1">[1]!s_west_netprofit($B$1,2026,$A77,180,1000000)</f>
        <v>#NAME?</v>
      </c>
      <c r="C77" s="20" t="e" cm="1">
        <f t="array" aca="1" ref="C77" ca="1">[1]!s_dq_close($B$1,$A77,3)</f>
        <v>#NAME?</v>
      </c>
    </row>
    <row r="78" spans="1:3" ht="18">
      <c r="A78" s="21">
        <f t="shared" ca="1" si="1"/>
        <v>45692</v>
      </c>
      <c r="B78" s="19" t="e" cm="1">
        <f t="array" aca="1" ref="B78" ca="1">[1]!s_west_netprofit($B$1,2026,$A78,180,1000000)</f>
        <v>#NAME?</v>
      </c>
      <c r="C78" s="20" t="e" cm="1">
        <f t="array" aca="1" ref="C78" ca="1">[1]!s_dq_close($B$1,$A78,3)</f>
        <v>#NAME?</v>
      </c>
    </row>
    <row r="79" spans="1:3" ht="18">
      <c r="A79" s="21">
        <f t="shared" ca="1" si="1"/>
        <v>45685</v>
      </c>
      <c r="B79" s="19" t="e" cm="1">
        <f t="array" aca="1" ref="B79" ca="1">[1]!s_west_netprofit($B$1,2026,$A79,180,1000000)</f>
        <v>#NAME?</v>
      </c>
      <c r="C79" s="20" t="e" cm="1">
        <f t="array" aca="1" ref="C79" ca="1">[1]!s_dq_close($B$1,$A79,3)</f>
        <v>#NAME?</v>
      </c>
    </row>
    <row r="80" spans="1:3" ht="18">
      <c r="A80" s="21">
        <f t="shared" ca="1" si="1"/>
        <v>45678</v>
      </c>
      <c r="B80" s="19" t="e" cm="1">
        <f t="array" aca="1" ref="B80" ca="1">[1]!s_west_netprofit($B$1,2026,$A80,180,1000000)</f>
        <v>#NAME?</v>
      </c>
      <c r="C80" s="20" t="e" cm="1">
        <f t="array" aca="1" ref="C80" ca="1">[1]!s_dq_close($B$1,$A80,3)</f>
        <v>#NAME?</v>
      </c>
    </row>
    <row r="81" spans="1:3" ht="18">
      <c r="A81" s="21">
        <f t="shared" ca="1" si="1"/>
        <v>45671</v>
      </c>
      <c r="B81" s="19" t="e" cm="1">
        <f t="array" aca="1" ref="B81" ca="1">[1]!s_west_netprofit($B$1,2026,$A81,180,1000000)</f>
        <v>#NAME?</v>
      </c>
      <c r="C81" s="20" t="e" cm="1">
        <f t="array" aca="1" ref="C81" ca="1">[1]!s_dq_close($B$1,$A81,3)</f>
        <v>#NAME?</v>
      </c>
    </row>
    <row r="82" spans="1:3" ht="18">
      <c r="A82" s="21">
        <f t="shared" ca="1" si="1"/>
        <v>45664</v>
      </c>
      <c r="B82" s="19" t="e" cm="1">
        <f t="array" aca="1" ref="B82" ca="1">[1]!s_west_netprofit($B$1,2026,$A82,180,1000000)</f>
        <v>#NAME?</v>
      </c>
      <c r="C82" s="20" t="e" cm="1">
        <f t="array" aca="1" ref="C82" ca="1">[1]!s_dq_close($B$1,$A82,3)</f>
        <v>#NAME?</v>
      </c>
    </row>
    <row r="83" spans="1:3" ht="18">
      <c r="A83" s="21">
        <f t="shared" ca="1" si="1"/>
        <v>45657</v>
      </c>
      <c r="B83" s="19" t="e" cm="1">
        <f t="array" aca="1" ref="B83" ca="1">[1]!s_west_netprofit($B$1,2026,$A83,180,1000000)</f>
        <v>#NAME?</v>
      </c>
      <c r="C83" s="20" t="e" cm="1">
        <f t="array" aca="1" ref="C83" ca="1">[1]!s_dq_close($B$1,$A83,3)</f>
        <v>#NAME?</v>
      </c>
    </row>
    <row r="84" spans="1:3" ht="18">
      <c r="A84" s="21">
        <f t="shared" ca="1" si="1"/>
        <v>45650</v>
      </c>
      <c r="B84" s="19" t="e" cm="1">
        <f t="array" aca="1" ref="B84" ca="1">[1]!s_west_netprofit($B$1,2026,$A84,180,1000000)</f>
        <v>#NAME?</v>
      </c>
      <c r="C84" s="20" t="e" cm="1">
        <f t="array" aca="1" ref="C84" ca="1">[1]!s_dq_close($B$1,$A84,3)</f>
        <v>#NAME?</v>
      </c>
    </row>
    <row r="85" spans="1:3" ht="18">
      <c r="A85" s="21">
        <f t="shared" ca="1" si="1"/>
        <v>45643</v>
      </c>
      <c r="B85" s="19" t="e" cm="1">
        <f t="array" aca="1" ref="B85" ca="1">[1]!s_west_netprofit($B$1,2026,$A85,180,1000000)</f>
        <v>#NAME?</v>
      </c>
      <c r="C85" s="20" t="e" cm="1">
        <f t="array" aca="1" ref="C85" ca="1">[1]!s_dq_close($B$1,$A85,3)</f>
        <v>#NAME?</v>
      </c>
    </row>
    <row r="86" spans="1:3" ht="18">
      <c r="A86" s="21">
        <f t="shared" ca="1" si="1"/>
        <v>45636</v>
      </c>
      <c r="B86" s="19" t="e" cm="1">
        <f t="array" aca="1" ref="B86" ca="1">[1]!s_west_netprofit($B$1,2026,$A86,180,1000000)</f>
        <v>#NAME?</v>
      </c>
      <c r="C86" s="20" t="e" cm="1">
        <f t="array" aca="1" ref="C86" ca="1">[1]!s_dq_close($B$1,$A86,3)</f>
        <v>#NAME?</v>
      </c>
    </row>
    <row r="87" spans="1:3" ht="18">
      <c r="A87" s="21">
        <f t="shared" ca="1" si="1"/>
        <v>45629</v>
      </c>
      <c r="B87" s="19" t="e" cm="1">
        <f t="array" aca="1" ref="B87" ca="1">[1]!s_west_netprofit($B$1,2026,$A87,180,1000000)</f>
        <v>#NAME?</v>
      </c>
      <c r="C87" s="20" t="e" cm="1">
        <f t="array" aca="1" ref="C87" ca="1">[1]!s_dq_close($B$1,$A87,3)</f>
        <v>#NAME?</v>
      </c>
    </row>
    <row r="88" spans="1:3" ht="18">
      <c r="A88" s="21">
        <f t="shared" ca="1" si="1"/>
        <v>45622</v>
      </c>
      <c r="B88" s="19" t="e" cm="1">
        <f t="array" aca="1" ref="B88" ca="1">[1]!s_west_netprofit($B$1,2026,$A88,180,1000000)</f>
        <v>#NAME?</v>
      </c>
      <c r="C88" s="20" t="e" cm="1">
        <f t="array" aca="1" ref="C88" ca="1">[1]!s_dq_close($B$1,$A88,3)</f>
        <v>#NAME?</v>
      </c>
    </row>
    <row r="89" spans="1:3" ht="18">
      <c r="A89" s="21">
        <f t="shared" ca="1" si="1"/>
        <v>45615</v>
      </c>
      <c r="B89" s="19" t="e" cm="1">
        <f t="array" aca="1" ref="B89" ca="1">[1]!s_west_netprofit($B$1,2026,$A89,180,1000000)</f>
        <v>#NAME?</v>
      </c>
      <c r="C89" s="20" t="e" cm="1">
        <f t="array" aca="1" ref="C89" ca="1">[1]!s_dq_close($B$1,$A89,3)</f>
        <v>#NAME?</v>
      </c>
    </row>
    <row r="90" spans="1:3" ht="18">
      <c r="A90" s="21">
        <f t="shared" ca="1" si="1"/>
        <v>45608</v>
      </c>
      <c r="B90" s="19" t="e" cm="1">
        <f t="array" aca="1" ref="B90" ca="1">[1]!s_west_netprofit($B$1,2026,$A90,180,1000000)</f>
        <v>#NAME?</v>
      </c>
      <c r="C90" s="20" t="e" cm="1">
        <f t="array" aca="1" ref="C90" ca="1">[1]!s_dq_close($B$1,$A90,3)</f>
        <v>#NAME?</v>
      </c>
    </row>
    <row r="91" spans="1:3" ht="18">
      <c r="A91" s="21">
        <f t="shared" ca="1" si="1"/>
        <v>45601</v>
      </c>
      <c r="B91" s="19" t="e" cm="1">
        <f t="array" aca="1" ref="B91" ca="1">[1]!s_west_netprofit($B$1,2026,$A91,180,1000000)</f>
        <v>#NAME?</v>
      </c>
      <c r="C91" s="20" t="e" cm="1">
        <f t="array" aca="1" ref="C91" ca="1">[1]!s_dq_close($B$1,$A91,3)</f>
        <v>#NAME?</v>
      </c>
    </row>
    <row r="92" spans="1:3" ht="18">
      <c r="A92" s="21">
        <f t="shared" ca="1" si="1"/>
        <v>45594</v>
      </c>
      <c r="B92" s="19" t="e" cm="1">
        <f t="array" aca="1" ref="B92" ca="1">[1]!s_west_netprofit($B$1,2026,$A92,180,1000000)</f>
        <v>#NAME?</v>
      </c>
      <c r="C92" s="20" t="e" cm="1">
        <f t="array" aca="1" ref="C92" ca="1">[1]!s_dq_close($B$1,$A92,3)</f>
        <v>#NAME?</v>
      </c>
    </row>
    <row r="93" spans="1:3" ht="18">
      <c r="A93" s="21">
        <f t="shared" ca="1" si="1"/>
        <v>45587</v>
      </c>
      <c r="B93" s="19" t="e" cm="1">
        <f t="array" aca="1" ref="B93" ca="1">[1]!s_west_netprofit($B$1,2026,$A93,180,1000000)</f>
        <v>#NAME?</v>
      </c>
      <c r="C93" s="20" t="e" cm="1">
        <f t="array" aca="1" ref="C93" ca="1">[1]!s_dq_close($B$1,$A93,3)</f>
        <v>#NAME?</v>
      </c>
    </row>
    <row r="94" spans="1:3" ht="18">
      <c r="A94" s="21">
        <f t="shared" ca="1" si="1"/>
        <v>45580</v>
      </c>
      <c r="B94" s="19" t="e" cm="1">
        <f t="array" aca="1" ref="B94" ca="1">[1]!s_west_netprofit($B$1,2026,$A94,180,1000000)</f>
        <v>#NAME?</v>
      </c>
      <c r="C94" s="20" t="e" cm="1">
        <f t="array" aca="1" ref="C94" ca="1">[1]!s_dq_close($B$1,$A94,3)</f>
        <v>#NAME?</v>
      </c>
    </row>
    <row r="95" spans="1:3" ht="18">
      <c r="A95" s="21">
        <f t="shared" ca="1" si="1"/>
        <v>45573</v>
      </c>
      <c r="B95" s="19" t="e" cm="1">
        <f t="array" aca="1" ref="B95" ca="1">[1]!s_west_netprofit($B$1,2026,$A95,180,1000000)</f>
        <v>#NAME?</v>
      </c>
      <c r="C95" s="20" t="e" cm="1">
        <f t="array" aca="1" ref="C95" ca="1">[1]!s_dq_close($B$1,$A95,3)</f>
        <v>#NAME?</v>
      </c>
    </row>
    <row r="96" spans="1:3" ht="18">
      <c r="A96" s="21">
        <f t="shared" ca="1" si="1"/>
        <v>45566</v>
      </c>
      <c r="B96" s="19" t="e" cm="1">
        <f t="array" aca="1" ref="B96" ca="1">[1]!s_west_netprofit($B$1,2026,$A96,180,1000000)</f>
        <v>#NAME?</v>
      </c>
      <c r="C96" s="20" t="e" cm="1">
        <f t="array" aca="1" ref="C96" ca="1">[1]!s_dq_close($B$1,$A96,3)</f>
        <v>#NAME?</v>
      </c>
    </row>
    <row r="97" spans="1:3" ht="18">
      <c r="A97" s="21">
        <f t="shared" ca="1" si="1"/>
        <v>45559</v>
      </c>
      <c r="B97" s="19" t="e" cm="1">
        <f t="array" aca="1" ref="B97" ca="1">[1]!s_west_netprofit($B$1,2026,$A97,180,1000000)</f>
        <v>#NAME?</v>
      </c>
      <c r="C97" s="20" t="e" cm="1">
        <f t="array" aca="1" ref="C97" ca="1">[1]!s_dq_close($B$1,$A97,3)</f>
        <v>#NAME?</v>
      </c>
    </row>
    <row r="98" spans="1:3" ht="18">
      <c r="A98" s="21">
        <f t="shared" ca="1" si="1"/>
        <v>45552</v>
      </c>
      <c r="B98" s="19" t="e" cm="1">
        <f t="array" aca="1" ref="B98" ca="1">[1]!s_west_netprofit($B$1,2026,$A98,180,1000000)</f>
        <v>#NAME?</v>
      </c>
      <c r="C98" s="20" t="e" cm="1">
        <f t="array" aca="1" ref="C98" ca="1">[1]!s_dq_close($B$1,$A98,3)</f>
        <v>#NAME?</v>
      </c>
    </row>
    <row r="99" spans="1:3" ht="19" thickBot="1">
      <c r="A99" s="22">
        <f t="shared" ca="1" si="1"/>
        <v>45545</v>
      </c>
      <c r="B99" s="23" t="e" cm="1">
        <f t="array" aca="1" ref="B99" ca="1">[1]!s_west_netprofit($B$1,2026,$A99,180,1000000)</f>
        <v>#NAME?</v>
      </c>
      <c r="C99" s="24" t="e" cm="1">
        <f t="array" aca="1" ref="C99" ca="1">[1]!s_dq_close($B$1,$A99,3)</f>
        <v>#NAME?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1DB45-0C28-2E46-9CC7-FD9E54EC84CE}">
  <dimension ref="A1:D99"/>
  <sheetViews>
    <sheetView workbookViewId="0">
      <selection sqref="A1:XFD1048576"/>
    </sheetView>
  </sheetViews>
  <sheetFormatPr baseColWidth="10" defaultColWidth="9.1640625" defaultRowHeight="16"/>
  <cols>
    <col min="1" max="1" width="36.33203125" customWidth="1"/>
    <col min="2" max="2" width="26" customWidth="1"/>
    <col min="3" max="3" width="40" customWidth="1"/>
    <col min="4" max="4" width="11" bestFit="1" customWidth="1"/>
  </cols>
  <sheetData>
    <row r="1" spans="1:4" ht="17" thickBot="1">
      <c r="A1" t="e">
        <f ca="1">[1]!S_INFO_NAME($B$1)</f>
        <v>#NAME?</v>
      </c>
      <c r="B1" s="1"/>
      <c r="C1" t="s">
        <v>0</v>
      </c>
      <c r="D1" s="2">
        <f ca="1">TODAY()</f>
        <v>46161</v>
      </c>
    </row>
    <row r="2" spans="1:4" s="6" customFormat="1" ht="18">
      <c r="A2" s="3" t="s">
        <v>4</v>
      </c>
      <c r="B2" s="4">
        <v>2025</v>
      </c>
      <c r="C2" s="5">
        <v>2026</v>
      </c>
    </row>
    <row r="3" spans="1:4" s="6" customFormat="1" ht="18">
      <c r="A3" s="7" t="s">
        <v>5</v>
      </c>
      <c r="B3" s="8" t="e">
        <f ca="1">[1]!s_west_instnum_np($B$1,2025,$D$1,180)</f>
        <v>#NAME?</v>
      </c>
      <c r="C3" s="9" t="e">
        <f ca="1">[1]!s_west_instnum_np($B$1,2026,$D$1,180)</f>
        <v>#NAME?</v>
      </c>
    </row>
    <row r="4" spans="1:4" s="6" customFormat="1" ht="18">
      <c r="A4" s="7" t="s">
        <v>2</v>
      </c>
      <c r="B4" s="10" t="e">
        <f ca="1">[1]!s_west_instnum_np($A$1,2025,$D$1,180)</f>
        <v>#NAME?</v>
      </c>
      <c r="C4" s="11" t="e">
        <f ca="1">[1]!s_west_netprofit($B$1,2026,$D$1,180,1000000)</f>
        <v>#NAME?</v>
      </c>
    </row>
    <row r="5" spans="1:4" s="6" customFormat="1" ht="18">
      <c r="A5" s="7" t="s">
        <v>6</v>
      </c>
      <c r="B5" s="10" t="e">
        <f ca="1">[1]!s_west_maxnetprofit($B$1,2025,$D$1,180,1000000)</f>
        <v>#NAME?</v>
      </c>
      <c r="C5" s="11" t="e">
        <f ca="1">[1]!s_west_maxnetprofit($B$1,2026,$D$1,180,1000000)</f>
        <v>#NAME?</v>
      </c>
    </row>
    <row r="6" spans="1:4" s="6" customFormat="1" ht="18">
      <c r="A6" s="7" t="s">
        <v>7</v>
      </c>
      <c r="B6" s="10" t="e">
        <f ca="1">[1]!s_west_minnetprofit($B$1,2025,$D$1,180,1000000)</f>
        <v>#NAME?</v>
      </c>
      <c r="C6" s="11" t="e">
        <f ca="1">[1]!s_west_minnetprofit($B$1,2026,$D$1,180,1000000)</f>
        <v>#NAME?</v>
      </c>
    </row>
    <row r="7" spans="1:4" s="6" customFormat="1" ht="18">
      <c r="A7" s="7" t="s">
        <v>8</v>
      </c>
      <c r="B7" s="10" t="e">
        <f ca="1">[1]!s_west_mediannetprofit($B$1,2025,$D$1,180,1000000)</f>
        <v>#NAME?</v>
      </c>
      <c r="C7" s="11" t="e">
        <f ca="1">[1]!s_west_mediannetprofit($B$1,2026,$D$1,180,1000000)</f>
        <v>#NAME?</v>
      </c>
    </row>
    <row r="8" spans="1:4" s="6" customFormat="1" ht="19" thickBot="1">
      <c r="A8" s="12" t="s">
        <v>9</v>
      </c>
      <c r="B8" s="13" t="e">
        <f ca="1">[1]!s_west_stdnetprofit($B$1,2025,$D$1,180,1000000)</f>
        <v>#NAME?</v>
      </c>
      <c r="C8" s="14" t="e">
        <f ca="1">[1]!s_west_stdnetprofit($B$1,2026,$D$1,180,1000000)</f>
        <v>#NAME?</v>
      </c>
    </row>
    <row r="10" spans="1:4">
      <c r="A10" s="15" t="s">
        <v>1</v>
      </c>
      <c r="B10" s="16" t="s">
        <v>2</v>
      </c>
      <c r="C10" s="17" t="s">
        <v>3</v>
      </c>
    </row>
    <row r="11" spans="1:4" ht="18">
      <c r="A11" s="18">
        <f ca="1">TODAY()-IF(WEEKDAY(TODAY(),2)=6,1,IF(WEEKDAY(TODAY(),2)=7,2,0))</f>
        <v>46161</v>
      </c>
      <c r="B11" s="19" t="e" cm="1">
        <f t="array" aca="1" ref="B11" ca="1">[1]!s_west_netprofit($B$1,2026,$A11,180,1000000)</f>
        <v>#NAME?</v>
      </c>
      <c r="C11" s="20" t="e" cm="1">
        <f t="array" aca="1" ref="C11" ca="1">[1]!s_dq_close($B$1,$A11,3)</f>
        <v>#NAME?</v>
      </c>
    </row>
    <row r="12" spans="1:4" ht="18">
      <c r="A12" s="21">
        <f t="shared" ref="A12:A75" ca="1" si="0">A11-7</f>
        <v>46154</v>
      </c>
      <c r="B12" s="19" t="e" cm="1">
        <f t="array" aca="1" ref="B12" ca="1">[1]!s_west_netprofit($B$1,2026,$A12,180,1000000)</f>
        <v>#NAME?</v>
      </c>
      <c r="C12" s="20" t="e" cm="1">
        <f t="array" aca="1" ref="C12" ca="1">[1]!s_dq_close($B$1,$A12,3)</f>
        <v>#NAME?</v>
      </c>
    </row>
    <row r="13" spans="1:4" ht="18">
      <c r="A13" s="21">
        <f t="shared" ca="1" si="0"/>
        <v>46147</v>
      </c>
      <c r="B13" s="19" t="e" cm="1">
        <f t="array" aca="1" ref="B13" ca="1">[1]!s_west_netprofit($B$1,2026,$A13,180,1000000)</f>
        <v>#NAME?</v>
      </c>
      <c r="C13" s="20" t="e" cm="1">
        <f t="array" aca="1" ref="C13" ca="1">[1]!s_dq_close($B$1,$A13,3)</f>
        <v>#NAME?</v>
      </c>
    </row>
    <row r="14" spans="1:4" ht="18">
      <c r="A14" s="21">
        <f t="shared" ca="1" si="0"/>
        <v>46140</v>
      </c>
      <c r="B14" s="19" t="e" cm="1">
        <f t="array" aca="1" ref="B14" ca="1">[1]!s_west_netprofit($B$1,2026,$A14,180,1000000)</f>
        <v>#NAME?</v>
      </c>
      <c r="C14" s="20" t="e" cm="1">
        <f t="array" aca="1" ref="C14" ca="1">[1]!s_dq_close($B$1,$A14,3)</f>
        <v>#NAME?</v>
      </c>
    </row>
    <row r="15" spans="1:4" ht="18">
      <c r="A15" s="21">
        <f t="shared" ca="1" si="0"/>
        <v>46133</v>
      </c>
      <c r="B15" s="19" t="e" cm="1">
        <f t="array" aca="1" ref="B15" ca="1">[1]!s_west_netprofit($B$1,2026,$A15,180,1000000)</f>
        <v>#NAME?</v>
      </c>
      <c r="C15" s="20" t="e" cm="1">
        <f t="array" aca="1" ref="C15" ca="1">[1]!s_dq_close($B$1,$A15,3)</f>
        <v>#NAME?</v>
      </c>
    </row>
    <row r="16" spans="1:4" ht="18">
      <c r="A16" s="21">
        <f t="shared" ca="1" si="0"/>
        <v>46126</v>
      </c>
      <c r="B16" s="19" t="e" cm="1">
        <f t="array" aca="1" ref="B16" ca="1">[1]!s_west_netprofit($B$1,2026,$A16,180,1000000)</f>
        <v>#NAME?</v>
      </c>
      <c r="C16" s="20" t="e" cm="1">
        <f t="array" aca="1" ref="C16" ca="1">[1]!s_dq_close($B$1,$A16,3)</f>
        <v>#NAME?</v>
      </c>
    </row>
    <row r="17" spans="1:3" ht="18">
      <c r="A17" s="21">
        <f t="shared" ca="1" si="0"/>
        <v>46119</v>
      </c>
      <c r="B17" s="19" t="e" cm="1">
        <f t="array" aca="1" ref="B17" ca="1">[1]!s_west_netprofit($B$1,2026,$A17,180,1000000)</f>
        <v>#NAME?</v>
      </c>
      <c r="C17" s="20" t="e" cm="1">
        <f t="array" aca="1" ref="C17" ca="1">[1]!s_dq_close($B$1,$A17,3)</f>
        <v>#NAME?</v>
      </c>
    </row>
    <row r="18" spans="1:3" ht="18">
      <c r="A18" s="21">
        <f t="shared" ca="1" si="0"/>
        <v>46112</v>
      </c>
      <c r="B18" s="19" t="e" cm="1">
        <f t="array" aca="1" ref="B18" ca="1">[1]!s_west_netprofit($B$1,2026,$A18,180,1000000)</f>
        <v>#NAME?</v>
      </c>
      <c r="C18" s="20" t="e" cm="1">
        <f t="array" aca="1" ref="C18" ca="1">[1]!s_dq_close($B$1,$A18,3)</f>
        <v>#NAME?</v>
      </c>
    </row>
    <row r="19" spans="1:3" ht="18">
      <c r="A19" s="21">
        <f t="shared" ca="1" si="0"/>
        <v>46105</v>
      </c>
      <c r="B19" s="19" t="e" cm="1">
        <f t="array" aca="1" ref="B19" ca="1">[1]!s_west_netprofit($B$1,2026,$A19,180,1000000)</f>
        <v>#NAME?</v>
      </c>
      <c r="C19" s="20" t="e" cm="1">
        <f t="array" aca="1" ref="C19" ca="1">[1]!s_dq_close($B$1,$A19,3)</f>
        <v>#NAME?</v>
      </c>
    </row>
    <row r="20" spans="1:3" ht="18">
      <c r="A20" s="21">
        <f t="shared" ca="1" si="0"/>
        <v>46098</v>
      </c>
      <c r="B20" s="19" t="e" cm="1">
        <f t="array" aca="1" ref="B20" ca="1">[1]!s_west_netprofit($B$1,2026,$A20,180,1000000)</f>
        <v>#NAME?</v>
      </c>
      <c r="C20" s="20" t="e" cm="1">
        <f t="array" aca="1" ref="C20" ca="1">[1]!s_dq_close($B$1,$A20,3)</f>
        <v>#NAME?</v>
      </c>
    </row>
    <row r="21" spans="1:3" ht="18">
      <c r="A21" s="21">
        <f t="shared" ca="1" si="0"/>
        <v>46091</v>
      </c>
      <c r="B21" s="19" t="e" cm="1">
        <f t="array" aca="1" ref="B21" ca="1">[1]!s_west_netprofit($B$1,2026,$A21,180,1000000)</f>
        <v>#NAME?</v>
      </c>
      <c r="C21" s="20" t="e" cm="1">
        <f t="array" aca="1" ref="C21" ca="1">[1]!s_dq_close($B$1,$A21,3)</f>
        <v>#NAME?</v>
      </c>
    </row>
    <row r="22" spans="1:3" ht="18">
      <c r="A22" s="21">
        <f t="shared" ca="1" si="0"/>
        <v>46084</v>
      </c>
      <c r="B22" s="19" t="e" cm="1">
        <f t="array" aca="1" ref="B22" ca="1">[1]!s_west_netprofit($B$1,2026,$A22,180,1000000)</f>
        <v>#NAME?</v>
      </c>
      <c r="C22" s="20" t="e" cm="1">
        <f t="array" aca="1" ref="C22" ca="1">[1]!s_dq_close($B$1,$A22,3)</f>
        <v>#NAME?</v>
      </c>
    </row>
    <row r="23" spans="1:3" ht="18">
      <c r="A23" s="21">
        <f t="shared" ca="1" si="0"/>
        <v>46077</v>
      </c>
      <c r="B23" s="19" t="e" cm="1">
        <f t="array" aca="1" ref="B23" ca="1">[1]!s_west_netprofit($B$1,2026,$A23,180,1000000)</f>
        <v>#NAME?</v>
      </c>
      <c r="C23" s="20" t="e" cm="1">
        <f t="array" aca="1" ref="C23" ca="1">[1]!s_dq_close($B$1,$A23,3)</f>
        <v>#NAME?</v>
      </c>
    </row>
    <row r="24" spans="1:3" ht="18">
      <c r="A24" s="21">
        <f t="shared" ca="1" si="0"/>
        <v>46070</v>
      </c>
      <c r="B24" s="19" t="e" cm="1">
        <f t="array" aca="1" ref="B24" ca="1">[1]!s_west_netprofit($B$1,2026,$A24,180,1000000)</f>
        <v>#NAME?</v>
      </c>
      <c r="C24" s="20" t="e" cm="1">
        <f t="array" aca="1" ref="C24" ca="1">[1]!s_dq_close($B$1,$A24,3)</f>
        <v>#NAME?</v>
      </c>
    </row>
    <row r="25" spans="1:3" ht="18">
      <c r="A25" s="21">
        <f t="shared" ca="1" si="0"/>
        <v>46063</v>
      </c>
      <c r="B25" s="19" t="e" cm="1">
        <f t="array" aca="1" ref="B25" ca="1">[1]!s_west_netprofit($B$1,2026,$A25,180,1000000)</f>
        <v>#NAME?</v>
      </c>
      <c r="C25" s="20" t="e" cm="1">
        <f t="array" aca="1" ref="C25" ca="1">[1]!s_dq_close($B$1,$A25,3)</f>
        <v>#NAME?</v>
      </c>
    </row>
    <row r="26" spans="1:3" ht="18">
      <c r="A26" s="21">
        <f t="shared" ca="1" si="0"/>
        <v>46056</v>
      </c>
      <c r="B26" s="19" t="e" cm="1">
        <f t="array" aca="1" ref="B26" ca="1">[1]!s_west_netprofit($B$1,2026,$A26,180,1000000)</f>
        <v>#NAME?</v>
      </c>
      <c r="C26" s="20" t="e" cm="1">
        <f t="array" aca="1" ref="C26" ca="1">[1]!s_dq_close($B$1,$A26,3)</f>
        <v>#NAME?</v>
      </c>
    </row>
    <row r="27" spans="1:3" ht="18">
      <c r="A27" s="21">
        <f t="shared" ca="1" si="0"/>
        <v>46049</v>
      </c>
      <c r="B27" s="19" t="e" cm="1">
        <f t="array" aca="1" ref="B27" ca="1">[1]!s_west_netprofit($B$1,2026,$A27,180,1000000)</f>
        <v>#NAME?</v>
      </c>
      <c r="C27" s="20" t="e" cm="1">
        <f t="array" aca="1" ref="C27" ca="1">[1]!s_dq_close($B$1,$A27,3)</f>
        <v>#NAME?</v>
      </c>
    </row>
    <row r="28" spans="1:3" ht="18">
      <c r="A28" s="21">
        <f t="shared" ca="1" si="0"/>
        <v>46042</v>
      </c>
      <c r="B28" s="19" t="e" cm="1">
        <f t="array" aca="1" ref="B28" ca="1">[1]!s_west_netprofit($B$1,2026,$A28,180,1000000)</f>
        <v>#NAME?</v>
      </c>
      <c r="C28" s="20" t="e" cm="1">
        <f t="array" aca="1" ref="C28" ca="1">[1]!s_dq_close($B$1,$A28,3)</f>
        <v>#NAME?</v>
      </c>
    </row>
    <row r="29" spans="1:3" ht="18">
      <c r="A29" s="21">
        <f t="shared" ca="1" si="0"/>
        <v>46035</v>
      </c>
      <c r="B29" s="19" t="e" cm="1">
        <f t="array" aca="1" ref="B29" ca="1">[1]!s_west_netprofit($B$1,2026,$A29,180,1000000)</f>
        <v>#NAME?</v>
      </c>
      <c r="C29" s="20" t="e" cm="1">
        <f t="array" aca="1" ref="C29" ca="1">[1]!s_dq_close($B$1,$A29,3)</f>
        <v>#NAME?</v>
      </c>
    </row>
    <row r="30" spans="1:3" ht="18">
      <c r="A30" s="21">
        <f t="shared" ca="1" si="0"/>
        <v>46028</v>
      </c>
      <c r="B30" s="19" t="e" cm="1">
        <f t="array" aca="1" ref="B30" ca="1">[1]!s_west_netprofit($B$1,2026,$A30,180,1000000)</f>
        <v>#NAME?</v>
      </c>
      <c r="C30" s="20" t="e" cm="1">
        <f t="array" aca="1" ref="C30" ca="1">[1]!s_dq_close($B$1,$A30,3)</f>
        <v>#NAME?</v>
      </c>
    </row>
    <row r="31" spans="1:3" ht="18">
      <c r="A31" s="21">
        <f t="shared" ca="1" si="0"/>
        <v>46021</v>
      </c>
      <c r="B31" s="19" t="e" cm="1">
        <f t="array" aca="1" ref="B31" ca="1">[1]!s_west_netprofit($B$1,2026,$A31,180,1000000)</f>
        <v>#NAME?</v>
      </c>
      <c r="C31" s="20" t="e" cm="1">
        <f t="array" aca="1" ref="C31" ca="1">[1]!s_dq_close($B$1,$A31,3)</f>
        <v>#NAME?</v>
      </c>
    </row>
    <row r="32" spans="1:3" ht="18">
      <c r="A32" s="21">
        <f t="shared" ca="1" si="0"/>
        <v>46014</v>
      </c>
      <c r="B32" s="19" t="e" cm="1">
        <f t="array" aca="1" ref="B32" ca="1">[1]!s_west_netprofit($B$1,2026,$A32,180,1000000)</f>
        <v>#NAME?</v>
      </c>
      <c r="C32" s="20" t="e" cm="1">
        <f t="array" aca="1" ref="C32" ca="1">[1]!s_dq_close($B$1,$A32,3)</f>
        <v>#NAME?</v>
      </c>
    </row>
    <row r="33" spans="1:3" ht="18">
      <c r="A33" s="21">
        <f t="shared" ca="1" si="0"/>
        <v>46007</v>
      </c>
      <c r="B33" s="19" t="e" cm="1">
        <f t="array" aca="1" ref="B33" ca="1">[1]!s_west_netprofit($B$1,2026,$A33,180,1000000)</f>
        <v>#NAME?</v>
      </c>
      <c r="C33" s="20" t="e" cm="1">
        <f t="array" aca="1" ref="C33" ca="1">[1]!s_dq_close($B$1,$A33,3)</f>
        <v>#NAME?</v>
      </c>
    </row>
    <row r="34" spans="1:3" ht="18">
      <c r="A34" s="21">
        <f t="shared" ca="1" si="0"/>
        <v>46000</v>
      </c>
      <c r="B34" s="19" t="e" cm="1">
        <f t="array" aca="1" ref="B34" ca="1">[1]!s_west_netprofit($B$1,2026,$A34,180,1000000)</f>
        <v>#NAME?</v>
      </c>
      <c r="C34" s="20" t="e" cm="1">
        <f t="array" aca="1" ref="C34" ca="1">[1]!s_dq_close($B$1,$A34,3)</f>
        <v>#NAME?</v>
      </c>
    </row>
    <row r="35" spans="1:3" ht="18">
      <c r="A35" s="21">
        <f t="shared" ca="1" si="0"/>
        <v>45993</v>
      </c>
      <c r="B35" s="19" t="e" cm="1">
        <f t="array" aca="1" ref="B35" ca="1">[1]!s_west_netprofit($B$1,2026,$A35,180,1000000)</f>
        <v>#NAME?</v>
      </c>
      <c r="C35" s="20" t="e" cm="1">
        <f t="array" aca="1" ref="C35" ca="1">[1]!s_dq_close($B$1,$A35,3)</f>
        <v>#NAME?</v>
      </c>
    </row>
    <row r="36" spans="1:3" ht="18">
      <c r="A36" s="21">
        <f t="shared" ca="1" si="0"/>
        <v>45986</v>
      </c>
      <c r="B36" s="19" t="e" cm="1">
        <f t="array" aca="1" ref="B36" ca="1">[1]!s_west_netprofit($B$1,2026,$A36,180,1000000)</f>
        <v>#NAME?</v>
      </c>
      <c r="C36" s="20" t="e" cm="1">
        <f t="array" aca="1" ref="C36" ca="1">[1]!s_dq_close($B$1,$A36,3)</f>
        <v>#NAME?</v>
      </c>
    </row>
    <row r="37" spans="1:3" ht="18">
      <c r="A37" s="21">
        <f t="shared" ca="1" si="0"/>
        <v>45979</v>
      </c>
      <c r="B37" s="19" t="e" cm="1">
        <f t="array" aca="1" ref="B37" ca="1">[1]!s_west_netprofit($B$1,2026,$A37,180,1000000)</f>
        <v>#NAME?</v>
      </c>
      <c r="C37" s="20" t="e" cm="1">
        <f t="array" aca="1" ref="C37" ca="1">[1]!s_dq_close($B$1,$A37,3)</f>
        <v>#NAME?</v>
      </c>
    </row>
    <row r="38" spans="1:3" ht="18">
      <c r="A38" s="21">
        <f t="shared" ca="1" si="0"/>
        <v>45972</v>
      </c>
      <c r="B38" s="19" t="e" cm="1">
        <f t="array" aca="1" ref="B38" ca="1">[1]!s_west_netprofit($B$1,2026,$A38,180,1000000)</f>
        <v>#NAME?</v>
      </c>
      <c r="C38" s="20" t="e" cm="1">
        <f t="array" aca="1" ref="C38" ca="1">[1]!s_dq_close($B$1,$A38,3)</f>
        <v>#NAME?</v>
      </c>
    </row>
    <row r="39" spans="1:3" ht="18">
      <c r="A39" s="21">
        <f t="shared" ca="1" si="0"/>
        <v>45965</v>
      </c>
      <c r="B39" s="19" t="e" cm="1">
        <f t="array" aca="1" ref="B39" ca="1">[1]!s_west_netprofit($B$1,2026,$A39,180,1000000)</f>
        <v>#NAME?</v>
      </c>
      <c r="C39" s="20" t="e" cm="1">
        <f t="array" aca="1" ref="C39" ca="1">[1]!s_dq_close($B$1,$A39,3)</f>
        <v>#NAME?</v>
      </c>
    </row>
    <row r="40" spans="1:3" ht="18">
      <c r="A40" s="21">
        <f t="shared" ca="1" si="0"/>
        <v>45958</v>
      </c>
      <c r="B40" s="19" t="e" cm="1">
        <f t="array" aca="1" ref="B40" ca="1">[1]!s_west_netprofit($B$1,2026,$A40,180,1000000)</f>
        <v>#NAME?</v>
      </c>
      <c r="C40" s="20" t="e" cm="1">
        <f t="array" aca="1" ref="C40" ca="1">[1]!s_dq_close($B$1,$A40,3)</f>
        <v>#NAME?</v>
      </c>
    </row>
    <row r="41" spans="1:3" ht="18">
      <c r="A41" s="21">
        <f t="shared" ca="1" si="0"/>
        <v>45951</v>
      </c>
      <c r="B41" s="19" t="e" cm="1">
        <f t="array" aca="1" ref="B41" ca="1">[1]!s_west_netprofit($B$1,2026,$A41,180,1000000)</f>
        <v>#NAME?</v>
      </c>
      <c r="C41" s="20" t="e" cm="1">
        <f t="array" aca="1" ref="C41" ca="1">[1]!s_dq_close($B$1,$A41,3)</f>
        <v>#NAME?</v>
      </c>
    </row>
    <row r="42" spans="1:3" ht="18">
      <c r="A42" s="21">
        <f t="shared" ca="1" si="0"/>
        <v>45944</v>
      </c>
      <c r="B42" s="19" t="e" cm="1">
        <f t="array" aca="1" ref="B42" ca="1">[1]!s_west_netprofit($B$1,2026,$A42,180,1000000)</f>
        <v>#NAME?</v>
      </c>
      <c r="C42" s="20" t="e" cm="1">
        <f t="array" aca="1" ref="C42" ca="1">[1]!s_dq_close($B$1,$A42,3)</f>
        <v>#NAME?</v>
      </c>
    </row>
    <row r="43" spans="1:3" ht="18">
      <c r="A43" s="21">
        <f t="shared" ca="1" si="0"/>
        <v>45937</v>
      </c>
      <c r="B43" s="19" t="e" cm="1">
        <f t="array" aca="1" ref="B43" ca="1">[1]!s_west_netprofit($B$1,2026,$A43,180,1000000)</f>
        <v>#NAME?</v>
      </c>
      <c r="C43" s="20" t="e" cm="1">
        <f t="array" aca="1" ref="C43" ca="1">[1]!s_dq_close($B$1,$A43,3)</f>
        <v>#NAME?</v>
      </c>
    </row>
    <row r="44" spans="1:3" ht="18">
      <c r="A44" s="21">
        <f t="shared" ca="1" si="0"/>
        <v>45930</v>
      </c>
      <c r="B44" s="19" t="e" cm="1">
        <f t="array" aca="1" ref="B44" ca="1">[1]!s_west_netprofit($B$1,2026,$A44,180,1000000)</f>
        <v>#NAME?</v>
      </c>
      <c r="C44" s="20" t="e" cm="1">
        <f t="array" aca="1" ref="C44" ca="1">[1]!s_dq_close($B$1,$A44,3)</f>
        <v>#NAME?</v>
      </c>
    </row>
    <row r="45" spans="1:3" ht="18">
      <c r="A45" s="21">
        <f t="shared" ca="1" si="0"/>
        <v>45923</v>
      </c>
      <c r="B45" s="19" t="e" cm="1">
        <f t="array" aca="1" ref="B45" ca="1">[1]!s_west_netprofit($B$1,2026,$A45,180,1000000)</f>
        <v>#NAME?</v>
      </c>
      <c r="C45" s="20" t="e" cm="1">
        <f t="array" aca="1" ref="C45" ca="1">[1]!s_dq_close($B$1,$A45,3)</f>
        <v>#NAME?</v>
      </c>
    </row>
    <row r="46" spans="1:3" ht="18">
      <c r="A46" s="21">
        <f t="shared" ca="1" si="0"/>
        <v>45916</v>
      </c>
      <c r="B46" s="19" t="e" cm="1">
        <f t="array" aca="1" ref="B46" ca="1">[1]!s_west_netprofit($B$1,2026,$A46,180,1000000)</f>
        <v>#NAME?</v>
      </c>
      <c r="C46" s="20" t="e" cm="1">
        <f t="array" aca="1" ref="C46" ca="1">[1]!s_dq_close($B$1,$A46,3)</f>
        <v>#NAME?</v>
      </c>
    </row>
    <row r="47" spans="1:3" ht="18">
      <c r="A47" s="21">
        <f t="shared" ca="1" si="0"/>
        <v>45909</v>
      </c>
      <c r="B47" s="19" t="e" cm="1">
        <f t="array" aca="1" ref="B47" ca="1">[1]!s_west_netprofit($B$1,2026,$A47,180,1000000)</f>
        <v>#NAME?</v>
      </c>
      <c r="C47" s="20" t="e" cm="1">
        <f t="array" aca="1" ref="C47" ca="1">[1]!s_dq_close($B$1,$A47,3)</f>
        <v>#NAME?</v>
      </c>
    </row>
    <row r="48" spans="1:3" ht="18">
      <c r="A48" s="21">
        <f t="shared" ca="1" si="0"/>
        <v>45902</v>
      </c>
      <c r="B48" s="19" t="e" cm="1">
        <f t="array" aca="1" ref="B48" ca="1">[1]!s_west_netprofit($B$1,2026,$A48,180,1000000)</f>
        <v>#NAME?</v>
      </c>
      <c r="C48" s="20" t="e" cm="1">
        <f t="array" aca="1" ref="C48" ca="1">[1]!s_dq_close($B$1,$A48,3)</f>
        <v>#NAME?</v>
      </c>
    </row>
    <row r="49" spans="1:3" ht="18">
      <c r="A49" s="21">
        <f t="shared" ca="1" si="0"/>
        <v>45895</v>
      </c>
      <c r="B49" s="19" t="e" cm="1">
        <f t="array" aca="1" ref="B49" ca="1">[1]!s_west_netprofit($B$1,2026,$A49,180,1000000)</f>
        <v>#NAME?</v>
      </c>
      <c r="C49" s="20" t="e" cm="1">
        <f t="array" aca="1" ref="C49" ca="1">[1]!s_dq_close($B$1,$A49,3)</f>
        <v>#NAME?</v>
      </c>
    </row>
    <row r="50" spans="1:3" ht="18">
      <c r="A50" s="21">
        <f t="shared" ca="1" si="0"/>
        <v>45888</v>
      </c>
      <c r="B50" s="19" t="e" cm="1">
        <f t="array" aca="1" ref="B50" ca="1">[1]!s_west_netprofit($B$1,2026,$A50,180,1000000)</f>
        <v>#NAME?</v>
      </c>
      <c r="C50" s="20" t="e" cm="1">
        <f t="array" aca="1" ref="C50" ca="1">[1]!s_dq_close($B$1,$A50,3)</f>
        <v>#NAME?</v>
      </c>
    </row>
    <row r="51" spans="1:3" ht="18">
      <c r="A51" s="21">
        <f t="shared" ca="1" si="0"/>
        <v>45881</v>
      </c>
      <c r="B51" s="19" t="e" cm="1">
        <f t="array" aca="1" ref="B51" ca="1">[1]!s_west_netprofit($B$1,2026,$A51,180,1000000)</f>
        <v>#NAME?</v>
      </c>
      <c r="C51" s="20" t="e" cm="1">
        <f t="array" aca="1" ref="C51" ca="1">[1]!s_dq_close($B$1,$A51,3)</f>
        <v>#NAME?</v>
      </c>
    </row>
    <row r="52" spans="1:3" ht="18">
      <c r="A52" s="21">
        <f t="shared" ca="1" si="0"/>
        <v>45874</v>
      </c>
      <c r="B52" s="19" t="e" cm="1">
        <f t="array" aca="1" ref="B52" ca="1">[1]!s_west_netprofit($B$1,2026,$A52,180,1000000)</f>
        <v>#NAME?</v>
      </c>
      <c r="C52" s="20" t="e" cm="1">
        <f t="array" aca="1" ref="C52" ca="1">[1]!s_dq_close($B$1,$A52,3)</f>
        <v>#NAME?</v>
      </c>
    </row>
    <row r="53" spans="1:3" ht="18">
      <c r="A53" s="21">
        <f t="shared" ca="1" si="0"/>
        <v>45867</v>
      </c>
      <c r="B53" s="19" t="e" cm="1">
        <f t="array" aca="1" ref="B53" ca="1">[1]!s_west_netprofit($B$1,2026,$A53,180,1000000)</f>
        <v>#NAME?</v>
      </c>
      <c r="C53" s="20" t="e" cm="1">
        <f t="array" aca="1" ref="C53" ca="1">[1]!s_dq_close($B$1,$A53,3)</f>
        <v>#NAME?</v>
      </c>
    </row>
    <row r="54" spans="1:3" ht="18">
      <c r="A54" s="21">
        <f t="shared" ca="1" si="0"/>
        <v>45860</v>
      </c>
      <c r="B54" s="19" t="e" cm="1">
        <f t="array" aca="1" ref="B54" ca="1">[1]!s_west_netprofit($B$1,2026,$A54,180,1000000)</f>
        <v>#NAME?</v>
      </c>
      <c r="C54" s="20" t="e" cm="1">
        <f t="array" aca="1" ref="C54" ca="1">[1]!s_dq_close($B$1,$A54,3)</f>
        <v>#NAME?</v>
      </c>
    </row>
    <row r="55" spans="1:3" ht="18">
      <c r="A55" s="21">
        <f t="shared" ca="1" si="0"/>
        <v>45853</v>
      </c>
      <c r="B55" s="19" t="e" cm="1">
        <f t="array" aca="1" ref="B55" ca="1">[1]!s_west_netprofit($B$1,2026,$A55,180,1000000)</f>
        <v>#NAME?</v>
      </c>
      <c r="C55" s="20" t="e" cm="1">
        <f t="array" aca="1" ref="C55" ca="1">[1]!s_dq_close($B$1,$A55,3)</f>
        <v>#NAME?</v>
      </c>
    </row>
    <row r="56" spans="1:3" ht="18">
      <c r="A56" s="21">
        <f t="shared" ca="1" si="0"/>
        <v>45846</v>
      </c>
      <c r="B56" s="19" t="e" cm="1">
        <f t="array" aca="1" ref="B56" ca="1">[1]!s_west_netprofit($B$1,2026,$A56,180,1000000)</f>
        <v>#NAME?</v>
      </c>
      <c r="C56" s="20" t="e" cm="1">
        <f t="array" aca="1" ref="C56" ca="1">[1]!s_dq_close($B$1,$A56,3)</f>
        <v>#NAME?</v>
      </c>
    </row>
    <row r="57" spans="1:3" ht="18">
      <c r="A57" s="21">
        <f t="shared" ca="1" si="0"/>
        <v>45839</v>
      </c>
      <c r="B57" s="19" t="e" cm="1">
        <f t="array" aca="1" ref="B57" ca="1">[1]!s_west_netprofit($B$1,2026,$A57,180,1000000)</f>
        <v>#NAME?</v>
      </c>
      <c r="C57" s="20" t="e" cm="1">
        <f t="array" aca="1" ref="C57" ca="1">[1]!s_dq_close($B$1,$A57,3)</f>
        <v>#NAME?</v>
      </c>
    </row>
    <row r="58" spans="1:3" ht="18">
      <c r="A58" s="21">
        <f t="shared" ca="1" si="0"/>
        <v>45832</v>
      </c>
      <c r="B58" s="19" t="e" cm="1">
        <f t="array" aca="1" ref="B58" ca="1">[1]!s_west_netprofit($B$1,2026,$A58,180,1000000)</f>
        <v>#NAME?</v>
      </c>
      <c r="C58" s="20" t="e" cm="1">
        <f t="array" aca="1" ref="C58" ca="1">[1]!s_dq_close($B$1,$A58,3)</f>
        <v>#NAME?</v>
      </c>
    </row>
    <row r="59" spans="1:3" ht="18">
      <c r="A59" s="21">
        <f t="shared" ca="1" si="0"/>
        <v>45825</v>
      </c>
      <c r="B59" s="19" t="e" cm="1">
        <f t="array" aca="1" ref="B59" ca="1">[1]!s_west_netprofit($B$1,2026,$A59,180,1000000)</f>
        <v>#NAME?</v>
      </c>
      <c r="C59" s="20" t="e" cm="1">
        <f t="array" aca="1" ref="C59" ca="1">[1]!s_dq_close($B$1,$A59,3)</f>
        <v>#NAME?</v>
      </c>
    </row>
    <row r="60" spans="1:3" ht="18">
      <c r="A60" s="21">
        <f t="shared" ca="1" si="0"/>
        <v>45818</v>
      </c>
      <c r="B60" s="19" t="e" cm="1">
        <f t="array" aca="1" ref="B60" ca="1">[1]!s_west_netprofit($B$1,2026,$A60,180,1000000)</f>
        <v>#NAME?</v>
      </c>
      <c r="C60" s="20" t="e" cm="1">
        <f t="array" aca="1" ref="C60" ca="1">[1]!s_dq_close($B$1,$A60,3)</f>
        <v>#NAME?</v>
      </c>
    </row>
    <row r="61" spans="1:3" ht="18">
      <c r="A61" s="21">
        <f t="shared" ca="1" si="0"/>
        <v>45811</v>
      </c>
      <c r="B61" s="19" t="e" cm="1">
        <f t="array" aca="1" ref="B61" ca="1">[1]!s_west_netprofit($B$1,2026,$A61,180,1000000)</f>
        <v>#NAME?</v>
      </c>
      <c r="C61" s="20" t="e" cm="1">
        <f t="array" aca="1" ref="C61" ca="1">[1]!s_dq_close($B$1,$A61,3)</f>
        <v>#NAME?</v>
      </c>
    </row>
    <row r="62" spans="1:3" ht="18">
      <c r="A62" s="21">
        <f t="shared" ca="1" si="0"/>
        <v>45804</v>
      </c>
      <c r="B62" s="19" t="e" cm="1">
        <f t="array" aca="1" ref="B62" ca="1">[1]!s_west_netprofit($B$1,2026,$A62,180,1000000)</f>
        <v>#NAME?</v>
      </c>
      <c r="C62" s="20" t="e" cm="1">
        <f t="array" aca="1" ref="C62" ca="1">[1]!s_dq_close($B$1,$A62,3)</f>
        <v>#NAME?</v>
      </c>
    </row>
    <row r="63" spans="1:3" ht="18">
      <c r="A63" s="21">
        <f t="shared" ca="1" si="0"/>
        <v>45797</v>
      </c>
      <c r="B63" s="19" t="e" cm="1">
        <f t="array" aca="1" ref="B63" ca="1">[1]!s_west_netprofit($B$1,2026,$A63,180,1000000)</f>
        <v>#NAME?</v>
      </c>
      <c r="C63" s="20" t="e" cm="1">
        <f t="array" aca="1" ref="C63" ca="1">[1]!s_dq_close($B$1,$A63,3)</f>
        <v>#NAME?</v>
      </c>
    </row>
    <row r="64" spans="1:3" ht="18">
      <c r="A64" s="21">
        <f t="shared" ca="1" si="0"/>
        <v>45790</v>
      </c>
      <c r="B64" s="19" t="e" cm="1">
        <f t="array" aca="1" ref="B64" ca="1">[1]!s_west_netprofit($B$1,2026,$A64,180,1000000)</f>
        <v>#NAME?</v>
      </c>
      <c r="C64" s="20" t="e" cm="1">
        <f t="array" aca="1" ref="C64" ca="1">[1]!s_dq_close($B$1,$A64,3)</f>
        <v>#NAME?</v>
      </c>
    </row>
    <row r="65" spans="1:3" ht="18">
      <c r="A65" s="21">
        <f t="shared" ca="1" si="0"/>
        <v>45783</v>
      </c>
      <c r="B65" s="19" t="e" cm="1">
        <f t="array" aca="1" ref="B65" ca="1">[1]!s_west_netprofit($B$1,2026,$A65,180,1000000)</f>
        <v>#NAME?</v>
      </c>
      <c r="C65" s="20" t="e" cm="1">
        <f t="array" aca="1" ref="C65" ca="1">[1]!s_dq_close($B$1,$A65,3)</f>
        <v>#NAME?</v>
      </c>
    </row>
    <row r="66" spans="1:3" ht="18">
      <c r="A66" s="21">
        <f t="shared" ca="1" si="0"/>
        <v>45776</v>
      </c>
      <c r="B66" s="19" t="e" cm="1">
        <f t="array" aca="1" ref="B66" ca="1">[1]!s_west_netprofit($B$1,2026,$A66,180,1000000)</f>
        <v>#NAME?</v>
      </c>
      <c r="C66" s="20" t="e" cm="1">
        <f t="array" aca="1" ref="C66" ca="1">[1]!s_dq_close($B$1,$A66,3)</f>
        <v>#NAME?</v>
      </c>
    </row>
    <row r="67" spans="1:3" ht="18">
      <c r="A67" s="21">
        <f t="shared" ca="1" si="0"/>
        <v>45769</v>
      </c>
      <c r="B67" s="19" t="e" cm="1">
        <f t="array" aca="1" ref="B67" ca="1">[1]!s_west_netprofit($B$1,2026,$A67,180,1000000)</f>
        <v>#NAME?</v>
      </c>
      <c r="C67" s="20" t="e" cm="1">
        <f t="array" aca="1" ref="C67" ca="1">[1]!s_dq_close($B$1,$A67,3)</f>
        <v>#NAME?</v>
      </c>
    </row>
    <row r="68" spans="1:3" ht="18">
      <c r="A68" s="21">
        <f t="shared" ca="1" si="0"/>
        <v>45762</v>
      </c>
      <c r="B68" s="19" t="e" cm="1">
        <f t="array" aca="1" ref="B68" ca="1">[1]!s_west_netprofit($B$1,2026,$A68,180,1000000)</f>
        <v>#NAME?</v>
      </c>
      <c r="C68" s="20" t="e" cm="1">
        <f t="array" aca="1" ref="C68" ca="1">[1]!s_dq_close($B$1,$A68,3)</f>
        <v>#NAME?</v>
      </c>
    </row>
    <row r="69" spans="1:3" ht="18">
      <c r="A69" s="21">
        <f t="shared" ca="1" si="0"/>
        <v>45755</v>
      </c>
      <c r="B69" s="19" t="e" cm="1">
        <f t="array" aca="1" ref="B69" ca="1">[1]!s_west_netprofit($B$1,2026,$A69,180,1000000)</f>
        <v>#NAME?</v>
      </c>
      <c r="C69" s="20" t="e" cm="1">
        <f t="array" aca="1" ref="C69" ca="1">[1]!s_dq_close($B$1,$A69,3)</f>
        <v>#NAME?</v>
      </c>
    </row>
    <row r="70" spans="1:3" ht="18">
      <c r="A70" s="21">
        <f t="shared" ca="1" si="0"/>
        <v>45748</v>
      </c>
      <c r="B70" s="19" t="e" cm="1">
        <f t="array" aca="1" ref="B70" ca="1">[1]!s_west_netprofit($B$1,2026,$A70,180,1000000)</f>
        <v>#NAME?</v>
      </c>
      <c r="C70" s="20" t="e" cm="1">
        <f t="array" aca="1" ref="C70" ca="1">[1]!s_dq_close($B$1,$A70,3)</f>
        <v>#NAME?</v>
      </c>
    </row>
    <row r="71" spans="1:3" ht="18">
      <c r="A71" s="21">
        <f t="shared" ca="1" si="0"/>
        <v>45741</v>
      </c>
      <c r="B71" s="19" t="e" cm="1">
        <f t="array" aca="1" ref="B71" ca="1">[1]!s_west_netprofit($B$1,2026,$A71,180,1000000)</f>
        <v>#NAME?</v>
      </c>
      <c r="C71" s="20" t="e" cm="1">
        <f t="array" aca="1" ref="C71" ca="1">[1]!s_dq_close($B$1,$A71,3)</f>
        <v>#NAME?</v>
      </c>
    </row>
    <row r="72" spans="1:3" ht="18">
      <c r="A72" s="21">
        <f t="shared" ca="1" si="0"/>
        <v>45734</v>
      </c>
      <c r="B72" s="19" t="e" cm="1">
        <f t="array" aca="1" ref="B72" ca="1">[1]!s_west_netprofit($B$1,2026,$A72,180,1000000)</f>
        <v>#NAME?</v>
      </c>
      <c r="C72" s="20" t="e" cm="1">
        <f t="array" aca="1" ref="C72" ca="1">[1]!s_dq_close($B$1,$A72,3)</f>
        <v>#NAME?</v>
      </c>
    </row>
    <row r="73" spans="1:3" ht="18">
      <c r="A73" s="21">
        <f t="shared" ca="1" si="0"/>
        <v>45727</v>
      </c>
      <c r="B73" s="19" t="e" cm="1">
        <f t="array" aca="1" ref="B73" ca="1">[1]!s_west_netprofit($B$1,2026,$A73,180,1000000)</f>
        <v>#NAME?</v>
      </c>
      <c r="C73" s="20" t="e" cm="1">
        <f t="array" aca="1" ref="C73" ca="1">[1]!s_dq_close($B$1,$A73,3)</f>
        <v>#NAME?</v>
      </c>
    </row>
    <row r="74" spans="1:3" ht="18">
      <c r="A74" s="21">
        <f t="shared" ca="1" si="0"/>
        <v>45720</v>
      </c>
      <c r="B74" s="19" t="e" cm="1">
        <f t="array" aca="1" ref="B74" ca="1">[1]!s_west_netprofit($B$1,2026,$A74,180,1000000)</f>
        <v>#NAME?</v>
      </c>
      <c r="C74" s="20" t="e" cm="1">
        <f t="array" aca="1" ref="C74" ca="1">[1]!s_dq_close($B$1,$A74,3)</f>
        <v>#NAME?</v>
      </c>
    </row>
    <row r="75" spans="1:3" ht="18">
      <c r="A75" s="21">
        <f t="shared" ca="1" si="0"/>
        <v>45713</v>
      </c>
      <c r="B75" s="19" t="e" cm="1">
        <f t="array" aca="1" ref="B75" ca="1">[1]!s_west_netprofit($B$1,2026,$A75,180,1000000)</f>
        <v>#NAME?</v>
      </c>
      <c r="C75" s="20" t="e" cm="1">
        <f t="array" aca="1" ref="C75" ca="1">[1]!s_dq_close($B$1,$A75,3)</f>
        <v>#NAME?</v>
      </c>
    </row>
    <row r="76" spans="1:3" ht="18">
      <c r="A76" s="21">
        <f t="shared" ref="A76:A99" ca="1" si="1">A75-7</f>
        <v>45706</v>
      </c>
      <c r="B76" s="19" t="e" cm="1">
        <f t="array" aca="1" ref="B76" ca="1">[1]!s_west_netprofit($B$1,2026,$A76,180,1000000)</f>
        <v>#NAME?</v>
      </c>
      <c r="C76" s="20" t="e" cm="1">
        <f t="array" aca="1" ref="C76" ca="1">[1]!s_dq_close($B$1,$A76,3)</f>
        <v>#NAME?</v>
      </c>
    </row>
    <row r="77" spans="1:3" ht="18">
      <c r="A77" s="21">
        <f t="shared" ca="1" si="1"/>
        <v>45699</v>
      </c>
      <c r="B77" s="19" t="e" cm="1">
        <f t="array" aca="1" ref="B77" ca="1">[1]!s_west_netprofit($B$1,2026,$A77,180,1000000)</f>
        <v>#NAME?</v>
      </c>
      <c r="C77" s="20" t="e" cm="1">
        <f t="array" aca="1" ref="C77" ca="1">[1]!s_dq_close($B$1,$A77,3)</f>
        <v>#NAME?</v>
      </c>
    </row>
    <row r="78" spans="1:3" ht="18">
      <c r="A78" s="21">
        <f t="shared" ca="1" si="1"/>
        <v>45692</v>
      </c>
      <c r="B78" s="19" t="e" cm="1">
        <f t="array" aca="1" ref="B78" ca="1">[1]!s_west_netprofit($B$1,2026,$A78,180,1000000)</f>
        <v>#NAME?</v>
      </c>
      <c r="C78" s="20" t="e" cm="1">
        <f t="array" aca="1" ref="C78" ca="1">[1]!s_dq_close($B$1,$A78,3)</f>
        <v>#NAME?</v>
      </c>
    </row>
    <row r="79" spans="1:3" ht="18">
      <c r="A79" s="21">
        <f t="shared" ca="1" si="1"/>
        <v>45685</v>
      </c>
      <c r="B79" s="19" t="e" cm="1">
        <f t="array" aca="1" ref="B79" ca="1">[1]!s_west_netprofit($B$1,2026,$A79,180,1000000)</f>
        <v>#NAME?</v>
      </c>
      <c r="C79" s="20" t="e" cm="1">
        <f t="array" aca="1" ref="C79" ca="1">[1]!s_dq_close($B$1,$A79,3)</f>
        <v>#NAME?</v>
      </c>
    </row>
    <row r="80" spans="1:3" ht="18">
      <c r="A80" s="21">
        <f t="shared" ca="1" si="1"/>
        <v>45678</v>
      </c>
      <c r="B80" s="19" t="e" cm="1">
        <f t="array" aca="1" ref="B80" ca="1">[1]!s_west_netprofit($B$1,2026,$A80,180,1000000)</f>
        <v>#NAME?</v>
      </c>
      <c r="C80" s="20" t="e" cm="1">
        <f t="array" aca="1" ref="C80" ca="1">[1]!s_dq_close($B$1,$A80,3)</f>
        <v>#NAME?</v>
      </c>
    </row>
    <row r="81" spans="1:3" ht="18">
      <c r="A81" s="21">
        <f t="shared" ca="1" si="1"/>
        <v>45671</v>
      </c>
      <c r="B81" s="19" t="e" cm="1">
        <f t="array" aca="1" ref="B81" ca="1">[1]!s_west_netprofit($B$1,2026,$A81,180,1000000)</f>
        <v>#NAME?</v>
      </c>
      <c r="C81" s="20" t="e" cm="1">
        <f t="array" aca="1" ref="C81" ca="1">[1]!s_dq_close($B$1,$A81,3)</f>
        <v>#NAME?</v>
      </c>
    </row>
    <row r="82" spans="1:3" ht="18">
      <c r="A82" s="21">
        <f t="shared" ca="1" si="1"/>
        <v>45664</v>
      </c>
      <c r="B82" s="19" t="e" cm="1">
        <f t="array" aca="1" ref="B82" ca="1">[1]!s_west_netprofit($B$1,2026,$A82,180,1000000)</f>
        <v>#NAME?</v>
      </c>
      <c r="C82" s="20" t="e" cm="1">
        <f t="array" aca="1" ref="C82" ca="1">[1]!s_dq_close($B$1,$A82,3)</f>
        <v>#NAME?</v>
      </c>
    </row>
    <row r="83" spans="1:3" ht="18">
      <c r="A83" s="21">
        <f t="shared" ca="1" si="1"/>
        <v>45657</v>
      </c>
      <c r="B83" s="19" t="e" cm="1">
        <f t="array" aca="1" ref="B83" ca="1">[1]!s_west_netprofit($B$1,2026,$A83,180,1000000)</f>
        <v>#NAME?</v>
      </c>
      <c r="C83" s="20" t="e" cm="1">
        <f t="array" aca="1" ref="C83" ca="1">[1]!s_dq_close($B$1,$A83,3)</f>
        <v>#NAME?</v>
      </c>
    </row>
    <row r="84" spans="1:3" ht="18">
      <c r="A84" s="21">
        <f t="shared" ca="1" si="1"/>
        <v>45650</v>
      </c>
      <c r="B84" s="19" t="e" cm="1">
        <f t="array" aca="1" ref="B84" ca="1">[1]!s_west_netprofit($B$1,2026,$A84,180,1000000)</f>
        <v>#NAME?</v>
      </c>
      <c r="C84" s="20" t="e" cm="1">
        <f t="array" aca="1" ref="C84" ca="1">[1]!s_dq_close($B$1,$A84,3)</f>
        <v>#NAME?</v>
      </c>
    </row>
    <row r="85" spans="1:3" ht="18">
      <c r="A85" s="21">
        <f t="shared" ca="1" si="1"/>
        <v>45643</v>
      </c>
      <c r="B85" s="19" t="e" cm="1">
        <f t="array" aca="1" ref="B85" ca="1">[1]!s_west_netprofit($B$1,2026,$A85,180,1000000)</f>
        <v>#NAME?</v>
      </c>
      <c r="C85" s="20" t="e" cm="1">
        <f t="array" aca="1" ref="C85" ca="1">[1]!s_dq_close($B$1,$A85,3)</f>
        <v>#NAME?</v>
      </c>
    </row>
    <row r="86" spans="1:3" ht="18">
      <c r="A86" s="21">
        <f t="shared" ca="1" si="1"/>
        <v>45636</v>
      </c>
      <c r="B86" s="19" t="e" cm="1">
        <f t="array" aca="1" ref="B86" ca="1">[1]!s_west_netprofit($B$1,2026,$A86,180,1000000)</f>
        <v>#NAME?</v>
      </c>
      <c r="C86" s="20" t="e" cm="1">
        <f t="array" aca="1" ref="C86" ca="1">[1]!s_dq_close($B$1,$A86,3)</f>
        <v>#NAME?</v>
      </c>
    </row>
    <row r="87" spans="1:3" ht="18">
      <c r="A87" s="21">
        <f t="shared" ca="1" si="1"/>
        <v>45629</v>
      </c>
      <c r="B87" s="19" t="e" cm="1">
        <f t="array" aca="1" ref="B87" ca="1">[1]!s_west_netprofit($B$1,2026,$A87,180,1000000)</f>
        <v>#NAME?</v>
      </c>
      <c r="C87" s="20" t="e" cm="1">
        <f t="array" aca="1" ref="C87" ca="1">[1]!s_dq_close($B$1,$A87,3)</f>
        <v>#NAME?</v>
      </c>
    </row>
    <row r="88" spans="1:3" ht="18">
      <c r="A88" s="21">
        <f t="shared" ca="1" si="1"/>
        <v>45622</v>
      </c>
      <c r="B88" s="19" t="e" cm="1">
        <f t="array" aca="1" ref="B88" ca="1">[1]!s_west_netprofit($B$1,2026,$A88,180,1000000)</f>
        <v>#NAME?</v>
      </c>
      <c r="C88" s="20" t="e" cm="1">
        <f t="array" aca="1" ref="C88" ca="1">[1]!s_dq_close($B$1,$A88,3)</f>
        <v>#NAME?</v>
      </c>
    </row>
    <row r="89" spans="1:3" ht="18">
      <c r="A89" s="21">
        <f t="shared" ca="1" si="1"/>
        <v>45615</v>
      </c>
      <c r="B89" s="19" t="e" cm="1">
        <f t="array" aca="1" ref="B89" ca="1">[1]!s_west_netprofit($B$1,2026,$A89,180,1000000)</f>
        <v>#NAME?</v>
      </c>
      <c r="C89" s="20" t="e" cm="1">
        <f t="array" aca="1" ref="C89" ca="1">[1]!s_dq_close($B$1,$A89,3)</f>
        <v>#NAME?</v>
      </c>
    </row>
    <row r="90" spans="1:3" ht="18">
      <c r="A90" s="21">
        <f t="shared" ca="1" si="1"/>
        <v>45608</v>
      </c>
      <c r="B90" s="19" t="e" cm="1">
        <f t="array" aca="1" ref="B90" ca="1">[1]!s_west_netprofit($B$1,2026,$A90,180,1000000)</f>
        <v>#NAME?</v>
      </c>
      <c r="C90" s="20" t="e" cm="1">
        <f t="array" aca="1" ref="C90" ca="1">[1]!s_dq_close($B$1,$A90,3)</f>
        <v>#NAME?</v>
      </c>
    </row>
    <row r="91" spans="1:3" ht="18">
      <c r="A91" s="21">
        <f t="shared" ca="1" si="1"/>
        <v>45601</v>
      </c>
      <c r="B91" s="19" t="e" cm="1">
        <f t="array" aca="1" ref="B91" ca="1">[1]!s_west_netprofit($B$1,2026,$A91,180,1000000)</f>
        <v>#NAME?</v>
      </c>
      <c r="C91" s="20" t="e" cm="1">
        <f t="array" aca="1" ref="C91" ca="1">[1]!s_dq_close($B$1,$A91,3)</f>
        <v>#NAME?</v>
      </c>
    </row>
    <row r="92" spans="1:3" ht="18">
      <c r="A92" s="21">
        <f t="shared" ca="1" si="1"/>
        <v>45594</v>
      </c>
      <c r="B92" s="19" t="e" cm="1">
        <f t="array" aca="1" ref="B92" ca="1">[1]!s_west_netprofit($B$1,2026,$A92,180,1000000)</f>
        <v>#NAME?</v>
      </c>
      <c r="C92" s="20" t="e" cm="1">
        <f t="array" aca="1" ref="C92" ca="1">[1]!s_dq_close($B$1,$A92,3)</f>
        <v>#NAME?</v>
      </c>
    </row>
    <row r="93" spans="1:3" ht="18">
      <c r="A93" s="21">
        <f t="shared" ca="1" si="1"/>
        <v>45587</v>
      </c>
      <c r="B93" s="19" t="e" cm="1">
        <f t="array" aca="1" ref="B93" ca="1">[1]!s_west_netprofit($B$1,2026,$A93,180,1000000)</f>
        <v>#NAME?</v>
      </c>
      <c r="C93" s="20" t="e" cm="1">
        <f t="array" aca="1" ref="C93" ca="1">[1]!s_dq_close($B$1,$A93,3)</f>
        <v>#NAME?</v>
      </c>
    </row>
    <row r="94" spans="1:3" ht="18">
      <c r="A94" s="21">
        <f t="shared" ca="1" si="1"/>
        <v>45580</v>
      </c>
      <c r="B94" s="19" t="e" cm="1">
        <f t="array" aca="1" ref="B94" ca="1">[1]!s_west_netprofit($B$1,2026,$A94,180,1000000)</f>
        <v>#NAME?</v>
      </c>
      <c r="C94" s="20" t="e" cm="1">
        <f t="array" aca="1" ref="C94" ca="1">[1]!s_dq_close($B$1,$A94,3)</f>
        <v>#NAME?</v>
      </c>
    </row>
    <row r="95" spans="1:3" ht="18">
      <c r="A95" s="21">
        <f t="shared" ca="1" si="1"/>
        <v>45573</v>
      </c>
      <c r="B95" s="19" t="e" cm="1">
        <f t="array" aca="1" ref="B95" ca="1">[1]!s_west_netprofit($B$1,2026,$A95,180,1000000)</f>
        <v>#NAME?</v>
      </c>
      <c r="C95" s="20" t="e" cm="1">
        <f t="array" aca="1" ref="C95" ca="1">[1]!s_dq_close($B$1,$A95,3)</f>
        <v>#NAME?</v>
      </c>
    </row>
    <row r="96" spans="1:3" ht="18">
      <c r="A96" s="21">
        <f t="shared" ca="1" si="1"/>
        <v>45566</v>
      </c>
      <c r="B96" s="19" t="e" cm="1">
        <f t="array" aca="1" ref="B96" ca="1">[1]!s_west_netprofit($B$1,2026,$A96,180,1000000)</f>
        <v>#NAME?</v>
      </c>
      <c r="C96" s="20" t="e" cm="1">
        <f t="array" aca="1" ref="C96" ca="1">[1]!s_dq_close($B$1,$A96,3)</f>
        <v>#NAME?</v>
      </c>
    </row>
    <row r="97" spans="1:3" ht="18">
      <c r="A97" s="21">
        <f t="shared" ca="1" si="1"/>
        <v>45559</v>
      </c>
      <c r="B97" s="19" t="e" cm="1">
        <f t="array" aca="1" ref="B97" ca="1">[1]!s_west_netprofit($B$1,2026,$A97,180,1000000)</f>
        <v>#NAME?</v>
      </c>
      <c r="C97" s="20" t="e" cm="1">
        <f t="array" aca="1" ref="C97" ca="1">[1]!s_dq_close($B$1,$A97,3)</f>
        <v>#NAME?</v>
      </c>
    </row>
    <row r="98" spans="1:3" ht="18">
      <c r="A98" s="21">
        <f t="shared" ca="1" si="1"/>
        <v>45552</v>
      </c>
      <c r="B98" s="19" t="e" cm="1">
        <f t="array" aca="1" ref="B98" ca="1">[1]!s_west_netprofit($B$1,2026,$A98,180,1000000)</f>
        <v>#NAME?</v>
      </c>
      <c r="C98" s="20" t="e" cm="1">
        <f t="array" aca="1" ref="C98" ca="1">[1]!s_dq_close($B$1,$A98,3)</f>
        <v>#NAME?</v>
      </c>
    </row>
    <row r="99" spans="1:3" ht="19" thickBot="1">
      <c r="A99" s="22">
        <f t="shared" ca="1" si="1"/>
        <v>45545</v>
      </c>
      <c r="B99" s="23" t="e" cm="1">
        <f t="array" aca="1" ref="B99" ca="1">[1]!s_west_netprofit($B$1,2026,$A99,180,1000000)</f>
        <v>#NAME?</v>
      </c>
      <c r="C99" s="24" t="e" cm="1">
        <f t="array" aca="1" ref="C99" ca="1">[1]!s_dq_close($B$1,$A99,3)</f>
        <v>#NAME?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0F889-2902-4F4C-AC16-F9D69E88EC27}">
  <dimension ref="A1:D99"/>
  <sheetViews>
    <sheetView tabSelected="1" workbookViewId="0">
      <selection activeCell="M29" sqref="M29"/>
    </sheetView>
  </sheetViews>
  <sheetFormatPr baseColWidth="10" defaultColWidth="9.1640625" defaultRowHeight="16"/>
  <cols>
    <col min="1" max="1" width="36.33203125" customWidth="1"/>
    <col min="2" max="2" width="26" customWidth="1"/>
    <col min="3" max="3" width="40" customWidth="1"/>
    <col min="4" max="4" width="11" bestFit="1" customWidth="1"/>
  </cols>
  <sheetData>
    <row r="1" spans="1:4" ht="17" thickBot="1">
      <c r="A1" t="e">
        <f ca="1">[1]!S_INFO_NAME($B$1)</f>
        <v>#NAME?</v>
      </c>
      <c r="B1" s="1"/>
      <c r="C1" t="s">
        <v>0</v>
      </c>
      <c r="D1" s="2">
        <f ca="1">TODAY()</f>
        <v>46161</v>
      </c>
    </row>
    <row r="2" spans="1:4" s="6" customFormat="1" ht="18">
      <c r="A2" s="3" t="s">
        <v>4</v>
      </c>
      <c r="B2" s="4">
        <v>2025</v>
      </c>
      <c r="C2" s="5">
        <v>2026</v>
      </c>
    </row>
    <row r="3" spans="1:4" s="6" customFormat="1" ht="18">
      <c r="A3" s="7" t="s">
        <v>5</v>
      </c>
      <c r="B3" s="8" t="e">
        <f ca="1">[1]!s_west_instnum_np($B$1,2025,$D$1,180)</f>
        <v>#NAME?</v>
      </c>
      <c r="C3" s="9" t="e">
        <f ca="1">[1]!s_west_instnum_np($B$1,2026,$D$1,180)</f>
        <v>#NAME?</v>
      </c>
    </row>
    <row r="4" spans="1:4" s="6" customFormat="1" ht="18">
      <c r="A4" s="7" t="s">
        <v>2</v>
      </c>
      <c r="B4" s="10" t="e">
        <f ca="1">[1]!s_west_instnum_np($A$1,2025,$D$1,180)</f>
        <v>#NAME?</v>
      </c>
      <c r="C4" s="11" t="e">
        <f ca="1">[1]!s_west_netprofit($B$1,2026,$D$1,180,1000000)</f>
        <v>#NAME?</v>
      </c>
    </row>
    <row r="5" spans="1:4" s="6" customFormat="1" ht="18">
      <c r="A5" s="7" t="s">
        <v>6</v>
      </c>
      <c r="B5" s="10" t="e">
        <f ca="1">[1]!s_west_maxnetprofit($B$1,2025,$D$1,180,1000000)</f>
        <v>#NAME?</v>
      </c>
      <c r="C5" s="11" t="e">
        <f ca="1">[1]!s_west_maxnetprofit($B$1,2026,$D$1,180,1000000)</f>
        <v>#NAME?</v>
      </c>
    </row>
    <row r="6" spans="1:4" s="6" customFormat="1" ht="18">
      <c r="A6" s="7" t="s">
        <v>7</v>
      </c>
      <c r="B6" s="10" t="e">
        <f ca="1">[1]!s_west_minnetprofit($B$1,2025,$D$1,180,1000000)</f>
        <v>#NAME?</v>
      </c>
      <c r="C6" s="11" t="e">
        <f ca="1">[1]!s_west_minnetprofit($B$1,2026,$D$1,180,1000000)</f>
        <v>#NAME?</v>
      </c>
    </row>
    <row r="7" spans="1:4" s="6" customFormat="1" ht="18">
      <c r="A7" s="7" t="s">
        <v>8</v>
      </c>
      <c r="B7" s="10" t="e">
        <f ca="1">[1]!s_west_mediannetprofit($B$1,2025,$D$1,180,1000000)</f>
        <v>#NAME?</v>
      </c>
      <c r="C7" s="11" t="e">
        <f ca="1">[1]!s_west_mediannetprofit($B$1,2026,$D$1,180,1000000)</f>
        <v>#NAME?</v>
      </c>
    </row>
    <row r="8" spans="1:4" s="6" customFormat="1" ht="19" thickBot="1">
      <c r="A8" s="12" t="s">
        <v>9</v>
      </c>
      <c r="B8" s="13" t="e">
        <f ca="1">[1]!s_west_stdnetprofit($B$1,2025,$D$1,180,1000000)</f>
        <v>#NAME?</v>
      </c>
      <c r="C8" s="14" t="e">
        <f ca="1">[1]!s_west_stdnetprofit($B$1,2026,$D$1,180,1000000)</f>
        <v>#NAME?</v>
      </c>
    </row>
    <row r="10" spans="1:4">
      <c r="A10" s="15" t="s">
        <v>1</v>
      </c>
      <c r="B10" s="16" t="s">
        <v>2</v>
      </c>
      <c r="C10" s="17" t="s">
        <v>3</v>
      </c>
    </row>
    <row r="11" spans="1:4" ht="18">
      <c r="A11" s="18">
        <f ca="1">TODAY()-IF(WEEKDAY(TODAY(),2)=6,1,IF(WEEKDAY(TODAY(),2)=7,2,0))</f>
        <v>46161</v>
      </c>
      <c r="B11" s="19" t="e" cm="1">
        <f t="array" aca="1" ref="B11" ca="1">[1]!s_west_netprofit($B$1,2026,$A11,180,1000000)</f>
        <v>#NAME?</v>
      </c>
      <c r="C11" s="20" t="e" cm="1">
        <f t="array" aca="1" ref="C11" ca="1">[1]!s_dq_close($B$1,$A11,3)</f>
        <v>#NAME?</v>
      </c>
    </row>
    <row r="12" spans="1:4" ht="18">
      <c r="A12" s="21">
        <f t="shared" ref="A12:A75" ca="1" si="0">A11-7</f>
        <v>46154</v>
      </c>
      <c r="B12" s="19" t="e" cm="1">
        <f t="array" aca="1" ref="B12" ca="1">[1]!s_west_netprofit($B$1,2026,$A12,180,1000000)</f>
        <v>#NAME?</v>
      </c>
      <c r="C12" s="20" t="e" cm="1">
        <f t="array" aca="1" ref="C12" ca="1">[1]!s_dq_close($B$1,$A12,3)</f>
        <v>#NAME?</v>
      </c>
    </row>
    <row r="13" spans="1:4" ht="18">
      <c r="A13" s="21">
        <f t="shared" ca="1" si="0"/>
        <v>46147</v>
      </c>
      <c r="B13" s="19" t="e" cm="1">
        <f t="array" aca="1" ref="B13" ca="1">[1]!s_west_netprofit($B$1,2026,$A13,180,1000000)</f>
        <v>#NAME?</v>
      </c>
      <c r="C13" s="20" t="e" cm="1">
        <f t="array" aca="1" ref="C13" ca="1">[1]!s_dq_close($B$1,$A13,3)</f>
        <v>#NAME?</v>
      </c>
    </row>
    <row r="14" spans="1:4" ht="18">
      <c r="A14" s="21">
        <f t="shared" ca="1" si="0"/>
        <v>46140</v>
      </c>
      <c r="B14" s="19" t="e" cm="1">
        <f t="array" aca="1" ref="B14" ca="1">[1]!s_west_netprofit($B$1,2026,$A14,180,1000000)</f>
        <v>#NAME?</v>
      </c>
      <c r="C14" s="20" t="e" cm="1">
        <f t="array" aca="1" ref="C14" ca="1">[1]!s_dq_close($B$1,$A14,3)</f>
        <v>#NAME?</v>
      </c>
    </row>
    <row r="15" spans="1:4" ht="18">
      <c r="A15" s="21">
        <f t="shared" ca="1" si="0"/>
        <v>46133</v>
      </c>
      <c r="B15" s="19" t="e" cm="1">
        <f t="array" aca="1" ref="B15" ca="1">[1]!s_west_netprofit($B$1,2026,$A15,180,1000000)</f>
        <v>#NAME?</v>
      </c>
      <c r="C15" s="20" t="e" cm="1">
        <f t="array" aca="1" ref="C15" ca="1">[1]!s_dq_close($B$1,$A15,3)</f>
        <v>#NAME?</v>
      </c>
    </row>
    <row r="16" spans="1:4" ht="18">
      <c r="A16" s="21">
        <f t="shared" ca="1" si="0"/>
        <v>46126</v>
      </c>
      <c r="B16" s="19" t="e" cm="1">
        <f t="array" aca="1" ref="B16" ca="1">[1]!s_west_netprofit($B$1,2026,$A16,180,1000000)</f>
        <v>#NAME?</v>
      </c>
      <c r="C16" s="20" t="e" cm="1">
        <f t="array" aca="1" ref="C16" ca="1">[1]!s_dq_close($B$1,$A16,3)</f>
        <v>#NAME?</v>
      </c>
    </row>
    <row r="17" spans="1:3" ht="18">
      <c r="A17" s="21">
        <f t="shared" ca="1" si="0"/>
        <v>46119</v>
      </c>
      <c r="B17" s="19" t="e" cm="1">
        <f t="array" aca="1" ref="B17" ca="1">[1]!s_west_netprofit($B$1,2026,$A17,180,1000000)</f>
        <v>#NAME?</v>
      </c>
      <c r="C17" s="20" t="e" cm="1">
        <f t="array" aca="1" ref="C17" ca="1">[1]!s_dq_close($B$1,$A17,3)</f>
        <v>#NAME?</v>
      </c>
    </row>
    <row r="18" spans="1:3" ht="18">
      <c r="A18" s="21">
        <f t="shared" ca="1" si="0"/>
        <v>46112</v>
      </c>
      <c r="B18" s="19" t="e" cm="1">
        <f t="array" aca="1" ref="B18" ca="1">[1]!s_west_netprofit($B$1,2026,$A18,180,1000000)</f>
        <v>#NAME?</v>
      </c>
      <c r="C18" s="20" t="e" cm="1">
        <f t="array" aca="1" ref="C18" ca="1">[1]!s_dq_close($B$1,$A18,3)</f>
        <v>#NAME?</v>
      </c>
    </row>
    <row r="19" spans="1:3" ht="18">
      <c r="A19" s="21">
        <f t="shared" ca="1" si="0"/>
        <v>46105</v>
      </c>
      <c r="B19" s="19" t="e" cm="1">
        <f t="array" aca="1" ref="B19" ca="1">[1]!s_west_netprofit($B$1,2026,$A19,180,1000000)</f>
        <v>#NAME?</v>
      </c>
      <c r="C19" s="20" t="e" cm="1">
        <f t="array" aca="1" ref="C19" ca="1">[1]!s_dq_close($B$1,$A19,3)</f>
        <v>#NAME?</v>
      </c>
    </row>
    <row r="20" spans="1:3" ht="18">
      <c r="A20" s="21">
        <f t="shared" ca="1" si="0"/>
        <v>46098</v>
      </c>
      <c r="B20" s="19" t="e" cm="1">
        <f t="array" aca="1" ref="B20" ca="1">[1]!s_west_netprofit($B$1,2026,$A20,180,1000000)</f>
        <v>#NAME?</v>
      </c>
      <c r="C20" s="20" t="e" cm="1">
        <f t="array" aca="1" ref="C20" ca="1">[1]!s_dq_close($B$1,$A20,3)</f>
        <v>#NAME?</v>
      </c>
    </row>
    <row r="21" spans="1:3" ht="18">
      <c r="A21" s="21">
        <f t="shared" ca="1" si="0"/>
        <v>46091</v>
      </c>
      <c r="B21" s="19" t="e" cm="1">
        <f t="array" aca="1" ref="B21" ca="1">[1]!s_west_netprofit($B$1,2026,$A21,180,1000000)</f>
        <v>#NAME?</v>
      </c>
      <c r="C21" s="20" t="e" cm="1">
        <f t="array" aca="1" ref="C21" ca="1">[1]!s_dq_close($B$1,$A21,3)</f>
        <v>#NAME?</v>
      </c>
    </row>
    <row r="22" spans="1:3" ht="18">
      <c r="A22" s="21">
        <f t="shared" ca="1" si="0"/>
        <v>46084</v>
      </c>
      <c r="B22" s="19" t="e" cm="1">
        <f t="array" aca="1" ref="B22" ca="1">[1]!s_west_netprofit($B$1,2026,$A22,180,1000000)</f>
        <v>#NAME?</v>
      </c>
      <c r="C22" s="20" t="e" cm="1">
        <f t="array" aca="1" ref="C22" ca="1">[1]!s_dq_close($B$1,$A22,3)</f>
        <v>#NAME?</v>
      </c>
    </row>
    <row r="23" spans="1:3" ht="18">
      <c r="A23" s="21">
        <f t="shared" ca="1" si="0"/>
        <v>46077</v>
      </c>
      <c r="B23" s="19" t="e" cm="1">
        <f t="array" aca="1" ref="B23" ca="1">[1]!s_west_netprofit($B$1,2026,$A23,180,1000000)</f>
        <v>#NAME?</v>
      </c>
      <c r="C23" s="20" t="e" cm="1">
        <f t="array" aca="1" ref="C23" ca="1">[1]!s_dq_close($B$1,$A23,3)</f>
        <v>#NAME?</v>
      </c>
    </row>
    <row r="24" spans="1:3" ht="18">
      <c r="A24" s="21">
        <f t="shared" ca="1" si="0"/>
        <v>46070</v>
      </c>
      <c r="B24" s="19" t="e" cm="1">
        <f t="array" aca="1" ref="B24" ca="1">[1]!s_west_netprofit($B$1,2026,$A24,180,1000000)</f>
        <v>#NAME?</v>
      </c>
      <c r="C24" s="20" t="e" cm="1">
        <f t="array" aca="1" ref="C24" ca="1">[1]!s_dq_close($B$1,$A24,3)</f>
        <v>#NAME?</v>
      </c>
    </row>
    <row r="25" spans="1:3" ht="18">
      <c r="A25" s="21">
        <f t="shared" ca="1" si="0"/>
        <v>46063</v>
      </c>
      <c r="B25" s="19" t="e" cm="1">
        <f t="array" aca="1" ref="B25" ca="1">[1]!s_west_netprofit($B$1,2026,$A25,180,1000000)</f>
        <v>#NAME?</v>
      </c>
      <c r="C25" s="20" t="e" cm="1">
        <f t="array" aca="1" ref="C25" ca="1">[1]!s_dq_close($B$1,$A25,3)</f>
        <v>#NAME?</v>
      </c>
    </row>
    <row r="26" spans="1:3" ht="18">
      <c r="A26" s="21">
        <f t="shared" ca="1" si="0"/>
        <v>46056</v>
      </c>
      <c r="B26" s="19" t="e" cm="1">
        <f t="array" aca="1" ref="B26" ca="1">[1]!s_west_netprofit($B$1,2026,$A26,180,1000000)</f>
        <v>#NAME?</v>
      </c>
      <c r="C26" s="20" t="e" cm="1">
        <f t="array" aca="1" ref="C26" ca="1">[1]!s_dq_close($B$1,$A26,3)</f>
        <v>#NAME?</v>
      </c>
    </row>
    <row r="27" spans="1:3" ht="18">
      <c r="A27" s="21">
        <f t="shared" ca="1" si="0"/>
        <v>46049</v>
      </c>
      <c r="B27" s="19" t="e" cm="1">
        <f t="array" aca="1" ref="B27" ca="1">[1]!s_west_netprofit($B$1,2026,$A27,180,1000000)</f>
        <v>#NAME?</v>
      </c>
      <c r="C27" s="20" t="e" cm="1">
        <f t="array" aca="1" ref="C27" ca="1">[1]!s_dq_close($B$1,$A27,3)</f>
        <v>#NAME?</v>
      </c>
    </row>
    <row r="28" spans="1:3" ht="18">
      <c r="A28" s="21">
        <f t="shared" ca="1" si="0"/>
        <v>46042</v>
      </c>
      <c r="B28" s="19" t="e" cm="1">
        <f t="array" aca="1" ref="B28" ca="1">[1]!s_west_netprofit($B$1,2026,$A28,180,1000000)</f>
        <v>#NAME?</v>
      </c>
      <c r="C28" s="20" t="e" cm="1">
        <f t="array" aca="1" ref="C28" ca="1">[1]!s_dq_close($B$1,$A28,3)</f>
        <v>#NAME?</v>
      </c>
    </row>
    <row r="29" spans="1:3" ht="18">
      <c r="A29" s="21">
        <f t="shared" ca="1" si="0"/>
        <v>46035</v>
      </c>
      <c r="B29" s="19" t="e" cm="1">
        <f t="array" aca="1" ref="B29" ca="1">[1]!s_west_netprofit($B$1,2026,$A29,180,1000000)</f>
        <v>#NAME?</v>
      </c>
      <c r="C29" s="20" t="e" cm="1">
        <f t="array" aca="1" ref="C29" ca="1">[1]!s_dq_close($B$1,$A29,3)</f>
        <v>#NAME?</v>
      </c>
    </row>
    <row r="30" spans="1:3" ht="18">
      <c r="A30" s="21">
        <f t="shared" ca="1" si="0"/>
        <v>46028</v>
      </c>
      <c r="B30" s="19" t="e" cm="1">
        <f t="array" aca="1" ref="B30" ca="1">[1]!s_west_netprofit($B$1,2026,$A30,180,1000000)</f>
        <v>#NAME?</v>
      </c>
      <c r="C30" s="20" t="e" cm="1">
        <f t="array" aca="1" ref="C30" ca="1">[1]!s_dq_close($B$1,$A30,3)</f>
        <v>#NAME?</v>
      </c>
    </row>
    <row r="31" spans="1:3" ht="18">
      <c r="A31" s="21">
        <f t="shared" ca="1" si="0"/>
        <v>46021</v>
      </c>
      <c r="B31" s="19" t="e" cm="1">
        <f t="array" aca="1" ref="B31" ca="1">[1]!s_west_netprofit($B$1,2026,$A31,180,1000000)</f>
        <v>#NAME?</v>
      </c>
      <c r="C31" s="20" t="e" cm="1">
        <f t="array" aca="1" ref="C31" ca="1">[1]!s_dq_close($B$1,$A31,3)</f>
        <v>#NAME?</v>
      </c>
    </row>
    <row r="32" spans="1:3" ht="18">
      <c r="A32" s="21">
        <f t="shared" ca="1" si="0"/>
        <v>46014</v>
      </c>
      <c r="B32" s="19" t="e" cm="1">
        <f t="array" aca="1" ref="B32" ca="1">[1]!s_west_netprofit($B$1,2026,$A32,180,1000000)</f>
        <v>#NAME?</v>
      </c>
      <c r="C32" s="20" t="e" cm="1">
        <f t="array" aca="1" ref="C32" ca="1">[1]!s_dq_close($B$1,$A32,3)</f>
        <v>#NAME?</v>
      </c>
    </row>
    <row r="33" spans="1:3" ht="18">
      <c r="A33" s="21">
        <f t="shared" ca="1" si="0"/>
        <v>46007</v>
      </c>
      <c r="B33" s="19" t="e" cm="1">
        <f t="array" aca="1" ref="B33" ca="1">[1]!s_west_netprofit($B$1,2026,$A33,180,1000000)</f>
        <v>#NAME?</v>
      </c>
      <c r="C33" s="20" t="e" cm="1">
        <f t="array" aca="1" ref="C33" ca="1">[1]!s_dq_close($B$1,$A33,3)</f>
        <v>#NAME?</v>
      </c>
    </row>
    <row r="34" spans="1:3" ht="18">
      <c r="A34" s="21">
        <f t="shared" ca="1" si="0"/>
        <v>46000</v>
      </c>
      <c r="B34" s="19" t="e" cm="1">
        <f t="array" aca="1" ref="B34" ca="1">[1]!s_west_netprofit($B$1,2026,$A34,180,1000000)</f>
        <v>#NAME?</v>
      </c>
      <c r="C34" s="20" t="e" cm="1">
        <f t="array" aca="1" ref="C34" ca="1">[1]!s_dq_close($B$1,$A34,3)</f>
        <v>#NAME?</v>
      </c>
    </row>
    <row r="35" spans="1:3" ht="18">
      <c r="A35" s="21">
        <f t="shared" ca="1" si="0"/>
        <v>45993</v>
      </c>
      <c r="B35" s="19" t="e" cm="1">
        <f t="array" aca="1" ref="B35" ca="1">[1]!s_west_netprofit($B$1,2026,$A35,180,1000000)</f>
        <v>#NAME?</v>
      </c>
      <c r="C35" s="20" t="e" cm="1">
        <f t="array" aca="1" ref="C35" ca="1">[1]!s_dq_close($B$1,$A35,3)</f>
        <v>#NAME?</v>
      </c>
    </row>
    <row r="36" spans="1:3" ht="18">
      <c r="A36" s="21">
        <f t="shared" ca="1" si="0"/>
        <v>45986</v>
      </c>
      <c r="B36" s="19" t="e" cm="1">
        <f t="array" aca="1" ref="B36" ca="1">[1]!s_west_netprofit($B$1,2026,$A36,180,1000000)</f>
        <v>#NAME?</v>
      </c>
      <c r="C36" s="20" t="e" cm="1">
        <f t="array" aca="1" ref="C36" ca="1">[1]!s_dq_close($B$1,$A36,3)</f>
        <v>#NAME?</v>
      </c>
    </row>
    <row r="37" spans="1:3" ht="18">
      <c r="A37" s="21">
        <f t="shared" ca="1" si="0"/>
        <v>45979</v>
      </c>
      <c r="B37" s="19" t="e" cm="1">
        <f t="array" aca="1" ref="B37" ca="1">[1]!s_west_netprofit($B$1,2026,$A37,180,1000000)</f>
        <v>#NAME?</v>
      </c>
      <c r="C37" s="20" t="e" cm="1">
        <f t="array" aca="1" ref="C37" ca="1">[1]!s_dq_close($B$1,$A37,3)</f>
        <v>#NAME?</v>
      </c>
    </row>
    <row r="38" spans="1:3" ht="18">
      <c r="A38" s="21">
        <f t="shared" ca="1" si="0"/>
        <v>45972</v>
      </c>
      <c r="B38" s="19" t="e" cm="1">
        <f t="array" aca="1" ref="B38" ca="1">[1]!s_west_netprofit($B$1,2026,$A38,180,1000000)</f>
        <v>#NAME?</v>
      </c>
      <c r="C38" s="20" t="e" cm="1">
        <f t="array" aca="1" ref="C38" ca="1">[1]!s_dq_close($B$1,$A38,3)</f>
        <v>#NAME?</v>
      </c>
    </row>
    <row r="39" spans="1:3" ht="18">
      <c r="A39" s="21">
        <f t="shared" ca="1" si="0"/>
        <v>45965</v>
      </c>
      <c r="B39" s="19" t="e" cm="1">
        <f t="array" aca="1" ref="B39" ca="1">[1]!s_west_netprofit($B$1,2026,$A39,180,1000000)</f>
        <v>#NAME?</v>
      </c>
      <c r="C39" s="20" t="e" cm="1">
        <f t="array" aca="1" ref="C39" ca="1">[1]!s_dq_close($B$1,$A39,3)</f>
        <v>#NAME?</v>
      </c>
    </row>
    <row r="40" spans="1:3" ht="18">
      <c r="A40" s="21">
        <f t="shared" ca="1" si="0"/>
        <v>45958</v>
      </c>
      <c r="B40" s="19" t="e" cm="1">
        <f t="array" aca="1" ref="B40" ca="1">[1]!s_west_netprofit($B$1,2026,$A40,180,1000000)</f>
        <v>#NAME?</v>
      </c>
      <c r="C40" s="20" t="e" cm="1">
        <f t="array" aca="1" ref="C40" ca="1">[1]!s_dq_close($B$1,$A40,3)</f>
        <v>#NAME?</v>
      </c>
    </row>
    <row r="41" spans="1:3" ht="18">
      <c r="A41" s="21">
        <f t="shared" ca="1" si="0"/>
        <v>45951</v>
      </c>
      <c r="B41" s="19" t="e" cm="1">
        <f t="array" aca="1" ref="B41" ca="1">[1]!s_west_netprofit($B$1,2026,$A41,180,1000000)</f>
        <v>#NAME?</v>
      </c>
      <c r="C41" s="20" t="e" cm="1">
        <f t="array" aca="1" ref="C41" ca="1">[1]!s_dq_close($B$1,$A41,3)</f>
        <v>#NAME?</v>
      </c>
    </row>
    <row r="42" spans="1:3" ht="18">
      <c r="A42" s="21">
        <f t="shared" ca="1" si="0"/>
        <v>45944</v>
      </c>
      <c r="B42" s="19" t="e" cm="1">
        <f t="array" aca="1" ref="B42" ca="1">[1]!s_west_netprofit($B$1,2026,$A42,180,1000000)</f>
        <v>#NAME?</v>
      </c>
      <c r="C42" s="20" t="e" cm="1">
        <f t="array" aca="1" ref="C42" ca="1">[1]!s_dq_close($B$1,$A42,3)</f>
        <v>#NAME?</v>
      </c>
    </row>
    <row r="43" spans="1:3" ht="18">
      <c r="A43" s="21">
        <f t="shared" ca="1" si="0"/>
        <v>45937</v>
      </c>
      <c r="B43" s="19" t="e" cm="1">
        <f t="array" aca="1" ref="B43" ca="1">[1]!s_west_netprofit($B$1,2026,$A43,180,1000000)</f>
        <v>#NAME?</v>
      </c>
      <c r="C43" s="20" t="e" cm="1">
        <f t="array" aca="1" ref="C43" ca="1">[1]!s_dq_close($B$1,$A43,3)</f>
        <v>#NAME?</v>
      </c>
    </row>
    <row r="44" spans="1:3" ht="18">
      <c r="A44" s="21">
        <f t="shared" ca="1" si="0"/>
        <v>45930</v>
      </c>
      <c r="B44" s="19" t="e" cm="1">
        <f t="array" aca="1" ref="B44" ca="1">[1]!s_west_netprofit($B$1,2026,$A44,180,1000000)</f>
        <v>#NAME?</v>
      </c>
      <c r="C44" s="20" t="e" cm="1">
        <f t="array" aca="1" ref="C44" ca="1">[1]!s_dq_close($B$1,$A44,3)</f>
        <v>#NAME?</v>
      </c>
    </row>
    <row r="45" spans="1:3" ht="18">
      <c r="A45" s="21">
        <f t="shared" ca="1" si="0"/>
        <v>45923</v>
      </c>
      <c r="B45" s="19" t="e" cm="1">
        <f t="array" aca="1" ref="B45" ca="1">[1]!s_west_netprofit($B$1,2026,$A45,180,1000000)</f>
        <v>#NAME?</v>
      </c>
      <c r="C45" s="20" t="e" cm="1">
        <f t="array" aca="1" ref="C45" ca="1">[1]!s_dq_close($B$1,$A45,3)</f>
        <v>#NAME?</v>
      </c>
    </row>
    <row r="46" spans="1:3" ht="18">
      <c r="A46" s="21">
        <f t="shared" ca="1" si="0"/>
        <v>45916</v>
      </c>
      <c r="B46" s="19" t="e" cm="1">
        <f t="array" aca="1" ref="B46" ca="1">[1]!s_west_netprofit($B$1,2026,$A46,180,1000000)</f>
        <v>#NAME?</v>
      </c>
      <c r="C46" s="20" t="e" cm="1">
        <f t="array" aca="1" ref="C46" ca="1">[1]!s_dq_close($B$1,$A46,3)</f>
        <v>#NAME?</v>
      </c>
    </row>
    <row r="47" spans="1:3" ht="18">
      <c r="A47" s="21">
        <f t="shared" ca="1" si="0"/>
        <v>45909</v>
      </c>
      <c r="B47" s="19" t="e" cm="1">
        <f t="array" aca="1" ref="B47" ca="1">[1]!s_west_netprofit($B$1,2026,$A47,180,1000000)</f>
        <v>#NAME?</v>
      </c>
      <c r="C47" s="20" t="e" cm="1">
        <f t="array" aca="1" ref="C47" ca="1">[1]!s_dq_close($B$1,$A47,3)</f>
        <v>#NAME?</v>
      </c>
    </row>
    <row r="48" spans="1:3" ht="18">
      <c r="A48" s="21">
        <f t="shared" ca="1" si="0"/>
        <v>45902</v>
      </c>
      <c r="B48" s="19" t="e" cm="1">
        <f t="array" aca="1" ref="B48" ca="1">[1]!s_west_netprofit($B$1,2026,$A48,180,1000000)</f>
        <v>#NAME?</v>
      </c>
      <c r="C48" s="20" t="e" cm="1">
        <f t="array" aca="1" ref="C48" ca="1">[1]!s_dq_close($B$1,$A48,3)</f>
        <v>#NAME?</v>
      </c>
    </row>
    <row r="49" spans="1:3" ht="18">
      <c r="A49" s="21">
        <f t="shared" ca="1" si="0"/>
        <v>45895</v>
      </c>
      <c r="B49" s="19" t="e" cm="1">
        <f t="array" aca="1" ref="B49" ca="1">[1]!s_west_netprofit($B$1,2026,$A49,180,1000000)</f>
        <v>#NAME?</v>
      </c>
      <c r="C49" s="20" t="e" cm="1">
        <f t="array" aca="1" ref="C49" ca="1">[1]!s_dq_close($B$1,$A49,3)</f>
        <v>#NAME?</v>
      </c>
    </row>
    <row r="50" spans="1:3" ht="18">
      <c r="A50" s="21">
        <f t="shared" ca="1" si="0"/>
        <v>45888</v>
      </c>
      <c r="B50" s="19" t="e" cm="1">
        <f t="array" aca="1" ref="B50" ca="1">[1]!s_west_netprofit($B$1,2026,$A50,180,1000000)</f>
        <v>#NAME?</v>
      </c>
      <c r="C50" s="20" t="e" cm="1">
        <f t="array" aca="1" ref="C50" ca="1">[1]!s_dq_close($B$1,$A50,3)</f>
        <v>#NAME?</v>
      </c>
    </row>
    <row r="51" spans="1:3" ht="18">
      <c r="A51" s="21">
        <f t="shared" ca="1" si="0"/>
        <v>45881</v>
      </c>
      <c r="B51" s="19" t="e" cm="1">
        <f t="array" aca="1" ref="B51" ca="1">[1]!s_west_netprofit($B$1,2026,$A51,180,1000000)</f>
        <v>#NAME?</v>
      </c>
      <c r="C51" s="20" t="e" cm="1">
        <f t="array" aca="1" ref="C51" ca="1">[1]!s_dq_close($B$1,$A51,3)</f>
        <v>#NAME?</v>
      </c>
    </row>
    <row r="52" spans="1:3" ht="18">
      <c r="A52" s="21">
        <f t="shared" ca="1" si="0"/>
        <v>45874</v>
      </c>
      <c r="B52" s="19" t="e" cm="1">
        <f t="array" aca="1" ref="B52" ca="1">[1]!s_west_netprofit($B$1,2026,$A52,180,1000000)</f>
        <v>#NAME?</v>
      </c>
      <c r="C52" s="20" t="e" cm="1">
        <f t="array" aca="1" ref="C52" ca="1">[1]!s_dq_close($B$1,$A52,3)</f>
        <v>#NAME?</v>
      </c>
    </row>
    <row r="53" spans="1:3" ht="18">
      <c r="A53" s="21">
        <f t="shared" ca="1" si="0"/>
        <v>45867</v>
      </c>
      <c r="B53" s="19" t="e" cm="1">
        <f t="array" aca="1" ref="B53" ca="1">[1]!s_west_netprofit($B$1,2026,$A53,180,1000000)</f>
        <v>#NAME?</v>
      </c>
      <c r="C53" s="20" t="e" cm="1">
        <f t="array" aca="1" ref="C53" ca="1">[1]!s_dq_close($B$1,$A53,3)</f>
        <v>#NAME?</v>
      </c>
    </row>
    <row r="54" spans="1:3" ht="18">
      <c r="A54" s="21">
        <f t="shared" ca="1" si="0"/>
        <v>45860</v>
      </c>
      <c r="B54" s="19" t="e" cm="1">
        <f t="array" aca="1" ref="B54" ca="1">[1]!s_west_netprofit($B$1,2026,$A54,180,1000000)</f>
        <v>#NAME?</v>
      </c>
      <c r="C54" s="20" t="e" cm="1">
        <f t="array" aca="1" ref="C54" ca="1">[1]!s_dq_close($B$1,$A54,3)</f>
        <v>#NAME?</v>
      </c>
    </row>
    <row r="55" spans="1:3" ht="18">
      <c r="A55" s="21">
        <f t="shared" ca="1" si="0"/>
        <v>45853</v>
      </c>
      <c r="B55" s="19" t="e" cm="1">
        <f t="array" aca="1" ref="B55" ca="1">[1]!s_west_netprofit($B$1,2026,$A55,180,1000000)</f>
        <v>#NAME?</v>
      </c>
      <c r="C55" s="20" t="e" cm="1">
        <f t="array" aca="1" ref="C55" ca="1">[1]!s_dq_close($B$1,$A55,3)</f>
        <v>#NAME?</v>
      </c>
    </row>
    <row r="56" spans="1:3" ht="18">
      <c r="A56" s="21">
        <f t="shared" ca="1" si="0"/>
        <v>45846</v>
      </c>
      <c r="B56" s="19" t="e" cm="1">
        <f t="array" aca="1" ref="B56" ca="1">[1]!s_west_netprofit($B$1,2026,$A56,180,1000000)</f>
        <v>#NAME?</v>
      </c>
      <c r="C56" s="20" t="e" cm="1">
        <f t="array" aca="1" ref="C56" ca="1">[1]!s_dq_close($B$1,$A56,3)</f>
        <v>#NAME?</v>
      </c>
    </row>
    <row r="57" spans="1:3" ht="18">
      <c r="A57" s="21">
        <f t="shared" ca="1" si="0"/>
        <v>45839</v>
      </c>
      <c r="B57" s="19" t="e" cm="1">
        <f t="array" aca="1" ref="B57" ca="1">[1]!s_west_netprofit($B$1,2026,$A57,180,1000000)</f>
        <v>#NAME?</v>
      </c>
      <c r="C57" s="20" t="e" cm="1">
        <f t="array" aca="1" ref="C57" ca="1">[1]!s_dq_close($B$1,$A57,3)</f>
        <v>#NAME?</v>
      </c>
    </row>
    <row r="58" spans="1:3" ht="18">
      <c r="A58" s="21">
        <f t="shared" ca="1" si="0"/>
        <v>45832</v>
      </c>
      <c r="B58" s="19" t="e" cm="1">
        <f t="array" aca="1" ref="B58" ca="1">[1]!s_west_netprofit($B$1,2026,$A58,180,1000000)</f>
        <v>#NAME?</v>
      </c>
      <c r="C58" s="20" t="e" cm="1">
        <f t="array" aca="1" ref="C58" ca="1">[1]!s_dq_close($B$1,$A58,3)</f>
        <v>#NAME?</v>
      </c>
    </row>
    <row r="59" spans="1:3" ht="18">
      <c r="A59" s="21">
        <f t="shared" ca="1" si="0"/>
        <v>45825</v>
      </c>
      <c r="B59" s="19" t="e" cm="1">
        <f t="array" aca="1" ref="B59" ca="1">[1]!s_west_netprofit($B$1,2026,$A59,180,1000000)</f>
        <v>#NAME?</v>
      </c>
      <c r="C59" s="20" t="e" cm="1">
        <f t="array" aca="1" ref="C59" ca="1">[1]!s_dq_close($B$1,$A59,3)</f>
        <v>#NAME?</v>
      </c>
    </row>
    <row r="60" spans="1:3" ht="18">
      <c r="A60" s="21">
        <f t="shared" ca="1" si="0"/>
        <v>45818</v>
      </c>
      <c r="B60" s="19" t="e" cm="1">
        <f t="array" aca="1" ref="B60" ca="1">[1]!s_west_netprofit($B$1,2026,$A60,180,1000000)</f>
        <v>#NAME?</v>
      </c>
      <c r="C60" s="20" t="e" cm="1">
        <f t="array" aca="1" ref="C60" ca="1">[1]!s_dq_close($B$1,$A60,3)</f>
        <v>#NAME?</v>
      </c>
    </row>
    <row r="61" spans="1:3" ht="18">
      <c r="A61" s="21">
        <f t="shared" ca="1" si="0"/>
        <v>45811</v>
      </c>
      <c r="B61" s="19" t="e" cm="1">
        <f t="array" aca="1" ref="B61" ca="1">[1]!s_west_netprofit($B$1,2026,$A61,180,1000000)</f>
        <v>#NAME?</v>
      </c>
      <c r="C61" s="20" t="e" cm="1">
        <f t="array" aca="1" ref="C61" ca="1">[1]!s_dq_close($B$1,$A61,3)</f>
        <v>#NAME?</v>
      </c>
    </row>
    <row r="62" spans="1:3" ht="18">
      <c r="A62" s="21">
        <f t="shared" ca="1" si="0"/>
        <v>45804</v>
      </c>
      <c r="B62" s="19" t="e" cm="1">
        <f t="array" aca="1" ref="B62" ca="1">[1]!s_west_netprofit($B$1,2026,$A62,180,1000000)</f>
        <v>#NAME?</v>
      </c>
      <c r="C62" s="20" t="e" cm="1">
        <f t="array" aca="1" ref="C62" ca="1">[1]!s_dq_close($B$1,$A62,3)</f>
        <v>#NAME?</v>
      </c>
    </row>
    <row r="63" spans="1:3" ht="18">
      <c r="A63" s="21">
        <f t="shared" ca="1" si="0"/>
        <v>45797</v>
      </c>
      <c r="B63" s="19" t="e" cm="1">
        <f t="array" aca="1" ref="B63" ca="1">[1]!s_west_netprofit($B$1,2026,$A63,180,1000000)</f>
        <v>#NAME?</v>
      </c>
      <c r="C63" s="20" t="e" cm="1">
        <f t="array" aca="1" ref="C63" ca="1">[1]!s_dq_close($B$1,$A63,3)</f>
        <v>#NAME?</v>
      </c>
    </row>
    <row r="64" spans="1:3" ht="18">
      <c r="A64" s="21">
        <f t="shared" ca="1" si="0"/>
        <v>45790</v>
      </c>
      <c r="B64" s="19" t="e" cm="1">
        <f t="array" aca="1" ref="B64" ca="1">[1]!s_west_netprofit($B$1,2026,$A64,180,1000000)</f>
        <v>#NAME?</v>
      </c>
      <c r="C64" s="20" t="e" cm="1">
        <f t="array" aca="1" ref="C64" ca="1">[1]!s_dq_close($B$1,$A64,3)</f>
        <v>#NAME?</v>
      </c>
    </row>
    <row r="65" spans="1:3" ht="18">
      <c r="A65" s="21">
        <f t="shared" ca="1" si="0"/>
        <v>45783</v>
      </c>
      <c r="B65" s="19" t="e" cm="1">
        <f t="array" aca="1" ref="B65" ca="1">[1]!s_west_netprofit($B$1,2026,$A65,180,1000000)</f>
        <v>#NAME?</v>
      </c>
      <c r="C65" s="20" t="e" cm="1">
        <f t="array" aca="1" ref="C65" ca="1">[1]!s_dq_close($B$1,$A65,3)</f>
        <v>#NAME?</v>
      </c>
    </row>
    <row r="66" spans="1:3" ht="18">
      <c r="A66" s="21">
        <f t="shared" ca="1" si="0"/>
        <v>45776</v>
      </c>
      <c r="B66" s="19" t="e" cm="1">
        <f t="array" aca="1" ref="B66" ca="1">[1]!s_west_netprofit($B$1,2026,$A66,180,1000000)</f>
        <v>#NAME?</v>
      </c>
      <c r="C66" s="20" t="e" cm="1">
        <f t="array" aca="1" ref="C66" ca="1">[1]!s_dq_close($B$1,$A66,3)</f>
        <v>#NAME?</v>
      </c>
    </row>
    <row r="67" spans="1:3" ht="18">
      <c r="A67" s="21">
        <f t="shared" ca="1" si="0"/>
        <v>45769</v>
      </c>
      <c r="B67" s="19" t="e" cm="1">
        <f t="array" aca="1" ref="B67" ca="1">[1]!s_west_netprofit($B$1,2026,$A67,180,1000000)</f>
        <v>#NAME?</v>
      </c>
      <c r="C67" s="20" t="e" cm="1">
        <f t="array" aca="1" ref="C67" ca="1">[1]!s_dq_close($B$1,$A67,3)</f>
        <v>#NAME?</v>
      </c>
    </row>
    <row r="68" spans="1:3" ht="18">
      <c r="A68" s="21">
        <f t="shared" ca="1" si="0"/>
        <v>45762</v>
      </c>
      <c r="B68" s="19" t="e" cm="1">
        <f t="array" aca="1" ref="B68" ca="1">[1]!s_west_netprofit($B$1,2026,$A68,180,1000000)</f>
        <v>#NAME?</v>
      </c>
      <c r="C68" s="20" t="e" cm="1">
        <f t="array" aca="1" ref="C68" ca="1">[1]!s_dq_close($B$1,$A68,3)</f>
        <v>#NAME?</v>
      </c>
    </row>
    <row r="69" spans="1:3" ht="18">
      <c r="A69" s="21">
        <f t="shared" ca="1" si="0"/>
        <v>45755</v>
      </c>
      <c r="B69" s="19" t="e" cm="1">
        <f t="array" aca="1" ref="B69" ca="1">[1]!s_west_netprofit($B$1,2026,$A69,180,1000000)</f>
        <v>#NAME?</v>
      </c>
      <c r="C69" s="20" t="e" cm="1">
        <f t="array" aca="1" ref="C69" ca="1">[1]!s_dq_close($B$1,$A69,3)</f>
        <v>#NAME?</v>
      </c>
    </row>
    <row r="70" spans="1:3" ht="18">
      <c r="A70" s="21">
        <f t="shared" ca="1" si="0"/>
        <v>45748</v>
      </c>
      <c r="B70" s="19" t="e" cm="1">
        <f t="array" aca="1" ref="B70" ca="1">[1]!s_west_netprofit($B$1,2026,$A70,180,1000000)</f>
        <v>#NAME?</v>
      </c>
      <c r="C70" s="20" t="e" cm="1">
        <f t="array" aca="1" ref="C70" ca="1">[1]!s_dq_close($B$1,$A70,3)</f>
        <v>#NAME?</v>
      </c>
    </row>
    <row r="71" spans="1:3" ht="18">
      <c r="A71" s="21">
        <f t="shared" ca="1" si="0"/>
        <v>45741</v>
      </c>
      <c r="B71" s="19" t="e" cm="1">
        <f t="array" aca="1" ref="B71" ca="1">[1]!s_west_netprofit($B$1,2026,$A71,180,1000000)</f>
        <v>#NAME?</v>
      </c>
      <c r="C71" s="20" t="e" cm="1">
        <f t="array" aca="1" ref="C71" ca="1">[1]!s_dq_close($B$1,$A71,3)</f>
        <v>#NAME?</v>
      </c>
    </row>
    <row r="72" spans="1:3" ht="18">
      <c r="A72" s="21">
        <f t="shared" ca="1" si="0"/>
        <v>45734</v>
      </c>
      <c r="B72" s="19" t="e" cm="1">
        <f t="array" aca="1" ref="B72" ca="1">[1]!s_west_netprofit($B$1,2026,$A72,180,1000000)</f>
        <v>#NAME?</v>
      </c>
      <c r="C72" s="20" t="e" cm="1">
        <f t="array" aca="1" ref="C72" ca="1">[1]!s_dq_close($B$1,$A72,3)</f>
        <v>#NAME?</v>
      </c>
    </row>
    <row r="73" spans="1:3" ht="18">
      <c r="A73" s="21">
        <f t="shared" ca="1" si="0"/>
        <v>45727</v>
      </c>
      <c r="B73" s="19" t="e" cm="1">
        <f t="array" aca="1" ref="B73" ca="1">[1]!s_west_netprofit($B$1,2026,$A73,180,1000000)</f>
        <v>#NAME?</v>
      </c>
      <c r="C73" s="20" t="e" cm="1">
        <f t="array" aca="1" ref="C73" ca="1">[1]!s_dq_close($B$1,$A73,3)</f>
        <v>#NAME?</v>
      </c>
    </row>
    <row r="74" spans="1:3" ht="18">
      <c r="A74" s="21">
        <f t="shared" ca="1" si="0"/>
        <v>45720</v>
      </c>
      <c r="B74" s="19" t="e" cm="1">
        <f t="array" aca="1" ref="B74" ca="1">[1]!s_west_netprofit($B$1,2026,$A74,180,1000000)</f>
        <v>#NAME?</v>
      </c>
      <c r="C74" s="20" t="e" cm="1">
        <f t="array" aca="1" ref="C74" ca="1">[1]!s_dq_close($B$1,$A74,3)</f>
        <v>#NAME?</v>
      </c>
    </row>
    <row r="75" spans="1:3" ht="18">
      <c r="A75" s="21">
        <f t="shared" ca="1" si="0"/>
        <v>45713</v>
      </c>
      <c r="B75" s="19" t="e" cm="1">
        <f t="array" aca="1" ref="B75" ca="1">[1]!s_west_netprofit($B$1,2026,$A75,180,1000000)</f>
        <v>#NAME?</v>
      </c>
      <c r="C75" s="20" t="e" cm="1">
        <f t="array" aca="1" ref="C75" ca="1">[1]!s_dq_close($B$1,$A75,3)</f>
        <v>#NAME?</v>
      </c>
    </row>
    <row r="76" spans="1:3" ht="18">
      <c r="A76" s="21">
        <f t="shared" ref="A76:A99" ca="1" si="1">A75-7</f>
        <v>45706</v>
      </c>
      <c r="B76" s="19" t="e" cm="1">
        <f t="array" aca="1" ref="B76" ca="1">[1]!s_west_netprofit($B$1,2026,$A76,180,1000000)</f>
        <v>#NAME?</v>
      </c>
      <c r="C76" s="20" t="e" cm="1">
        <f t="array" aca="1" ref="C76" ca="1">[1]!s_dq_close($B$1,$A76,3)</f>
        <v>#NAME?</v>
      </c>
    </row>
    <row r="77" spans="1:3" ht="18">
      <c r="A77" s="21">
        <f t="shared" ca="1" si="1"/>
        <v>45699</v>
      </c>
      <c r="B77" s="19" t="e" cm="1">
        <f t="array" aca="1" ref="B77" ca="1">[1]!s_west_netprofit($B$1,2026,$A77,180,1000000)</f>
        <v>#NAME?</v>
      </c>
      <c r="C77" s="20" t="e" cm="1">
        <f t="array" aca="1" ref="C77" ca="1">[1]!s_dq_close($B$1,$A77,3)</f>
        <v>#NAME?</v>
      </c>
    </row>
    <row r="78" spans="1:3" ht="18">
      <c r="A78" s="21">
        <f t="shared" ca="1" si="1"/>
        <v>45692</v>
      </c>
      <c r="B78" s="19" t="e" cm="1">
        <f t="array" aca="1" ref="B78" ca="1">[1]!s_west_netprofit($B$1,2026,$A78,180,1000000)</f>
        <v>#NAME?</v>
      </c>
      <c r="C78" s="20" t="e" cm="1">
        <f t="array" aca="1" ref="C78" ca="1">[1]!s_dq_close($B$1,$A78,3)</f>
        <v>#NAME?</v>
      </c>
    </row>
    <row r="79" spans="1:3" ht="18">
      <c r="A79" s="21">
        <f t="shared" ca="1" si="1"/>
        <v>45685</v>
      </c>
      <c r="B79" s="19" t="e" cm="1">
        <f t="array" aca="1" ref="B79" ca="1">[1]!s_west_netprofit($B$1,2026,$A79,180,1000000)</f>
        <v>#NAME?</v>
      </c>
      <c r="C79" s="20" t="e" cm="1">
        <f t="array" aca="1" ref="C79" ca="1">[1]!s_dq_close($B$1,$A79,3)</f>
        <v>#NAME?</v>
      </c>
    </row>
    <row r="80" spans="1:3" ht="18">
      <c r="A80" s="21">
        <f t="shared" ca="1" si="1"/>
        <v>45678</v>
      </c>
      <c r="B80" s="19" t="e" cm="1">
        <f t="array" aca="1" ref="B80" ca="1">[1]!s_west_netprofit($B$1,2026,$A80,180,1000000)</f>
        <v>#NAME?</v>
      </c>
      <c r="C80" s="20" t="e" cm="1">
        <f t="array" aca="1" ref="C80" ca="1">[1]!s_dq_close($B$1,$A80,3)</f>
        <v>#NAME?</v>
      </c>
    </row>
    <row r="81" spans="1:3" ht="18">
      <c r="A81" s="21">
        <f t="shared" ca="1" si="1"/>
        <v>45671</v>
      </c>
      <c r="B81" s="19" t="e" cm="1">
        <f t="array" aca="1" ref="B81" ca="1">[1]!s_west_netprofit($B$1,2026,$A81,180,1000000)</f>
        <v>#NAME?</v>
      </c>
      <c r="C81" s="20" t="e" cm="1">
        <f t="array" aca="1" ref="C81" ca="1">[1]!s_dq_close($B$1,$A81,3)</f>
        <v>#NAME?</v>
      </c>
    </row>
    <row r="82" spans="1:3" ht="18">
      <c r="A82" s="21">
        <f t="shared" ca="1" si="1"/>
        <v>45664</v>
      </c>
      <c r="B82" s="19" t="e" cm="1">
        <f t="array" aca="1" ref="B82" ca="1">[1]!s_west_netprofit($B$1,2026,$A82,180,1000000)</f>
        <v>#NAME?</v>
      </c>
      <c r="C82" s="20" t="e" cm="1">
        <f t="array" aca="1" ref="C82" ca="1">[1]!s_dq_close($B$1,$A82,3)</f>
        <v>#NAME?</v>
      </c>
    </row>
    <row r="83" spans="1:3" ht="18">
      <c r="A83" s="21">
        <f t="shared" ca="1" si="1"/>
        <v>45657</v>
      </c>
      <c r="B83" s="19" t="e" cm="1">
        <f t="array" aca="1" ref="B83" ca="1">[1]!s_west_netprofit($B$1,2026,$A83,180,1000000)</f>
        <v>#NAME?</v>
      </c>
      <c r="C83" s="20" t="e" cm="1">
        <f t="array" aca="1" ref="C83" ca="1">[1]!s_dq_close($B$1,$A83,3)</f>
        <v>#NAME?</v>
      </c>
    </row>
    <row r="84" spans="1:3" ht="18">
      <c r="A84" s="21">
        <f t="shared" ca="1" si="1"/>
        <v>45650</v>
      </c>
      <c r="B84" s="19" t="e" cm="1">
        <f t="array" aca="1" ref="B84" ca="1">[1]!s_west_netprofit($B$1,2026,$A84,180,1000000)</f>
        <v>#NAME?</v>
      </c>
      <c r="C84" s="20" t="e" cm="1">
        <f t="array" aca="1" ref="C84" ca="1">[1]!s_dq_close($B$1,$A84,3)</f>
        <v>#NAME?</v>
      </c>
    </row>
    <row r="85" spans="1:3" ht="18">
      <c r="A85" s="21">
        <f t="shared" ca="1" si="1"/>
        <v>45643</v>
      </c>
      <c r="B85" s="19" t="e" cm="1">
        <f t="array" aca="1" ref="B85" ca="1">[1]!s_west_netprofit($B$1,2026,$A85,180,1000000)</f>
        <v>#NAME?</v>
      </c>
      <c r="C85" s="20" t="e" cm="1">
        <f t="array" aca="1" ref="C85" ca="1">[1]!s_dq_close($B$1,$A85,3)</f>
        <v>#NAME?</v>
      </c>
    </row>
    <row r="86" spans="1:3" ht="18">
      <c r="A86" s="21">
        <f t="shared" ca="1" si="1"/>
        <v>45636</v>
      </c>
      <c r="B86" s="19" t="e" cm="1">
        <f t="array" aca="1" ref="B86" ca="1">[1]!s_west_netprofit($B$1,2026,$A86,180,1000000)</f>
        <v>#NAME?</v>
      </c>
      <c r="C86" s="20" t="e" cm="1">
        <f t="array" aca="1" ref="C86" ca="1">[1]!s_dq_close($B$1,$A86,3)</f>
        <v>#NAME?</v>
      </c>
    </row>
    <row r="87" spans="1:3" ht="18">
      <c r="A87" s="21">
        <f t="shared" ca="1" si="1"/>
        <v>45629</v>
      </c>
      <c r="B87" s="19" t="e" cm="1">
        <f t="array" aca="1" ref="B87" ca="1">[1]!s_west_netprofit($B$1,2026,$A87,180,1000000)</f>
        <v>#NAME?</v>
      </c>
      <c r="C87" s="20" t="e" cm="1">
        <f t="array" aca="1" ref="C87" ca="1">[1]!s_dq_close($B$1,$A87,3)</f>
        <v>#NAME?</v>
      </c>
    </row>
    <row r="88" spans="1:3" ht="18">
      <c r="A88" s="21">
        <f t="shared" ca="1" si="1"/>
        <v>45622</v>
      </c>
      <c r="B88" s="19" t="e" cm="1">
        <f t="array" aca="1" ref="B88" ca="1">[1]!s_west_netprofit($B$1,2026,$A88,180,1000000)</f>
        <v>#NAME?</v>
      </c>
      <c r="C88" s="20" t="e" cm="1">
        <f t="array" aca="1" ref="C88" ca="1">[1]!s_dq_close($B$1,$A88,3)</f>
        <v>#NAME?</v>
      </c>
    </row>
    <row r="89" spans="1:3" ht="18">
      <c r="A89" s="21">
        <f t="shared" ca="1" si="1"/>
        <v>45615</v>
      </c>
      <c r="B89" s="19" t="e" cm="1">
        <f t="array" aca="1" ref="B89" ca="1">[1]!s_west_netprofit($B$1,2026,$A89,180,1000000)</f>
        <v>#NAME?</v>
      </c>
      <c r="C89" s="20" t="e" cm="1">
        <f t="array" aca="1" ref="C89" ca="1">[1]!s_dq_close($B$1,$A89,3)</f>
        <v>#NAME?</v>
      </c>
    </row>
    <row r="90" spans="1:3" ht="18">
      <c r="A90" s="21">
        <f t="shared" ca="1" si="1"/>
        <v>45608</v>
      </c>
      <c r="B90" s="19" t="e" cm="1">
        <f t="array" aca="1" ref="B90" ca="1">[1]!s_west_netprofit($B$1,2026,$A90,180,1000000)</f>
        <v>#NAME?</v>
      </c>
      <c r="C90" s="20" t="e" cm="1">
        <f t="array" aca="1" ref="C90" ca="1">[1]!s_dq_close($B$1,$A90,3)</f>
        <v>#NAME?</v>
      </c>
    </row>
    <row r="91" spans="1:3" ht="18">
      <c r="A91" s="21">
        <f t="shared" ca="1" si="1"/>
        <v>45601</v>
      </c>
      <c r="B91" s="19" t="e" cm="1">
        <f t="array" aca="1" ref="B91" ca="1">[1]!s_west_netprofit($B$1,2026,$A91,180,1000000)</f>
        <v>#NAME?</v>
      </c>
      <c r="C91" s="20" t="e" cm="1">
        <f t="array" aca="1" ref="C91" ca="1">[1]!s_dq_close($B$1,$A91,3)</f>
        <v>#NAME?</v>
      </c>
    </row>
    <row r="92" spans="1:3" ht="18">
      <c r="A92" s="21">
        <f t="shared" ca="1" si="1"/>
        <v>45594</v>
      </c>
      <c r="B92" s="19" t="e" cm="1">
        <f t="array" aca="1" ref="B92" ca="1">[1]!s_west_netprofit($B$1,2026,$A92,180,1000000)</f>
        <v>#NAME?</v>
      </c>
      <c r="C92" s="20" t="e" cm="1">
        <f t="array" aca="1" ref="C92" ca="1">[1]!s_dq_close($B$1,$A92,3)</f>
        <v>#NAME?</v>
      </c>
    </row>
    <row r="93" spans="1:3" ht="18">
      <c r="A93" s="21">
        <f t="shared" ca="1" si="1"/>
        <v>45587</v>
      </c>
      <c r="B93" s="19" t="e" cm="1">
        <f t="array" aca="1" ref="B93" ca="1">[1]!s_west_netprofit($B$1,2026,$A93,180,1000000)</f>
        <v>#NAME?</v>
      </c>
      <c r="C93" s="20" t="e" cm="1">
        <f t="array" aca="1" ref="C93" ca="1">[1]!s_dq_close($B$1,$A93,3)</f>
        <v>#NAME?</v>
      </c>
    </row>
    <row r="94" spans="1:3" ht="18">
      <c r="A94" s="21">
        <f t="shared" ca="1" si="1"/>
        <v>45580</v>
      </c>
      <c r="B94" s="19" t="e" cm="1">
        <f t="array" aca="1" ref="B94" ca="1">[1]!s_west_netprofit($B$1,2026,$A94,180,1000000)</f>
        <v>#NAME?</v>
      </c>
      <c r="C94" s="20" t="e" cm="1">
        <f t="array" aca="1" ref="C94" ca="1">[1]!s_dq_close($B$1,$A94,3)</f>
        <v>#NAME?</v>
      </c>
    </row>
    <row r="95" spans="1:3" ht="18">
      <c r="A95" s="21">
        <f t="shared" ca="1" si="1"/>
        <v>45573</v>
      </c>
      <c r="B95" s="19" t="e" cm="1">
        <f t="array" aca="1" ref="B95" ca="1">[1]!s_west_netprofit($B$1,2026,$A95,180,1000000)</f>
        <v>#NAME?</v>
      </c>
      <c r="C95" s="20" t="e" cm="1">
        <f t="array" aca="1" ref="C95" ca="1">[1]!s_dq_close($B$1,$A95,3)</f>
        <v>#NAME?</v>
      </c>
    </row>
    <row r="96" spans="1:3" ht="18">
      <c r="A96" s="21">
        <f t="shared" ca="1" si="1"/>
        <v>45566</v>
      </c>
      <c r="B96" s="19" t="e" cm="1">
        <f t="array" aca="1" ref="B96" ca="1">[1]!s_west_netprofit($B$1,2026,$A96,180,1000000)</f>
        <v>#NAME?</v>
      </c>
      <c r="C96" s="20" t="e" cm="1">
        <f t="array" aca="1" ref="C96" ca="1">[1]!s_dq_close($B$1,$A96,3)</f>
        <v>#NAME?</v>
      </c>
    </row>
    <row r="97" spans="1:3" ht="18">
      <c r="A97" s="21">
        <f t="shared" ca="1" si="1"/>
        <v>45559</v>
      </c>
      <c r="B97" s="19" t="e" cm="1">
        <f t="array" aca="1" ref="B97" ca="1">[1]!s_west_netprofit($B$1,2026,$A97,180,1000000)</f>
        <v>#NAME?</v>
      </c>
      <c r="C97" s="20" t="e" cm="1">
        <f t="array" aca="1" ref="C97" ca="1">[1]!s_dq_close($B$1,$A97,3)</f>
        <v>#NAME?</v>
      </c>
    </row>
    <row r="98" spans="1:3" ht="18">
      <c r="A98" s="21">
        <f t="shared" ca="1" si="1"/>
        <v>45552</v>
      </c>
      <c r="B98" s="19" t="e" cm="1">
        <f t="array" aca="1" ref="B98" ca="1">[1]!s_west_netprofit($B$1,2026,$A98,180,1000000)</f>
        <v>#NAME?</v>
      </c>
      <c r="C98" s="20" t="e" cm="1">
        <f t="array" aca="1" ref="C98" ca="1">[1]!s_dq_close($B$1,$A98,3)</f>
        <v>#NAME?</v>
      </c>
    </row>
    <row r="99" spans="1:3" ht="19" thickBot="1">
      <c r="A99" s="22">
        <f t="shared" ca="1" si="1"/>
        <v>45545</v>
      </c>
      <c r="B99" s="23" t="e" cm="1">
        <f t="array" aca="1" ref="B99" ca="1">[1]!s_west_netprofit($B$1,2026,$A99,180,1000000)</f>
        <v>#NAME?</v>
      </c>
      <c r="C99" s="24" t="e" cm="1">
        <f t="array" aca="1" ref="C99" ca="1">[1]!s_dq_close($B$1,$A99,3)</f>
        <v>#NAME?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ZENG, YaLin [Alumni]</dc:creator>
  <cp:lastModifiedBy>ZENG, YaLin [Alumni]</cp:lastModifiedBy>
  <dcterms:created xsi:type="dcterms:W3CDTF">2026-05-18T11:11:21Z</dcterms:created>
  <dcterms:modified xsi:type="dcterms:W3CDTF">2026-05-19T02:15:01Z</dcterms:modified>
</cp:coreProperties>
</file>