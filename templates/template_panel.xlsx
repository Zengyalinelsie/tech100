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000" yWindow="-20120" windowWidth="27980" windowHeight="14640" tabRatio="600" firstSheet="0" activeTab="0" autoFilterDateGrouping="1"/>
  </bookViews>
  <sheets>
    <sheet xmlns:r="http://schemas.openxmlformats.org/officeDocument/2006/relationships" name="_meta" sheetId="1" state="visible" r:id="rId1"/>
    <sheet xmlns:r="http://schemas.openxmlformats.org/officeDocument/2006/relationships" name="panel" sheetId="2" state="visible" r:id="rId2"/>
    <sheet xmlns:r="http://schemas.openxmlformats.org/officeDocument/2006/relationships" name="static_info" sheetId="3" state="visible" r:id="rId3"/>
    <sheet xmlns:r="http://schemas.openxmlformats.org/officeDocument/2006/relationships" name="benchmark" sheetId="4" state="visible" r:id="rId4"/>
  </sheets>
  <externalReferences>
    <externalReference xmlns:r="http://schemas.openxmlformats.org/officeDocument/2006/relationships" r:id="rId5"/>
  </externalReferences>
  <definedNames>
    <definedName name="____NAV3">IF(tType="N","EV/Ebitda","Pre-Provision Profits")</definedName>
    <definedName name="tType">"N"</definedName>
  </definedNames>
  <calcPr calcId="191029" fullCalcOnLoad="1" iterate="1" iterateCount="2000" iterateDelta="0.0001"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"/>
    <numFmt numFmtId="166" formatCode="###,###,##0.0000"/>
  </numFmts>
  <fonts count="22">
    <font>
      <name val="宋体"/>
      <charset val="134"/>
      <color theme="1"/>
      <sz val="11"/>
      <scheme val="minor"/>
    </font>
    <font>
      <name val="Times New Roman"/>
      <family val="1"/>
      <b val="1"/>
      <color theme="1"/>
      <sz val="14"/>
    </font>
    <font>
      <name val="Times New Roman"/>
      <family val="1"/>
      <color theme="1"/>
      <sz val="14"/>
    </font>
    <font>
      <name val="Times New Roman"/>
      <family val="1"/>
      <b val="1"/>
      <color rgb="FF000000"/>
      <sz val="12"/>
    </font>
    <font>
      <name val="宋体"/>
      <charset val="134"/>
      <family val="3"/>
      <color theme="1"/>
      <sz val="14"/>
    </font>
    <font>
      <name val="宋体"/>
      <charset val="134"/>
      <family val="3"/>
      <b val="1"/>
      <color theme="1"/>
      <sz val="14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1"/>
      <scheme val="minor"/>
    </font>
    <font>
      <name val="Courier New"/>
      <family val="1"/>
      <color theme="1"/>
      <sz val="11"/>
    </font>
    <font>
      <name val="Courier New"/>
      <family val="1"/>
      <color rgb="FF61FFCA"/>
      <sz val="11"/>
    </font>
    <font>
      <name val="Courier New"/>
      <family val="1"/>
      <color rgb="FFFF6767"/>
      <sz val="11"/>
    </font>
    <font>
      <name val="Arial"/>
      <family val="2"/>
      <color rgb="FF4C4F69"/>
      <sz val="14"/>
    </font>
    <font>
      <name val="Menlo"/>
      <family val="2"/>
      <color rgb="FF4C4F69"/>
      <sz val="11"/>
    </font>
    <font>
      <name val="Times New Roman"/>
      <family val="1"/>
      <color rgb="FFFF6767"/>
      <sz val="9"/>
    </font>
    <font>
      <name val="Times New Roman"/>
      <family val="1"/>
      <color theme="1"/>
      <sz val="9"/>
    </font>
    <font>
      <name val="宋体"/>
      <charset val="134"/>
      <family val="3"/>
      <color theme="1"/>
      <sz val="9"/>
    </font>
    <font>
      <name val="Times New Roman"/>
      <family val="1"/>
      <color rgb="FF4C4F69"/>
      <sz val="9"/>
    </font>
    <font>
      <name val="Arial"/>
      <family val="2"/>
      <color rgb="FF4C4F69"/>
      <sz val="9"/>
    </font>
    <font>
      <name val="Microsoft YaHei"/>
      <charset val="134"/>
      <family val="2"/>
      <color rgb="FF4C4F69"/>
      <sz val="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theme="8" tint="0.7999206518753624"/>
        <bgColor indexed="64"/>
      </patternFill>
    </fill>
    <fill>
      <patternFill patternType="solid">
        <fgColor rgb="002878B5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 applyAlignment="1">
      <alignment vertical="center"/>
    </xf>
    <xf numFmtId="0" fontId="6" fillId="0" borderId="0"/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1">
      <alignment horizontal="center"/>
    </xf>
    <xf numFmtId="0" fontId="2" fillId="0" borderId="2" applyAlignment="1" pivotButton="0" quotePrefix="0" xfId="1">
      <alignment horizontal="center"/>
    </xf>
    <xf numFmtId="0" fontId="2" fillId="0" borderId="3" applyAlignment="1" pivotButton="0" quotePrefix="0" xfId="1">
      <alignment horizontal="center"/>
    </xf>
    <xf numFmtId="0" fontId="2" fillId="0" borderId="4" applyAlignment="1" pivotButton="0" quotePrefix="0" xfId="1">
      <alignment horizontal="center"/>
    </xf>
    <xf numFmtId="0" fontId="2" fillId="0" borderId="0" applyAlignment="1" pivotButton="0" quotePrefix="0" xfId="1">
      <alignment horizontal="center"/>
    </xf>
    <xf numFmtId="0" fontId="2" fillId="0" borderId="5" applyAlignment="1" pivotButton="0" quotePrefix="0" xfId="1">
      <alignment horizontal="center"/>
    </xf>
    <xf numFmtId="164" fontId="2" fillId="0" borderId="0" applyAlignment="1" pivotButton="0" quotePrefix="0" xfId="1">
      <alignment horizontal="center"/>
    </xf>
    <xf numFmtId="164" fontId="2" fillId="0" borderId="5" applyAlignment="1" pivotButton="0" quotePrefix="0" xfId="1">
      <alignment horizontal="center"/>
    </xf>
    <xf numFmtId="0" fontId="2" fillId="0" borderId="6" applyAlignment="1" pivotButton="0" quotePrefix="0" xfId="1">
      <alignment horizontal="center"/>
    </xf>
    <xf numFmtId="164" fontId="2" fillId="0" borderId="7" applyAlignment="1" pivotButton="0" quotePrefix="0" xfId="1">
      <alignment horizontal="center"/>
    </xf>
    <xf numFmtId="164" fontId="2" fillId="0" borderId="8" applyAlignment="1" pivotButton="0" quotePrefix="0" xfId="1">
      <alignment horizontal="center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14" fontId="2" fillId="2" borderId="4" pivotButton="0" quotePrefix="0" xfId="1"/>
    <xf numFmtId="164" fontId="2" fillId="0" borderId="0" pivotButton="0" quotePrefix="0" xfId="1"/>
    <xf numFmtId="165" fontId="2" fillId="0" borderId="5" pivotButton="0" quotePrefix="0" xfId="1"/>
    <xf numFmtId="14" fontId="2" fillId="0" borderId="4" pivotButton="0" quotePrefix="0" xfId="1"/>
    <xf numFmtId="14" fontId="2" fillId="0" borderId="6" pivotButton="0" quotePrefix="0" xfId="1"/>
    <xf numFmtId="164" fontId="2" fillId="0" borderId="7" pivotButton="0" quotePrefix="0" xfId="1"/>
    <xf numFmtId="165" fontId="2" fillId="0" borderId="8" pivotButton="0" quotePrefix="0" xfId="1"/>
    <xf numFmtId="14" fontId="0" fillId="0" borderId="0" applyAlignment="1" pivotButton="0" quotePrefix="0" xfId="0">
      <alignment vertical="center"/>
    </xf>
    <xf numFmtId="0" fontId="8" fillId="0" borderId="0" pivotButton="0" quotePrefix="0" xfId="0"/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14" fontId="9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0" fontId="0" fillId="0" borderId="0" pivotButton="0" quotePrefix="0" xfId="0"/>
    <xf numFmtId="0" fontId="20" fillId="3" borderId="0" pivotButton="0" quotePrefix="0" xfId="0"/>
    <xf numFmtId="0" fontId="21" fillId="0" borderId="0" pivotButton="0" quotePrefix="0" xfId="0"/>
    <xf numFmtId="0" fontId="20" fillId="3" borderId="0" applyAlignment="1" pivotButton="0" quotePrefix="0" xfId="0">
      <alignment horizontal="center"/>
    </xf>
  </cellXfs>
  <cellStyles count="2">
    <cellStyle name="常规" xfId="0" builtinId="0"/>
    <cellStyle name="Normal 7" xfId="1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Library/WindFunc/windfunc.xla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definedNames>
      <definedName name="hks_info_industry_sw_2021"/>
      <definedName name="s_dq_amount"/>
      <definedName name="s_dq_close"/>
      <definedName name="s_dq_turn"/>
      <definedName name="s_dq_volume"/>
      <definedName name="S_INFO_NAME"/>
      <definedName name="s_ipo_listeddate"/>
      <definedName name="S_VAL_MV"/>
      <definedName name="s_val_pe_ttm"/>
      <definedName name="s_west_eps"/>
      <definedName name="s_west_instnum_np"/>
      <definedName name="s_west_maxnetprofit"/>
      <definedName name="s_west_mediannetprofit"/>
      <definedName name="s_west_minnetprofit"/>
      <definedName name="s_west_netprofit"/>
      <definedName name="s_west_stdnetprofit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12" customWidth="1" style="35" min="1" max="1"/>
    <col width="18" customWidth="1" style="35" min="2" max="2"/>
  </cols>
  <sheetData>
    <row r="1">
      <c r="A1" s="36" t="inlineStr">
        <is>
          <t>wind_code</t>
        </is>
      </c>
      <c r="B1" s="36" t="inlineStr">
        <is>
          <t>name</t>
        </is>
      </c>
    </row>
    <row r="2">
      <c r="A2" s="0" t="inlineStr">
        <is>
          <t>0013.HK</t>
        </is>
      </c>
      <c r="B2" s="0" t="inlineStr">
        <is>
          <t>和黄医药</t>
        </is>
      </c>
    </row>
    <row r="3">
      <c r="A3" s="0" t="inlineStr">
        <is>
          <t>0020.HK</t>
        </is>
      </c>
      <c r="B3" s="0" t="inlineStr">
        <is>
          <t>商汤</t>
        </is>
      </c>
    </row>
    <row r="4">
      <c r="A4" s="0" t="inlineStr">
        <is>
          <t>0136.HK</t>
        </is>
      </c>
      <c r="B4" s="0" t="inlineStr">
        <is>
          <t>中国儒意</t>
        </is>
      </c>
    </row>
    <row r="5">
      <c r="A5" s="0" t="inlineStr">
        <is>
          <t>0148.HK</t>
        </is>
      </c>
      <c r="B5" s="0" t="inlineStr">
        <is>
          <t>建滔集团</t>
        </is>
      </c>
    </row>
    <row r="6">
      <c r="A6" s="0" t="inlineStr">
        <is>
          <t>0179.HK</t>
        </is>
      </c>
      <c r="B6" s="0" t="inlineStr">
        <is>
          <t>德昌电机</t>
        </is>
      </c>
    </row>
    <row r="7">
      <c r="A7" s="0" t="inlineStr">
        <is>
          <t>0241.HK</t>
        </is>
      </c>
      <c r="B7" s="0" t="inlineStr">
        <is>
          <t>阿里健康</t>
        </is>
      </c>
    </row>
    <row r="8">
      <c r="A8" s="0" t="inlineStr">
        <is>
          <t>0268.HK</t>
        </is>
      </c>
      <c r="B8" s="0" t="inlineStr">
        <is>
          <t>金蝶国际</t>
        </is>
      </c>
    </row>
    <row r="9">
      <c r="A9" s="0" t="inlineStr">
        <is>
          <t>0285.HK</t>
        </is>
      </c>
      <c r="B9" s="0" t="inlineStr">
        <is>
          <t>比亚迪电子</t>
        </is>
      </c>
    </row>
    <row r="10">
      <c r="A10" s="0" t="inlineStr">
        <is>
          <t>0303.HK</t>
        </is>
      </c>
      <c r="B10" s="0" t="inlineStr">
        <is>
          <t>VTECH</t>
        </is>
      </c>
    </row>
    <row r="11">
      <c r="A11" s="0" t="inlineStr">
        <is>
          <t>0354.HK</t>
        </is>
      </c>
      <c r="B11" s="0" t="inlineStr">
        <is>
          <t>中软国际</t>
        </is>
      </c>
    </row>
    <row r="12">
      <c r="A12" s="0" t="inlineStr">
        <is>
          <t>0460.HK</t>
        </is>
      </c>
      <c r="B12" s="0" t="inlineStr">
        <is>
          <t>四环医药</t>
        </is>
      </c>
    </row>
    <row r="13">
      <c r="A13" s="0" t="inlineStr">
        <is>
          <t>0512.HK</t>
        </is>
      </c>
      <c r="B13" s="0" t="inlineStr">
        <is>
          <t>远大医药</t>
        </is>
      </c>
    </row>
    <row r="14">
      <c r="A14" s="0" t="inlineStr">
        <is>
          <t>0522.HK</t>
        </is>
      </c>
      <c r="B14" s="0" t="inlineStr">
        <is>
          <t>ASMPT</t>
        </is>
      </c>
    </row>
    <row r="15">
      <c r="A15" s="0" t="inlineStr">
        <is>
          <t>0552.HK</t>
        </is>
      </c>
      <c r="B15" s="0" t="inlineStr">
        <is>
          <t>中通服</t>
        </is>
      </c>
    </row>
    <row r="16">
      <c r="A16" s="0" t="inlineStr">
        <is>
          <t>0696.HK</t>
        </is>
      </c>
      <c r="B16" s="0" t="inlineStr">
        <is>
          <t>中国民航信息网络</t>
        </is>
      </c>
    </row>
    <row r="17">
      <c r="A17" s="0" t="inlineStr">
        <is>
          <t>0700.HK</t>
        </is>
      </c>
      <c r="B17" s="0" t="inlineStr">
        <is>
          <t>腾讯</t>
        </is>
      </c>
    </row>
    <row r="18">
      <c r="A18" s="0" t="inlineStr">
        <is>
          <t>0763.HK</t>
        </is>
      </c>
      <c r="B18" s="0" t="inlineStr">
        <is>
          <t>中兴通讯</t>
        </is>
      </c>
    </row>
    <row r="19">
      <c r="A19" s="0" t="inlineStr">
        <is>
          <t>0772.HK</t>
        </is>
      </c>
      <c r="B19" s="0" t="inlineStr">
        <is>
          <t>阅文集团</t>
        </is>
      </c>
    </row>
    <row r="20">
      <c r="A20" s="0" t="inlineStr">
        <is>
          <t>0780.HK</t>
        </is>
      </c>
      <c r="B20" s="0" t="inlineStr">
        <is>
          <t>同程旅行</t>
        </is>
      </c>
    </row>
    <row r="21">
      <c r="A21" s="0" t="inlineStr">
        <is>
          <t>0853.HK</t>
        </is>
      </c>
      <c r="B21" s="0" t="inlineStr">
        <is>
          <t>微创医疗</t>
        </is>
      </c>
    </row>
    <row r="22">
      <c r="A22" s="0" t="inlineStr">
        <is>
          <t>0867.HK</t>
        </is>
      </c>
      <c r="B22" s="0" t="inlineStr">
        <is>
          <t>康哲药业</t>
        </is>
      </c>
    </row>
    <row r="23">
      <c r="A23" s="0" t="inlineStr">
        <is>
          <t>0917.HK</t>
        </is>
      </c>
      <c r="B23" s="0" t="inlineStr">
        <is>
          <t>趣致集团</t>
        </is>
      </c>
    </row>
    <row r="24">
      <c r="A24" s="0" t="inlineStr">
        <is>
          <t>0981.HK</t>
        </is>
      </c>
      <c r="B24" s="0" t="inlineStr">
        <is>
          <t>中芯国际</t>
        </is>
      </c>
    </row>
    <row r="25">
      <c r="A25" s="0" t="inlineStr">
        <is>
          <t>0992.HK</t>
        </is>
      </c>
      <c r="B25" s="0" t="inlineStr">
        <is>
          <t>联想集团</t>
        </is>
      </c>
    </row>
    <row r="26">
      <c r="A26" s="0" t="inlineStr">
        <is>
          <t>1024.HK</t>
        </is>
      </c>
      <c r="B26" s="0" t="inlineStr">
        <is>
          <t>快手</t>
        </is>
      </c>
    </row>
    <row r="27">
      <c r="A27" s="0" t="inlineStr">
        <is>
          <t>1066.HK</t>
        </is>
      </c>
      <c r="B27" s="0" t="inlineStr">
        <is>
          <t>威高股份</t>
        </is>
      </c>
    </row>
    <row r="28">
      <c r="A28" s="0" t="inlineStr">
        <is>
          <t>1093.HK</t>
        </is>
      </c>
      <c r="B28" s="0" t="inlineStr">
        <is>
          <t>石药集团</t>
        </is>
      </c>
    </row>
    <row r="29">
      <c r="A29" s="0" t="inlineStr">
        <is>
          <t>1177.HK</t>
        </is>
      </c>
      <c r="B29" s="0" t="inlineStr">
        <is>
          <t>中生制药</t>
        </is>
      </c>
    </row>
    <row r="30">
      <c r="A30" s="0" t="inlineStr">
        <is>
          <t>1211.HK</t>
        </is>
      </c>
      <c r="B30" s="0" t="inlineStr">
        <is>
          <t>比亚迪</t>
        </is>
      </c>
    </row>
    <row r="31">
      <c r="A31" s="0" t="inlineStr">
        <is>
          <t>1316.HK</t>
        </is>
      </c>
      <c r="B31" s="0" t="inlineStr">
        <is>
          <t>耐世特</t>
        </is>
      </c>
    </row>
    <row r="32">
      <c r="A32" s="0" t="inlineStr">
        <is>
          <t>1347.HK</t>
        </is>
      </c>
      <c r="B32" s="0" t="inlineStr">
        <is>
          <t>华虹半导体</t>
        </is>
      </c>
    </row>
    <row r="33">
      <c r="A33" s="0" t="inlineStr">
        <is>
          <t>1357.HK</t>
        </is>
      </c>
      <c r="B33" s="0" t="inlineStr">
        <is>
          <t>美图</t>
        </is>
      </c>
    </row>
    <row r="34">
      <c r="A34" s="0" t="inlineStr">
        <is>
          <t>1415.HK</t>
        </is>
      </c>
      <c r="B34" s="0" t="inlineStr">
        <is>
          <t>高伟电子</t>
        </is>
      </c>
    </row>
    <row r="35">
      <c r="A35" s="0" t="inlineStr">
        <is>
          <t>1513.HK</t>
        </is>
      </c>
      <c r="B35" s="0" t="inlineStr">
        <is>
          <t>丽珠医药</t>
        </is>
      </c>
    </row>
    <row r="36">
      <c r="A36" s="0" t="inlineStr">
        <is>
          <t>1530.HK</t>
        </is>
      </c>
      <c r="B36" s="0" t="inlineStr">
        <is>
          <t>三生制药</t>
        </is>
      </c>
    </row>
    <row r="37">
      <c r="A37" s="0" t="inlineStr">
        <is>
          <t>1548.HK</t>
        </is>
      </c>
      <c r="B37" s="0" t="inlineStr">
        <is>
          <t>金斯瑞生物科技</t>
        </is>
      </c>
    </row>
    <row r="38">
      <c r="A38" s="0" t="inlineStr">
        <is>
          <t>1585.HK</t>
        </is>
      </c>
      <c r="B38" s="0" t="inlineStr">
        <is>
          <t>雅迪控股</t>
        </is>
      </c>
    </row>
    <row r="39">
      <c r="A39" s="0" t="inlineStr">
        <is>
          <t>1686.HK</t>
        </is>
      </c>
      <c r="B39" s="0" t="inlineStr">
        <is>
          <t>新意网</t>
        </is>
      </c>
    </row>
    <row r="40">
      <c r="A40" s="0" t="inlineStr">
        <is>
          <t>1772.HK</t>
        </is>
      </c>
      <c r="B40" s="0" t="inlineStr">
        <is>
          <t>赣锋锂业</t>
        </is>
      </c>
    </row>
    <row r="41">
      <c r="A41" s="0" t="inlineStr">
        <is>
          <t>1797.HK</t>
        </is>
      </c>
      <c r="B41" s="0" t="inlineStr">
        <is>
          <t>东方甄选</t>
        </is>
      </c>
    </row>
    <row r="42">
      <c r="A42" s="0" t="inlineStr">
        <is>
          <t>1801.HK</t>
        </is>
      </c>
      <c r="B42" s="0" t="inlineStr">
        <is>
          <t>信达生物</t>
        </is>
      </c>
    </row>
    <row r="43">
      <c r="A43" s="0" t="inlineStr">
        <is>
          <t>1810.HK</t>
        </is>
      </c>
      <c r="B43" s="0" t="inlineStr">
        <is>
          <t>小米集团</t>
        </is>
      </c>
    </row>
    <row r="44">
      <c r="A44" s="0" t="inlineStr">
        <is>
          <t>1833.HK</t>
        </is>
      </c>
      <c r="B44" s="0" t="inlineStr">
        <is>
          <t>平安好医生</t>
        </is>
      </c>
    </row>
    <row r="45">
      <c r="A45" s="0" t="inlineStr">
        <is>
          <t>1860.HK</t>
        </is>
      </c>
      <c r="B45" s="0" t="inlineStr">
        <is>
          <t>汇量科技</t>
        </is>
      </c>
    </row>
    <row r="46">
      <c r="A46" s="0" t="inlineStr">
        <is>
          <t>1888.HK</t>
        </is>
      </c>
      <c r="B46" s="0" t="inlineStr">
        <is>
          <t>建滔积层板</t>
        </is>
      </c>
    </row>
    <row r="47">
      <c r="A47" s="0" t="inlineStr">
        <is>
          <t>1896.HK</t>
        </is>
      </c>
      <c r="B47" s="0" t="inlineStr">
        <is>
          <t>猫眼娱乐</t>
        </is>
      </c>
    </row>
    <row r="48">
      <c r="A48" s="0" t="inlineStr">
        <is>
          <t>1952.HK</t>
        </is>
      </c>
      <c r="B48" s="0" t="inlineStr">
        <is>
          <t>云顶新耀</t>
        </is>
      </c>
    </row>
    <row r="49">
      <c r="A49" s="0" t="inlineStr">
        <is>
          <t>2015.HK</t>
        </is>
      </c>
      <c r="B49" s="0" t="inlineStr">
        <is>
          <t>理想汽车</t>
        </is>
      </c>
    </row>
    <row r="50">
      <c r="A50" s="0" t="inlineStr">
        <is>
          <t>2018.HK</t>
        </is>
      </c>
      <c r="B50" s="0" t="inlineStr">
        <is>
          <t>瑞声科技</t>
        </is>
      </c>
    </row>
    <row r="51">
      <c r="A51" s="0" t="inlineStr">
        <is>
          <t>2096.HK</t>
        </is>
      </c>
      <c r="B51" s="0" t="inlineStr">
        <is>
          <t>先声药业</t>
        </is>
      </c>
    </row>
    <row r="52">
      <c r="A52" s="0" t="inlineStr">
        <is>
          <t>2162.HK</t>
        </is>
      </c>
      <c r="B52" s="0" t="inlineStr">
        <is>
          <t>康诺亚</t>
        </is>
      </c>
    </row>
    <row r="53">
      <c r="A53" s="0" t="inlineStr">
        <is>
          <t>2186.HK</t>
        </is>
      </c>
      <c r="B53" s="0" t="inlineStr">
        <is>
          <t>绿叶制药</t>
        </is>
      </c>
    </row>
    <row r="54">
      <c r="A54" s="0" t="inlineStr">
        <is>
          <t>2196.HK</t>
        </is>
      </c>
      <c r="B54" s="0" t="inlineStr">
        <is>
          <t>复星医药</t>
        </is>
      </c>
    </row>
    <row r="55">
      <c r="A55" s="0" t="inlineStr">
        <is>
          <t>2228.HK</t>
        </is>
      </c>
      <c r="B55" s="0" t="inlineStr">
        <is>
          <t>晶泰控股</t>
        </is>
      </c>
    </row>
    <row r="56">
      <c r="A56" s="0" t="inlineStr">
        <is>
          <t>2252.HK</t>
        </is>
      </c>
      <c r="B56" s="0" t="inlineStr">
        <is>
          <t>微创机器人</t>
        </is>
      </c>
    </row>
    <row r="57">
      <c r="A57" s="0" t="inlineStr">
        <is>
          <t>2268.HK</t>
        </is>
      </c>
      <c r="B57" s="0" t="inlineStr">
        <is>
          <t>药明合联</t>
        </is>
      </c>
    </row>
    <row r="58">
      <c r="A58" s="0" t="inlineStr">
        <is>
          <t>2269.HK</t>
        </is>
      </c>
      <c r="B58" s="0" t="inlineStr">
        <is>
          <t>药明生物</t>
        </is>
      </c>
    </row>
    <row r="59">
      <c r="A59" s="0" t="inlineStr">
        <is>
          <t>2357.HK</t>
        </is>
      </c>
      <c r="B59" s="0" t="inlineStr">
        <is>
          <t>中航科工</t>
        </is>
      </c>
    </row>
    <row r="60">
      <c r="A60" s="0" t="inlineStr">
        <is>
          <t>2359.HK</t>
        </is>
      </c>
      <c r="B60" s="0" t="inlineStr">
        <is>
          <t>药明康德</t>
        </is>
      </c>
    </row>
    <row r="61">
      <c r="A61" s="0" t="inlineStr">
        <is>
          <t>2367.HK</t>
        </is>
      </c>
      <c r="B61" s="0" t="inlineStr">
        <is>
          <t>巨子生物</t>
        </is>
      </c>
    </row>
    <row r="62">
      <c r="A62" s="0" t="inlineStr">
        <is>
          <t>2382.HK</t>
        </is>
      </c>
      <c r="B62" s="0" t="inlineStr">
        <is>
          <t>舜宇光学</t>
        </is>
      </c>
    </row>
    <row r="63">
      <c r="A63" s="0" t="inlineStr">
        <is>
          <t>2400.HK</t>
        </is>
      </c>
      <c r="B63" s="0" t="inlineStr">
        <is>
          <t>心动公司</t>
        </is>
      </c>
    </row>
    <row r="64">
      <c r="A64" s="0" t="inlineStr">
        <is>
          <t>2432.HK</t>
        </is>
      </c>
      <c r="B64" s="0" t="inlineStr">
        <is>
          <t>越疆</t>
        </is>
      </c>
    </row>
    <row r="65">
      <c r="A65" s="0" t="inlineStr">
        <is>
          <t>2498.HK</t>
        </is>
      </c>
      <c r="B65" s="0" t="inlineStr">
        <is>
          <t>速腾聚创</t>
        </is>
      </c>
    </row>
    <row r="66">
      <c r="A66" s="0" t="inlineStr">
        <is>
          <t>2533.HK</t>
        </is>
      </c>
      <c r="B66" s="0" t="inlineStr">
        <is>
          <t>黑芝麻智能</t>
        </is>
      </c>
    </row>
    <row r="67">
      <c r="A67" s="0" t="inlineStr">
        <is>
          <t>2556.HK</t>
        </is>
      </c>
      <c r="B67" s="0" t="inlineStr">
        <is>
          <t>迈富时</t>
        </is>
      </c>
    </row>
    <row r="68">
      <c r="A68" s="0" t="inlineStr">
        <is>
          <t>2577.HK</t>
        </is>
      </c>
      <c r="B68" s="0" t="inlineStr">
        <is>
          <t>英诺赛科</t>
        </is>
      </c>
    </row>
    <row r="69">
      <c r="A69" s="0" t="inlineStr">
        <is>
          <t>2587.HK</t>
        </is>
      </c>
      <c r="B69" s="0" t="inlineStr">
        <is>
          <t>健康之路</t>
        </is>
      </c>
    </row>
    <row r="70">
      <c r="A70" s="0" t="inlineStr">
        <is>
          <t>2858.HK</t>
        </is>
      </c>
      <c r="B70" s="0" t="inlineStr">
        <is>
          <t>易鑫集团</t>
        </is>
      </c>
    </row>
    <row r="71">
      <c r="A71" s="0" t="inlineStr">
        <is>
          <t>3320.HK</t>
        </is>
      </c>
      <c r="B71" s="0" t="inlineStr">
        <is>
          <t>华润医药</t>
        </is>
      </c>
    </row>
    <row r="72">
      <c r="A72" s="0" t="inlineStr">
        <is>
          <t>3677.HK</t>
        </is>
      </c>
      <c r="B72" s="0" t="inlineStr">
        <is>
          <t>正力新能</t>
        </is>
      </c>
    </row>
    <row r="73">
      <c r="A73" s="0" t="inlineStr">
        <is>
          <t>3690.HK</t>
        </is>
      </c>
      <c r="B73" s="0" t="inlineStr">
        <is>
          <t>美团</t>
        </is>
      </c>
    </row>
    <row r="74">
      <c r="A74" s="0" t="inlineStr">
        <is>
          <t>3692.HK</t>
        </is>
      </c>
      <c r="B74" s="0" t="inlineStr">
        <is>
          <t>翰森制药</t>
        </is>
      </c>
    </row>
    <row r="75">
      <c r="A75" s="0" t="inlineStr">
        <is>
          <t>3738.HK</t>
        </is>
      </c>
      <c r="B75" s="0" t="inlineStr">
        <is>
          <t>阜博集团</t>
        </is>
      </c>
    </row>
    <row r="76">
      <c r="A76" s="0" t="inlineStr">
        <is>
          <t>3750.HK</t>
        </is>
      </c>
      <c r="B76" s="0" t="inlineStr">
        <is>
          <t>宁德时代</t>
        </is>
      </c>
    </row>
    <row r="77">
      <c r="A77" s="0" t="inlineStr">
        <is>
          <t>3888.HK</t>
        </is>
      </c>
      <c r="B77" s="0" t="inlineStr">
        <is>
          <t>金山软件</t>
        </is>
      </c>
    </row>
    <row r="78">
      <c r="A78" s="0" t="inlineStr">
        <is>
          <t>3896.HK</t>
        </is>
      </c>
      <c r="B78" s="0" t="inlineStr">
        <is>
          <t>金山云</t>
        </is>
      </c>
    </row>
    <row r="79">
      <c r="A79" s="0" t="inlineStr">
        <is>
          <t>3933.HK</t>
        </is>
      </c>
      <c r="B79" s="0" t="inlineStr">
        <is>
          <t>联邦制药</t>
        </is>
      </c>
    </row>
    <row r="80">
      <c r="A80" s="0" t="inlineStr">
        <is>
          <t>6060.HK</t>
        </is>
      </c>
      <c r="B80" s="0" t="inlineStr">
        <is>
          <t>众安在线</t>
        </is>
      </c>
    </row>
    <row r="81">
      <c r="A81" s="0" t="inlineStr">
        <is>
          <t>6069.HK</t>
        </is>
      </c>
      <c r="B81" s="0" t="inlineStr">
        <is>
          <t>盛业</t>
        </is>
      </c>
    </row>
    <row r="82">
      <c r="A82" s="0" t="inlineStr">
        <is>
          <t>6078.HK</t>
        </is>
      </c>
      <c r="B82" s="0" t="inlineStr">
        <is>
          <t>海吉亚医疗</t>
        </is>
      </c>
    </row>
    <row r="83">
      <c r="A83" s="0" t="inlineStr">
        <is>
          <t>6088.HK</t>
        </is>
      </c>
      <c r="B83" s="0" t="inlineStr">
        <is>
          <t>鸿腾精密</t>
        </is>
      </c>
    </row>
    <row r="84">
      <c r="A84" s="0" t="inlineStr">
        <is>
          <t>6160.HK</t>
        </is>
      </c>
      <c r="B84" s="0" t="inlineStr">
        <is>
          <t>百济神州</t>
        </is>
      </c>
    </row>
    <row r="85">
      <c r="A85" s="0" t="inlineStr">
        <is>
          <t>6618.HK</t>
        </is>
      </c>
      <c r="B85" s="0" t="inlineStr">
        <is>
          <t>京东健康</t>
        </is>
      </c>
    </row>
    <row r="86">
      <c r="A86" s="0" t="inlineStr">
        <is>
          <t>6682.HK</t>
        </is>
      </c>
      <c r="B86" s="0" t="inlineStr">
        <is>
          <t>第四范式</t>
        </is>
      </c>
    </row>
    <row r="87">
      <c r="A87" s="0" t="inlineStr">
        <is>
          <t>6699.HK</t>
        </is>
      </c>
      <c r="B87" s="0" t="inlineStr">
        <is>
          <t>时代天使</t>
        </is>
      </c>
    </row>
    <row r="88">
      <c r="A88" s="0" t="inlineStr">
        <is>
          <t>6855.HK</t>
        </is>
      </c>
      <c r="B88" s="0" t="inlineStr">
        <is>
          <t>亚盛医药</t>
        </is>
      </c>
    </row>
    <row r="89">
      <c r="A89" s="0" t="inlineStr">
        <is>
          <t>6990.HK</t>
        </is>
      </c>
      <c r="B89" s="0" t="inlineStr">
        <is>
          <t>科伦博泰生物</t>
        </is>
      </c>
    </row>
    <row r="90">
      <c r="A90" s="0" t="inlineStr">
        <is>
          <t>9606.HK</t>
        </is>
      </c>
      <c r="B90" s="0" t="inlineStr">
        <is>
          <t>映恩生物</t>
        </is>
      </c>
    </row>
    <row r="91">
      <c r="A91" s="0" t="inlineStr">
        <is>
          <t>9626.HK</t>
        </is>
      </c>
      <c r="B91" s="0" t="inlineStr">
        <is>
          <t>哔哩哔哩</t>
        </is>
      </c>
    </row>
    <row r="92">
      <c r="A92" s="0" t="inlineStr">
        <is>
          <t>9636.HK</t>
        </is>
      </c>
      <c r="B92" s="0" t="inlineStr">
        <is>
          <t>九方智投</t>
        </is>
      </c>
    </row>
    <row r="93">
      <c r="A93" s="0" t="inlineStr">
        <is>
          <t>9660.HK</t>
        </is>
      </c>
      <c r="B93" s="0" t="inlineStr">
        <is>
          <t>地平线机器人</t>
        </is>
      </c>
    </row>
    <row r="94">
      <c r="A94" s="0" t="inlineStr">
        <is>
          <t>9688.HK</t>
        </is>
      </c>
      <c r="B94" s="0" t="inlineStr">
        <is>
          <t>再鼎医药</t>
        </is>
      </c>
    </row>
    <row r="95">
      <c r="A95" s="0" t="inlineStr">
        <is>
          <t>9863.HK</t>
        </is>
      </c>
      <c r="B95" s="0" t="inlineStr">
        <is>
          <t>零跑汽车</t>
        </is>
      </c>
    </row>
    <row r="96">
      <c r="A96" s="0" t="inlineStr">
        <is>
          <t>9868.HK</t>
        </is>
      </c>
      <c r="B96" s="0" t="inlineStr">
        <is>
          <t>京东集团</t>
        </is>
      </c>
    </row>
    <row r="97">
      <c r="A97" s="0" t="inlineStr">
        <is>
          <t>9880.HK</t>
        </is>
      </c>
      <c r="B97" s="0" t="inlineStr">
        <is>
          <t>优必选</t>
        </is>
      </c>
    </row>
    <row r="98">
      <c r="A98" s="0" t="inlineStr">
        <is>
          <t>9899.HK</t>
        </is>
      </c>
      <c r="B98" s="0" t="inlineStr">
        <is>
          <t>网易云音乐</t>
        </is>
      </c>
    </row>
    <row r="99">
      <c r="A99" s="0" t="inlineStr">
        <is>
          <t>9926.HK</t>
        </is>
      </c>
      <c r="B99" s="0" t="inlineStr">
        <is>
          <t>康方生物</t>
        </is>
      </c>
    </row>
    <row r="100">
      <c r="A100" s="0" t="inlineStr">
        <is>
          <t>9969.HK</t>
        </is>
      </c>
      <c r="B100" s="0" t="inlineStr">
        <is>
          <t>诺诚健华</t>
        </is>
      </c>
    </row>
    <row r="101">
      <c r="A101" s="0" t="inlineStr">
        <is>
          <t>9988.HK</t>
        </is>
      </c>
      <c r="B101" s="0" t="inlineStr">
        <is>
          <t>阿里巴巴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2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style="35" min="1" max="1"/>
  </cols>
  <sheetData>
    <row r="1">
      <c r="A1" s="37" t="inlineStr">
        <is>
          <t>观测日期→</t>
        </is>
      </c>
      <c r="B1" s="0">
        <f>TODAY()</f>
        <v/>
      </c>
    </row>
    <row r="2">
      <c r="A2" s="38" t="inlineStr">
        <is>
          <t>代码</t>
        </is>
      </c>
      <c r="B2" s="38" t="inlineStr">
        <is>
          <t>日期</t>
        </is>
      </c>
      <c r="C2" s="38" t="inlineStr">
        <is>
          <t>FY1净利润均值</t>
        </is>
      </c>
      <c r="D2" s="38" t="inlineStr">
        <is>
          <t>FY1_EPS</t>
        </is>
      </c>
      <c r="E2" s="38" t="inlineStr">
        <is>
          <t>FY1机构数</t>
        </is>
      </c>
      <c r="F2" s="38" t="inlineStr">
        <is>
          <t>FY1标准差</t>
        </is>
      </c>
      <c r="G2" s="38" t="inlineStr">
        <is>
          <t>FY1中值</t>
        </is>
      </c>
      <c r="H2" s="38" t="inlineStr">
        <is>
          <t>FY2净利润均值</t>
        </is>
      </c>
      <c r="I2" s="38" t="inlineStr">
        <is>
          <t>FY2_EPS</t>
        </is>
      </c>
      <c r="J2" s="38" t="inlineStr">
        <is>
          <t>FY2机构数</t>
        </is>
      </c>
      <c r="K2" s="38" t="inlineStr">
        <is>
          <t>FY2标准差</t>
        </is>
      </c>
      <c r="L2" s="38" t="inlineStr">
        <is>
          <t>FY2中值</t>
        </is>
      </c>
      <c r="M2" s="38" t="inlineStr">
        <is>
          <t>收盘价</t>
        </is>
      </c>
      <c r="N2" s="38" t="inlineStr">
        <is>
          <t>成交量</t>
        </is>
      </c>
      <c r="O2" s="38" t="inlineStr">
        <is>
          <t>成交额</t>
        </is>
      </c>
      <c r="P2" s="38" t="inlineStr">
        <is>
          <t>换手率</t>
        </is>
      </c>
      <c r="Q2" s="38" t="inlineStr">
        <is>
          <t>滚动PE</t>
        </is>
      </c>
      <c r="R2" s="38" t="inlineStr">
        <is>
          <t>总市值(亿)</t>
        </is>
      </c>
    </row>
    <row r="3">
      <c r="A3" s="0">
        <f>_meta!A2</f>
        <v/>
      </c>
      <c r="B3" s="0">
        <f>$B$1</f>
        <v/>
      </c>
      <c r="C3" s="0">
        <f>[1]!s_west_netprofit($A3,YEAR($B3),$B3,180,1000000)</f>
        <v/>
      </c>
      <c r="D3" s="0">
        <f>[1]!s_west_eps($A3,YEAR($B3),$B3,180)</f>
        <v/>
      </c>
      <c r="E3" s="0">
        <f>[1]!s_west_instnum_np($A3,YEAR($B3),$B3,180)</f>
        <v/>
      </c>
      <c r="F3" s="0">
        <f>[1]!s_west_stdnetprofit($A3,YEAR($B3),$B3,180,1000000)</f>
        <v/>
      </c>
      <c r="G3" s="0">
        <f>[1]!s_west_mediannetprofit($A3,YEAR($B3),$B3,180,1000000)</f>
        <v/>
      </c>
      <c r="H3" s="0">
        <f>[1]!s_west_netprofit($A3,YEAR($B3)+1,$B3,180,1000000)</f>
        <v/>
      </c>
      <c r="I3" s="0">
        <f>[1]!s_west_eps($A3,YEAR($B3)+1,$B3,180)</f>
        <v/>
      </c>
      <c r="J3" s="0">
        <f>[1]!s_west_instnum_np($A3,YEAR($B3)+1,$B3,180)</f>
        <v/>
      </c>
      <c r="K3" s="0">
        <f>[1]!s_west_stdnetprofit($A3,YEAR($B3)+1,$B3,180,1000000)</f>
        <v/>
      </c>
      <c r="L3" s="0">
        <f>[1]!s_west_mediannetprofit($A3,YEAR($B3)+1,$B3,180,1000000)</f>
        <v/>
      </c>
      <c r="M3" s="0">
        <f>[1]!s_dq_close($A3,$B3,3)</f>
        <v/>
      </c>
      <c r="N3" s="0">
        <f>[1]!s_dq_volume($A3,$B3)</f>
        <v/>
      </c>
      <c r="O3" s="0">
        <f>[1]!s_dq_amount($A3,$B3)</f>
        <v/>
      </c>
      <c r="P3" s="0">
        <f>[1]!s_dq_turn($A3,$B3)</f>
        <v/>
      </c>
      <c r="Q3" s="0">
        <f>[1]!s_val_pe_ttm($A3,$B3)</f>
        <v/>
      </c>
      <c r="R3" s="0">
        <f>[1]!S_VAL_MV($A3,$B3,100000000)</f>
        <v/>
      </c>
    </row>
    <row r="4">
      <c r="A4" s="0">
        <f>_meta!A3</f>
        <v/>
      </c>
      <c r="B4" s="0">
        <f>$B$1</f>
        <v/>
      </c>
      <c r="C4" s="0">
        <f>[1]!s_west_netprofit($A4,YEAR($B4),$B4,180,1000000)</f>
        <v/>
      </c>
      <c r="D4" s="0">
        <f>[1]!s_west_eps($A4,YEAR($B4),$B4,180)</f>
        <v/>
      </c>
      <c r="E4" s="0">
        <f>[1]!s_west_instnum_np($A4,YEAR($B4),$B4,180)</f>
        <v/>
      </c>
      <c r="F4" s="0">
        <f>[1]!s_west_stdnetprofit($A4,YEAR($B4),$B4,180,1000000)</f>
        <v/>
      </c>
      <c r="G4" s="0">
        <f>[1]!s_west_mediannetprofit($A4,YEAR($B4),$B4,180,1000000)</f>
        <v/>
      </c>
      <c r="H4" s="0">
        <f>[1]!s_west_netprofit($A4,YEAR($B4)+1,$B4,180,1000000)</f>
        <v/>
      </c>
      <c r="I4" s="0">
        <f>[1]!s_west_eps($A4,YEAR($B4)+1,$B4,180)</f>
        <v/>
      </c>
      <c r="J4" s="0">
        <f>[1]!s_west_instnum_np($A4,YEAR($B4)+1,$B4,180)</f>
        <v/>
      </c>
      <c r="K4" s="0">
        <f>[1]!s_west_stdnetprofit($A4,YEAR($B4)+1,$B4,180,1000000)</f>
        <v/>
      </c>
      <c r="L4" s="0">
        <f>[1]!s_west_mediannetprofit($A4,YEAR($B4)+1,$B4,180,1000000)</f>
        <v/>
      </c>
      <c r="M4" s="0">
        <f>[1]!s_dq_close($A4,$B4,3)</f>
        <v/>
      </c>
      <c r="N4" s="0">
        <f>[1]!s_dq_volume($A4,$B4)</f>
        <v/>
      </c>
      <c r="O4" s="0">
        <f>[1]!s_dq_amount($A4,$B4)</f>
        <v/>
      </c>
      <c r="P4" s="0">
        <f>[1]!s_dq_turn($A4,$B4)</f>
        <v/>
      </c>
      <c r="Q4" s="0">
        <f>[1]!s_val_pe_ttm($A4,$B4)</f>
        <v/>
      </c>
      <c r="R4" s="0">
        <f>[1]!S_VAL_MV($A4,$B4,100000000)</f>
        <v/>
      </c>
    </row>
    <row r="5">
      <c r="A5" s="0">
        <f>_meta!A4</f>
        <v/>
      </c>
      <c r="B5" s="0">
        <f>$B$1</f>
        <v/>
      </c>
      <c r="C5" s="0">
        <f>[1]!s_west_netprofit($A5,YEAR($B5),$B5,180,1000000)</f>
        <v/>
      </c>
      <c r="D5" s="0">
        <f>[1]!s_west_eps($A5,YEAR($B5),$B5,180)</f>
        <v/>
      </c>
      <c r="E5" s="0">
        <f>[1]!s_west_instnum_np($A5,YEAR($B5),$B5,180)</f>
        <v/>
      </c>
      <c r="F5" s="0">
        <f>[1]!s_west_stdnetprofit($A5,YEAR($B5),$B5,180,1000000)</f>
        <v/>
      </c>
      <c r="G5" s="0">
        <f>[1]!s_west_mediannetprofit($A5,YEAR($B5),$B5,180,1000000)</f>
        <v/>
      </c>
      <c r="H5" s="0">
        <f>[1]!s_west_netprofit($A5,YEAR($B5)+1,$B5,180,1000000)</f>
        <v/>
      </c>
      <c r="I5" s="0">
        <f>[1]!s_west_eps($A5,YEAR($B5)+1,$B5,180)</f>
        <v/>
      </c>
      <c r="J5" s="0">
        <f>[1]!s_west_instnum_np($A5,YEAR($B5)+1,$B5,180)</f>
        <v/>
      </c>
      <c r="K5" s="0">
        <f>[1]!s_west_stdnetprofit($A5,YEAR($B5)+1,$B5,180,1000000)</f>
        <v/>
      </c>
      <c r="L5" s="0">
        <f>[1]!s_west_mediannetprofit($A5,YEAR($B5)+1,$B5,180,1000000)</f>
        <v/>
      </c>
      <c r="M5" s="0">
        <f>[1]!s_dq_close($A5,$B5,3)</f>
        <v/>
      </c>
      <c r="N5" s="0">
        <f>[1]!s_dq_volume($A5,$B5)</f>
        <v/>
      </c>
      <c r="O5" s="0">
        <f>[1]!s_dq_amount($A5,$B5)</f>
        <v/>
      </c>
      <c r="P5" s="0">
        <f>[1]!s_dq_turn($A5,$B5)</f>
        <v/>
      </c>
      <c r="Q5" s="0">
        <f>[1]!s_val_pe_ttm($A5,$B5)</f>
        <v/>
      </c>
      <c r="R5" s="0">
        <f>[1]!S_VAL_MV($A5,$B5,100000000)</f>
        <v/>
      </c>
    </row>
    <row r="6">
      <c r="A6" s="0">
        <f>_meta!A5</f>
        <v/>
      </c>
      <c r="B6" s="0">
        <f>$B$1</f>
        <v/>
      </c>
      <c r="C6" s="0">
        <f>[1]!s_west_netprofit($A6,YEAR($B6),$B6,180,1000000)</f>
        <v/>
      </c>
      <c r="D6" s="0">
        <f>[1]!s_west_eps($A6,YEAR($B6),$B6,180)</f>
        <v/>
      </c>
      <c r="E6" s="0">
        <f>[1]!s_west_instnum_np($A6,YEAR($B6),$B6,180)</f>
        <v/>
      </c>
      <c r="F6" s="0">
        <f>[1]!s_west_stdnetprofit($A6,YEAR($B6),$B6,180,1000000)</f>
        <v/>
      </c>
      <c r="G6" s="0">
        <f>[1]!s_west_mediannetprofit($A6,YEAR($B6),$B6,180,1000000)</f>
        <v/>
      </c>
      <c r="H6" s="0">
        <f>[1]!s_west_netprofit($A6,YEAR($B6)+1,$B6,180,1000000)</f>
        <v/>
      </c>
      <c r="I6" s="0">
        <f>[1]!s_west_eps($A6,YEAR($B6)+1,$B6,180)</f>
        <v/>
      </c>
      <c r="J6" s="0">
        <f>[1]!s_west_instnum_np($A6,YEAR($B6)+1,$B6,180)</f>
        <v/>
      </c>
      <c r="K6" s="0">
        <f>[1]!s_west_stdnetprofit($A6,YEAR($B6)+1,$B6,180,1000000)</f>
        <v/>
      </c>
      <c r="L6" s="0">
        <f>[1]!s_west_mediannetprofit($A6,YEAR($B6)+1,$B6,180,1000000)</f>
        <v/>
      </c>
      <c r="M6" s="0">
        <f>[1]!s_dq_close($A6,$B6,3)</f>
        <v/>
      </c>
      <c r="N6" s="0">
        <f>[1]!s_dq_volume($A6,$B6)</f>
        <v/>
      </c>
      <c r="O6" s="0">
        <f>[1]!s_dq_amount($A6,$B6)</f>
        <v/>
      </c>
      <c r="P6" s="0">
        <f>[1]!s_dq_turn($A6,$B6)</f>
        <v/>
      </c>
      <c r="Q6" s="0">
        <f>[1]!s_val_pe_ttm($A6,$B6)</f>
        <v/>
      </c>
      <c r="R6" s="0">
        <f>[1]!S_VAL_MV($A6,$B6,100000000)</f>
        <v/>
      </c>
    </row>
    <row r="7">
      <c r="A7" s="0">
        <f>_meta!A6</f>
        <v/>
      </c>
      <c r="B7" s="0">
        <f>$B$1</f>
        <v/>
      </c>
      <c r="C7" s="0">
        <f>[1]!s_west_netprofit($A7,YEAR($B7),$B7,180,1000000)</f>
        <v/>
      </c>
      <c r="D7" s="0">
        <f>[1]!s_west_eps($A7,YEAR($B7),$B7,180)</f>
        <v/>
      </c>
      <c r="E7" s="0">
        <f>[1]!s_west_instnum_np($A7,YEAR($B7),$B7,180)</f>
        <v/>
      </c>
      <c r="F7" s="0">
        <f>[1]!s_west_stdnetprofit($A7,YEAR($B7),$B7,180,1000000)</f>
        <v/>
      </c>
      <c r="G7" s="0">
        <f>[1]!s_west_mediannetprofit($A7,YEAR($B7),$B7,180,1000000)</f>
        <v/>
      </c>
      <c r="H7" s="0">
        <f>[1]!s_west_netprofit($A7,YEAR($B7)+1,$B7,180,1000000)</f>
        <v/>
      </c>
      <c r="I7" s="0">
        <f>[1]!s_west_eps($A7,YEAR($B7)+1,$B7,180)</f>
        <v/>
      </c>
      <c r="J7" s="0">
        <f>[1]!s_west_instnum_np($A7,YEAR($B7)+1,$B7,180)</f>
        <v/>
      </c>
      <c r="K7" s="0">
        <f>[1]!s_west_stdnetprofit($A7,YEAR($B7)+1,$B7,180,1000000)</f>
        <v/>
      </c>
      <c r="L7" s="0">
        <f>[1]!s_west_mediannetprofit($A7,YEAR($B7)+1,$B7,180,1000000)</f>
        <v/>
      </c>
      <c r="M7" s="0">
        <f>[1]!s_dq_close($A7,$B7,3)</f>
        <v/>
      </c>
      <c r="N7" s="0">
        <f>[1]!s_dq_volume($A7,$B7)</f>
        <v/>
      </c>
      <c r="O7" s="0">
        <f>[1]!s_dq_amount($A7,$B7)</f>
        <v/>
      </c>
      <c r="P7" s="0">
        <f>[1]!s_dq_turn($A7,$B7)</f>
        <v/>
      </c>
      <c r="Q7" s="0">
        <f>[1]!s_val_pe_ttm($A7,$B7)</f>
        <v/>
      </c>
      <c r="R7" s="0">
        <f>[1]!S_VAL_MV($A7,$B7,100000000)</f>
        <v/>
      </c>
    </row>
    <row r="8">
      <c r="A8" s="0">
        <f>_meta!A7</f>
        <v/>
      </c>
      <c r="B8" s="0">
        <f>$B$1</f>
        <v/>
      </c>
      <c r="C8" s="0">
        <f>[1]!s_west_netprofit($A8,YEAR($B8),$B8,180,1000000)</f>
        <v/>
      </c>
      <c r="D8" s="0">
        <f>[1]!s_west_eps($A8,YEAR($B8),$B8,180)</f>
        <v/>
      </c>
      <c r="E8" s="0">
        <f>[1]!s_west_instnum_np($A8,YEAR($B8),$B8,180)</f>
        <v/>
      </c>
      <c r="F8" s="0">
        <f>[1]!s_west_stdnetprofit($A8,YEAR($B8),$B8,180,1000000)</f>
        <v/>
      </c>
      <c r="G8" s="0">
        <f>[1]!s_west_mediannetprofit($A8,YEAR($B8),$B8,180,1000000)</f>
        <v/>
      </c>
      <c r="H8" s="0">
        <f>[1]!s_west_netprofit($A8,YEAR($B8)+1,$B8,180,1000000)</f>
        <v/>
      </c>
      <c r="I8" s="0">
        <f>[1]!s_west_eps($A8,YEAR($B8)+1,$B8,180)</f>
        <v/>
      </c>
      <c r="J8" s="0">
        <f>[1]!s_west_instnum_np($A8,YEAR($B8)+1,$B8,180)</f>
        <v/>
      </c>
      <c r="K8" s="0">
        <f>[1]!s_west_stdnetprofit($A8,YEAR($B8)+1,$B8,180,1000000)</f>
        <v/>
      </c>
      <c r="L8" s="0">
        <f>[1]!s_west_mediannetprofit($A8,YEAR($B8)+1,$B8,180,1000000)</f>
        <v/>
      </c>
      <c r="M8" s="0">
        <f>[1]!s_dq_close($A8,$B8,3)</f>
        <v/>
      </c>
      <c r="N8" s="0">
        <f>[1]!s_dq_volume($A8,$B8)</f>
        <v/>
      </c>
      <c r="O8" s="0">
        <f>[1]!s_dq_amount($A8,$B8)</f>
        <v/>
      </c>
      <c r="P8" s="0">
        <f>[1]!s_dq_turn($A8,$B8)</f>
        <v/>
      </c>
      <c r="Q8" s="0">
        <f>[1]!s_val_pe_ttm($A8,$B8)</f>
        <v/>
      </c>
      <c r="R8" s="0">
        <f>[1]!S_VAL_MV($A8,$B8,100000000)</f>
        <v/>
      </c>
    </row>
    <row r="9">
      <c r="A9" s="0">
        <f>_meta!A8</f>
        <v/>
      </c>
      <c r="B9" s="0">
        <f>$B$1</f>
        <v/>
      </c>
      <c r="C9" s="0">
        <f>[1]!s_west_netprofit($A9,YEAR($B9),$B9,180,1000000)</f>
        <v/>
      </c>
      <c r="D9" s="0">
        <f>[1]!s_west_eps($A9,YEAR($B9),$B9,180)</f>
        <v/>
      </c>
      <c r="E9" s="0">
        <f>[1]!s_west_instnum_np($A9,YEAR($B9),$B9,180)</f>
        <v/>
      </c>
      <c r="F9" s="0">
        <f>[1]!s_west_stdnetprofit($A9,YEAR($B9),$B9,180,1000000)</f>
        <v/>
      </c>
      <c r="G9" s="0">
        <f>[1]!s_west_mediannetprofit($A9,YEAR($B9),$B9,180,1000000)</f>
        <v/>
      </c>
      <c r="H9" s="0">
        <f>[1]!s_west_netprofit($A9,YEAR($B9)+1,$B9,180,1000000)</f>
        <v/>
      </c>
      <c r="I9" s="0">
        <f>[1]!s_west_eps($A9,YEAR($B9)+1,$B9,180)</f>
        <v/>
      </c>
      <c r="J9" s="0">
        <f>[1]!s_west_instnum_np($A9,YEAR($B9)+1,$B9,180)</f>
        <v/>
      </c>
      <c r="K9" s="0">
        <f>[1]!s_west_stdnetprofit($A9,YEAR($B9)+1,$B9,180,1000000)</f>
        <v/>
      </c>
      <c r="L9" s="0">
        <f>[1]!s_west_mediannetprofit($A9,YEAR($B9)+1,$B9,180,1000000)</f>
        <v/>
      </c>
      <c r="M9" s="0">
        <f>[1]!s_dq_close($A9,$B9,3)</f>
        <v/>
      </c>
      <c r="N9" s="0">
        <f>[1]!s_dq_volume($A9,$B9)</f>
        <v/>
      </c>
      <c r="O9" s="0">
        <f>[1]!s_dq_amount($A9,$B9)</f>
        <v/>
      </c>
      <c r="P9" s="0">
        <f>[1]!s_dq_turn($A9,$B9)</f>
        <v/>
      </c>
      <c r="Q9" s="0">
        <f>[1]!s_val_pe_ttm($A9,$B9)</f>
        <v/>
      </c>
      <c r="R9" s="0">
        <f>[1]!S_VAL_MV($A9,$B9,100000000)</f>
        <v/>
      </c>
    </row>
    <row r="10">
      <c r="A10" s="0">
        <f>_meta!A9</f>
        <v/>
      </c>
      <c r="B10" s="0">
        <f>$B$1</f>
        <v/>
      </c>
      <c r="C10" s="0">
        <f>[1]!s_west_netprofit($A10,YEAR($B10),$B10,180,1000000)</f>
        <v/>
      </c>
      <c r="D10" s="0">
        <f>[1]!s_west_eps($A10,YEAR($B10),$B10,180)</f>
        <v/>
      </c>
      <c r="E10" s="0">
        <f>[1]!s_west_instnum_np($A10,YEAR($B10),$B10,180)</f>
        <v/>
      </c>
      <c r="F10" s="0">
        <f>[1]!s_west_stdnetprofit($A10,YEAR($B10),$B10,180,1000000)</f>
        <v/>
      </c>
      <c r="G10" s="0">
        <f>[1]!s_west_mediannetprofit($A10,YEAR($B10),$B10,180,1000000)</f>
        <v/>
      </c>
      <c r="H10" s="0">
        <f>[1]!s_west_netprofit($A10,YEAR($B10)+1,$B10,180,1000000)</f>
        <v/>
      </c>
      <c r="I10" s="0">
        <f>[1]!s_west_eps($A10,YEAR($B10)+1,$B10,180)</f>
        <v/>
      </c>
      <c r="J10" s="0">
        <f>[1]!s_west_instnum_np($A10,YEAR($B10)+1,$B10,180)</f>
        <v/>
      </c>
      <c r="K10" s="0">
        <f>[1]!s_west_stdnetprofit($A10,YEAR($B10)+1,$B10,180,1000000)</f>
        <v/>
      </c>
      <c r="L10" s="0">
        <f>[1]!s_west_mediannetprofit($A10,YEAR($B10)+1,$B10,180,1000000)</f>
        <v/>
      </c>
      <c r="M10" s="0">
        <f>[1]!s_dq_close($A10,$B10,3)</f>
        <v/>
      </c>
      <c r="N10" s="0">
        <f>[1]!s_dq_volume($A10,$B10)</f>
        <v/>
      </c>
      <c r="O10" s="0">
        <f>[1]!s_dq_amount($A10,$B10)</f>
        <v/>
      </c>
      <c r="P10" s="0">
        <f>[1]!s_dq_turn($A10,$B10)</f>
        <v/>
      </c>
      <c r="Q10" s="0">
        <f>[1]!s_val_pe_ttm($A10,$B10)</f>
        <v/>
      </c>
      <c r="R10" s="0">
        <f>[1]!S_VAL_MV($A10,$B10,100000000)</f>
        <v/>
      </c>
    </row>
    <row r="11">
      <c r="A11" s="0">
        <f>_meta!A10</f>
        <v/>
      </c>
      <c r="B11" s="0">
        <f>$B$1</f>
        <v/>
      </c>
      <c r="C11" s="0">
        <f>[1]!s_west_netprofit($A11,YEAR($B11),$B11,180,1000000)</f>
        <v/>
      </c>
      <c r="D11" s="0">
        <f>[1]!s_west_eps($A11,YEAR($B11),$B11,180)</f>
        <v/>
      </c>
      <c r="E11" s="0">
        <f>[1]!s_west_instnum_np($A11,YEAR($B11),$B11,180)</f>
        <v/>
      </c>
      <c r="F11" s="0">
        <f>[1]!s_west_stdnetprofit($A11,YEAR($B11),$B11,180,1000000)</f>
        <v/>
      </c>
      <c r="G11" s="0">
        <f>[1]!s_west_mediannetprofit($A11,YEAR($B11),$B11,180,1000000)</f>
        <v/>
      </c>
      <c r="H11" s="0">
        <f>[1]!s_west_netprofit($A11,YEAR($B11)+1,$B11,180,1000000)</f>
        <v/>
      </c>
      <c r="I11" s="0">
        <f>[1]!s_west_eps($A11,YEAR($B11)+1,$B11,180)</f>
        <v/>
      </c>
      <c r="J11" s="0">
        <f>[1]!s_west_instnum_np($A11,YEAR($B11)+1,$B11,180)</f>
        <v/>
      </c>
      <c r="K11" s="0">
        <f>[1]!s_west_stdnetprofit($A11,YEAR($B11)+1,$B11,180,1000000)</f>
        <v/>
      </c>
      <c r="L11" s="0">
        <f>[1]!s_west_mediannetprofit($A11,YEAR($B11)+1,$B11,180,1000000)</f>
        <v/>
      </c>
      <c r="M11" s="0">
        <f>[1]!s_dq_close($A11,$B11,3)</f>
        <v/>
      </c>
      <c r="N11" s="0">
        <f>[1]!s_dq_volume($A11,$B11)</f>
        <v/>
      </c>
      <c r="O11" s="0">
        <f>[1]!s_dq_amount($A11,$B11)</f>
        <v/>
      </c>
      <c r="P11" s="0">
        <f>[1]!s_dq_turn($A11,$B11)</f>
        <v/>
      </c>
      <c r="Q11" s="0">
        <f>[1]!s_val_pe_ttm($A11,$B11)</f>
        <v/>
      </c>
      <c r="R11" s="0">
        <f>[1]!S_VAL_MV($A11,$B11,100000000)</f>
        <v/>
      </c>
    </row>
    <row r="12">
      <c r="A12" s="0">
        <f>_meta!A11</f>
        <v/>
      </c>
      <c r="B12" s="0">
        <f>$B$1</f>
        <v/>
      </c>
      <c r="C12" s="0">
        <f>[1]!s_west_netprofit($A12,YEAR($B12),$B12,180,1000000)</f>
        <v/>
      </c>
      <c r="D12" s="0">
        <f>[1]!s_west_eps($A12,YEAR($B12),$B12,180)</f>
        <v/>
      </c>
      <c r="E12" s="0">
        <f>[1]!s_west_instnum_np($A12,YEAR($B12),$B12,180)</f>
        <v/>
      </c>
      <c r="F12" s="0">
        <f>[1]!s_west_stdnetprofit($A12,YEAR($B12),$B12,180,1000000)</f>
        <v/>
      </c>
      <c r="G12" s="0">
        <f>[1]!s_west_mediannetprofit($A12,YEAR($B12),$B12,180,1000000)</f>
        <v/>
      </c>
      <c r="H12" s="0">
        <f>[1]!s_west_netprofit($A12,YEAR($B12)+1,$B12,180,1000000)</f>
        <v/>
      </c>
      <c r="I12" s="0">
        <f>[1]!s_west_eps($A12,YEAR($B12)+1,$B12,180)</f>
        <v/>
      </c>
      <c r="J12" s="0">
        <f>[1]!s_west_instnum_np($A12,YEAR($B12)+1,$B12,180)</f>
        <v/>
      </c>
      <c r="K12" s="0">
        <f>[1]!s_west_stdnetprofit($A12,YEAR($B12)+1,$B12,180,1000000)</f>
        <v/>
      </c>
      <c r="L12" s="0">
        <f>[1]!s_west_mediannetprofit($A12,YEAR($B12)+1,$B12,180,1000000)</f>
        <v/>
      </c>
      <c r="M12" s="0">
        <f>[1]!s_dq_close($A12,$B12,3)</f>
        <v/>
      </c>
      <c r="N12" s="0">
        <f>[1]!s_dq_volume($A12,$B12)</f>
        <v/>
      </c>
      <c r="O12" s="0">
        <f>[1]!s_dq_amount($A12,$B12)</f>
        <v/>
      </c>
      <c r="P12" s="0">
        <f>[1]!s_dq_turn($A12,$B12)</f>
        <v/>
      </c>
      <c r="Q12" s="0">
        <f>[1]!s_val_pe_ttm($A12,$B12)</f>
        <v/>
      </c>
      <c r="R12" s="0">
        <f>[1]!S_VAL_MV($A12,$B12,100000000)</f>
        <v/>
      </c>
    </row>
    <row r="13">
      <c r="A13" s="0">
        <f>_meta!A12</f>
        <v/>
      </c>
      <c r="B13" s="0">
        <f>$B$1</f>
        <v/>
      </c>
      <c r="C13" s="0">
        <f>[1]!s_west_netprofit($A13,YEAR($B13),$B13,180,1000000)</f>
        <v/>
      </c>
      <c r="D13" s="0">
        <f>[1]!s_west_eps($A13,YEAR($B13),$B13,180)</f>
        <v/>
      </c>
      <c r="E13" s="0">
        <f>[1]!s_west_instnum_np($A13,YEAR($B13),$B13,180)</f>
        <v/>
      </c>
      <c r="F13" s="0">
        <f>[1]!s_west_stdnetprofit($A13,YEAR($B13),$B13,180,1000000)</f>
        <v/>
      </c>
      <c r="G13" s="0">
        <f>[1]!s_west_mediannetprofit($A13,YEAR($B13),$B13,180,1000000)</f>
        <v/>
      </c>
      <c r="H13" s="0">
        <f>[1]!s_west_netprofit($A13,YEAR($B13)+1,$B13,180,1000000)</f>
        <v/>
      </c>
      <c r="I13" s="0">
        <f>[1]!s_west_eps($A13,YEAR($B13)+1,$B13,180)</f>
        <v/>
      </c>
      <c r="J13" s="0">
        <f>[1]!s_west_instnum_np($A13,YEAR($B13)+1,$B13,180)</f>
        <v/>
      </c>
      <c r="K13" s="0">
        <f>[1]!s_west_stdnetprofit($A13,YEAR($B13)+1,$B13,180,1000000)</f>
        <v/>
      </c>
      <c r="L13" s="0">
        <f>[1]!s_west_mediannetprofit($A13,YEAR($B13)+1,$B13,180,1000000)</f>
        <v/>
      </c>
      <c r="M13" s="0">
        <f>[1]!s_dq_close($A13,$B13,3)</f>
        <v/>
      </c>
      <c r="N13" s="0">
        <f>[1]!s_dq_volume($A13,$B13)</f>
        <v/>
      </c>
      <c r="O13" s="0">
        <f>[1]!s_dq_amount($A13,$B13)</f>
        <v/>
      </c>
      <c r="P13" s="0">
        <f>[1]!s_dq_turn($A13,$B13)</f>
        <v/>
      </c>
      <c r="Q13" s="0">
        <f>[1]!s_val_pe_ttm($A13,$B13)</f>
        <v/>
      </c>
      <c r="R13" s="0">
        <f>[1]!S_VAL_MV($A13,$B13,100000000)</f>
        <v/>
      </c>
    </row>
    <row r="14">
      <c r="A14" s="0">
        <f>_meta!A13</f>
        <v/>
      </c>
      <c r="B14" s="0">
        <f>$B$1</f>
        <v/>
      </c>
      <c r="C14" s="0">
        <f>[1]!s_west_netprofit($A14,YEAR($B14),$B14,180,1000000)</f>
        <v/>
      </c>
      <c r="D14" s="0">
        <f>[1]!s_west_eps($A14,YEAR($B14),$B14,180)</f>
        <v/>
      </c>
      <c r="E14" s="0">
        <f>[1]!s_west_instnum_np($A14,YEAR($B14),$B14,180)</f>
        <v/>
      </c>
      <c r="F14" s="0">
        <f>[1]!s_west_stdnetprofit($A14,YEAR($B14),$B14,180,1000000)</f>
        <v/>
      </c>
      <c r="G14" s="0">
        <f>[1]!s_west_mediannetprofit($A14,YEAR($B14),$B14,180,1000000)</f>
        <v/>
      </c>
      <c r="H14" s="0">
        <f>[1]!s_west_netprofit($A14,YEAR($B14)+1,$B14,180,1000000)</f>
        <v/>
      </c>
      <c r="I14" s="0">
        <f>[1]!s_west_eps($A14,YEAR($B14)+1,$B14,180)</f>
        <v/>
      </c>
      <c r="J14" s="0">
        <f>[1]!s_west_instnum_np($A14,YEAR($B14)+1,$B14,180)</f>
        <v/>
      </c>
      <c r="K14" s="0">
        <f>[1]!s_west_stdnetprofit($A14,YEAR($B14)+1,$B14,180,1000000)</f>
        <v/>
      </c>
      <c r="L14" s="0">
        <f>[1]!s_west_mediannetprofit($A14,YEAR($B14)+1,$B14,180,1000000)</f>
        <v/>
      </c>
      <c r="M14" s="0">
        <f>[1]!s_dq_close($A14,$B14,3)</f>
        <v/>
      </c>
      <c r="N14" s="0">
        <f>[1]!s_dq_volume($A14,$B14)</f>
        <v/>
      </c>
      <c r="O14" s="0">
        <f>[1]!s_dq_amount($A14,$B14)</f>
        <v/>
      </c>
      <c r="P14" s="0">
        <f>[1]!s_dq_turn($A14,$B14)</f>
        <v/>
      </c>
      <c r="Q14" s="0">
        <f>[1]!s_val_pe_ttm($A14,$B14)</f>
        <v/>
      </c>
      <c r="R14" s="0">
        <f>[1]!S_VAL_MV($A14,$B14,100000000)</f>
        <v/>
      </c>
    </row>
    <row r="15">
      <c r="A15" s="0">
        <f>_meta!A14</f>
        <v/>
      </c>
      <c r="B15" s="0">
        <f>$B$1</f>
        <v/>
      </c>
      <c r="C15" s="0">
        <f>[1]!s_west_netprofit($A15,YEAR($B15),$B15,180,1000000)</f>
        <v/>
      </c>
      <c r="D15" s="0">
        <f>[1]!s_west_eps($A15,YEAR($B15),$B15,180)</f>
        <v/>
      </c>
      <c r="E15" s="0">
        <f>[1]!s_west_instnum_np($A15,YEAR($B15),$B15,180)</f>
        <v/>
      </c>
      <c r="F15" s="0">
        <f>[1]!s_west_stdnetprofit($A15,YEAR($B15),$B15,180,1000000)</f>
        <v/>
      </c>
      <c r="G15" s="0">
        <f>[1]!s_west_mediannetprofit($A15,YEAR($B15),$B15,180,1000000)</f>
        <v/>
      </c>
      <c r="H15" s="0">
        <f>[1]!s_west_netprofit($A15,YEAR($B15)+1,$B15,180,1000000)</f>
        <v/>
      </c>
      <c r="I15" s="0">
        <f>[1]!s_west_eps($A15,YEAR($B15)+1,$B15,180)</f>
        <v/>
      </c>
      <c r="J15" s="0">
        <f>[1]!s_west_instnum_np($A15,YEAR($B15)+1,$B15,180)</f>
        <v/>
      </c>
      <c r="K15" s="0">
        <f>[1]!s_west_stdnetprofit($A15,YEAR($B15)+1,$B15,180,1000000)</f>
        <v/>
      </c>
      <c r="L15" s="0">
        <f>[1]!s_west_mediannetprofit($A15,YEAR($B15)+1,$B15,180,1000000)</f>
        <v/>
      </c>
      <c r="M15" s="0">
        <f>[1]!s_dq_close($A15,$B15,3)</f>
        <v/>
      </c>
      <c r="N15" s="0">
        <f>[1]!s_dq_volume($A15,$B15)</f>
        <v/>
      </c>
      <c r="O15" s="0">
        <f>[1]!s_dq_amount($A15,$B15)</f>
        <v/>
      </c>
      <c r="P15" s="0">
        <f>[1]!s_dq_turn($A15,$B15)</f>
        <v/>
      </c>
      <c r="Q15" s="0">
        <f>[1]!s_val_pe_ttm($A15,$B15)</f>
        <v/>
      </c>
      <c r="R15" s="0">
        <f>[1]!S_VAL_MV($A15,$B15,100000000)</f>
        <v/>
      </c>
    </row>
    <row r="16">
      <c r="A16" s="0">
        <f>_meta!A15</f>
        <v/>
      </c>
      <c r="B16" s="0">
        <f>$B$1</f>
        <v/>
      </c>
      <c r="C16" s="0">
        <f>[1]!s_west_netprofit($A16,YEAR($B16),$B16,180,1000000)</f>
        <v/>
      </c>
      <c r="D16" s="0">
        <f>[1]!s_west_eps($A16,YEAR($B16),$B16,180)</f>
        <v/>
      </c>
      <c r="E16" s="0">
        <f>[1]!s_west_instnum_np($A16,YEAR($B16),$B16,180)</f>
        <v/>
      </c>
      <c r="F16" s="0">
        <f>[1]!s_west_stdnetprofit($A16,YEAR($B16),$B16,180,1000000)</f>
        <v/>
      </c>
      <c r="G16" s="0">
        <f>[1]!s_west_mediannetprofit($A16,YEAR($B16),$B16,180,1000000)</f>
        <v/>
      </c>
      <c r="H16" s="0">
        <f>[1]!s_west_netprofit($A16,YEAR($B16)+1,$B16,180,1000000)</f>
        <v/>
      </c>
      <c r="I16" s="0">
        <f>[1]!s_west_eps($A16,YEAR($B16)+1,$B16,180)</f>
        <v/>
      </c>
      <c r="J16" s="0">
        <f>[1]!s_west_instnum_np($A16,YEAR($B16)+1,$B16,180)</f>
        <v/>
      </c>
      <c r="K16" s="0">
        <f>[1]!s_west_stdnetprofit($A16,YEAR($B16)+1,$B16,180,1000000)</f>
        <v/>
      </c>
      <c r="L16" s="0">
        <f>[1]!s_west_mediannetprofit($A16,YEAR($B16)+1,$B16,180,1000000)</f>
        <v/>
      </c>
      <c r="M16" s="0">
        <f>[1]!s_dq_close($A16,$B16,3)</f>
        <v/>
      </c>
      <c r="N16" s="0">
        <f>[1]!s_dq_volume($A16,$B16)</f>
        <v/>
      </c>
      <c r="O16" s="0">
        <f>[1]!s_dq_amount($A16,$B16)</f>
        <v/>
      </c>
      <c r="P16" s="0">
        <f>[1]!s_dq_turn($A16,$B16)</f>
        <v/>
      </c>
      <c r="Q16" s="0">
        <f>[1]!s_val_pe_ttm($A16,$B16)</f>
        <v/>
      </c>
      <c r="R16" s="0">
        <f>[1]!S_VAL_MV($A16,$B16,100000000)</f>
        <v/>
      </c>
    </row>
    <row r="17">
      <c r="A17" s="0">
        <f>_meta!A16</f>
        <v/>
      </c>
      <c r="B17" s="0">
        <f>$B$1</f>
        <v/>
      </c>
      <c r="C17" s="0">
        <f>[1]!s_west_netprofit($A17,YEAR($B17),$B17,180,1000000)</f>
        <v/>
      </c>
      <c r="D17" s="0">
        <f>[1]!s_west_eps($A17,YEAR($B17),$B17,180)</f>
        <v/>
      </c>
      <c r="E17" s="0">
        <f>[1]!s_west_instnum_np($A17,YEAR($B17),$B17,180)</f>
        <v/>
      </c>
      <c r="F17" s="0">
        <f>[1]!s_west_stdnetprofit($A17,YEAR($B17),$B17,180,1000000)</f>
        <v/>
      </c>
      <c r="G17" s="0">
        <f>[1]!s_west_mediannetprofit($A17,YEAR($B17),$B17,180,1000000)</f>
        <v/>
      </c>
      <c r="H17" s="0">
        <f>[1]!s_west_netprofit($A17,YEAR($B17)+1,$B17,180,1000000)</f>
        <v/>
      </c>
      <c r="I17" s="0">
        <f>[1]!s_west_eps($A17,YEAR($B17)+1,$B17,180)</f>
        <v/>
      </c>
      <c r="J17" s="0">
        <f>[1]!s_west_instnum_np($A17,YEAR($B17)+1,$B17,180)</f>
        <v/>
      </c>
      <c r="K17" s="0">
        <f>[1]!s_west_stdnetprofit($A17,YEAR($B17)+1,$B17,180,1000000)</f>
        <v/>
      </c>
      <c r="L17" s="0">
        <f>[1]!s_west_mediannetprofit($A17,YEAR($B17)+1,$B17,180,1000000)</f>
        <v/>
      </c>
      <c r="M17" s="0">
        <f>[1]!s_dq_close($A17,$B17,3)</f>
        <v/>
      </c>
      <c r="N17" s="0">
        <f>[1]!s_dq_volume($A17,$B17)</f>
        <v/>
      </c>
      <c r="O17" s="0">
        <f>[1]!s_dq_amount($A17,$B17)</f>
        <v/>
      </c>
      <c r="P17" s="0">
        <f>[1]!s_dq_turn($A17,$B17)</f>
        <v/>
      </c>
      <c r="Q17" s="0">
        <f>[1]!s_val_pe_ttm($A17,$B17)</f>
        <v/>
      </c>
      <c r="R17" s="0">
        <f>[1]!S_VAL_MV($A17,$B17,100000000)</f>
        <v/>
      </c>
    </row>
    <row r="18">
      <c r="A18" s="0">
        <f>_meta!A17</f>
        <v/>
      </c>
      <c r="B18" s="0">
        <f>$B$1</f>
        <v/>
      </c>
      <c r="C18" s="0">
        <f>[1]!s_west_netprofit($A18,YEAR($B18),$B18,180,1000000)</f>
        <v/>
      </c>
      <c r="D18" s="0">
        <f>[1]!s_west_eps($A18,YEAR($B18),$B18,180)</f>
        <v/>
      </c>
      <c r="E18" s="0">
        <f>[1]!s_west_instnum_np($A18,YEAR($B18),$B18,180)</f>
        <v/>
      </c>
      <c r="F18" s="0">
        <f>[1]!s_west_stdnetprofit($A18,YEAR($B18),$B18,180,1000000)</f>
        <v/>
      </c>
      <c r="G18" s="0">
        <f>[1]!s_west_mediannetprofit($A18,YEAR($B18),$B18,180,1000000)</f>
        <v/>
      </c>
      <c r="H18" s="0">
        <f>[1]!s_west_netprofit($A18,YEAR($B18)+1,$B18,180,1000000)</f>
        <v/>
      </c>
      <c r="I18" s="0">
        <f>[1]!s_west_eps($A18,YEAR($B18)+1,$B18,180)</f>
        <v/>
      </c>
      <c r="J18" s="0">
        <f>[1]!s_west_instnum_np($A18,YEAR($B18)+1,$B18,180)</f>
        <v/>
      </c>
      <c r="K18" s="0">
        <f>[1]!s_west_stdnetprofit($A18,YEAR($B18)+1,$B18,180,1000000)</f>
        <v/>
      </c>
      <c r="L18" s="0">
        <f>[1]!s_west_mediannetprofit($A18,YEAR($B18)+1,$B18,180,1000000)</f>
        <v/>
      </c>
      <c r="M18" s="0">
        <f>[1]!s_dq_close($A18,$B18,3)</f>
        <v/>
      </c>
      <c r="N18" s="0">
        <f>[1]!s_dq_volume($A18,$B18)</f>
        <v/>
      </c>
      <c r="O18" s="0">
        <f>[1]!s_dq_amount($A18,$B18)</f>
        <v/>
      </c>
      <c r="P18" s="0">
        <f>[1]!s_dq_turn($A18,$B18)</f>
        <v/>
      </c>
      <c r="Q18" s="0">
        <f>[1]!s_val_pe_ttm($A18,$B18)</f>
        <v/>
      </c>
      <c r="R18" s="0">
        <f>[1]!S_VAL_MV($A18,$B18,100000000)</f>
        <v/>
      </c>
    </row>
    <row r="19">
      <c r="A19" s="0">
        <f>_meta!A18</f>
        <v/>
      </c>
      <c r="B19" s="0">
        <f>$B$1</f>
        <v/>
      </c>
      <c r="C19" s="0">
        <f>[1]!s_west_netprofit($A19,YEAR($B19),$B19,180,1000000)</f>
        <v/>
      </c>
      <c r="D19" s="0">
        <f>[1]!s_west_eps($A19,YEAR($B19),$B19,180)</f>
        <v/>
      </c>
      <c r="E19" s="0">
        <f>[1]!s_west_instnum_np($A19,YEAR($B19),$B19,180)</f>
        <v/>
      </c>
      <c r="F19" s="0">
        <f>[1]!s_west_stdnetprofit($A19,YEAR($B19),$B19,180,1000000)</f>
        <v/>
      </c>
      <c r="G19" s="0">
        <f>[1]!s_west_mediannetprofit($A19,YEAR($B19),$B19,180,1000000)</f>
        <v/>
      </c>
      <c r="H19" s="0">
        <f>[1]!s_west_netprofit($A19,YEAR($B19)+1,$B19,180,1000000)</f>
        <v/>
      </c>
      <c r="I19" s="0">
        <f>[1]!s_west_eps($A19,YEAR($B19)+1,$B19,180)</f>
        <v/>
      </c>
      <c r="J19" s="0">
        <f>[1]!s_west_instnum_np($A19,YEAR($B19)+1,$B19,180)</f>
        <v/>
      </c>
      <c r="K19" s="0">
        <f>[1]!s_west_stdnetprofit($A19,YEAR($B19)+1,$B19,180,1000000)</f>
        <v/>
      </c>
      <c r="L19" s="0">
        <f>[1]!s_west_mediannetprofit($A19,YEAR($B19)+1,$B19,180,1000000)</f>
        <v/>
      </c>
      <c r="M19" s="0">
        <f>[1]!s_dq_close($A19,$B19,3)</f>
        <v/>
      </c>
      <c r="N19" s="0">
        <f>[1]!s_dq_volume($A19,$B19)</f>
        <v/>
      </c>
      <c r="O19" s="0">
        <f>[1]!s_dq_amount($A19,$B19)</f>
        <v/>
      </c>
      <c r="P19" s="0">
        <f>[1]!s_dq_turn($A19,$B19)</f>
        <v/>
      </c>
      <c r="Q19" s="0">
        <f>[1]!s_val_pe_ttm($A19,$B19)</f>
        <v/>
      </c>
      <c r="R19" s="0">
        <f>[1]!S_VAL_MV($A19,$B19,100000000)</f>
        <v/>
      </c>
    </row>
    <row r="20">
      <c r="A20" s="0">
        <f>_meta!A19</f>
        <v/>
      </c>
      <c r="B20" s="0">
        <f>$B$1</f>
        <v/>
      </c>
      <c r="C20" s="0">
        <f>[1]!s_west_netprofit($A20,YEAR($B20),$B20,180,1000000)</f>
        <v/>
      </c>
      <c r="D20" s="0">
        <f>[1]!s_west_eps($A20,YEAR($B20),$B20,180)</f>
        <v/>
      </c>
      <c r="E20" s="0">
        <f>[1]!s_west_instnum_np($A20,YEAR($B20),$B20,180)</f>
        <v/>
      </c>
      <c r="F20" s="0">
        <f>[1]!s_west_stdnetprofit($A20,YEAR($B20),$B20,180,1000000)</f>
        <v/>
      </c>
      <c r="G20" s="0">
        <f>[1]!s_west_mediannetprofit($A20,YEAR($B20),$B20,180,1000000)</f>
        <v/>
      </c>
      <c r="H20" s="0">
        <f>[1]!s_west_netprofit($A20,YEAR($B20)+1,$B20,180,1000000)</f>
        <v/>
      </c>
      <c r="I20" s="0">
        <f>[1]!s_west_eps($A20,YEAR($B20)+1,$B20,180)</f>
        <v/>
      </c>
      <c r="J20" s="0">
        <f>[1]!s_west_instnum_np($A20,YEAR($B20)+1,$B20,180)</f>
        <v/>
      </c>
      <c r="K20" s="0">
        <f>[1]!s_west_stdnetprofit($A20,YEAR($B20)+1,$B20,180,1000000)</f>
        <v/>
      </c>
      <c r="L20" s="0">
        <f>[1]!s_west_mediannetprofit($A20,YEAR($B20)+1,$B20,180,1000000)</f>
        <v/>
      </c>
      <c r="M20" s="0">
        <f>[1]!s_dq_close($A20,$B20,3)</f>
        <v/>
      </c>
      <c r="N20" s="0">
        <f>[1]!s_dq_volume($A20,$B20)</f>
        <v/>
      </c>
      <c r="O20" s="0">
        <f>[1]!s_dq_amount($A20,$B20)</f>
        <v/>
      </c>
      <c r="P20" s="0">
        <f>[1]!s_dq_turn($A20,$B20)</f>
        <v/>
      </c>
      <c r="Q20" s="0">
        <f>[1]!s_val_pe_ttm($A20,$B20)</f>
        <v/>
      </c>
      <c r="R20" s="0">
        <f>[1]!S_VAL_MV($A20,$B20,100000000)</f>
        <v/>
      </c>
    </row>
    <row r="21">
      <c r="A21" s="0">
        <f>_meta!A20</f>
        <v/>
      </c>
      <c r="B21" s="0">
        <f>$B$1</f>
        <v/>
      </c>
      <c r="C21" s="0">
        <f>[1]!s_west_netprofit($A21,YEAR($B21),$B21,180,1000000)</f>
        <v/>
      </c>
      <c r="D21" s="0">
        <f>[1]!s_west_eps($A21,YEAR($B21),$B21,180)</f>
        <v/>
      </c>
      <c r="E21" s="0">
        <f>[1]!s_west_instnum_np($A21,YEAR($B21),$B21,180)</f>
        <v/>
      </c>
      <c r="F21" s="0">
        <f>[1]!s_west_stdnetprofit($A21,YEAR($B21),$B21,180,1000000)</f>
        <v/>
      </c>
      <c r="G21" s="0">
        <f>[1]!s_west_mediannetprofit($A21,YEAR($B21),$B21,180,1000000)</f>
        <v/>
      </c>
      <c r="H21" s="0">
        <f>[1]!s_west_netprofit($A21,YEAR($B21)+1,$B21,180,1000000)</f>
        <v/>
      </c>
      <c r="I21" s="0">
        <f>[1]!s_west_eps($A21,YEAR($B21)+1,$B21,180)</f>
        <v/>
      </c>
      <c r="J21" s="0">
        <f>[1]!s_west_instnum_np($A21,YEAR($B21)+1,$B21,180)</f>
        <v/>
      </c>
      <c r="K21" s="0">
        <f>[1]!s_west_stdnetprofit($A21,YEAR($B21)+1,$B21,180,1000000)</f>
        <v/>
      </c>
      <c r="L21" s="0">
        <f>[1]!s_west_mediannetprofit($A21,YEAR($B21)+1,$B21,180,1000000)</f>
        <v/>
      </c>
      <c r="M21" s="0">
        <f>[1]!s_dq_close($A21,$B21,3)</f>
        <v/>
      </c>
      <c r="N21" s="0">
        <f>[1]!s_dq_volume($A21,$B21)</f>
        <v/>
      </c>
      <c r="O21" s="0">
        <f>[1]!s_dq_amount($A21,$B21)</f>
        <v/>
      </c>
      <c r="P21" s="0">
        <f>[1]!s_dq_turn($A21,$B21)</f>
        <v/>
      </c>
      <c r="Q21" s="0">
        <f>[1]!s_val_pe_ttm($A21,$B21)</f>
        <v/>
      </c>
      <c r="R21" s="0">
        <f>[1]!S_VAL_MV($A21,$B21,100000000)</f>
        <v/>
      </c>
    </row>
    <row r="22">
      <c r="A22" s="0">
        <f>_meta!A21</f>
        <v/>
      </c>
      <c r="B22" s="0">
        <f>$B$1</f>
        <v/>
      </c>
      <c r="C22" s="0">
        <f>[1]!s_west_netprofit($A22,YEAR($B22),$B22,180,1000000)</f>
        <v/>
      </c>
      <c r="D22" s="0">
        <f>[1]!s_west_eps($A22,YEAR($B22),$B22,180)</f>
        <v/>
      </c>
      <c r="E22" s="0">
        <f>[1]!s_west_instnum_np($A22,YEAR($B22),$B22,180)</f>
        <v/>
      </c>
      <c r="F22" s="0">
        <f>[1]!s_west_stdnetprofit($A22,YEAR($B22),$B22,180,1000000)</f>
        <v/>
      </c>
      <c r="G22" s="0">
        <f>[1]!s_west_mediannetprofit($A22,YEAR($B22),$B22,180,1000000)</f>
        <v/>
      </c>
      <c r="H22" s="0">
        <f>[1]!s_west_netprofit($A22,YEAR($B22)+1,$B22,180,1000000)</f>
        <v/>
      </c>
      <c r="I22" s="0">
        <f>[1]!s_west_eps($A22,YEAR($B22)+1,$B22,180)</f>
        <v/>
      </c>
      <c r="J22" s="0">
        <f>[1]!s_west_instnum_np($A22,YEAR($B22)+1,$B22,180)</f>
        <v/>
      </c>
      <c r="K22" s="0">
        <f>[1]!s_west_stdnetprofit($A22,YEAR($B22)+1,$B22,180,1000000)</f>
        <v/>
      </c>
      <c r="L22" s="0">
        <f>[1]!s_west_mediannetprofit($A22,YEAR($B22)+1,$B22,180,1000000)</f>
        <v/>
      </c>
      <c r="M22" s="0">
        <f>[1]!s_dq_close($A22,$B22,3)</f>
        <v/>
      </c>
      <c r="N22" s="0">
        <f>[1]!s_dq_volume($A22,$B22)</f>
        <v/>
      </c>
      <c r="O22" s="0">
        <f>[1]!s_dq_amount($A22,$B22)</f>
        <v/>
      </c>
      <c r="P22" s="0">
        <f>[1]!s_dq_turn($A22,$B22)</f>
        <v/>
      </c>
      <c r="Q22" s="0">
        <f>[1]!s_val_pe_ttm($A22,$B22)</f>
        <v/>
      </c>
      <c r="R22" s="0">
        <f>[1]!S_VAL_MV($A22,$B22,100000000)</f>
        <v/>
      </c>
    </row>
    <row r="23">
      <c r="A23" s="0">
        <f>_meta!A22</f>
        <v/>
      </c>
      <c r="B23" s="0">
        <f>$B$1</f>
        <v/>
      </c>
      <c r="C23" s="0">
        <f>[1]!s_west_netprofit($A23,YEAR($B23),$B23,180,1000000)</f>
        <v/>
      </c>
      <c r="D23" s="0">
        <f>[1]!s_west_eps($A23,YEAR($B23),$B23,180)</f>
        <v/>
      </c>
      <c r="E23" s="0">
        <f>[1]!s_west_instnum_np($A23,YEAR($B23),$B23,180)</f>
        <v/>
      </c>
      <c r="F23" s="0">
        <f>[1]!s_west_stdnetprofit($A23,YEAR($B23),$B23,180,1000000)</f>
        <v/>
      </c>
      <c r="G23" s="0">
        <f>[1]!s_west_mediannetprofit($A23,YEAR($B23),$B23,180,1000000)</f>
        <v/>
      </c>
      <c r="H23" s="0">
        <f>[1]!s_west_netprofit($A23,YEAR($B23)+1,$B23,180,1000000)</f>
        <v/>
      </c>
      <c r="I23" s="0">
        <f>[1]!s_west_eps($A23,YEAR($B23)+1,$B23,180)</f>
        <v/>
      </c>
      <c r="J23" s="0">
        <f>[1]!s_west_instnum_np($A23,YEAR($B23)+1,$B23,180)</f>
        <v/>
      </c>
      <c r="K23" s="0">
        <f>[1]!s_west_stdnetprofit($A23,YEAR($B23)+1,$B23,180,1000000)</f>
        <v/>
      </c>
      <c r="L23" s="0">
        <f>[1]!s_west_mediannetprofit($A23,YEAR($B23)+1,$B23,180,1000000)</f>
        <v/>
      </c>
      <c r="M23" s="0">
        <f>[1]!s_dq_close($A23,$B23,3)</f>
        <v/>
      </c>
      <c r="N23" s="0">
        <f>[1]!s_dq_volume($A23,$B23)</f>
        <v/>
      </c>
      <c r="O23" s="0">
        <f>[1]!s_dq_amount($A23,$B23)</f>
        <v/>
      </c>
      <c r="P23" s="0">
        <f>[1]!s_dq_turn($A23,$B23)</f>
        <v/>
      </c>
      <c r="Q23" s="0">
        <f>[1]!s_val_pe_ttm($A23,$B23)</f>
        <v/>
      </c>
      <c r="R23" s="0">
        <f>[1]!S_VAL_MV($A23,$B23,100000000)</f>
        <v/>
      </c>
    </row>
    <row r="24">
      <c r="A24" s="0">
        <f>_meta!A23</f>
        <v/>
      </c>
      <c r="B24" s="0">
        <f>$B$1</f>
        <v/>
      </c>
      <c r="C24" s="0">
        <f>[1]!s_west_netprofit($A24,YEAR($B24),$B24,180,1000000)</f>
        <v/>
      </c>
      <c r="D24" s="0">
        <f>[1]!s_west_eps($A24,YEAR($B24),$B24,180)</f>
        <v/>
      </c>
      <c r="E24" s="0">
        <f>[1]!s_west_instnum_np($A24,YEAR($B24),$B24,180)</f>
        <v/>
      </c>
      <c r="F24" s="0">
        <f>[1]!s_west_stdnetprofit($A24,YEAR($B24),$B24,180,1000000)</f>
        <v/>
      </c>
      <c r="G24" s="0">
        <f>[1]!s_west_mediannetprofit($A24,YEAR($B24),$B24,180,1000000)</f>
        <v/>
      </c>
      <c r="H24" s="0">
        <f>[1]!s_west_netprofit($A24,YEAR($B24)+1,$B24,180,1000000)</f>
        <v/>
      </c>
      <c r="I24" s="0">
        <f>[1]!s_west_eps($A24,YEAR($B24)+1,$B24,180)</f>
        <v/>
      </c>
      <c r="J24" s="0">
        <f>[1]!s_west_instnum_np($A24,YEAR($B24)+1,$B24,180)</f>
        <v/>
      </c>
      <c r="K24" s="0">
        <f>[1]!s_west_stdnetprofit($A24,YEAR($B24)+1,$B24,180,1000000)</f>
        <v/>
      </c>
      <c r="L24" s="0">
        <f>[1]!s_west_mediannetprofit($A24,YEAR($B24)+1,$B24,180,1000000)</f>
        <v/>
      </c>
      <c r="M24" s="0">
        <f>[1]!s_dq_close($A24,$B24,3)</f>
        <v/>
      </c>
      <c r="N24" s="0">
        <f>[1]!s_dq_volume($A24,$B24)</f>
        <v/>
      </c>
      <c r="O24" s="0">
        <f>[1]!s_dq_amount($A24,$B24)</f>
        <v/>
      </c>
      <c r="P24" s="0">
        <f>[1]!s_dq_turn($A24,$B24)</f>
        <v/>
      </c>
      <c r="Q24" s="0">
        <f>[1]!s_val_pe_ttm($A24,$B24)</f>
        <v/>
      </c>
      <c r="R24" s="0">
        <f>[1]!S_VAL_MV($A24,$B24,100000000)</f>
        <v/>
      </c>
    </row>
    <row r="25">
      <c r="A25" s="0">
        <f>_meta!A24</f>
        <v/>
      </c>
      <c r="B25" s="0">
        <f>$B$1</f>
        <v/>
      </c>
      <c r="C25" s="0">
        <f>[1]!s_west_netprofit($A25,YEAR($B25),$B25,180,1000000)</f>
        <v/>
      </c>
      <c r="D25" s="0">
        <f>[1]!s_west_eps($A25,YEAR($B25),$B25,180)</f>
        <v/>
      </c>
      <c r="E25" s="0">
        <f>[1]!s_west_instnum_np($A25,YEAR($B25),$B25,180)</f>
        <v/>
      </c>
      <c r="F25" s="0">
        <f>[1]!s_west_stdnetprofit($A25,YEAR($B25),$B25,180,1000000)</f>
        <v/>
      </c>
      <c r="G25" s="0">
        <f>[1]!s_west_mediannetprofit($A25,YEAR($B25),$B25,180,1000000)</f>
        <v/>
      </c>
      <c r="H25" s="0">
        <f>[1]!s_west_netprofit($A25,YEAR($B25)+1,$B25,180,1000000)</f>
        <v/>
      </c>
      <c r="I25" s="0">
        <f>[1]!s_west_eps($A25,YEAR($B25)+1,$B25,180)</f>
        <v/>
      </c>
      <c r="J25" s="0">
        <f>[1]!s_west_instnum_np($A25,YEAR($B25)+1,$B25,180)</f>
        <v/>
      </c>
      <c r="K25" s="0">
        <f>[1]!s_west_stdnetprofit($A25,YEAR($B25)+1,$B25,180,1000000)</f>
        <v/>
      </c>
      <c r="L25" s="0">
        <f>[1]!s_west_mediannetprofit($A25,YEAR($B25)+1,$B25,180,1000000)</f>
        <v/>
      </c>
      <c r="M25" s="0">
        <f>[1]!s_dq_close($A25,$B25,3)</f>
        <v/>
      </c>
      <c r="N25" s="0">
        <f>[1]!s_dq_volume($A25,$B25)</f>
        <v/>
      </c>
      <c r="O25" s="0">
        <f>[1]!s_dq_amount($A25,$B25)</f>
        <v/>
      </c>
      <c r="P25" s="0">
        <f>[1]!s_dq_turn($A25,$B25)</f>
        <v/>
      </c>
      <c r="Q25" s="0">
        <f>[1]!s_val_pe_ttm($A25,$B25)</f>
        <v/>
      </c>
      <c r="R25" s="0">
        <f>[1]!S_VAL_MV($A25,$B25,100000000)</f>
        <v/>
      </c>
    </row>
    <row r="26">
      <c r="A26" s="0">
        <f>_meta!A25</f>
        <v/>
      </c>
      <c r="B26" s="0">
        <f>$B$1</f>
        <v/>
      </c>
      <c r="C26" s="0">
        <f>[1]!s_west_netprofit($A26,YEAR($B26),$B26,180,1000000)</f>
        <v/>
      </c>
      <c r="D26" s="0">
        <f>[1]!s_west_eps($A26,YEAR($B26),$B26,180)</f>
        <v/>
      </c>
      <c r="E26" s="0">
        <f>[1]!s_west_instnum_np($A26,YEAR($B26),$B26,180)</f>
        <v/>
      </c>
      <c r="F26" s="0">
        <f>[1]!s_west_stdnetprofit($A26,YEAR($B26),$B26,180,1000000)</f>
        <v/>
      </c>
      <c r="G26" s="0">
        <f>[1]!s_west_mediannetprofit($A26,YEAR($B26),$B26,180,1000000)</f>
        <v/>
      </c>
      <c r="H26" s="0">
        <f>[1]!s_west_netprofit($A26,YEAR($B26)+1,$B26,180,1000000)</f>
        <v/>
      </c>
      <c r="I26" s="0">
        <f>[1]!s_west_eps($A26,YEAR($B26)+1,$B26,180)</f>
        <v/>
      </c>
      <c r="J26" s="0">
        <f>[1]!s_west_instnum_np($A26,YEAR($B26)+1,$B26,180)</f>
        <v/>
      </c>
      <c r="K26" s="0">
        <f>[1]!s_west_stdnetprofit($A26,YEAR($B26)+1,$B26,180,1000000)</f>
        <v/>
      </c>
      <c r="L26" s="0">
        <f>[1]!s_west_mediannetprofit($A26,YEAR($B26)+1,$B26,180,1000000)</f>
        <v/>
      </c>
      <c r="M26" s="0">
        <f>[1]!s_dq_close($A26,$B26,3)</f>
        <v/>
      </c>
      <c r="N26" s="0">
        <f>[1]!s_dq_volume($A26,$B26)</f>
        <v/>
      </c>
      <c r="O26" s="0">
        <f>[1]!s_dq_amount($A26,$B26)</f>
        <v/>
      </c>
      <c r="P26" s="0">
        <f>[1]!s_dq_turn($A26,$B26)</f>
        <v/>
      </c>
      <c r="Q26" s="0">
        <f>[1]!s_val_pe_ttm($A26,$B26)</f>
        <v/>
      </c>
      <c r="R26" s="0">
        <f>[1]!S_VAL_MV($A26,$B26,100000000)</f>
        <v/>
      </c>
    </row>
    <row r="27">
      <c r="A27" s="0">
        <f>_meta!A26</f>
        <v/>
      </c>
      <c r="B27" s="0">
        <f>$B$1</f>
        <v/>
      </c>
      <c r="C27" s="0">
        <f>[1]!s_west_netprofit($A27,YEAR($B27),$B27,180,1000000)</f>
        <v/>
      </c>
      <c r="D27" s="0">
        <f>[1]!s_west_eps($A27,YEAR($B27),$B27,180)</f>
        <v/>
      </c>
      <c r="E27" s="0">
        <f>[1]!s_west_instnum_np($A27,YEAR($B27),$B27,180)</f>
        <v/>
      </c>
      <c r="F27" s="0">
        <f>[1]!s_west_stdnetprofit($A27,YEAR($B27),$B27,180,1000000)</f>
        <v/>
      </c>
      <c r="G27" s="0">
        <f>[1]!s_west_mediannetprofit($A27,YEAR($B27),$B27,180,1000000)</f>
        <v/>
      </c>
      <c r="H27" s="0">
        <f>[1]!s_west_netprofit($A27,YEAR($B27)+1,$B27,180,1000000)</f>
        <v/>
      </c>
      <c r="I27" s="0">
        <f>[1]!s_west_eps($A27,YEAR($B27)+1,$B27,180)</f>
        <v/>
      </c>
      <c r="J27" s="0">
        <f>[1]!s_west_instnum_np($A27,YEAR($B27)+1,$B27,180)</f>
        <v/>
      </c>
      <c r="K27" s="0">
        <f>[1]!s_west_stdnetprofit($A27,YEAR($B27)+1,$B27,180,1000000)</f>
        <v/>
      </c>
      <c r="L27" s="0">
        <f>[1]!s_west_mediannetprofit($A27,YEAR($B27)+1,$B27,180,1000000)</f>
        <v/>
      </c>
      <c r="M27" s="0">
        <f>[1]!s_dq_close($A27,$B27,3)</f>
        <v/>
      </c>
      <c r="N27" s="0">
        <f>[1]!s_dq_volume($A27,$B27)</f>
        <v/>
      </c>
      <c r="O27" s="0">
        <f>[1]!s_dq_amount($A27,$B27)</f>
        <v/>
      </c>
      <c r="P27" s="0">
        <f>[1]!s_dq_turn($A27,$B27)</f>
        <v/>
      </c>
      <c r="Q27" s="0">
        <f>[1]!s_val_pe_ttm($A27,$B27)</f>
        <v/>
      </c>
      <c r="R27" s="0">
        <f>[1]!S_VAL_MV($A27,$B27,100000000)</f>
        <v/>
      </c>
    </row>
    <row r="28">
      <c r="A28" s="0">
        <f>_meta!A27</f>
        <v/>
      </c>
      <c r="B28" s="0">
        <f>$B$1</f>
        <v/>
      </c>
      <c r="C28" s="0">
        <f>[1]!s_west_netprofit($A28,YEAR($B28),$B28,180,1000000)</f>
        <v/>
      </c>
      <c r="D28" s="0">
        <f>[1]!s_west_eps($A28,YEAR($B28),$B28,180)</f>
        <v/>
      </c>
      <c r="E28" s="0">
        <f>[1]!s_west_instnum_np($A28,YEAR($B28),$B28,180)</f>
        <v/>
      </c>
      <c r="F28" s="0">
        <f>[1]!s_west_stdnetprofit($A28,YEAR($B28),$B28,180,1000000)</f>
        <v/>
      </c>
      <c r="G28" s="0">
        <f>[1]!s_west_mediannetprofit($A28,YEAR($B28),$B28,180,1000000)</f>
        <v/>
      </c>
      <c r="H28" s="0">
        <f>[1]!s_west_netprofit($A28,YEAR($B28)+1,$B28,180,1000000)</f>
        <v/>
      </c>
      <c r="I28" s="0">
        <f>[1]!s_west_eps($A28,YEAR($B28)+1,$B28,180)</f>
        <v/>
      </c>
      <c r="J28" s="0">
        <f>[1]!s_west_instnum_np($A28,YEAR($B28)+1,$B28,180)</f>
        <v/>
      </c>
      <c r="K28" s="0">
        <f>[1]!s_west_stdnetprofit($A28,YEAR($B28)+1,$B28,180,1000000)</f>
        <v/>
      </c>
      <c r="L28" s="0">
        <f>[1]!s_west_mediannetprofit($A28,YEAR($B28)+1,$B28,180,1000000)</f>
        <v/>
      </c>
      <c r="M28" s="0">
        <f>[1]!s_dq_close($A28,$B28,3)</f>
        <v/>
      </c>
      <c r="N28" s="0">
        <f>[1]!s_dq_volume($A28,$B28)</f>
        <v/>
      </c>
      <c r="O28" s="0">
        <f>[1]!s_dq_amount($A28,$B28)</f>
        <v/>
      </c>
      <c r="P28" s="0">
        <f>[1]!s_dq_turn($A28,$B28)</f>
        <v/>
      </c>
      <c r="Q28" s="0">
        <f>[1]!s_val_pe_ttm($A28,$B28)</f>
        <v/>
      </c>
      <c r="R28" s="0">
        <f>[1]!S_VAL_MV($A28,$B28,100000000)</f>
        <v/>
      </c>
    </row>
    <row r="29">
      <c r="A29" s="0">
        <f>_meta!A28</f>
        <v/>
      </c>
      <c r="B29" s="0">
        <f>$B$1</f>
        <v/>
      </c>
      <c r="C29" s="0">
        <f>[1]!s_west_netprofit($A29,YEAR($B29),$B29,180,1000000)</f>
        <v/>
      </c>
      <c r="D29" s="0">
        <f>[1]!s_west_eps($A29,YEAR($B29),$B29,180)</f>
        <v/>
      </c>
      <c r="E29" s="0">
        <f>[1]!s_west_instnum_np($A29,YEAR($B29),$B29,180)</f>
        <v/>
      </c>
      <c r="F29" s="0">
        <f>[1]!s_west_stdnetprofit($A29,YEAR($B29),$B29,180,1000000)</f>
        <v/>
      </c>
      <c r="G29" s="0">
        <f>[1]!s_west_mediannetprofit($A29,YEAR($B29),$B29,180,1000000)</f>
        <v/>
      </c>
      <c r="H29" s="0">
        <f>[1]!s_west_netprofit($A29,YEAR($B29)+1,$B29,180,1000000)</f>
        <v/>
      </c>
      <c r="I29" s="0">
        <f>[1]!s_west_eps($A29,YEAR($B29)+1,$B29,180)</f>
        <v/>
      </c>
      <c r="J29" s="0">
        <f>[1]!s_west_instnum_np($A29,YEAR($B29)+1,$B29,180)</f>
        <v/>
      </c>
      <c r="K29" s="0">
        <f>[1]!s_west_stdnetprofit($A29,YEAR($B29)+1,$B29,180,1000000)</f>
        <v/>
      </c>
      <c r="L29" s="0">
        <f>[1]!s_west_mediannetprofit($A29,YEAR($B29)+1,$B29,180,1000000)</f>
        <v/>
      </c>
      <c r="M29" s="0">
        <f>[1]!s_dq_close($A29,$B29,3)</f>
        <v/>
      </c>
      <c r="N29" s="0">
        <f>[1]!s_dq_volume($A29,$B29)</f>
        <v/>
      </c>
      <c r="O29" s="0">
        <f>[1]!s_dq_amount($A29,$B29)</f>
        <v/>
      </c>
      <c r="P29" s="0">
        <f>[1]!s_dq_turn($A29,$B29)</f>
        <v/>
      </c>
      <c r="Q29" s="0">
        <f>[1]!s_val_pe_ttm($A29,$B29)</f>
        <v/>
      </c>
      <c r="R29" s="0">
        <f>[1]!S_VAL_MV($A29,$B29,100000000)</f>
        <v/>
      </c>
    </row>
    <row r="30">
      <c r="A30" s="0">
        <f>_meta!A29</f>
        <v/>
      </c>
      <c r="B30" s="0">
        <f>$B$1</f>
        <v/>
      </c>
      <c r="C30" s="0">
        <f>[1]!s_west_netprofit($A30,YEAR($B30),$B30,180,1000000)</f>
        <v/>
      </c>
      <c r="D30" s="0">
        <f>[1]!s_west_eps($A30,YEAR($B30),$B30,180)</f>
        <v/>
      </c>
      <c r="E30" s="0">
        <f>[1]!s_west_instnum_np($A30,YEAR($B30),$B30,180)</f>
        <v/>
      </c>
      <c r="F30" s="0">
        <f>[1]!s_west_stdnetprofit($A30,YEAR($B30),$B30,180,1000000)</f>
        <v/>
      </c>
      <c r="G30" s="0">
        <f>[1]!s_west_mediannetprofit($A30,YEAR($B30),$B30,180,1000000)</f>
        <v/>
      </c>
      <c r="H30" s="0">
        <f>[1]!s_west_netprofit($A30,YEAR($B30)+1,$B30,180,1000000)</f>
        <v/>
      </c>
      <c r="I30" s="0">
        <f>[1]!s_west_eps($A30,YEAR($B30)+1,$B30,180)</f>
        <v/>
      </c>
      <c r="J30" s="0">
        <f>[1]!s_west_instnum_np($A30,YEAR($B30)+1,$B30,180)</f>
        <v/>
      </c>
      <c r="K30" s="0">
        <f>[1]!s_west_stdnetprofit($A30,YEAR($B30)+1,$B30,180,1000000)</f>
        <v/>
      </c>
      <c r="L30" s="0">
        <f>[1]!s_west_mediannetprofit($A30,YEAR($B30)+1,$B30,180,1000000)</f>
        <v/>
      </c>
      <c r="M30" s="0">
        <f>[1]!s_dq_close($A30,$B30,3)</f>
        <v/>
      </c>
      <c r="N30" s="0">
        <f>[1]!s_dq_volume($A30,$B30)</f>
        <v/>
      </c>
      <c r="O30" s="0">
        <f>[1]!s_dq_amount($A30,$B30)</f>
        <v/>
      </c>
      <c r="P30" s="0">
        <f>[1]!s_dq_turn($A30,$B30)</f>
        <v/>
      </c>
      <c r="Q30" s="0">
        <f>[1]!s_val_pe_ttm($A30,$B30)</f>
        <v/>
      </c>
      <c r="R30" s="0">
        <f>[1]!S_VAL_MV($A30,$B30,100000000)</f>
        <v/>
      </c>
    </row>
    <row r="31">
      <c r="A31" s="0">
        <f>_meta!A30</f>
        <v/>
      </c>
      <c r="B31" s="0">
        <f>$B$1</f>
        <v/>
      </c>
      <c r="C31" s="0">
        <f>[1]!s_west_netprofit($A31,YEAR($B31),$B31,180,1000000)</f>
        <v/>
      </c>
      <c r="D31" s="0">
        <f>[1]!s_west_eps($A31,YEAR($B31),$B31,180)</f>
        <v/>
      </c>
      <c r="E31" s="0">
        <f>[1]!s_west_instnum_np($A31,YEAR($B31),$B31,180)</f>
        <v/>
      </c>
      <c r="F31" s="0">
        <f>[1]!s_west_stdnetprofit($A31,YEAR($B31),$B31,180,1000000)</f>
        <v/>
      </c>
      <c r="G31" s="0">
        <f>[1]!s_west_mediannetprofit($A31,YEAR($B31),$B31,180,1000000)</f>
        <v/>
      </c>
      <c r="H31" s="0">
        <f>[1]!s_west_netprofit($A31,YEAR($B31)+1,$B31,180,1000000)</f>
        <v/>
      </c>
      <c r="I31" s="0">
        <f>[1]!s_west_eps($A31,YEAR($B31)+1,$B31,180)</f>
        <v/>
      </c>
      <c r="J31" s="0">
        <f>[1]!s_west_instnum_np($A31,YEAR($B31)+1,$B31,180)</f>
        <v/>
      </c>
      <c r="K31" s="0">
        <f>[1]!s_west_stdnetprofit($A31,YEAR($B31)+1,$B31,180,1000000)</f>
        <v/>
      </c>
      <c r="L31" s="0">
        <f>[1]!s_west_mediannetprofit($A31,YEAR($B31)+1,$B31,180,1000000)</f>
        <v/>
      </c>
      <c r="M31" s="0">
        <f>[1]!s_dq_close($A31,$B31,3)</f>
        <v/>
      </c>
      <c r="N31" s="0">
        <f>[1]!s_dq_volume($A31,$B31)</f>
        <v/>
      </c>
      <c r="O31" s="0">
        <f>[1]!s_dq_amount($A31,$B31)</f>
        <v/>
      </c>
      <c r="P31" s="0">
        <f>[1]!s_dq_turn($A31,$B31)</f>
        <v/>
      </c>
      <c r="Q31" s="0">
        <f>[1]!s_val_pe_ttm($A31,$B31)</f>
        <v/>
      </c>
      <c r="R31" s="0">
        <f>[1]!S_VAL_MV($A31,$B31,100000000)</f>
        <v/>
      </c>
    </row>
    <row r="32">
      <c r="A32" s="0">
        <f>_meta!A31</f>
        <v/>
      </c>
      <c r="B32" s="0">
        <f>$B$1</f>
        <v/>
      </c>
      <c r="C32" s="0">
        <f>[1]!s_west_netprofit($A32,YEAR($B32),$B32,180,1000000)</f>
        <v/>
      </c>
      <c r="D32" s="0">
        <f>[1]!s_west_eps($A32,YEAR($B32),$B32,180)</f>
        <v/>
      </c>
      <c r="E32" s="0">
        <f>[1]!s_west_instnum_np($A32,YEAR($B32),$B32,180)</f>
        <v/>
      </c>
      <c r="F32" s="0">
        <f>[1]!s_west_stdnetprofit($A32,YEAR($B32),$B32,180,1000000)</f>
        <v/>
      </c>
      <c r="G32" s="0">
        <f>[1]!s_west_mediannetprofit($A32,YEAR($B32),$B32,180,1000000)</f>
        <v/>
      </c>
      <c r="H32" s="0">
        <f>[1]!s_west_netprofit($A32,YEAR($B32)+1,$B32,180,1000000)</f>
        <v/>
      </c>
      <c r="I32" s="0">
        <f>[1]!s_west_eps($A32,YEAR($B32)+1,$B32,180)</f>
        <v/>
      </c>
      <c r="J32" s="0">
        <f>[1]!s_west_instnum_np($A32,YEAR($B32)+1,$B32,180)</f>
        <v/>
      </c>
      <c r="K32" s="0">
        <f>[1]!s_west_stdnetprofit($A32,YEAR($B32)+1,$B32,180,1000000)</f>
        <v/>
      </c>
      <c r="L32" s="0">
        <f>[1]!s_west_mediannetprofit($A32,YEAR($B32)+1,$B32,180,1000000)</f>
        <v/>
      </c>
      <c r="M32" s="0">
        <f>[1]!s_dq_close($A32,$B32,3)</f>
        <v/>
      </c>
      <c r="N32" s="0">
        <f>[1]!s_dq_volume($A32,$B32)</f>
        <v/>
      </c>
      <c r="O32" s="0">
        <f>[1]!s_dq_amount($A32,$B32)</f>
        <v/>
      </c>
      <c r="P32" s="0">
        <f>[1]!s_dq_turn($A32,$B32)</f>
        <v/>
      </c>
      <c r="Q32" s="0">
        <f>[1]!s_val_pe_ttm($A32,$B32)</f>
        <v/>
      </c>
      <c r="R32" s="0">
        <f>[1]!S_VAL_MV($A32,$B32,100000000)</f>
        <v/>
      </c>
    </row>
    <row r="33">
      <c r="A33" s="0">
        <f>_meta!A32</f>
        <v/>
      </c>
      <c r="B33" s="0">
        <f>$B$1</f>
        <v/>
      </c>
      <c r="C33" s="0">
        <f>[1]!s_west_netprofit($A33,YEAR($B33),$B33,180,1000000)</f>
        <v/>
      </c>
      <c r="D33" s="0">
        <f>[1]!s_west_eps($A33,YEAR($B33),$B33,180)</f>
        <v/>
      </c>
      <c r="E33" s="0">
        <f>[1]!s_west_instnum_np($A33,YEAR($B33),$B33,180)</f>
        <v/>
      </c>
      <c r="F33" s="0">
        <f>[1]!s_west_stdnetprofit($A33,YEAR($B33),$B33,180,1000000)</f>
        <v/>
      </c>
      <c r="G33" s="0">
        <f>[1]!s_west_mediannetprofit($A33,YEAR($B33),$B33,180,1000000)</f>
        <v/>
      </c>
      <c r="H33" s="0">
        <f>[1]!s_west_netprofit($A33,YEAR($B33)+1,$B33,180,1000000)</f>
        <v/>
      </c>
      <c r="I33" s="0">
        <f>[1]!s_west_eps($A33,YEAR($B33)+1,$B33,180)</f>
        <v/>
      </c>
      <c r="J33" s="0">
        <f>[1]!s_west_instnum_np($A33,YEAR($B33)+1,$B33,180)</f>
        <v/>
      </c>
      <c r="K33" s="0">
        <f>[1]!s_west_stdnetprofit($A33,YEAR($B33)+1,$B33,180,1000000)</f>
        <v/>
      </c>
      <c r="L33" s="0">
        <f>[1]!s_west_mediannetprofit($A33,YEAR($B33)+1,$B33,180,1000000)</f>
        <v/>
      </c>
      <c r="M33" s="0">
        <f>[1]!s_dq_close($A33,$B33,3)</f>
        <v/>
      </c>
      <c r="N33" s="0">
        <f>[1]!s_dq_volume($A33,$B33)</f>
        <v/>
      </c>
      <c r="O33" s="0">
        <f>[1]!s_dq_amount($A33,$B33)</f>
        <v/>
      </c>
      <c r="P33" s="0">
        <f>[1]!s_dq_turn($A33,$B33)</f>
        <v/>
      </c>
      <c r="Q33" s="0">
        <f>[1]!s_val_pe_ttm($A33,$B33)</f>
        <v/>
      </c>
      <c r="R33" s="0">
        <f>[1]!S_VAL_MV($A33,$B33,100000000)</f>
        <v/>
      </c>
    </row>
    <row r="34">
      <c r="A34" s="0">
        <f>_meta!A33</f>
        <v/>
      </c>
      <c r="B34" s="0">
        <f>$B$1</f>
        <v/>
      </c>
      <c r="C34" s="0">
        <f>[1]!s_west_netprofit($A34,YEAR($B34),$B34,180,1000000)</f>
        <v/>
      </c>
      <c r="D34" s="0">
        <f>[1]!s_west_eps($A34,YEAR($B34),$B34,180)</f>
        <v/>
      </c>
      <c r="E34" s="0">
        <f>[1]!s_west_instnum_np($A34,YEAR($B34),$B34,180)</f>
        <v/>
      </c>
      <c r="F34" s="0">
        <f>[1]!s_west_stdnetprofit($A34,YEAR($B34),$B34,180,1000000)</f>
        <v/>
      </c>
      <c r="G34" s="0">
        <f>[1]!s_west_mediannetprofit($A34,YEAR($B34),$B34,180,1000000)</f>
        <v/>
      </c>
      <c r="H34" s="0">
        <f>[1]!s_west_netprofit($A34,YEAR($B34)+1,$B34,180,1000000)</f>
        <v/>
      </c>
      <c r="I34" s="0">
        <f>[1]!s_west_eps($A34,YEAR($B34)+1,$B34,180)</f>
        <v/>
      </c>
      <c r="J34" s="0">
        <f>[1]!s_west_instnum_np($A34,YEAR($B34)+1,$B34,180)</f>
        <v/>
      </c>
      <c r="K34" s="0">
        <f>[1]!s_west_stdnetprofit($A34,YEAR($B34)+1,$B34,180,1000000)</f>
        <v/>
      </c>
      <c r="L34" s="0">
        <f>[1]!s_west_mediannetprofit($A34,YEAR($B34)+1,$B34,180,1000000)</f>
        <v/>
      </c>
      <c r="M34" s="0">
        <f>[1]!s_dq_close($A34,$B34,3)</f>
        <v/>
      </c>
      <c r="N34" s="0">
        <f>[1]!s_dq_volume($A34,$B34)</f>
        <v/>
      </c>
      <c r="O34" s="0">
        <f>[1]!s_dq_amount($A34,$B34)</f>
        <v/>
      </c>
      <c r="P34" s="0">
        <f>[1]!s_dq_turn($A34,$B34)</f>
        <v/>
      </c>
      <c r="Q34" s="0">
        <f>[1]!s_val_pe_ttm($A34,$B34)</f>
        <v/>
      </c>
      <c r="R34" s="0">
        <f>[1]!S_VAL_MV($A34,$B34,100000000)</f>
        <v/>
      </c>
    </row>
    <row r="35">
      <c r="A35" s="0">
        <f>_meta!A34</f>
        <v/>
      </c>
      <c r="B35" s="0">
        <f>$B$1</f>
        <v/>
      </c>
      <c r="C35" s="0">
        <f>[1]!s_west_netprofit($A35,YEAR($B35),$B35,180,1000000)</f>
        <v/>
      </c>
      <c r="D35" s="0">
        <f>[1]!s_west_eps($A35,YEAR($B35),$B35,180)</f>
        <v/>
      </c>
      <c r="E35" s="0">
        <f>[1]!s_west_instnum_np($A35,YEAR($B35),$B35,180)</f>
        <v/>
      </c>
      <c r="F35" s="0">
        <f>[1]!s_west_stdnetprofit($A35,YEAR($B35),$B35,180,1000000)</f>
        <v/>
      </c>
      <c r="G35" s="0">
        <f>[1]!s_west_mediannetprofit($A35,YEAR($B35),$B35,180,1000000)</f>
        <v/>
      </c>
      <c r="H35" s="0">
        <f>[1]!s_west_netprofit($A35,YEAR($B35)+1,$B35,180,1000000)</f>
        <v/>
      </c>
      <c r="I35" s="0">
        <f>[1]!s_west_eps($A35,YEAR($B35)+1,$B35,180)</f>
        <v/>
      </c>
      <c r="J35" s="0">
        <f>[1]!s_west_instnum_np($A35,YEAR($B35)+1,$B35,180)</f>
        <v/>
      </c>
      <c r="K35" s="0">
        <f>[1]!s_west_stdnetprofit($A35,YEAR($B35)+1,$B35,180,1000000)</f>
        <v/>
      </c>
      <c r="L35" s="0">
        <f>[1]!s_west_mediannetprofit($A35,YEAR($B35)+1,$B35,180,1000000)</f>
        <v/>
      </c>
      <c r="M35" s="0">
        <f>[1]!s_dq_close($A35,$B35,3)</f>
        <v/>
      </c>
      <c r="N35" s="0">
        <f>[1]!s_dq_volume($A35,$B35)</f>
        <v/>
      </c>
      <c r="O35" s="0">
        <f>[1]!s_dq_amount($A35,$B35)</f>
        <v/>
      </c>
      <c r="P35" s="0">
        <f>[1]!s_dq_turn($A35,$B35)</f>
        <v/>
      </c>
      <c r="Q35" s="0">
        <f>[1]!s_val_pe_ttm($A35,$B35)</f>
        <v/>
      </c>
      <c r="R35" s="0">
        <f>[1]!S_VAL_MV($A35,$B35,100000000)</f>
        <v/>
      </c>
    </row>
    <row r="36">
      <c r="A36" s="0">
        <f>_meta!A35</f>
        <v/>
      </c>
      <c r="B36" s="0">
        <f>$B$1</f>
        <v/>
      </c>
      <c r="C36" s="0">
        <f>[1]!s_west_netprofit($A36,YEAR($B36),$B36,180,1000000)</f>
        <v/>
      </c>
      <c r="D36" s="0">
        <f>[1]!s_west_eps($A36,YEAR($B36),$B36,180)</f>
        <v/>
      </c>
      <c r="E36" s="0">
        <f>[1]!s_west_instnum_np($A36,YEAR($B36),$B36,180)</f>
        <v/>
      </c>
      <c r="F36" s="0">
        <f>[1]!s_west_stdnetprofit($A36,YEAR($B36),$B36,180,1000000)</f>
        <v/>
      </c>
      <c r="G36" s="0">
        <f>[1]!s_west_mediannetprofit($A36,YEAR($B36),$B36,180,1000000)</f>
        <v/>
      </c>
      <c r="H36" s="0">
        <f>[1]!s_west_netprofit($A36,YEAR($B36)+1,$B36,180,1000000)</f>
        <v/>
      </c>
      <c r="I36" s="0">
        <f>[1]!s_west_eps($A36,YEAR($B36)+1,$B36,180)</f>
        <v/>
      </c>
      <c r="J36" s="0">
        <f>[1]!s_west_instnum_np($A36,YEAR($B36)+1,$B36,180)</f>
        <v/>
      </c>
      <c r="K36" s="0">
        <f>[1]!s_west_stdnetprofit($A36,YEAR($B36)+1,$B36,180,1000000)</f>
        <v/>
      </c>
      <c r="L36" s="0">
        <f>[1]!s_west_mediannetprofit($A36,YEAR($B36)+1,$B36,180,1000000)</f>
        <v/>
      </c>
      <c r="M36" s="0">
        <f>[1]!s_dq_close($A36,$B36,3)</f>
        <v/>
      </c>
      <c r="N36" s="0">
        <f>[1]!s_dq_volume($A36,$B36)</f>
        <v/>
      </c>
      <c r="O36" s="0">
        <f>[1]!s_dq_amount($A36,$B36)</f>
        <v/>
      </c>
      <c r="P36" s="0">
        <f>[1]!s_dq_turn($A36,$B36)</f>
        <v/>
      </c>
      <c r="Q36" s="0">
        <f>[1]!s_val_pe_ttm($A36,$B36)</f>
        <v/>
      </c>
      <c r="R36" s="0">
        <f>[1]!S_VAL_MV($A36,$B36,100000000)</f>
        <v/>
      </c>
    </row>
    <row r="37">
      <c r="A37" s="0">
        <f>_meta!A36</f>
        <v/>
      </c>
      <c r="B37" s="0">
        <f>$B$1</f>
        <v/>
      </c>
      <c r="C37" s="0">
        <f>[1]!s_west_netprofit($A37,YEAR($B37),$B37,180,1000000)</f>
        <v/>
      </c>
      <c r="D37" s="0">
        <f>[1]!s_west_eps($A37,YEAR($B37),$B37,180)</f>
        <v/>
      </c>
      <c r="E37" s="0">
        <f>[1]!s_west_instnum_np($A37,YEAR($B37),$B37,180)</f>
        <v/>
      </c>
      <c r="F37" s="0">
        <f>[1]!s_west_stdnetprofit($A37,YEAR($B37),$B37,180,1000000)</f>
        <v/>
      </c>
      <c r="G37" s="0">
        <f>[1]!s_west_mediannetprofit($A37,YEAR($B37),$B37,180,1000000)</f>
        <v/>
      </c>
      <c r="H37" s="0">
        <f>[1]!s_west_netprofit($A37,YEAR($B37)+1,$B37,180,1000000)</f>
        <v/>
      </c>
      <c r="I37" s="0">
        <f>[1]!s_west_eps($A37,YEAR($B37)+1,$B37,180)</f>
        <v/>
      </c>
      <c r="J37" s="0">
        <f>[1]!s_west_instnum_np($A37,YEAR($B37)+1,$B37,180)</f>
        <v/>
      </c>
      <c r="K37" s="0">
        <f>[1]!s_west_stdnetprofit($A37,YEAR($B37)+1,$B37,180,1000000)</f>
        <v/>
      </c>
      <c r="L37" s="0">
        <f>[1]!s_west_mediannetprofit($A37,YEAR($B37)+1,$B37,180,1000000)</f>
        <v/>
      </c>
      <c r="M37" s="0">
        <f>[1]!s_dq_close($A37,$B37,3)</f>
        <v/>
      </c>
      <c r="N37" s="0">
        <f>[1]!s_dq_volume($A37,$B37)</f>
        <v/>
      </c>
      <c r="O37" s="0">
        <f>[1]!s_dq_amount($A37,$B37)</f>
        <v/>
      </c>
      <c r="P37" s="0">
        <f>[1]!s_dq_turn($A37,$B37)</f>
        <v/>
      </c>
      <c r="Q37" s="0">
        <f>[1]!s_val_pe_ttm($A37,$B37)</f>
        <v/>
      </c>
      <c r="R37" s="0">
        <f>[1]!S_VAL_MV($A37,$B37,100000000)</f>
        <v/>
      </c>
    </row>
    <row r="38">
      <c r="A38" s="0">
        <f>_meta!A37</f>
        <v/>
      </c>
      <c r="B38" s="0">
        <f>$B$1</f>
        <v/>
      </c>
      <c r="C38" s="0">
        <f>[1]!s_west_netprofit($A38,YEAR($B38),$B38,180,1000000)</f>
        <v/>
      </c>
      <c r="D38" s="0">
        <f>[1]!s_west_eps($A38,YEAR($B38),$B38,180)</f>
        <v/>
      </c>
      <c r="E38" s="0">
        <f>[1]!s_west_instnum_np($A38,YEAR($B38),$B38,180)</f>
        <v/>
      </c>
      <c r="F38" s="0">
        <f>[1]!s_west_stdnetprofit($A38,YEAR($B38),$B38,180,1000000)</f>
        <v/>
      </c>
      <c r="G38" s="0">
        <f>[1]!s_west_mediannetprofit($A38,YEAR($B38),$B38,180,1000000)</f>
        <v/>
      </c>
      <c r="H38" s="0">
        <f>[1]!s_west_netprofit($A38,YEAR($B38)+1,$B38,180,1000000)</f>
        <v/>
      </c>
      <c r="I38" s="0">
        <f>[1]!s_west_eps($A38,YEAR($B38)+1,$B38,180)</f>
        <v/>
      </c>
      <c r="J38" s="0">
        <f>[1]!s_west_instnum_np($A38,YEAR($B38)+1,$B38,180)</f>
        <v/>
      </c>
      <c r="K38" s="0">
        <f>[1]!s_west_stdnetprofit($A38,YEAR($B38)+1,$B38,180,1000000)</f>
        <v/>
      </c>
      <c r="L38" s="0">
        <f>[1]!s_west_mediannetprofit($A38,YEAR($B38)+1,$B38,180,1000000)</f>
        <v/>
      </c>
      <c r="M38" s="0">
        <f>[1]!s_dq_close($A38,$B38,3)</f>
        <v/>
      </c>
      <c r="N38" s="0">
        <f>[1]!s_dq_volume($A38,$B38)</f>
        <v/>
      </c>
      <c r="O38" s="0">
        <f>[1]!s_dq_amount($A38,$B38)</f>
        <v/>
      </c>
      <c r="P38" s="0">
        <f>[1]!s_dq_turn($A38,$B38)</f>
        <v/>
      </c>
      <c r="Q38" s="0">
        <f>[1]!s_val_pe_ttm($A38,$B38)</f>
        <v/>
      </c>
      <c r="R38" s="0">
        <f>[1]!S_VAL_MV($A38,$B38,100000000)</f>
        <v/>
      </c>
    </row>
    <row r="39">
      <c r="A39" s="0">
        <f>_meta!A38</f>
        <v/>
      </c>
      <c r="B39" s="0">
        <f>$B$1</f>
        <v/>
      </c>
      <c r="C39" s="0">
        <f>[1]!s_west_netprofit($A39,YEAR($B39),$B39,180,1000000)</f>
        <v/>
      </c>
      <c r="D39" s="0">
        <f>[1]!s_west_eps($A39,YEAR($B39),$B39,180)</f>
        <v/>
      </c>
      <c r="E39" s="0">
        <f>[1]!s_west_instnum_np($A39,YEAR($B39),$B39,180)</f>
        <v/>
      </c>
      <c r="F39" s="0">
        <f>[1]!s_west_stdnetprofit($A39,YEAR($B39),$B39,180,1000000)</f>
        <v/>
      </c>
      <c r="G39" s="0">
        <f>[1]!s_west_mediannetprofit($A39,YEAR($B39),$B39,180,1000000)</f>
        <v/>
      </c>
      <c r="H39" s="0">
        <f>[1]!s_west_netprofit($A39,YEAR($B39)+1,$B39,180,1000000)</f>
        <v/>
      </c>
      <c r="I39" s="0">
        <f>[1]!s_west_eps($A39,YEAR($B39)+1,$B39,180)</f>
        <v/>
      </c>
      <c r="J39" s="0">
        <f>[1]!s_west_instnum_np($A39,YEAR($B39)+1,$B39,180)</f>
        <v/>
      </c>
      <c r="K39" s="0">
        <f>[1]!s_west_stdnetprofit($A39,YEAR($B39)+1,$B39,180,1000000)</f>
        <v/>
      </c>
      <c r="L39" s="0">
        <f>[1]!s_west_mediannetprofit($A39,YEAR($B39)+1,$B39,180,1000000)</f>
        <v/>
      </c>
      <c r="M39" s="0">
        <f>[1]!s_dq_close($A39,$B39,3)</f>
        <v/>
      </c>
      <c r="N39" s="0">
        <f>[1]!s_dq_volume($A39,$B39)</f>
        <v/>
      </c>
      <c r="O39" s="0">
        <f>[1]!s_dq_amount($A39,$B39)</f>
        <v/>
      </c>
      <c r="P39" s="0">
        <f>[1]!s_dq_turn($A39,$B39)</f>
        <v/>
      </c>
      <c r="Q39" s="0">
        <f>[1]!s_val_pe_ttm($A39,$B39)</f>
        <v/>
      </c>
      <c r="R39" s="0">
        <f>[1]!S_VAL_MV($A39,$B39,100000000)</f>
        <v/>
      </c>
    </row>
    <row r="40">
      <c r="A40" s="0">
        <f>_meta!A39</f>
        <v/>
      </c>
      <c r="B40" s="0">
        <f>$B$1</f>
        <v/>
      </c>
      <c r="C40" s="0">
        <f>[1]!s_west_netprofit($A40,YEAR($B40),$B40,180,1000000)</f>
        <v/>
      </c>
      <c r="D40" s="0">
        <f>[1]!s_west_eps($A40,YEAR($B40),$B40,180)</f>
        <v/>
      </c>
      <c r="E40" s="0">
        <f>[1]!s_west_instnum_np($A40,YEAR($B40),$B40,180)</f>
        <v/>
      </c>
      <c r="F40" s="0">
        <f>[1]!s_west_stdnetprofit($A40,YEAR($B40),$B40,180,1000000)</f>
        <v/>
      </c>
      <c r="G40" s="0">
        <f>[1]!s_west_mediannetprofit($A40,YEAR($B40),$B40,180,1000000)</f>
        <v/>
      </c>
      <c r="H40" s="0">
        <f>[1]!s_west_netprofit($A40,YEAR($B40)+1,$B40,180,1000000)</f>
        <v/>
      </c>
      <c r="I40" s="0">
        <f>[1]!s_west_eps($A40,YEAR($B40)+1,$B40,180)</f>
        <v/>
      </c>
      <c r="J40" s="0">
        <f>[1]!s_west_instnum_np($A40,YEAR($B40)+1,$B40,180)</f>
        <v/>
      </c>
      <c r="K40" s="0">
        <f>[1]!s_west_stdnetprofit($A40,YEAR($B40)+1,$B40,180,1000000)</f>
        <v/>
      </c>
      <c r="L40" s="0">
        <f>[1]!s_west_mediannetprofit($A40,YEAR($B40)+1,$B40,180,1000000)</f>
        <v/>
      </c>
      <c r="M40" s="0">
        <f>[1]!s_dq_close($A40,$B40,3)</f>
        <v/>
      </c>
      <c r="N40" s="0">
        <f>[1]!s_dq_volume($A40,$B40)</f>
        <v/>
      </c>
      <c r="O40" s="0">
        <f>[1]!s_dq_amount($A40,$B40)</f>
        <v/>
      </c>
      <c r="P40" s="0">
        <f>[1]!s_dq_turn($A40,$B40)</f>
        <v/>
      </c>
      <c r="Q40" s="0">
        <f>[1]!s_val_pe_ttm($A40,$B40)</f>
        <v/>
      </c>
      <c r="R40" s="0">
        <f>[1]!S_VAL_MV($A40,$B40,100000000)</f>
        <v/>
      </c>
    </row>
    <row r="41">
      <c r="A41" s="0">
        <f>_meta!A40</f>
        <v/>
      </c>
      <c r="B41" s="0">
        <f>$B$1</f>
        <v/>
      </c>
      <c r="C41" s="0">
        <f>[1]!s_west_netprofit($A41,YEAR($B41),$B41,180,1000000)</f>
        <v/>
      </c>
      <c r="D41" s="0">
        <f>[1]!s_west_eps($A41,YEAR($B41),$B41,180)</f>
        <v/>
      </c>
      <c r="E41" s="0">
        <f>[1]!s_west_instnum_np($A41,YEAR($B41),$B41,180)</f>
        <v/>
      </c>
      <c r="F41" s="0">
        <f>[1]!s_west_stdnetprofit($A41,YEAR($B41),$B41,180,1000000)</f>
        <v/>
      </c>
      <c r="G41" s="0">
        <f>[1]!s_west_mediannetprofit($A41,YEAR($B41),$B41,180,1000000)</f>
        <v/>
      </c>
      <c r="H41" s="0">
        <f>[1]!s_west_netprofit($A41,YEAR($B41)+1,$B41,180,1000000)</f>
        <v/>
      </c>
      <c r="I41" s="0">
        <f>[1]!s_west_eps($A41,YEAR($B41)+1,$B41,180)</f>
        <v/>
      </c>
      <c r="J41" s="0">
        <f>[1]!s_west_instnum_np($A41,YEAR($B41)+1,$B41,180)</f>
        <v/>
      </c>
      <c r="K41" s="0">
        <f>[1]!s_west_stdnetprofit($A41,YEAR($B41)+1,$B41,180,1000000)</f>
        <v/>
      </c>
      <c r="L41" s="0">
        <f>[1]!s_west_mediannetprofit($A41,YEAR($B41)+1,$B41,180,1000000)</f>
        <v/>
      </c>
      <c r="M41" s="0">
        <f>[1]!s_dq_close($A41,$B41,3)</f>
        <v/>
      </c>
      <c r="N41" s="0">
        <f>[1]!s_dq_volume($A41,$B41)</f>
        <v/>
      </c>
      <c r="O41" s="0">
        <f>[1]!s_dq_amount($A41,$B41)</f>
        <v/>
      </c>
      <c r="P41" s="0">
        <f>[1]!s_dq_turn($A41,$B41)</f>
        <v/>
      </c>
      <c r="Q41" s="0">
        <f>[1]!s_val_pe_ttm($A41,$B41)</f>
        <v/>
      </c>
      <c r="R41" s="0">
        <f>[1]!S_VAL_MV($A41,$B41,100000000)</f>
        <v/>
      </c>
    </row>
    <row r="42">
      <c r="A42" s="0">
        <f>_meta!A41</f>
        <v/>
      </c>
      <c r="B42" s="0">
        <f>$B$1</f>
        <v/>
      </c>
      <c r="C42" s="0">
        <f>[1]!s_west_netprofit($A42,YEAR($B42),$B42,180,1000000)</f>
        <v/>
      </c>
      <c r="D42" s="0">
        <f>[1]!s_west_eps($A42,YEAR($B42),$B42,180)</f>
        <v/>
      </c>
      <c r="E42" s="0">
        <f>[1]!s_west_instnum_np($A42,YEAR($B42),$B42,180)</f>
        <v/>
      </c>
      <c r="F42" s="0">
        <f>[1]!s_west_stdnetprofit($A42,YEAR($B42),$B42,180,1000000)</f>
        <v/>
      </c>
      <c r="G42" s="0">
        <f>[1]!s_west_mediannetprofit($A42,YEAR($B42),$B42,180,1000000)</f>
        <v/>
      </c>
      <c r="H42" s="0">
        <f>[1]!s_west_netprofit($A42,YEAR($B42)+1,$B42,180,1000000)</f>
        <v/>
      </c>
      <c r="I42" s="0">
        <f>[1]!s_west_eps($A42,YEAR($B42)+1,$B42,180)</f>
        <v/>
      </c>
      <c r="J42" s="0">
        <f>[1]!s_west_instnum_np($A42,YEAR($B42)+1,$B42,180)</f>
        <v/>
      </c>
      <c r="K42" s="0">
        <f>[1]!s_west_stdnetprofit($A42,YEAR($B42)+1,$B42,180,1000000)</f>
        <v/>
      </c>
      <c r="L42" s="0">
        <f>[1]!s_west_mediannetprofit($A42,YEAR($B42)+1,$B42,180,1000000)</f>
        <v/>
      </c>
      <c r="M42" s="0">
        <f>[1]!s_dq_close($A42,$B42,3)</f>
        <v/>
      </c>
      <c r="N42" s="0">
        <f>[1]!s_dq_volume($A42,$B42)</f>
        <v/>
      </c>
      <c r="O42" s="0">
        <f>[1]!s_dq_amount($A42,$B42)</f>
        <v/>
      </c>
      <c r="P42" s="0">
        <f>[1]!s_dq_turn($A42,$B42)</f>
        <v/>
      </c>
      <c r="Q42" s="0">
        <f>[1]!s_val_pe_ttm($A42,$B42)</f>
        <v/>
      </c>
      <c r="R42" s="0">
        <f>[1]!S_VAL_MV($A42,$B42,100000000)</f>
        <v/>
      </c>
    </row>
    <row r="43">
      <c r="A43" s="0">
        <f>_meta!A42</f>
        <v/>
      </c>
      <c r="B43" s="0">
        <f>$B$1</f>
        <v/>
      </c>
      <c r="C43" s="0">
        <f>[1]!s_west_netprofit($A43,YEAR($B43),$B43,180,1000000)</f>
        <v/>
      </c>
      <c r="D43" s="0">
        <f>[1]!s_west_eps($A43,YEAR($B43),$B43,180)</f>
        <v/>
      </c>
      <c r="E43" s="0">
        <f>[1]!s_west_instnum_np($A43,YEAR($B43),$B43,180)</f>
        <v/>
      </c>
      <c r="F43" s="0">
        <f>[1]!s_west_stdnetprofit($A43,YEAR($B43),$B43,180,1000000)</f>
        <v/>
      </c>
      <c r="G43" s="0">
        <f>[1]!s_west_mediannetprofit($A43,YEAR($B43),$B43,180,1000000)</f>
        <v/>
      </c>
      <c r="H43" s="0">
        <f>[1]!s_west_netprofit($A43,YEAR($B43)+1,$B43,180,1000000)</f>
        <v/>
      </c>
      <c r="I43" s="0">
        <f>[1]!s_west_eps($A43,YEAR($B43)+1,$B43,180)</f>
        <v/>
      </c>
      <c r="J43" s="0">
        <f>[1]!s_west_instnum_np($A43,YEAR($B43)+1,$B43,180)</f>
        <v/>
      </c>
      <c r="K43" s="0">
        <f>[1]!s_west_stdnetprofit($A43,YEAR($B43)+1,$B43,180,1000000)</f>
        <v/>
      </c>
      <c r="L43" s="0">
        <f>[1]!s_west_mediannetprofit($A43,YEAR($B43)+1,$B43,180,1000000)</f>
        <v/>
      </c>
      <c r="M43" s="0">
        <f>[1]!s_dq_close($A43,$B43,3)</f>
        <v/>
      </c>
      <c r="N43" s="0">
        <f>[1]!s_dq_volume($A43,$B43)</f>
        <v/>
      </c>
      <c r="O43" s="0">
        <f>[1]!s_dq_amount($A43,$B43)</f>
        <v/>
      </c>
      <c r="P43" s="0">
        <f>[1]!s_dq_turn($A43,$B43)</f>
        <v/>
      </c>
      <c r="Q43" s="0">
        <f>[1]!s_val_pe_ttm($A43,$B43)</f>
        <v/>
      </c>
      <c r="R43" s="0">
        <f>[1]!S_VAL_MV($A43,$B43,100000000)</f>
        <v/>
      </c>
    </row>
    <row r="44">
      <c r="A44" s="0">
        <f>_meta!A43</f>
        <v/>
      </c>
      <c r="B44" s="0">
        <f>$B$1</f>
        <v/>
      </c>
      <c r="C44" s="0">
        <f>[1]!s_west_netprofit($A44,YEAR($B44),$B44,180,1000000)</f>
        <v/>
      </c>
      <c r="D44" s="0">
        <f>[1]!s_west_eps($A44,YEAR($B44),$B44,180)</f>
        <v/>
      </c>
      <c r="E44" s="0">
        <f>[1]!s_west_instnum_np($A44,YEAR($B44),$B44,180)</f>
        <v/>
      </c>
      <c r="F44" s="0">
        <f>[1]!s_west_stdnetprofit($A44,YEAR($B44),$B44,180,1000000)</f>
        <v/>
      </c>
      <c r="G44" s="0">
        <f>[1]!s_west_mediannetprofit($A44,YEAR($B44),$B44,180,1000000)</f>
        <v/>
      </c>
      <c r="H44" s="0">
        <f>[1]!s_west_netprofit($A44,YEAR($B44)+1,$B44,180,1000000)</f>
        <v/>
      </c>
      <c r="I44" s="0">
        <f>[1]!s_west_eps($A44,YEAR($B44)+1,$B44,180)</f>
        <v/>
      </c>
      <c r="J44" s="0">
        <f>[1]!s_west_instnum_np($A44,YEAR($B44)+1,$B44,180)</f>
        <v/>
      </c>
      <c r="K44" s="0">
        <f>[1]!s_west_stdnetprofit($A44,YEAR($B44)+1,$B44,180,1000000)</f>
        <v/>
      </c>
      <c r="L44" s="0">
        <f>[1]!s_west_mediannetprofit($A44,YEAR($B44)+1,$B44,180,1000000)</f>
        <v/>
      </c>
      <c r="M44" s="0">
        <f>[1]!s_dq_close($A44,$B44,3)</f>
        <v/>
      </c>
      <c r="N44" s="0">
        <f>[1]!s_dq_volume($A44,$B44)</f>
        <v/>
      </c>
      <c r="O44" s="0">
        <f>[1]!s_dq_amount($A44,$B44)</f>
        <v/>
      </c>
      <c r="P44" s="0">
        <f>[1]!s_dq_turn($A44,$B44)</f>
        <v/>
      </c>
      <c r="Q44" s="0">
        <f>[1]!s_val_pe_ttm($A44,$B44)</f>
        <v/>
      </c>
      <c r="R44" s="0">
        <f>[1]!S_VAL_MV($A44,$B44,100000000)</f>
        <v/>
      </c>
    </row>
    <row r="45">
      <c r="A45" s="0">
        <f>_meta!A44</f>
        <v/>
      </c>
      <c r="B45" s="0">
        <f>$B$1</f>
        <v/>
      </c>
      <c r="C45" s="0">
        <f>[1]!s_west_netprofit($A45,YEAR($B45),$B45,180,1000000)</f>
        <v/>
      </c>
      <c r="D45" s="0">
        <f>[1]!s_west_eps($A45,YEAR($B45),$B45,180)</f>
        <v/>
      </c>
      <c r="E45" s="0">
        <f>[1]!s_west_instnum_np($A45,YEAR($B45),$B45,180)</f>
        <v/>
      </c>
      <c r="F45" s="0">
        <f>[1]!s_west_stdnetprofit($A45,YEAR($B45),$B45,180,1000000)</f>
        <v/>
      </c>
      <c r="G45" s="0">
        <f>[1]!s_west_mediannetprofit($A45,YEAR($B45),$B45,180,1000000)</f>
        <v/>
      </c>
      <c r="H45" s="0">
        <f>[1]!s_west_netprofit($A45,YEAR($B45)+1,$B45,180,1000000)</f>
        <v/>
      </c>
      <c r="I45" s="0">
        <f>[1]!s_west_eps($A45,YEAR($B45)+1,$B45,180)</f>
        <v/>
      </c>
      <c r="J45" s="0">
        <f>[1]!s_west_instnum_np($A45,YEAR($B45)+1,$B45,180)</f>
        <v/>
      </c>
      <c r="K45" s="0">
        <f>[1]!s_west_stdnetprofit($A45,YEAR($B45)+1,$B45,180,1000000)</f>
        <v/>
      </c>
      <c r="L45" s="0">
        <f>[1]!s_west_mediannetprofit($A45,YEAR($B45)+1,$B45,180,1000000)</f>
        <v/>
      </c>
      <c r="M45" s="0">
        <f>[1]!s_dq_close($A45,$B45,3)</f>
        <v/>
      </c>
      <c r="N45" s="0">
        <f>[1]!s_dq_volume($A45,$B45)</f>
        <v/>
      </c>
      <c r="O45" s="0">
        <f>[1]!s_dq_amount($A45,$B45)</f>
        <v/>
      </c>
      <c r="P45" s="0">
        <f>[1]!s_dq_turn($A45,$B45)</f>
        <v/>
      </c>
      <c r="Q45" s="0">
        <f>[1]!s_val_pe_ttm($A45,$B45)</f>
        <v/>
      </c>
      <c r="R45" s="0">
        <f>[1]!S_VAL_MV($A45,$B45,100000000)</f>
        <v/>
      </c>
    </row>
    <row r="46">
      <c r="A46" s="0">
        <f>_meta!A45</f>
        <v/>
      </c>
      <c r="B46" s="0">
        <f>$B$1</f>
        <v/>
      </c>
      <c r="C46" s="0">
        <f>[1]!s_west_netprofit($A46,YEAR($B46),$B46,180,1000000)</f>
        <v/>
      </c>
      <c r="D46" s="0">
        <f>[1]!s_west_eps($A46,YEAR($B46),$B46,180)</f>
        <v/>
      </c>
      <c r="E46" s="0">
        <f>[1]!s_west_instnum_np($A46,YEAR($B46),$B46,180)</f>
        <v/>
      </c>
      <c r="F46" s="0">
        <f>[1]!s_west_stdnetprofit($A46,YEAR($B46),$B46,180,1000000)</f>
        <v/>
      </c>
      <c r="G46" s="0">
        <f>[1]!s_west_mediannetprofit($A46,YEAR($B46),$B46,180,1000000)</f>
        <v/>
      </c>
      <c r="H46" s="0">
        <f>[1]!s_west_netprofit($A46,YEAR($B46)+1,$B46,180,1000000)</f>
        <v/>
      </c>
      <c r="I46" s="0">
        <f>[1]!s_west_eps($A46,YEAR($B46)+1,$B46,180)</f>
        <v/>
      </c>
      <c r="J46" s="0">
        <f>[1]!s_west_instnum_np($A46,YEAR($B46)+1,$B46,180)</f>
        <v/>
      </c>
      <c r="K46" s="0">
        <f>[1]!s_west_stdnetprofit($A46,YEAR($B46)+1,$B46,180,1000000)</f>
        <v/>
      </c>
      <c r="L46" s="0">
        <f>[1]!s_west_mediannetprofit($A46,YEAR($B46)+1,$B46,180,1000000)</f>
        <v/>
      </c>
      <c r="M46" s="0">
        <f>[1]!s_dq_close($A46,$B46,3)</f>
        <v/>
      </c>
      <c r="N46" s="0">
        <f>[1]!s_dq_volume($A46,$B46)</f>
        <v/>
      </c>
      <c r="O46" s="0">
        <f>[1]!s_dq_amount($A46,$B46)</f>
        <v/>
      </c>
      <c r="P46" s="0">
        <f>[1]!s_dq_turn($A46,$B46)</f>
        <v/>
      </c>
      <c r="Q46" s="0">
        <f>[1]!s_val_pe_ttm($A46,$B46)</f>
        <v/>
      </c>
      <c r="R46" s="0">
        <f>[1]!S_VAL_MV($A46,$B46,100000000)</f>
        <v/>
      </c>
    </row>
    <row r="47">
      <c r="A47" s="0">
        <f>_meta!A46</f>
        <v/>
      </c>
      <c r="B47" s="0">
        <f>$B$1</f>
        <v/>
      </c>
      <c r="C47" s="0">
        <f>[1]!s_west_netprofit($A47,YEAR($B47),$B47,180,1000000)</f>
        <v/>
      </c>
      <c r="D47" s="0">
        <f>[1]!s_west_eps($A47,YEAR($B47),$B47,180)</f>
        <v/>
      </c>
      <c r="E47" s="0">
        <f>[1]!s_west_instnum_np($A47,YEAR($B47),$B47,180)</f>
        <v/>
      </c>
      <c r="F47" s="0">
        <f>[1]!s_west_stdnetprofit($A47,YEAR($B47),$B47,180,1000000)</f>
        <v/>
      </c>
      <c r="G47" s="0">
        <f>[1]!s_west_mediannetprofit($A47,YEAR($B47),$B47,180,1000000)</f>
        <v/>
      </c>
      <c r="H47" s="0">
        <f>[1]!s_west_netprofit($A47,YEAR($B47)+1,$B47,180,1000000)</f>
        <v/>
      </c>
      <c r="I47" s="0">
        <f>[1]!s_west_eps($A47,YEAR($B47)+1,$B47,180)</f>
        <v/>
      </c>
      <c r="J47" s="0">
        <f>[1]!s_west_instnum_np($A47,YEAR($B47)+1,$B47,180)</f>
        <v/>
      </c>
      <c r="K47" s="0">
        <f>[1]!s_west_stdnetprofit($A47,YEAR($B47)+1,$B47,180,1000000)</f>
        <v/>
      </c>
      <c r="L47" s="0">
        <f>[1]!s_west_mediannetprofit($A47,YEAR($B47)+1,$B47,180,1000000)</f>
        <v/>
      </c>
      <c r="M47" s="0">
        <f>[1]!s_dq_close($A47,$B47,3)</f>
        <v/>
      </c>
      <c r="N47" s="0">
        <f>[1]!s_dq_volume($A47,$B47)</f>
        <v/>
      </c>
      <c r="O47" s="0">
        <f>[1]!s_dq_amount($A47,$B47)</f>
        <v/>
      </c>
      <c r="P47" s="0">
        <f>[1]!s_dq_turn($A47,$B47)</f>
        <v/>
      </c>
      <c r="Q47" s="0">
        <f>[1]!s_val_pe_ttm($A47,$B47)</f>
        <v/>
      </c>
      <c r="R47" s="0">
        <f>[1]!S_VAL_MV($A47,$B47,100000000)</f>
        <v/>
      </c>
    </row>
    <row r="48">
      <c r="A48" s="0">
        <f>_meta!A47</f>
        <v/>
      </c>
      <c r="B48" s="0">
        <f>$B$1</f>
        <v/>
      </c>
      <c r="C48" s="0">
        <f>[1]!s_west_netprofit($A48,YEAR($B48),$B48,180,1000000)</f>
        <v/>
      </c>
      <c r="D48" s="0">
        <f>[1]!s_west_eps($A48,YEAR($B48),$B48,180)</f>
        <v/>
      </c>
      <c r="E48" s="0">
        <f>[1]!s_west_instnum_np($A48,YEAR($B48),$B48,180)</f>
        <v/>
      </c>
      <c r="F48" s="0">
        <f>[1]!s_west_stdnetprofit($A48,YEAR($B48),$B48,180,1000000)</f>
        <v/>
      </c>
      <c r="G48" s="0">
        <f>[1]!s_west_mediannetprofit($A48,YEAR($B48),$B48,180,1000000)</f>
        <v/>
      </c>
      <c r="H48" s="0">
        <f>[1]!s_west_netprofit($A48,YEAR($B48)+1,$B48,180,1000000)</f>
        <v/>
      </c>
      <c r="I48" s="0">
        <f>[1]!s_west_eps($A48,YEAR($B48)+1,$B48,180)</f>
        <v/>
      </c>
      <c r="J48" s="0">
        <f>[1]!s_west_instnum_np($A48,YEAR($B48)+1,$B48,180)</f>
        <v/>
      </c>
      <c r="K48" s="0">
        <f>[1]!s_west_stdnetprofit($A48,YEAR($B48)+1,$B48,180,1000000)</f>
        <v/>
      </c>
      <c r="L48" s="0">
        <f>[1]!s_west_mediannetprofit($A48,YEAR($B48)+1,$B48,180,1000000)</f>
        <v/>
      </c>
      <c r="M48" s="0">
        <f>[1]!s_dq_close($A48,$B48,3)</f>
        <v/>
      </c>
      <c r="N48" s="0">
        <f>[1]!s_dq_volume($A48,$B48)</f>
        <v/>
      </c>
      <c r="O48" s="0">
        <f>[1]!s_dq_amount($A48,$B48)</f>
        <v/>
      </c>
      <c r="P48" s="0">
        <f>[1]!s_dq_turn($A48,$B48)</f>
        <v/>
      </c>
      <c r="Q48" s="0">
        <f>[1]!s_val_pe_ttm($A48,$B48)</f>
        <v/>
      </c>
      <c r="R48" s="0">
        <f>[1]!S_VAL_MV($A48,$B48,100000000)</f>
        <v/>
      </c>
    </row>
    <row r="49">
      <c r="A49" s="0">
        <f>_meta!A48</f>
        <v/>
      </c>
      <c r="B49" s="0">
        <f>$B$1</f>
        <v/>
      </c>
      <c r="C49" s="0">
        <f>[1]!s_west_netprofit($A49,YEAR($B49),$B49,180,1000000)</f>
        <v/>
      </c>
      <c r="D49" s="0">
        <f>[1]!s_west_eps($A49,YEAR($B49),$B49,180)</f>
        <v/>
      </c>
      <c r="E49" s="0">
        <f>[1]!s_west_instnum_np($A49,YEAR($B49),$B49,180)</f>
        <v/>
      </c>
      <c r="F49" s="0">
        <f>[1]!s_west_stdnetprofit($A49,YEAR($B49),$B49,180,1000000)</f>
        <v/>
      </c>
      <c r="G49" s="0">
        <f>[1]!s_west_mediannetprofit($A49,YEAR($B49),$B49,180,1000000)</f>
        <v/>
      </c>
      <c r="H49" s="0">
        <f>[1]!s_west_netprofit($A49,YEAR($B49)+1,$B49,180,1000000)</f>
        <v/>
      </c>
      <c r="I49" s="0">
        <f>[1]!s_west_eps($A49,YEAR($B49)+1,$B49,180)</f>
        <v/>
      </c>
      <c r="J49" s="0">
        <f>[1]!s_west_instnum_np($A49,YEAR($B49)+1,$B49,180)</f>
        <v/>
      </c>
      <c r="K49" s="0">
        <f>[1]!s_west_stdnetprofit($A49,YEAR($B49)+1,$B49,180,1000000)</f>
        <v/>
      </c>
      <c r="L49" s="0">
        <f>[1]!s_west_mediannetprofit($A49,YEAR($B49)+1,$B49,180,1000000)</f>
        <v/>
      </c>
      <c r="M49" s="0">
        <f>[1]!s_dq_close($A49,$B49,3)</f>
        <v/>
      </c>
      <c r="N49" s="0">
        <f>[1]!s_dq_volume($A49,$B49)</f>
        <v/>
      </c>
      <c r="O49" s="0">
        <f>[1]!s_dq_amount($A49,$B49)</f>
        <v/>
      </c>
      <c r="P49" s="0">
        <f>[1]!s_dq_turn($A49,$B49)</f>
        <v/>
      </c>
      <c r="Q49" s="0">
        <f>[1]!s_val_pe_ttm($A49,$B49)</f>
        <v/>
      </c>
      <c r="R49" s="0">
        <f>[1]!S_VAL_MV($A49,$B49,100000000)</f>
        <v/>
      </c>
    </row>
    <row r="50">
      <c r="A50" s="0">
        <f>_meta!A49</f>
        <v/>
      </c>
      <c r="B50" s="0">
        <f>$B$1</f>
        <v/>
      </c>
      <c r="C50" s="0">
        <f>[1]!s_west_netprofit($A50,YEAR($B50),$B50,180,1000000)</f>
        <v/>
      </c>
      <c r="D50" s="0">
        <f>[1]!s_west_eps($A50,YEAR($B50),$B50,180)</f>
        <v/>
      </c>
      <c r="E50" s="0">
        <f>[1]!s_west_instnum_np($A50,YEAR($B50),$B50,180)</f>
        <v/>
      </c>
      <c r="F50" s="0">
        <f>[1]!s_west_stdnetprofit($A50,YEAR($B50),$B50,180,1000000)</f>
        <v/>
      </c>
      <c r="G50" s="0">
        <f>[1]!s_west_mediannetprofit($A50,YEAR($B50),$B50,180,1000000)</f>
        <v/>
      </c>
      <c r="H50" s="0">
        <f>[1]!s_west_netprofit($A50,YEAR($B50)+1,$B50,180,1000000)</f>
        <v/>
      </c>
      <c r="I50" s="0">
        <f>[1]!s_west_eps($A50,YEAR($B50)+1,$B50,180)</f>
        <v/>
      </c>
      <c r="J50" s="0">
        <f>[1]!s_west_instnum_np($A50,YEAR($B50)+1,$B50,180)</f>
        <v/>
      </c>
      <c r="K50" s="0">
        <f>[1]!s_west_stdnetprofit($A50,YEAR($B50)+1,$B50,180,1000000)</f>
        <v/>
      </c>
      <c r="L50" s="0">
        <f>[1]!s_west_mediannetprofit($A50,YEAR($B50)+1,$B50,180,1000000)</f>
        <v/>
      </c>
      <c r="M50" s="0">
        <f>[1]!s_dq_close($A50,$B50,3)</f>
        <v/>
      </c>
      <c r="N50" s="0">
        <f>[1]!s_dq_volume($A50,$B50)</f>
        <v/>
      </c>
      <c r="O50" s="0">
        <f>[1]!s_dq_amount($A50,$B50)</f>
        <v/>
      </c>
      <c r="P50" s="0">
        <f>[1]!s_dq_turn($A50,$B50)</f>
        <v/>
      </c>
      <c r="Q50" s="0">
        <f>[1]!s_val_pe_ttm($A50,$B50)</f>
        <v/>
      </c>
      <c r="R50" s="0">
        <f>[1]!S_VAL_MV($A50,$B50,100000000)</f>
        <v/>
      </c>
    </row>
    <row r="51">
      <c r="A51" s="0">
        <f>_meta!A50</f>
        <v/>
      </c>
      <c r="B51" s="0">
        <f>$B$1</f>
        <v/>
      </c>
      <c r="C51" s="0">
        <f>[1]!s_west_netprofit($A51,YEAR($B51),$B51,180,1000000)</f>
        <v/>
      </c>
      <c r="D51" s="0">
        <f>[1]!s_west_eps($A51,YEAR($B51),$B51,180)</f>
        <v/>
      </c>
      <c r="E51" s="0">
        <f>[1]!s_west_instnum_np($A51,YEAR($B51),$B51,180)</f>
        <v/>
      </c>
      <c r="F51" s="0">
        <f>[1]!s_west_stdnetprofit($A51,YEAR($B51),$B51,180,1000000)</f>
        <v/>
      </c>
      <c r="G51" s="0">
        <f>[1]!s_west_mediannetprofit($A51,YEAR($B51),$B51,180,1000000)</f>
        <v/>
      </c>
      <c r="H51" s="0">
        <f>[1]!s_west_netprofit($A51,YEAR($B51)+1,$B51,180,1000000)</f>
        <v/>
      </c>
      <c r="I51" s="0">
        <f>[1]!s_west_eps($A51,YEAR($B51)+1,$B51,180)</f>
        <v/>
      </c>
      <c r="J51" s="0">
        <f>[1]!s_west_instnum_np($A51,YEAR($B51)+1,$B51,180)</f>
        <v/>
      </c>
      <c r="K51" s="0">
        <f>[1]!s_west_stdnetprofit($A51,YEAR($B51)+1,$B51,180,1000000)</f>
        <v/>
      </c>
      <c r="L51" s="0">
        <f>[1]!s_west_mediannetprofit($A51,YEAR($B51)+1,$B51,180,1000000)</f>
        <v/>
      </c>
      <c r="M51" s="0">
        <f>[1]!s_dq_close($A51,$B51,3)</f>
        <v/>
      </c>
      <c r="N51" s="0">
        <f>[1]!s_dq_volume($A51,$B51)</f>
        <v/>
      </c>
      <c r="O51" s="0">
        <f>[1]!s_dq_amount($A51,$B51)</f>
        <v/>
      </c>
      <c r="P51" s="0">
        <f>[1]!s_dq_turn($A51,$B51)</f>
        <v/>
      </c>
      <c r="Q51" s="0">
        <f>[1]!s_val_pe_ttm($A51,$B51)</f>
        <v/>
      </c>
      <c r="R51" s="0">
        <f>[1]!S_VAL_MV($A51,$B51,100000000)</f>
        <v/>
      </c>
    </row>
    <row r="52">
      <c r="A52" s="0">
        <f>_meta!A51</f>
        <v/>
      </c>
      <c r="B52" s="0">
        <f>$B$1</f>
        <v/>
      </c>
      <c r="C52" s="0">
        <f>[1]!s_west_netprofit($A52,YEAR($B52),$B52,180,1000000)</f>
        <v/>
      </c>
      <c r="D52" s="0">
        <f>[1]!s_west_eps($A52,YEAR($B52),$B52,180)</f>
        <v/>
      </c>
      <c r="E52" s="0">
        <f>[1]!s_west_instnum_np($A52,YEAR($B52),$B52,180)</f>
        <v/>
      </c>
      <c r="F52" s="0">
        <f>[1]!s_west_stdnetprofit($A52,YEAR($B52),$B52,180,1000000)</f>
        <v/>
      </c>
      <c r="G52" s="0">
        <f>[1]!s_west_mediannetprofit($A52,YEAR($B52),$B52,180,1000000)</f>
        <v/>
      </c>
      <c r="H52" s="0">
        <f>[1]!s_west_netprofit($A52,YEAR($B52)+1,$B52,180,1000000)</f>
        <v/>
      </c>
      <c r="I52" s="0">
        <f>[1]!s_west_eps($A52,YEAR($B52)+1,$B52,180)</f>
        <v/>
      </c>
      <c r="J52" s="0">
        <f>[1]!s_west_instnum_np($A52,YEAR($B52)+1,$B52,180)</f>
        <v/>
      </c>
      <c r="K52" s="0">
        <f>[1]!s_west_stdnetprofit($A52,YEAR($B52)+1,$B52,180,1000000)</f>
        <v/>
      </c>
      <c r="L52" s="0">
        <f>[1]!s_west_mediannetprofit($A52,YEAR($B52)+1,$B52,180,1000000)</f>
        <v/>
      </c>
      <c r="M52" s="0">
        <f>[1]!s_dq_close($A52,$B52,3)</f>
        <v/>
      </c>
      <c r="N52" s="0">
        <f>[1]!s_dq_volume($A52,$B52)</f>
        <v/>
      </c>
      <c r="O52" s="0">
        <f>[1]!s_dq_amount($A52,$B52)</f>
        <v/>
      </c>
      <c r="P52" s="0">
        <f>[1]!s_dq_turn($A52,$B52)</f>
        <v/>
      </c>
      <c r="Q52" s="0">
        <f>[1]!s_val_pe_ttm($A52,$B52)</f>
        <v/>
      </c>
      <c r="R52" s="0">
        <f>[1]!S_VAL_MV($A52,$B52,100000000)</f>
        <v/>
      </c>
    </row>
    <row r="53">
      <c r="A53" s="0">
        <f>_meta!A52</f>
        <v/>
      </c>
      <c r="B53" s="0">
        <f>$B$1</f>
        <v/>
      </c>
      <c r="C53" s="0">
        <f>[1]!s_west_netprofit($A53,YEAR($B53),$B53,180,1000000)</f>
        <v/>
      </c>
      <c r="D53" s="0">
        <f>[1]!s_west_eps($A53,YEAR($B53),$B53,180)</f>
        <v/>
      </c>
      <c r="E53" s="0">
        <f>[1]!s_west_instnum_np($A53,YEAR($B53),$B53,180)</f>
        <v/>
      </c>
      <c r="F53" s="0">
        <f>[1]!s_west_stdnetprofit($A53,YEAR($B53),$B53,180,1000000)</f>
        <v/>
      </c>
      <c r="G53" s="0">
        <f>[1]!s_west_mediannetprofit($A53,YEAR($B53),$B53,180,1000000)</f>
        <v/>
      </c>
      <c r="H53" s="0">
        <f>[1]!s_west_netprofit($A53,YEAR($B53)+1,$B53,180,1000000)</f>
        <v/>
      </c>
      <c r="I53" s="0">
        <f>[1]!s_west_eps($A53,YEAR($B53)+1,$B53,180)</f>
        <v/>
      </c>
      <c r="J53" s="0">
        <f>[1]!s_west_instnum_np($A53,YEAR($B53)+1,$B53,180)</f>
        <v/>
      </c>
      <c r="K53" s="0">
        <f>[1]!s_west_stdnetprofit($A53,YEAR($B53)+1,$B53,180,1000000)</f>
        <v/>
      </c>
      <c r="L53" s="0">
        <f>[1]!s_west_mediannetprofit($A53,YEAR($B53)+1,$B53,180,1000000)</f>
        <v/>
      </c>
      <c r="M53" s="0">
        <f>[1]!s_dq_close($A53,$B53,3)</f>
        <v/>
      </c>
      <c r="N53" s="0">
        <f>[1]!s_dq_volume($A53,$B53)</f>
        <v/>
      </c>
      <c r="O53" s="0">
        <f>[1]!s_dq_amount($A53,$B53)</f>
        <v/>
      </c>
      <c r="P53" s="0">
        <f>[1]!s_dq_turn($A53,$B53)</f>
        <v/>
      </c>
      <c r="Q53" s="0">
        <f>[1]!s_val_pe_ttm($A53,$B53)</f>
        <v/>
      </c>
      <c r="R53" s="0">
        <f>[1]!S_VAL_MV($A53,$B53,100000000)</f>
        <v/>
      </c>
    </row>
    <row r="54">
      <c r="A54" s="0">
        <f>_meta!A53</f>
        <v/>
      </c>
      <c r="B54" s="0">
        <f>$B$1</f>
        <v/>
      </c>
      <c r="C54" s="0">
        <f>[1]!s_west_netprofit($A54,YEAR($B54),$B54,180,1000000)</f>
        <v/>
      </c>
      <c r="D54" s="0">
        <f>[1]!s_west_eps($A54,YEAR($B54),$B54,180)</f>
        <v/>
      </c>
      <c r="E54" s="0">
        <f>[1]!s_west_instnum_np($A54,YEAR($B54),$B54,180)</f>
        <v/>
      </c>
      <c r="F54" s="0">
        <f>[1]!s_west_stdnetprofit($A54,YEAR($B54),$B54,180,1000000)</f>
        <v/>
      </c>
      <c r="G54" s="0">
        <f>[1]!s_west_mediannetprofit($A54,YEAR($B54),$B54,180,1000000)</f>
        <v/>
      </c>
      <c r="H54" s="0">
        <f>[1]!s_west_netprofit($A54,YEAR($B54)+1,$B54,180,1000000)</f>
        <v/>
      </c>
      <c r="I54" s="0">
        <f>[1]!s_west_eps($A54,YEAR($B54)+1,$B54,180)</f>
        <v/>
      </c>
      <c r="J54" s="0">
        <f>[1]!s_west_instnum_np($A54,YEAR($B54)+1,$B54,180)</f>
        <v/>
      </c>
      <c r="K54" s="0">
        <f>[1]!s_west_stdnetprofit($A54,YEAR($B54)+1,$B54,180,1000000)</f>
        <v/>
      </c>
      <c r="L54" s="0">
        <f>[1]!s_west_mediannetprofit($A54,YEAR($B54)+1,$B54,180,1000000)</f>
        <v/>
      </c>
      <c r="M54" s="0">
        <f>[1]!s_dq_close($A54,$B54,3)</f>
        <v/>
      </c>
      <c r="N54" s="0">
        <f>[1]!s_dq_volume($A54,$B54)</f>
        <v/>
      </c>
      <c r="O54" s="0">
        <f>[1]!s_dq_amount($A54,$B54)</f>
        <v/>
      </c>
      <c r="P54" s="0">
        <f>[1]!s_dq_turn($A54,$B54)</f>
        <v/>
      </c>
      <c r="Q54" s="0">
        <f>[1]!s_val_pe_ttm($A54,$B54)</f>
        <v/>
      </c>
      <c r="R54" s="0">
        <f>[1]!S_VAL_MV($A54,$B54,100000000)</f>
        <v/>
      </c>
    </row>
    <row r="55">
      <c r="A55" s="0">
        <f>_meta!A54</f>
        <v/>
      </c>
      <c r="B55" s="0">
        <f>$B$1</f>
        <v/>
      </c>
      <c r="C55" s="0">
        <f>[1]!s_west_netprofit($A55,YEAR($B55),$B55,180,1000000)</f>
        <v/>
      </c>
      <c r="D55" s="0">
        <f>[1]!s_west_eps($A55,YEAR($B55),$B55,180)</f>
        <v/>
      </c>
      <c r="E55" s="0">
        <f>[1]!s_west_instnum_np($A55,YEAR($B55),$B55,180)</f>
        <v/>
      </c>
      <c r="F55" s="0">
        <f>[1]!s_west_stdnetprofit($A55,YEAR($B55),$B55,180,1000000)</f>
        <v/>
      </c>
      <c r="G55" s="0">
        <f>[1]!s_west_mediannetprofit($A55,YEAR($B55),$B55,180,1000000)</f>
        <v/>
      </c>
      <c r="H55" s="0">
        <f>[1]!s_west_netprofit($A55,YEAR($B55)+1,$B55,180,1000000)</f>
        <v/>
      </c>
      <c r="I55" s="0">
        <f>[1]!s_west_eps($A55,YEAR($B55)+1,$B55,180)</f>
        <v/>
      </c>
      <c r="J55" s="0">
        <f>[1]!s_west_instnum_np($A55,YEAR($B55)+1,$B55,180)</f>
        <v/>
      </c>
      <c r="K55" s="0">
        <f>[1]!s_west_stdnetprofit($A55,YEAR($B55)+1,$B55,180,1000000)</f>
        <v/>
      </c>
      <c r="L55" s="0">
        <f>[1]!s_west_mediannetprofit($A55,YEAR($B55)+1,$B55,180,1000000)</f>
        <v/>
      </c>
      <c r="M55" s="0">
        <f>[1]!s_dq_close($A55,$B55,3)</f>
        <v/>
      </c>
      <c r="N55" s="0">
        <f>[1]!s_dq_volume($A55,$B55)</f>
        <v/>
      </c>
      <c r="O55" s="0">
        <f>[1]!s_dq_amount($A55,$B55)</f>
        <v/>
      </c>
      <c r="P55" s="0">
        <f>[1]!s_dq_turn($A55,$B55)</f>
        <v/>
      </c>
      <c r="Q55" s="0">
        <f>[1]!s_val_pe_ttm($A55,$B55)</f>
        <v/>
      </c>
      <c r="R55" s="0">
        <f>[1]!S_VAL_MV($A55,$B55,100000000)</f>
        <v/>
      </c>
    </row>
    <row r="56">
      <c r="A56" s="0">
        <f>_meta!A55</f>
        <v/>
      </c>
      <c r="B56" s="0">
        <f>$B$1</f>
        <v/>
      </c>
      <c r="C56" s="0">
        <f>[1]!s_west_netprofit($A56,YEAR($B56),$B56,180,1000000)</f>
        <v/>
      </c>
      <c r="D56" s="0">
        <f>[1]!s_west_eps($A56,YEAR($B56),$B56,180)</f>
        <v/>
      </c>
      <c r="E56" s="0">
        <f>[1]!s_west_instnum_np($A56,YEAR($B56),$B56,180)</f>
        <v/>
      </c>
      <c r="F56" s="0">
        <f>[1]!s_west_stdnetprofit($A56,YEAR($B56),$B56,180,1000000)</f>
        <v/>
      </c>
      <c r="G56" s="0">
        <f>[1]!s_west_mediannetprofit($A56,YEAR($B56),$B56,180,1000000)</f>
        <v/>
      </c>
      <c r="H56" s="0">
        <f>[1]!s_west_netprofit($A56,YEAR($B56)+1,$B56,180,1000000)</f>
        <v/>
      </c>
      <c r="I56" s="0">
        <f>[1]!s_west_eps($A56,YEAR($B56)+1,$B56,180)</f>
        <v/>
      </c>
      <c r="J56" s="0">
        <f>[1]!s_west_instnum_np($A56,YEAR($B56)+1,$B56,180)</f>
        <v/>
      </c>
      <c r="K56" s="0">
        <f>[1]!s_west_stdnetprofit($A56,YEAR($B56)+1,$B56,180,1000000)</f>
        <v/>
      </c>
      <c r="L56" s="0">
        <f>[1]!s_west_mediannetprofit($A56,YEAR($B56)+1,$B56,180,1000000)</f>
        <v/>
      </c>
      <c r="M56" s="0">
        <f>[1]!s_dq_close($A56,$B56,3)</f>
        <v/>
      </c>
      <c r="N56" s="0">
        <f>[1]!s_dq_volume($A56,$B56)</f>
        <v/>
      </c>
      <c r="O56" s="0">
        <f>[1]!s_dq_amount($A56,$B56)</f>
        <v/>
      </c>
      <c r="P56" s="0">
        <f>[1]!s_dq_turn($A56,$B56)</f>
        <v/>
      </c>
      <c r="Q56" s="0">
        <f>[1]!s_val_pe_ttm($A56,$B56)</f>
        <v/>
      </c>
      <c r="R56" s="0">
        <f>[1]!S_VAL_MV($A56,$B56,100000000)</f>
        <v/>
      </c>
    </row>
    <row r="57">
      <c r="A57" s="0">
        <f>_meta!A56</f>
        <v/>
      </c>
      <c r="B57" s="0">
        <f>$B$1</f>
        <v/>
      </c>
      <c r="C57" s="0">
        <f>[1]!s_west_netprofit($A57,YEAR($B57),$B57,180,1000000)</f>
        <v/>
      </c>
      <c r="D57" s="0">
        <f>[1]!s_west_eps($A57,YEAR($B57),$B57,180)</f>
        <v/>
      </c>
      <c r="E57" s="0">
        <f>[1]!s_west_instnum_np($A57,YEAR($B57),$B57,180)</f>
        <v/>
      </c>
      <c r="F57" s="0">
        <f>[1]!s_west_stdnetprofit($A57,YEAR($B57),$B57,180,1000000)</f>
        <v/>
      </c>
      <c r="G57" s="0">
        <f>[1]!s_west_mediannetprofit($A57,YEAR($B57),$B57,180,1000000)</f>
        <v/>
      </c>
      <c r="H57" s="0">
        <f>[1]!s_west_netprofit($A57,YEAR($B57)+1,$B57,180,1000000)</f>
        <v/>
      </c>
      <c r="I57" s="0">
        <f>[1]!s_west_eps($A57,YEAR($B57)+1,$B57,180)</f>
        <v/>
      </c>
      <c r="J57" s="0">
        <f>[1]!s_west_instnum_np($A57,YEAR($B57)+1,$B57,180)</f>
        <v/>
      </c>
      <c r="K57" s="0">
        <f>[1]!s_west_stdnetprofit($A57,YEAR($B57)+1,$B57,180,1000000)</f>
        <v/>
      </c>
      <c r="L57" s="0">
        <f>[1]!s_west_mediannetprofit($A57,YEAR($B57)+1,$B57,180,1000000)</f>
        <v/>
      </c>
      <c r="M57" s="0">
        <f>[1]!s_dq_close($A57,$B57,3)</f>
        <v/>
      </c>
      <c r="N57" s="0">
        <f>[1]!s_dq_volume($A57,$B57)</f>
        <v/>
      </c>
      <c r="O57" s="0">
        <f>[1]!s_dq_amount($A57,$B57)</f>
        <v/>
      </c>
      <c r="P57" s="0">
        <f>[1]!s_dq_turn($A57,$B57)</f>
        <v/>
      </c>
      <c r="Q57" s="0">
        <f>[1]!s_val_pe_ttm($A57,$B57)</f>
        <v/>
      </c>
      <c r="R57" s="0">
        <f>[1]!S_VAL_MV($A57,$B57,100000000)</f>
        <v/>
      </c>
    </row>
    <row r="58">
      <c r="A58" s="0">
        <f>_meta!A57</f>
        <v/>
      </c>
      <c r="B58" s="0">
        <f>$B$1</f>
        <v/>
      </c>
      <c r="C58" s="0">
        <f>[1]!s_west_netprofit($A58,YEAR($B58),$B58,180,1000000)</f>
        <v/>
      </c>
      <c r="D58" s="0">
        <f>[1]!s_west_eps($A58,YEAR($B58),$B58,180)</f>
        <v/>
      </c>
      <c r="E58" s="0">
        <f>[1]!s_west_instnum_np($A58,YEAR($B58),$B58,180)</f>
        <v/>
      </c>
      <c r="F58" s="0">
        <f>[1]!s_west_stdnetprofit($A58,YEAR($B58),$B58,180,1000000)</f>
        <v/>
      </c>
      <c r="G58" s="0">
        <f>[1]!s_west_mediannetprofit($A58,YEAR($B58),$B58,180,1000000)</f>
        <v/>
      </c>
      <c r="H58" s="0">
        <f>[1]!s_west_netprofit($A58,YEAR($B58)+1,$B58,180,1000000)</f>
        <v/>
      </c>
      <c r="I58" s="0">
        <f>[1]!s_west_eps($A58,YEAR($B58)+1,$B58,180)</f>
        <v/>
      </c>
      <c r="J58" s="0">
        <f>[1]!s_west_instnum_np($A58,YEAR($B58)+1,$B58,180)</f>
        <v/>
      </c>
      <c r="K58" s="0">
        <f>[1]!s_west_stdnetprofit($A58,YEAR($B58)+1,$B58,180,1000000)</f>
        <v/>
      </c>
      <c r="L58" s="0">
        <f>[1]!s_west_mediannetprofit($A58,YEAR($B58)+1,$B58,180,1000000)</f>
        <v/>
      </c>
      <c r="M58" s="0">
        <f>[1]!s_dq_close($A58,$B58,3)</f>
        <v/>
      </c>
      <c r="N58" s="0">
        <f>[1]!s_dq_volume($A58,$B58)</f>
        <v/>
      </c>
      <c r="O58" s="0">
        <f>[1]!s_dq_amount($A58,$B58)</f>
        <v/>
      </c>
      <c r="P58" s="0">
        <f>[1]!s_dq_turn($A58,$B58)</f>
        <v/>
      </c>
      <c r="Q58" s="0">
        <f>[1]!s_val_pe_ttm($A58,$B58)</f>
        <v/>
      </c>
      <c r="R58" s="0">
        <f>[1]!S_VAL_MV($A58,$B58,100000000)</f>
        <v/>
      </c>
    </row>
    <row r="59">
      <c r="A59" s="0">
        <f>_meta!A58</f>
        <v/>
      </c>
      <c r="B59" s="0">
        <f>$B$1</f>
        <v/>
      </c>
      <c r="C59" s="0">
        <f>[1]!s_west_netprofit($A59,YEAR($B59),$B59,180,1000000)</f>
        <v/>
      </c>
      <c r="D59" s="0">
        <f>[1]!s_west_eps($A59,YEAR($B59),$B59,180)</f>
        <v/>
      </c>
      <c r="E59" s="0">
        <f>[1]!s_west_instnum_np($A59,YEAR($B59),$B59,180)</f>
        <v/>
      </c>
      <c r="F59" s="0">
        <f>[1]!s_west_stdnetprofit($A59,YEAR($B59),$B59,180,1000000)</f>
        <v/>
      </c>
      <c r="G59" s="0">
        <f>[1]!s_west_mediannetprofit($A59,YEAR($B59),$B59,180,1000000)</f>
        <v/>
      </c>
      <c r="H59" s="0">
        <f>[1]!s_west_netprofit($A59,YEAR($B59)+1,$B59,180,1000000)</f>
        <v/>
      </c>
      <c r="I59" s="0">
        <f>[1]!s_west_eps($A59,YEAR($B59)+1,$B59,180)</f>
        <v/>
      </c>
      <c r="J59" s="0">
        <f>[1]!s_west_instnum_np($A59,YEAR($B59)+1,$B59,180)</f>
        <v/>
      </c>
      <c r="K59" s="0">
        <f>[1]!s_west_stdnetprofit($A59,YEAR($B59)+1,$B59,180,1000000)</f>
        <v/>
      </c>
      <c r="L59" s="0">
        <f>[1]!s_west_mediannetprofit($A59,YEAR($B59)+1,$B59,180,1000000)</f>
        <v/>
      </c>
      <c r="M59" s="0">
        <f>[1]!s_dq_close($A59,$B59,3)</f>
        <v/>
      </c>
      <c r="N59" s="0">
        <f>[1]!s_dq_volume($A59,$B59)</f>
        <v/>
      </c>
      <c r="O59" s="0">
        <f>[1]!s_dq_amount($A59,$B59)</f>
        <v/>
      </c>
      <c r="P59" s="0">
        <f>[1]!s_dq_turn($A59,$B59)</f>
        <v/>
      </c>
      <c r="Q59" s="0">
        <f>[1]!s_val_pe_ttm($A59,$B59)</f>
        <v/>
      </c>
      <c r="R59" s="0">
        <f>[1]!S_VAL_MV($A59,$B59,100000000)</f>
        <v/>
      </c>
    </row>
    <row r="60">
      <c r="A60" s="0">
        <f>_meta!A59</f>
        <v/>
      </c>
      <c r="B60" s="0">
        <f>$B$1</f>
        <v/>
      </c>
      <c r="C60" s="0">
        <f>[1]!s_west_netprofit($A60,YEAR($B60),$B60,180,1000000)</f>
        <v/>
      </c>
      <c r="D60" s="0">
        <f>[1]!s_west_eps($A60,YEAR($B60),$B60,180)</f>
        <v/>
      </c>
      <c r="E60" s="0">
        <f>[1]!s_west_instnum_np($A60,YEAR($B60),$B60,180)</f>
        <v/>
      </c>
      <c r="F60" s="0">
        <f>[1]!s_west_stdnetprofit($A60,YEAR($B60),$B60,180,1000000)</f>
        <v/>
      </c>
      <c r="G60" s="0">
        <f>[1]!s_west_mediannetprofit($A60,YEAR($B60),$B60,180,1000000)</f>
        <v/>
      </c>
      <c r="H60" s="0">
        <f>[1]!s_west_netprofit($A60,YEAR($B60)+1,$B60,180,1000000)</f>
        <v/>
      </c>
      <c r="I60" s="0">
        <f>[1]!s_west_eps($A60,YEAR($B60)+1,$B60,180)</f>
        <v/>
      </c>
      <c r="J60" s="0">
        <f>[1]!s_west_instnum_np($A60,YEAR($B60)+1,$B60,180)</f>
        <v/>
      </c>
      <c r="K60" s="0">
        <f>[1]!s_west_stdnetprofit($A60,YEAR($B60)+1,$B60,180,1000000)</f>
        <v/>
      </c>
      <c r="L60" s="0">
        <f>[1]!s_west_mediannetprofit($A60,YEAR($B60)+1,$B60,180,1000000)</f>
        <v/>
      </c>
      <c r="M60" s="0">
        <f>[1]!s_dq_close($A60,$B60,3)</f>
        <v/>
      </c>
      <c r="N60" s="0">
        <f>[1]!s_dq_volume($A60,$B60)</f>
        <v/>
      </c>
      <c r="O60" s="0">
        <f>[1]!s_dq_amount($A60,$B60)</f>
        <v/>
      </c>
      <c r="P60" s="0">
        <f>[1]!s_dq_turn($A60,$B60)</f>
        <v/>
      </c>
      <c r="Q60" s="0">
        <f>[1]!s_val_pe_ttm($A60,$B60)</f>
        <v/>
      </c>
      <c r="R60" s="0">
        <f>[1]!S_VAL_MV($A60,$B60,100000000)</f>
        <v/>
      </c>
    </row>
    <row r="61">
      <c r="A61" s="0">
        <f>_meta!A60</f>
        <v/>
      </c>
      <c r="B61" s="0">
        <f>$B$1</f>
        <v/>
      </c>
      <c r="C61" s="0">
        <f>[1]!s_west_netprofit($A61,YEAR($B61),$B61,180,1000000)</f>
        <v/>
      </c>
      <c r="D61" s="0">
        <f>[1]!s_west_eps($A61,YEAR($B61),$B61,180)</f>
        <v/>
      </c>
      <c r="E61" s="0">
        <f>[1]!s_west_instnum_np($A61,YEAR($B61),$B61,180)</f>
        <v/>
      </c>
      <c r="F61" s="0">
        <f>[1]!s_west_stdnetprofit($A61,YEAR($B61),$B61,180,1000000)</f>
        <v/>
      </c>
      <c r="G61" s="0">
        <f>[1]!s_west_mediannetprofit($A61,YEAR($B61),$B61,180,1000000)</f>
        <v/>
      </c>
      <c r="H61" s="0">
        <f>[1]!s_west_netprofit($A61,YEAR($B61)+1,$B61,180,1000000)</f>
        <v/>
      </c>
      <c r="I61" s="0">
        <f>[1]!s_west_eps($A61,YEAR($B61)+1,$B61,180)</f>
        <v/>
      </c>
      <c r="J61" s="0">
        <f>[1]!s_west_instnum_np($A61,YEAR($B61)+1,$B61,180)</f>
        <v/>
      </c>
      <c r="K61" s="0">
        <f>[1]!s_west_stdnetprofit($A61,YEAR($B61)+1,$B61,180,1000000)</f>
        <v/>
      </c>
      <c r="L61" s="0">
        <f>[1]!s_west_mediannetprofit($A61,YEAR($B61)+1,$B61,180,1000000)</f>
        <v/>
      </c>
      <c r="M61" s="0">
        <f>[1]!s_dq_close($A61,$B61,3)</f>
        <v/>
      </c>
      <c r="N61" s="0">
        <f>[1]!s_dq_volume($A61,$B61)</f>
        <v/>
      </c>
      <c r="O61" s="0">
        <f>[1]!s_dq_amount($A61,$B61)</f>
        <v/>
      </c>
      <c r="P61" s="0">
        <f>[1]!s_dq_turn($A61,$B61)</f>
        <v/>
      </c>
      <c r="Q61" s="0">
        <f>[1]!s_val_pe_ttm($A61,$B61)</f>
        <v/>
      </c>
      <c r="R61" s="0">
        <f>[1]!S_VAL_MV($A61,$B61,100000000)</f>
        <v/>
      </c>
    </row>
    <row r="62">
      <c r="A62" s="0">
        <f>_meta!A61</f>
        <v/>
      </c>
      <c r="B62" s="0">
        <f>$B$1</f>
        <v/>
      </c>
      <c r="C62" s="0">
        <f>[1]!s_west_netprofit($A62,YEAR($B62),$B62,180,1000000)</f>
        <v/>
      </c>
      <c r="D62" s="0">
        <f>[1]!s_west_eps($A62,YEAR($B62),$B62,180)</f>
        <v/>
      </c>
      <c r="E62" s="0">
        <f>[1]!s_west_instnum_np($A62,YEAR($B62),$B62,180)</f>
        <v/>
      </c>
      <c r="F62" s="0">
        <f>[1]!s_west_stdnetprofit($A62,YEAR($B62),$B62,180,1000000)</f>
        <v/>
      </c>
      <c r="G62" s="0">
        <f>[1]!s_west_mediannetprofit($A62,YEAR($B62),$B62,180,1000000)</f>
        <v/>
      </c>
      <c r="H62" s="0">
        <f>[1]!s_west_netprofit($A62,YEAR($B62)+1,$B62,180,1000000)</f>
        <v/>
      </c>
      <c r="I62" s="0">
        <f>[1]!s_west_eps($A62,YEAR($B62)+1,$B62,180)</f>
        <v/>
      </c>
      <c r="J62" s="0">
        <f>[1]!s_west_instnum_np($A62,YEAR($B62)+1,$B62,180)</f>
        <v/>
      </c>
      <c r="K62" s="0">
        <f>[1]!s_west_stdnetprofit($A62,YEAR($B62)+1,$B62,180,1000000)</f>
        <v/>
      </c>
      <c r="L62" s="0">
        <f>[1]!s_west_mediannetprofit($A62,YEAR($B62)+1,$B62,180,1000000)</f>
        <v/>
      </c>
      <c r="M62" s="0">
        <f>[1]!s_dq_close($A62,$B62,3)</f>
        <v/>
      </c>
      <c r="N62" s="0">
        <f>[1]!s_dq_volume($A62,$B62)</f>
        <v/>
      </c>
      <c r="O62" s="0">
        <f>[1]!s_dq_amount($A62,$B62)</f>
        <v/>
      </c>
      <c r="P62" s="0">
        <f>[1]!s_dq_turn($A62,$B62)</f>
        <v/>
      </c>
      <c r="Q62" s="0">
        <f>[1]!s_val_pe_ttm($A62,$B62)</f>
        <v/>
      </c>
      <c r="R62" s="0">
        <f>[1]!S_VAL_MV($A62,$B62,100000000)</f>
        <v/>
      </c>
    </row>
    <row r="63">
      <c r="A63" s="0">
        <f>_meta!A62</f>
        <v/>
      </c>
      <c r="B63" s="0">
        <f>$B$1</f>
        <v/>
      </c>
      <c r="C63" s="0">
        <f>[1]!s_west_netprofit($A63,YEAR($B63),$B63,180,1000000)</f>
        <v/>
      </c>
      <c r="D63" s="0">
        <f>[1]!s_west_eps($A63,YEAR($B63),$B63,180)</f>
        <v/>
      </c>
      <c r="E63" s="0">
        <f>[1]!s_west_instnum_np($A63,YEAR($B63),$B63,180)</f>
        <v/>
      </c>
      <c r="F63" s="0">
        <f>[1]!s_west_stdnetprofit($A63,YEAR($B63),$B63,180,1000000)</f>
        <v/>
      </c>
      <c r="G63" s="0">
        <f>[1]!s_west_mediannetprofit($A63,YEAR($B63),$B63,180,1000000)</f>
        <v/>
      </c>
      <c r="H63" s="0">
        <f>[1]!s_west_netprofit($A63,YEAR($B63)+1,$B63,180,1000000)</f>
        <v/>
      </c>
      <c r="I63" s="0">
        <f>[1]!s_west_eps($A63,YEAR($B63)+1,$B63,180)</f>
        <v/>
      </c>
      <c r="J63" s="0">
        <f>[1]!s_west_instnum_np($A63,YEAR($B63)+1,$B63,180)</f>
        <v/>
      </c>
      <c r="K63" s="0">
        <f>[1]!s_west_stdnetprofit($A63,YEAR($B63)+1,$B63,180,1000000)</f>
        <v/>
      </c>
      <c r="L63" s="0">
        <f>[1]!s_west_mediannetprofit($A63,YEAR($B63)+1,$B63,180,1000000)</f>
        <v/>
      </c>
      <c r="M63" s="0">
        <f>[1]!s_dq_close($A63,$B63,3)</f>
        <v/>
      </c>
      <c r="N63" s="0">
        <f>[1]!s_dq_volume($A63,$B63)</f>
        <v/>
      </c>
      <c r="O63" s="0">
        <f>[1]!s_dq_amount($A63,$B63)</f>
        <v/>
      </c>
      <c r="P63" s="0">
        <f>[1]!s_dq_turn($A63,$B63)</f>
        <v/>
      </c>
      <c r="Q63" s="0">
        <f>[1]!s_val_pe_ttm($A63,$B63)</f>
        <v/>
      </c>
      <c r="R63" s="0">
        <f>[1]!S_VAL_MV($A63,$B63,100000000)</f>
        <v/>
      </c>
    </row>
    <row r="64">
      <c r="A64" s="0">
        <f>_meta!A63</f>
        <v/>
      </c>
      <c r="B64" s="0">
        <f>$B$1</f>
        <v/>
      </c>
      <c r="C64" s="0">
        <f>[1]!s_west_netprofit($A64,YEAR($B64),$B64,180,1000000)</f>
        <v/>
      </c>
      <c r="D64" s="0">
        <f>[1]!s_west_eps($A64,YEAR($B64),$B64,180)</f>
        <v/>
      </c>
      <c r="E64" s="0">
        <f>[1]!s_west_instnum_np($A64,YEAR($B64),$B64,180)</f>
        <v/>
      </c>
      <c r="F64" s="0">
        <f>[1]!s_west_stdnetprofit($A64,YEAR($B64),$B64,180,1000000)</f>
        <v/>
      </c>
      <c r="G64" s="0">
        <f>[1]!s_west_mediannetprofit($A64,YEAR($B64),$B64,180,1000000)</f>
        <v/>
      </c>
      <c r="H64" s="0">
        <f>[1]!s_west_netprofit($A64,YEAR($B64)+1,$B64,180,1000000)</f>
        <v/>
      </c>
      <c r="I64" s="0">
        <f>[1]!s_west_eps($A64,YEAR($B64)+1,$B64,180)</f>
        <v/>
      </c>
      <c r="J64" s="0">
        <f>[1]!s_west_instnum_np($A64,YEAR($B64)+1,$B64,180)</f>
        <v/>
      </c>
      <c r="K64" s="0">
        <f>[1]!s_west_stdnetprofit($A64,YEAR($B64)+1,$B64,180,1000000)</f>
        <v/>
      </c>
      <c r="L64" s="0">
        <f>[1]!s_west_mediannetprofit($A64,YEAR($B64)+1,$B64,180,1000000)</f>
        <v/>
      </c>
      <c r="M64" s="0">
        <f>[1]!s_dq_close($A64,$B64,3)</f>
        <v/>
      </c>
      <c r="N64" s="0">
        <f>[1]!s_dq_volume($A64,$B64)</f>
        <v/>
      </c>
      <c r="O64" s="0">
        <f>[1]!s_dq_amount($A64,$B64)</f>
        <v/>
      </c>
      <c r="P64" s="0">
        <f>[1]!s_dq_turn($A64,$B64)</f>
        <v/>
      </c>
      <c r="Q64" s="0">
        <f>[1]!s_val_pe_ttm($A64,$B64)</f>
        <v/>
      </c>
      <c r="R64" s="0">
        <f>[1]!S_VAL_MV($A64,$B64,100000000)</f>
        <v/>
      </c>
    </row>
    <row r="65">
      <c r="A65" s="0">
        <f>_meta!A64</f>
        <v/>
      </c>
      <c r="B65" s="0">
        <f>$B$1</f>
        <v/>
      </c>
      <c r="C65" s="0">
        <f>[1]!s_west_netprofit($A65,YEAR($B65),$B65,180,1000000)</f>
        <v/>
      </c>
      <c r="D65" s="0">
        <f>[1]!s_west_eps($A65,YEAR($B65),$B65,180)</f>
        <v/>
      </c>
      <c r="E65" s="0">
        <f>[1]!s_west_instnum_np($A65,YEAR($B65),$B65,180)</f>
        <v/>
      </c>
      <c r="F65" s="0">
        <f>[1]!s_west_stdnetprofit($A65,YEAR($B65),$B65,180,1000000)</f>
        <v/>
      </c>
      <c r="G65" s="0">
        <f>[1]!s_west_mediannetprofit($A65,YEAR($B65),$B65,180,1000000)</f>
        <v/>
      </c>
      <c r="H65" s="0">
        <f>[1]!s_west_netprofit($A65,YEAR($B65)+1,$B65,180,1000000)</f>
        <v/>
      </c>
      <c r="I65" s="0">
        <f>[1]!s_west_eps($A65,YEAR($B65)+1,$B65,180)</f>
        <v/>
      </c>
      <c r="J65" s="0">
        <f>[1]!s_west_instnum_np($A65,YEAR($B65)+1,$B65,180)</f>
        <v/>
      </c>
      <c r="K65" s="0">
        <f>[1]!s_west_stdnetprofit($A65,YEAR($B65)+1,$B65,180,1000000)</f>
        <v/>
      </c>
      <c r="L65" s="0">
        <f>[1]!s_west_mediannetprofit($A65,YEAR($B65)+1,$B65,180,1000000)</f>
        <v/>
      </c>
      <c r="M65" s="0">
        <f>[1]!s_dq_close($A65,$B65,3)</f>
        <v/>
      </c>
      <c r="N65" s="0">
        <f>[1]!s_dq_volume($A65,$B65)</f>
        <v/>
      </c>
      <c r="O65" s="0">
        <f>[1]!s_dq_amount($A65,$B65)</f>
        <v/>
      </c>
      <c r="P65" s="0">
        <f>[1]!s_dq_turn($A65,$B65)</f>
        <v/>
      </c>
      <c r="Q65" s="0">
        <f>[1]!s_val_pe_ttm($A65,$B65)</f>
        <v/>
      </c>
      <c r="R65" s="0">
        <f>[1]!S_VAL_MV($A65,$B65,100000000)</f>
        <v/>
      </c>
    </row>
    <row r="66">
      <c r="A66" s="0">
        <f>_meta!A65</f>
        <v/>
      </c>
      <c r="B66" s="0">
        <f>$B$1</f>
        <v/>
      </c>
      <c r="C66" s="0">
        <f>[1]!s_west_netprofit($A66,YEAR($B66),$B66,180,1000000)</f>
        <v/>
      </c>
      <c r="D66" s="0">
        <f>[1]!s_west_eps($A66,YEAR($B66),$B66,180)</f>
        <v/>
      </c>
      <c r="E66" s="0">
        <f>[1]!s_west_instnum_np($A66,YEAR($B66),$B66,180)</f>
        <v/>
      </c>
      <c r="F66" s="0">
        <f>[1]!s_west_stdnetprofit($A66,YEAR($B66),$B66,180,1000000)</f>
        <v/>
      </c>
      <c r="G66" s="0">
        <f>[1]!s_west_mediannetprofit($A66,YEAR($B66),$B66,180,1000000)</f>
        <v/>
      </c>
      <c r="H66" s="0">
        <f>[1]!s_west_netprofit($A66,YEAR($B66)+1,$B66,180,1000000)</f>
        <v/>
      </c>
      <c r="I66" s="0">
        <f>[1]!s_west_eps($A66,YEAR($B66)+1,$B66,180)</f>
        <v/>
      </c>
      <c r="J66" s="0">
        <f>[1]!s_west_instnum_np($A66,YEAR($B66)+1,$B66,180)</f>
        <v/>
      </c>
      <c r="K66" s="0">
        <f>[1]!s_west_stdnetprofit($A66,YEAR($B66)+1,$B66,180,1000000)</f>
        <v/>
      </c>
      <c r="L66" s="0">
        <f>[1]!s_west_mediannetprofit($A66,YEAR($B66)+1,$B66,180,1000000)</f>
        <v/>
      </c>
      <c r="M66" s="0">
        <f>[1]!s_dq_close($A66,$B66,3)</f>
        <v/>
      </c>
      <c r="N66" s="0">
        <f>[1]!s_dq_volume($A66,$B66)</f>
        <v/>
      </c>
      <c r="O66" s="0">
        <f>[1]!s_dq_amount($A66,$B66)</f>
        <v/>
      </c>
      <c r="P66" s="0">
        <f>[1]!s_dq_turn($A66,$B66)</f>
        <v/>
      </c>
      <c r="Q66" s="0">
        <f>[1]!s_val_pe_ttm($A66,$B66)</f>
        <v/>
      </c>
      <c r="R66" s="0">
        <f>[1]!S_VAL_MV($A66,$B66,100000000)</f>
        <v/>
      </c>
    </row>
    <row r="67">
      <c r="A67" s="0">
        <f>_meta!A66</f>
        <v/>
      </c>
      <c r="B67" s="0">
        <f>$B$1</f>
        <v/>
      </c>
      <c r="C67" s="0">
        <f>[1]!s_west_netprofit($A67,YEAR($B67),$B67,180,1000000)</f>
        <v/>
      </c>
      <c r="D67" s="0">
        <f>[1]!s_west_eps($A67,YEAR($B67),$B67,180)</f>
        <v/>
      </c>
      <c r="E67" s="0">
        <f>[1]!s_west_instnum_np($A67,YEAR($B67),$B67,180)</f>
        <v/>
      </c>
      <c r="F67" s="0">
        <f>[1]!s_west_stdnetprofit($A67,YEAR($B67),$B67,180,1000000)</f>
        <v/>
      </c>
      <c r="G67" s="0">
        <f>[1]!s_west_mediannetprofit($A67,YEAR($B67),$B67,180,1000000)</f>
        <v/>
      </c>
      <c r="H67" s="0">
        <f>[1]!s_west_netprofit($A67,YEAR($B67)+1,$B67,180,1000000)</f>
        <v/>
      </c>
      <c r="I67" s="0">
        <f>[1]!s_west_eps($A67,YEAR($B67)+1,$B67,180)</f>
        <v/>
      </c>
      <c r="J67" s="0">
        <f>[1]!s_west_instnum_np($A67,YEAR($B67)+1,$B67,180)</f>
        <v/>
      </c>
      <c r="K67" s="0">
        <f>[1]!s_west_stdnetprofit($A67,YEAR($B67)+1,$B67,180,1000000)</f>
        <v/>
      </c>
      <c r="L67" s="0">
        <f>[1]!s_west_mediannetprofit($A67,YEAR($B67)+1,$B67,180,1000000)</f>
        <v/>
      </c>
      <c r="M67" s="0">
        <f>[1]!s_dq_close($A67,$B67,3)</f>
        <v/>
      </c>
      <c r="N67" s="0">
        <f>[1]!s_dq_volume($A67,$B67)</f>
        <v/>
      </c>
      <c r="O67" s="0">
        <f>[1]!s_dq_amount($A67,$B67)</f>
        <v/>
      </c>
      <c r="P67" s="0">
        <f>[1]!s_dq_turn($A67,$B67)</f>
        <v/>
      </c>
      <c r="Q67" s="0">
        <f>[1]!s_val_pe_ttm($A67,$B67)</f>
        <v/>
      </c>
      <c r="R67" s="0">
        <f>[1]!S_VAL_MV($A67,$B67,100000000)</f>
        <v/>
      </c>
    </row>
    <row r="68">
      <c r="A68" s="0">
        <f>_meta!A67</f>
        <v/>
      </c>
      <c r="B68" s="0">
        <f>$B$1</f>
        <v/>
      </c>
      <c r="C68" s="0">
        <f>[1]!s_west_netprofit($A68,YEAR($B68),$B68,180,1000000)</f>
        <v/>
      </c>
      <c r="D68" s="0">
        <f>[1]!s_west_eps($A68,YEAR($B68),$B68,180)</f>
        <v/>
      </c>
      <c r="E68" s="0">
        <f>[1]!s_west_instnum_np($A68,YEAR($B68),$B68,180)</f>
        <v/>
      </c>
      <c r="F68" s="0">
        <f>[1]!s_west_stdnetprofit($A68,YEAR($B68),$B68,180,1000000)</f>
        <v/>
      </c>
      <c r="G68" s="0">
        <f>[1]!s_west_mediannetprofit($A68,YEAR($B68),$B68,180,1000000)</f>
        <v/>
      </c>
      <c r="H68" s="0">
        <f>[1]!s_west_netprofit($A68,YEAR($B68)+1,$B68,180,1000000)</f>
        <v/>
      </c>
      <c r="I68" s="0">
        <f>[1]!s_west_eps($A68,YEAR($B68)+1,$B68,180)</f>
        <v/>
      </c>
      <c r="J68" s="0">
        <f>[1]!s_west_instnum_np($A68,YEAR($B68)+1,$B68,180)</f>
        <v/>
      </c>
      <c r="K68" s="0">
        <f>[1]!s_west_stdnetprofit($A68,YEAR($B68)+1,$B68,180,1000000)</f>
        <v/>
      </c>
      <c r="L68" s="0">
        <f>[1]!s_west_mediannetprofit($A68,YEAR($B68)+1,$B68,180,1000000)</f>
        <v/>
      </c>
      <c r="M68" s="0">
        <f>[1]!s_dq_close($A68,$B68,3)</f>
        <v/>
      </c>
      <c r="N68" s="0">
        <f>[1]!s_dq_volume($A68,$B68)</f>
        <v/>
      </c>
      <c r="O68" s="0">
        <f>[1]!s_dq_amount($A68,$B68)</f>
        <v/>
      </c>
      <c r="P68" s="0">
        <f>[1]!s_dq_turn($A68,$B68)</f>
        <v/>
      </c>
      <c r="Q68" s="0">
        <f>[1]!s_val_pe_ttm($A68,$B68)</f>
        <v/>
      </c>
      <c r="R68" s="0">
        <f>[1]!S_VAL_MV($A68,$B68,100000000)</f>
        <v/>
      </c>
    </row>
    <row r="69">
      <c r="A69" s="0">
        <f>_meta!A68</f>
        <v/>
      </c>
      <c r="B69" s="0">
        <f>$B$1</f>
        <v/>
      </c>
      <c r="C69" s="0">
        <f>[1]!s_west_netprofit($A69,YEAR($B69),$B69,180,1000000)</f>
        <v/>
      </c>
      <c r="D69" s="0">
        <f>[1]!s_west_eps($A69,YEAR($B69),$B69,180)</f>
        <v/>
      </c>
      <c r="E69" s="0">
        <f>[1]!s_west_instnum_np($A69,YEAR($B69),$B69,180)</f>
        <v/>
      </c>
      <c r="F69" s="0">
        <f>[1]!s_west_stdnetprofit($A69,YEAR($B69),$B69,180,1000000)</f>
        <v/>
      </c>
      <c r="G69" s="0">
        <f>[1]!s_west_mediannetprofit($A69,YEAR($B69),$B69,180,1000000)</f>
        <v/>
      </c>
      <c r="H69" s="0">
        <f>[1]!s_west_netprofit($A69,YEAR($B69)+1,$B69,180,1000000)</f>
        <v/>
      </c>
      <c r="I69" s="0">
        <f>[1]!s_west_eps($A69,YEAR($B69)+1,$B69,180)</f>
        <v/>
      </c>
      <c r="J69" s="0">
        <f>[1]!s_west_instnum_np($A69,YEAR($B69)+1,$B69,180)</f>
        <v/>
      </c>
      <c r="K69" s="0">
        <f>[1]!s_west_stdnetprofit($A69,YEAR($B69)+1,$B69,180,1000000)</f>
        <v/>
      </c>
      <c r="L69" s="0">
        <f>[1]!s_west_mediannetprofit($A69,YEAR($B69)+1,$B69,180,1000000)</f>
        <v/>
      </c>
      <c r="M69" s="0">
        <f>[1]!s_dq_close($A69,$B69,3)</f>
        <v/>
      </c>
      <c r="N69" s="0">
        <f>[1]!s_dq_volume($A69,$B69)</f>
        <v/>
      </c>
      <c r="O69" s="0">
        <f>[1]!s_dq_amount($A69,$B69)</f>
        <v/>
      </c>
      <c r="P69" s="0">
        <f>[1]!s_dq_turn($A69,$B69)</f>
        <v/>
      </c>
      <c r="Q69" s="0">
        <f>[1]!s_val_pe_ttm($A69,$B69)</f>
        <v/>
      </c>
      <c r="R69" s="0">
        <f>[1]!S_VAL_MV($A69,$B69,100000000)</f>
        <v/>
      </c>
    </row>
    <row r="70">
      <c r="A70" s="0">
        <f>_meta!A69</f>
        <v/>
      </c>
      <c r="B70" s="0">
        <f>$B$1</f>
        <v/>
      </c>
      <c r="C70" s="0">
        <f>[1]!s_west_netprofit($A70,YEAR($B70),$B70,180,1000000)</f>
        <v/>
      </c>
      <c r="D70" s="0">
        <f>[1]!s_west_eps($A70,YEAR($B70),$B70,180)</f>
        <v/>
      </c>
      <c r="E70" s="0">
        <f>[1]!s_west_instnum_np($A70,YEAR($B70),$B70,180)</f>
        <v/>
      </c>
      <c r="F70" s="0">
        <f>[1]!s_west_stdnetprofit($A70,YEAR($B70),$B70,180,1000000)</f>
        <v/>
      </c>
      <c r="G70" s="0">
        <f>[1]!s_west_mediannetprofit($A70,YEAR($B70),$B70,180,1000000)</f>
        <v/>
      </c>
      <c r="H70" s="0">
        <f>[1]!s_west_netprofit($A70,YEAR($B70)+1,$B70,180,1000000)</f>
        <v/>
      </c>
      <c r="I70" s="0">
        <f>[1]!s_west_eps($A70,YEAR($B70)+1,$B70,180)</f>
        <v/>
      </c>
      <c r="J70" s="0">
        <f>[1]!s_west_instnum_np($A70,YEAR($B70)+1,$B70,180)</f>
        <v/>
      </c>
      <c r="K70" s="0">
        <f>[1]!s_west_stdnetprofit($A70,YEAR($B70)+1,$B70,180,1000000)</f>
        <v/>
      </c>
      <c r="L70" s="0">
        <f>[1]!s_west_mediannetprofit($A70,YEAR($B70)+1,$B70,180,1000000)</f>
        <v/>
      </c>
      <c r="M70" s="0">
        <f>[1]!s_dq_close($A70,$B70,3)</f>
        <v/>
      </c>
      <c r="N70" s="0">
        <f>[1]!s_dq_volume($A70,$B70)</f>
        <v/>
      </c>
      <c r="O70" s="0">
        <f>[1]!s_dq_amount($A70,$B70)</f>
        <v/>
      </c>
      <c r="P70" s="0">
        <f>[1]!s_dq_turn($A70,$B70)</f>
        <v/>
      </c>
      <c r="Q70" s="0">
        <f>[1]!s_val_pe_ttm($A70,$B70)</f>
        <v/>
      </c>
      <c r="R70" s="0">
        <f>[1]!S_VAL_MV($A70,$B70,100000000)</f>
        <v/>
      </c>
    </row>
    <row r="71">
      <c r="A71" s="0">
        <f>_meta!A70</f>
        <v/>
      </c>
      <c r="B71" s="0">
        <f>$B$1</f>
        <v/>
      </c>
      <c r="C71" s="0">
        <f>[1]!s_west_netprofit($A71,YEAR($B71),$B71,180,1000000)</f>
        <v/>
      </c>
      <c r="D71" s="0">
        <f>[1]!s_west_eps($A71,YEAR($B71),$B71,180)</f>
        <v/>
      </c>
      <c r="E71" s="0">
        <f>[1]!s_west_instnum_np($A71,YEAR($B71),$B71,180)</f>
        <v/>
      </c>
      <c r="F71" s="0">
        <f>[1]!s_west_stdnetprofit($A71,YEAR($B71),$B71,180,1000000)</f>
        <v/>
      </c>
      <c r="G71" s="0">
        <f>[1]!s_west_mediannetprofit($A71,YEAR($B71),$B71,180,1000000)</f>
        <v/>
      </c>
      <c r="H71" s="0">
        <f>[1]!s_west_netprofit($A71,YEAR($B71)+1,$B71,180,1000000)</f>
        <v/>
      </c>
      <c r="I71" s="0">
        <f>[1]!s_west_eps($A71,YEAR($B71)+1,$B71,180)</f>
        <v/>
      </c>
      <c r="J71" s="0">
        <f>[1]!s_west_instnum_np($A71,YEAR($B71)+1,$B71,180)</f>
        <v/>
      </c>
      <c r="K71" s="0">
        <f>[1]!s_west_stdnetprofit($A71,YEAR($B71)+1,$B71,180,1000000)</f>
        <v/>
      </c>
      <c r="L71" s="0">
        <f>[1]!s_west_mediannetprofit($A71,YEAR($B71)+1,$B71,180,1000000)</f>
        <v/>
      </c>
      <c r="M71" s="0">
        <f>[1]!s_dq_close($A71,$B71,3)</f>
        <v/>
      </c>
      <c r="N71" s="0">
        <f>[1]!s_dq_volume($A71,$B71)</f>
        <v/>
      </c>
      <c r="O71" s="0">
        <f>[1]!s_dq_amount($A71,$B71)</f>
        <v/>
      </c>
      <c r="P71" s="0">
        <f>[1]!s_dq_turn($A71,$B71)</f>
        <v/>
      </c>
      <c r="Q71" s="0">
        <f>[1]!s_val_pe_ttm($A71,$B71)</f>
        <v/>
      </c>
      <c r="R71" s="0">
        <f>[1]!S_VAL_MV($A71,$B71,100000000)</f>
        <v/>
      </c>
    </row>
    <row r="72">
      <c r="A72" s="0">
        <f>_meta!A71</f>
        <v/>
      </c>
      <c r="B72" s="0">
        <f>$B$1</f>
        <v/>
      </c>
      <c r="C72" s="0">
        <f>[1]!s_west_netprofit($A72,YEAR($B72),$B72,180,1000000)</f>
        <v/>
      </c>
      <c r="D72" s="0">
        <f>[1]!s_west_eps($A72,YEAR($B72),$B72,180)</f>
        <v/>
      </c>
      <c r="E72" s="0">
        <f>[1]!s_west_instnum_np($A72,YEAR($B72),$B72,180)</f>
        <v/>
      </c>
      <c r="F72" s="0">
        <f>[1]!s_west_stdnetprofit($A72,YEAR($B72),$B72,180,1000000)</f>
        <v/>
      </c>
      <c r="G72" s="0">
        <f>[1]!s_west_mediannetprofit($A72,YEAR($B72),$B72,180,1000000)</f>
        <v/>
      </c>
      <c r="H72" s="0">
        <f>[1]!s_west_netprofit($A72,YEAR($B72)+1,$B72,180,1000000)</f>
        <v/>
      </c>
      <c r="I72" s="0">
        <f>[1]!s_west_eps($A72,YEAR($B72)+1,$B72,180)</f>
        <v/>
      </c>
      <c r="J72" s="0">
        <f>[1]!s_west_instnum_np($A72,YEAR($B72)+1,$B72,180)</f>
        <v/>
      </c>
      <c r="K72" s="0">
        <f>[1]!s_west_stdnetprofit($A72,YEAR($B72)+1,$B72,180,1000000)</f>
        <v/>
      </c>
      <c r="L72" s="0">
        <f>[1]!s_west_mediannetprofit($A72,YEAR($B72)+1,$B72,180,1000000)</f>
        <v/>
      </c>
      <c r="M72" s="0">
        <f>[1]!s_dq_close($A72,$B72,3)</f>
        <v/>
      </c>
      <c r="N72" s="0">
        <f>[1]!s_dq_volume($A72,$B72)</f>
        <v/>
      </c>
      <c r="O72" s="0">
        <f>[1]!s_dq_amount($A72,$B72)</f>
        <v/>
      </c>
      <c r="P72" s="0">
        <f>[1]!s_dq_turn($A72,$B72)</f>
        <v/>
      </c>
      <c r="Q72" s="0">
        <f>[1]!s_val_pe_ttm($A72,$B72)</f>
        <v/>
      </c>
      <c r="R72" s="0">
        <f>[1]!S_VAL_MV($A72,$B72,100000000)</f>
        <v/>
      </c>
    </row>
    <row r="73">
      <c r="A73" s="0">
        <f>_meta!A72</f>
        <v/>
      </c>
      <c r="B73" s="0">
        <f>$B$1</f>
        <v/>
      </c>
      <c r="C73" s="0">
        <f>[1]!s_west_netprofit($A73,YEAR($B73),$B73,180,1000000)</f>
        <v/>
      </c>
      <c r="D73" s="0">
        <f>[1]!s_west_eps($A73,YEAR($B73),$B73,180)</f>
        <v/>
      </c>
      <c r="E73" s="0">
        <f>[1]!s_west_instnum_np($A73,YEAR($B73),$B73,180)</f>
        <v/>
      </c>
      <c r="F73" s="0">
        <f>[1]!s_west_stdnetprofit($A73,YEAR($B73),$B73,180,1000000)</f>
        <v/>
      </c>
      <c r="G73" s="0">
        <f>[1]!s_west_mediannetprofit($A73,YEAR($B73),$B73,180,1000000)</f>
        <v/>
      </c>
      <c r="H73" s="0">
        <f>[1]!s_west_netprofit($A73,YEAR($B73)+1,$B73,180,1000000)</f>
        <v/>
      </c>
      <c r="I73" s="0">
        <f>[1]!s_west_eps($A73,YEAR($B73)+1,$B73,180)</f>
        <v/>
      </c>
      <c r="J73" s="0">
        <f>[1]!s_west_instnum_np($A73,YEAR($B73)+1,$B73,180)</f>
        <v/>
      </c>
      <c r="K73" s="0">
        <f>[1]!s_west_stdnetprofit($A73,YEAR($B73)+1,$B73,180,1000000)</f>
        <v/>
      </c>
      <c r="L73" s="0">
        <f>[1]!s_west_mediannetprofit($A73,YEAR($B73)+1,$B73,180,1000000)</f>
        <v/>
      </c>
      <c r="M73" s="0">
        <f>[1]!s_dq_close($A73,$B73,3)</f>
        <v/>
      </c>
      <c r="N73" s="0">
        <f>[1]!s_dq_volume($A73,$B73)</f>
        <v/>
      </c>
      <c r="O73" s="0">
        <f>[1]!s_dq_amount($A73,$B73)</f>
        <v/>
      </c>
      <c r="P73" s="0">
        <f>[1]!s_dq_turn($A73,$B73)</f>
        <v/>
      </c>
      <c r="Q73" s="0">
        <f>[1]!s_val_pe_ttm($A73,$B73)</f>
        <v/>
      </c>
      <c r="R73" s="0">
        <f>[1]!S_VAL_MV($A73,$B73,100000000)</f>
        <v/>
      </c>
    </row>
    <row r="74">
      <c r="A74" s="0">
        <f>_meta!A73</f>
        <v/>
      </c>
      <c r="B74" s="0">
        <f>$B$1</f>
        <v/>
      </c>
      <c r="C74" s="0">
        <f>[1]!s_west_netprofit($A74,YEAR($B74),$B74,180,1000000)</f>
        <v/>
      </c>
      <c r="D74" s="0">
        <f>[1]!s_west_eps($A74,YEAR($B74),$B74,180)</f>
        <v/>
      </c>
      <c r="E74" s="0">
        <f>[1]!s_west_instnum_np($A74,YEAR($B74),$B74,180)</f>
        <v/>
      </c>
      <c r="F74" s="0">
        <f>[1]!s_west_stdnetprofit($A74,YEAR($B74),$B74,180,1000000)</f>
        <v/>
      </c>
      <c r="G74" s="0">
        <f>[1]!s_west_mediannetprofit($A74,YEAR($B74),$B74,180,1000000)</f>
        <v/>
      </c>
      <c r="H74" s="0">
        <f>[1]!s_west_netprofit($A74,YEAR($B74)+1,$B74,180,1000000)</f>
        <v/>
      </c>
      <c r="I74" s="0">
        <f>[1]!s_west_eps($A74,YEAR($B74)+1,$B74,180)</f>
        <v/>
      </c>
      <c r="J74" s="0">
        <f>[1]!s_west_instnum_np($A74,YEAR($B74)+1,$B74,180)</f>
        <v/>
      </c>
      <c r="K74" s="0">
        <f>[1]!s_west_stdnetprofit($A74,YEAR($B74)+1,$B74,180,1000000)</f>
        <v/>
      </c>
      <c r="L74" s="0">
        <f>[1]!s_west_mediannetprofit($A74,YEAR($B74)+1,$B74,180,1000000)</f>
        <v/>
      </c>
      <c r="M74" s="0">
        <f>[1]!s_dq_close($A74,$B74,3)</f>
        <v/>
      </c>
      <c r="N74" s="0">
        <f>[1]!s_dq_volume($A74,$B74)</f>
        <v/>
      </c>
      <c r="O74" s="0">
        <f>[1]!s_dq_amount($A74,$B74)</f>
        <v/>
      </c>
      <c r="P74" s="0">
        <f>[1]!s_dq_turn($A74,$B74)</f>
        <v/>
      </c>
      <c r="Q74" s="0">
        <f>[1]!s_val_pe_ttm($A74,$B74)</f>
        <v/>
      </c>
      <c r="R74" s="0">
        <f>[1]!S_VAL_MV($A74,$B74,100000000)</f>
        <v/>
      </c>
    </row>
    <row r="75">
      <c r="A75" s="0">
        <f>_meta!A74</f>
        <v/>
      </c>
      <c r="B75" s="0">
        <f>$B$1</f>
        <v/>
      </c>
      <c r="C75" s="0">
        <f>[1]!s_west_netprofit($A75,YEAR($B75),$B75,180,1000000)</f>
        <v/>
      </c>
      <c r="D75" s="0">
        <f>[1]!s_west_eps($A75,YEAR($B75),$B75,180)</f>
        <v/>
      </c>
      <c r="E75" s="0">
        <f>[1]!s_west_instnum_np($A75,YEAR($B75),$B75,180)</f>
        <v/>
      </c>
      <c r="F75" s="0">
        <f>[1]!s_west_stdnetprofit($A75,YEAR($B75),$B75,180,1000000)</f>
        <v/>
      </c>
      <c r="G75" s="0">
        <f>[1]!s_west_mediannetprofit($A75,YEAR($B75),$B75,180,1000000)</f>
        <v/>
      </c>
      <c r="H75" s="0">
        <f>[1]!s_west_netprofit($A75,YEAR($B75)+1,$B75,180,1000000)</f>
        <v/>
      </c>
      <c r="I75" s="0">
        <f>[1]!s_west_eps($A75,YEAR($B75)+1,$B75,180)</f>
        <v/>
      </c>
      <c r="J75" s="0">
        <f>[1]!s_west_instnum_np($A75,YEAR($B75)+1,$B75,180)</f>
        <v/>
      </c>
      <c r="K75" s="0">
        <f>[1]!s_west_stdnetprofit($A75,YEAR($B75)+1,$B75,180,1000000)</f>
        <v/>
      </c>
      <c r="L75" s="0">
        <f>[1]!s_west_mediannetprofit($A75,YEAR($B75)+1,$B75,180,1000000)</f>
        <v/>
      </c>
      <c r="M75" s="0">
        <f>[1]!s_dq_close($A75,$B75,3)</f>
        <v/>
      </c>
      <c r="N75" s="0">
        <f>[1]!s_dq_volume($A75,$B75)</f>
        <v/>
      </c>
      <c r="O75" s="0">
        <f>[1]!s_dq_amount($A75,$B75)</f>
        <v/>
      </c>
      <c r="P75" s="0">
        <f>[1]!s_dq_turn($A75,$B75)</f>
        <v/>
      </c>
      <c r="Q75" s="0">
        <f>[1]!s_val_pe_ttm($A75,$B75)</f>
        <v/>
      </c>
      <c r="R75" s="0">
        <f>[1]!S_VAL_MV($A75,$B75,100000000)</f>
        <v/>
      </c>
    </row>
    <row r="76">
      <c r="A76" s="0">
        <f>_meta!A75</f>
        <v/>
      </c>
      <c r="B76" s="0">
        <f>$B$1</f>
        <v/>
      </c>
      <c r="C76" s="0">
        <f>[1]!s_west_netprofit($A76,YEAR($B76),$B76,180,1000000)</f>
        <v/>
      </c>
      <c r="D76" s="0">
        <f>[1]!s_west_eps($A76,YEAR($B76),$B76,180)</f>
        <v/>
      </c>
      <c r="E76" s="0">
        <f>[1]!s_west_instnum_np($A76,YEAR($B76),$B76,180)</f>
        <v/>
      </c>
      <c r="F76" s="0">
        <f>[1]!s_west_stdnetprofit($A76,YEAR($B76),$B76,180,1000000)</f>
        <v/>
      </c>
      <c r="G76" s="0">
        <f>[1]!s_west_mediannetprofit($A76,YEAR($B76),$B76,180,1000000)</f>
        <v/>
      </c>
      <c r="H76" s="0">
        <f>[1]!s_west_netprofit($A76,YEAR($B76)+1,$B76,180,1000000)</f>
        <v/>
      </c>
      <c r="I76" s="0">
        <f>[1]!s_west_eps($A76,YEAR($B76)+1,$B76,180)</f>
        <v/>
      </c>
      <c r="J76" s="0">
        <f>[1]!s_west_instnum_np($A76,YEAR($B76)+1,$B76,180)</f>
        <v/>
      </c>
      <c r="K76" s="0">
        <f>[1]!s_west_stdnetprofit($A76,YEAR($B76)+1,$B76,180,1000000)</f>
        <v/>
      </c>
      <c r="L76" s="0">
        <f>[1]!s_west_mediannetprofit($A76,YEAR($B76)+1,$B76,180,1000000)</f>
        <v/>
      </c>
      <c r="M76" s="0">
        <f>[1]!s_dq_close($A76,$B76,3)</f>
        <v/>
      </c>
      <c r="N76" s="0">
        <f>[1]!s_dq_volume($A76,$B76)</f>
        <v/>
      </c>
      <c r="O76" s="0">
        <f>[1]!s_dq_amount($A76,$B76)</f>
        <v/>
      </c>
      <c r="P76" s="0">
        <f>[1]!s_dq_turn($A76,$B76)</f>
        <v/>
      </c>
      <c r="Q76" s="0">
        <f>[1]!s_val_pe_ttm($A76,$B76)</f>
        <v/>
      </c>
      <c r="R76" s="0">
        <f>[1]!S_VAL_MV($A76,$B76,100000000)</f>
        <v/>
      </c>
    </row>
    <row r="77">
      <c r="A77" s="0">
        <f>_meta!A76</f>
        <v/>
      </c>
      <c r="B77" s="0">
        <f>$B$1</f>
        <v/>
      </c>
      <c r="C77" s="0">
        <f>[1]!s_west_netprofit($A77,YEAR($B77),$B77,180,1000000)</f>
        <v/>
      </c>
      <c r="D77" s="0">
        <f>[1]!s_west_eps($A77,YEAR($B77),$B77,180)</f>
        <v/>
      </c>
      <c r="E77" s="0">
        <f>[1]!s_west_instnum_np($A77,YEAR($B77),$B77,180)</f>
        <v/>
      </c>
      <c r="F77" s="0">
        <f>[1]!s_west_stdnetprofit($A77,YEAR($B77),$B77,180,1000000)</f>
        <v/>
      </c>
      <c r="G77" s="0">
        <f>[1]!s_west_mediannetprofit($A77,YEAR($B77),$B77,180,1000000)</f>
        <v/>
      </c>
      <c r="H77" s="0">
        <f>[1]!s_west_netprofit($A77,YEAR($B77)+1,$B77,180,1000000)</f>
        <v/>
      </c>
      <c r="I77" s="0">
        <f>[1]!s_west_eps($A77,YEAR($B77)+1,$B77,180)</f>
        <v/>
      </c>
      <c r="J77" s="0">
        <f>[1]!s_west_instnum_np($A77,YEAR($B77)+1,$B77,180)</f>
        <v/>
      </c>
      <c r="K77" s="0">
        <f>[1]!s_west_stdnetprofit($A77,YEAR($B77)+1,$B77,180,1000000)</f>
        <v/>
      </c>
      <c r="L77" s="0">
        <f>[1]!s_west_mediannetprofit($A77,YEAR($B77)+1,$B77,180,1000000)</f>
        <v/>
      </c>
      <c r="M77" s="0">
        <f>[1]!s_dq_close($A77,$B77,3)</f>
        <v/>
      </c>
      <c r="N77" s="0">
        <f>[1]!s_dq_volume($A77,$B77)</f>
        <v/>
      </c>
      <c r="O77" s="0">
        <f>[1]!s_dq_amount($A77,$B77)</f>
        <v/>
      </c>
      <c r="P77" s="0">
        <f>[1]!s_dq_turn($A77,$B77)</f>
        <v/>
      </c>
      <c r="Q77" s="0">
        <f>[1]!s_val_pe_ttm($A77,$B77)</f>
        <v/>
      </c>
      <c r="R77" s="0">
        <f>[1]!S_VAL_MV($A77,$B77,100000000)</f>
        <v/>
      </c>
    </row>
    <row r="78">
      <c r="A78" s="0">
        <f>_meta!A77</f>
        <v/>
      </c>
      <c r="B78" s="0">
        <f>$B$1</f>
        <v/>
      </c>
      <c r="C78" s="0">
        <f>[1]!s_west_netprofit($A78,YEAR($B78),$B78,180,1000000)</f>
        <v/>
      </c>
      <c r="D78" s="0">
        <f>[1]!s_west_eps($A78,YEAR($B78),$B78,180)</f>
        <v/>
      </c>
      <c r="E78" s="0">
        <f>[1]!s_west_instnum_np($A78,YEAR($B78),$B78,180)</f>
        <v/>
      </c>
      <c r="F78" s="0">
        <f>[1]!s_west_stdnetprofit($A78,YEAR($B78),$B78,180,1000000)</f>
        <v/>
      </c>
      <c r="G78" s="0">
        <f>[1]!s_west_mediannetprofit($A78,YEAR($B78),$B78,180,1000000)</f>
        <v/>
      </c>
      <c r="H78" s="0">
        <f>[1]!s_west_netprofit($A78,YEAR($B78)+1,$B78,180,1000000)</f>
        <v/>
      </c>
      <c r="I78" s="0">
        <f>[1]!s_west_eps($A78,YEAR($B78)+1,$B78,180)</f>
        <v/>
      </c>
      <c r="J78" s="0">
        <f>[1]!s_west_instnum_np($A78,YEAR($B78)+1,$B78,180)</f>
        <v/>
      </c>
      <c r="K78" s="0">
        <f>[1]!s_west_stdnetprofit($A78,YEAR($B78)+1,$B78,180,1000000)</f>
        <v/>
      </c>
      <c r="L78" s="0">
        <f>[1]!s_west_mediannetprofit($A78,YEAR($B78)+1,$B78,180,1000000)</f>
        <v/>
      </c>
      <c r="M78" s="0">
        <f>[1]!s_dq_close($A78,$B78,3)</f>
        <v/>
      </c>
      <c r="N78" s="0">
        <f>[1]!s_dq_volume($A78,$B78)</f>
        <v/>
      </c>
      <c r="O78" s="0">
        <f>[1]!s_dq_amount($A78,$B78)</f>
        <v/>
      </c>
      <c r="P78" s="0">
        <f>[1]!s_dq_turn($A78,$B78)</f>
        <v/>
      </c>
      <c r="Q78" s="0">
        <f>[1]!s_val_pe_ttm($A78,$B78)</f>
        <v/>
      </c>
      <c r="R78" s="0">
        <f>[1]!S_VAL_MV($A78,$B78,100000000)</f>
        <v/>
      </c>
    </row>
    <row r="79">
      <c r="A79" s="0">
        <f>_meta!A78</f>
        <v/>
      </c>
      <c r="B79" s="0">
        <f>$B$1</f>
        <v/>
      </c>
      <c r="C79" s="0">
        <f>[1]!s_west_netprofit($A79,YEAR($B79),$B79,180,1000000)</f>
        <v/>
      </c>
      <c r="D79" s="0">
        <f>[1]!s_west_eps($A79,YEAR($B79),$B79,180)</f>
        <v/>
      </c>
      <c r="E79" s="0">
        <f>[1]!s_west_instnum_np($A79,YEAR($B79),$B79,180)</f>
        <v/>
      </c>
      <c r="F79" s="0">
        <f>[1]!s_west_stdnetprofit($A79,YEAR($B79),$B79,180,1000000)</f>
        <v/>
      </c>
      <c r="G79" s="0">
        <f>[1]!s_west_mediannetprofit($A79,YEAR($B79),$B79,180,1000000)</f>
        <v/>
      </c>
      <c r="H79" s="0">
        <f>[1]!s_west_netprofit($A79,YEAR($B79)+1,$B79,180,1000000)</f>
        <v/>
      </c>
      <c r="I79" s="0">
        <f>[1]!s_west_eps($A79,YEAR($B79)+1,$B79,180)</f>
        <v/>
      </c>
      <c r="J79" s="0">
        <f>[1]!s_west_instnum_np($A79,YEAR($B79)+1,$B79,180)</f>
        <v/>
      </c>
      <c r="K79" s="0">
        <f>[1]!s_west_stdnetprofit($A79,YEAR($B79)+1,$B79,180,1000000)</f>
        <v/>
      </c>
      <c r="L79" s="0">
        <f>[1]!s_west_mediannetprofit($A79,YEAR($B79)+1,$B79,180,1000000)</f>
        <v/>
      </c>
      <c r="M79" s="0">
        <f>[1]!s_dq_close($A79,$B79,3)</f>
        <v/>
      </c>
      <c r="N79" s="0">
        <f>[1]!s_dq_volume($A79,$B79)</f>
        <v/>
      </c>
      <c r="O79" s="0">
        <f>[1]!s_dq_amount($A79,$B79)</f>
        <v/>
      </c>
      <c r="P79" s="0">
        <f>[1]!s_dq_turn($A79,$B79)</f>
        <v/>
      </c>
      <c r="Q79" s="0">
        <f>[1]!s_val_pe_ttm($A79,$B79)</f>
        <v/>
      </c>
      <c r="R79" s="0">
        <f>[1]!S_VAL_MV($A79,$B79,100000000)</f>
        <v/>
      </c>
    </row>
    <row r="80">
      <c r="A80" s="0">
        <f>_meta!A79</f>
        <v/>
      </c>
      <c r="B80" s="0">
        <f>$B$1</f>
        <v/>
      </c>
      <c r="C80" s="0">
        <f>[1]!s_west_netprofit($A80,YEAR($B80),$B80,180,1000000)</f>
        <v/>
      </c>
      <c r="D80" s="0">
        <f>[1]!s_west_eps($A80,YEAR($B80),$B80,180)</f>
        <v/>
      </c>
      <c r="E80" s="0">
        <f>[1]!s_west_instnum_np($A80,YEAR($B80),$B80,180)</f>
        <v/>
      </c>
      <c r="F80" s="0">
        <f>[1]!s_west_stdnetprofit($A80,YEAR($B80),$B80,180,1000000)</f>
        <v/>
      </c>
      <c r="G80" s="0">
        <f>[1]!s_west_mediannetprofit($A80,YEAR($B80),$B80,180,1000000)</f>
        <v/>
      </c>
      <c r="H80" s="0">
        <f>[1]!s_west_netprofit($A80,YEAR($B80)+1,$B80,180,1000000)</f>
        <v/>
      </c>
      <c r="I80" s="0">
        <f>[1]!s_west_eps($A80,YEAR($B80)+1,$B80,180)</f>
        <v/>
      </c>
      <c r="J80" s="0">
        <f>[1]!s_west_instnum_np($A80,YEAR($B80)+1,$B80,180)</f>
        <v/>
      </c>
      <c r="K80" s="0">
        <f>[1]!s_west_stdnetprofit($A80,YEAR($B80)+1,$B80,180,1000000)</f>
        <v/>
      </c>
      <c r="L80" s="0">
        <f>[1]!s_west_mediannetprofit($A80,YEAR($B80)+1,$B80,180,1000000)</f>
        <v/>
      </c>
      <c r="M80" s="0">
        <f>[1]!s_dq_close($A80,$B80,3)</f>
        <v/>
      </c>
      <c r="N80" s="0">
        <f>[1]!s_dq_volume($A80,$B80)</f>
        <v/>
      </c>
      <c r="O80" s="0">
        <f>[1]!s_dq_amount($A80,$B80)</f>
        <v/>
      </c>
      <c r="P80" s="0">
        <f>[1]!s_dq_turn($A80,$B80)</f>
        <v/>
      </c>
      <c r="Q80" s="0">
        <f>[1]!s_val_pe_ttm($A80,$B80)</f>
        <v/>
      </c>
      <c r="R80" s="0">
        <f>[1]!S_VAL_MV($A80,$B80,100000000)</f>
        <v/>
      </c>
    </row>
    <row r="81">
      <c r="A81" s="0">
        <f>_meta!A80</f>
        <v/>
      </c>
      <c r="B81" s="0">
        <f>$B$1</f>
        <v/>
      </c>
      <c r="C81" s="0">
        <f>[1]!s_west_netprofit($A81,YEAR($B81),$B81,180,1000000)</f>
        <v/>
      </c>
      <c r="D81" s="0">
        <f>[1]!s_west_eps($A81,YEAR($B81),$B81,180)</f>
        <v/>
      </c>
      <c r="E81" s="0">
        <f>[1]!s_west_instnum_np($A81,YEAR($B81),$B81,180)</f>
        <v/>
      </c>
      <c r="F81" s="0">
        <f>[1]!s_west_stdnetprofit($A81,YEAR($B81),$B81,180,1000000)</f>
        <v/>
      </c>
      <c r="G81" s="0">
        <f>[1]!s_west_mediannetprofit($A81,YEAR($B81),$B81,180,1000000)</f>
        <v/>
      </c>
      <c r="H81" s="0">
        <f>[1]!s_west_netprofit($A81,YEAR($B81)+1,$B81,180,1000000)</f>
        <v/>
      </c>
      <c r="I81" s="0">
        <f>[1]!s_west_eps($A81,YEAR($B81)+1,$B81,180)</f>
        <v/>
      </c>
      <c r="J81" s="0">
        <f>[1]!s_west_instnum_np($A81,YEAR($B81)+1,$B81,180)</f>
        <v/>
      </c>
      <c r="K81" s="0">
        <f>[1]!s_west_stdnetprofit($A81,YEAR($B81)+1,$B81,180,1000000)</f>
        <v/>
      </c>
      <c r="L81" s="0">
        <f>[1]!s_west_mediannetprofit($A81,YEAR($B81)+1,$B81,180,1000000)</f>
        <v/>
      </c>
      <c r="M81" s="0">
        <f>[1]!s_dq_close($A81,$B81,3)</f>
        <v/>
      </c>
      <c r="N81" s="0">
        <f>[1]!s_dq_volume($A81,$B81)</f>
        <v/>
      </c>
      <c r="O81" s="0">
        <f>[1]!s_dq_amount($A81,$B81)</f>
        <v/>
      </c>
      <c r="P81" s="0">
        <f>[1]!s_dq_turn($A81,$B81)</f>
        <v/>
      </c>
      <c r="Q81" s="0">
        <f>[1]!s_val_pe_ttm($A81,$B81)</f>
        <v/>
      </c>
      <c r="R81" s="0">
        <f>[1]!S_VAL_MV($A81,$B81,100000000)</f>
        <v/>
      </c>
    </row>
    <row r="82">
      <c r="A82" s="0">
        <f>_meta!A81</f>
        <v/>
      </c>
      <c r="B82" s="0">
        <f>$B$1</f>
        <v/>
      </c>
      <c r="C82" s="0">
        <f>[1]!s_west_netprofit($A82,YEAR($B82),$B82,180,1000000)</f>
        <v/>
      </c>
      <c r="D82" s="0">
        <f>[1]!s_west_eps($A82,YEAR($B82),$B82,180)</f>
        <v/>
      </c>
      <c r="E82" s="0">
        <f>[1]!s_west_instnum_np($A82,YEAR($B82),$B82,180)</f>
        <v/>
      </c>
      <c r="F82" s="0">
        <f>[1]!s_west_stdnetprofit($A82,YEAR($B82),$B82,180,1000000)</f>
        <v/>
      </c>
      <c r="G82" s="0">
        <f>[1]!s_west_mediannetprofit($A82,YEAR($B82),$B82,180,1000000)</f>
        <v/>
      </c>
      <c r="H82" s="0">
        <f>[1]!s_west_netprofit($A82,YEAR($B82)+1,$B82,180,1000000)</f>
        <v/>
      </c>
      <c r="I82" s="0">
        <f>[1]!s_west_eps($A82,YEAR($B82)+1,$B82,180)</f>
        <v/>
      </c>
      <c r="J82" s="0">
        <f>[1]!s_west_instnum_np($A82,YEAR($B82)+1,$B82,180)</f>
        <v/>
      </c>
      <c r="K82" s="0">
        <f>[1]!s_west_stdnetprofit($A82,YEAR($B82)+1,$B82,180,1000000)</f>
        <v/>
      </c>
      <c r="L82" s="0">
        <f>[1]!s_west_mediannetprofit($A82,YEAR($B82)+1,$B82,180,1000000)</f>
        <v/>
      </c>
      <c r="M82" s="0">
        <f>[1]!s_dq_close($A82,$B82,3)</f>
        <v/>
      </c>
      <c r="N82" s="0">
        <f>[1]!s_dq_volume($A82,$B82)</f>
        <v/>
      </c>
      <c r="O82" s="0">
        <f>[1]!s_dq_amount($A82,$B82)</f>
        <v/>
      </c>
      <c r="P82" s="0">
        <f>[1]!s_dq_turn($A82,$B82)</f>
        <v/>
      </c>
      <c r="Q82" s="0">
        <f>[1]!s_val_pe_ttm($A82,$B82)</f>
        <v/>
      </c>
      <c r="R82" s="0">
        <f>[1]!S_VAL_MV($A82,$B82,100000000)</f>
        <v/>
      </c>
    </row>
    <row r="83">
      <c r="A83" s="0">
        <f>_meta!A82</f>
        <v/>
      </c>
      <c r="B83" s="0">
        <f>$B$1</f>
        <v/>
      </c>
      <c r="C83" s="0">
        <f>[1]!s_west_netprofit($A83,YEAR($B83),$B83,180,1000000)</f>
        <v/>
      </c>
      <c r="D83" s="0">
        <f>[1]!s_west_eps($A83,YEAR($B83),$B83,180)</f>
        <v/>
      </c>
      <c r="E83" s="0">
        <f>[1]!s_west_instnum_np($A83,YEAR($B83),$B83,180)</f>
        <v/>
      </c>
      <c r="F83" s="0">
        <f>[1]!s_west_stdnetprofit($A83,YEAR($B83),$B83,180,1000000)</f>
        <v/>
      </c>
      <c r="G83" s="0">
        <f>[1]!s_west_mediannetprofit($A83,YEAR($B83),$B83,180,1000000)</f>
        <v/>
      </c>
      <c r="H83" s="0">
        <f>[1]!s_west_netprofit($A83,YEAR($B83)+1,$B83,180,1000000)</f>
        <v/>
      </c>
      <c r="I83" s="0">
        <f>[1]!s_west_eps($A83,YEAR($B83)+1,$B83,180)</f>
        <v/>
      </c>
      <c r="J83" s="0">
        <f>[1]!s_west_instnum_np($A83,YEAR($B83)+1,$B83,180)</f>
        <v/>
      </c>
      <c r="K83" s="0">
        <f>[1]!s_west_stdnetprofit($A83,YEAR($B83)+1,$B83,180,1000000)</f>
        <v/>
      </c>
      <c r="L83" s="0">
        <f>[1]!s_west_mediannetprofit($A83,YEAR($B83)+1,$B83,180,1000000)</f>
        <v/>
      </c>
      <c r="M83" s="0">
        <f>[1]!s_dq_close($A83,$B83,3)</f>
        <v/>
      </c>
      <c r="N83" s="0">
        <f>[1]!s_dq_volume($A83,$B83)</f>
        <v/>
      </c>
      <c r="O83" s="0">
        <f>[1]!s_dq_amount($A83,$B83)</f>
        <v/>
      </c>
      <c r="P83" s="0">
        <f>[1]!s_dq_turn($A83,$B83)</f>
        <v/>
      </c>
      <c r="Q83" s="0">
        <f>[1]!s_val_pe_ttm($A83,$B83)</f>
        <v/>
      </c>
      <c r="R83" s="0">
        <f>[1]!S_VAL_MV($A83,$B83,100000000)</f>
        <v/>
      </c>
    </row>
    <row r="84">
      <c r="A84" s="0">
        <f>_meta!A83</f>
        <v/>
      </c>
      <c r="B84" s="0">
        <f>$B$1</f>
        <v/>
      </c>
      <c r="C84" s="0">
        <f>[1]!s_west_netprofit($A84,YEAR($B84),$B84,180,1000000)</f>
        <v/>
      </c>
      <c r="D84" s="0">
        <f>[1]!s_west_eps($A84,YEAR($B84),$B84,180)</f>
        <v/>
      </c>
      <c r="E84" s="0">
        <f>[1]!s_west_instnum_np($A84,YEAR($B84),$B84,180)</f>
        <v/>
      </c>
      <c r="F84" s="0">
        <f>[1]!s_west_stdnetprofit($A84,YEAR($B84),$B84,180,1000000)</f>
        <v/>
      </c>
      <c r="G84" s="0">
        <f>[1]!s_west_mediannetprofit($A84,YEAR($B84),$B84,180,1000000)</f>
        <v/>
      </c>
      <c r="H84" s="0">
        <f>[1]!s_west_netprofit($A84,YEAR($B84)+1,$B84,180,1000000)</f>
        <v/>
      </c>
      <c r="I84" s="0">
        <f>[1]!s_west_eps($A84,YEAR($B84)+1,$B84,180)</f>
        <v/>
      </c>
      <c r="J84" s="0">
        <f>[1]!s_west_instnum_np($A84,YEAR($B84)+1,$B84,180)</f>
        <v/>
      </c>
      <c r="K84" s="0">
        <f>[1]!s_west_stdnetprofit($A84,YEAR($B84)+1,$B84,180,1000000)</f>
        <v/>
      </c>
      <c r="L84" s="0">
        <f>[1]!s_west_mediannetprofit($A84,YEAR($B84)+1,$B84,180,1000000)</f>
        <v/>
      </c>
      <c r="M84" s="0">
        <f>[1]!s_dq_close($A84,$B84,3)</f>
        <v/>
      </c>
      <c r="N84" s="0">
        <f>[1]!s_dq_volume($A84,$B84)</f>
        <v/>
      </c>
      <c r="O84" s="0">
        <f>[1]!s_dq_amount($A84,$B84)</f>
        <v/>
      </c>
      <c r="P84" s="0">
        <f>[1]!s_dq_turn($A84,$B84)</f>
        <v/>
      </c>
      <c r="Q84" s="0">
        <f>[1]!s_val_pe_ttm($A84,$B84)</f>
        <v/>
      </c>
      <c r="R84" s="0">
        <f>[1]!S_VAL_MV($A84,$B84,100000000)</f>
        <v/>
      </c>
    </row>
    <row r="85">
      <c r="A85" s="0">
        <f>_meta!A84</f>
        <v/>
      </c>
      <c r="B85" s="0">
        <f>$B$1</f>
        <v/>
      </c>
      <c r="C85" s="0">
        <f>[1]!s_west_netprofit($A85,YEAR($B85),$B85,180,1000000)</f>
        <v/>
      </c>
      <c r="D85" s="0">
        <f>[1]!s_west_eps($A85,YEAR($B85),$B85,180)</f>
        <v/>
      </c>
      <c r="E85" s="0">
        <f>[1]!s_west_instnum_np($A85,YEAR($B85),$B85,180)</f>
        <v/>
      </c>
      <c r="F85" s="0">
        <f>[1]!s_west_stdnetprofit($A85,YEAR($B85),$B85,180,1000000)</f>
        <v/>
      </c>
      <c r="G85" s="0">
        <f>[1]!s_west_mediannetprofit($A85,YEAR($B85),$B85,180,1000000)</f>
        <v/>
      </c>
      <c r="H85" s="0">
        <f>[1]!s_west_netprofit($A85,YEAR($B85)+1,$B85,180,1000000)</f>
        <v/>
      </c>
      <c r="I85" s="0">
        <f>[1]!s_west_eps($A85,YEAR($B85)+1,$B85,180)</f>
        <v/>
      </c>
      <c r="J85" s="0">
        <f>[1]!s_west_instnum_np($A85,YEAR($B85)+1,$B85,180)</f>
        <v/>
      </c>
      <c r="K85" s="0">
        <f>[1]!s_west_stdnetprofit($A85,YEAR($B85)+1,$B85,180,1000000)</f>
        <v/>
      </c>
      <c r="L85" s="0">
        <f>[1]!s_west_mediannetprofit($A85,YEAR($B85)+1,$B85,180,1000000)</f>
        <v/>
      </c>
      <c r="M85" s="0">
        <f>[1]!s_dq_close($A85,$B85,3)</f>
        <v/>
      </c>
      <c r="N85" s="0">
        <f>[1]!s_dq_volume($A85,$B85)</f>
        <v/>
      </c>
      <c r="O85" s="0">
        <f>[1]!s_dq_amount($A85,$B85)</f>
        <v/>
      </c>
      <c r="P85" s="0">
        <f>[1]!s_dq_turn($A85,$B85)</f>
        <v/>
      </c>
      <c r="Q85" s="0">
        <f>[1]!s_val_pe_ttm($A85,$B85)</f>
        <v/>
      </c>
      <c r="R85" s="0">
        <f>[1]!S_VAL_MV($A85,$B85,100000000)</f>
        <v/>
      </c>
    </row>
    <row r="86">
      <c r="A86" s="0">
        <f>_meta!A85</f>
        <v/>
      </c>
      <c r="B86" s="0">
        <f>$B$1</f>
        <v/>
      </c>
      <c r="C86" s="0">
        <f>[1]!s_west_netprofit($A86,YEAR($B86),$B86,180,1000000)</f>
        <v/>
      </c>
      <c r="D86" s="0">
        <f>[1]!s_west_eps($A86,YEAR($B86),$B86,180)</f>
        <v/>
      </c>
      <c r="E86" s="0">
        <f>[1]!s_west_instnum_np($A86,YEAR($B86),$B86,180)</f>
        <v/>
      </c>
      <c r="F86" s="0">
        <f>[1]!s_west_stdnetprofit($A86,YEAR($B86),$B86,180,1000000)</f>
        <v/>
      </c>
      <c r="G86" s="0">
        <f>[1]!s_west_mediannetprofit($A86,YEAR($B86),$B86,180,1000000)</f>
        <v/>
      </c>
      <c r="H86" s="0">
        <f>[1]!s_west_netprofit($A86,YEAR($B86)+1,$B86,180,1000000)</f>
        <v/>
      </c>
      <c r="I86" s="0">
        <f>[1]!s_west_eps($A86,YEAR($B86)+1,$B86,180)</f>
        <v/>
      </c>
      <c r="J86" s="0">
        <f>[1]!s_west_instnum_np($A86,YEAR($B86)+1,$B86,180)</f>
        <v/>
      </c>
      <c r="K86" s="0">
        <f>[1]!s_west_stdnetprofit($A86,YEAR($B86)+1,$B86,180,1000000)</f>
        <v/>
      </c>
      <c r="L86" s="0">
        <f>[1]!s_west_mediannetprofit($A86,YEAR($B86)+1,$B86,180,1000000)</f>
        <v/>
      </c>
      <c r="M86" s="0">
        <f>[1]!s_dq_close($A86,$B86,3)</f>
        <v/>
      </c>
      <c r="N86" s="0">
        <f>[1]!s_dq_volume($A86,$B86)</f>
        <v/>
      </c>
      <c r="O86" s="0">
        <f>[1]!s_dq_amount($A86,$B86)</f>
        <v/>
      </c>
      <c r="P86" s="0">
        <f>[1]!s_dq_turn($A86,$B86)</f>
        <v/>
      </c>
      <c r="Q86" s="0">
        <f>[1]!s_val_pe_ttm($A86,$B86)</f>
        <v/>
      </c>
      <c r="R86" s="0">
        <f>[1]!S_VAL_MV($A86,$B86,100000000)</f>
        <v/>
      </c>
    </row>
    <row r="87">
      <c r="A87" s="0">
        <f>_meta!A86</f>
        <v/>
      </c>
      <c r="B87" s="0">
        <f>$B$1</f>
        <v/>
      </c>
      <c r="C87" s="0">
        <f>[1]!s_west_netprofit($A87,YEAR($B87),$B87,180,1000000)</f>
        <v/>
      </c>
      <c r="D87" s="0">
        <f>[1]!s_west_eps($A87,YEAR($B87),$B87,180)</f>
        <v/>
      </c>
      <c r="E87" s="0">
        <f>[1]!s_west_instnum_np($A87,YEAR($B87),$B87,180)</f>
        <v/>
      </c>
      <c r="F87" s="0">
        <f>[1]!s_west_stdnetprofit($A87,YEAR($B87),$B87,180,1000000)</f>
        <v/>
      </c>
      <c r="G87" s="0">
        <f>[1]!s_west_mediannetprofit($A87,YEAR($B87),$B87,180,1000000)</f>
        <v/>
      </c>
      <c r="H87" s="0">
        <f>[1]!s_west_netprofit($A87,YEAR($B87)+1,$B87,180,1000000)</f>
        <v/>
      </c>
      <c r="I87" s="0">
        <f>[1]!s_west_eps($A87,YEAR($B87)+1,$B87,180)</f>
        <v/>
      </c>
      <c r="J87" s="0">
        <f>[1]!s_west_instnum_np($A87,YEAR($B87)+1,$B87,180)</f>
        <v/>
      </c>
      <c r="K87" s="0">
        <f>[1]!s_west_stdnetprofit($A87,YEAR($B87)+1,$B87,180,1000000)</f>
        <v/>
      </c>
      <c r="L87" s="0">
        <f>[1]!s_west_mediannetprofit($A87,YEAR($B87)+1,$B87,180,1000000)</f>
        <v/>
      </c>
      <c r="M87" s="0">
        <f>[1]!s_dq_close($A87,$B87,3)</f>
        <v/>
      </c>
      <c r="N87" s="0">
        <f>[1]!s_dq_volume($A87,$B87)</f>
        <v/>
      </c>
      <c r="O87" s="0">
        <f>[1]!s_dq_amount($A87,$B87)</f>
        <v/>
      </c>
      <c r="P87" s="0">
        <f>[1]!s_dq_turn($A87,$B87)</f>
        <v/>
      </c>
      <c r="Q87" s="0">
        <f>[1]!s_val_pe_ttm($A87,$B87)</f>
        <v/>
      </c>
      <c r="R87" s="0">
        <f>[1]!S_VAL_MV($A87,$B87,100000000)</f>
        <v/>
      </c>
    </row>
    <row r="88">
      <c r="A88" s="0">
        <f>_meta!A87</f>
        <v/>
      </c>
      <c r="B88" s="0">
        <f>$B$1</f>
        <v/>
      </c>
      <c r="C88" s="0">
        <f>[1]!s_west_netprofit($A88,YEAR($B88),$B88,180,1000000)</f>
        <v/>
      </c>
      <c r="D88" s="0">
        <f>[1]!s_west_eps($A88,YEAR($B88),$B88,180)</f>
        <v/>
      </c>
      <c r="E88" s="0">
        <f>[1]!s_west_instnum_np($A88,YEAR($B88),$B88,180)</f>
        <v/>
      </c>
      <c r="F88" s="0">
        <f>[1]!s_west_stdnetprofit($A88,YEAR($B88),$B88,180,1000000)</f>
        <v/>
      </c>
      <c r="G88" s="0">
        <f>[1]!s_west_mediannetprofit($A88,YEAR($B88),$B88,180,1000000)</f>
        <v/>
      </c>
      <c r="H88" s="0">
        <f>[1]!s_west_netprofit($A88,YEAR($B88)+1,$B88,180,1000000)</f>
        <v/>
      </c>
      <c r="I88" s="0">
        <f>[1]!s_west_eps($A88,YEAR($B88)+1,$B88,180)</f>
        <v/>
      </c>
      <c r="J88" s="0">
        <f>[1]!s_west_instnum_np($A88,YEAR($B88)+1,$B88,180)</f>
        <v/>
      </c>
      <c r="K88" s="0">
        <f>[1]!s_west_stdnetprofit($A88,YEAR($B88)+1,$B88,180,1000000)</f>
        <v/>
      </c>
      <c r="L88" s="0">
        <f>[1]!s_west_mediannetprofit($A88,YEAR($B88)+1,$B88,180,1000000)</f>
        <v/>
      </c>
      <c r="M88" s="0">
        <f>[1]!s_dq_close($A88,$B88,3)</f>
        <v/>
      </c>
      <c r="N88" s="0">
        <f>[1]!s_dq_volume($A88,$B88)</f>
        <v/>
      </c>
      <c r="O88" s="0">
        <f>[1]!s_dq_amount($A88,$B88)</f>
        <v/>
      </c>
      <c r="P88" s="0">
        <f>[1]!s_dq_turn($A88,$B88)</f>
        <v/>
      </c>
      <c r="Q88" s="0">
        <f>[1]!s_val_pe_ttm($A88,$B88)</f>
        <v/>
      </c>
      <c r="R88" s="0">
        <f>[1]!S_VAL_MV($A88,$B88,100000000)</f>
        <v/>
      </c>
    </row>
    <row r="89">
      <c r="A89" s="0">
        <f>_meta!A88</f>
        <v/>
      </c>
      <c r="B89" s="0">
        <f>$B$1</f>
        <v/>
      </c>
      <c r="C89" s="0">
        <f>[1]!s_west_netprofit($A89,YEAR($B89),$B89,180,1000000)</f>
        <v/>
      </c>
      <c r="D89" s="0">
        <f>[1]!s_west_eps($A89,YEAR($B89),$B89,180)</f>
        <v/>
      </c>
      <c r="E89" s="0">
        <f>[1]!s_west_instnum_np($A89,YEAR($B89),$B89,180)</f>
        <v/>
      </c>
      <c r="F89" s="0">
        <f>[1]!s_west_stdnetprofit($A89,YEAR($B89),$B89,180,1000000)</f>
        <v/>
      </c>
      <c r="G89" s="0">
        <f>[1]!s_west_mediannetprofit($A89,YEAR($B89),$B89,180,1000000)</f>
        <v/>
      </c>
      <c r="H89" s="0">
        <f>[1]!s_west_netprofit($A89,YEAR($B89)+1,$B89,180,1000000)</f>
        <v/>
      </c>
      <c r="I89" s="0">
        <f>[1]!s_west_eps($A89,YEAR($B89)+1,$B89,180)</f>
        <v/>
      </c>
      <c r="J89" s="0">
        <f>[1]!s_west_instnum_np($A89,YEAR($B89)+1,$B89,180)</f>
        <v/>
      </c>
      <c r="K89" s="0">
        <f>[1]!s_west_stdnetprofit($A89,YEAR($B89)+1,$B89,180,1000000)</f>
        <v/>
      </c>
      <c r="L89" s="0">
        <f>[1]!s_west_mediannetprofit($A89,YEAR($B89)+1,$B89,180,1000000)</f>
        <v/>
      </c>
      <c r="M89" s="0">
        <f>[1]!s_dq_close($A89,$B89,3)</f>
        <v/>
      </c>
      <c r="N89" s="0">
        <f>[1]!s_dq_volume($A89,$B89)</f>
        <v/>
      </c>
      <c r="O89" s="0">
        <f>[1]!s_dq_amount($A89,$B89)</f>
        <v/>
      </c>
      <c r="P89" s="0">
        <f>[1]!s_dq_turn($A89,$B89)</f>
        <v/>
      </c>
      <c r="Q89" s="0">
        <f>[1]!s_val_pe_ttm($A89,$B89)</f>
        <v/>
      </c>
      <c r="R89" s="0">
        <f>[1]!S_VAL_MV($A89,$B89,100000000)</f>
        <v/>
      </c>
    </row>
    <row r="90">
      <c r="A90" s="0">
        <f>_meta!A89</f>
        <v/>
      </c>
      <c r="B90" s="0">
        <f>$B$1</f>
        <v/>
      </c>
      <c r="C90" s="0">
        <f>[1]!s_west_netprofit($A90,YEAR($B90),$B90,180,1000000)</f>
        <v/>
      </c>
      <c r="D90" s="0">
        <f>[1]!s_west_eps($A90,YEAR($B90),$B90,180)</f>
        <v/>
      </c>
      <c r="E90" s="0">
        <f>[1]!s_west_instnum_np($A90,YEAR($B90),$B90,180)</f>
        <v/>
      </c>
      <c r="F90" s="0">
        <f>[1]!s_west_stdnetprofit($A90,YEAR($B90),$B90,180,1000000)</f>
        <v/>
      </c>
      <c r="G90" s="0">
        <f>[1]!s_west_mediannetprofit($A90,YEAR($B90),$B90,180,1000000)</f>
        <v/>
      </c>
      <c r="H90" s="0">
        <f>[1]!s_west_netprofit($A90,YEAR($B90)+1,$B90,180,1000000)</f>
        <v/>
      </c>
      <c r="I90" s="0">
        <f>[1]!s_west_eps($A90,YEAR($B90)+1,$B90,180)</f>
        <v/>
      </c>
      <c r="J90" s="0">
        <f>[1]!s_west_instnum_np($A90,YEAR($B90)+1,$B90,180)</f>
        <v/>
      </c>
      <c r="K90" s="0">
        <f>[1]!s_west_stdnetprofit($A90,YEAR($B90)+1,$B90,180,1000000)</f>
        <v/>
      </c>
      <c r="L90" s="0">
        <f>[1]!s_west_mediannetprofit($A90,YEAR($B90)+1,$B90,180,1000000)</f>
        <v/>
      </c>
      <c r="M90" s="0">
        <f>[1]!s_dq_close($A90,$B90,3)</f>
        <v/>
      </c>
      <c r="N90" s="0">
        <f>[1]!s_dq_volume($A90,$B90)</f>
        <v/>
      </c>
      <c r="O90" s="0">
        <f>[1]!s_dq_amount($A90,$B90)</f>
        <v/>
      </c>
      <c r="P90" s="0">
        <f>[1]!s_dq_turn($A90,$B90)</f>
        <v/>
      </c>
      <c r="Q90" s="0">
        <f>[1]!s_val_pe_ttm($A90,$B90)</f>
        <v/>
      </c>
      <c r="R90" s="0">
        <f>[1]!S_VAL_MV($A90,$B90,100000000)</f>
        <v/>
      </c>
    </row>
    <row r="91">
      <c r="A91" s="0">
        <f>_meta!A90</f>
        <v/>
      </c>
      <c r="B91" s="0">
        <f>$B$1</f>
        <v/>
      </c>
      <c r="C91" s="0">
        <f>[1]!s_west_netprofit($A91,YEAR($B91),$B91,180,1000000)</f>
        <v/>
      </c>
      <c r="D91" s="0">
        <f>[1]!s_west_eps($A91,YEAR($B91),$B91,180)</f>
        <v/>
      </c>
      <c r="E91" s="0">
        <f>[1]!s_west_instnum_np($A91,YEAR($B91),$B91,180)</f>
        <v/>
      </c>
      <c r="F91" s="0">
        <f>[1]!s_west_stdnetprofit($A91,YEAR($B91),$B91,180,1000000)</f>
        <v/>
      </c>
      <c r="G91" s="0">
        <f>[1]!s_west_mediannetprofit($A91,YEAR($B91),$B91,180,1000000)</f>
        <v/>
      </c>
      <c r="H91" s="0">
        <f>[1]!s_west_netprofit($A91,YEAR($B91)+1,$B91,180,1000000)</f>
        <v/>
      </c>
      <c r="I91" s="0">
        <f>[1]!s_west_eps($A91,YEAR($B91)+1,$B91,180)</f>
        <v/>
      </c>
      <c r="J91" s="0">
        <f>[1]!s_west_instnum_np($A91,YEAR($B91)+1,$B91,180)</f>
        <v/>
      </c>
      <c r="K91" s="0">
        <f>[1]!s_west_stdnetprofit($A91,YEAR($B91)+1,$B91,180,1000000)</f>
        <v/>
      </c>
      <c r="L91" s="0">
        <f>[1]!s_west_mediannetprofit($A91,YEAR($B91)+1,$B91,180,1000000)</f>
        <v/>
      </c>
      <c r="M91" s="0">
        <f>[1]!s_dq_close($A91,$B91,3)</f>
        <v/>
      </c>
      <c r="N91" s="0">
        <f>[1]!s_dq_volume($A91,$B91)</f>
        <v/>
      </c>
      <c r="O91" s="0">
        <f>[1]!s_dq_amount($A91,$B91)</f>
        <v/>
      </c>
      <c r="P91" s="0">
        <f>[1]!s_dq_turn($A91,$B91)</f>
        <v/>
      </c>
      <c r="Q91" s="0">
        <f>[1]!s_val_pe_ttm($A91,$B91)</f>
        <v/>
      </c>
      <c r="R91" s="0">
        <f>[1]!S_VAL_MV($A91,$B91,100000000)</f>
        <v/>
      </c>
    </row>
    <row r="92">
      <c r="A92" s="0">
        <f>_meta!A91</f>
        <v/>
      </c>
      <c r="B92" s="0">
        <f>$B$1</f>
        <v/>
      </c>
      <c r="C92" s="0">
        <f>[1]!s_west_netprofit($A92,YEAR($B92),$B92,180,1000000)</f>
        <v/>
      </c>
      <c r="D92" s="0">
        <f>[1]!s_west_eps($A92,YEAR($B92),$B92,180)</f>
        <v/>
      </c>
      <c r="E92" s="0">
        <f>[1]!s_west_instnum_np($A92,YEAR($B92),$B92,180)</f>
        <v/>
      </c>
      <c r="F92" s="0">
        <f>[1]!s_west_stdnetprofit($A92,YEAR($B92),$B92,180,1000000)</f>
        <v/>
      </c>
      <c r="G92" s="0">
        <f>[1]!s_west_mediannetprofit($A92,YEAR($B92),$B92,180,1000000)</f>
        <v/>
      </c>
      <c r="H92" s="0">
        <f>[1]!s_west_netprofit($A92,YEAR($B92)+1,$B92,180,1000000)</f>
        <v/>
      </c>
      <c r="I92" s="0">
        <f>[1]!s_west_eps($A92,YEAR($B92)+1,$B92,180)</f>
        <v/>
      </c>
      <c r="J92" s="0">
        <f>[1]!s_west_instnum_np($A92,YEAR($B92)+1,$B92,180)</f>
        <v/>
      </c>
      <c r="K92" s="0">
        <f>[1]!s_west_stdnetprofit($A92,YEAR($B92)+1,$B92,180,1000000)</f>
        <v/>
      </c>
      <c r="L92" s="0">
        <f>[1]!s_west_mediannetprofit($A92,YEAR($B92)+1,$B92,180,1000000)</f>
        <v/>
      </c>
      <c r="M92" s="0">
        <f>[1]!s_dq_close($A92,$B92,3)</f>
        <v/>
      </c>
      <c r="N92" s="0">
        <f>[1]!s_dq_volume($A92,$B92)</f>
        <v/>
      </c>
      <c r="O92" s="0">
        <f>[1]!s_dq_amount($A92,$B92)</f>
        <v/>
      </c>
      <c r="P92" s="0">
        <f>[1]!s_dq_turn($A92,$B92)</f>
        <v/>
      </c>
      <c r="Q92" s="0">
        <f>[1]!s_val_pe_ttm($A92,$B92)</f>
        <v/>
      </c>
      <c r="R92" s="0">
        <f>[1]!S_VAL_MV($A92,$B92,100000000)</f>
        <v/>
      </c>
    </row>
    <row r="93">
      <c r="A93" s="0">
        <f>_meta!A92</f>
        <v/>
      </c>
      <c r="B93" s="0">
        <f>$B$1</f>
        <v/>
      </c>
      <c r="C93" s="0">
        <f>[1]!s_west_netprofit($A93,YEAR($B93),$B93,180,1000000)</f>
        <v/>
      </c>
      <c r="D93" s="0">
        <f>[1]!s_west_eps($A93,YEAR($B93),$B93,180)</f>
        <v/>
      </c>
      <c r="E93" s="0">
        <f>[1]!s_west_instnum_np($A93,YEAR($B93),$B93,180)</f>
        <v/>
      </c>
      <c r="F93" s="0">
        <f>[1]!s_west_stdnetprofit($A93,YEAR($B93),$B93,180,1000000)</f>
        <v/>
      </c>
      <c r="G93" s="0">
        <f>[1]!s_west_mediannetprofit($A93,YEAR($B93),$B93,180,1000000)</f>
        <v/>
      </c>
      <c r="H93" s="0">
        <f>[1]!s_west_netprofit($A93,YEAR($B93)+1,$B93,180,1000000)</f>
        <v/>
      </c>
      <c r="I93" s="0">
        <f>[1]!s_west_eps($A93,YEAR($B93)+1,$B93,180)</f>
        <v/>
      </c>
      <c r="J93" s="0">
        <f>[1]!s_west_instnum_np($A93,YEAR($B93)+1,$B93,180)</f>
        <v/>
      </c>
      <c r="K93" s="0">
        <f>[1]!s_west_stdnetprofit($A93,YEAR($B93)+1,$B93,180,1000000)</f>
        <v/>
      </c>
      <c r="L93" s="0">
        <f>[1]!s_west_mediannetprofit($A93,YEAR($B93)+1,$B93,180,1000000)</f>
        <v/>
      </c>
      <c r="M93" s="0">
        <f>[1]!s_dq_close($A93,$B93,3)</f>
        <v/>
      </c>
      <c r="N93" s="0">
        <f>[1]!s_dq_volume($A93,$B93)</f>
        <v/>
      </c>
      <c r="O93" s="0">
        <f>[1]!s_dq_amount($A93,$B93)</f>
        <v/>
      </c>
      <c r="P93" s="0">
        <f>[1]!s_dq_turn($A93,$B93)</f>
        <v/>
      </c>
      <c r="Q93" s="0">
        <f>[1]!s_val_pe_ttm($A93,$B93)</f>
        <v/>
      </c>
      <c r="R93" s="0">
        <f>[1]!S_VAL_MV($A93,$B93,100000000)</f>
        <v/>
      </c>
    </row>
    <row r="94">
      <c r="A94" s="0">
        <f>_meta!A93</f>
        <v/>
      </c>
      <c r="B94" s="0">
        <f>$B$1</f>
        <v/>
      </c>
      <c r="C94" s="0">
        <f>[1]!s_west_netprofit($A94,YEAR($B94),$B94,180,1000000)</f>
        <v/>
      </c>
      <c r="D94" s="0">
        <f>[1]!s_west_eps($A94,YEAR($B94),$B94,180)</f>
        <v/>
      </c>
      <c r="E94" s="0">
        <f>[1]!s_west_instnum_np($A94,YEAR($B94),$B94,180)</f>
        <v/>
      </c>
      <c r="F94" s="0">
        <f>[1]!s_west_stdnetprofit($A94,YEAR($B94),$B94,180,1000000)</f>
        <v/>
      </c>
      <c r="G94" s="0">
        <f>[1]!s_west_mediannetprofit($A94,YEAR($B94),$B94,180,1000000)</f>
        <v/>
      </c>
      <c r="H94" s="0">
        <f>[1]!s_west_netprofit($A94,YEAR($B94)+1,$B94,180,1000000)</f>
        <v/>
      </c>
      <c r="I94" s="0">
        <f>[1]!s_west_eps($A94,YEAR($B94)+1,$B94,180)</f>
        <v/>
      </c>
      <c r="J94" s="0">
        <f>[1]!s_west_instnum_np($A94,YEAR($B94)+1,$B94,180)</f>
        <v/>
      </c>
      <c r="K94" s="0">
        <f>[1]!s_west_stdnetprofit($A94,YEAR($B94)+1,$B94,180,1000000)</f>
        <v/>
      </c>
      <c r="L94" s="0">
        <f>[1]!s_west_mediannetprofit($A94,YEAR($B94)+1,$B94,180,1000000)</f>
        <v/>
      </c>
      <c r="M94" s="0">
        <f>[1]!s_dq_close($A94,$B94,3)</f>
        <v/>
      </c>
      <c r="N94" s="0">
        <f>[1]!s_dq_volume($A94,$B94)</f>
        <v/>
      </c>
      <c r="O94" s="0">
        <f>[1]!s_dq_amount($A94,$B94)</f>
        <v/>
      </c>
      <c r="P94" s="0">
        <f>[1]!s_dq_turn($A94,$B94)</f>
        <v/>
      </c>
      <c r="Q94" s="0">
        <f>[1]!s_val_pe_ttm($A94,$B94)</f>
        <v/>
      </c>
      <c r="R94" s="0">
        <f>[1]!S_VAL_MV($A94,$B94,100000000)</f>
        <v/>
      </c>
    </row>
    <row r="95">
      <c r="A95" s="0">
        <f>_meta!A94</f>
        <v/>
      </c>
      <c r="B95" s="0">
        <f>$B$1</f>
        <v/>
      </c>
      <c r="C95" s="0">
        <f>[1]!s_west_netprofit($A95,YEAR($B95),$B95,180,1000000)</f>
        <v/>
      </c>
      <c r="D95" s="0">
        <f>[1]!s_west_eps($A95,YEAR($B95),$B95,180)</f>
        <v/>
      </c>
      <c r="E95" s="0">
        <f>[1]!s_west_instnum_np($A95,YEAR($B95),$B95,180)</f>
        <v/>
      </c>
      <c r="F95" s="0">
        <f>[1]!s_west_stdnetprofit($A95,YEAR($B95),$B95,180,1000000)</f>
        <v/>
      </c>
      <c r="G95" s="0">
        <f>[1]!s_west_mediannetprofit($A95,YEAR($B95),$B95,180,1000000)</f>
        <v/>
      </c>
      <c r="H95" s="0">
        <f>[1]!s_west_netprofit($A95,YEAR($B95)+1,$B95,180,1000000)</f>
        <v/>
      </c>
      <c r="I95" s="0">
        <f>[1]!s_west_eps($A95,YEAR($B95)+1,$B95,180)</f>
        <v/>
      </c>
      <c r="J95" s="0">
        <f>[1]!s_west_instnum_np($A95,YEAR($B95)+1,$B95,180)</f>
        <v/>
      </c>
      <c r="K95" s="0">
        <f>[1]!s_west_stdnetprofit($A95,YEAR($B95)+1,$B95,180,1000000)</f>
        <v/>
      </c>
      <c r="L95" s="0">
        <f>[1]!s_west_mediannetprofit($A95,YEAR($B95)+1,$B95,180,1000000)</f>
        <v/>
      </c>
      <c r="M95" s="0">
        <f>[1]!s_dq_close($A95,$B95,3)</f>
        <v/>
      </c>
      <c r="N95" s="0">
        <f>[1]!s_dq_volume($A95,$B95)</f>
        <v/>
      </c>
      <c r="O95" s="0">
        <f>[1]!s_dq_amount($A95,$B95)</f>
        <v/>
      </c>
      <c r="P95" s="0">
        <f>[1]!s_dq_turn($A95,$B95)</f>
        <v/>
      </c>
      <c r="Q95" s="0">
        <f>[1]!s_val_pe_ttm($A95,$B95)</f>
        <v/>
      </c>
      <c r="R95" s="0">
        <f>[1]!S_VAL_MV($A95,$B95,100000000)</f>
        <v/>
      </c>
    </row>
    <row r="96">
      <c r="A96" s="0">
        <f>_meta!A95</f>
        <v/>
      </c>
      <c r="B96" s="0">
        <f>$B$1</f>
        <v/>
      </c>
      <c r="C96" s="0">
        <f>[1]!s_west_netprofit($A96,YEAR($B96),$B96,180,1000000)</f>
        <v/>
      </c>
      <c r="D96" s="0">
        <f>[1]!s_west_eps($A96,YEAR($B96),$B96,180)</f>
        <v/>
      </c>
      <c r="E96" s="0">
        <f>[1]!s_west_instnum_np($A96,YEAR($B96),$B96,180)</f>
        <v/>
      </c>
      <c r="F96" s="0">
        <f>[1]!s_west_stdnetprofit($A96,YEAR($B96),$B96,180,1000000)</f>
        <v/>
      </c>
      <c r="G96" s="0">
        <f>[1]!s_west_mediannetprofit($A96,YEAR($B96),$B96,180,1000000)</f>
        <v/>
      </c>
      <c r="H96" s="0">
        <f>[1]!s_west_netprofit($A96,YEAR($B96)+1,$B96,180,1000000)</f>
        <v/>
      </c>
      <c r="I96" s="0">
        <f>[1]!s_west_eps($A96,YEAR($B96)+1,$B96,180)</f>
        <v/>
      </c>
      <c r="J96" s="0">
        <f>[1]!s_west_instnum_np($A96,YEAR($B96)+1,$B96,180)</f>
        <v/>
      </c>
      <c r="K96" s="0">
        <f>[1]!s_west_stdnetprofit($A96,YEAR($B96)+1,$B96,180,1000000)</f>
        <v/>
      </c>
      <c r="L96" s="0">
        <f>[1]!s_west_mediannetprofit($A96,YEAR($B96)+1,$B96,180,1000000)</f>
        <v/>
      </c>
      <c r="M96" s="0">
        <f>[1]!s_dq_close($A96,$B96,3)</f>
        <v/>
      </c>
      <c r="N96" s="0">
        <f>[1]!s_dq_volume($A96,$B96)</f>
        <v/>
      </c>
      <c r="O96" s="0">
        <f>[1]!s_dq_amount($A96,$B96)</f>
        <v/>
      </c>
      <c r="P96" s="0">
        <f>[1]!s_dq_turn($A96,$B96)</f>
        <v/>
      </c>
      <c r="Q96" s="0">
        <f>[1]!s_val_pe_ttm($A96,$B96)</f>
        <v/>
      </c>
      <c r="R96" s="0">
        <f>[1]!S_VAL_MV($A96,$B96,100000000)</f>
        <v/>
      </c>
    </row>
    <row r="97">
      <c r="A97" s="0">
        <f>_meta!A96</f>
        <v/>
      </c>
      <c r="B97" s="0">
        <f>$B$1</f>
        <v/>
      </c>
      <c r="C97" s="0">
        <f>[1]!s_west_netprofit($A97,YEAR($B97),$B97,180,1000000)</f>
        <v/>
      </c>
      <c r="D97" s="0">
        <f>[1]!s_west_eps($A97,YEAR($B97),$B97,180)</f>
        <v/>
      </c>
      <c r="E97" s="0">
        <f>[1]!s_west_instnum_np($A97,YEAR($B97),$B97,180)</f>
        <v/>
      </c>
      <c r="F97" s="0">
        <f>[1]!s_west_stdnetprofit($A97,YEAR($B97),$B97,180,1000000)</f>
        <v/>
      </c>
      <c r="G97" s="0">
        <f>[1]!s_west_mediannetprofit($A97,YEAR($B97),$B97,180,1000000)</f>
        <v/>
      </c>
      <c r="H97" s="0">
        <f>[1]!s_west_netprofit($A97,YEAR($B97)+1,$B97,180,1000000)</f>
        <v/>
      </c>
      <c r="I97" s="0">
        <f>[1]!s_west_eps($A97,YEAR($B97)+1,$B97,180)</f>
        <v/>
      </c>
      <c r="J97" s="0">
        <f>[1]!s_west_instnum_np($A97,YEAR($B97)+1,$B97,180)</f>
        <v/>
      </c>
      <c r="K97" s="0">
        <f>[1]!s_west_stdnetprofit($A97,YEAR($B97)+1,$B97,180,1000000)</f>
        <v/>
      </c>
      <c r="L97" s="0">
        <f>[1]!s_west_mediannetprofit($A97,YEAR($B97)+1,$B97,180,1000000)</f>
        <v/>
      </c>
      <c r="M97" s="0">
        <f>[1]!s_dq_close($A97,$B97,3)</f>
        <v/>
      </c>
      <c r="N97" s="0">
        <f>[1]!s_dq_volume($A97,$B97)</f>
        <v/>
      </c>
      <c r="O97" s="0">
        <f>[1]!s_dq_amount($A97,$B97)</f>
        <v/>
      </c>
      <c r="P97" s="0">
        <f>[1]!s_dq_turn($A97,$B97)</f>
        <v/>
      </c>
      <c r="Q97" s="0">
        <f>[1]!s_val_pe_ttm($A97,$B97)</f>
        <v/>
      </c>
      <c r="R97" s="0">
        <f>[1]!S_VAL_MV($A97,$B97,100000000)</f>
        <v/>
      </c>
    </row>
    <row r="98">
      <c r="A98" s="0">
        <f>_meta!A97</f>
        <v/>
      </c>
      <c r="B98" s="0">
        <f>$B$1</f>
        <v/>
      </c>
      <c r="C98" s="0">
        <f>[1]!s_west_netprofit($A98,YEAR($B98),$B98,180,1000000)</f>
        <v/>
      </c>
      <c r="D98" s="0">
        <f>[1]!s_west_eps($A98,YEAR($B98),$B98,180)</f>
        <v/>
      </c>
      <c r="E98" s="0">
        <f>[1]!s_west_instnum_np($A98,YEAR($B98),$B98,180)</f>
        <v/>
      </c>
      <c r="F98" s="0">
        <f>[1]!s_west_stdnetprofit($A98,YEAR($B98),$B98,180,1000000)</f>
        <v/>
      </c>
      <c r="G98" s="0">
        <f>[1]!s_west_mediannetprofit($A98,YEAR($B98),$B98,180,1000000)</f>
        <v/>
      </c>
      <c r="H98" s="0">
        <f>[1]!s_west_netprofit($A98,YEAR($B98)+1,$B98,180,1000000)</f>
        <v/>
      </c>
      <c r="I98" s="0">
        <f>[1]!s_west_eps($A98,YEAR($B98)+1,$B98,180)</f>
        <v/>
      </c>
      <c r="J98" s="0">
        <f>[1]!s_west_instnum_np($A98,YEAR($B98)+1,$B98,180)</f>
        <v/>
      </c>
      <c r="K98" s="0">
        <f>[1]!s_west_stdnetprofit($A98,YEAR($B98)+1,$B98,180,1000000)</f>
        <v/>
      </c>
      <c r="L98" s="0">
        <f>[1]!s_west_mediannetprofit($A98,YEAR($B98)+1,$B98,180,1000000)</f>
        <v/>
      </c>
      <c r="M98" s="0">
        <f>[1]!s_dq_close($A98,$B98,3)</f>
        <v/>
      </c>
      <c r="N98" s="0">
        <f>[1]!s_dq_volume($A98,$B98)</f>
        <v/>
      </c>
      <c r="O98" s="0">
        <f>[1]!s_dq_amount($A98,$B98)</f>
        <v/>
      </c>
      <c r="P98" s="0">
        <f>[1]!s_dq_turn($A98,$B98)</f>
        <v/>
      </c>
      <c r="Q98" s="0">
        <f>[1]!s_val_pe_ttm($A98,$B98)</f>
        <v/>
      </c>
      <c r="R98" s="0">
        <f>[1]!S_VAL_MV($A98,$B98,100000000)</f>
        <v/>
      </c>
    </row>
    <row r="99">
      <c r="A99" s="0">
        <f>_meta!A98</f>
        <v/>
      </c>
      <c r="B99" s="0">
        <f>$B$1</f>
        <v/>
      </c>
      <c r="C99" s="0">
        <f>[1]!s_west_netprofit($A99,YEAR($B99),$B99,180,1000000)</f>
        <v/>
      </c>
      <c r="D99" s="0">
        <f>[1]!s_west_eps($A99,YEAR($B99),$B99,180)</f>
        <v/>
      </c>
      <c r="E99" s="0">
        <f>[1]!s_west_instnum_np($A99,YEAR($B99),$B99,180)</f>
        <v/>
      </c>
      <c r="F99" s="0">
        <f>[1]!s_west_stdnetprofit($A99,YEAR($B99),$B99,180,1000000)</f>
        <v/>
      </c>
      <c r="G99" s="0">
        <f>[1]!s_west_mediannetprofit($A99,YEAR($B99),$B99,180,1000000)</f>
        <v/>
      </c>
      <c r="H99" s="0">
        <f>[1]!s_west_netprofit($A99,YEAR($B99)+1,$B99,180,1000000)</f>
        <v/>
      </c>
      <c r="I99" s="0">
        <f>[1]!s_west_eps($A99,YEAR($B99)+1,$B99,180)</f>
        <v/>
      </c>
      <c r="J99" s="0">
        <f>[1]!s_west_instnum_np($A99,YEAR($B99)+1,$B99,180)</f>
        <v/>
      </c>
      <c r="K99" s="0">
        <f>[1]!s_west_stdnetprofit($A99,YEAR($B99)+1,$B99,180,1000000)</f>
        <v/>
      </c>
      <c r="L99" s="0">
        <f>[1]!s_west_mediannetprofit($A99,YEAR($B99)+1,$B99,180,1000000)</f>
        <v/>
      </c>
      <c r="M99" s="0">
        <f>[1]!s_dq_close($A99,$B99,3)</f>
        <v/>
      </c>
      <c r="N99" s="0">
        <f>[1]!s_dq_volume($A99,$B99)</f>
        <v/>
      </c>
      <c r="O99" s="0">
        <f>[1]!s_dq_amount($A99,$B99)</f>
        <v/>
      </c>
      <c r="P99" s="0">
        <f>[1]!s_dq_turn($A99,$B99)</f>
        <v/>
      </c>
      <c r="Q99" s="0">
        <f>[1]!s_val_pe_ttm($A99,$B99)</f>
        <v/>
      </c>
      <c r="R99" s="0">
        <f>[1]!S_VAL_MV($A99,$B99,100000000)</f>
        <v/>
      </c>
    </row>
    <row r="100">
      <c r="A100" s="0">
        <f>_meta!A99</f>
        <v/>
      </c>
      <c r="B100" s="0">
        <f>$B$1</f>
        <v/>
      </c>
      <c r="C100" s="0">
        <f>[1]!s_west_netprofit($A100,YEAR($B100),$B100,180,1000000)</f>
        <v/>
      </c>
      <c r="D100" s="0">
        <f>[1]!s_west_eps($A100,YEAR($B100),$B100,180)</f>
        <v/>
      </c>
      <c r="E100" s="0">
        <f>[1]!s_west_instnum_np($A100,YEAR($B100),$B100,180)</f>
        <v/>
      </c>
      <c r="F100" s="0">
        <f>[1]!s_west_stdnetprofit($A100,YEAR($B100),$B100,180,1000000)</f>
        <v/>
      </c>
      <c r="G100" s="0">
        <f>[1]!s_west_mediannetprofit($A100,YEAR($B100),$B100,180,1000000)</f>
        <v/>
      </c>
      <c r="H100" s="0">
        <f>[1]!s_west_netprofit($A100,YEAR($B100)+1,$B100,180,1000000)</f>
        <v/>
      </c>
      <c r="I100" s="0">
        <f>[1]!s_west_eps($A100,YEAR($B100)+1,$B100,180)</f>
        <v/>
      </c>
      <c r="J100" s="0">
        <f>[1]!s_west_instnum_np($A100,YEAR($B100)+1,$B100,180)</f>
        <v/>
      </c>
      <c r="K100" s="0">
        <f>[1]!s_west_stdnetprofit($A100,YEAR($B100)+1,$B100,180,1000000)</f>
        <v/>
      </c>
      <c r="L100" s="0">
        <f>[1]!s_west_mediannetprofit($A100,YEAR($B100)+1,$B100,180,1000000)</f>
        <v/>
      </c>
      <c r="M100" s="0">
        <f>[1]!s_dq_close($A100,$B100,3)</f>
        <v/>
      </c>
      <c r="N100" s="0">
        <f>[1]!s_dq_volume($A100,$B100)</f>
        <v/>
      </c>
      <c r="O100" s="0">
        <f>[1]!s_dq_amount($A100,$B100)</f>
        <v/>
      </c>
      <c r="P100" s="0">
        <f>[1]!s_dq_turn($A100,$B100)</f>
        <v/>
      </c>
      <c r="Q100" s="0">
        <f>[1]!s_val_pe_ttm($A100,$B100)</f>
        <v/>
      </c>
      <c r="R100" s="0">
        <f>[1]!S_VAL_MV($A100,$B100,100000000)</f>
        <v/>
      </c>
    </row>
    <row r="101">
      <c r="A101" s="0">
        <f>_meta!A100</f>
        <v/>
      </c>
      <c r="B101" s="0">
        <f>$B$1</f>
        <v/>
      </c>
      <c r="C101" s="0">
        <f>[1]!s_west_netprofit($A101,YEAR($B101),$B101,180,1000000)</f>
        <v/>
      </c>
      <c r="D101" s="0">
        <f>[1]!s_west_eps($A101,YEAR($B101),$B101,180)</f>
        <v/>
      </c>
      <c r="E101" s="0">
        <f>[1]!s_west_instnum_np($A101,YEAR($B101),$B101,180)</f>
        <v/>
      </c>
      <c r="F101" s="0">
        <f>[1]!s_west_stdnetprofit($A101,YEAR($B101),$B101,180,1000000)</f>
        <v/>
      </c>
      <c r="G101" s="0">
        <f>[1]!s_west_mediannetprofit($A101,YEAR($B101),$B101,180,1000000)</f>
        <v/>
      </c>
      <c r="H101" s="0">
        <f>[1]!s_west_netprofit($A101,YEAR($B101)+1,$B101,180,1000000)</f>
        <v/>
      </c>
      <c r="I101" s="0">
        <f>[1]!s_west_eps($A101,YEAR($B101)+1,$B101,180)</f>
        <v/>
      </c>
      <c r="J101" s="0">
        <f>[1]!s_west_instnum_np($A101,YEAR($B101)+1,$B101,180)</f>
        <v/>
      </c>
      <c r="K101" s="0">
        <f>[1]!s_west_stdnetprofit($A101,YEAR($B101)+1,$B101,180,1000000)</f>
        <v/>
      </c>
      <c r="L101" s="0">
        <f>[1]!s_west_mediannetprofit($A101,YEAR($B101)+1,$B101,180,1000000)</f>
        <v/>
      </c>
      <c r="M101" s="0">
        <f>[1]!s_dq_close($A101,$B101,3)</f>
        <v/>
      </c>
      <c r="N101" s="0">
        <f>[1]!s_dq_volume($A101,$B101)</f>
        <v/>
      </c>
      <c r="O101" s="0">
        <f>[1]!s_dq_amount($A101,$B101)</f>
        <v/>
      </c>
      <c r="P101" s="0">
        <f>[1]!s_dq_turn($A101,$B101)</f>
        <v/>
      </c>
      <c r="Q101" s="0">
        <f>[1]!s_val_pe_ttm($A101,$B101)</f>
        <v/>
      </c>
      <c r="R101" s="0">
        <f>[1]!S_VAL_MV($A101,$B101,100000000)</f>
        <v/>
      </c>
    </row>
    <row r="102">
      <c r="A102" s="0">
        <f>_meta!A101</f>
        <v/>
      </c>
      <c r="B102" s="0">
        <f>$B$1</f>
        <v/>
      </c>
      <c r="C102" s="0">
        <f>[1]!s_west_netprofit($A102,YEAR($B102),$B102,180,1000000)</f>
        <v/>
      </c>
      <c r="D102" s="0">
        <f>[1]!s_west_eps($A102,YEAR($B102),$B102,180)</f>
        <v/>
      </c>
      <c r="E102" s="0">
        <f>[1]!s_west_instnum_np($A102,YEAR($B102),$B102,180)</f>
        <v/>
      </c>
      <c r="F102" s="0">
        <f>[1]!s_west_stdnetprofit($A102,YEAR($B102),$B102,180,1000000)</f>
        <v/>
      </c>
      <c r="G102" s="0">
        <f>[1]!s_west_mediannetprofit($A102,YEAR($B102),$B102,180,1000000)</f>
        <v/>
      </c>
      <c r="H102" s="0">
        <f>[1]!s_west_netprofit($A102,YEAR($B102)+1,$B102,180,1000000)</f>
        <v/>
      </c>
      <c r="I102" s="0">
        <f>[1]!s_west_eps($A102,YEAR($B102)+1,$B102,180)</f>
        <v/>
      </c>
      <c r="J102" s="0">
        <f>[1]!s_west_instnum_np($A102,YEAR($B102)+1,$B102,180)</f>
        <v/>
      </c>
      <c r="K102" s="0">
        <f>[1]!s_west_stdnetprofit($A102,YEAR($B102)+1,$B102,180,1000000)</f>
        <v/>
      </c>
      <c r="L102" s="0">
        <f>[1]!s_west_mediannetprofit($A102,YEAR($B102)+1,$B102,180,1000000)</f>
        <v/>
      </c>
      <c r="M102" s="0">
        <f>[1]!s_dq_close($A102,$B102,3)</f>
        <v/>
      </c>
      <c r="N102" s="0">
        <f>[1]!s_dq_volume($A102,$B102)</f>
        <v/>
      </c>
      <c r="O102" s="0">
        <f>[1]!s_dq_amount($A102,$B102)</f>
        <v/>
      </c>
      <c r="P102" s="0">
        <f>[1]!s_dq_turn($A102,$B102)</f>
        <v/>
      </c>
      <c r="Q102" s="0">
        <f>[1]!s_val_pe_ttm($A102,$B102)</f>
        <v/>
      </c>
      <c r="R102" s="0">
        <f>[1]!S_VAL_MV($A102,$B102,100000000)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cols>
    <col width="11" customWidth="1" style="35" min="1" max="1"/>
    <col width="16" customWidth="1" style="35" min="2" max="2"/>
  </cols>
  <sheetData>
    <row r="1">
      <c r="A1" s="37" t="inlineStr">
        <is>
          <t>基准日→</t>
        </is>
      </c>
      <c r="B1" s="0">
        <f>TODAY()</f>
        <v/>
      </c>
    </row>
    <row r="2">
      <c r="A2" s="36" t="inlineStr">
        <is>
          <t>代码</t>
        </is>
      </c>
      <c r="B2" s="36" t="inlineStr">
        <is>
          <t>公司名</t>
        </is>
      </c>
      <c r="C2" s="36" t="inlineStr">
        <is>
          <t>申万一级</t>
        </is>
      </c>
      <c r="D2" s="36" t="inlineStr">
        <is>
          <t>申万二级</t>
        </is>
      </c>
      <c r="E2" s="36" t="inlineStr">
        <is>
          <t>上市日期</t>
        </is>
      </c>
    </row>
    <row r="3">
      <c r="A3" s="0">
        <f>_meta!A2</f>
        <v/>
      </c>
      <c r="B3" s="0">
        <f>[1]!S_INFO_NAME($A3)</f>
        <v/>
      </c>
      <c r="C3" s="0">
        <f>[1]!hks_info_industry_sw_2021($A3,$B$1,1)</f>
        <v/>
      </c>
      <c r="D3" s="0">
        <f>[1]!hks_info_industry_sw_2021($A3,$B$1,2)</f>
        <v/>
      </c>
      <c r="E3" s="0">
        <f>[1]!s_ipo_listeddate($A3)</f>
        <v/>
      </c>
    </row>
    <row r="4">
      <c r="A4" s="0">
        <f>_meta!A3</f>
        <v/>
      </c>
      <c r="B4" s="0">
        <f>[1]!S_INFO_NAME($A4)</f>
        <v/>
      </c>
      <c r="C4" s="0">
        <f>[1]!hks_info_industry_sw_2021($A4,$B$1,1)</f>
        <v/>
      </c>
      <c r="D4" s="0">
        <f>[1]!hks_info_industry_sw_2021($A4,$B$1,2)</f>
        <v/>
      </c>
      <c r="E4" s="0">
        <f>[1]!s_ipo_listeddate($A4)</f>
        <v/>
      </c>
    </row>
    <row r="5">
      <c r="A5" s="0">
        <f>_meta!A4</f>
        <v/>
      </c>
      <c r="B5" s="0">
        <f>[1]!S_INFO_NAME($A5)</f>
        <v/>
      </c>
      <c r="C5" s="0">
        <f>[1]!hks_info_industry_sw_2021($A5,$B$1,1)</f>
        <v/>
      </c>
      <c r="D5" s="0">
        <f>[1]!hks_info_industry_sw_2021($A5,$B$1,2)</f>
        <v/>
      </c>
      <c r="E5" s="0">
        <f>[1]!s_ipo_listeddate($A5)</f>
        <v/>
      </c>
    </row>
    <row r="6">
      <c r="A6" s="0">
        <f>_meta!A5</f>
        <v/>
      </c>
      <c r="B6" s="0">
        <f>[1]!S_INFO_NAME($A6)</f>
        <v/>
      </c>
      <c r="C6" s="0">
        <f>[1]!hks_info_industry_sw_2021($A6,$B$1,1)</f>
        <v/>
      </c>
      <c r="D6" s="0">
        <f>[1]!hks_info_industry_sw_2021($A6,$B$1,2)</f>
        <v/>
      </c>
      <c r="E6" s="0">
        <f>[1]!s_ipo_listeddate($A6)</f>
        <v/>
      </c>
    </row>
    <row r="7">
      <c r="A7" s="0">
        <f>_meta!A6</f>
        <v/>
      </c>
      <c r="B7" s="0">
        <f>[1]!S_INFO_NAME($A7)</f>
        <v/>
      </c>
      <c r="C7" s="0">
        <f>[1]!hks_info_industry_sw_2021($A7,$B$1,1)</f>
        <v/>
      </c>
      <c r="D7" s="0">
        <f>[1]!hks_info_industry_sw_2021($A7,$B$1,2)</f>
        <v/>
      </c>
      <c r="E7" s="0">
        <f>[1]!s_ipo_listeddate($A7)</f>
        <v/>
      </c>
    </row>
    <row r="8">
      <c r="A8" s="0">
        <f>_meta!A7</f>
        <v/>
      </c>
      <c r="B8" s="0">
        <f>[1]!S_INFO_NAME($A8)</f>
        <v/>
      </c>
      <c r="C8" s="0">
        <f>[1]!hks_info_industry_sw_2021($A8,$B$1,1)</f>
        <v/>
      </c>
      <c r="D8" s="0">
        <f>[1]!hks_info_industry_sw_2021($A8,$B$1,2)</f>
        <v/>
      </c>
      <c r="E8" s="0">
        <f>[1]!s_ipo_listeddate($A8)</f>
        <v/>
      </c>
    </row>
    <row r="9">
      <c r="A9" s="0">
        <f>_meta!A8</f>
        <v/>
      </c>
      <c r="B9" s="0">
        <f>[1]!S_INFO_NAME($A9)</f>
        <v/>
      </c>
      <c r="C9" s="0">
        <f>[1]!hks_info_industry_sw_2021($A9,$B$1,1)</f>
        <v/>
      </c>
      <c r="D9" s="0">
        <f>[1]!hks_info_industry_sw_2021($A9,$B$1,2)</f>
        <v/>
      </c>
      <c r="E9" s="0">
        <f>[1]!s_ipo_listeddate($A9)</f>
        <v/>
      </c>
    </row>
    <row r="10">
      <c r="A10" s="0">
        <f>_meta!A9</f>
        <v/>
      </c>
      <c r="B10" s="0">
        <f>[1]!S_INFO_NAME($A10)</f>
        <v/>
      </c>
      <c r="C10" s="0">
        <f>[1]!hks_info_industry_sw_2021($A10,$B$1,1)</f>
        <v/>
      </c>
      <c r="D10" s="0">
        <f>[1]!hks_info_industry_sw_2021($A10,$B$1,2)</f>
        <v/>
      </c>
      <c r="E10" s="0">
        <f>[1]!s_ipo_listeddate($A10)</f>
        <v/>
      </c>
    </row>
    <row r="11">
      <c r="A11" s="0">
        <f>_meta!A10</f>
        <v/>
      </c>
      <c r="B11" s="0">
        <f>[1]!S_INFO_NAME($A11)</f>
        <v/>
      </c>
      <c r="C11" s="0">
        <f>[1]!hks_info_industry_sw_2021($A11,$B$1,1)</f>
        <v/>
      </c>
      <c r="D11" s="0">
        <f>[1]!hks_info_industry_sw_2021($A11,$B$1,2)</f>
        <v/>
      </c>
      <c r="E11" s="0">
        <f>[1]!s_ipo_listeddate($A11)</f>
        <v/>
      </c>
    </row>
    <row r="12">
      <c r="A12" s="0">
        <f>_meta!A11</f>
        <v/>
      </c>
      <c r="B12" s="0">
        <f>[1]!S_INFO_NAME($A12)</f>
        <v/>
      </c>
      <c r="C12" s="0">
        <f>[1]!hks_info_industry_sw_2021($A12,$B$1,1)</f>
        <v/>
      </c>
      <c r="D12" s="0">
        <f>[1]!hks_info_industry_sw_2021($A12,$B$1,2)</f>
        <v/>
      </c>
      <c r="E12" s="0">
        <f>[1]!s_ipo_listeddate($A12)</f>
        <v/>
      </c>
    </row>
    <row r="13">
      <c r="A13" s="0">
        <f>_meta!A12</f>
        <v/>
      </c>
      <c r="B13" s="0">
        <f>[1]!S_INFO_NAME($A13)</f>
        <v/>
      </c>
      <c r="C13" s="0">
        <f>[1]!hks_info_industry_sw_2021($A13,$B$1,1)</f>
        <v/>
      </c>
      <c r="D13" s="0">
        <f>[1]!hks_info_industry_sw_2021($A13,$B$1,2)</f>
        <v/>
      </c>
      <c r="E13" s="0">
        <f>[1]!s_ipo_listeddate($A13)</f>
        <v/>
      </c>
    </row>
    <row r="14">
      <c r="A14" s="0">
        <f>_meta!A13</f>
        <v/>
      </c>
      <c r="B14" s="0">
        <f>[1]!S_INFO_NAME($A14)</f>
        <v/>
      </c>
      <c r="C14" s="0">
        <f>[1]!hks_info_industry_sw_2021($A14,$B$1,1)</f>
        <v/>
      </c>
      <c r="D14" s="0">
        <f>[1]!hks_info_industry_sw_2021($A14,$B$1,2)</f>
        <v/>
      </c>
      <c r="E14" s="0">
        <f>[1]!s_ipo_listeddate($A14)</f>
        <v/>
      </c>
    </row>
    <row r="15">
      <c r="A15" s="0">
        <f>_meta!A14</f>
        <v/>
      </c>
      <c r="B15" s="0">
        <f>[1]!S_INFO_NAME($A15)</f>
        <v/>
      </c>
      <c r="C15" s="0">
        <f>[1]!hks_info_industry_sw_2021($A15,$B$1,1)</f>
        <v/>
      </c>
      <c r="D15" s="0">
        <f>[1]!hks_info_industry_sw_2021($A15,$B$1,2)</f>
        <v/>
      </c>
      <c r="E15" s="0">
        <f>[1]!s_ipo_listeddate($A15)</f>
        <v/>
      </c>
    </row>
    <row r="16">
      <c r="A16" s="0">
        <f>_meta!A15</f>
        <v/>
      </c>
      <c r="B16" s="0">
        <f>[1]!S_INFO_NAME($A16)</f>
        <v/>
      </c>
      <c r="C16" s="0">
        <f>[1]!hks_info_industry_sw_2021($A16,$B$1,1)</f>
        <v/>
      </c>
      <c r="D16" s="0">
        <f>[1]!hks_info_industry_sw_2021($A16,$B$1,2)</f>
        <v/>
      </c>
      <c r="E16" s="0">
        <f>[1]!s_ipo_listeddate($A16)</f>
        <v/>
      </c>
    </row>
    <row r="17">
      <c r="A17" s="0">
        <f>_meta!A16</f>
        <v/>
      </c>
      <c r="B17" s="0">
        <f>[1]!S_INFO_NAME($A17)</f>
        <v/>
      </c>
      <c r="C17" s="0">
        <f>[1]!hks_info_industry_sw_2021($A17,$B$1,1)</f>
        <v/>
      </c>
      <c r="D17" s="0">
        <f>[1]!hks_info_industry_sw_2021($A17,$B$1,2)</f>
        <v/>
      </c>
      <c r="E17" s="0">
        <f>[1]!s_ipo_listeddate($A17)</f>
        <v/>
      </c>
    </row>
    <row r="18">
      <c r="A18" s="0">
        <f>_meta!A17</f>
        <v/>
      </c>
      <c r="B18" s="0">
        <f>[1]!S_INFO_NAME($A18)</f>
        <v/>
      </c>
      <c r="C18" s="0">
        <f>[1]!hks_info_industry_sw_2021($A18,$B$1,1)</f>
        <v/>
      </c>
      <c r="D18" s="0">
        <f>[1]!hks_info_industry_sw_2021($A18,$B$1,2)</f>
        <v/>
      </c>
      <c r="E18" s="0">
        <f>[1]!s_ipo_listeddate($A18)</f>
        <v/>
      </c>
    </row>
    <row r="19">
      <c r="A19" s="0">
        <f>_meta!A18</f>
        <v/>
      </c>
      <c r="B19" s="0">
        <f>[1]!S_INFO_NAME($A19)</f>
        <v/>
      </c>
      <c r="C19" s="0">
        <f>[1]!hks_info_industry_sw_2021($A19,$B$1,1)</f>
        <v/>
      </c>
      <c r="D19" s="0">
        <f>[1]!hks_info_industry_sw_2021($A19,$B$1,2)</f>
        <v/>
      </c>
      <c r="E19" s="0">
        <f>[1]!s_ipo_listeddate($A19)</f>
        <v/>
      </c>
    </row>
    <row r="20">
      <c r="A20" s="0">
        <f>_meta!A19</f>
        <v/>
      </c>
      <c r="B20" s="0">
        <f>[1]!S_INFO_NAME($A20)</f>
        <v/>
      </c>
      <c r="C20" s="0">
        <f>[1]!hks_info_industry_sw_2021($A20,$B$1,1)</f>
        <v/>
      </c>
      <c r="D20" s="0">
        <f>[1]!hks_info_industry_sw_2021($A20,$B$1,2)</f>
        <v/>
      </c>
      <c r="E20" s="0">
        <f>[1]!s_ipo_listeddate($A20)</f>
        <v/>
      </c>
    </row>
    <row r="21">
      <c r="A21" s="0">
        <f>_meta!A20</f>
        <v/>
      </c>
      <c r="B21" s="0">
        <f>[1]!S_INFO_NAME($A21)</f>
        <v/>
      </c>
      <c r="C21" s="0">
        <f>[1]!hks_info_industry_sw_2021($A21,$B$1,1)</f>
        <v/>
      </c>
      <c r="D21" s="0">
        <f>[1]!hks_info_industry_sw_2021($A21,$B$1,2)</f>
        <v/>
      </c>
      <c r="E21" s="0">
        <f>[1]!s_ipo_listeddate($A21)</f>
        <v/>
      </c>
    </row>
    <row r="22">
      <c r="A22" s="0">
        <f>_meta!A21</f>
        <v/>
      </c>
      <c r="B22" s="0">
        <f>[1]!S_INFO_NAME($A22)</f>
        <v/>
      </c>
      <c r="C22" s="0">
        <f>[1]!hks_info_industry_sw_2021($A22,$B$1,1)</f>
        <v/>
      </c>
      <c r="D22" s="0">
        <f>[1]!hks_info_industry_sw_2021($A22,$B$1,2)</f>
        <v/>
      </c>
      <c r="E22" s="0">
        <f>[1]!s_ipo_listeddate($A22)</f>
        <v/>
      </c>
    </row>
    <row r="23">
      <c r="A23" s="0">
        <f>_meta!A22</f>
        <v/>
      </c>
      <c r="B23" s="0">
        <f>[1]!S_INFO_NAME($A23)</f>
        <v/>
      </c>
      <c r="C23" s="0">
        <f>[1]!hks_info_industry_sw_2021($A23,$B$1,1)</f>
        <v/>
      </c>
      <c r="D23" s="0">
        <f>[1]!hks_info_industry_sw_2021($A23,$B$1,2)</f>
        <v/>
      </c>
      <c r="E23" s="0">
        <f>[1]!s_ipo_listeddate($A23)</f>
        <v/>
      </c>
    </row>
    <row r="24">
      <c r="A24" s="0">
        <f>_meta!A23</f>
        <v/>
      </c>
      <c r="B24" s="0">
        <f>[1]!S_INFO_NAME($A24)</f>
        <v/>
      </c>
      <c r="C24" s="0">
        <f>[1]!hks_info_industry_sw_2021($A24,$B$1,1)</f>
        <v/>
      </c>
      <c r="D24" s="0">
        <f>[1]!hks_info_industry_sw_2021($A24,$B$1,2)</f>
        <v/>
      </c>
      <c r="E24" s="0">
        <f>[1]!s_ipo_listeddate($A24)</f>
        <v/>
      </c>
    </row>
    <row r="25">
      <c r="A25" s="0">
        <f>_meta!A24</f>
        <v/>
      </c>
      <c r="B25" s="0">
        <f>[1]!S_INFO_NAME($A25)</f>
        <v/>
      </c>
      <c r="C25" s="0">
        <f>[1]!hks_info_industry_sw_2021($A25,$B$1,1)</f>
        <v/>
      </c>
      <c r="D25" s="0">
        <f>[1]!hks_info_industry_sw_2021($A25,$B$1,2)</f>
        <v/>
      </c>
      <c r="E25" s="0">
        <f>[1]!s_ipo_listeddate($A25)</f>
        <v/>
      </c>
    </row>
    <row r="26">
      <c r="A26" s="0">
        <f>_meta!A25</f>
        <v/>
      </c>
      <c r="B26" s="0">
        <f>[1]!S_INFO_NAME($A26)</f>
        <v/>
      </c>
      <c r="C26" s="0">
        <f>[1]!hks_info_industry_sw_2021($A26,$B$1,1)</f>
        <v/>
      </c>
      <c r="D26" s="0">
        <f>[1]!hks_info_industry_sw_2021($A26,$B$1,2)</f>
        <v/>
      </c>
      <c r="E26" s="0">
        <f>[1]!s_ipo_listeddate($A26)</f>
        <v/>
      </c>
    </row>
    <row r="27">
      <c r="A27" s="0">
        <f>_meta!A26</f>
        <v/>
      </c>
      <c r="B27" s="0">
        <f>[1]!S_INFO_NAME($A27)</f>
        <v/>
      </c>
      <c r="C27" s="0">
        <f>[1]!hks_info_industry_sw_2021($A27,$B$1,1)</f>
        <v/>
      </c>
      <c r="D27" s="0">
        <f>[1]!hks_info_industry_sw_2021($A27,$B$1,2)</f>
        <v/>
      </c>
      <c r="E27" s="0">
        <f>[1]!s_ipo_listeddate($A27)</f>
        <v/>
      </c>
    </row>
    <row r="28">
      <c r="A28" s="0">
        <f>_meta!A27</f>
        <v/>
      </c>
      <c r="B28" s="0">
        <f>[1]!S_INFO_NAME($A28)</f>
        <v/>
      </c>
      <c r="C28" s="0">
        <f>[1]!hks_info_industry_sw_2021($A28,$B$1,1)</f>
        <v/>
      </c>
      <c r="D28" s="0">
        <f>[1]!hks_info_industry_sw_2021($A28,$B$1,2)</f>
        <v/>
      </c>
      <c r="E28" s="0">
        <f>[1]!s_ipo_listeddate($A28)</f>
        <v/>
      </c>
    </row>
    <row r="29">
      <c r="A29" s="0">
        <f>_meta!A28</f>
        <v/>
      </c>
      <c r="B29" s="0">
        <f>[1]!S_INFO_NAME($A29)</f>
        <v/>
      </c>
      <c r="C29" s="0">
        <f>[1]!hks_info_industry_sw_2021($A29,$B$1,1)</f>
        <v/>
      </c>
      <c r="D29" s="0">
        <f>[1]!hks_info_industry_sw_2021($A29,$B$1,2)</f>
        <v/>
      </c>
      <c r="E29" s="0">
        <f>[1]!s_ipo_listeddate($A29)</f>
        <v/>
      </c>
    </row>
    <row r="30">
      <c r="A30" s="0">
        <f>_meta!A29</f>
        <v/>
      </c>
      <c r="B30" s="0">
        <f>[1]!S_INFO_NAME($A30)</f>
        <v/>
      </c>
      <c r="C30" s="0">
        <f>[1]!hks_info_industry_sw_2021($A30,$B$1,1)</f>
        <v/>
      </c>
      <c r="D30" s="0">
        <f>[1]!hks_info_industry_sw_2021($A30,$B$1,2)</f>
        <v/>
      </c>
      <c r="E30" s="0">
        <f>[1]!s_ipo_listeddate($A30)</f>
        <v/>
      </c>
    </row>
    <row r="31">
      <c r="A31" s="0">
        <f>_meta!A30</f>
        <v/>
      </c>
      <c r="B31" s="0">
        <f>[1]!S_INFO_NAME($A31)</f>
        <v/>
      </c>
      <c r="C31" s="0">
        <f>[1]!hks_info_industry_sw_2021($A31,$B$1,1)</f>
        <v/>
      </c>
      <c r="D31" s="0">
        <f>[1]!hks_info_industry_sw_2021($A31,$B$1,2)</f>
        <v/>
      </c>
      <c r="E31" s="0">
        <f>[1]!s_ipo_listeddate($A31)</f>
        <v/>
      </c>
    </row>
    <row r="32">
      <c r="A32" s="0">
        <f>_meta!A31</f>
        <v/>
      </c>
      <c r="B32" s="0">
        <f>[1]!S_INFO_NAME($A32)</f>
        <v/>
      </c>
      <c r="C32" s="0">
        <f>[1]!hks_info_industry_sw_2021($A32,$B$1,1)</f>
        <v/>
      </c>
      <c r="D32" s="0">
        <f>[1]!hks_info_industry_sw_2021($A32,$B$1,2)</f>
        <v/>
      </c>
      <c r="E32" s="0">
        <f>[1]!s_ipo_listeddate($A32)</f>
        <v/>
      </c>
    </row>
    <row r="33">
      <c r="A33" s="0">
        <f>_meta!A32</f>
        <v/>
      </c>
      <c r="B33" s="0">
        <f>[1]!S_INFO_NAME($A33)</f>
        <v/>
      </c>
      <c r="C33" s="0">
        <f>[1]!hks_info_industry_sw_2021($A33,$B$1,1)</f>
        <v/>
      </c>
      <c r="D33" s="0">
        <f>[1]!hks_info_industry_sw_2021($A33,$B$1,2)</f>
        <v/>
      </c>
      <c r="E33" s="0">
        <f>[1]!s_ipo_listeddate($A33)</f>
        <v/>
      </c>
    </row>
    <row r="34">
      <c r="A34" s="0">
        <f>_meta!A33</f>
        <v/>
      </c>
      <c r="B34" s="0">
        <f>[1]!S_INFO_NAME($A34)</f>
        <v/>
      </c>
      <c r="C34" s="0">
        <f>[1]!hks_info_industry_sw_2021($A34,$B$1,1)</f>
        <v/>
      </c>
      <c r="D34" s="0">
        <f>[1]!hks_info_industry_sw_2021($A34,$B$1,2)</f>
        <v/>
      </c>
      <c r="E34" s="0">
        <f>[1]!s_ipo_listeddate($A34)</f>
        <v/>
      </c>
    </row>
    <row r="35">
      <c r="A35" s="0">
        <f>_meta!A34</f>
        <v/>
      </c>
      <c r="B35" s="0">
        <f>[1]!S_INFO_NAME($A35)</f>
        <v/>
      </c>
      <c r="C35" s="0">
        <f>[1]!hks_info_industry_sw_2021($A35,$B$1,1)</f>
        <v/>
      </c>
      <c r="D35" s="0">
        <f>[1]!hks_info_industry_sw_2021($A35,$B$1,2)</f>
        <v/>
      </c>
      <c r="E35" s="0">
        <f>[1]!s_ipo_listeddate($A35)</f>
        <v/>
      </c>
    </row>
    <row r="36">
      <c r="A36" s="0">
        <f>_meta!A35</f>
        <v/>
      </c>
      <c r="B36" s="0">
        <f>[1]!S_INFO_NAME($A36)</f>
        <v/>
      </c>
      <c r="C36" s="0">
        <f>[1]!hks_info_industry_sw_2021($A36,$B$1,1)</f>
        <v/>
      </c>
      <c r="D36" s="0">
        <f>[1]!hks_info_industry_sw_2021($A36,$B$1,2)</f>
        <v/>
      </c>
      <c r="E36" s="0">
        <f>[1]!s_ipo_listeddate($A36)</f>
        <v/>
      </c>
    </row>
    <row r="37">
      <c r="A37" s="0">
        <f>_meta!A36</f>
        <v/>
      </c>
      <c r="B37" s="0">
        <f>[1]!S_INFO_NAME($A37)</f>
        <v/>
      </c>
      <c r="C37" s="0">
        <f>[1]!hks_info_industry_sw_2021($A37,$B$1,1)</f>
        <v/>
      </c>
      <c r="D37" s="0">
        <f>[1]!hks_info_industry_sw_2021($A37,$B$1,2)</f>
        <v/>
      </c>
      <c r="E37" s="0">
        <f>[1]!s_ipo_listeddate($A37)</f>
        <v/>
      </c>
    </row>
    <row r="38">
      <c r="A38" s="0">
        <f>_meta!A37</f>
        <v/>
      </c>
      <c r="B38" s="0">
        <f>[1]!S_INFO_NAME($A38)</f>
        <v/>
      </c>
      <c r="C38" s="0">
        <f>[1]!hks_info_industry_sw_2021($A38,$B$1,1)</f>
        <v/>
      </c>
      <c r="D38" s="0">
        <f>[1]!hks_info_industry_sw_2021($A38,$B$1,2)</f>
        <v/>
      </c>
      <c r="E38" s="0">
        <f>[1]!s_ipo_listeddate($A38)</f>
        <v/>
      </c>
    </row>
    <row r="39">
      <c r="A39" s="0">
        <f>_meta!A38</f>
        <v/>
      </c>
      <c r="B39" s="0">
        <f>[1]!S_INFO_NAME($A39)</f>
        <v/>
      </c>
      <c r="C39" s="0">
        <f>[1]!hks_info_industry_sw_2021($A39,$B$1,1)</f>
        <v/>
      </c>
      <c r="D39" s="0">
        <f>[1]!hks_info_industry_sw_2021($A39,$B$1,2)</f>
        <v/>
      </c>
      <c r="E39" s="0">
        <f>[1]!s_ipo_listeddate($A39)</f>
        <v/>
      </c>
    </row>
    <row r="40">
      <c r="A40" s="0">
        <f>_meta!A39</f>
        <v/>
      </c>
      <c r="B40" s="0">
        <f>[1]!S_INFO_NAME($A40)</f>
        <v/>
      </c>
      <c r="C40" s="0">
        <f>[1]!hks_info_industry_sw_2021($A40,$B$1,1)</f>
        <v/>
      </c>
      <c r="D40" s="0">
        <f>[1]!hks_info_industry_sw_2021($A40,$B$1,2)</f>
        <v/>
      </c>
      <c r="E40" s="0">
        <f>[1]!s_ipo_listeddate($A40)</f>
        <v/>
      </c>
    </row>
    <row r="41">
      <c r="A41" s="0">
        <f>_meta!A40</f>
        <v/>
      </c>
      <c r="B41" s="0">
        <f>[1]!S_INFO_NAME($A41)</f>
        <v/>
      </c>
      <c r="C41" s="0">
        <f>[1]!hks_info_industry_sw_2021($A41,$B$1,1)</f>
        <v/>
      </c>
      <c r="D41" s="0">
        <f>[1]!hks_info_industry_sw_2021($A41,$B$1,2)</f>
        <v/>
      </c>
      <c r="E41" s="0">
        <f>[1]!s_ipo_listeddate($A41)</f>
        <v/>
      </c>
    </row>
    <row r="42">
      <c r="A42" s="0">
        <f>_meta!A41</f>
        <v/>
      </c>
      <c r="B42" s="0">
        <f>[1]!S_INFO_NAME($A42)</f>
        <v/>
      </c>
      <c r="C42" s="0">
        <f>[1]!hks_info_industry_sw_2021($A42,$B$1,1)</f>
        <v/>
      </c>
      <c r="D42" s="0">
        <f>[1]!hks_info_industry_sw_2021($A42,$B$1,2)</f>
        <v/>
      </c>
      <c r="E42" s="0">
        <f>[1]!s_ipo_listeddate($A42)</f>
        <v/>
      </c>
    </row>
    <row r="43">
      <c r="A43" s="0">
        <f>_meta!A42</f>
        <v/>
      </c>
      <c r="B43" s="0">
        <f>[1]!S_INFO_NAME($A43)</f>
        <v/>
      </c>
      <c r="C43" s="0">
        <f>[1]!hks_info_industry_sw_2021($A43,$B$1,1)</f>
        <v/>
      </c>
      <c r="D43" s="0">
        <f>[1]!hks_info_industry_sw_2021($A43,$B$1,2)</f>
        <v/>
      </c>
      <c r="E43" s="0">
        <f>[1]!s_ipo_listeddate($A43)</f>
        <v/>
      </c>
    </row>
    <row r="44">
      <c r="A44" s="0">
        <f>_meta!A43</f>
        <v/>
      </c>
      <c r="B44" s="0">
        <f>[1]!S_INFO_NAME($A44)</f>
        <v/>
      </c>
      <c r="C44" s="0">
        <f>[1]!hks_info_industry_sw_2021($A44,$B$1,1)</f>
        <v/>
      </c>
      <c r="D44" s="0">
        <f>[1]!hks_info_industry_sw_2021($A44,$B$1,2)</f>
        <v/>
      </c>
      <c r="E44" s="0">
        <f>[1]!s_ipo_listeddate($A44)</f>
        <v/>
      </c>
    </row>
    <row r="45">
      <c r="A45" s="0">
        <f>_meta!A44</f>
        <v/>
      </c>
      <c r="B45" s="0">
        <f>[1]!S_INFO_NAME($A45)</f>
        <v/>
      </c>
      <c r="C45" s="0">
        <f>[1]!hks_info_industry_sw_2021($A45,$B$1,1)</f>
        <v/>
      </c>
      <c r="D45" s="0">
        <f>[1]!hks_info_industry_sw_2021($A45,$B$1,2)</f>
        <v/>
      </c>
      <c r="E45" s="0">
        <f>[1]!s_ipo_listeddate($A45)</f>
        <v/>
      </c>
    </row>
    <row r="46">
      <c r="A46" s="0">
        <f>_meta!A45</f>
        <v/>
      </c>
      <c r="B46" s="0">
        <f>[1]!S_INFO_NAME($A46)</f>
        <v/>
      </c>
      <c r="C46" s="0">
        <f>[1]!hks_info_industry_sw_2021($A46,$B$1,1)</f>
        <v/>
      </c>
      <c r="D46" s="0">
        <f>[1]!hks_info_industry_sw_2021($A46,$B$1,2)</f>
        <v/>
      </c>
      <c r="E46" s="0">
        <f>[1]!s_ipo_listeddate($A46)</f>
        <v/>
      </c>
    </row>
    <row r="47">
      <c r="A47" s="0">
        <f>_meta!A46</f>
        <v/>
      </c>
      <c r="B47" s="0">
        <f>[1]!S_INFO_NAME($A47)</f>
        <v/>
      </c>
      <c r="C47" s="0">
        <f>[1]!hks_info_industry_sw_2021($A47,$B$1,1)</f>
        <v/>
      </c>
      <c r="D47" s="0">
        <f>[1]!hks_info_industry_sw_2021($A47,$B$1,2)</f>
        <v/>
      </c>
      <c r="E47" s="0">
        <f>[1]!s_ipo_listeddate($A47)</f>
        <v/>
      </c>
    </row>
    <row r="48">
      <c r="A48" s="0">
        <f>_meta!A47</f>
        <v/>
      </c>
      <c r="B48" s="0">
        <f>[1]!S_INFO_NAME($A48)</f>
        <v/>
      </c>
      <c r="C48" s="0">
        <f>[1]!hks_info_industry_sw_2021($A48,$B$1,1)</f>
        <v/>
      </c>
      <c r="D48" s="0">
        <f>[1]!hks_info_industry_sw_2021($A48,$B$1,2)</f>
        <v/>
      </c>
      <c r="E48" s="0">
        <f>[1]!s_ipo_listeddate($A48)</f>
        <v/>
      </c>
    </row>
    <row r="49">
      <c r="A49" s="0">
        <f>_meta!A48</f>
        <v/>
      </c>
      <c r="B49" s="0">
        <f>[1]!S_INFO_NAME($A49)</f>
        <v/>
      </c>
      <c r="C49" s="0">
        <f>[1]!hks_info_industry_sw_2021($A49,$B$1,1)</f>
        <v/>
      </c>
      <c r="D49" s="0">
        <f>[1]!hks_info_industry_sw_2021($A49,$B$1,2)</f>
        <v/>
      </c>
      <c r="E49" s="0">
        <f>[1]!s_ipo_listeddate($A49)</f>
        <v/>
      </c>
    </row>
    <row r="50">
      <c r="A50" s="0">
        <f>_meta!A49</f>
        <v/>
      </c>
      <c r="B50" s="0">
        <f>[1]!S_INFO_NAME($A50)</f>
        <v/>
      </c>
      <c r="C50" s="0">
        <f>[1]!hks_info_industry_sw_2021($A50,$B$1,1)</f>
        <v/>
      </c>
      <c r="D50" s="0">
        <f>[1]!hks_info_industry_sw_2021($A50,$B$1,2)</f>
        <v/>
      </c>
      <c r="E50" s="0">
        <f>[1]!s_ipo_listeddate($A50)</f>
        <v/>
      </c>
    </row>
    <row r="51">
      <c r="A51" s="0">
        <f>_meta!A50</f>
        <v/>
      </c>
      <c r="B51" s="0">
        <f>[1]!S_INFO_NAME($A51)</f>
        <v/>
      </c>
      <c r="C51" s="0">
        <f>[1]!hks_info_industry_sw_2021($A51,$B$1,1)</f>
        <v/>
      </c>
      <c r="D51" s="0">
        <f>[1]!hks_info_industry_sw_2021($A51,$B$1,2)</f>
        <v/>
      </c>
      <c r="E51" s="0">
        <f>[1]!s_ipo_listeddate($A51)</f>
        <v/>
      </c>
    </row>
    <row r="52">
      <c r="A52" s="0">
        <f>_meta!A51</f>
        <v/>
      </c>
      <c r="B52" s="0">
        <f>[1]!S_INFO_NAME($A52)</f>
        <v/>
      </c>
      <c r="C52" s="0">
        <f>[1]!hks_info_industry_sw_2021($A52,$B$1,1)</f>
        <v/>
      </c>
      <c r="D52" s="0">
        <f>[1]!hks_info_industry_sw_2021($A52,$B$1,2)</f>
        <v/>
      </c>
      <c r="E52" s="0">
        <f>[1]!s_ipo_listeddate($A52)</f>
        <v/>
      </c>
    </row>
    <row r="53">
      <c r="A53" s="0">
        <f>_meta!A52</f>
        <v/>
      </c>
      <c r="B53" s="0">
        <f>[1]!S_INFO_NAME($A53)</f>
        <v/>
      </c>
      <c r="C53" s="0">
        <f>[1]!hks_info_industry_sw_2021($A53,$B$1,1)</f>
        <v/>
      </c>
      <c r="D53" s="0">
        <f>[1]!hks_info_industry_sw_2021($A53,$B$1,2)</f>
        <v/>
      </c>
      <c r="E53" s="0">
        <f>[1]!s_ipo_listeddate($A53)</f>
        <v/>
      </c>
    </row>
    <row r="54">
      <c r="A54" s="0">
        <f>_meta!A53</f>
        <v/>
      </c>
      <c r="B54" s="0">
        <f>[1]!S_INFO_NAME($A54)</f>
        <v/>
      </c>
      <c r="C54" s="0">
        <f>[1]!hks_info_industry_sw_2021($A54,$B$1,1)</f>
        <v/>
      </c>
      <c r="D54" s="0">
        <f>[1]!hks_info_industry_sw_2021($A54,$B$1,2)</f>
        <v/>
      </c>
      <c r="E54" s="0">
        <f>[1]!s_ipo_listeddate($A54)</f>
        <v/>
      </c>
    </row>
    <row r="55">
      <c r="A55" s="0">
        <f>_meta!A54</f>
        <v/>
      </c>
      <c r="B55" s="0">
        <f>[1]!S_INFO_NAME($A55)</f>
        <v/>
      </c>
      <c r="C55" s="0">
        <f>[1]!hks_info_industry_sw_2021($A55,$B$1,1)</f>
        <v/>
      </c>
      <c r="D55" s="0">
        <f>[1]!hks_info_industry_sw_2021($A55,$B$1,2)</f>
        <v/>
      </c>
      <c r="E55" s="0">
        <f>[1]!s_ipo_listeddate($A55)</f>
        <v/>
      </c>
    </row>
    <row r="56">
      <c r="A56" s="0">
        <f>_meta!A55</f>
        <v/>
      </c>
      <c r="B56" s="0">
        <f>[1]!S_INFO_NAME($A56)</f>
        <v/>
      </c>
      <c r="C56" s="0">
        <f>[1]!hks_info_industry_sw_2021($A56,$B$1,1)</f>
        <v/>
      </c>
      <c r="D56" s="0">
        <f>[1]!hks_info_industry_sw_2021($A56,$B$1,2)</f>
        <v/>
      </c>
      <c r="E56" s="0">
        <f>[1]!s_ipo_listeddate($A56)</f>
        <v/>
      </c>
    </row>
    <row r="57">
      <c r="A57" s="0">
        <f>_meta!A56</f>
        <v/>
      </c>
      <c r="B57" s="0">
        <f>[1]!S_INFO_NAME($A57)</f>
        <v/>
      </c>
      <c r="C57" s="0">
        <f>[1]!hks_info_industry_sw_2021($A57,$B$1,1)</f>
        <v/>
      </c>
      <c r="D57" s="0">
        <f>[1]!hks_info_industry_sw_2021($A57,$B$1,2)</f>
        <v/>
      </c>
      <c r="E57" s="0">
        <f>[1]!s_ipo_listeddate($A57)</f>
        <v/>
      </c>
    </row>
    <row r="58">
      <c r="A58" s="0">
        <f>_meta!A57</f>
        <v/>
      </c>
      <c r="B58" s="0">
        <f>[1]!S_INFO_NAME($A58)</f>
        <v/>
      </c>
      <c r="C58" s="0">
        <f>[1]!hks_info_industry_sw_2021($A58,$B$1,1)</f>
        <v/>
      </c>
      <c r="D58" s="0">
        <f>[1]!hks_info_industry_sw_2021($A58,$B$1,2)</f>
        <v/>
      </c>
      <c r="E58" s="0">
        <f>[1]!s_ipo_listeddate($A58)</f>
        <v/>
      </c>
    </row>
    <row r="59">
      <c r="A59" s="0">
        <f>_meta!A58</f>
        <v/>
      </c>
      <c r="B59" s="0">
        <f>[1]!S_INFO_NAME($A59)</f>
        <v/>
      </c>
      <c r="C59" s="0">
        <f>[1]!hks_info_industry_sw_2021($A59,$B$1,1)</f>
        <v/>
      </c>
      <c r="D59" s="0">
        <f>[1]!hks_info_industry_sw_2021($A59,$B$1,2)</f>
        <v/>
      </c>
      <c r="E59" s="0">
        <f>[1]!s_ipo_listeddate($A59)</f>
        <v/>
      </c>
    </row>
    <row r="60">
      <c r="A60" s="0">
        <f>_meta!A59</f>
        <v/>
      </c>
      <c r="B60" s="0">
        <f>[1]!S_INFO_NAME($A60)</f>
        <v/>
      </c>
      <c r="C60" s="0">
        <f>[1]!hks_info_industry_sw_2021($A60,$B$1,1)</f>
        <v/>
      </c>
      <c r="D60" s="0">
        <f>[1]!hks_info_industry_sw_2021($A60,$B$1,2)</f>
        <v/>
      </c>
      <c r="E60" s="0">
        <f>[1]!s_ipo_listeddate($A60)</f>
        <v/>
      </c>
    </row>
    <row r="61">
      <c r="A61" s="0">
        <f>_meta!A60</f>
        <v/>
      </c>
      <c r="B61" s="0">
        <f>[1]!S_INFO_NAME($A61)</f>
        <v/>
      </c>
      <c r="C61" s="0">
        <f>[1]!hks_info_industry_sw_2021($A61,$B$1,1)</f>
        <v/>
      </c>
      <c r="D61" s="0">
        <f>[1]!hks_info_industry_sw_2021($A61,$B$1,2)</f>
        <v/>
      </c>
      <c r="E61" s="0">
        <f>[1]!s_ipo_listeddate($A61)</f>
        <v/>
      </c>
    </row>
    <row r="62">
      <c r="A62" s="0">
        <f>_meta!A61</f>
        <v/>
      </c>
      <c r="B62" s="0">
        <f>[1]!S_INFO_NAME($A62)</f>
        <v/>
      </c>
      <c r="C62" s="0">
        <f>[1]!hks_info_industry_sw_2021($A62,$B$1,1)</f>
        <v/>
      </c>
      <c r="D62" s="0">
        <f>[1]!hks_info_industry_sw_2021($A62,$B$1,2)</f>
        <v/>
      </c>
      <c r="E62" s="0">
        <f>[1]!s_ipo_listeddate($A62)</f>
        <v/>
      </c>
    </row>
    <row r="63">
      <c r="A63" s="0">
        <f>_meta!A62</f>
        <v/>
      </c>
      <c r="B63" s="0">
        <f>[1]!S_INFO_NAME($A63)</f>
        <v/>
      </c>
      <c r="C63" s="0">
        <f>[1]!hks_info_industry_sw_2021($A63,$B$1,1)</f>
        <v/>
      </c>
      <c r="D63" s="0">
        <f>[1]!hks_info_industry_sw_2021($A63,$B$1,2)</f>
        <v/>
      </c>
      <c r="E63" s="0">
        <f>[1]!s_ipo_listeddate($A63)</f>
        <v/>
      </c>
    </row>
    <row r="64">
      <c r="A64" s="0">
        <f>_meta!A63</f>
        <v/>
      </c>
      <c r="B64" s="0">
        <f>[1]!S_INFO_NAME($A64)</f>
        <v/>
      </c>
      <c r="C64" s="0">
        <f>[1]!hks_info_industry_sw_2021($A64,$B$1,1)</f>
        <v/>
      </c>
      <c r="D64" s="0">
        <f>[1]!hks_info_industry_sw_2021($A64,$B$1,2)</f>
        <v/>
      </c>
      <c r="E64" s="0">
        <f>[1]!s_ipo_listeddate($A64)</f>
        <v/>
      </c>
    </row>
    <row r="65">
      <c r="A65" s="0">
        <f>_meta!A64</f>
        <v/>
      </c>
      <c r="B65" s="0">
        <f>[1]!S_INFO_NAME($A65)</f>
        <v/>
      </c>
      <c r="C65" s="0">
        <f>[1]!hks_info_industry_sw_2021($A65,$B$1,1)</f>
        <v/>
      </c>
      <c r="D65" s="0">
        <f>[1]!hks_info_industry_sw_2021($A65,$B$1,2)</f>
        <v/>
      </c>
      <c r="E65" s="0">
        <f>[1]!s_ipo_listeddate($A65)</f>
        <v/>
      </c>
    </row>
    <row r="66">
      <c r="A66" s="0">
        <f>_meta!A65</f>
        <v/>
      </c>
      <c r="B66" s="0">
        <f>[1]!S_INFO_NAME($A66)</f>
        <v/>
      </c>
      <c r="C66" s="0">
        <f>[1]!hks_info_industry_sw_2021($A66,$B$1,1)</f>
        <v/>
      </c>
      <c r="D66" s="0">
        <f>[1]!hks_info_industry_sw_2021($A66,$B$1,2)</f>
        <v/>
      </c>
      <c r="E66" s="0">
        <f>[1]!s_ipo_listeddate($A66)</f>
        <v/>
      </c>
    </row>
    <row r="67">
      <c r="A67" s="0">
        <f>_meta!A66</f>
        <v/>
      </c>
      <c r="B67" s="0">
        <f>[1]!S_INFO_NAME($A67)</f>
        <v/>
      </c>
      <c r="C67" s="0">
        <f>[1]!hks_info_industry_sw_2021($A67,$B$1,1)</f>
        <v/>
      </c>
      <c r="D67" s="0">
        <f>[1]!hks_info_industry_sw_2021($A67,$B$1,2)</f>
        <v/>
      </c>
      <c r="E67" s="0">
        <f>[1]!s_ipo_listeddate($A67)</f>
        <v/>
      </c>
    </row>
    <row r="68">
      <c r="A68" s="0">
        <f>_meta!A67</f>
        <v/>
      </c>
      <c r="B68" s="0">
        <f>[1]!S_INFO_NAME($A68)</f>
        <v/>
      </c>
      <c r="C68" s="0">
        <f>[1]!hks_info_industry_sw_2021($A68,$B$1,1)</f>
        <v/>
      </c>
      <c r="D68" s="0">
        <f>[1]!hks_info_industry_sw_2021($A68,$B$1,2)</f>
        <v/>
      </c>
      <c r="E68" s="0">
        <f>[1]!s_ipo_listeddate($A68)</f>
        <v/>
      </c>
    </row>
    <row r="69">
      <c r="A69" s="0">
        <f>_meta!A68</f>
        <v/>
      </c>
      <c r="B69" s="0">
        <f>[1]!S_INFO_NAME($A69)</f>
        <v/>
      </c>
      <c r="C69" s="0">
        <f>[1]!hks_info_industry_sw_2021($A69,$B$1,1)</f>
        <v/>
      </c>
      <c r="D69" s="0">
        <f>[1]!hks_info_industry_sw_2021($A69,$B$1,2)</f>
        <v/>
      </c>
      <c r="E69" s="0">
        <f>[1]!s_ipo_listeddate($A69)</f>
        <v/>
      </c>
    </row>
    <row r="70">
      <c r="A70" s="0">
        <f>_meta!A69</f>
        <v/>
      </c>
      <c r="B70" s="0">
        <f>[1]!S_INFO_NAME($A70)</f>
        <v/>
      </c>
      <c r="C70" s="0">
        <f>[1]!hks_info_industry_sw_2021($A70,$B$1,1)</f>
        <v/>
      </c>
      <c r="D70" s="0">
        <f>[1]!hks_info_industry_sw_2021($A70,$B$1,2)</f>
        <v/>
      </c>
      <c r="E70" s="0">
        <f>[1]!s_ipo_listeddate($A70)</f>
        <v/>
      </c>
    </row>
    <row r="71">
      <c r="A71" s="0">
        <f>_meta!A70</f>
        <v/>
      </c>
      <c r="B71" s="0">
        <f>[1]!S_INFO_NAME($A71)</f>
        <v/>
      </c>
      <c r="C71" s="0">
        <f>[1]!hks_info_industry_sw_2021($A71,$B$1,1)</f>
        <v/>
      </c>
      <c r="D71" s="0">
        <f>[1]!hks_info_industry_sw_2021($A71,$B$1,2)</f>
        <v/>
      </c>
      <c r="E71" s="0">
        <f>[1]!s_ipo_listeddate($A71)</f>
        <v/>
      </c>
    </row>
    <row r="72">
      <c r="A72" s="0">
        <f>_meta!A71</f>
        <v/>
      </c>
      <c r="B72" s="0">
        <f>[1]!S_INFO_NAME($A72)</f>
        <v/>
      </c>
      <c r="C72" s="0">
        <f>[1]!hks_info_industry_sw_2021($A72,$B$1,1)</f>
        <v/>
      </c>
      <c r="D72" s="0">
        <f>[1]!hks_info_industry_sw_2021($A72,$B$1,2)</f>
        <v/>
      </c>
      <c r="E72" s="0">
        <f>[1]!s_ipo_listeddate($A72)</f>
        <v/>
      </c>
    </row>
    <row r="73">
      <c r="A73" s="0">
        <f>_meta!A72</f>
        <v/>
      </c>
      <c r="B73" s="0">
        <f>[1]!S_INFO_NAME($A73)</f>
        <v/>
      </c>
      <c r="C73" s="0">
        <f>[1]!hks_info_industry_sw_2021($A73,$B$1,1)</f>
        <v/>
      </c>
      <c r="D73" s="0">
        <f>[1]!hks_info_industry_sw_2021($A73,$B$1,2)</f>
        <v/>
      </c>
      <c r="E73" s="0">
        <f>[1]!s_ipo_listeddate($A73)</f>
        <v/>
      </c>
    </row>
    <row r="74">
      <c r="A74" s="0">
        <f>_meta!A73</f>
        <v/>
      </c>
      <c r="B74" s="0">
        <f>[1]!S_INFO_NAME($A74)</f>
        <v/>
      </c>
      <c r="C74" s="0">
        <f>[1]!hks_info_industry_sw_2021($A74,$B$1,1)</f>
        <v/>
      </c>
      <c r="D74" s="0">
        <f>[1]!hks_info_industry_sw_2021($A74,$B$1,2)</f>
        <v/>
      </c>
      <c r="E74" s="0">
        <f>[1]!s_ipo_listeddate($A74)</f>
        <v/>
      </c>
    </row>
    <row r="75">
      <c r="A75" s="0">
        <f>_meta!A74</f>
        <v/>
      </c>
      <c r="B75" s="0">
        <f>[1]!S_INFO_NAME($A75)</f>
        <v/>
      </c>
      <c r="C75" s="0">
        <f>[1]!hks_info_industry_sw_2021($A75,$B$1,1)</f>
        <v/>
      </c>
      <c r="D75" s="0">
        <f>[1]!hks_info_industry_sw_2021($A75,$B$1,2)</f>
        <v/>
      </c>
      <c r="E75" s="0">
        <f>[1]!s_ipo_listeddate($A75)</f>
        <v/>
      </c>
    </row>
    <row r="76">
      <c r="A76" s="0">
        <f>_meta!A75</f>
        <v/>
      </c>
      <c r="B76" s="0">
        <f>[1]!S_INFO_NAME($A76)</f>
        <v/>
      </c>
      <c r="C76" s="0">
        <f>[1]!hks_info_industry_sw_2021($A76,$B$1,1)</f>
        <v/>
      </c>
      <c r="D76" s="0">
        <f>[1]!hks_info_industry_sw_2021($A76,$B$1,2)</f>
        <v/>
      </c>
      <c r="E76" s="0">
        <f>[1]!s_ipo_listeddate($A76)</f>
        <v/>
      </c>
    </row>
    <row r="77">
      <c r="A77" s="0">
        <f>_meta!A76</f>
        <v/>
      </c>
      <c r="B77" s="0">
        <f>[1]!S_INFO_NAME($A77)</f>
        <v/>
      </c>
      <c r="C77" s="0">
        <f>[1]!hks_info_industry_sw_2021($A77,$B$1,1)</f>
        <v/>
      </c>
      <c r="D77" s="0">
        <f>[1]!hks_info_industry_sw_2021($A77,$B$1,2)</f>
        <v/>
      </c>
      <c r="E77" s="0">
        <f>[1]!s_ipo_listeddate($A77)</f>
        <v/>
      </c>
    </row>
    <row r="78">
      <c r="A78" s="0">
        <f>_meta!A77</f>
        <v/>
      </c>
      <c r="B78" s="0">
        <f>[1]!S_INFO_NAME($A78)</f>
        <v/>
      </c>
      <c r="C78" s="0">
        <f>[1]!hks_info_industry_sw_2021($A78,$B$1,1)</f>
        <v/>
      </c>
      <c r="D78" s="0">
        <f>[1]!hks_info_industry_sw_2021($A78,$B$1,2)</f>
        <v/>
      </c>
      <c r="E78" s="0">
        <f>[1]!s_ipo_listeddate($A78)</f>
        <v/>
      </c>
    </row>
    <row r="79">
      <c r="A79" s="0">
        <f>_meta!A78</f>
        <v/>
      </c>
      <c r="B79" s="0">
        <f>[1]!S_INFO_NAME($A79)</f>
        <v/>
      </c>
      <c r="C79" s="0">
        <f>[1]!hks_info_industry_sw_2021($A79,$B$1,1)</f>
        <v/>
      </c>
      <c r="D79" s="0">
        <f>[1]!hks_info_industry_sw_2021($A79,$B$1,2)</f>
        <v/>
      </c>
      <c r="E79" s="0">
        <f>[1]!s_ipo_listeddate($A79)</f>
        <v/>
      </c>
    </row>
    <row r="80">
      <c r="A80" s="0">
        <f>_meta!A79</f>
        <v/>
      </c>
      <c r="B80" s="0">
        <f>[1]!S_INFO_NAME($A80)</f>
        <v/>
      </c>
      <c r="C80" s="0">
        <f>[1]!hks_info_industry_sw_2021($A80,$B$1,1)</f>
        <v/>
      </c>
      <c r="D80" s="0">
        <f>[1]!hks_info_industry_sw_2021($A80,$B$1,2)</f>
        <v/>
      </c>
      <c r="E80" s="0">
        <f>[1]!s_ipo_listeddate($A80)</f>
        <v/>
      </c>
    </row>
    <row r="81">
      <c r="A81" s="0">
        <f>_meta!A80</f>
        <v/>
      </c>
      <c r="B81" s="0">
        <f>[1]!S_INFO_NAME($A81)</f>
        <v/>
      </c>
      <c r="C81" s="0">
        <f>[1]!hks_info_industry_sw_2021($A81,$B$1,1)</f>
        <v/>
      </c>
      <c r="D81" s="0">
        <f>[1]!hks_info_industry_sw_2021($A81,$B$1,2)</f>
        <v/>
      </c>
      <c r="E81" s="0">
        <f>[1]!s_ipo_listeddate($A81)</f>
        <v/>
      </c>
    </row>
    <row r="82">
      <c r="A82" s="0">
        <f>_meta!A81</f>
        <v/>
      </c>
      <c r="B82" s="0">
        <f>[1]!S_INFO_NAME($A82)</f>
        <v/>
      </c>
      <c r="C82" s="0">
        <f>[1]!hks_info_industry_sw_2021($A82,$B$1,1)</f>
        <v/>
      </c>
      <c r="D82" s="0">
        <f>[1]!hks_info_industry_sw_2021($A82,$B$1,2)</f>
        <v/>
      </c>
      <c r="E82" s="0">
        <f>[1]!s_ipo_listeddate($A82)</f>
        <v/>
      </c>
    </row>
    <row r="83">
      <c r="A83" s="0">
        <f>_meta!A82</f>
        <v/>
      </c>
      <c r="B83" s="0">
        <f>[1]!S_INFO_NAME($A83)</f>
        <v/>
      </c>
      <c r="C83" s="0">
        <f>[1]!hks_info_industry_sw_2021($A83,$B$1,1)</f>
        <v/>
      </c>
      <c r="D83" s="0">
        <f>[1]!hks_info_industry_sw_2021($A83,$B$1,2)</f>
        <v/>
      </c>
      <c r="E83" s="0">
        <f>[1]!s_ipo_listeddate($A83)</f>
        <v/>
      </c>
    </row>
    <row r="84">
      <c r="A84" s="0">
        <f>_meta!A83</f>
        <v/>
      </c>
      <c r="B84" s="0">
        <f>[1]!S_INFO_NAME($A84)</f>
        <v/>
      </c>
      <c r="C84" s="0">
        <f>[1]!hks_info_industry_sw_2021($A84,$B$1,1)</f>
        <v/>
      </c>
      <c r="D84" s="0">
        <f>[1]!hks_info_industry_sw_2021($A84,$B$1,2)</f>
        <v/>
      </c>
      <c r="E84" s="0">
        <f>[1]!s_ipo_listeddate($A84)</f>
        <v/>
      </c>
    </row>
    <row r="85">
      <c r="A85" s="0">
        <f>_meta!A84</f>
        <v/>
      </c>
      <c r="B85" s="0">
        <f>[1]!S_INFO_NAME($A85)</f>
        <v/>
      </c>
      <c r="C85" s="0">
        <f>[1]!hks_info_industry_sw_2021($A85,$B$1,1)</f>
        <v/>
      </c>
      <c r="D85" s="0">
        <f>[1]!hks_info_industry_sw_2021($A85,$B$1,2)</f>
        <v/>
      </c>
      <c r="E85" s="0">
        <f>[1]!s_ipo_listeddate($A85)</f>
        <v/>
      </c>
    </row>
    <row r="86">
      <c r="A86" s="0">
        <f>_meta!A85</f>
        <v/>
      </c>
      <c r="B86" s="0">
        <f>[1]!S_INFO_NAME($A86)</f>
        <v/>
      </c>
      <c r="C86" s="0">
        <f>[1]!hks_info_industry_sw_2021($A86,$B$1,1)</f>
        <v/>
      </c>
      <c r="D86" s="0">
        <f>[1]!hks_info_industry_sw_2021($A86,$B$1,2)</f>
        <v/>
      </c>
      <c r="E86" s="0">
        <f>[1]!s_ipo_listeddate($A86)</f>
        <v/>
      </c>
    </row>
    <row r="87">
      <c r="A87" s="0">
        <f>_meta!A86</f>
        <v/>
      </c>
      <c r="B87" s="0">
        <f>[1]!S_INFO_NAME($A87)</f>
        <v/>
      </c>
      <c r="C87" s="0">
        <f>[1]!hks_info_industry_sw_2021($A87,$B$1,1)</f>
        <v/>
      </c>
      <c r="D87" s="0">
        <f>[1]!hks_info_industry_sw_2021($A87,$B$1,2)</f>
        <v/>
      </c>
      <c r="E87" s="0">
        <f>[1]!s_ipo_listeddate($A87)</f>
        <v/>
      </c>
    </row>
    <row r="88">
      <c r="A88" s="0">
        <f>_meta!A87</f>
        <v/>
      </c>
      <c r="B88" s="0">
        <f>[1]!S_INFO_NAME($A88)</f>
        <v/>
      </c>
      <c r="C88" s="0">
        <f>[1]!hks_info_industry_sw_2021($A88,$B$1,1)</f>
        <v/>
      </c>
      <c r="D88" s="0">
        <f>[1]!hks_info_industry_sw_2021($A88,$B$1,2)</f>
        <v/>
      </c>
      <c r="E88" s="0">
        <f>[1]!s_ipo_listeddate($A88)</f>
        <v/>
      </c>
    </row>
    <row r="89">
      <c r="A89" s="0">
        <f>_meta!A88</f>
        <v/>
      </c>
      <c r="B89" s="0">
        <f>[1]!S_INFO_NAME($A89)</f>
        <v/>
      </c>
      <c r="C89" s="0">
        <f>[1]!hks_info_industry_sw_2021($A89,$B$1,1)</f>
        <v/>
      </c>
      <c r="D89" s="0">
        <f>[1]!hks_info_industry_sw_2021($A89,$B$1,2)</f>
        <v/>
      </c>
      <c r="E89" s="0">
        <f>[1]!s_ipo_listeddate($A89)</f>
        <v/>
      </c>
    </row>
    <row r="90">
      <c r="A90" s="0">
        <f>_meta!A89</f>
        <v/>
      </c>
      <c r="B90" s="0">
        <f>[1]!S_INFO_NAME($A90)</f>
        <v/>
      </c>
      <c r="C90" s="0">
        <f>[1]!hks_info_industry_sw_2021($A90,$B$1,1)</f>
        <v/>
      </c>
      <c r="D90" s="0">
        <f>[1]!hks_info_industry_sw_2021($A90,$B$1,2)</f>
        <v/>
      </c>
      <c r="E90" s="0">
        <f>[1]!s_ipo_listeddate($A90)</f>
        <v/>
      </c>
    </row>
    <row r="91">
      <c r="A91" s="0">
        <f>_meta!A90</f>
        <v/>
      </c>
      <c r="B91" s="0">
        <f>[1]!S_INFO_NAME($A91)</f>
        <v/>
      </c>
      <c r="C91" s="0">
        <f>[1]!hks_info_industry_sw_2021($A91,$B$1,1)</f>
        <v/>
      </c>
      <c r="D91" s="0">
        <f>[1]!hks_info_industry_sw_2021($A91,$B$1,2)</f>
        <v/>
      </c>
      <c r="E91" s="0">
        <f>[1]!s_ipo_listeddate($A91)</f>
        <v/>
      </c>
    </row>
    <row r="92">
      <c r="A92" s="0">
        <f>_meta!A91</f>
        <v/>
      </c>
      <c r="B92" s="0">
        <f>[1]!S_INFO_NAME($A92)</f>
        <v/>
      </c>
      <c r="C92" s="0">
        <f>[1]!hks_info_industry_sw_2021($A92,$B$1,1)</f>
        <v/>
      </c>
      <c r="D92" s="0">
        <f>[1]!hks_info_industry_sw_2021($A92,$B$1,2)</f>
        <v/>
      </c>
      <c r="E92" s="0">
        <f>[1]!s_ipo_listeddate($A92)</f>
        <v/>
      </c>
    </row>
    <row r="93">
      <c r="A93" s="0">
        <f>_meta!A92</f>
        <v/>
      </c>
      <c r="B93" s="0">
        <f>[1]!S_INFO_NAME($A93)</f>
        <v/>
      </c>
      <c r="C93" s="0">
        <f>[1]!hks_info_industry_sw_2021($A93,$B$1,1)</f>
        <v/>
      </c>
      <c r="D93" s="0">
        <f>[1]!hks_info_industry_sw_2021($A93,$B$1,2)</f>
        <v/>
      </c>
      <c r="E93" s="0">
        <f>[1]!s_ipo_listeddate($A93)</f>
        <v/>
      </c>
    </row>
    <row r="94">
      <c r="A94" s="0">
        <f>_meta!A93</f>
        <v/>
      </c>
      <c r="B94" s="0">
        <f>[1]!S_INFO_NAME($A94)</f>
        <v/>
      </c>
      <c r="C94" s="0">
        <f>[1]!hks_info_industry_sw_2021($A94,$B$1,1)</f>
        <v/>
      </c>
      <c r="D94" s="0">
        <f>[1]!hks_info_industry_sw_2021($A94,$B$1,2)</f>
        <v/>
      </c>
      <c r="E94" s="0">
        <f>[1]!s_ipo_listeddate($A94)</f>
        <v/>
      </c>
    </row>
    <row r="95">
      <c r="A95" s="0">
        <f>_meta!A94</f>
        <v/>
      </c>
      <c r="B95" s="0">
        <f>[1]!S_INFO_NAME($A95)</f>
        <v/>
      </c>
      <c r="C95" s="0">
        <f>[1]!hks_info_industry_sw_2021($A95,$B$1,1)</f>
        <v/>
      </c>
      <c r="D95" s="0">
        <f>[1]!hks_info_industry_sw_2021($A95,$B$1,2)</f>
        <v/>
      </c>
      <c r="E95" s="0">
        <f>[1]!s_ipo_listeddate($A95)</f>
        <v/>
      </c>
    </row>
    <row r="96">
      <c r="A96" s="0">
        <f>_meta!A95</f>
        <v/>
      </c>
      <c r="B96" s="0">
        <f>[1]!S_INFO_NAME($A96)</f>
        <v/>
      </c>
      <c r="C96" s="0">
        <f>[1]!hks_info_industry_sw_2021($A96,$B$1,1)</f>
        <v/>
      </c>
      <c r="D96" s="0">
        <f>[1]!hks_info_industry_sw_2021($A96,$B$1,2)</f>
        <v/>
      </c>
      <c r="E96" s="0">
        <f>[1]!s_ipo_listeddate($A96)</f>
        <v/>
      </c>
    </row>
    <row r="97">
      <c r="A97" s="0">
        <f>_meta!A96</f>
        <v/>
      </c>
      <c r="B97" s="0">
        <f>[1]!S_INFO_NAME($A97)</f>
        <v/>
      </c>
      <c r="C97" s="0">
        <f>[1]!hks_info_industry_sw_2021($A97,$B$1,1)</f>
        <v/>
      </c>
      <c r="D97" s="0">
        <f>[1]!hks_info_industry_sw_2021($A97,$B$1,2)</f>
        <v/>
      </c>
      <c r="E97" s="0">
        <f>[1]!s_ipo_listeddate($A97)</f>
        <v/>
      </c>
    </row>
    <row r="98">
      <c r="A98" s="0">
        <f>_meta!A97</f>
        <v/>
      </c>
      <c r="B98" s="0">
        <f>[1]!S_INFO_NAME($A98)</f>
        <v/>
      </c>
      <c r="C98" s="0">
        <f>[1]!hks_info_industry_sw_2021($A98,$B$1,1)</f>
        <v/>
      </c>
      <c r="D98" s="0">
        <f>[1]!hks_info_industry_sw_2021($A98,$B$1,2)</f>
        <v/>
      </c>
      <c r="E98" s="0">
        <f>[1]!s_ipo_listeddate($A98)</f>
        <v/>
      </c>
    </row>
    <row r="99">
      <c r="A99" s="0">
        <f>_meta!A98</f>
        <v/>
      </c>
      <c r="B99" s="0">
        <f>[1]!S_INFO_NAME($A99)</f>
        <v/>
      </c>
      <c r="C99" s="0">
        <f>[1]!hks_info_industry_sw_2021($A99,$B$1,1)</f>
        <v/>
      </c>
      <c r="D99" s="0">
        <f>[1]!hks_info_industry_sw_2021($A99,$B$1,2)</f>
        <v/>
      </c>
      <c r="E99" s="0">
        <f>[1]!s_ipo_listeddate($A99)</f>
        <v/>
      </c>
    </row>
    <row r="100">
      <c r="A100" s="0">
        <f>_meta!A99</f>
        <v/>
      </c>
      <c r="B100" s="0">
        <f>[1]!S_INFO_NAME($A100)</f>
        <v/>
      </c>
      <c r="C100" s="0">
        <f>[1]!hks_info_industry_sw_2021($A100,$B$1,1)</f>
        <v/>
      </c>
      <c r="D100" s="0">
        <f>[1]!hks_info_industry_sw_2021($A100,$B$1,2)</f>
        <v/>
      </c>
      <c r="E100" s="0">
        <f>[1]!s_ipo_listeddate($A100)</f>
        <v/>
      </c>
    </row>
    <row r="101">
      <c r="A101" s="0">
        <f>_meta!A100</f>
        <v/>
      </c>
      <c r="B101" s="0">
        <f>[1]!S_INFO_NAME($A101)</f>
        <v/>
      </c>
      <c r="C101" s="0">
        <f>[1]!hks_info_industry_sw_2021($A101,$B$1,1)</f>
        <v/>
      </c>
      <c r="D101" s="0">
        <f>[1]!hks_info_industry_sw_2021($A101,$B$1,2)</f>
        <v/>
      </c>
      <c r="E101" s="0">
        <f>[1]!s_ipo_listeddate($A101)</f>
        <v/>
      </c>
    </row>
    <row r="102">
      <c r="A102" s="0">
        <f>_meta!A101</f>
        <v/>
      </c>
      <c r="B102" s="0">
        <f>[1]!S_INFO_NAME($A102)</f>
        <v/>
      </c>
      <c r="C102" s="0">
        <f>[1]!hks_info_industry_sw_2021($A102,$B$1,1)</f>
        <v/>
      </c>
      <c r="D102" s="0">
        <f>[1]!hks_info_industry_sw_2021($A102,$B$1,2)</f>
        <v/>
      </c>
      <c r="E102" s="0">
        <f>[1]!s_ipo_listeddate($A102)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style="35" min="1" max="1"/>
    <col width="16" customWidth="1" style="35" min="3" max="3"/>
  </cols>
  <sheetData>
    <row r="1">
      <c r="A1" s="37" t="inlineStr">
        <is>
          <t>观测日期→</t>
        </is>
      </c>
      <c r="B1">
        <f>TODAY()</f>
        <v/>
      </c>
    </row>
    <row r="2">
      <c r="A2" s="36" t="inlineStr">
        <is>
          <t>代码</t>
        </is>
      </c>
      <c r="B2" s="36" t="inlineStr">
        <is>
          <t>收盘</t>
        </is>
      </c>
      <c r="C2" s="36" t="inlineStr">
        <is>
          <t>名称</t>
        </is>
      </c>
    </row>
    <row r="3">
      <c r="A3" t="inlineStr">
        <is>
          <t>HSTECH.HI</t>
        </is>
      </c>
      <c r="B3">
        <f>[1]!s_dq_close($A3,$B$1,3)</f>
        <v/>
      </c>
      <c r="C3" t="inlineStr">
        <is>
          <t>恒生科技指数</t>
        </is>
      </c>
    </row>
    <row r="4">
      <c r="A4" t="inlineStr">
        <is>
          <t>HSI.HI</t>
        </is>
      </c>
      <c r="B4">
        <f>[1]!s_dq_close($A4,$B$1,3)</f>
        <v/>
      </c>
      <c r="C4" t="inlineStr">
        <is>
          <t>恒生指数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macbook</dc:creator>
  <dcterms:created xmlns:dcterms="http://purl.org/dc/terms/" xmlns:xsi="http://www.w3.org/2001/XMLSchema-instance" xsi:type="dcterms:W3CDTF">2026-05-19T01:56:00Z</dcterms:created>
  <dcterms:modified xmlns:dcterms="http://purl.org/dc/terms/" xmlns:xsi="http://www.w3.org/2001/XMLSchema-instance" xsi:type="dcterms:W3CDTF">2026-05-22T07:56:18Z</dcterms:modified>
  <cp:lastModifiedBy>Elsie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57C655C77D574BA942E20A6ABBEBDA10_41</vt:lpwstr>
  </property>
  <property name="KSOProductBuildVer" fmtid="{D5CDD505-2E9C-101B-9397-08002B2CF9AE}" pid="3">
    <vt:lpwstr xmlns:vt="http://schemas.openxmlformats.org/officeDocument/2006/docPropsVTypes">2052-12.1.25869.25869</vt:lpwstr>
  </property>
  <property name="CalculationRule" fmtid="{D5CDD505-2E9C-101B-9397-08002B2CF9AE}" pid="4">
    <vt:i4 xmlns:vt="http://schemas.openxmlformats.org/officeDocument/2006/docPropsVTypes">1</vt:i4>
  </property>
</Properties>
</file>