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acbook/tech100/templates/"/>
    </mc:Choice>
  </mc:AlternateContent>
  <xr:revisionPtr revIDLastSave="0" documentId="13_ncr:1_{703FDC57-04C9-5540-80EC-84556DC4E59D}" xr6:coauthVersionLast="47" xr6:coauthVersionMax="47" xr10:uidLastSave="{00000000-0000-0000-0000-000000000000}"/>
  <bookViews>
    <workbookView xWindow="940" yWindow="660" windowWidth="29300" windowHeight="18980" xr2:uid="{00000000-000D-0000-FFFF-FFFF00000000}"/>
  </bookViews>
  <sheets>
    <sheet name="_meta" sheetId="1" r:id="rId1"/>
    <sheet name="panel" sheetId="2" r:id="rId2"/>
    <sheet name="static_info" sheetId="3" r:id="rId3"/>
    <sheet name="benchmark" sheetId="4" r:id="rId4"/>
  </sheets>
  <externalReferences>
    <externalReference r:id="rId5"/>
  </externalReferences>
  <definedNames>
    <definedName name="____NAV3">IF(tType="N","EV/Ebitda","Pre-Provision Profits")</definedName>
    <definedName name="tType">"N"</definedName>
  </definedNames>
  <calcPr calcId="191029" iterate="1" iterateCount="2000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" i="3" l="1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B18" i="2"/>
  <c r="B4" i="4"/>
  <c r="C101" i="3"/>
  <c r="C99" i="3"/>
  <c r="C97" i="3"/>
  <c r="C95" i="3"/>
  <c r="C93" i="3"/>
  <c r="C91" i="3"/>
  <c r="C89" i="3"/>
  <c r="C87" i="3"/>
  <c r="C85" i="3"/>
  <c r="C83" i="3"/>
  <c r="C81" i="3"/>
  <c r="C79" i="3"/>
  <c r="C77" i="3"/>
  <c r="C75" i="3"/>
  <c r="C73" i="3"/>
  <c r="C71" i="3"/>
  <c r="C69" i="3"/>
  <c r="C67" i="3"/>
  <c r="C65" i="3"/>
  <c r="C63" i="3"/>
  <c r="C61" i="3"/>
  <c r="C59" i="3"/>
  <c r="C57" i="3"/>
  <c r="C55" i="3"/>
  <c r="C53" i="3"/>
  <c r="C51" i="3"/>
  <c r="C49" i="3"/>
  <c r="C47" i="3"/>
  <c r="C45" i="3"/>
  <c r="C43" i="3"/>
  <c r="C41" i="3"/>
  <c r="C39" i="3"/>
  <c r="C37" i="3"/>
  <c r="C35" i="3"/>
  <c r="C33" i="3"/>
  <c r="C31" i="3"/>
  <c r="C29" i="3"/>
  <c r="C27" i="3"/>
  <c r="C25" i="3"/>
  <c r="C23" i="3"/>
  <c r="C21" i="3"/>
  <c r="C19" i="3"/>
  <c r="C17" i="3"/>
  <c r="C15" i="3"/>
  <c r="C13" i="3"/>
  <c r="C11" i="3"/>
  <c r="C9" i="3"/>
  <c r="C7" i="3"/>
  <c r="C5" i="3"/>
  <c r="C3" i="3"/>
  <c r="B3" i="4"/>
  <c r="B101" i="3"/>
  <c r="B99" i="3"/>
  <c r="B97" i="3"/>
  <c r="B95" i="3"/>
  <c r="B93" i="3"/>
  <c r="B91" i="3"/>
  <c r="B89" i="3"/>
  <c r="B87" i="3"/>
  <c r="B85" i="3"/>
  <c r="B83" i="3"/>
  <c r="B81" i="3"/>
  <c r="B79" i="3"/>
  <c r="B77" i="3"/>
  <c r="B75" i="3"/>
  <c r="B73" i="3"/>
  <c r="B71" i="3"/>
  <c r="B69" i="3"/>
  <c r="B67" i="3"/>
  <c r="B65" i="3"/>
  <c r="B63" i="3"/>
  <c r="B61" i="3"/>
  <c r="B59" i="3"/>
  <c r="B57" i="3"/>
  <c r="B55" i="3"/>
  <c r="B53" i="3"/>
  <c r="B51" i="3"/>
  <c r="B49" i="3"/>
  <c r="B47" i="3"/>
  <c r="B45" i="3"/>
  <c r="B43" i="3"/>
  <c r="B41" i="3"/>
  <c r="B39" i="3"/>
  <c r="B37" i="3"/>
  <c r="B35" i="3"/>
  <c r="B33" i="3"/>
  <c r="B31" i="3"/>
  <c r="B29" i="3"/>
  <c r="B27" i="3"/>
  <c r="B25" i="3"/>
  <c r="B23" i="3"/>
  <c r="B21" i="3"/>
  <c r="B19" i="3"/>
  <c r="B17" i="3"/>
  <c r="B15" i="3"/>
  <c r="B13" i="3"/>
  <c r="B11" i="3"/>
  <c r="B9" i="3"/>
  <c r="B7" i="3"/>
  <c r="B5" i="3"/>
  <c r="B3" i="3"/>
  <c r="E102" i="3"/>
  <c r="E100" i="3"/>
  <c r="E98" i="3"/>
  <c r="E96" i="3"/>
  <c r="E94" i="3"/>
  <c r="E92" i="3"/>
  <c r="E90" i="3"/>
  <c r="E88" i="3"/>
  <c r="E86" i="3"/>
  <c r="E84" i="3"/>
  <c r="E82" i="3"/>
  <c r="E80" i="3"/>
  <c r="E78" i="3"/>
  <c r="E76" i="3"/>
  <c r="E74" i="3"/>
  <c r="E72" i="3"/>
  <c r="E70" i="3"/>
  <c r="E68" i="3"/>
  <c r="E66" i="3"/>
  <c r="E64" i="3"/>
  <c r="E62" i="3"/>
  <c r="E60" i="3"/>
  <c r="E58" i="3"/>
  <c r="E56" i="3"/>
  <c r="E54" i="3"/>
  <c r="E52" i="3"/>
  <c r="E50" i="3"/>
  <c r="E48" i="3"/>
  <c r="D102" i="3"/>
  <c r="D100" i="3"/>
  <c r="D98" i="3"/>
  <c r="D96" i="3"/>
  <c r="D94" i="3"/>
  <c r="D92" i="3"/>
  <c r="D90" i="3"/>
  <c r="D88" i="3"/>
  <c r="D86" i="3"/>
  <c r="D84" i="3"/>
  <c r="D82" i="3"/>
  <c r="D80" i="3"/>
  <c r="D78" i="3"/>
  <c r="D76" i="3"/>
  <c r="D74" i="3"/>
  <c r="D72" i="3"/>
  <c r="D70" i="3"/>
  <c r="D68" i="3"/>
  <c r="D66" i="3"/>
  <c r="D64" i="3"/>
  <c r="D62" i="3"/>
  <c r="D60" i="3"/>
  <c r="D58" i="3"/>
  <c r="D56" i="3"/>
  <c r="D54" i="3"/>
  <c r="D52" i="3"/>
  <c r="D50" i="3"/>
  <c r="D48" i="3"/>
  <c r="D46" i="3"/>
  <c r="D44" i="3"/>
  <c r="D42" i="3"/>
  <c r="D40" i="3"/>
  <c r="D38" i="3"/>
  <c r="D36" i="3"/>
  <c r="D34" i="3"/>
  <c r="D32" i="3"/>
  <c r="D30" i="3"/>
  <c r="D28" i="3"/>
  <c r="D26" i="3"/>
  <c r="D24" i="3"/>
  <c r="C102" i="3"/>
  <c r="C100" i="3"/>
  <c r="C98" i="3"/>
  <c r="C96" i="3"/>
  <c r="C94" i="3"/>
  <c r="C92" i="3"/>
  <c r="C90" i="3"/>
  <c r="C88" i="3"/>
  <c r="C86" i="3"/>
  <c r="C84" i="3"/>
  <c r="C82" i="3"/>
  <c r="C80" i="3"/>
  <c r="C78" i="3"/>
  <c r="C76" i="3"/>
  <c r="C74" i="3"/>
  <c r="C72" i="3"/>
  <c r="C70" i="3"/>
  <c r="C68" i="3"/>
  <c r="C66" i="3"/>
  <c r="C64" i="3"/>
  <c r="C62" i="3"/>
  <c r="C60" i="3"/>
  <c r="C58" i="3"/>
  <c r="C56" i="3"/>
  <c r="C54" i="3"/>
  <c r="C52" i="3"/>
  <c r="C50" i="3"/>
  <c r="C48" i="3"/>
  <c r="C46" i="3"/>
  <c r="C44" i="3"/>
  <c r="C42" i="3"/>
  <c r="C40" i="3"/>
  <c r="C38" i="3"/>
  <c r="C36" i="3"/>
  <c r="C34" i="3"/>
  <c r="C32" i="3"/>
  <c r="C30" i="3"/>
  <c r="C28" i="3"/>
  <c r="C26" i="3"/>
  <c r="C24" i="3"/>
  <c r="C22" i="3"/>
  <c r="C20" i="3"/>
  <c r="C18" i="3"/>
  <c r="B102" i="3"/>
  <c r="B100" i="3"/>
  <c r="B98" i="3"/>
  <c r="B96" i="3"/>
  <c r="B94" i="3"/>
  <c r="B92" i="3"/>
  <c r="B90" i="3"/>
  <c r="B88" i="3"/>
  <c r="B86" i="3"/>
  <c r="B84" i="3"/>
  <c r="B82" i="3"/>
  <c r="B80" i="3"/>
  <c r="B78" i="3"/>
  <c r="B76" i="3"/>
  <c r="B74" i="3"/>
  <c r="B72" i="3"/>
  <c r="B70" i="3"/>
  <c r="B68" i="3"/>
  <c r="B66" i="3"/>
  <c r="B64" i="3"/>
  <c r="B62" i="3"/>
  <c r="B60" i="3"/>
  <c r="B58" i="3"/>
  <c r="B56" i="3"/>
  <c r="B54" i="3"/>
  <c r="B52" i="3"/>
  <c r="B50" i="3"/>
  <c r="B48" i="3"/>
  <c r="B46" i="3"/>
  <c r="B44" i="3"/>
  <c r="B42" i="3"/>
  <c r="B40" i="3"/>
  <c r="B38" i="3"/>
  <c r="E101" i="3"/>
  <c r="E99" i="3"/>
  <c r="E97" i="3"/>
  <c r="E95" i="3"/>
  <c r="E93" i="3"/>
  <c r="E91" i="3"/>
  <c r="E89" i="3"/>
  <c r="E87" i="3"/>
  <c r="E85" i="3"/>
  <c r="E83" i="3"/>
  <c r="E81" i="3"/>
  <c r="E79" i="3"/>
  <c r="E77" i="3"/>
  <c r="E75" i="3"/>
  <c r="E73" i="3"/>
  <c r="E71" i="3"/>
  <c r="E69" i="3"/>
  <c r="E67" i="3"/>
  <c r="E65" i="3"/>
  <c r="E63" i="3"/>
  <c r="E61" i="3"/>
  <c r="E59" i="3"/>
  <c r="E57" i="3"/>
  <c r="E55" i="3"/>
  <c r="E53" i="3"/>
  <c r="E51" i="3"/>
  <c r="E49" i="3"/>
  <c r="E47" i="3"/>
  <c r="E45" i="3"/>
  <c r="E43" i="3"/>
  <c r="E41" i="3"/>
  <c r="E39" i="3"/>
  <c r="D101" i="3"/>
  <c r="D99" i="3"/>
  <c r="D97" i="3"/>
  <c r="D95" i="3"/>
  <c r="D93" i="3"/>
  <c r="D91" i="3"/>
  <c r="D89" i="3"/>
  <c r="D87" i="3"/>
  <c r="D85" i="3"/>
  <c r="D83" i="3"/>
  <c r="D81" i="3"/>
  <c r="D79" i="3"/>
  <c r="D77" i="3"/>
  <c r="D75" i="3"/>
  <c r="D73" i="3"/>
  <c r="D71" i="3"/>
  <c r="D69" i="3"/>
  <c r="D67" i="3"/>
  <c r="D65" i="3"/>
  <c r="D63" i="3"/>
  <c r="D61" i="3"/>
  <c r="D59" i="3"/>
  <c r="D57" i="3"/>
  <c r="D55" i="3"/>
  <c r="D53" i="3"/>
  <c r="D51" i="3"/>
  <c r="D49" i="3"/>
  <c r="D47" i="3"/>
  <c r="D45" i="3"/>
  <c r="D43" i="3"/>
  <c r="D41" i="3"/>
  <c r="D39" i="3"/>
  <c r="D37" i="3"/>
  <c r="D35" i="3"/>
  <c r="D33" i="3"/>
  <c r="D31" i="3"/>
  <c r="D29" i="3"/>
  <c r="D27" i="3"/>
  <c r="D25" i="3"/>
  <c r="D23" i="3"/>
  <c r="D21" i="3"/>
  <c r="D19" i="3"/>
  <c r="D17" i="3"/>
  <c r="D15" i="3"/>
  <c r="D13" i="3"/>
  <c r="D11" i="3"/>
  <c r="D9" i="3"/>
  <c r="D7" i="3"/>
  <c r="D5" i="3"/>
  <c r="D3" i="3"/>
  <c r="E44" i="3"/>
  <c r="B22" i="3"/>
  <c r="E18" i="3"/>
  <c r="E12" i="3"/>
  <c r="B10" i="3"/>
  <c r="C4" i="3"/>
  <c r="E37" i="3"/>
  <c r="E33" i="3"/>
  <c r="E29" i="3"/>
  <c r="E25" i="3"/>
  <c r="D18" i="3"/>
  <c r="E15" i="3"/>
  <c r="D12" i="3"/>
  <c r="E6" i="3"/>
  <c r="B4" i="3"/>
  <c r="E21" i="3"/>
  <c r="B18" i="3"/>
  <c r="C12" i="3"/>
  <c r="E9" i="3"/>
  <c r="D6" i="3"/>
  <c r="E42" i="3"/>
  <c r="E36" i="3"/>
  <c r="E32" i="3"/>
  <c r="E28" i="3"/>
  <c r="E24" i="3"/>
  <c r="E14" i="3"/>
  <c r="B12" i="3"/>
  <c r="C6" i="3"/>
  <c r="E3" i="3"/>
  <c r="B36" i="3"/>
  <c r="B32" i="3"/>
  <c r="B28" i="3"/>
  <c r="B24" i="3"/>
  <c r="E20" i="3"/>
  <c r="E17" i="3"/>
  <c r="D14" i="3"/>
  <c r="E8" i="3"/>
  <c r="B6" i="3"/>
  <c r="D20" i="3"/>
  <c r="C14" i="3"/>
  <c r="E11" i="3"/>
  <c r="D8" i="3"/>
  <c r="E40" i="3"/>
  <c r="E35" i="3"/>
  <c r="E31" i="3"/>
  <c r="E27" i="3"/>
  <c r="E23" i="3"/>
  <c r="B20" i="3"/>
  <c r="E16" i="3"/>
  <c r="B14" i="3"/>
  <c r="C8" i="3"/>
  <c r="E5" i="3"/>
  <c r="E46" i="3"/>
  <c r="D16" i="3"/>
  <c r="E10" i="3"/>
  <c r="B8" i="3"/>
  <c r="E34" i="3"/>
  <c r="E30" i="3"/>
  <c r="E26" i="3"/>
  <c r="E22" i="3"/>
  <c r="E19" i="3"/>
  <c r="C16" i="3"/>
  <c r="E13" i="3"/>
  <c r="D10" i="3"/>
  <c r="E4" i="3"/>
  <c r="E38" i="3"/>
  <c r="B34" i="3"/>
  <c r="B30" i="3"/>
  <c r="B26" i="3"/>
  <c r="D22" i="3"/>
  <c r="B16" i="3"/>
  <c r="C10" i="3"/>
  <c r="E7" i="3"/>
  <c r="D4" i="3"/>
  <c r="R18" i="2"/>
  <c r="V18" i="2"/>
  <c r="U18" i="2"/>
  <c r="S18" i="2"/>
  <c r="Q18" i="2"/>
  <c r="P18" i="2"/>
  <c r="O18" i="2"/>
  <c r="N18" i="2"/>
  <c r="M18" i="2"/>
  <c r="B17" i="2" l="1"/>
  <c r="B4" i="2"/>
  <c r="B10" i="2"/>
  <c r="B9" i="2"/>
  <c r="B5" i="2"/>
  <c r="B20" i="2"/>
  <c r="B7" i="2"/>
  <c r="B3" i="2"/>
  <c r="B8" i="2"/>
  <c r="B19" i="2"/>
  <c r="B23" i="2"/>
  <c r="B28" i="2"/>
  <c r="B31" i="2"/>
  <c r="B26" i="2"/>
  <c r="B99" i="2"/>
  <c r="B94" i="2"/>
  <c r="B98" i="2"/>
  <c r="B93" i="2"/>
  <c r="B88" i="2"/>
  <c r="B83" i="2"/>
  <c r="B78" i="2"/>
  <c r="B73" i="2"/>
  <c r="B68" i="2"/>
  <c r="B63" i="2"/>
  <c r="B84" i="2"/>
  <c r="B101" i="2"/>
  <c r="B89" i="2"/>
  <c r="B80" i="2"/>
  <c r="B95" i="2"/>
  <c r="B90" i="2"/>
  <c r="B81" i="2"/>
  <c r="B54" i="2"/>
  <c r="B86" i="2"/>
  <c r="B100" i="2"/>
  <c r="B97" i="2"/>
  <c r="B91" i="2"/>
  <c r="B82" i="2"/>
  <c r="B67" i="2"/>
  <c r="B87" i="2"/>
  <c r="B72" i="2"/>
  <c r="B71" i="2"/>
  <c r="B70" i="2"/>
  <c r="B69" i="2"/>
  <c r="B96" i="2"/>
  <c r="B79" i="2"/>
  <c r="B56" i="2"/>
  <c r="B51" i="2"/>
  <c r="B50" i="2"/>
  <c r="B77" i="2"/>
  <c r="B74" i="2"/>
  <c r="B65" i="2"/>
  <c r="B60" i="2"/>
  <c r="B52" i="2"/>
  <c r="B49" i="2"/>
  <c r="B44" i="2"/>
  <c r="B39" i="2"/>
  <c r="B57" i="2"/>
  <c r="B102" i="2"/>
  <c r="B85" i="2"/>
  <c r="B75" i="2"/>
  <c r="B53" i="2"/>
  <c r="B48" i="2"/>
  <c r="B43" i="2"/>
  <c r="B38" i="2"/>
  <c r="B33" i="2"/>
  <c r="B58" i="2"/>
  <c r="B61" i="2"/>
  <c r="B92" i="2"/>
  <c r="B66" i="2"/>
  <c r="B76" i="2"/>
  <c r="B64" i="2"/>
  <c r="B55" i="2"/>
  <c r="B62" i="2"/>
  <c r="B45" i="2"/>
  <c r="B40" i="2"/>
  <c r="B34" i="2"/>
  <c r="B30" i="2"/>
  <c r="B21" i="2"/>
  <c r="B16" i="2"/>
  <c r="B11" i="2"/>
  <c r="B6" i="2"/>
  <c r="B35" i="2"/>
  <c r="B36" i="2"/>
  <c r="B59" i="2"/>
  <c r="B47" i="2"/>
  <c r="B42" i="2"/>
  <c r="B32" i="2"/>
  <c r="B46" i="2"/>
  <c r="B41" i="2"/>
  <c r="B29" i="2"/>
  <c r="B22" i="2"/>
  <c r="B12" i="2"/>
  <c r="B13" i="2"/>
  <c r="B14" i="2"/>
  <c r="B15" i="2"/>
  <c r="B25" i="2"/>
  <c r="B37" i="2"/>
  <c r="B24" i="2"/>
  <c r="B27" i="2"/>
  <c r="L17" i="2"/>
  <c r="S17" i="2"/>
  <c r="U17" i="2"/>
  <c r="G17" i="2"/>
  <c r="R17" i="2"/>
  <c r="M17" i="2"/>
  <c r="N17" i="2"/>
  <c r="D17" i="2"/>
  <c r="E17" i="2"/>
  <c r="P17" i="2"/>
  <c r="Q17" i="2"/>
  <c r="O17" i="2"/>
  <c r="V17" i="2"/>
  <c r="F10" i="2"/>
  <c r="R10" i="2"/>
  <c r="S10" i="2"/>
  <c r="U10" i="2"/>
  <c r="Q10" i="2"/>
  <c r="D10" i="2"/>
  <c r="M10" i="2"/>
  <c r="V10" i="2"/>
  <c r="O10" i="2"/>
  <c r="P10" i="2"/>
  <c r="N10" i="2"/>
  <c r="R9" i="2"/>
  <c r="S9" i="2"/>
  <c r="U9" i="2"/>
  <c r="Q9" i="2"/>
  <c r="M9" i="2"/>
  <c r="V9" i="2"/>
  <c r="N9" i="2"/>
  <c r="O9" i="2"/>
  <c r="P9" i="2"/>
  <c r="K5" i="2"/>
  <c r="L5" i="2"/>
  <c r="R5" i="2"/>
  <c r="S5" i="2"/>
  <c r="E5" i="2"/>
  <c r="P5" i="2"/>
  <c r="U5" i="2"/>
  <c r="Q5" i="2"/>
  <c r="V5" i="2"/>
  <c r="D5" i="2"/>
  <c r="M5" i="2"/>
  <c r="O5" i="2"/>
  <c r="N5" i="2"/>
  <c r="M7" i="2"/>
  <c r="R7" i="2"/>
  <c r="S7" i="2"/>
  <c r="U7" i="2"/>
  <c r="P7" i="2"/>
  <c r="V7" i="2"/>
  <c r="N7" i="2"/>
  <c r="O7" i="2"/>
  <c r="Q7" i="2"/>
  <c r="K4" i="2"/>
  <c r="L4" i="2"/>
  <c r="R4" i="2"/>
  <c r="O4" i="2"/>
  <c r="S4" i="2"/>
  <c r="D4" i="2"/>
  <c r="U4" i="2"/>
  <c r="Q4" i="2"/>
  <c r="V4" i="2"/>
  <c r="F4" i="2"/>
  <c r="M4" i="2"/>
  <c r="N4" i="2"/>
  <c r="P4" i="2"/>
  <c r="L20" i="2"/>
  <c r="Q20" i="2"/>
  <c r="R20" i="2"/>
  <c r="S20" i="2"/>
  <c r="U20" i="2"/>
  <c r="V20" i="2"/>
  <c r="M20" i="2"/>
  <c r="O20" i="2"/>
  <c r="K20" i="2"/>
  <c r="P20" i="2"/>
  <c r="N20" i="2"/>
  <c r="L3" i="2"/>
  <c r="K3" i="2"/>
  <c r="Q3" i="2"/>
  <c r="P3" i="2"/>
  <c r="S3" i="2"/>
  <c r="U3" i="2"/>
  <c r="V3" i="2"/>
  <c r="H3" i="2"/>
  <c r="M3" i="2"/>
  <c r="N3" i="2"/>
  <c r="D3" i="2"/>
  <c r="O3" i="2"/>
  <c r="R3" i="2"/>
  <c r="M8" i="2"/>
  <c r="Q8" i="2"/>
  <c r="S8" i="2"/>
  <c r="U8" i="2"/>
  <c r="P8" i="2"/>
  <c r="V8" i="2"/>
  <c r="N8" i="2"/>
  <c r="O8" i="2"/>
  <c r="R8" i="2"/>
  <c r="H18" i="2"/>
  <c r="K18" i="2"/>
  <c r="H7" i="2"/>
  <c r="T8" i="2"/>
  <c r="T9" i="2"/>
  <c r="I17" i="2"/>
  <c r="G20" i="2"/>
  <c r="J10" i="2"/>
  <c r="T17" i="2"/>
  <c r="M73" i="2"/>
  <c r="P73" i="2"/>
  <c r="R73" i="2"/>
  <c r="U73" i="2"/>
  <c r="N73" i="2"/>
  <c r="O73" i="2"/>
  <c r="Q73" i="2"/>
  <c r="S73" i="2"/>
  <c r="V73" i="2"/>
  <c r="O54" i="2"/>
  <c r="M54" i="2"/>
  <c r="N54" i="2"/>
  <c r="P54" i="2"/>
  <c r="Q54" i="2"/>
  <c r="R54" i="2"/>
  <c r="U54" i="2"/>
  <c r="S54" i="2"/>
  <c r="V54" i="2"/>
  <c r="O70" i="2"/>
  <c r="Q70" i="2"/>
  <c r="S70" i="2"/>
  <c r="U70" i="2"/>
  <c r="V70" i="2"/>
  <c r="M70" i="2"/>
  <c r="N70" i="2"/>
  <c r="P70" i="2"/>
  <c r="R70" i="2"/>
  <c r="S60" i="2"/>
  <c r="U60" i="2"/>
  <c r="M60" i="2"/>
  <c r="O60" i="2"/>
  <c r="P60" i="2"/>
  <c r="Q60" i="2"/>
  <c r="V60" i="2"/>
  <c r="N60" i="2"/>
  <c r="R60" i="2"/>
  <c r="M48" i="2"/>
  <c r="R48" i="2"/>
  <c r="S48" i="2"/>
  <c r="U48" i="2"/>
  <c r="P48" i="2"/>
  <c r="Q48" i="2"/>
  <c r="V48" i="2"/>
  <c r="N48" i="2"/>
  <c r="O48" i="2"/>
  <c r="O55" i="2"/>
  <c r="M55" i="2"/>
  <c r="N55" i="2"/>
  <c r="P55" i="2"/>
  <c r="R55" i="2"/>
  <c r="S55" i="2"/>
  <c r="U55" i="2"/>
  <c r="V55" i="2"/>
  <c r="Q55" i="2"/>
  <c r="M35" i="2"/>
  <c r="S35" i="2"/>
  <c r="V35" i="2"/>
  <c r="Q35" i="2"/>
  <c r="N35" i="2"/>
  <c r="O35" i="2"/>
  <c r="P35" i="2"/>
  <c r="R35" i="2"/>
  <c r="U35" i="2"/>
  <c r="L10" i="2"/>
  <c r="C3" i="2"/>
  <c r="G8" i="2"/>
  <c r="E4" i="2"/>
  <c r="I20" i="2"/>
  <c r="V96" i="2"/>
  <c r="S96" i="2"/>
  <c r="M96" i="2"/>
  <c r="N96" i="2"/>
  <c r="O96" i="2"/>
  <c r="U96" i="2"/>
  <c r="P96" i="2"/>
  <c r="Q96" i="2"/>
  <c r="R96" i="2"/>
  <c r="S45" i="2"/>
  <c r="N45" i="2"/>
  <c r="O45" i="2"/>
  <c r="P45" i="2"/>
  <c r="Q45" i="2"/>
  <c r="V45" i="2"/>
  <c r="M45" i="2"/>
  <c r="R45" i="2"/>
  <c r="U45" i="2"/>
  <c r="S13" i="2"/>
  <c r="Q13" i="2"/>
  <c r="U13" i="2"/>
  <c r="V13" i="2"/>
  <c r="N13" i="2"/>
  <c r="M13" i="2"/>
  <c r="O13" i="2"/>
  <c r="P13" i="2"/>
  <c r="R13" i="2"/>
  <c r="G18" i="2"/>
  <c r="F8" i="2"/>
  <c r="G9" i="2"/>
  <c r="H4" i="2"/>
  <c r="Q97" i="2"/>
  <c r="M97" i="2"/>
  <c r="R97" i="2"/>
  <c r="U97" i="2"/>
  <c r="V97" i="2"/>
  <c r="S97" i="2"/>
  <c r="N97" i="2"/>
  <c r="O97" i="2"/>
  <c r="P97" i="2"/>
  <c r="P44" i="2"/>
  <c r="Q44" i="2"/>
  <c r="R44" i="2"/>
  <c r="S44" i="2"/>
  <c r="U44" i="2"/>
  <c r="N44" i="2"/>
  <c r="O44" i="2"/>
  <c r="V44" i="2"/>
  <c r="M44" i="2"/>
  <c r="P40" i="2"/>
  <c r="M40" i="2"/>
  <c r="N40" i="2"/>
  <c r="O40" i="2"/>
  <c r="Q40" i="2"/>
  <c r="S40" i="2"/>
  <c r="V40" i="2"/>
  <c r="R40" i="2"/>
  <c r="U40" i="2"/>
  <c r="S14" i="2"/>
  <c r="U14" i="2"/>
  <c r="V14" i="2"/>
  <c r="N14" i="2"/>
  <c r="R14" i="2"/>
  <c r="M14" i="2"/>
  <c r="O14" i="2"/>
  <c r="Q14" i="2"/>
  <c r="P14" i="2"/>
  <c r="C7" i="2"/>
  <c r="D9" i="2"/>
  <c r="M28" i="2"/>
  <c r="N28" i="2"/>
  <c r="P28" i="2"/>
  <c r="S28" i="2"/>
  <c r="Q28" i="2"/>
  <c r="R28" i="2"/>
  <c r="U28" i="2"/>
  <c r="V28" i="2"/>
  <c r="O28" i="2"/>
  <c r="J3" i="2"/>
  <c r="V101" i="2"/>
  <c r="M101" i="2"/>
  <c r="N101" i="2"/>
  <c r="O101" i="2"/>
  <c r="S101" i="2"/>
  <c r="U101" i="2"/>
  <c r="P101" i="2"/>
  <c r="Q101" i="2"/>
  <c r="R101" i="2"/>
  <c r="S56" i="2"/>
  <c r="P56" i="2"/>
  <c r="Q56" i="2"/>
  <c r="U56" i="2"/>
  <c r="V56" i="2"/>
  <c r="M56" i="2"/>
  <c r="N56" i="2"/>
  <c r="O56" i="2"/>
  <c r="R56" i="2"/>
  <c r="Q39" i="2"/>
  <c r="O39" i="2"/>
  <c r="P39" i="2"/>
  <c r="R39" i="2"/>
  <c r="S39" i="2"/>
  <c r="U39" i="2"/>
  <c r="N39" i="2"/>
  <c r="V39" i="2"/>
  <c r="M39" i="2"/>
  <c r="M58" i="2"/>
  <c r="O58" i="2"/>
  <c r="P58" i="2"/>
  <c r="Q58" i="2"/>
  <c r="R58" i="2"/>
  <c r="S58" i="2"/>
  <c r="U58" i="2"/>
  <c r="N58" i="2"/>
  <c r="V58" i="2"/>
  <c r="Q34" i="2"/>
  <c r="R34" i="2"/>
  <c r="S34" i="2"/>
  <c r="P34" i="2"/>
  <c r="U34" i="2"/>
  <c r="V34" i="2"/>
  <c r="N34" i="2"/>
  <c r="O34" i="2"/>
  <c r="M34" i="2"/>
  <c r="V42" i="2"/>
  <c r="M42" i="2"/>
  <c r="O42" i="2"/>
  <c r="S42" i="2"/>
  <c r="U42" i="2"/>
  <c r="R42" i="2"/>
  <c r="N42" i="2"/>
  <c r="P42" i="2"/>
  <c r="Q42" i="2"/>
  <c r="F17" i="2"/>
  <c r="K7" i="2"/>
  <c r="K9" i="2"/>
  <c r="T4" i="2"/>
  <c r="N95" i="2"/>
  <c r="O95" i="2"/>
  <c r="P95" i="2"/>
  <c r="Q95" i="2"/>
  <c r="U95" i="2"/>
  <c r="V95" i="2"/>
  <c r="M95" i="2"/>
  <c r="R95" i="2"/>
  <c r="S95" i="2"/>
  <c r="M77" i="2"/>
  <c r="S77" i="2"/>
  <c r="V77" i="2"/>
  <c r="O77" i="2"/>
  <c r="P77" i="2"/>
  <c r="Q77" i="2"/>
  <c r="R77" i="2"/>
  <c r="U77" i="2"/>
  <c r="N77" i="2"/>
  <c r="S16" i="2"/>
  <c r="U16" i="2"/>
  <c r="O16" i="2"/>
  <c r="R16" i="2"/>
  <c r="M16" i="2"/>
  <c r="N16" i="2"/>
  <c r="P16" i="2"/>
  <c r="Q16" i="2"/>
  <c r="V16" i="2"/>
  <c r="D20" i="2"/>
  <c r="E8" i="2"/>
  <c r="G5" i="2"/>
  <c r="G3" i="2"/>
  <c r="M76" i="2"/>
  <c r="S76" i="2"/>
  <c r="V76" i="2"/>
  <c r="N76" i="2"/>
  <c r="O76" i="2"/>
  <c r="Q76" i="2"/>
  <c r="R76" i="2"/>
  <c r="U76" i="2"/>
  <c r="P76" i="2"/>
  <c r="F20" i="2"/>
  <c r="J8" i="2"/>
  <c r="K17" i="2"/>
  <c r="C20" i="2"/>
  <c r="T18" i="2"/>
  <c r="T7" i="2"/>
  <c r="G7" i="2"/>
  <c r="I8" i="2"/>
  <c r="I9" i="2"/>
  <c r="N19" i="2"/>
  <c r="O19" i="2"/>
  <c r="Q19" i="2"/>
  <c r="S19" i="2"/>
  <c r="U19" i="2"/>
  <c r="V19" i="2"/>
  <c r="M19" i="2"/>
  <c r="R19" i="2"/>
  <c r="P19" i="2"/>
  <c r="N26" i="2"/>
  <c r="O26" i="2"/>
  <c r="P26" i="2"/>
  <c r="R26" i="2"/>
  <c r="V26" i="2"/>
  <c r="M26" i="2"/>
  <c r="Q26" i="2"/>
  <c r="U26" i="2"/>
  <c r="S26" i="2"/>
  <c r="H20" i="2"/>
  <c r="J17" i="2"/>
  <c r="U68" i="2"/>
  <c r="O68" i="2"/>
  <c r="Q68" i="2"/>
  <c r="R68" i="2"/>
  <c r="M68" i="2"/>
  <c r="N68" i="2"/>
  <c r="P68" i="2"/>
  <c r="S68" i="2"/>
  <c r="V68" i="2"/>
  <c r="Q86" i="2"/>
  <c r="V86" i="2"/>
  <c r="M86" i="2"/>
  <c r="N86" i="2"/>
  <c r="O86" i="2"/>
  <c r="R86" i="2"/>
  <c r="S86" i="2"/>
  <c r="U86" i="2"/>
  <c r="P86" i="2"/>
  <c r="R69" i="2"/>
  <c r="U69" i="2"/>
  <c r="V69" i="2"/>
  <c r="O69" i="2"/>
  <c r="Q69" i="2"/>
  <c r="M69" i="2"/>
  <c r="N69" i="2"/>
  <c r="P69" i="2"/>
  <c r="S69" i="2"/>
  <c r="V52" i="2"/>
  <c r="R52" i="2"/>
  <c r="S52" i="2"/>
  <c r="U52" i="2"/>
  <c r="N52" i="2"/>
  <c r="O52" i="2"/>
  <c r="Q52" i="2"/>
  <c r="M52" i="2"/>
  <c r="P52" i="2"/>
  <c r="S43" i="2"/>
  <c r="M43" i="2"/>
  <c r="R43" i="2"/>
  <c r="U43" i="2"/>
  <c r="P43" i="2"/>
  <c r="Q43" i="2"/>
  <c r="V43" i="2"/>
  <c r="N43" i="2"/>
  <c r="O43" i="2"/>
  <c r="Q62" i="2"/>
  <c r="R62" i="2"/>
  <c r="S62" i="2"/>
  <c r="U62" i="2"/>
  <c r="M62" i="2"/>
  <c r="P62" i="2"/>
  <c r="V62" i="2"/>
  <c r="O62" i="2"/>
  <c r="N62" i="2"/>
  <c r="O36" i="2"/>
  <c r="V36" i="2"/>
  <c r="M36" i="2"/>
  <c r="N36" i="2"/>
  <c r="Q36" i="2"/>
  <c r="U36" i="2"/>
  <c r="P36" i="2"/>
  <c r="R36" i="2"/>
  <c r="S36" i="2"/>
  <c r="R12" i="2"/>
  <c r="S12" i="2"/>
  <c r="U12" i="2"/>
  <c r="V12" i="2"/>
  <c r="Q12" i="2"/>
  <c r="N12" i="2"/>
  <c r="M12" i="2"/>
  <c r="O12" i="2"/>
  <c r="P12" i="2"/>
  <c r="C4" i="2"/>
  <c r="J18" i="2"/>
  <c r="J7" i="2"/>
  <c r="H8" i="2"/>
  <c r="H9" i="2"/>
  <c r="E20" i="2"/>
  <c r="T20" i="2"/>
  <c r="U63" i="2"/>
  <c r="M63" i="2"/>
  <c r="N63" i="2"/>
  <c r="P63" i="2"/>
  <c r="Q63" i="2"/>
  <c r="R63" i="2"/>
  <c r="S63" i="2"/>
  <c r="O63" i="2"/>
  <c r="V63" i="2"/>
  <c r="O100" i="2"/>
  <c r="N100" i="2"/>
  <c r="P100" i="2"/>
  <c r="Q100" i="2"/>
  <c r="U100" i="2"/>
  <c r="V100" i="2"/>
  <c r="M100" i="2"/>
  <c r="R100" i="2"/>
  <c r="S100" i="2"/>
  <c r="P49" i="2"/>
  <c r="R49" i="2"/>
  <c r="N49" i="2"/>
  <c r="O49" i="2"/>
  <c r="Q49" i="2"/>
  <c r="U49" i="2"/>
  <c r="V49" i="2"/>
  <c r="M49" i="2"/>
  <c r="S49" i="2"/>
  <c r="P38" i="2"/>
  <c r="U38" i="2"/>
  <c r="M38" i="2"/>
  <c r="Q38" i="2"/>
  <c r="R38" i="2"/>
  <c r="S38" i="2"/>
  <c r="V38" i="2"/>
  <c r="N38" i="2"/>
  <c r="O38" i="2"/>
  <c r="M59" i="2"/>
  <c r="O59" i="2"/>
  <c r="P59" i="2"/>
  <c r="Q59" i="2"/>
  <c r="R59" i="2"/>
  <c r="S59" i="2"/>
  <c r="U59" i="2"/>
  <c r="V59" i="2"/>
  <c r="N59" i="2"/>
  <c r="C5" i="2"/>
  <c r="D7" i="2"/>
  <c r="F9" i="2"/>
  <c r="N23" i="2"/>
  <c r="P23" i="2"/>
  <c r="Q23" i="2"/>
  <c r="R23" i="2"/>
  <c r="S23" i="2"/>
  <c r="V23" i="2"/>
  <c r="M23" i="2"/>
  <c r="U23" i="2"/>
  <c r="O23" i="2"/>
  <c r="H5" i="2"/>
  <c r="Q84" i="2"/>
  <c r="R84" i="2"/>
  <c r="P84" i="2"/>
  <c r="S84" i="2"/>
  <c r="U84" i="2"/>
  <c r="V84" i="2"/>
  <c r="M84" i="2"/>
  <c r="N84" i="2"/>
  <c r="O84" i="2"/>
  <c r="P79" i="2"/>
  <c r="Q79" i="2"/>
  <c r="N79" i="2"/>
  <c r="R79" i="2"/>
  <c r="S79" i="2"/>
  <c r="U79" i="2"/>
  <c r="V79" i="2"/>
  <c r="M79" i="2"/>
  <c r="O79" i="2"/>
  <c r="N33" i="2"/>
  <c r="P33" i="2"/>
  <c r="Q33" i="2"/>
  <c r="M33" i="2"/>
  <c r="R33" i="2"/>
  <c r="S33" i="2"/>
  <c r="U33" i="2"/>
  <c r="V33" i="2"/>
  <c r="O33" i="2"/>
  <c r="M47" i="2"/>
  <c r="O47" i="2"/>
  <c r="U47" i="2"/>
  <c r="V47" i="2"/>
  <c r="R47" i="2"/>
  <c r="S47" i="2"/>
  <c r="N47" i="2"/>
  <c r="P47" i="2"/>
  <c r="Q47" i="2"/>
  <c r="E10" i="2"/>
  <c r="D8" i="2"/>
  <c r="G10" i="2"/>
  <c r="I3" i="2"/>
  <c r="Q94" i="2"/>
  <c r="N94" i="2"/>
  <c r="P94" i="2"/>
  <c r="R94" i="2"/>
  <c r="S94" i="2"/>
  <c r="M94" i="2"/>
  <c r="O94" i="2"/>
  <c r="U94" i="2"/>
  <c r="V94" i="2"/>
  <c r="V91" i="2"/>
  <c r="M91" i="2"/>
  <c r="N91" i="2"/>
  <c r="O91" i="2"/>
  <c r="Q91" i="2"/>
  <c r="R91" i="2"/>
  <c r="S91" i="2"/>
  <c r="U91" i="2"/>
  <c r="P91" i="2"/>
  <c r="S15" i="2"/>
  <c r="U15" i="2"/>
  <c r="V15" i="2"/>
  <c r="O15" i="2"/>
  <c r="R15" i="2"/>
  <c r="M15" i="2"/>
  <c r="P15" i="2"/>
  <c r="Q15" i="2"/>
  <c r="N15" i="2"/>
  <c r="U102" i="2"/>
  <c r="R102" i="2"/>
  <c r="V102" i="2"/>
  <c r="M102" i="2"/>
  <c r="Q102" i="2"/>
  <c r="S102" i="2"/>
  <c r="N102" i="2"/>
  <c r="O102" i="2"/>
  <c r="P102" i="2"/>
  <c r="O92" i="2"/>
  <c r="M92" i="2"/>
  <c r="Q92" i="2"/>
  <c r="R92" i="2"/>
  <c r="U92" i="2"/>
  <c r="V92" i="2"/>
  <c r="S92" i="2"/>
  <c r="N92" i="2"/>
  <c r="P92" i="2"/>
  <c r="O46" i="2"/>
  <c r="Q46" i="2"/>
  <c r="V46" i="2"/>
  <c r="M46" i="2"/>
  <c r="N46" i="2"/>
  <c r="U46" i="2"/>
  <c r="P46" i="2"/>
  <c r="R46" i="2"/>
  <c r="S46" i="2"/>
  <c r="M27" i="2"/>
  <c r="N27" i="2"/>
  <c r="O27" i="2"/>
  <c r="S27" i="2"/>
  <c r="P27" i="2"/>
  <c r="R27" i="2"/>
  <c r="U27" i="2"/>
  <c r="V27" i="2"/>
  <c r="Q27" i="2"/>
  <c r="E18" i="2"/>
  <c r="G4" i="2"/>
  <c r="F5" i="2"/>
  <c r="U85" i="2"/>
  <c r="O85" i="2"/>
  <c r="S85" i="2"/>
  <c r="V85" i="2"/>
  <c r="N85" i="2"/>
  <c r="P85" i="2"/>
  <c r="Q85" i="2"/>
  <c r="M85" i="2"/>
  <c r="R85" i="2"/>
  <c r="Q41" i="2"/>
  <c r="U41" i="2"/>
  <c r="V41" i="2"/>
  <c r="M41" i="2"/>
  <c r="N41" i="2"/>
  <c r="O41" i="2"/>
  <c r="P41" i="2"/>
  <c r="R41" i="2"/>
  <c r="S41" i="2"/>
  <c r="E7" i="2"/>
  <c r="E9" i="2"/>
  <c r="I5" i="2"/>
  <c r="P72" i="2"/>
  <c r="R72" i="2"/>
  <c r="U72" i="2"/>
  <c r="V72" i="2"/>
  <c r="M72" i="2"/>
  <c r="O72" i="2"/>
  <c r="Q72" i="2"/>
  <c r="S72" i="2"/>
  <c r="N72" i="2"/>
  <c r="R11" i="2"/>
  <c r="S11" i="2"/>
  <c r="U11" i="2"/>
  <c r="Q11" i="2"/>
  <c r="N11" i="2"/>
  <c r="M11" i="2"/>
  <c r="O11" i="2"/>
  <c r="P11" i="2"/>
  <c r="V11" i="2"/>
  <c r="P29" i="2"/>
  <c r="Q29" i="2"/>
  <c r="R29" i="2"/>
  <c r="V29" i="2"/>
  <c r="O29" i="2"/>
  <c r="S29" i="2"/>
  <c r="U29" i="2"/>
  <c r="N29" i="2"/>
  <c r="M29" i="2"/>
  <c r="L18" i="2"/>
  <c r="H10" i="2"/>
  <c r="M74" i="2"/>
  <c r="R74" i="2"/>
  <c r="V74" i="2"/>
  <c r="N74" i="2"/>
  <c r="O74" i="2"/>
  <c r="P74" i="2"/>
  <c r="Q74" i="2"/>
  <c r="S74" i="2"/>
  <c r="U74" i="2"/>
  <c r="O81" i="2"/>
  <c r="V81" i="2"/>
  <c r="S81" i="2"/>
  <c r="M81" i="2"/>
  <c r="N81" i="2"/>
  <c r="Q81" i="2"/>
  <c r="R81" i="2"/>
  <c r="U81" i="2"/>
  <c r="P81" i="2"/>
  <c r="M6" i="2"/>
  <c r="R6" i="2"/>
  <c r="S6" i="2"/>
  <c r="P6" i="2"/>
  <c r="U6" i="2"/>
  <c r="Q6" i="2"/>
  <c r="N6" i="2"/>
  <c r="O6" i="2"/>
  <c r="V6" i="2"/>
  <c r="S99" i="2"/>
  <c r="Q99" i="2"/>
  <c r="R99" i="2"/>
  <c r="M99" i="2"/>
  <c r="N99" i="2"/>
  <c r="P99" i="2"/>
  <c r="O99" i="2"/>
  <c r="U99" i="2"/>
  <c r="V99" i="2"/>
  <c r="V90" i="2"/>
  <c r="U90" i="2"/>
  <c r="N90" i="2"/>
  <c r="O90" i="2"/>
  <c r="P90" i="2"/>
  <c r="Q90" i="2"/>
  <c r="S90" i="2"/>
  <c r="M90" i="2"/>
  <c r="R90" i="2"/>
  <c r="J9" i="2"/>
  <c r="F18" i="2"/>
  <c r="K10" i="2"/>
  <c r="C10" i="2"/>
  <c r="D18" i="2"/>
  <c r="L7" i="2"/>
  <c r="C8" i="2"/>
  <c r="C9" i="2"/>
  <c r="H17" i="2"/>
  <c r="N31" i="2"/>
  <c r="U31" i="2"/>
  <c r="V31" i="2"/>
  <c r="M31" i="2"/>
  <c r="O31" i="2"/>
  <c r="Q31" i="2"/>
  <c r="R31" i="2"/>
  <c r="P31" i="2"/>
  <c r="S31" i="2"/>
  <c r="T3" i="2"/>
  <c r="J4" i="2"/>
  <c r="O98" i="2"/>
  <c r="P98" i="2"/>
  <c r="R98" i="2"/>
  <c r="S98" i="2"/>
  <c r="U98" i="2"/>
  <c r="Q98" i="2"/>
  <c r="V98" i="2"/>
  <c r="M98" i="2"/>
  <c r="N98" i="2"/>
  <c r="M89" i="2"/>
  <c r="R89" i="2"/>
  <c r="S89" i="2"/>
  <c r="Q89" i="2"/>
  <c r="U89" i="2"/>
  <c r="V89" i="2"/>
  <c r="N89" i="2"/>
  <c r="P89" i="2"/>
  <c r="O89" i="2"/>
  <c r="R82" i="2"/>
  <c r="V82" i="2"/>
  <c r="M82" i="2"/>
  <c r="O82" i="2"/>
  <c r="P82" i="2"/>
  <c r="Q82" i="2"/>
  <c r="U82" i="2"/>
  <c r="S82" i="2"/>
  <c r="N82" i="2"/>
  <c r="Q51" i="2"/>
  <c r="N51" i="2"/>
  <c r="P51" i="2"/>
  <c r="S51" i="2"/>
  <c r="U51" i="2"/>
  <c r="V51" i="2"/>
  <c r="M51" i="2"/>
  <c r="O51" i="2"/>
  <c r="R51" i="2"/>
  <c r="U57" i="2"/>
  <c r="S57" i="2"/>
  <c r="V57" i="2"/>
  <c r="N57" i="2"/>
  <c r="O57" i="2"/>
  <c r="Q57" i="2"/>
  <c r="R57" i="2"/>
  <c r="M57" i="2"/>
  <c r="P57" i="2"/>
  <c r="M61" i="2"/>
  <c r="O61" i="2"/>
  <c r="Q61" i="2"/>
  <c r="R61" i="2"/>
  <c r="S61" i="2"/>
  <c r="U61" i="2"/>
  <c r="V61" i="2"/>
  <c r="N61" i="2"/>
  <c r="P61" i="2"/>
  <c r="M30" i="2"/>
  <c r="Q30" i="2"/>
  <c r="S30" i="2"/>
  <c r="P30" i="2"/>
  <c r="V30" i="2"/>
  <c r="N30" i="2"/>
  <c r="O30" i="2"/>
  <c r="R30" i="2"/>
  <c r="U30" i="2"/>
  <c r="M32" i="2"/>
  <c r="R32" i="2"/>
  <c r="V32" i="2"/>
  <c r="O32" i="2"/>
  <c r="P32" i="2"/>
  <c r="S32" i="2"/>
  <c r="U32" i="2"/>
  <c r="N32" i="2"/>
  <c r="Q32" i="2"/>
  <c r="C17" i="2"/>
  <c r="R24" i="2"/>
  <c r="S24" i="2"/>
  <c r="V24" i="2"/>
  <c r="N24" i="2"/>
  <c r="O24" i="2"/>
  <c r="P24" i="2"/>
  <c r="Q24" i="2"/>
  <c r="U24" i="2"/>
  <c r="M24" i="2"/>
  <c r="C18" i="2"/>
  <c r="F7" i="2"/>
  <c r="L8" i="2"/>
  <c r="L9" i="2"/>
  <c r="F3" i="2"/>
  <c r="E3" i="2"/>
  <c r="I4" i="2"/>
  <c r="J5" i="2"/>
  <c r="U93" i="2"/>
  <c r="O93" i="2"/>
  <c r="P93" i="2"/>
  <c r="R93" i="2"/>
  <c r="S93" i="2"/>
  <c r="Q93" i="2"/>
  <c r="V93" i="2"/>
  <c r="M93" i="2"/>
  <c r="N93" i="2"/>
  <c r="N80" i="2"/>
  <c r="S80" i="2"/>
  <c r="Q80" i="2"/>
  <c r="U80" i="2"/>
  <c r="V80" i="2"/>
  <c r="O80" i="2"/>
  <c r="P80" i="2"/>
  <c r="M80" i="2"/>
  <c r="R80" i="2"/>
  <c r="O67" i="2"/>
  <c r="Q67" i="2"/>
  <c r="R67" i="2"/>
  <c r="U67" i="2"/>
  <c r="V67" i="2"/>
  <c r="M67" i="2"/>
  <c r="P67" i="2"/>
  <c r="S67" i="2"/>
  <c r="N67" i="2"/>
  <c r="S50" i="2"/>
  <c r="P50" i="2"/>
  <c r="N50" i="2"/>
  <c r="O50" i="2"/>
  <c r="R50" i="2"/>
  <c r="U50" i="2"/>
  <c r="V50" i="2"/>
  <c r="M50" i="2"/>
  <c r="Q50" i="2"/>
  <c r="S21" i="2"/>
  <c r="U21" i="2"/>
  <c r="M21" i="2"/>
  <c r="O21" i="2"/>
  <c r="P21" i="2"/>
  <c r="Q21" i="2"/>
  <c r="R21" i="2"/>
  <c r="N21" i="2"/>
  <c r="V21" i="2"/>
  <c r="J20" i="2"/>
  <c r="K8" i="2"/>
  <c r="I10" i="2"/>
  <c r="O88" i="2"/>
  <c r="P88" i="2"/>
  <c r="N88" i="2"/>
  <c r="R88" i="2"/>
  <c r="S88" i="2"/>
  <c r="U88" i="2"/>
  <c r="M88" i="2"/>
  <c r="Q88" i="2"/>
  <c r="V88" i="2"/>
  <c r="M87" i="2"/>
  <c r="O87" i="2"/>
  <c r="P87" i="2"/>
  <c r="Q87" i="2"/>
  <c r="R87" i="2"/>
  <c r="U87" i="2"/>
  <c r="V87" i="2"/>
  <c r="S87" i="2"/>
  <c r="N87" i="2"/>
  <c r="N66" i="2"/>
  <c r="Q66" i="2"/>
  <c r="R66" i="2"/>
  <c r="U66" i="2"/>
  <c r="V66" i="2"/>
  <c r="M66" i="2"/>
  <c r="O66" i="2"/>
  <c r="S66" i="2"/>
  <c r="P66" i="2"/>
  <c r="M25" i="2"/>
  <c r="N25" i="2"/>
  <c r="O25" i="2"/>
  <c r="P25" i="2"/>
  <c r="Q25" i="2"/>
  <c r="R25" i="2"/>
  <c r="S25" i="2"/>
  <c r="V25" i="2"/>
  <c r="U25" i="2"/>
  <c r="I18" i="2"/>
  <c r="T10" i="2"/>
  <c r="N83" i="2"/>
  <c r="O83" i="2"/>
  <c r="U83" i="2"/>
  <c r="M83" i="2"/>
  <c r="P83" i="2"/>
  <c r="R83" i="2"/>
  <c r="S83" i="2"/>
  <c r="Q83" i="2"/>
  <c r="V83" i="2"/>
  <c r="S75" i="2"/>
  <c r="M75" i="2"/>
  <c r="V75" i="2"/>
  <c r="N75" i="2"/>
  <c r="O75" i="2"/>
  <c r="P75" i="2"/>
  <c r="Q75" i="2"/>
  <c r="U75" i="2"/>
  <c r="R75" i="2"/>
  <c r="O37" i="2"/>
  <c r="R37" i="2"/>
  <c r="V37" i="2"/>
  <c r="M37" i="2"/>
  <c r="S37" i="2"/>
  <c r="U37" i="2"/>
  <c r="N37" i="2"/>
  <c r="P37" i="2"/>
  <c r="Q37" i="2"/>
  <c r="I7" i="2"/>
  <c r="T5" i="2"/>
  <c r="M78" i="2"/>
  <c r="N78" i="2"/>
  <c r="O78" i="2"/>
  <c r="P78" i="2"/>
  <c r="R78" i="2"/>
  <c r="S78" i="2"/>
  <c r="U78" i="2"/>
  <c r="Q78" i="2"/>
  <c r="V78" i="2"/>
  <c r="O71" i="2"/>
  <c r="R71" i="2"/>
  <c r="S71" i="2"/>
  <c r="U71" i="2"/>
  <c r="V71" i="2"/>
  <c r="M71" i="2"/>
  <c r="N71" i="2"/>
  <c r="Q71" i="2"/>
  <c r="P71" i="2"/>
  <c r="U65" i="2"/>
  <c r="V65" i="2"/>
  <c r="M65" i="2"/>
  <c r="N65" i="2"/>
  <c r="P65" i="2"/>
  <c r="Q65" i="2"/>
  <c r="O65" i="2"/>
  <c r="S65" i="2"/>
  <c r="R65" i="2"/>
  <c r="V53" i="2"/>
  <c r="S53" i="2"/>
  <c r="M53" i="2"/>
  <c r="O53" i="2"/>
  <c r="P53" i="2"/>
  <c r="Q53" i="2"/>
  <c r="R53" i="2"/>
  <c r="U53" i="2"/>
  <c r="N53" i="2"/>
  <c r="M64" i="2"/>
  <c r="N64" i="2"/>
  <c r="P64" i="2"/>
  <c r="Q64" i="2"/>
  <c r="S64" i="2"/>
  <c r="U64" i="2"/>
  <c r="V64" i="2"/>
  <c r="O64" i="2"/>
  <c r="R64" i="2"/>
  <c r="M22" i="2"/>
  <c r="N22" i="2"/>
  <c r="O22" i="2"/>
  <c r="P22" i="2"/>
  <c r="R22" i="2"/>
  <c r="S22" i="2"/>
  <c r="V22" i="2"/>
  <c r="U22" i="2"/>
  <c r="Q22" i="2"/>
  <c r="J22" i="2"/>
  <c r="I22" i="2"/>
  <c r="E64" i="2"/>
  <c r="G53" i="2"/>
  <c r="J65" i="2"/>
  <c r="H71" i="2"/>
  <c r="E78" i="2"/>
  <c r="K37" i="2"/>
  <c r="I75" i="2"/>
  <c r="K83" i="2"/>
  <c r="T25" i="2"/>
  <c r="F66" i="2"/>
  <c r="T66" i="2"/>
  <c r="T87" i="2"/>
  <c r="J88" i="2"/>
  <c r="I21" i="2"/>
  <c r="C50" i="2"/>
  <c r="F67" i="2"/>
  <c r="K80" i="2"/>
  <c r="C93" i="2"/>
  <c r="L24" i="2"/>
  <c r="D32" i="2"/>
  <c r="K30" i="2"/>
  <c r="E30" i="2"/>
  <c r="L61" i="2"/>
  <c r="H57" i="2"/>
  <c r="T51" i="2"/>
  <c r="C82" i="2"/>
  <c r="K89" i="2"/>
  <c r="F98" i="2"/>
  <c r="D31" i="2"/>
  <c r="F90" i="2"/>
  <c r="K99" i="2"/>
  <c r="L6" i="2"/>
  <c r="G6" i="2"/>
  <c r="H81" i="2"/>
  <c r="L74" i="2"/>
  <c r="I29" i="2"/>
  <c r="J11" i="2"/>
  <c r="G72" i="2"/>
  <c r="J41" i="2"/>
  <c r="D85" i="2"/>
  <c r="F27" i="2"/>
  <c r="H46" i="2"/>
  <c r="D92" i="2"/>
  <c r="L92" i="2"/>
  <c r="C102" i="2"/>
  <c r="T15" i="2"/>
  <c r="C91" i="2"/>
  <c r="H94" i="2"/>
  <c r="L47" i="2"/>
  <c r="I33" i="2"/>
  <c r="L79" i="2"/>
  <c r="E84" i="2"/>
  <c r="J23" i="2"/>
  <c r="T59" i="2"/>
  <c r="D59" i="2"/>
  <c r="I38" i="2"/>
  <c r="T49" i="2"/>
  <c r="F100" i="2"/>
  <c r="E63" i="2"/>
  <c r="C12" i="2"/>
  <c r="E36" i="2"/>
  <c r="L62" i="2"/>
  <c r="L43" i="2"/>
  <c r="C52" i="2"/>
  <c r="T69" i="2"/>
  <c r="D69" i="2"/>
  <c r="I86" i="2"/>
  <c r="G68" i="2"/>
  <c r="T26" i="2"/>
  <c r="T19" i="2"/>
  <c r="E76" i="2"/>
  <c r="G16" i="2"/>
  <c r="I77" i="2"/>
  <c r="I95" i="2"/>
  <c r="F42" i="2"/>
  <c r="C34" i="2"/>
  <c r="E34" i="2"/>
  <c r="H58" i="2"/>
  <c r="E39" i="2"/>
  <c r="G56" i="2"/>
  <c r="L101" i="2"/>
  <c r="L28" i="2"/>
  <c r="C14" i="2"/>
  <c r="H40" i="2"/>
  <c r="T44" i="2"/>
  <c r="E97" i="2"/>
  <c r="H13" i="2"/>
  <c r="G13" i="2"/>
  <c r="E45" i="2"/>
  <c r="T96" i="2"/>
  <c r="T35" i="2"/>
  <c r="H55" i="2"/>
  <c r="J48" i="2"/>
  <c r="L60" i="2"/>
  <c r="E70" i="2"/>
  <c r="H54" i="2"/>
  <c r="T73" i="2"/>
  <c r="F86" i="2"/>
  <c r="D16" i="2"/>
  <c r="H95" i="2"/>
  <c r="D42" i="2"/>
  <c r="T34" i="2"/>
  <c r="J58" i="2"/>
  <c r="D39" i="2"/>
  <c r="D56" i="2"/>
  <c r="J101" i="2"/>
  <c r="T28" i="2"/>
  <c r="K14" i="2"/>
  <c r="L40" i="2"/>
  <c r="J44" i="2"/>
  <c r="D97" i="2"/>
  <c r="E13" i="2"/>
  <c r="K45" i="2"/>
  <c r="D45" i="2"/>
  <c r="C96" i="2"/>
  <c r="I35" i="2"/>
  <c r="F55" i="2"/>
  <c r="I48" i="2"/>
  <c r="J60" i="2"/>
  <c r="C70" i="2"/>
  <c r="T54" i="2"/>
  <c r="I73" i="2"/>
  <c r="G58" i="2"/>
  <c r="G60" i="2"/>
  <c r="F96" i="2"/>
  <c r="H35" i="2"/>
  <c r="T55" i="2"/>
  <c r="C55" i="2"/>
  <c r="T48" i="2"/>
  <c r="T60" i="2"/>
  <c r="J70" i="2"/>
  <c r="D73" i="2"/>
  <c r="C68" i="2"/>
  <c r="L26" i="2"/>
  <c r="H19" i="2"/>
  <c r="F76" i="2"/>
  <c r="I16" i="2"/>
  <c r="E28" i="2"/>
  <c r="C28" i="2"/>
  <c r="I14" i="2"/>
  <c r="G40" i="2"/>
  <c r="I44" i="2"/>
  <c r="H97" i="2"/>
  <c r="F60" i="2"/>
  <c r="L22" i="2"/>
  <c r="T64" i="2"/>
  <c r="C64" i="2"/>
  <c r="L53" i="2"/>
  <c r="I65" i="2"/>
  <c r="G71" i="2"/>
  <c r="D78" i="2"/>
  <c r="J37" i="2"/>
  <c r="F75" i="2"/>
  <c r="J83" i="2"/>
  <c r="I25" i="2"/>
  <c r="H66" i="2"/>
  <c r="D87" i="2"/>
  <c r="L87" i="2"/>
  <c r="D88" i="2"/>
  <c r="T21" i="2"/>
  <c r="I50" i="2"/>
  <c r="C67" i="2"/>
  <c r="J80" i="2"/>
  <c r="K93" i="2"/>
  <c r="D24" i="2"/>
  <c r="I32" i="2"/>
  <c r="H30" i="2"/>
  <c r="F61" i="2"/>
  <c r="J61" i="2"/>
  <c r="G57" i="2"/>
  <c r="I51" i="2"/>
  <c r="J82" i="2"/>
  <c r="I89" i="2"/>
  <c r="T98" i="2"/>
  <c r="C31" i="2"/>
  <c r="E90" i="2"/>
  <c r="T99" i="2"/>
  <c r="D6" i="2"/>
  <c r="F81" i="2"/>
  <c r="C81" i="2"/>
  <c r="K74" i="2"/>
  <c r="F29" i="2"/>
  <c r="T11" i="2"/>
  <c r="E72" i="2"/>
  <c r="K41" i="2"/>
  <c r="L85" i="2"/>
  <c r="L27" i="2"/>
  <c r="F46" i="2"/>
  <c r="I92" i="2"/>
  <c r="F102" i="2"/>
  <c r="T102" i="2"/>
  <c r="I15" i="2"/>
  <c r="J91" i="2"/>
  <c r="G94" i="2"/>
  <c r="K47" i="2"/>
  <c r="G33" i="2"/>
  <c r="I79" i="2"/>
  <c r="K84" i="2"/>
  <c r="L23" i="2"/>
  <c r="J59" i="2"/>
  <c r="E38" i="2"/>
  <c r="H38" i="2"/>
  <c r="K49" i="2"/>
  <c r="E100" i="2"/>
  <c r="C63" i="2"/>
  <c r="F12" i="2"/>
  <c r="D36" i="2"/>
  <c r="J62" i="2"/>
  <c r="F43" i="2"/>
  <c r="D52" i="2"/>
  <c r="J69" i="2"/>
  <c r="D86" i="2"/>
  <c r="F68" i="2"/>
  <c r="E26" i="2"/>
  <c r="G19" i="2"/>
  <c r="D76" i="2"/>
  <c r="G77" i="2"/>
  <c r="D58" i="2"/>
  <c r="H73" i="2"/>
  <c r="C26" i="2"/>
  <c r="H56" i="2"/>
  <c r="F56" i="2"/>
  <c r="D101" i="2"/>
  <c r="H28" i="2"/>
  <c r="G14" i="2"/>
  <c r="C48" i="2"/>
  <c r="K70" i="2"/>
  <c r="F54" i="2"/>
  <c r="T16" i="2"/>
  <c r="E95" i="2"/>
  <c r="J42" i="2"/>
  <c r="F58" i="2"/>
  <c r="T39" i="2"/>
  <c r="E56" i="2"/>
  <c r="H101" i="2"/>
  <c r="I101" i="2"/>
  <c r="D28" i="2"/>
  <c r="T14" i="2"/>
  <c r="C40" i="2"/>
  <c r="H76" i="2"/>
  <c r="K26" i="2"/>
  <c r="F45" i="2"/>
  <c r="H22" i="2"/>
  <c r="J64" i="2"/>
  <c r="D53" i="2"/>
  <c r="I53" i="2"/>
  <c r="F65" i="2"/>
  <c r="D71" i="2"/>
  <c r="K78" i="2"/>
  <c r="H37" i="2"/>
  <c r="E75" i="2"/>
  <c r="T83" i="2"/>
  <c r="L25" i="2"/>
  <c r="D66" i="2"/>
  <c r="I87" i="2"/>
  <c r="L88" i="2"/>
  <c r="C88" i="2"/>
  <c r="H21" i="2"/>
  <c r="H50" i="2"/>
  <c r="T67" i="2"/>
  <c r="I80" i="2"/>
  <c r="J93" i="2"/>
  <c r="K24" i="2"/>
  <c r="T32" i="2"/>
  <c r="C30" i="2"/>
  <c r="C61" i="2"/>
  <c r="F57" i="2"/>
  <c r="I57" i="2"/>
  <c r="H51" i="2"/>
  <c r="F82" i="2"/>
  <c r="H89" i="2"/>
  <c r="E98" i="2"/>
  <c r="L31" i="2"/>
  <c r="L90" i="2"/>
  <c r="J99" i="2"/>
  <c r="C6" i="2"/>
  <c r="K81" i="2"/>
  <c r="T74" i="2"/>
  <c r="G74" i="2"/>
  <c r="E29" i="2"/>
  <c r="I11" i="2"/>
  <c r="L72" i="2"/>
  <c r="G41" i="2"/>
  <c r="K85" i="2"/>
  <c r="D27" i="2"/>
  <c r="K46" i="2"/>
  <c r="K92" i="2"/>
  <c r="E102" i="2"/>
  <c r="D15" i="2"/>
  <c r="H15" i="2"/>
  <c r="I91" i="2"/>
  <c r="F94" i="2"/>
  <c r="J47" i="2"/>
  <c r="F33" i="2"/>
  <c r="H79" i="2"/>
  <c r="I84" i="2"/>
  <c r="K23" i="2"/>
  <c r="C59" i="2"/>
  <c r="D38" i="2"/>
  <c r="C49" i="2"/>
  <c r="I49" i="2"/>
  <c r="D100" i="2"/>
  <c r="J63" i="2"/>
  <c r="K12" i="2"/>
  <c r="H36" i="2"/>
  <c r="I62" i="2"/>
  <c r="G43" i="2"/>
  <c r="L52" i="2"/>
  <c r="H69" i="2"/>
  <c r="K86" i="2"/>
  <c r="L68" i="2"/>
  <c r="D68" i="2"/>
  <c r="D26" i="2"/>
  <c r="E19" i="2"/>
  <c r="C76" i="2"/>
  <c r="K16" i="2"/>
  <c r="F77" i="2"/>
  <c r="C95" i="2"/>
  <c r="H42" i="2"/>
  <c r="J34" i="2"/>
  <c r="K58" i="2"/>
  <c r="C39" i="2"/>
  <c r="G39" i="2"/>
  <c r="C56" i="2"/>
  <c r="E101" i="2"/>
  <c r="I28" i="2"/>
  <c r="J14" i="2"/>
  <c r="E40" i="2"/>
  <c r="E44" i="2"/>
  <c r="I97" i="2"/>
  <c r="D13" i="2"/>
  <c r="T45" i="2"/>
  <c r="H96" i="2"/>
  <c r="D96" i="2"/>
  <c r="G35" i="2"/>
  <c r="D55" i="2"/>
  <c r="H48" i="2"/>
  <c r="I60" i="2"/>
  <c r="L70" i="2"/>
  <c r="G54" i="2"/>
  <c r="D19" i="2"/>
  <c r="K76" i="2"/>
  <c r="D40" i="2"/>
  <c r="D44" i="2"/>
  <c r="F35" i="2"/>
  <c r="E55" i="2"/>
  <c r="F73" i="2"/>
  <c r="L76" i="2"/>
  <c r="I34" i="2"/>
  <c r="K44" i="2"/>
  <c r="J97" i="2"/>
  <c r="E54" i="2"/>
  <c r="L36" i="2"/>
  <c r="G62" i="2"/>
  <c r="K43" i="2"/>
  <c r="G52" i="2"/>
  <c r="L69" i="2"/>
  <c r="C86" i="2"/>
  <c r="K77" i="2"/>
  <c r="E58" i="2"/>
  <c r="L56" i="2"/>
  <c r="K39" i="2"/>
  <c r="K56" i="2"/>
  <c r="F101" i="2"/>
  <c r="K28" i="2"/>
  <c r="F14" i="2"/>
  <c r="H14" i="2"/>
  <c r="F40" i="2"/>
  <c r="H44" i="2"/>
  <c r="G97" i="2"/>
  <c r="K13" i="2"/>
  <c r="L45" i="2"/>
  <c r="L96" i="2"/>
  <c r="C35" i="2"/>
  <c r="I54" i="2"/>
  <c r="T22" i="2"/>
  <c r="D64" i="2"/>
  <c r="K53" i="2"/>
  <c r="H65" i="2"/>
  <c r="E65" i="2"/>
  <c r="L71" i="2"/>
  <c r="T78" i="2"/>
  <c r="T37" i="2"/>
  <c r="D75" i="2"/>
  <c r="H83" i="2"/>
  <c r="F25" i="2"/>
  <c r="L66" i="2"/>
  <c r="J87" i="2"/>
  <c r="G88" i="2"/>
  <c r="L21" i="2"/>
  <c r="G21" i="2"/>
  <c r="E50" i="2"/>
  <c r="K67" i="2"/>
  <c r="E80" i="2"/>
  <c r="I93" i="2"/>
  <c r="I24" i="2"/>
  <c r="H32" i="2"/>
  <c r="J30" i="2"/>
  <c r="K61" i="2"/>
  <c r="C57" i="2"/>
  <c r="E51" i="2"/>
  <c r="F51" i="2"/>
  <c r="L82" i="2"/>
  <c r="D89" i="2"/>
  <c r="K98" i="2"/>
  <c r="T31" i="2"/>
  <c r="K90" i="2"/>
  <c r="E99" i="2"/>
  <c r="K6" i="2"/>
  <c r="E81" i="2"/>
  <c r="J74" i="2"/>
  <c r="C29" i="2"/>
  <c r="D29" i="2"/>
  <c r="H11" i="2"/>
  <c r="K72" i="2"/>
  <c r="E41" i="2"/>
  <c r="J85" i="2"/>
  <c r="T27" i="2"/>
  <c r="T46" i="2"/>
  <c r="J92" i="2"/>
  <c r="D102" i="2"/>
  <c r="F15" i="2"/>
  <c r="F91" i="2"/>
  <c r="L91" i="2"/>
  <c r="D94" i="2"/>
  <c r="E47" i="2"/>
  <c r="H33" i="2"/>
  <c r="G79" i="2"/>
  <c r="H84" i="2"/>
  <c r="I23" i="2"/>
  <c r="K59" i="2"/>
  <c r="L38" i="2"/>
  <c r="L49" i="2"/>
  <c r="T100" i="2"/>
  <c r="L100" i="2"/>
  <c r="I63" i="2"/>
  <c r="I12" i="2"/>
  <c r="J36" i="2"/>
  <c r="H62" i="2"/>
  <c r="C43" i="2"/>
  <c r="K52" i="2"/>
  <c r="E69" i="2"/>
  <c r="G86" i="2"/>
  <c r="H68" i="2"/>
  <c r="I26" i="2"/>
  <c r="J16" i="2"/>
  <c r="E77" i="2"/>
  <c r="F95" i="2"/>
  <c r="K42" i="2"/>
  <c r="L34" i="2"/>
  <c r="L39" i="2"/>
  <c r="K97" i="2"/>
  <c r="L13" i="2"/>
  <c r="J45" i="2"/>
  <c r="G96" i="2"/>
  <c r="K35" i="2"/>
  <c r="C77" i="2"/>
  <c r="H45" i="2"/>
  <c r="D95" i="2"/>
  <c r="H34" i="2"/>
  <c r="J39" i="2"/>
  <c r="C45" i="2"/>
  <c r="K96" i="2"/>
  <c r="J55" i="2"/>
  <c r="K48" i="2"/>
  <c r="T68" i="2"/>
  <c r="L19" i="2"/>
  <c r="J76" i="2"/>
  <c r="L16" i="2"/>
  <c r="H16" i="2"/>
  <c r="H77" i="2"/>
  <c r="K95" i="2"/>
  <c r="D34" i="2"/>
  <c r="L97" i="2"/>
  <c r="G22" i="2"/>
  <c r="L64" i="2"/>
  <c r="F53" i="2"/>
  <c r="G65" i="2"/>
  <c r="F71" i="2"/>
  <c r="K71" i="2"/>
  <c r="H78" i="2"/>
  <c r="E37" i="2"/>
  <c r="C75" i="2"/>
  <c r="F83" i="2"/>
  <c r="E25" i="2"/>
  <c r="K66" i="2"/>
  <c r="H87" i="2"/>
  <c r="K88" i="2"/>
  <c r="D21" i="2"/>
  <c r="G50" i="2"/>
  <c r="T50" i="2"/>
  <c r="J67" i="2"/>
  <c r="G80" i="2"/>
  <c r="F93" i="2"/>
  <c r="H24" i="2"/>
  <c r="F32" i="2"/>
  <c r="I30" i="2"/>
  <c r="I61" i="2"/>
  <c r="E57" i="2"/>
  <c r="L51" i="2"/>
  <c r="D82" i="2"/>
  <c r="K82" i="2"/>
  <c r="G89" i="2"/>
  <c r="I98" i="2"/>
  <c r="G31" i="2"/>
  <c r="T90" i="2"/>
  <c r="I99" i="2"/>
  <c r="F6" i="2"/>
  <c r="D81" i="2"/>
  <c r="I74" i="2"/>
  <c r="T29" i="2"/>
  <c r="L11" i="2"/>
  <c r="G11" i="2"/>
  <c r="J72" i="2"/>
  <c r="C41" i="2"/>
  <c r="F85" i="2"/>
  <c r="C27" i="2"/>
  <c r="J46" i="2"/>
  <c r="H92" i="2"/>
  <c r="I102" i="2"/>
  <c r="E15" i="2"/>
  <c r="K91" i="2"/>
  <c r="L94" i="2"/>
  <c r="C94" i="2"/>
  <c r="C47" i="2"/>
  <c r="D33" i="2"/>
  <c r="F79" i="2"/>
  <c r="G84" i="2"/>
  <c r="H23" i="2"/>
  <c r="L59" i="2"/>
  <c r="F38" i="2"/>
  <c r="J49" i="2"/>
  <c r="J100" i="2"/>
  <c r="L63" i="2"/>
  <c r="H63" i="2"/>
  <c r="H12" i="2"/>
  <c r="C36" i="2"/>
  <c r="T62" i="2"/>
  <c r="T43" i="2"/>
  <c r="I52" i="2"/>
  <c r="C69" i="2"/>
  <c r="E86" i="2"/>
  <c r="E68" i="2"/>
  <c r="J26" i="2"/>
  <c r="F19" i="2"/>
  <c r="C19" i="2"/>
  <c r="C13" i="2"/>
  <c r="I42" i="2"/>
  <c r="F13" i="2"/>
  <c r="D35" i="2"/>
  <c r="E48" i="2"/>
  <c r="G70" i="2"/>
  <c r="D54" i="2"/>
  <c r="C73" i="2"/>
  <c r="F62" i="2"/>
  <c r="J43" i="2"/>
  <c r="E52" i="2"/>
  <c r="K69" i="2"/>
  <c r="L86" i="2"/>
  <c r="G55" i="2"/>
  <c r="D48" i="2"/>
  <c r="H60" i="2"/>
  <c r="E60" i="2"/>
  <c r="F70" i="2"/>
  <c r="K54" i="2"/>
  <c r="E73" i="2"/>
  <c r="L14" i="2"/>
  <c r="J40" i="2"/>
  <c r="L44" i="2"/>
  <c r="F22" i="2"/>
  <c r="K64" i="2"/>
  <c r="E53" i="2"/>
  <c r="D65" i="2"/>
  <c r="T71" i="2"/>
  <c r="L78" i="2"/>
  <c r="C78" i="2"/>
  <c r="I37" i="2"/>
  <c r="K75" i="2"/>
  <c r="E83" i="2"/>
  <c r="D25" i="2"/>
  <c r="J66" i="2"/>
  <c r="F87" i="2"/>
  <c r="I88" i="2"/>
  <c r="F21" i="2"/>
  <c r="L50" i="2"/>
  <c r="D67" i="2"/>
  <c r="I67" i="2"/>
  <c r="F80" i="2"/>
  <c r="T93" i="2"/>
  <c r="T24" i="2"/>
  <c r="C32" i="2"/>
  <c r="D30" i="2"/>
  <c r="H61" i="2"/>
  <c r="D57" i="2"/>
  <c r="K51" i="2"/>
  <c r="I82" i="2"/>
  <c r="T89" i="2"/>
  <c r="F89" i="2"/>
  <c r="H98" i="2"/>
  <c r="K31" i="2"/>
  <c r="G90" i="2"/>
  <c r="H99" i="2"/>
  <c r="J6" i="2"/>
  <c r="L81" i="2"/>
  <c r="H74" i="2"/>
  <c r="J29" i="2"/>
  <c r="E11" i="2"/>
  <c r="D72" i="2"/>
  <c r="H72" i="2"/>
  <c r="L41" i="2"/>
  <c r="I85" i="2"/>
  <c r="K27" i="2"/>
  <c r="L46" i="2"/>
  <c r="G92" i="2"/>
  <c r="L102" i="2"/>
  <c r="L15" i="2"/>
  <c r="T91" i="2"/>
  <c r="K94" i="2"/>
  <c r="G47" i="2"/>
  <c r="T47" i="2"/>
  <c r="C33" i="2"/>
  <c r="K79" i="2"/>
  <c r="C84" i="2"/>
  <c r="T23" i="2"/>
  <c r="I59" i="2"/>
  <c r="C38" i="2"/>
  <c r="E49" i="2"/>
  <c r="I100" i="2"/>
  <c r="D63" i="2"/>
  <c r="T12" i="2"/>
  <c r="G12" i="2"/>
  <c r="G101" i="2"/>
  <c r="C58" i="2"/>
  <c r="E22" i="2"/>
  <c r="I64" i="2"/>
  <c r="C53" i="2"/>
  <c r="L65" i="2"/>
  <c r="I71" i="2"/>
  <c r="J78" i="2"/>
  <c r="G37" i="2"/>
  <c r="C37" i="2"/>
  <c r="L75" i="2"/>
  <c r="D83" i="2"/>
  <c r="C25" i="2"/>
  <c r="I66" i="2"/>
  <c r="E87" i="2"/>
  <c r="T88" i="2"/>
  <c r="E21" i="2"/>
  <c r="K50" i="2"/>
  <c r="H67" i="2"/>
  <c r="H80" i="2"/>
  <c r="T80" i="2"/>
  <c r="E93" i="2"/>
  <c r="G24" i="2"/>
  <c r="J32" i="2"/>
  <c r="T30" i="2"/>
  <c r="T61" i="2"/>
  <c r="L57" i="2"/>
  <c r="J51" i="2"/>
  <c r="H82" i="2"/>
  <c r="J89" i="2"/>
  <c r="D98" i="2"/>
  <c r="J98" i="2"/>
  <c r="J31" i="2"/>
  <c r="J90" i="2"/>
  <c r="G99" i="2"/>
  <c r="E6" i="2"/>
  <c r="J81" i="2"/>
  <c r="F74" i="2"/>
  <c r="L29" i="2"/>
  <c r="D11" i="2"/>
  <c r="T72" i="2"/>
  <c r="I41" i="2"/>
  <c r="D41" i="2"/>
  <c r="G85" i="2"/>
  <c r="I27" i="2"/>
  <c r="G46" i="2"/>
  <c r="T92" i="2"/>
  <c r="K102" i="2"/>
  <c r="G15" i="2"/>
  <c r="H91" i="2"/>
  <c r="T94" i="2"/>
  <c r="F47" i="2"/>
  <c r="E33" i="2"/>
  <c r="T33" i="2"/>
  <c r="D79" i="2"/>
  <c r="L84" i="2"/>
  <c r="G23" i="2"/>
  <c r="H59" i="2"/>
  <c r="K38" i="2"/>
  <c r="D49" i="2"/>
  <c r="H100" i="2"/>
  <c r="K63" i="2"/>
  <c r="J12" i="2"/>
  <c r="I36" i="2"/>
  <c r="K36" i="2"/>
  <c r="C42" i="2"/>
  <c r="D22" i="2"/>
  <c r="H64" i="2"/>
  <c r="J53" i="2"/>
  <c r="T65" i="2"/>
  <c r="E71" i="2"/>
  <c r="I78" i="2"/>
  <c r="F37" i="2"/>
  <c r="H75" i="2"/>
  <c r="G75" i="2"/>
  <c r="I83" i="2"/>
  <c r="J25" i="2"/>
  <c r="G66" i="2"/>
  <c r="C87" i="2"/>
  <c r="H88" i="2"/>
  <c r="C21" i="2"/>
  <c r="J50" i="2"/>
  <c r="E67" i="2"/>
  <c r="C80" i="2"/>
  <c r="D93" i="2"/>
  <c r="H93" i="2"/>
  <c r="F24" i="2"/>
  <c r="K32" i="2"/>
  <c r="L30" i="2"/>
  <c r="G61" i="2"/>
  <c r="K57" i="2"/>
  <c r="G51" i="2"/>
  <c r="T82" i="2"/>
  <c r="E89" i="2"/>
  <c r="C98" i="2"/>
  <c r="I31" i="2"/>
  <c r="H31" i="2"/>
  <c r="I90" i="2"/>
  <c r="F99" i="2"/>
  <c r="T6" i="2"/>
  <c r="G81" i="2"/>
  <c r="D74" i="2"/>
  <c r="H29" i="2"/>
  <c r="K11" i="2"/>
  <c r="I72" i="2"/>
  <c r="H41" i="2"/>
  <c r="H85" i="2"/>
  <c r="T85" i="2"/>
  <c r="H27" i="2"/>
  <c r="E46" i="2"/>
  <c r="F92" i="2"/>
  <c r="J102" i="2"/>
  <c r="C15" i="2"/>
  <c r="G91" i="2"/>
  <c r="J94" i="2"/>
  <c r="D47" i="2"/>
  <c r="L33" i="2"/>
  <c r="T79" i="2"/>
  <c r="C79" i="2"/>
  <c r="F84" i="2"/>
  <c r="F23" i="2"/>
  <c r="G59" i="2"/>
  <c r="J38" i="2"/>
  <c r="H49" i="2"/>
  <c r="C100" i="2"/>
  <c r="T63" i="2"/>
  <c r="E12" i="2"/>
  <c r="F36" i="2"/>
  <c r="D62" i="2"/>
  <c r="E62" i="2"/>
  <c r="I43" i="2"/>
  <c r="H52" i="2"/>
  <c r="I69" i="2"/>
  <c r="T86" i="2"/>
  <c r="K68" i="2"/>
  <c r="H26" i="2"/>
  <c r="K19" i="2"/>
  <c r="T76" i="2"/>
  <c r="F16" i="2"/>
  <c r="D77" i="2"/>
  <c r="L77" i="2"/>
  <c r="G95" i="2"/>
  <c r="T42" i="2"/>
  <c r="K34" i="2"/>
  <c r="L58" i="2"/>
  <c r="I39" i="2"/>
  <c r="J56" i="2"/>
  <c r="K101" i="2"/>
  <c r="J28" i="2"/>
  <c r="E14" i="2"/>
  <c r="K40" i="2"/>
  <c r="I40" i="2"/>
  <c r="G44" i="2"/>
  <c r="C97" i="2"/>
  <c r="J13" i="2"/>
  <c r="I45" i="2"/>
  <c r="J96" i="2"/>
  <c r="L35" i="2"/>
  <c r="L55" i="2"/>
  <c r="L48" i="2"/>
  <c r="C60" i="2"/>
  <c r="H70" i="2"/>
  <c r="D70" i="2"/>
  <c r="J54" i="2"/>
  <c r="K73" i="2"/>
  <c r="L54" i="2"/>
  <c r="C54" i="2"/>
  <c r="J73" i="2"/>
  <c r="T77" i="2"/>
  <c r="E96" i="2"/>
  <c r="E35" i="2"/>
  <c r="F48" i="2"/>
  <c r="I70" i="2"/>
  <c r="C22" i="2"/>
  <c r="G64" i="2"/>
  <c r="T53" i="2"/>
  <c r="C65" i="2"/>
  <c r="C71" i="2"/>
  <c r="G78" i="2"/>
  <c r="D37" i="2"/>
  <c r="J75" i="2"/>
  <c r="L83" i="2"/>
  <c r="C83" i="2"/>
  <c r="H25" i="2"/>
  <c r="E66" i="2"/>
  <c r="K87" i="2"/>
  <c r="F88" i="2"/>
  <c r="K21" i="2"/>
  <c r="F50" i="2"/>
  <c r="L67" i="2"/>
  <c r="D80" i="2"/>
  <c r="L93" i="2"/>
  <c r="C24" i="2"/>
  <c r="E24" i="2"/>
  <c r="E32" i="2"/>
  <c r="G30" i="2"/>
  <c r="E61" i="2"/>
  <c r="J57" i="2"/>
  <c r="D51" i="2"/>
  <c r="G82" i="2"/>
  <c r="C89" i="2"/>
  <c r="L98" i="2"/>
  <c r="F31" i="2"/>
  <c r="H90" i="2"/>
  <c r="D90" i="2"/>
  <c r="C99" i="2"/>
  <c r="I6" i="2"/>
  <c r="T81" i="2"/>
  <c r="C74" i="2"/>
  <c r="G29" i="2"/>
  <c r="C11" i="2"/>
  <c r="F72" i="2"/>
  <c r="F41" i="2"/>
  <c r="C85" i="2"/>
  <c r="G27" i="2"/>
  <c r="E27" i="2"/>
  <c r="D46" i="2"/>
  <c r="E92" i="2"/>
  <c r="H102" i="2"/>
  <c r="K15" i="2"/>
  <c r="E91" i="2"/>
  <c r="E94" i="2"/>
  <c r="I47" i="2"/>
  <c r="K33" i="2"/>
  <c r="J79" i="2"/>
  <c r="T84" i="2"/>
  <c r="D84" i="2"/>
  <c r="D23" i="2"/>
  <c r="F59" i="2"/>
  <c r="T38" i="2"/>
  <c r="G49" i="2"/>
  <c r="K100" i="2"/>
  <c r="G63" i="2"/>
  <c r="D12" i="2"/>
  <c r="G36" i="2"/>
  <c r="C62" i="2"/>
  <c r="E43" i="2"/>
  <c r="H43" i="2"/>
  <c r="T52" i="2"/>
  <c r="G69" i="2"/>
  <c r="H86" i="2"/>
  <c r="J68" i="2"/>
  <c r="G26" i="2"/>
  <c r="J19" i="2"/>
  <c r="I76" i="2"/>
  <c r="E16" i="2"/>
  <c r="J77" i="2"/>
  <c r="T95" i="2"/>
  <c r="L95" i="2"/>
  <c r="L42" i="2"/>
  <c r="G34" i="2"/>
  <c r="I58" i="2"/>
  <c r="H39" i="2"/>
  <c r="I56" i="2"/>
  <c r="T101" i="2"/>
  <c r="G28" i="2"/>
  <c r="D14" i="2"/>
  <c r="T40" i="2"/>
  <c r="C44" i="2"/>
  <c r="F44" i="2"/>
  <c r="T97" i="2"/>
  <c r="T13" i="2"/>
  <c r="G45" i="2"/>
  <c r="I96" i="2"/>
  <c r="J35" i="2"/>
  <c r="K55" i="2"/>
  <c r="G48" i="2"/>
  <c r="K60" i="2"/>
  <c r="T70" i="2"/>
  <c r="T56" i="2"/>
  <c r="C101" i="2"/>
  <c r="F28" i="2"/>
  <c r="K22" i="2"/>
  <c r="F64" i="2"/>
  <c r="H53" i="2"/>
  <c r="K65" i="2"/>
  <c r="J71" i="2"/>
  <c r="F78" i="2"/>
  <c r="L37" i="2"/>
  <c r="T75" i="2"/>
  <c r="G83" i="2"/>
  <c r="K25" i="2"/>
  <c r="G25" i="2"/>
  <c r="C66" i="2"/>
  <c r="G87" i="2"/>
  <c r="E88" i="2"/>
  <c r="J21" i="2"/>
  <c r="D50" i="2"/>
  <c r="G67" i="2"/>
  <c r="L80" i="2"/>
  <c r="G93" i="2"/>
  <c r="J24" i="2"/>
  <c r="G32" i="2"/>
  <c r="L32" i="2"/>
  <c r="F30" i="2"/>
  <c r="D61" i="2"/>
  <c r="T57" i="2"/>
  <c r="C51" i="2"/>
  <c r="E82" i="2"/>
  <c r="L89" i="2"/>
  <c r="G98" i="2"/>
  <c r="E31" i="2"/>
  <c r="C90" i="2"/>
  <c r="L99" i="2"/>
  <c r="D99" i="2"/>
  <c r="H6" i="2"/>
  <c r="I81" i="2"/>
  <c r="E74" i="2"/>
  <c r="K29" i="2"/>
  <c r="F11" i="2"/>
  <c r="C72" i="2"/>
  <c r="T41" i="2"/>
  <c r="E85" i="2"/>
  <c r="J27" i="2"/>
  <c r="I46" i="2"/>
  <c r="C46" i="2"/>
  <c r="C92" i="2"/>
  <c r="G102" i="2"/>
  <c r="J15" i="2"/>
  <c r="D91" i="2"/>
  <c r="I94" i="2"/>
  <c r="H47" i="2"/>
  <c r="J33" i="2"/>
  <c r="E79" i="2"/>
  <c r="J84" i="2"/>
  <c r="E23" i="2"/>
  <c r="C23" i="2"/>
  <c r="E59" i="2"/>
  <c r="G38" i="2"/>
  <c r="F49" i="2"/>
  <c r="G100" i="2"/>
  <c r="F63" i="2"/>
  <c r="L12" i="2"/>
  <c r="T36" i="2"/>
  <c r="K62" i="2"/>
  <c r="D43" i="2"/>
  <c r="F52" i="2"/>
  <c r="J52" i="2"/>
  <c r="F69" i="2"/>
  <c r="J86" i="2"/>
  <c r="I68" i="2"/>
  <c r="F26" i="2"/>
  <c r="I19" i="2"/>
  <c r="G76" i="2"/>
  <c r="C16" i="2"/>
  <c r="J95" i="2"/>
  <c r="G42" i="2"/>
  <c r="E42" i="2"/>
  <c r="F34" i="2"/>
  <c r="T58" i="2"/>
  <c r="F39" i="2"/>
  <c r="F97" i="2"/>
  <c r="I13" i="2"/>
  <c r="I55" i="2"/>
  <c r="D60" i="2"/>
  <c r="L73" i="2"/>
  <c r="G73" i="2"/>
</calcChain>
</file>

<file path=xl/sharedStrings.xml><?xml version="1.0" encoding="utf-8"?>
<sst xmlns="http://schemas.openxmlformats.org/spreadsheetml/2006/main" count="239" uniqueCount="236">
  <si>
    <t>wind_code</t>
  </si>
  <si>
    <t>name</t>
  </si>
  <si>
    <t>0013.HK</t>
  </si>
  <si>
    <t>和黄医药</t>
  </si>
  <si>
    <t>0020.HK</t>
  </si>
  <si>
    <t>商汤</t>
  </si>
  <si>
    <t>0136.HK</t>
  </si>
  <si>
    <t>中国儒意</t>
  </si>
  <si>
    <t>0148.HK</t>
  </si>
  <si>
    <t>建滔集团</t>
  </si>
  <si>
    <t>0179.HK</t>
  </si>
  <si>
    <t>德昌电机</t>
  </si>
  <si>
    <t>0241.HK</t>
  </si>
  <si>
    <t>阿里健康</t>
  </si>
  <si>
    <t>0268.HK</t>
  </si>
  <si>
    <t>金蝶国际</t>
  </si>
  <si>
    <t>0285.HK</t>
  </si>
  <si>
    <t>比亚迪电子</t>
  </si>
  <si>
    <t>0303.HK</t>
  </si>
  <si>
    <t>VTECH</t>
  </si>
  <si>
    <t>0354.HK</t>
  </si>
  <si>
    <t>中软国际</t>
  </si>
  <si>
    <t>0460.HK</t>
  </si>
  <si>
    <t>四环医药</t>
  </si>
  <si>
    <t>0512.HK</t>
  </si>
  <si>
    <t>远大医药</t>
  </si>
  <si>
    <t>0522.HK</t>
  </si>
  <si>
    <t>ASMPT</t>
  </si>
  <si>
    <t>0552.HK</t>
  </si>
  <si>
    <t>中通服</t>
  </si>
  <si>
    <t>0696.HK</t>
  </si>
  <si>
    <t>中国民航信息网络</t>
  </si>
  <si>
    <t>0700.HK</t>
  </si>
  <si>
    <t>腾讯</t>
  </si>
  <si>
    <t>0763.HK</t>
  </si>
  <si>
    <t>中兴通讯</t>
  </si>
  <si>
    <t>0772.HK</t>
  </si>
  <si>
    <t>阅文集团</t>
  </si>
  <si>
    <t>0780.HK</t>
  </si>
  <si>
    <t>同程旅行</t>
  </si>
  <si>
    <t>0853.HK</t>
  </si>
  <si>
    <t>微创医疗</t>
  </si>
  <si>
    <t>0867.HK</t>
  </si>
  <si>
    <t>康哲药业</t>
  </si>
  <si>
    <t>0917.HK</t>
  </si>
  <si>
    <t>趣致集团</t>
  </si>
  <si>
    <t>0981.HK</t>
  </si>
  <si>
    <t>中芯国际</t>
  </si>
  <si>
    <t>0992.HK</t>
  </si>
  <si>
    <t>联想集团</t>
  </si>
  <si>
    <t>1024.HK</t>
  </si>
  <si>
    <t>快手</t>
  </si>
  <si>
    <t>1066.HK</t>
  </si>
  <si>
    <t>威高股份</t>
  </si>
  <si>
    <t>1093.HK</t>
  </si>
  <si>
    <t>石药集团</t>
  </si>
  <si>
    <t>1177.HK</t>
  </si>
  <si>
    <t>中生制药</t>
  </si>
  <si>
    <t>1211.HK</t>
  </si>
  <si>
    <t>比亚迪</t>
  </si>
  <si>
    <t>1316.HK</t>
  </si>
  <si>
    <t>耐世特</t>
  </si>
  <si>
    <t>1347.HK</t>
  </si>
  <si>
    <t>华虹半导体</t>
  </si>
  <si>
    <t>1357.HK</t>
  </si>
  <si>
    <t>美图</t>
  </si>
  <si>
    <t>1415.HK</t>
  </si>
  <si>
    <t>高伟电子</t>
  </si>
  <si>
    <t>1513.HK</t>
  </si>
  <si>
    <t>丽珠医药</t>
  </si>
  <si>
    <t>1530.HK</t>
  </si>
  <si>
    <t>三生制药</t>
  </si>
  <si>
    <t>1548.HK</t>
  </si>
  <si>
    <t>金斯瑞生物科技</t>
  </si>
  <si>
    <t>1585.HK</t>
  </si>
  <si>
    <t>雅迪控股</t>
  </si>
  <si>
    <t>1686.HK</t>
  </si>
  <si>
    <t>新意网</t>
  </si>
  <si>
    <t>1772.HK</t>
  </si>
  <si>
    <t>赣锋锂业</t>
  </si>
  <si>
    <t>1797.HK</t>
  </si>
  <si>
    <t>东方甄选</t>
  </si>
  <si>
    <t>1801.HK</t>
  </si>
  <si>
    <t>信达生物</t>
  </si>
  <si>
    <t>1810.HK</t>
  </si>
  <si>
    <t>小米集团</t>
  </si>
  <si>
    <t>1833.HK</t>
  </si>
  <si>
    <t>平安好医生</t>
  </si>
  <si>
    <t>1860.HK</t>
  </si>
  <si>
    <t>汇量科技</t>
  </si>
  <si>
    <t>1888.HK</t>
  </si>
  <si>
    <t>建滔积层板</t>
  </si>
  <si>
    <t>1896.HK</t>
  </si>
  <si>
    <t>猫眼娱乐</t>
  </si>
  <si>
    <t>1952.HK</t>
  </si>
  <si>
    <t>云顶新耀</t>
  </si>
  <si>
    <t>2015.HK</t>
  </si>
  <si>
    <t>理想汽车</t>
  </si>
  <si>
    <t>2018.HK</t>
  </si>
  <si>
    <t>瑞声科技</t>
  </si>
  <si>
    <t>2096.HK</t>
  </si>
  <si>
    <t>先声药业</t>
  </si>
  <si>
    <t>2162.HK</t>
  </si>
  <si>
    <t>康诺亚</t>
  </si>
  <si>
    <t>2186.HK</t>
  </si>
  <si>
    <t>绿叶制药</t>
  </si>
  <si>
    <t>2196.HK</t>
  </si>
  <si>
    <t>复星医药</t>
  </si>
  <si>
    <t>2228.HK</t>
  </si>
  <si>
    <t>晶泰控股</t>
  </si>
  <si>
    <t>2252.HK</t>
  </si>
  <si>
    <t>微创机器人</t>
  </si>
  <si>
    <t>2268.HK</t>
  </si>
  <si>
    <t>药明合联</t>
  </si>
  <si>
    <t>2269.HK</t>
  </si>
  <si>
    <t>药明生物</t>
  </si>
  <si>
    <t>2357.HK</t>
  </si>
  <si>
    <t>中航科工</t>
  </si>
  <si>
    <t>2359.HK</t>
  </si>
  <si>
    <t>药明康德</t>
  </si>
  <si>
    <t>2367.HK</t>
  </si>
  <si>
    <t>巨子生物</t>
  </si>
  <si>
    <t>2382.HK</t>
  </si>
  <si>
    <t>舜宇光学</t>
  </si>
  <si>
    <t>2400.HK</t>
  </si>
  <si>
    <t>心动公司</t>
  </si>
  <si>
    <t>2432.HK</t>
  </si>
  <si>
    <t>越疆</t>
  </si>
  <si>
    <t>2498.HK</t>
  </si>
  <si>
    <t>速腾聚创</t>
  </si>
  <si>
    <t>2533.HK</t>
  </si>
  <si>
    <t>黑芝麻智能</t>
  </si>
  <si>
    <t>2556.HK</t>
  </si>
  <si>
    <t>迈富时</t>
  </si>
  <si>
    <t>2577.HK</t>
  </si>
  <si>
    <t>英诺赛科</t>
  </si>
  <si>
    <t>2587.HK</t>
  </si>
  <si>
    <t>健康之路</t>
  </si>
  <si>
    <t>2858.HK</t>
  </si>
  <si>
    <t>易鑫集团</t>
  </si>
  <si>
    <t>3320.HK</t>
  </si>
  <si>
    <t>华润医药</t>
  </si>
  <si>
    <t>3677.HK</t>
  </si>
  <si>
    <t>正力新能</t>
  </si>
  <si>
    <t>3690.HK</t>
  </si>
  <si>
    <t>美团</t>
  </si>
  <si>
    <t>3692.HK</t>
  </si>
  <si>
    <t>翰森制药</t>
  </si>
  <si>
    <t>3738.HK</t>
  </si>
  <si>
    <t>阜博集团</t>
  </si>
  <si>
    <t>3750.HK</t>
  </si>
  <si>
    <t>宁德时代</t>
  </si>
  <si>
    <t>3888.HK</t>
  </si>
  <si>
    <t>金山软件</t>
  </si>
  <si>
    <t>3896.HK</t>
  </si>
  <si>
    <t>金山云</t>
  </si>
  <si>
    <t>3933.HK</t>
  </si>
  <si>
    <t>联邦制药</t>
  </si>
  <si>
    <t>6060.HK</t>
  </si>
  <si>
    <t>众安在线</t>
  </si>
  <si>
    <t>6069.HK</t>
  </si>
  <si>
    <t>盛业</t>
  </si>
  <si>
    <t>6078.HK</t>
  </si>
  <si>
    <t>海吉亚医疗</t>
  </si>
  <si>
    <t>6088.HK</t>
  </si>
  <si>
    <t>鸿腾精密</t>
  </si>
  <si>
    <t>6160.HK</t>
  </si>
  <si>
    <t>百济神州</t>
  </si>
  <si>
    <t>6618.HK</t>
  </si>
  <si>
    <t>京东健康</t>
  </si>
  <si>
    <t>6682.HK</t>
  </si>
  <si>
    <t>第四范式</t>
  </si>
  <si>
    <t>6699.HK</t>
  </si>
  <si>
    <t>时代天使</t>
  </si>
  <si>
    <t>6855.HK</t>
  </si>
  <si>
    <t>亚盛医药</t>
  </si>
  <si>
    <t>6990.HK</t>
  </si>
  <si>
    <t>科伦博泰生物</t>
  </si>
  <si>
    <t>9606.HK</t>
  </si>
  <si>
    <t>映恩生物</t>
  </si>
  <si>
    <t>9626.HK</t>
  </si>
  <si>
    <t>哔哩哔哩</t>
  </si>
  <si>
    <t>9636.HK</t>
  </si>
  <si>
    <t>九方智投</t>
  </si>
  <si>
    <t>9660.HK</t>
  </si>
  <si>
    <t>地平线机器人</t>
  </si>
  <si>
    <t>9688.HK</t>
  </si>
  <si>
    <t>再鼎医药</t>
  </si>
  <si>
    <t>9863.HK</t>
  </si>
  <si>
    <t>零跑汽车</t>
  </si>
  <si>
    <t>9868.HK</t>
  </si>
  <si>
    <t>京东集团</t>
  </si>
  <si>
    <t>9880.HK</t>
  </si>
  <si>
    <t>优必选</t>
  </si>
  <si>
    <t>9899.HK</t>
  </si>
  <si>
    <t>网易云音乐</t>
  </si>
  <si>
    <t>9926.HK</t>
  </si>
  <si>
    <t>康方生物</t>
  </si>
  <si>
    <t>9969.HK</t>
  </si>
  <si>
    <t>诺诚健华</t>
  </si>
  <si>
    <t>9988.HK</t>
  </si>
  <si>
    <t>阿里巴巴</t>
  </si>
  <si>
    <t>观测日期→</t>
  </si>
  <si>
    <t>代码</t>
  </si>
  <si>
    <t>日期</t>
  </si>
  <si>
    <t>FY1净利润均值</t>
  </si>
  <si>
    <t>FY1_EPS</t>
  </si>
  <si>
    <t>FY1机构数</t>
  </si>
  <si>
    <t>FY1标准差</t>
  </si>
  <si>
    <t>FY1中值</t>
  </si>
  <si>
    <t>FY2净利润均值</t>
  </si>
  <si>
    <t>FY2_EPS</t>
  </si>
  <si>
    <t>FY2机构数</t>
  </si>
  <si>
    <t>FY2标准差</t>
  </si>
  <si>
    <t>FY2中值</t>
  </si>
  <si>
    <t>收盘价</t>
  </si>
  <si>
    <t>成交量</t>
  </si>
  <si>
    <t>成交额</t>
  </si>
  <si>
    <t>换手率</t>
  </si>
  <si>
    <t>滚动PE</t>
  </si>
  <si>
    <t>总市值(亿)</t>
  </si>
  <si>
    <t>市净率PB</t>
  </si>
  <si>
    <t>预期ROE</t>
  </si>
  <si>
    <t>股息率%</t>
  </si>
  <si>
    <t>EV/EBITDA</t>
  </si>
  <si>
    <t>基准日→</t>
  </si>
  <si>
    <t>公司名</t>
  </si>
  <si>
    <t>申万一级</t>
  </si>
  <si>
    <t>申万二级</t>
  </si>
  <si>
    <t>上市日期</t>
  </si>
  <si>
    <t>收盘</t>
  </si>
  <si>
    <t>名称</t>
  </si>
  <si>
    <t>HSTECH.HI</t>
  </si>
  <si>
    <t>恒生科技指数</t>
  </si>
  <si>
    <t>HSI.HI</t>
  </si>
  <si>
    <t>恒生指数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</si>
</sst>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878B5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2" borderId="0" xfId="0" applyFont="1" applyFill="1" applyAlignment="1"/>
    <xf numFmtId="0" fontId="4" fillId="0" borderId="0" xfId="0" applyFont="1" applyAlignment="1"/>
    <xf numFmtId="0" fontId="3" fillId="2" borderId="0" xfId="0" applyFont="1" applyFill="1" applyAlignment="1">
      <alignment horizontal="center"/>
    </xf>
  </cellXfs>
  <cellStyles count="2">
    <cellStyle name="Normal 7" xfId="1" xr:uid="{00000000-0005-0000-0000-000001000000}"/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Library/WindFunc/windfunc.xlam" TargetMode="External"/><Relationship Id="rId2" Type="http://schemas.openxmlformats.org/officeDocument/2006/relationships/externalLinkPath" Target="/Library/WindFunc/windfunc.xlam" TargetMode="External"/><Relationship Id="rId1" Type="http://schemas.openxmlformats.org/officeDocument/2006/relationships/externalLinkPath" Target="/Library/WindFunc/windfunc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hks_info_industry_sw_2021"/>
      <definedName name="s_dq_amount"/>
      <definedName name="s_dq_close"/>
      <definedName name="s_dq_turn"/>
      <definedName name="s_dq_volume"/>
      <definedName name="S_INFO_NAME"/>
      <definedName name="s_ipo_listeddate"/>
      <definedName name="s_val_dividendyield2"/>
      <definedName name="s_val_evtoebitda"/>
      <definedName name="S_VAL_MV"/>
      <definedName name="s_val_pb"/>
      <definedName name="s_val_pe_ttm"/>
      <definedName name="s_west_avgroe"/>
      <definedName name="s_west_eps"/>
      <definedName name="s_west_instnum_np"/>
      <definedName name="s_west_mediannetprofit"/>
      <definedName name="s_west_netprofit"/>
      <definedName name="s_west_stdnetprofit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1"/>
  <sheetViews>
    <sheetView tabSelected="1" workbookViewId="0"/>
  </sheetViews>
  <sheetFormatPr baseColWidth="10" defaultColWidth="8.83203125" defaultRowHeight="14"/>
  <sheetData>
    <row r="1" spans="1:2">
      <c r="A1" s="2" t="s">
        <v>0</v>
      </c>
      <c r="B1" s="2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22</v>
      </c>
      <c r="B12" t="s">
        <v>23</v>
      </c>
    </row>
    <row r="13" spans="1:2">
      <c r="A13" t="s">
        <v>24</v>
      </c>
      <c r="B13" t="s">
        <v>25</v>
      </c>
    </row>
    <row r="14" spans="1:2">
      <c r="A14" t="s">
        <v>26</v>
      </c>
      <c r="B14" t="s">
        <v>27</v>
      </c>
    </row>
    <row r="15" spans="1:2">
      <c r="A15" t="s">
        <v>28</v>
      </c>
      <c r="B15" t="s">
        <v>29</v>
      </c>
    </row>
    <row r="16" spans="1:2">
      <c r="A16" t="s">
        <v>30</v>
      </c>
      <c r="B16" t="s">
        <v>31</v>
      </c>
    </row>
    <row r="17" spans="1:2">
      <c r="A17" t="s">
        <v>32</v>
      </c>
      <c r="B17" t="s">
        <v>33</v>
      </c>
    </row>
    <row r="18" spans="1:2">
      <c r="A18" t="s">
        <v>34</v>
      </c>
      <c r="B18" t="s">
        <v>35</v>
      </c>
    </row>
    <row r="19" spans="1:2">
      <c r="A19" t="s">
        <v>36</v>
      </c>
      <c r="B19" t="s">
        <v>37</v>
      </c>
    </row>
    <row r="20" spans="1:2">
      <c r="A20" t="s">
        <v>38</v>
      </c>
      <c r="B20" t="s">
        <v>39</v>
      </c>
    </row>
    <row r="21" spans="1:2">
      <c r="A21" t="s">
        <v>40</v>
      </c>
      <c r="B21" t="s">
        <v>41</v>
      </c>
    </row>
    <row r="22" spans="1:2">
      <c r="A22" t="s">
        <v>42</v>
      </c>
      <c r="B22" t="s">
        <v>43</v>
      </c>
    </row>
    <row r="23" spans="1:2">
      <c r="A23" t="s">
        <v>44</v>
      </c>
      <c r="B23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  <row r="26" spans="1:2">
      <c r="A26" t="s">
        <v>50</v>
      </c>
      <c r="B26" t="s">
        <v>51</v>
      </c>
    </row>
    <row r="27" spans="1:2">
      <c r="A27" t="s">
        <v>52</v>
      </c>
      <c r="B27" t="s">
        <v>53</v>
      </c>
    </row>
    <row r="28" spans="1:2">
      <c r="A28" t="s">
        <v>54</v>
      </c>
      <c r="B28" t="s">
        <v>55</v>
      </c>
    </row>
    <row r="29" spans="1:2">
      <c r="A29" t="s">
        <v>56</v>
      </c>
      <c r="B29" t="s">
        <v>57</v>
      </c>
    </row>
    <row r="30" spans="1:2">
      <c r="A30" t="s">
        <v>58</v>
      </c>
      <c r="B30" t="s">
        <v>59</v>
      </c>
    </row>
    <row r="31" spans="1:2">
      <c r="A31" t="s">
        <v>60</v>
      </c>
      <c r="B31" t="s">
        <v>61</v>
      </c>
    </row>
    <row r="32" spans="1:2">
      <c r="A32" t="s">
        <v>62</v>
      </c>
      <c r="B32" t="s">
        <v>63</v>
      </c>
    </row>
    <row r="33" spans="1:2">
      <c r="A33" t="s">
        <v>64</v>
      </c>
      <c r="B33" t="s">
        <v>65</v>
      </c>
    </row>
    <row r="34" spans="1:2">
      <c r="A34" t="s">
        <v>66</v>
      </c>
      <c r="B34" t="s">
        <v>67</v>
      </c>
    </row>
    <row r="35" spans="1:2">
      <c r="A35" t="s">
        <v>68</v>
      </c>
      <c r="B35" t="s">
        <v>69</v>
      </c>
    </row>
    <row r="36" spans="1:2">
      <c r="A36" t="s">
        <v>70</v>
      </c>
      <c r="B36" t="s">
        <v>71</v>
      </c>
    </row>
    <row r="37" spans="1:2">
      <c r="A37" t="s">
        <v>72</v>
      </c>
      <c r="B37" t="s">
        <v>73</v>
      </c>
    </row>
    <row r="38" spans="1:2">
      <c r="A38" t="s">
        <v>74</v>
      </c>
      <c r="B38" t="s">
        <v>75</v>
      </c>
    </row>
    <row r="39" spans="1:2">
      <c r="A39" t="s">
        <v>76</v>
      </c>
      <c r="B39" t="s">
        <v>77</v>
      </c>
    </row>
    <row r="40" spans="1:2">
      <c r="A40" t="s">
        <v>78</v>
      </c>
      <c r="B40" t="s">
        <v>79</v>
      </c>
    </row>
    <row r="41" spans="1:2">
      <c r="A41" t="s">
        <v>80</v>
      </c>
      <c r="B41" t="s">
        <v>81</v>
      </c>
    </row>
    <row r="42" spans="1:2">
      <c r="A42" t="s">
        <v>82</v>
      </c>
      <c r="B42" t="s">
        <v>83</v>
      </c>
    </row>
    <row r="43" spans="1:2">
      <c r="A43" t="s">
        <v>84</v>
      </c>
      <c r="B43" t="s">
        <v>85</v>
      </c>
    </row>
    <row r="44" spans="1:2">
      <c r="A44" t="s">
        <v>86</v>
      </c>
      <c r="B44" t="s">
        <v>87</v>
      </c>
    </row>
    <row r="45" spans="1:2">
      <c r="A45" t="s">
        <v>88</v>
      </c>
      <c r="B45" t="s">
        <v>89</v>
      </c>
    </row>
    <row r="46" spans="1:2">
      <c r="A46" t="s">
        <v>90</v>
      </c>
      <c r="B46" t="s">
        <v>91</v>
      </c>
    </row>
    <row r="47" spans="1:2">
      <c r="A47" t="s">
        <v>92</v>
      </c>
      <c r="B47" t="s">
        <v>93</v>
      </c>
    </row>
    <row r="48" spans="1:2">
      <c r="A48" t="s">
        <v>94</v>
      </c>
      <c r="B48" t="s">
        <v>95</v>
      </c>
    </row>
    <row r="49" spans="1:2">
      <c r="A49" t="s">
        <v>96</v>
      </c>
      <c r="B49" t="s">
        <v>97</v>
      </c>
    </row>
    <row r="50" spans="1:2">
      <c r="A50" t="s">
        <v>98</v>
      </c>
      <c r="B50" t="s">
        <v>99</v>
      </c>
    </row>
    <row r="51" spans="1:2">
      <c r="A51" t="s">
        <v>100</v>
      </c>
      <c r="B51" t="s">
        <v>101</v>
      </c>
    </row>
    <row r="52" spans="1:2">
      <c r="A52" t="s">
        <v>102</v>
      </c>
      <c r="B52" t="s">
        <v>103</v>
      </c>
    </row>
    <row r="53" spans="1:2">
      <c r="A53" t="s">
        <v>104</v>
      </c>
      <c r="B53" t="s">
        <v>105</v>
      </c>
    </row>
    <row r="54" spans="1:2">
      <c r="A54" t="s">
        <v>106</v>
      </c>
      <c r="B54" t="s">
        <v>107</v>
      </c>
    </row>
    <row r="55" spans="1:2">
      <c r="A55" t="s">
        <v>108</v>
      </c>
      <c r="B55" t="s">
        <v>109</v>
      </c>
    </row>
    <row r="56" spans="1:2">
      <c r="A56" t="s">
        <v>110</v>
      </c>
      <c r="B56" t="s">
        <v>111</v>
      </c>
    </row>
    <row r="57" spans="1:2">
      <c r="A57" t="s">
        <v>112</v>
      </c>
      <c r="B57" t="s">
        <v>113</v>
      </c>
    </row>
    <row r="58" spans="1:2">
      <c r="A58" t="s">
        <v>114</v>
      </c>
      <c r="B58" t="s">
        <v>115</v>
      </c>
    </row>
    <row r="59" spans="1:2">
      <c r="A59" t="s">
        <v>116</v>
      </c>
      <c r="B59" t="s">
        <v>117</v>
      </c>
    </row>
    <row r="60" spans="1:2">
      <c r="A60" t="s">
        <v>118</v>
      </c>
      <c r="B60" t="s">
        <v>119</v>
      </c>
    </row>
    <row r="61" spans="1:2">
      <c r="A61" t="s">
        <v>120</v>
      </c>
      <c r="B61" t="s">
        <v>121</v>
      </c>
    </row>
    <row r="62" spans="1:2">
      <c r="A62" t="s">
        <v>122</v>
      </c>
      <c r="B62" t="s">
        <v>123</v>
      </c>
    </row>
    <row r="63" spans="1:2">
      <c r="A63" t="s">
        <v>124</v>
      </c>
      <c r="B63" t="s">
        <v>125</v>
      </c>
    </row>
    <row r="64" spans="1:2">
      <c r="A64" t="s">
        <v>126</v>
      </c>
      <c r="B64" t="s">
        <v>127</v>
      </c>
    </row>
    <row r="65" spans="1:2">
      <c r="A65" t="s">
        <v>128</v>
      </c>
      <c r="B65" t="s">
        <v>129</v>
      </c>
    </row>
    <row r="66" spans="1:2">
      <c r="A66" t="s">
        <v>130</v>
      </c>
      <c r="B66" t="s">
        <v>131</v>
      </c>
    </row>
    <row r="67" spans="1:2">
      <c r="A67" t="s">
        <v>132</v>
      </c>
      <c r="B67" t="s">
        <v>133</v>
      </c>
    </row>
    <row r="68" spans="1:2">
      <c r="A68" t="s">
        <v>134</v>
      </c>
      <c r="B68" t="s">
        <v>135</v>
      </c>
    </row>
    <row r="69" spans="1:2">
      <c r="A69" t="s">
        <v>136</v>
      </c>
      <c r="B69" t="s">
        <v>137</v>
      </c>
    </row>
    <row r="70" spans="1:2">
      <c r="A70" t="s">
        <v>138</v>
      </c>
      <c r="B70" t="s">
        <v>139</v>
      </c>
    </row>
    <row r="71" spans="1:2">
      <c r="A71" t="s">
        <v>140</v>
      </c>
      <c r="B71" t="s">
        <v>141</v>
      </c>
    </row>
    <row r="72" spans="1:2">
      <c r="A72" t="s">
        <v>142</v>
      </c>
      <c r="B72" t="s">
        <v>143</v>
      </c>
    </row>
    <row r="73" spans="1:2">
      <c r="A73" t="s">
        <v>144</v>
      </c>
      <c r="B73" t="s">
        <v>145</v>
      </c>
    </row>
    <row r="74" spans="1:2">
      <c r="A74" t="s">
        <v>146</v>
      </c>
      <c r="B74" t="s">
        <v>147</v>
      </c>
    </row>
    <row r="75" spans="1:2">
      <c r="A75" t="s">
        <v>148</v>
      </c>
      <c r="B75" t="s">
        <v>149</v>
      </c>
    </row>
    <row r="76" spans="1:2">
      <c r="A76" t="s">
        <v>150</v>
      </c>
      <c r="B76" t="s">
        <v>151</v>
      </c>
    </row>
    <row r="77" spans="1:2">
      <c r="A77" t="s">
        <v>152</v>
      </c>
      <c r="B77" t="s">
        <v>153</v>
      </c>
    </row>
    <row r="78" spans="1:2">
      <c r="A78" t="s">
        <v>154</v>
      </c>
      <c r="B78" t="s">
        <v>155</v>
      </c>
    </row>
    <row r="79" spans="1:2">
      <c r="A79" t="s">
        <v>156</v>
      </c>
      <c r="B79" t="s">
        <v>157</v>
      </c>
    </row>
    <row r="80" spans="1:2">
      <c r="A80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t="s">
        <v>178</v>
      </c>
      <c r="B90" t="s">
        <v>179</v>
      </c>
    </row>
    <row r="91" spans="1:2">
      <c r="A91" t="s">
        <v>180</v>
      </c>
      <c r="B91" t="s">
        <v>181</v>
      </c>
    </row>
    <row r="92" spans="1:2">
      <c r="A92" t="s">
        <v>182</v>
      </c>
      <c r="B92" t="s">
        <v>183</v>
      </c>
    </row>
    <row r="93" spans="1:2">
      <c r="A93" t="s">
        <v>184</v>
      </c>
      <c r="B93" t="s">
        <v>185</v>
      </c>
    </row>
    <row r="94" spans="1:2">
      <c r="A94" t="s">
        <v>186</v>
      </c>
      <c r="B94" t="s">
        <v>187</v>
      </c>
    </row>
    <row r="95" spans="1:2">
      <c r="A95" t="s">
        <v>188</v>
      </c>
      <c r="B95" t="s">
        <v>189</v>
      </c>
    </row>
    <row r="96" spans="1:2">
      <c r="A96" t="s">
        <v>190</v>
      </c>
      <c r="B96" t="s">
        <v>191</v>
      </c>
    </row>
    <row r="97" spans="1:2">
      <c r="A97" t="s">
        <v>192</v>
      </c>
      <c r="B97" t="s">
        <v>193</v>
      </c>
    </row>
    <row r="98" spans="1:2">
      <c r="A98" t="s">
        <v>194</v>
      </c>
      <c r="B98" t="s">
        <v>195</v>
      </c>
    </row>
    <row r="99" spans="1:2">
      <c r="A99" t="s">
        <v>196</v>
      </c>
      <c r="B99" t="s">
        <v>197</v>
      </c>
    </row>
    <row r="100" spans="1:2">
      <c r="A100" t="s">
        <v>198</v>
      </c>
      <c r="B100" t="s">
        <v>199</v>
      </c>
    </row>
    <row r="101" spans="1:2">
      <c r="A101" t="s">
        <v>200</v>
      </c>
      <c r="B101" t="s">
        <v>201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2"/>
  <sheetViews>
    <sheetView workbookViewId="0">
      <pane xSplit="2" ySplit="2" topLeftCell="C3" activePane="bottomRight" state="frozen"/>
      <selection pane="topRight"/>
      <selection pane="bottomLeft"/>
      <selection pane="bottomRight"/>
    </sheetView>
  </sheetViews>
  <sheetFormatPr baseColWidth="10" defaultColWidth="8.83203125" defaultRowHeight="14"/>
  <sheetData>
    <row r="1" spans="1:22">
      <c r="A1" s="3" t="s">
        <v>202</v>
      </c>
      <c r="B1" s="1">
        <v>46167</v>
      </c>
    </row>
    <row r="2" spans="1:22">
      <c r="A2" s="4" t="s">
        <v>203</v>
      </c>
      <c r="B2" s="4" t="s">
        <v>204</v>
      </c>
      <c r="C2" s="4" t="s">
        <v>205</v>
      </c>
      <c r="D2" s="4" t="s">
        <v>206</v>
      </c>
      <c r="E2" s="4" t="s">
        <v>207</v>
      </c>
      <c r="F2" s="4" t="s">
        <v>208</v>
      </c>
      <c r="G2" s="4" t="s">
        <v>209</v>
      </c>
      <c r="H2" s="4" t="s">
        <v>210</v>
      </c>
      <c r="I2" s="4" t="s">
        <v>211</v>
      </c>
      <c r="J2" s="4" t="s">
        <v>212</v>
      </c>
      <c r="K2" s="4" t="s">
        <v>213</v>
      </c>
      <c r="L2" s="4" t="s">
        <v>214</v>
      </c>
      <c r="M2" s="4" t="s">
        <v>215</v>
      </c>
      <c r="N2" s="4" t="s">
        <v>216</v>
      </c>
      <c r="O2" s="4" t="s">
        <v>217</v>
      </c>
      <c r="P2" s="4" t="s">
        <v>218</v>
      </c>
      <c r="Q2" s="4" t="s">
        <v>219</v>
      </c>
      <c r="R2" s="4" t="s">
        <v>220</v>
      </c>
      <c r="S2" t="s">
        <v>221</v>
      </c>
      <c r="T2" t="s">
        <v>222</v>
      </c>
      <c r="U2" t="s">
        <v>223</v>
      </c>
      <c r="V2" t="s">
        <v>224</v>
      </c>
    </row>
    <row r="3" spans="1:22">
      <c r="A3" t="str">
        <f>_meta!A2</f>
        <v>0013.HK</v>
      </c>
      <c r="B3">
        <f t="shared" ref="B3:B34" si="0">$B$1</f>
        <v>46167</v>
      </c>
      <c r="C3">
        <f>[1]!s_west_netprofit($A3,YEAR($B3),$B3,180,1000000)</f>
        <v>58.476947000000003</v>
      </c>
      <c r="D3">
        <f>[1]!s_west_eps($A3,YEAR($B3),$B3,180)</f>
        <v>6.6799999999999998E-2</v>
      </c>
      <c r="E3">
        <f>[1]!s_west_instnum_np($A3,YEAR($B3),$B3,180)</f>
        <v>19</v>
      </c>
      <c r="F3">
        <f>[1]!s_west_stdnetprofit($A3,YEAR($B3),$B3,180,1000000)</f>
        <v>38.669663999999997</v>
      </c>
      <c r="G3">
        <f>[1]!s_west_mediannetprofit($A3,YEAR($B3),$B3,180,1000000)</f>
        <v>56</v>
      </c>
      <c r="H3">
        <f>[1]!s_west_netprofit($A3,YEAR($B3)+1,$B3,180,1000000)</f>
        <v>83.181263000000001</v>
      </c>
      <c r="I3">
        <f>[1]!s_west_eps($A3,YEAR($B3)+1,$B3,180)</f>
        <v>9.5200000000000007E-2</v>
      </c>
      <c r="J3">
        <f>[1]!s_west_instnum_np($A3,YEAR($B3)+1,$B3,180)</f>
        <v>19</v>
      </c>
      <c r="K3">
        <f>[1]!s_west_stdnetprofit($A3,YEAR($B3)+1,$B3,180,1000000)</f>
        <v>41.033203999999998</v>
      </c>
      <c r="L3">
        <f>[1]!s_west_mediannetprofit($A3,YEAR($B3)+1,$B3,180,1000000)</f>
        <v>76</v>
      </c>
      <c r="M3">
        <f>[1]!s_dq_close($A3,$B3,3)</f>
        <v>19.170000000000002</v>
      </c>
      <c r="N3">
        <f>[1]!s_dq_volume($A3,$B3)</f>
        <v>0</v>
      </c>
      <c r="O3">
        <f>[1]!s_dq_amount($A3,$B3)</f>
        <v>0</v>
      </c>
      <c r="P3">
        <f>[1]!s_dq_turn($A3,$B3)</f>
        <v>0</v>
      </c>
      <c r="Q3">
        <f>[1]!s_val_pe_ttm($A3,$B3)</f>
        <v>4.7031421661376998</v>
      </c>
      <c r="R3">
        <f>[1]!S_VAL_MV($A3,$B3,100000000)</f>
        <v>167.22664250399998</v>
      </c>
      <c r="S3">
        <f>[1]!s_val_pb($A3,$B3)</f>
        <v>1.7358937740342899</v>
      </c>
      <c r="T3">
        <f>[1]!s_west_avgroe($A3,YEAR($B3),$B3,180)</f>
        <v>5.4511000000000003</v>
      </c>
      <c r="U3">
        <f>[1]!s_val_dividendyield2($A3,$B3)</f>
        <v>0</v>
      </c>
      <c r="V3">
        <f>[1]!s_val_evtoebitda($A3,$B3)</f>
        <v>4.6683843550791</v>
      </c>
    </row>
    <row r="4" spans="1:22">
      <c r="A4" t="str">
        <f>_meta!A3</f>
        <v>0020.HK</v>
      </c>
      <c r="B4">
        <f t="shared" si="0"/>
        <v>46167</v>
      </c>
      <c r="C4">
        <f>[1]!s_west_netprofit($A4,YEAR($B4),$B4,180,1000000)</f>
        <v>-1407.548182</v>
      </c>
      <c r="D4">
        <f>[1]!s_west_eps($A4,YEAR($B4),$B4,180)</f>
        <v>-3.3300000000000003E-2</v>
      </c>
      <c r="E4">
        <f>[1]!s_west_instnum_np($A4,YEAR($B4),$B4,180)</f>
        <v>11</v>
      </c>
      <c r="F4">
        <f>[1]!s_west_stdnetprofit($A4,YEAR($B4),$B4,180,1000000)</f>
        <v>852.31894499999999</v>
      </c>
      <c r="G4">
        <f>[1]!s_west_mediannetprofit($A4,YEAR($B4),$B4,180,1000000)</f>
        <v>-1344.04</v>
      </c>
      <c r="H4">
        <f>[1]!s_west_netprofit($A4,YEAR($B4)+1,$B4,180,1000000)</f>
        <v>-797.53272700000002</v>
      </c>
      <c r="I4">
        <f>[1]!s_west_eps($A4,YEAR($B4)+1,$B4,180)</f>
        <v>-1.89E-2</v>
      </c>
      <c r="J4">
        <f>[1]!s_west_instnum_np($A4,YEAR($B4)+1,$B4,180)</f>
        <v>11</v>
      </c>
      <c r="K4">
        <f>[1]!s_west_stdnetprofit($A4,YEAR($B4)+1,$B4,180,1000000)</f>
        <v>996.10847799999999</v>
      </c>
      <c r="L4">
        <f>[1]!s_west_mediannetprofit($A4,YEAR($B4)+1,$B4,180,1000000)</f>
        <v>-499</v>
      </c>
      <c r="M4">
        <f>[1]!s_dq_close($A4,$B4,3)</f>
        <v>1.77</v>
      </c>
      <c r="N4">
        <f>[1]!s_dq_volume($A4,$B4)</f>
        <v>0</v>
      </c>
      <c r="O4">
        <f>[1]!s_dq_amount($A4,$B4)</f>
        <v>0</v>
      </c>
      <c r="P4">
        <f>[1]!s_dq_turn($A4,$B4)</f>
        <v>0</v>
      </c>
      <c r="Q4">
        <f>[1]!s_val_pe_ttm($A4,$B4)</f>
        <v>-38.218772888183601</v>
      </c>
      <c r="R4">
        <f>[1]!S_VAL_MV($A4,$B4,100000000)</f>
        <v>747.23365544310002</v>
      </c>
      <c r="S4">
        <f>[1]!s_val_pb($A4,$B4)</f>
        <v>2.5259830754234001</v>
      </c>
      <c r="T4">
        <f>[1]!s_west_avgroe($A4,YEAR($B4),$B4,180)</f>
        <v>-6.0444000000000004</v>
      </c>
      <c r="U4">
        <f>[1]!s_val_dividendyield2($A4,$B4)</f>
        <v>0</v>
      </c>
      <c r="V4">
        <f>[1]!s_val_evtoebitda($A4,$B4)</f>
        <v>-132.250027004001</v>
      </c>
    </row>
    <row r="5" spans="1:22">
      <c r="A5" t="str">
        <f>_meta!A4</f>
        <v>0136.HK</v>
      </c>
      <c r="B5">
        <f t="shared" si="0"/>
        <v>46167</v>
      </c>
      <c r="C5">
        <f>[1]!s_west_netprofit($A5,YEAR($B5),$B5,180,1000000)</f>
        <v>2038.5</v>
      </c>
      <c r="D5">
        <f>[1]!s_west_eps($A5,YEAR($B5),$B5,180)</f>
        <v>0.12130000000000001</v>
      </c>
      <c r="E5">
        <f>[1]!s_west_instnum_np($A5,YEAR($B5),$B5,180)</f>
        <v>2</v>
      </c>
      <c r="F5">
        <f>[1]!s_west_stdnetprofit($A5,YEAR($B5),$B5,180,1000000)</f>
        <v>27.577164</v>
      </c>
      <c r="G5">
        <f>[1]!s_west_mediannetprofit($A5,YEAR($B5),$B5,180,1000000)</f>
        <v>2038.5</v>
      </c>
      <c r="H5">
        <f>[1]!s_west_netprofit($A5,YEAR($B5)+1,$B5,180,1000000)</f>
        <v>2302</v>
      </c>
      <c r="I5">
        <f>[1]!s_west_eps($A5,YEAR($B5)+1,$B5,180)</f>
        <v>0.13700000000000001</v>
      </c>
      <c r="J5">
        <f>[1]!s_west_instnum_np($A5,YEAR($B5)+1,$B5,180)</f>
        <v>2</v>
      </c>
      <c r="K5">
        <f>[1]!s_west_stdnetprofit($A5,YEAR($B5)+1,$B5,180,1000000)</f>
        <v>67.882250999999997</v>
      </c>
      <c r="L5">
        <f>[1]!s_west_mediannetprofit($A5,YEAR($B5)+1,$B5,180,1000000)</f>
        <v>2302</v>
      </c>
      <c r="M5">
        <f>[1]!s_dq_close($A5,$B5,3)</f>
        <v>1.45</v>
      </c>
      <c r="N5">
        <f>[1]!s_dq_volume($A5,$B5)</f>
        <v>0</v>
      </c>
      <c r="O5">
        <f>[1]!s_dq_amount($A5,$B5)</f>
        <v>0</v>
      </c>
      <c r="P5">
        <f>[1]!s_dq_turn($A5,$B5)</f>
        <v>0</v>
      </c>
      <c r="Q5">
        <f>[1]!s_val_pe_ttm($A5,$B5)</f>
        <v>12.2469129562378</v>
      </c>
      <c r="R5">
        <f>[1]!S_VAL_MV($A5,$B5,100000000)</f>
        <v>243.6089119175</v>
      </c>
      <c r="S5">
        <f>[1]!s_val_pb($A5,$B5)</f>
        <v>0.921835676610261</v>
      </c>
      <c r="T5">
        <f>[1]!s_west_avgroe($A5,YEAR($B5),$B5,180)</f>
        <v>8.0500000000000007</v>
      </c>
      <c r="U5">
        <f>[1]!s_val_dividendyield2($A5,$B5)</f>
        <v>0</v>
      </c>
      <c r="V5">
        <f>[1]!s_val_evtoebitda($A5,$B5)</f>
        <v>5.6080498632720497</v>
      </c>
    </row>
    <row r="6" spans="1:22">
      <c r="A6" t="str">
        <f>_meta!A5</f>
        <v>0148.HK</v>
      </c>
      <c r="B6">
        <f t="shared" si="0"/>
        <v>46167</v>
      </c>
      <c r="C6">
        <f>[1]!s_west_netprofit($A6,YEAR($B6),$B6,180,1000000)</f>
        <v>5408</v>
      </c>
      <c r="D6">
        <f>[1]!s_west_eps($A6,YEAR($B6),$B6,180)</f>
        <v>4.8795000000000002</v>
      </c>
      <c r="E6">
        <f>[1]!s_west_instnum_np($A6,YEAR($B6),$B6,180)</f>
        <v>1</v>
      </c>
      <c r="F6">
        <f>[1]!s_west_stdnetprofit($A6,YEAR($B6),$B6,180,1000000)</f>
        <v>0</v>
      </c>
      <c r="G6">
        <f>[1]!s_west_mediannetprofit($A6,YEAR($B6),$B6,180,1000000)</f>
        <v>5408</v>
      </c>
      <c r="H6">
        <f>[1]!s_west_netprofit($A6,YEAR($B6)+1,$B6,180,1000000)</f>
        <v>5961</v>
      </c>
      <c r="I6">
        <f>[1]!s_west_eps($A6,YEAR($B6)+1,$B6,180)</f>
        <v>5.3784999999999998</v>
      </c>
      <c r="J6">
        <f>[1]!s_west_instnum_np($A6,YEAR($B6)+1,$B6,180)</f>
        <v>1</v>
      </c>
      <c r="K6">
        <f>[1]!s_west_stdnetprofit($A6,YEAR($B6)+1,$B6,180,1000000)</f>
        <v>0</v>
      </c>
      <c r="L6">
        <f>[1]!s_west_mediannetprofit($A6,YEAR($B6)+1,$B6,180,1000000)</f>
        <v>5961</v>
      </c>
      <c r="M6">
        <f>[1]!s_dq_close($A6,$B6,3)</f>
        <v>58.3</v>
      </c>
      <c r="N6">
        <f>[1]!s_dq_volume($A6,$B6)</f>
        <v>0</v>
      </c>
      <c r="O6">
        <f>[1]!s_dq_amount($A6,$B6)</f>
        <v>0</v>
      </c>
      <c r="P6">
        <f>[1]!s_dq_turn($A6,$B6)</f>
        <v>0</v>
      </c>
      <c r="Q6">
        <f>[1]!s_val_pe_ttm($A6,$B6)</f>
        <v>14.679762840271</v>
      </c>
      <c r="R6">
        <f>[1]!S_VAL_MV($A6,$B6,100000000)</f>
        <v>646.14574208800002</v>
      </c>
      <c r="S6">
        <f>[1]!s_val_pb($A6,$B6)</f>
        <v>0.99921480681717201</v>
      </c>
      <c r="T6">
        <f>[1]!s_west_avgroe($A6,YEAR($B6),$B6,180)</f>
        <v>7.9</v>
      </c>
      <c r="U6">
        <f>[1]!s_val_dividendyield2($A6,$B6)</f>
        <v>2.8987993138936501</v>
      </c>
      <c r="V6">
        <f>[1]!s_val_evtoebitda($A6,$B6)</f>
        <v>9.4883662978326893</v>
      </c>
    </row>
    <row r="7" spans="1:22">
      <c r="A7" t="str">
        <f>_meta!A6</f>
        <v>0179.HK</v>
      </c>
      <c r="B7">
        <f t="shared" si="0"/>
        <v>46167</v>
      </c>
      <c r="C7">
        <f>[1]!s_west_netprofit($A7,YEAR($B7),$B7,180,1000000)</f>
        <v>268.20575000000002</v>
      </c>
      <c r="D7">
        <f>[1]!s_west_eps($A7,YEAR($B7),$B7,180)</f>
        <v>0.28499999999999998</v>
      </c>
      <c r="E7">
        <f>[1]!s_west_instnum_np($A7,YEAR($B7),$B7,180)</f>
        <v>4</v>
      </c>
      <c r="F7">
        <f>[1]!s_west_stdnetprofit($A7,YEAR($B7),$B7,180,1000000)</f>
        <v>12.267110000000001</v>
      </c>
      <c r="G7">
        <f>[1]!s_west_mediannetprofit($A7,YEAR($B7),$B7,180,1000000)</f>
        <v>267.91149999999999</v>
      </c>
      <c r="H7">
        <f>[1]!s_west_netprofit($A7,YEAR($B7)+1,$B7,180,1000000)</f>
        <v>296.56625000000003</v>
      </c>
      <c r="I7">
        <f>[1]!s_west_eps($A7,YEAR($B7)+1,$B7,180)</f>
        <v>0.31740000000000002</v>
      </c>
      <c r="J7">
        <f>[1]!s_west_instnum_np($A7,YEAR($B7)+1,$B7,180)</f>
        <v>4</v>
      </c>
      <c r="K7">
        <f>[1]!s_west_stdnetprofit($A7,YEAR($B7)+1,$B7,180,1000000)</f>
        <v>17.375056000000001</v>
      </c>
      <c r="L7">
        <f>[1]!s_west_mediannetprofit($A7,YEAR($B7)+1,$B7,180,1000000)</f>
        <v>303</v>
      </c>
      <c r="M7">
        <f>[1]!s_dq_close($A7,$B7,3)</f>
        <v>29.02</v>
      </c>
      <c r="N7">
        <f>[1]!s_dq_volume($A7,$B7)</f>
        <v>0</v>
      </c>
      <c r="O7">
        <f>[1]!s_dq_amount($A7,$B7)</f>
        <v>0</v>
      </c>
      <c r="P7">
        <f>[1]!s_dq_turn($A7,$B7)</f>
        <v>0</v>
      </c>
      <c r="Q7">
        <f>[1]!s_val_pe_ttm($A7,$B7)</f>
        <v>13.076208114624</v>
      </c>
      <c r="R7">
        <f>[1]!S_VAL_MV($A7,$B7,100000000)</f>
        <v>271.16637226680001</v>
      </c>
      <c r="S7">
        <f>[1]!s_val_pb($A7,$B7)</f>
        <v>1.3076012282882301</v>
      </c>
      <c r="T7">
        <f>[1]!s_west_avgroe($A7,YEAR($B7),$B7,180)</f>
        <v>9.3650000000000002</v>
      </c>
      <c r="U7">
        <f>[1]!s_val_dividendyield2($A7,$B7)</f>
        <v>2.10199862164025</v>
      </c>
      <c r="V7">
        <f>[1]!s_val_evtoebitda($A7,$B7)</f>
        <v>5.1537292792787701</v>
      </c>
    </row>
    <row r="8" spans="1:22">
      <c r="A8" t="str">
        <f>_meta!A7</f>
        <v>0241.HK</v>
      </c>
      <c r="B8">
        <f t="shared" si="0"/>
        <v>46167</v>
      </c>
      <c r="C8">
        <f>[1]!s_west_netprofit($A8,YEAR($B8),$B8,180,1000000)</f>
        <v>0</v>
      </c>
      <c r="D8">
        <f>[1]!s_west_eps($A8,YEAR($B8),$B8,180)</f>
        <v>0</v>
      </c>
      <c r="E8">
        <f>[1]!s_west_instnum_np($A8,YEAR($B8),$B8,180)</f>
        <v>0</v>
      </c>
      <c r="F8">
        <f>[1]!s_west_stdnetprofit($A8,YEAR($B8),$B8,180,1000000)</f>
        <v>0</v>
      </c>
      <c r="G8">
        <f>[1]!s_west_mediannetprofit($A8,YEAR($B8),$B8,180,1000000)</f>
        <v>0</v>
      </c>
      <c r="H8">
        <f>[1]!s_west_netprofit($A8,YEAR($B8)+1,$B8,180,1000000)</f>
        <v>2350.7399999999998</v>
      </c>
      <c r="I8">
        <f>[1]!s_west_eps($A8,YEAR($B8)+1,$B8,180)</f>
        <v>0.1434</v>
      </c>
      <c r="J8">
        <f>[1]!s_west_instnum_np($A8,YEAR($B8)+1,$B8,180)</f>
        <v>10</v>
      </c>
      <c r="K8">
        <f>[1]!s_west_stdnetprofit($A8,YEAR($B8)+1,$B8,180,1000000)</f>
        <v>363.69603999999998</v>
      </c>
      <c r="L8">
        <f>[1]!s_west_mediannetprofit($A8,YEAR($B8)+1,$B8,180,1000000)</f>
        <v>2232</v>
      </c>
      <c r="M8">
        <f>[1]!s_dq_close($A8,$B8,3)</f>
        <v>3.85</v>
      </c>
      <c r="N8">
        <f>[1]!s_dq_volume($A8,$B8)</f>
        <v>0</v>
      </c>
      <c r="O8">
        <f>[1]!s_dq_amount($A8,$B8)</f>
        <v>0</v>
      </c>
      <c r="P8">
        <f>[1]!s_dq_turn($A8,$B8)</f>
        <v>0</v>
      </c>
      <c r="Q8">
        <f>[1]!s_val_pe_ttm($A8,$B8)</f>
        <v>28.3992919921875</v>
      </c>
      <c r="R8">
        <f>[1]!S_VAL_MV($A8,$B8,100000000)</f>
        <v>622.74908715250001</v>
      </c>
      <c r="S8">
        <f>[1]!s_val_pb($A8,$B8)</f>
        <v>3.0794951853304502</v>
      </c>
      <c r="T8">
        <f>[1]!s_west_avgroe($A8,YEAR($B8),$B8,180)</f>
        <v>0</v>
      </c>
      <c r="U8">
        <f>[1]!s_val_dividendyield2($A8,$B8)</f>
        <v>0</v>
      </c>
      <c r="V8">
        <f>[1]!s_val_evtoebitda($A8,$B8)</f>
        <v>0</v>
      </c>
    </row>
    <row r="9" spans="1:22">
      <c r="A9" t="str">
        <f>_meta!A8</f>
        <v>0268.HK</v>
      </c>
      <c r="B9">
        <f t="shared" si="0"/>
        <v>46167</v>
      </c>
      <c r="C9">
        <f>[1]!s_west_netprofit($A9,YEAR($B9),$B9,180,1000000)</f>
        <v>435.06285700000001</v>
      </c>
      <c r="D9">
        <f>[1]!s_west_eps($A9,YEAR($B9),$B9,180)</f>
        <v>0.1205</v>
      </c>
      <c r="E9">
        <f>[1]!s_west_instnum_np($A9,YEAR($B9),$B9,180)</f>
        <v>14</v>
      </c>
      <c r="F9">
        <f>[1]!s_west_stdnetprofit($A9,YEAR($B9),$B9,180,1000000)</f>
        <v>107.401295</v>
      </c>
      <c r="G9">
        <f>[1]!s_west_mediannetprofit($A9,YEAR($B9),$B9,180,1000000)</f>
        <v>449.69499999999999</v>
      </c>
      <c r="H9">
        <f>[1]!s_west_netprofit($A9,YEAR($B9)+1,$B9,180,1000000)</f>
        <v>755.48571400000003</v>
      </c>
      <c r="I9">
        <f>[1]!s_west_eps($A9,YEAR($B9)+1,$B9,180)</f>
        <v>0.21049999999999999</v>
      </c>
      <c r="J9">
        <f>[1]!s_west_instnum_np($A9,YEAR($B9)+1,$B9,180)</f>
        <v>14</v>
      </c>
      <c r="K9">
        <f>[1]!s_west_stdnetprofit($A9,YEAR($B9)+1,$B9,180,1000000)</f>
        <v>163.743988</v>
      </c>
      <c r="L9">
        <f>[1]!s_west_mediannetprofit($A9,YEAR($B9)+1,$B9,180,1000000)</f>
        <v>768.95500000000004</v>
      </c>
      <c r="M9">
        <f>[1]!s_dq_close($A9,$B9,3)</f>
        <v>7.79</v>
      </c>
      <c r="N9">
        <f>[1]!s_dq_volume($A9,$B9)</f>
        <v>0</v>
      </c>
      <c r="O9">
        <f>[1]!s_dq_amount($A9,$B9)</f>
        <v>0</v>
      </c>
      <c r="P9">
        <f>[1]!s_dq_turn($A9,$B9)</f>
        <v>0</v>
      </c>
      <c r="Q9">
        <f>[1]!s_val_pe_ttm($A9,$B9)</f>
        <v>268.79006958007801</v>
      </c>
      <c r="R9">
        <f>[1]!S_VAL_MV($A9,$B9,100000000)</f>
        <v>276.5036172609</v>
      </c>
      <c r="S9">
        <f>[1]!s_val_pb($A9,$B9)</f>
        <v>3.0428723646178302</v>
      </c>
      <c r="T9">
        <f>[1]!s_west_avgroe($A9,YEAR($B9),$B9,180)</f>
        <v>5.2708000000000004</v>
      </c>
      <c r="U9">
        <f>[1]!s_val_dividendyield2($A9,$B9)</f>
        <v>0</v>
      </c>
      <c r="V9">
        <f>[1]!s_val_evtoebitda($A9,$B9)</f>
        <v>37.161991852636604</v>
      </c>
    </row>
    <row r="10" spans="1:22">
      <c r="A10" t="str">
        <f>_meta!A9</f>
        <v>0285.HK</v>
      </c>
      <c r="B10">
        <f t="shared" si="0"/>
        <v>46167</v>
      </c>
      <c r="C10">
        <f>[1]!s_west_netprofit($A10,YEAR($B10),$B10,180,1000000)</f>
        <v>3696.5200829999999</v>
      </c>
      <c r="D10">
        <f>[1]!s_west_eps($A10,YEAR($B10),$B10,180)</f>
        <v>1.6406000000000001</v>
      </c>
      <c r="E10">
        <f>[1]!s_west_instnum_np($A10,YEAR($B10),$B10,180)</f>
        <v>12</v>
      </c>
      <c r="F10">
        <f>[1]!s_west_stdnetprofit($A10,YEAR($B10),$B10,180,1000000)</f>
        <v>843.87000999999998</v>
      </c>
      <c r="G10">
        <f>[1]!s_west_mediannetprofit($A10,YEAR($B10),$B10,180,1000000)</f>
        <v>3598</v>
      </c>
      <c r="H10">
        <f>[1]!s_west_netprofit($A10,YEAR($B10)+1,$B10,180,1000000)</f>
        <v>4638.1380829999998</v>
      </c>
      <c r="I10">
        <f>[1]!s_west_eps($A10,YEAR($B10)+1,$B10,180)</f>
        <v>2.0585</v>
      </c>
      <c r="J10">
        <f>[1]!s_west_instnum_np($A10,YEAR($B10)+1,$B10,180)</f>
        <v>12</v>
      </c>
      <c r="K10">
        <f>[1]!s_west_stdnetprofit($A10,YEAR($B10)+1,$B10,180,1000000)</f>
        <v>840.08660699999996</v>
      </c>
      <c r="L10">
        <f>[1]!s_west_mediannetprofit($A10,YEAR($B10)+1,$B10,180,1000000)</f>
        <v>4321</v>
      </c>
      <c r="M10">
        <f>[1]!s_dq_close($A10,$B10,3)</f>
        <v>26.3</v>
      </c>
      <c r="N10">
        <f>[1]!s_dq_volume($A10,$B10)</f>
        <v>0</v>
      </c>
      <c r="O10">
        <f>[1]!s_dq_amount($A10,$B10)</f>
        <v>0</v>
      </c>
      <c r="P10">
        <f>[1]!s_dq_turn($A10,$B10)</f>
        <v>0</v>
      </c>
      <c r="Q10">
        <f>[1]!s_val_pe_ttm($A10,$B10)</f>
        <v>15.2292127609253</v>
      </c>
      <c r="R10">
        <f>[1]!S_VAL_MV($A10,$B10,100000000)</f>
        <v>592.5927835</v>
      </c>
      <c r="S10">
        <f>[1]!s_val_pb($A10,$B10)</f>
        <v>1.5540399248964401</v>
      </c>
      <c r="T10">
        <f>[1]!s_west_avgroe($A10,YEAR($B10),$B10,180)</f>
        <v>10.5425</v>
      </c>
      <c r="U10">
        <f>[1]!s_val_dividendyield2($A10,$B10)</f>
        <v>2.3563878326996202</v>
      </c>
      <c r="V10">
        <f>[1]!s_val_evtoebitda($A10,$B10)</f>
        <v>4.68001438574953</v>
      </c>
    </row>
    <row r="11" spans="1:22">
      <c r="A11" t="str">
        <f>_meta!A10</f>
        <v>0303.HK</v>
      </c>
      <c r="B11">
        <f t="shared" si="0"/>
        <v>46167</v>
      </c>
      <c r="C11">
        <f>[1]!s_west_netprofit($A11,YEAR($B11),$B11,180,1000000)</f>
        <v>149</v>
      </c>
      <c r="D11">
        <f>[1]!s_west_eps($A11,YEAR($B11),$B11,180)</f>
        <v>0.58760000000000001</v>
      </c>
      <c r="E11">
        <f>[1]!s_west_instnum_np($A11,YEAR($B11),$B11,180)</f>
        <v>1</v>
      </c>
      <c r="F11">
        <f>[1]!s_west_stdnetprofit($A11,YEAR($B11),$B11,180,1000000)</f>
        <v>0</v>
      </c>
      <c r="G11">
        <f>[1]!s_west_mediannetprofit($A11,YEAR($B11),$B11,180,1000000)</f>
        <v>149</v>
      </c>
      <c r="H11">
        <f>[1]!s_west_netprofit($A11,YEAR($B11)+1,$B11,180,1000000)</f>
        <v>160</v>
      </c>
      <c r="I11">
        <f>[1]!s_west_eps($A11,YEAR($B11)+1,$B11,180)</f>
        <v>0.63</v>
      </c>
      <c r="J11">
        <f>[1]!s_west_instnum_np($A11,YEAR($B11)+1,$B11,180)</f>
        <v>1</v>
      </c>
      <c r="K11">
        <f>[1]!s_west_stdnetprofit($A11,YEAR($B11)+1,$B11,180,1000000)</f>
        <v>0</v>
      </c>
      <c r="L11">
        <f>[1]!s_west_mediannetprofit($A11,YEAR($B11)+1,$B11,180,1000000)</f>
        <v>160</v>
      </c>
      <c r="M11">
        <f>[1]!s_dq_close($A11,$B11,3)</f>
        <v>53.3</v>
      </c>
      <c r="N11">
        <f>[1]!s_dq_volume($A11,$B11)</f>
        <v>0</v>
      </c>
      <c r="O11">
        <f>[1]!s_dq_amount($A11,$B11)</f>
        <v>0</v>
      </c>
      <c r="P11">
        <f>[1]!s_dq_turn($A11,$B11)</f>
        <v>0</v>
      </c>
      <c r="Q11">
        <f>[1]!s_val_pe_ttm($A11,$B11)</f>
        <v>12.8600454330444</v>
      </c>
      <c r="R11">
        <f>[1]!S_VAL_MV($A11,$B11,100000000)</f>
        <v>135.14612937799998</v>
      </c>
      <c r="S11">
        <f>[1]!s_val_pb($A11,$B11)</f>
        <v>2.6641929733685901</v>
      </c>
      <c r="T11">
        <f>[1]!s_west_avgroe($A11,YEAR($B11),$B11,180)</f>
        <v>23.1</v>
      </c>
      <c r="U11">
        <f>[1]!s_val_dividendyield2($A11,$B11)</f>
        <v>8.9440092308015497</v>
      </c>
      <c r="V11">
        <f>[1]!s_val_evtoebitda($A11,$B11)</f>
        <v>6.4711214517567104</v>
      </c>
    </row>
    <row r="12" spans="1:22">
      <c r="A12" t="str">
        <f>_meta!A11</f>
        <v>0354.HK</v>
      </c>
      <c r="B12">
        <f t="shared" si="0"/>
        <v>46167</v>
      </c>
      <c r="C12">
        <f>[1]!s_west_netprofit($A12,YEAR($B12),$B12,180,1000000)</f>
        <v>592.29999999999995</v>
      </c>
      <c r="D12">
        <f>[1]!s_west_eps($A12,YEAR($B12),$B12,180)</f>
        <v>0.21679999999999999</v>
      </c>
      <c r="E12">
        <f>[1]!s_west_instnum_np($A12,YEAR($B12),$B12,180)</f>
        <v>6</v>
      </c>
      <c r="F12">
        <f>[1]!s_west_stdnetprofit($A12,YEAR($B12),$B12,180,1000000)</f>
        <v>81.322445000000002</v>
      </c>
      <c r="G12">
        <f>[1]!s_west_mediannetprofit($A12,YEAR($B12),$B12,180,1000000)</f>
        <v>630.5</v>
      </c>
      <c r="H12">
        <f>[1]!s_west_netprofit($A12,YEAR($B12)+1,$B12,180,1000000)</f>
        <v>668.96666700000003</v>
      </c>
      <c r="I12">
        <f>[1]!s_west_eps($A12,YEAR($B12)+1,$B12,180)</f>
        <v>0.24490000000000001</v>
      </c>
      <c r="J12">
        <f>[1]!s_west_instnum_np($A12,YEAR($B12)+1,$B12,180)</f>
        <v>6</v>
      </c>
      <c r="K12">
        <f>[1]!s_west_stdnetprofit($A12,YEAR($B12)+1,$B12,180,1000000)</f>
        <v>152.94733299999999</v>
      </c>
      <c r="L12">
        <f>[1]!s_west_mediannetprofit($A12,YEAR($B12)+1,$B12,180,1000000)</f>
        <v>706.9</v>
      </c>
      <c r="M12">
        <f>[1]!s_dq_close($A12,$B12,3)</f>
        <v>3.33</v>
      </c>
      <c r="N12">
        <f>[1]!s_dq_volume($A12,$B12)</f>
        <v>0</v>
      </c>
      <c r="O12">
        <f>[1]!s_dq_amount($A12,$B12)</f>
        <v>0</v>
      </c>
      <c r="P12">
        <f>[1]!s_dq_turn($A12,$B12)</f>
        <v>0</v>
      </c>
      <c r="Q12">
        <f>[1]!s_val_pe_ttm($A12,$B12)</f>
        <v>25.563423156738299</v>
      </c>
      <c r="R12">
        <f>[1]!S_VAL_MV($A12,$B12,100000000)</f>
        <v>90.9782426214</v>
      </c>
      <c r="S12">
        <f>[1]!s_val_pb($A12,$B12)</f>
        <v>0.69690863510056</v>
      </c>
      <c r="T12">
        <f>[1]!s_west_avgroe($A12,YEAR($B12),$B12,180)</f>
        <v>4.8319999999999999</v>
      </c>
      <c r="U12">
        <f>[1]!s_val_dividendyield2($A12,$B12)</f>
        <v>1.6006006006005999</v>
      </c>
      <c r="V12">
        <f>[1]!s_val_evtoebitda($A12,$B12)</f>
        <v>13.210725203160701</v>
      </c>
    </row>
    <row r="13" spans="1:22">
      <c r="A13" t="str">
        <f>_meta!A12</f>
        <v>0460.HK</v>
      </c>
      <c r="B13">
        <f t="shared" si="0"/>
        <v>46167</v>
      </c>
      <c r="C13">
        <f>[1]!s_west_netprofit($A13,YEAR($B13),$B13,180,1000000)</f>
        <v>566.33333300000004</v>
      </c>
      <c r="D13">
        <f>[1]!s_west_eps($A13,YEAR($B13),$B13,180)</f>
        <v>6.0699999999999997E-2</v>
      </c>
      <c r="E13">
        <f>[1]!s_west_instnum_np($A13,YEAR($B13),$B13,180)</f>
        <v>6</v>
      </c>
      <c r="F13">
        <f>[1]!s_west_stdnetprofit($A13,YEAR($B13),$B13,180,1000000)</f>
        <v>187.312217</v>
      </c>
      <c r="G13">
        <f>[1]!s_west_mediannetprofit($A13,YEAR($B13),$B13,180,1000000)</f>
        <v>616.5</v>
      </c>
      <c r="H13">
        <f>[1]!s_west_netprofit($A13,YEAR($B13)+1,$B13,180,1000000)</f>
        <v>799.66666699999996</v>
      </c>
      <c r="I13">
        <f>[1]!s_west_eps($A13,YEAR($B13)+1,$B13,180)</f>
        <v>8.5699999999999998E-2</v>
      </c>
      <c r="J13">
        <f>[1]!s_west_instnum_np($A13,YEAR($B13)+1,$B13,180)</f>
        <v>6</v>
      </c>
      <c r="K13">
        <f>[1]!s_west_stdnetprofit($A13,YEAR($B13)+1,$B13,180,1000000)</f>
        <v>312.98988300000002</v>
      </c>
      <c r="L13">
        <f>[1]!s_west_mediannetprofit($A13,YEAR($B13)+1,$B13,180,1000000)</f>
        <v>898.5</v>
      </c>
      <c r="M13">
        <f>[1]!s_dq_close($A13,$B13,3)</f>
        <v>1.04</v>
      </c>
      <c r="N13">
        <f>[1]!s_dq_volume($A13,$B13)</f>
        <v>0</v>
      </c>
      <c r="O13">
        <f>[1]!s_dq_amount($A13,$B13)</f>
        <v>0</v>
      </c>
      <c r="P13">
        <f>[1]!s_dq_turn($A13,$B13)</f>
        <v>0</v>
      </c>
      <c r="Q13">
        <f>[1]!s_val_pe_ttm($A13,$B13)</f>
        <v>48.771945953369098</v>
      </c>
      <c r="R13">
        <f>[1]!S_VAL_MV($A13,$B13,100000000)</f>
        <v>97.031991742399995</v>
      </c>
      <c r="S13">
        <f>[1]!s_val_pb($A13,$B13)</f>
        <v>1.4982762643249401</v>
      </c>
      <c r="T13">
        <f>[1]!s_west_avgroe($A13,YEAR($B13),$B13,180)</f>
        <v>9.56</v>
      </c>
      <c r="U13">
        <f>[1]!s_val_dividendyield2($A13,$B13)</f>
        <v>1.04807692307692</v>
      </c>
      <c r="V13">
        <f>[1]!s_val_evtoebitda($A13,$B13)</f>
        <v>8.1728960201573209</v>
      </c>
    </row>
    <row r="14" spans="1:22">
      <c r="A14" t="str">
        <f>_meta!A13</f>
        <v>0512.HK</v>
      </c>
      <c r="B14">
        <f t="shared" si="0"/>
        <v>46167</v>
      </c>
      <c r="C14">
        <f>[1]!s_west_netprofit($A14,YEAR($B14),$B14,180,1000000)</f>
        <v>1782.9685710000001</v>
      </c>
      <c r="D14">
        <f>[1]!s_west_eps($A14,YEAR($B14),$B14,180)</f>
        <v>0.50229999999999997</v>
      </c>
      <c r="E14">
        <f>[1]!s_west_instnum_np($A14,YEAR($B14),$B14,180)</f>
        <v>7</v>
      </c>
      <c r="F14">
        <f>[1]!s_west_stdnetprofit($A14,YEAR($B14),$B14,180,1000000)</f>
        <v>411.30359499999997</v>
      </c>
      <c r="G14">
        <f>[1]!s_west_mediannetprofit($A14,YEAR($B14),$B14,180,1000000)</f>
        <v>1586</v>
      </c>
      <c r="H14">
        <f>[1]!s_west_netprofit($A14,YEAR($B14)+1,$B14,180,1000000)</f>
        <v>2048.9757140000002</v>
      </c>
      <c r="I14">
        <f>[1]!s_west_eps($A14,YEAR($B14)+1,$B14,180)</f>
        <v>0.57720000000000005</v>
      </c>
      <c r="J14">
        <f>[1]!s_west_instnum_np($A14,YEAR($B14)+1,$B14,180)</f>
        <v>7</v>
      </c>
      <c r="K14">
        <f>[1]!s_west_stdnetprofit($A14,YEAR($B14)+1,$B14,180,1000000)</f>
        <v>451.17344500000002</v>
      </c>
      <c r="L14">
        <f>[1]!s_west_mediannetprofit($A14,YEAR($B14)+1,$B14,180,1000000)</f>
        <v>1825</v>
      </c>
      <c r="M14">
        <f>[1]!s_dq_close($A14,$B14,3)</f>
        <v>5.49</v>
      </c>
      <c r="N14">
        <f>[1]!s_dq_volume($A14,$B14)</f>
        <v>0</v>
      </c>
      <c r="O14">
        <f>[1]!s_dq_amount($A14,$B14)</f>
        <v>0</v>
      </c>
      <c r="P14">
        <f>[1]!s_dq_turn($A14,$B14)</f>
        <v>0</v>
      </c>
      <c r="Q14">
        <f>[1]!s_val_pe_ttm($A14,$B14)</f>
        <v>15.704408645629901</v>
      </c>
      <c r="R14">
        <f>[1]!S_VAL_MV($A14,$B14,100000000)</f>
        <v>194.87145602520002</v>
      </c>
      <c r="S14">
        <f>[1]!s_val_pb($A14,$B14)</f>
        <v>1.1451549004806301</v>
      </c>
      <c r="T14">
        <f>[1]!s_west_avgroe($A14,YEAR($B14),$B14,180)</f>
        <v>10.4733</v>
      </c>
      <c r="U14">
        <f>[1]!s_val_dividendyield2($A14,$B14)</f>
        <v>0</v>
      </c>
      <c r="V14">
        <f>[1]!s_val_evtoebitda($A14,$B14)</f>
        <v>10.3159191672591</v>
      </c>
    </row>
    <row r="15" spans="1:22">
      <c r="A15" t="str">
        <f>_meta!A14</f>
        <v>0522.HK</v>
      </c>
      <c r="B15">
        <f t="shared" si="0"/>
        <v>46167</v>
      </c>
      <c r="C15">
        <f>[1]!s_west_netprofit($A15,YEAR($B15),$B15,180,1000000)</f>
        <v>1637.883538</v>
      </c>
      <c r="D15">
        <f>[1]!s_west_eps($A15,YEAR($B15),$B15,180)</f>
        <v>3.9051999999999998</v>
      </c>
      <c r="E15">
        <f>[1]!s_west_instnum_np($A15,YEAR($B15),$B15,180)</f>
        <v>6</v>
      </c>
      <c r="F15">
        <f>[1]!s_west_stdnetprofit($A15,YEAR($B15),$B15,180,1000000)</f>
        <v>253.34928199999999</v>
      </c>
      <c r="G15">
        <f>[1]!s_west_mediannetprofit($A15,YEAR($B15),$B15,180,1000000)</f>
        <v>1564.963309</v>
      </c>
      <c r="H15">
        <f>[1]!s_west_netprofit($A15,YEAR($B15)+1,$B15,180,1000000)</f>
        <v>2361.9685639999998</v>
      </c>
      <c r="I15">
        <f>[1]!s_west_eps($A15,YEAR($B15)+1,$B15,180)</f>
        <v>5.6317000000000004</v>
      </c>
      <c r="J15">
        <f>[1]!s_west_instnum_np($A15,YEAR($B15)+1,$B15,180)</f>
        <v>6</v>
      </c>
      <c r="K15">
        <f>[1]!s_west_stdnetprofit($A15,YEAR($B15)+1,$B15,180,1000000)</f>
        <v>399.55709300000001</v>
      </c>
      <c r="L15">
        <f>[1]!s_west_mediannetprofit($A15,YEAR($B15)+1,$B15,180,1000000)</f>
        <v>2315.5</v>
      </c>
      <c r="M15">
        <f>[1]!s_dq_close($A15,$B15,3)</f>
        <v>184.6</v>
      </c>
      <c r="N15">
        <f>[1]!s_dq_volume($A15,$B15)</f>
        <v>0</v>
      </c>
      <c r="O15">
        <f>[1]!s_dq_amount($A15,$B15)</f>
        <v>0</v>
      </c>
      <c r="P15">
        <f>[1]!s_dq_turn($A15,$B15)</f>
        <v>0</v>
      </c>
      <c r="Q15">
        <f>[1]!s_val_pe_ttm($A15,$B15)</f>
        <v>72.208175659179702</v>
      </c>
      <c r="R15">
        <f>[1]!S_VAL_MV($A15,$B15,100000000)</f>
        <v>774.22759811800006</v>
      </c>
      <c r="S15">
        <f>[1]!s_val_pb($A15,$B15)</f>
        <v>4.5473637162090403</v>
      </c>
      <c r="T15">
        <f>[1]!s_west_avgroe($A15,YEAR($B15),$B15,180)</f>
        <v>8.3149999999999995</v>
      </c>
      <c r="U15">
        <f>[1]!s_val_dividendyield2($A15,$B15)</f>
        <v>0.74969561506322802</v>
      </c>
      <c r="V15">
        <f>[1]!s_val_evtoebitda($A15,$B15)</f>
        <v>37.192854581056999</v>
      </c>
    </row>
    <row r="16" spans="1:22">
      <c r="A16" t="str">
        <f>_meta!A15</f>
        <v>0552.HK</v>
      </c>
      <c r="B16">
        <f t="shared" si="0"/>
        <v>46167</v>
      </c>
      <c r="C16">
        <f>[1]!s_west_netprofit($A16,YEAR($B16),$B16,180,1000000)</f>
        <v>3695.75</v>
      </c>
      <c r="D16">
        <f>[1]!s_west_eps($A16,YEAR($B16),$B16,180)</f>
        <v>0.53310000000000002</v>
      </c>
      <c r="E16">
        <f>[1]!s_west_instnum_np($A16,YEAR($B16),$B16,180)</f>
        <v>4</v>
      </c>
      <c r="F16">
        <f>[1]!s_west_stdnetprofit($A16,YEAR($B16),$B16,180,1000000)</f>
        <v>63.944637999999998</v>
      </c>
      <c r="G16">
        <f>[1]!s_west_mediannetprofit($A16,YEAR($B16),$B16,180,1000000)</f>
        <v>3694</v>
      </c>
      <c r="H16">
        <f>[1]!s_west_netprofit($A16,YEAR($B16)+1,$B16,180,1000000)</f>
        <v>3782.5</v>
      </c>
      <c r="I16">
        <f>[1]!s_west_eps($A16,YEAR($B16)+1,$B16,180)</f>
        <v>0.54569999999999996</v>
      </c>
      <c r="J16">
        <f>[1]!s_west_instnum_np($A16,YEAR($B16)+1,$B16,180)</f>
        <v>4</v>
      </c>
      <c r="K16">
        <f>[1]!s_west_stdnetprofit($A16,YEAR($B16)+1,$B16,180,1000000)</f>
        <v>136.80521400000001</v>
      </c>
      <c r="L16">
        <f>[1]!s_west_mediannetprofit($A16,YEAR($B16)+1,$B16,180,1000000)</f>
        <v>3778</v>
      </c>
      <c r="M16">
        <f>[1]!s_dq_close($A16,$B16,3)</f>
        <v>4.26</v>
      </c>
      <c r="N16">
        <f>[1]!s_dq_volume($A16,$B16)</f>
        <v>0</v>
      </c>
      <c r="O16">
        <f>[1]!s_dq_amount($A16,$B16)</f>
        <v>0</v>
      </c>
      <c r="P16">
        <f>[1]!s_dq_turn($A16,$B16)</f>
        <v>0</v>
      </c>
      <c r="Q16">
        <f>[1]!s_val_pe_ttm($A16,$B16)</f>
        <v>7.3820552825927699</v>
      </c>
      <c r="R16">
        <f>[1]!S_VAL_MV($A16,$B16,100000000)</f>
        <v>295.04838383999999</v>
      </c>
      <c r="S16">
        <f>[1]!s_val_pb($A16,$B16)</f>
        <v>0.55706697977153397</v>
      </c>
      <c r="T16">
        <f>[1]!s_west_avgroe($A16,YEAR($B16),$B16,180)</f>
        <v>7.4333</v>
      </c>
      <c r="U16">
        <f>[1]!s_val_dividendyield2($A16,$B16)</f>
        <v>5.5941314553990598</v>
      </c>
      <c r="V16">
        <f>[1]!s_val_evtoebitda($A16,$B16)</f>
        <v>2.44563932432923</v>
      </c>
    </row>
    <row r="17" spans="1:22">
      <c r="A17" t="str">
        <f>_meta!A16</f>
        <v>0696.HK</v>
      </c>
      <c r="B17">
        <f t="shared" si="0"/>
        <v>46167</v>
      </c>
      <c r="C17">
        <f>[1]!s_west_netprofit($A17,YEAR($B17),$B17,180,1000000)</f>
        <v>2523.4</v>
      </c>
      <c r="D17">
        <f>[1]!s_west_eps($A17,YEAR($B17),$B17,180)</f>
        <v>0.86199999999999999</v>
      </c>
      <c r="E17">
        <f>[1]!s_west_instnum_np($A17,YEAR($B17),$B17,180)</f>
        <v>10</v>
      </c>
      <c r="F17">
        <f>[1]!s_west_stdnetprofit($A17,YEAR($B17),$B17,180,1000000)</f>
        <v>77.286192999999997</v>
      </c>
      <c r="G17">
        <f>[1]!s_west_mediannetprofit($A17,YEAR($B17),$B17,180,1000000)</f>
        <v>2540.5</v>
      </c>
      <c r="H17">
        <f>[1]!s_west_netprofit($A17,YEAR($B17)+1,$B17,180,1000000)</f>
        <v>2743.2</v>
      </c>
      <c r="I17">
        <f>[1]!s_west_eps($A17,YEAR($B17)+1,$B17,180)</f>
        <v>0.93730000000000002</v>
      </c>
      <c r="J17">
        <f>[1]!s_west_instnum_np($A17,YEAR($B17)+1,$B17,180)</f>
        <v>10</v>
      </c>
      <c r="K17">
        <f>[1]!s_west_stdnetprofit($A17,YEAR($B17)+1,$B17,180,1000000)</f>
        <v>84.453537999999995</v>
      </c>
      <c r="L17">
        <f>[1]!s_west_mediannetprofit($A17,YEAR($B17)+1,$B17,180,1000000)</f>
        <v>2762</v>
      </c>
      <c r="M17">
        <f>[1]!s_dq_close($A17,$B17,3)</f>
        <v>9.25</v>
      </c>
      <c r="N17">
        <f>[1]!s_dq_volume($A17,$B17)</f>
        <v>0</v>
      </c>
      <c r="O17">
        <f>[1]!s_dq_amount($A17,$B17)</f>
        <v>0</v>
      </c>
      <c r="P17">
        <f>[1]!s_dq_turn($A17,$B17)</f>
        <v>0</v>
      </c>
      <c r="Q17">
        <f>[1]!s_val_pe_ttm($A17,$B17)</f>
        <v>10.4408321380615</v>
      </c>
      <c r="R17">
        <f>[1]!S_VAL_MV($A17,$B17,100000000)</f>
        <v>270.67438698249998</v>
      </c>
      <c r="S17">
        <f>[1]!s_val_pb($A17,$B17)</f>
        <v>1.0193500848705399</v>
      </c>
      <c r="T17">
        <f>[1]!s_west_avgroe($A17,YEAR($B17),$B17,180)</f>
        <v>9.9975000000000005</v>
      </c>
      <c r="U17">
        <f>[1]!s_val_dividendyield2($A17,$B17)</f>
        <v>2.8220540540540502</v>
      </c>
      <c r="V17">
        <f>[1]!s_val_evtoebitda($A17,$B17)</f>
        <v>0</v>
      </c>
    </row>
    <row r="18" spans="1:22">
      <c r="A18" t="str">
        <f>_meta!A17</f>
        <v>0700.HK</v>
      </c>
      <c r="B18">
        <f t="shared" si="0"/>
        <v>46167</v>
      </c>
      <c r="C18">
        <f>[1]!s_west_netprofit($A18,YEAR($B18),$B18,180,1000000)</f>
        <v>240870.24877999999</v>
      </c>
      <c r="D18">
        <f>[1]!s_west_eps($A18,YEAR($B18),$B18,180)</f>
        <v>26.416899999999998</v>
      </c>
      <c r="E18">
        <f>[1]!s_west_instnum_np($A18,YEAR($B18),$B18,180)</f>
        <v>41</v>
      </c>
      <c r="F18">
        <f>[1]!s_west_stdnetprofit($A18,YEAR($B18),$B18,180,1000000)</f>
        <v>11647.130069999999</v>
      </c>
      <c r="G18">
        <f>[1]!s_west_mediannetprofit($A18,YEAR($B18),$B18,180,1000000)</f>
        <v>239883</v>
      </c>
      <c r="H18">
        <f>[1]!s_west_netprofit($A18,YEAR($B18)+1,$B18,180,1000000)</f>
        <v>268537.68975600001</v>
      </c>
      <c r="I18">
        <f>[1]!s_west_eps($A18,YEAR($B18)+1,$B18,180)</f>
        <v>29.4513</v>
      </c>
      <c r="J18">
        <f>[1]!s_west_instnum_np($A18,YEAR($B18)+1,$B18,180)</f>
        <v>41</v>
      </c>
      <c r="K18">
        <f>[1]!s_west_stdnetprofit($A18,YEAR($B18)+1,$B18,180,1000000)</f>
        <v>15560.260662999999</v>
      </c>
      <c r="L18">
        <f>[1]!s_west_mediannetprofit($A18,YEAR($B18)+1,$B18,180,1000000)</f>
        <v>267181</v>
      </c>
      <c r="M18">
        <f>[1]!s_dq_close($A18,$B18,3)</f>
        <v>441.4</v>
      </c>
      <c r="N18">
        <f>[1]!s_dq_volume($A18,$B18)</f>
        <v>0</v>
      </c>
      <c r="O18">
        <f>[1]!s_dq_amount($A18,$B18)</f>
        <v>0</v>
      </c>
      <c r="P18">
        <f>[1]!s_dq_turn($A18,$B18)</f>
        <v>0</v>
      </c>
      <c r="Q18">
        <f>[1]!s_val_pe_ttm($A18,$B18)</f>
        <v>15.114386558532701</v>
      </c>
      <c r="R18">
        <f>[1]!S_VAL_MV($A18,$B18,100000000)</f>
        <v>40246.942959298001</v>
      </c>
      <c r="S18">
        <f>[1]!s_val_pb($A18,$B18)</f>
        <v>3.1496582616238702</v>
      </c>
      <c r="T18">
        <f>[1]!s_west_avgroe($A18,YEAR($B18),$B18,180)</f>
        <v>19.180900000000001</v>
      </c>
      <c r="U18">
        <f>[1]!s_val_dividendyield2($A18,$B18)</f>
        <v>1.2007211509125499</v>
      </c>
      <c r="V18">
        <f>[1]!s_val_evtoebitda($A18,$B18)</f>
        <v>11.1956792609027</v>
      </c>
    </row>
    <row r="19" spans="1:22">
      <c r="A19" t="str">
        <f>_meta!A18</f>
        <v>0763.HK</v>
      </c>
      <c r="B19">
        <f t="shared" si="0"/>
        <v>46167</v>
      </c>
      <c r="C19">
        <f>[1]!s_west_netprofit($A19,YEAR($B19),$B19,180,1000000)</f>
        <v>6924.5</v>
      </c>
      <c r="D19">
        <f>[1]!s_west_eps($A19,YEAR($B19),$B19,180)</f>
        <v>1.4475</v>
      </c>
      <c r="E19">
        <f>[1]!s_west_instnum_np($A19,YEAR($B19),$B19,180)</f>
        <v>4</v>
      </c>
      <c r="F19">
        <f>[1]!s_west_stdnetprofit($A19,YEAR($B19),$B19,180,1000000)</f>
        <v>1336.6726100000001</v>
      </c>
      <c r="G19">
        <f>[1]!s_west_mediannetprofit($A19,YEAR($B19),$B19,180,1000000)</f>
        <v>6600</v>
      </c>
      <c r="H19">
        <f>[1]!s_west_netprofit($A19,YEAR($B19)+1,$B19,180,1000000)</f>
        <v>8692.5</v>
      </c>
      <c r="I19">
        <f>[1]!s_west_eps($A19,YEAR($B19)+1,$B19,180)</f>
        <v>1.8169999999999999</v>
      </c>
      <c r="J19">
        <f>[1]!s_west_instnum_np($A19,YEAR($B19)+1,$B19,180)</f>
        <v>4</v>
      </c>
      <c r="K19">
        <f>[1]!s_west_stdnetprofit($A19,YEAR($B19)+1,$B19,180,1000000)</f>
        <v>1728.743956</v>
      </c>
      <c r="L19">
        <f>[1]!s_west_mediannetprofit($A19,YEAR($B19)+1,$B19,180,1000000)</f>
        <v>8601</v>
      </c>
      <c r="M19">
        <f>[1]!s_dq_close($A19,$B19,3)</f>
        <v>24.48</v>
      </c>
      <c r="N19">
        <f>[1]!s_dq_volume($A19,$B19)</f>
        <v>0</v>
      </c>
      <c r="O19">
        <f>[1]!s_dq_amount($A19,$B19)</f>
        <v>0</v>
      </c>
      <c r="P19">
        <f>[1]!s_dq_turn($A19,$B19)</f>
        <v>0</v>
      </c>
      <c r="Q19">
        <f>[1]!s_val_pe_ttm($A19,$B19)</f>
        <v>23.1047763824463</v>
      </c>
      <c r="R19">
        <f>[1]!S_VAL_MV($A19,$B19,100000000)</f>
        <v>1171.0093403376</v>
      </c>
      <c r="S19">
        <f>[1]!s_val_pb($A19,$B19)</f>
        <v>1.40228124450706</v>
      </c>
      <c r="T19">
        <f>[1]!s_west_avgroe($A19,YEAR($B19),$B19,180)</f>
        <v>8.5024999999999995</v>
      </c>
      <c r="U19">
        <f>[1]!s_val_dividendyield2($A19,$B19)</f>
        <v>0</v>
      </c>
      <c r="V19">
        <f>[1]!s_val_evtoebitda($A19,$B19)</f>
        <v>0</v>
      </c>
    </row>
    <row r="20" spans="1:22">
      <c r="A20" t="str">
        <f>_meta!A19</f>
        <v>0772.HK</v>
      </c>
      <c r="B20">
        <f t="shared" si="0"/>
        <v>46167</v>
      </c>
      <c r="C20">
        <f>[1]!s_west_netprofit($A20,YEAR($B20),$B20,180,1000000)</f>
        <v>1083.6007139999999</v>
      </c>
      <c r="D20">
        <f>[1]!s_west_eps($A20,YEAR($B20),$B20,180)</f>
        <v>1.0608</v>
      </c>
      <c r="E20">
        <f>[1]!s_west_instnum_np($A20,YEAR($B20),$B20,180)</f>
        <v>14</v>
      </c>
      <c r="F20">
        <f>[1]!s_west_stdnetprofit($A20,YEAR($B20),$B20,180,1000000)</f>
        <v>290.79211099999998</v>
      </c>
      <c r="G20">
        <f>[1]!s_west_mediannetprofit($A20,YEAR($B20),$B20,180,1000000)</f>
        <v>1126</v>
      </c>
      <c r="H20">
        <f>[1]!s_west_netprofit($A20,YEAR($B20)+1,$B20,180,1000000)</f>
        <v>1269.6378569999999</v>
      </c>
      <c r="I20">
        <f>[1]!s_west_eps($A20,YEAR($B20)+1,$B20,180)</f>
        <v>1.2428999999999999</v>
      </c>
      <c r="J20">
        <f>[1]!s_west_instnum_np($A20,YEAR($B20)+1,$B20,180)</f>
        <v>14</v>
      </c>
      <c r="K20">
        <f>[1]!s_west_stdnetprofit($A20,YEAR($B20)+1,$B20,180,1000000)</f>
        <v>314.58720299999999</v>
      </c>
      <c r="L20">
        <f>[1]!s_west_mediannetprofit($A20,YEAR($B20)+1,$B20,180,1000000)</f>
        <v>1316.5</v>
      </c>
      <c r="M20">
        <f>[1]!s_dq_close($A20,$B20,3)</f>
        <v>22.9</v>
      </c>
      <c r="N20">
        <f>[1]!s_dq_volume($A20,$B20)</f>
        <v>0</v>
      </c>
      <c r="O20">
        <f>[1]!s_dq_amount($A20,$B20)</f>
        <v>0</v>
      </c>
      <c r="P20">
        <f>[1]!s_dq_turn($A20,$B20)</f>
        <v>0</v>
      </c>
      <c r="Q20">
        <f>[1]!s_val_pe_ttm($A20,$B20)</f>
        <v>-27.224840164184599</v>
      </c>
      <c r="R20">
        <f>[1]!S_VAL_MV($A20,$B20,100000000)</f>
        <v>233.91805598299999</v>
      </c>
      <c r="S20">
        <f>[1]!s_val_pb($A20,$B20)</f>
        <v>1.20552320526746</v>
      </c>
      <c r="T20">
        <f>[1]!s_west_avgroe($A20,YEAR($B20),$B20,180)</f>
        <v>6.7241999999999997</v>
      </c>
      <c r="U20">
        <f>[1]!s_val_dividendyield2($A20,$B20)</f>
        <v>0</v>
      </c>
      <c r="V20">
        <f>[1]!s_val_evtoebitda($A20,$B20)</f>
        <v>-33.926640306837498</v>
      </c>
    </row>
    <row r="21" spans="1:22">
      <c r="A21" t="str">
        <f>_meta!A20</f>
        <v>0780.HK</v>
      </c>
      <c r="B21">
        <f t="shared" si="0"/>
        <v>46167</v>
      </c>
      <c r="C21">
        <f>[1]!s_west_netprofit($A21,YEAR($B21),$B21,180,1000000)</f>
        <v>3256.8384999999998</v>
      </c>
      <c r="D21">
        <f>[1]!s_west_eps($A21,YEAR($B21),$B21,180)</f>
        <v>1.3834</v>
      </c>
      <c r="E21">
        <f>[1]!s_west_instnum_np($A21,YEAR($B21),$B21,180)</f>
        <v>20</v>
      </c>
      <c r="F21">
        <f>[1]!s_west_stdnetprofit($A21,YEAR($B21),$B21,180,1000000)</f>
        <v>130.66408100000001</v>
      </c>
      <c r="G21">
        <f>[1]!s_west_mediannetprofit($A21,YEAR($B21),$B21,180,1000000)</f>
        <v>3263.74</v>
      </c>
      <c r="H21">
        <f>[1]!s_west_netprofit($A21,YEAR($B21)+1,$B21,180,1000000)</f>
        <v>3825.7869999999998</v>
      </c>
      <c r="I21">
        <f>[1]!s_west_eps($A21,YEAR($B21)+1,$B21,180)</f>
        <v>1.625</v>
      </c>
      <c r="J21">
        <f>[1]!s_west_instnum_np($A21,YEAR($B21)+1,$B21,180)</f>
        <v>20</v>
      </c>
      <c r="K21">
        <f>[1]!s_west_stdnetprofit($A21,YEAR($B21)+1,$B21,180,1000000)</f>
        <v>220.264284</v>
      </c>
      <c r="L21">
        <f>[1]!s_west_mediannetprofit($A21,YEAR($B21)+1,$B21,180,1000000)</f>
        <v>3798</v>
      </c>
      <c r="M21">
        <f>[1]!s_dq_close($A21,$B21,3)</f>
        <v>14.89</v>
      </c>
      <c r="N21">
        <f>[1]!s_dq_volume($A21,$B21)</f>
        <v>0</v>
      </c>
      <c r="O21">
        <f>[1]!s_dq_amount($A21,$B21)</f>
        <v>0</v>
      </c>
      <c r="P21">
        <f>[1]!s_dq_turn($A21,$B21)</f>
        <v>0</v>
      </c>
      <c r="Q21">
        <f>[1]!s_val_pe_ttm($A21,$B21)</f>
        <v>12.472531318664601</v>
      </c>
      <c r="R21">
        <f>[1]!S_VAL_MV($A21,$B21,100000000)</f>
        <v>350.5567533418</v>
      </c>
      <c r="S21">
        <f>[1]!s_val_pb($A21,$B21)</f>
        <v>1.4038113951747799</v>
      </c>
      <c r="T21">
        <f>[1]!s_west_avgroe($A21,YEAR($B21),$B21,180)</f>
        <v>12.8841</v>
      </c>
      <c r="U21">
        <f>[1]!s_val_dividendyield2($A21,$B21)</f>
        <v>1.19993026666887</v>
      </c>
      <c r="V21">
        <f>[1]!s_val_evtoebitda($A21,$B21)</f>
        <v>6.55845869953672</v>
      </c>
    </row>
    <row r="22" spans="1:22">
      <c r="A22" t="str">
        <f>_meta!A21</f>
        <v>0853.HK</v>
      </c>
      <c r="B22">
        <f t="shared" si="0"/>
        <v>46167</v>
      </c>
      <c r="C22">
        <f>[1]!s_west_netprofit($A22,YEAR($B22),$B22,180,1000000)</f>
        <v>91.721110999999993</v>
      </c>
      <c r="D22">
        <f>[1]!s_west_eps($A22,YEAR($B22),$B22,180)</f>
        <v>4.7800000000000002E-2</v>
      </c>
      <c r="E22">
        <f>[1]!s_west_instnum_np($A22,YEAR($B22),$B22,180)</f>
        <v>9</v>
      </c>
      <c r="F22">
        <f>[1]!s_west_stdnetprofit($A22,YEAR($B22),$B22,180,1000000)</f>
        <v>8.7310230000000004</v>
      </c>
      <c r="G22">
        <f>[1]!s_west_mediannetprofit($A22,YEAR($B22),$B22,180,1000000)</f>
        <v>92</v>
      </c>
      <c r="H22">
        <f>[1]!s_west_netprofit($A22,YEAR($B22)+1,$B22,180,1000000)</f>
        <v>121.757778</v>
      </c>
      <c r="I22">
        <f>[1]!s_west_eps($A22,YEAR($B22)+1,$B22,180)</f>
        <v>6.3500000000000001E-2</v>
      </c>
      <c r="J22">
        <f>[1]!s_west_instnum_np($A22,YEAR($B22)+1,$B22,180)</f>
        <v>9</v>
      </c>
      <c r="K22">
        <f>[1]!s_west_stdnetprofit($A22,YEAR($B22)+1,$B22,180,1000000)</f>
        <v>59.442838999999999</v>
      </c>
      <c r="L22">
        <f>[1]!s_west_mediannetprofit($A22,YEAR($B22)+1,$B22,180,1000000)</f>
        <v>133</v>
      </c>
      <c r="M22">
        <f>[1]!s_dq_close($A22,$B22,3)</f>
        <v>7.76</v>
      </c>
      <c r="N22">
        <f>[1]!s_dq_volume($A22,$B22)</f>
        <v>0</v>
      </c>
      <c r="O22">
        <f>[1]!s_dq_amount($A22,$B22)</f>
        <v>0</v>
      </c>
      <c r="P22">
        <f>[1]!s_dq_turn($A22,$B22)</f>
        <v>0</v>
      </c>
      <c r="Q22">
        <f>[1]!s_val_pe_ttm($A22,$B22)</f>
        <v>39.406581878662102</v>
      </c>
      <c r="R22">
        <f>[1]!S_VAL_MV($A22,$B22,100000000)</f>
        <v>148.78811802799999</v>
      </c>
      <c r="S22">
        <f>[1]!s_val_pb($A22,$B22)</f>
        <v>1.9493665572989201</v>
      </c>
      <c r="T22">
        <f>[1]!s_west_avgroe($A22,YEAR($B22),$B22,180)</f>
        <v>10.38</v>
      </c>
      <c r="U22">
        <f>[1]!s_val_dividendyield2($A22,$B22)</f>
        <v>0</v>
      </c>
      <c r="V22">
        <f>[1]!s_val_evtoebitda($A22,$B22)</f>
        <v>8.2307713904379298</v>
      </c>
    </row>
    <row r="23" spans="1:22">
      <c r="A23" t="str">
        <f>_meta!A22</f>
        <v>0867.HK</v>
      </c>
      <c r="B23">
        <f t="shared" si="0"/>
        <v>46167</v>
      </c>
      <c r="C23">
        <f>[1]!s_west_netprofit($A23,YEAR($B23),$B23,180,1000000)</f>
        <v>2017.783408</v>
      </c>
      <c r="D23">
        <f>[1]!s_west_eps($A23,YEAR($B23),$B23,180)</f>
        <v>0.82709999999999995</v>
      </c>
      <c r="E23">
        <f>[1]!s_west_instnum_np($A23,YEAR($B23),$B23,180)</f>
        <v>15</v>
      </c>
      <c r="F23">
        <f>[1]!s_west_stdnetprofit($A23,YEAR($B23),$B23,180,1000000)</f>
        <v>75.011870000000002</v>
      </c>
      <c r="G23">
        <f>[1]!s_west_mediannetprofit($A23,YEAR($B23),$B23,180,1000000)</f>
        <v>2001</v>
      </c>
      <c r="H23">
        <f>[1]!s_west_netprofit($A23,YEAR($B23)+1,$B23,180,1000000)</f>
        <v>2435.4309699999999</v>
      </c>
      <c r="I23">
        <f>[1]!s_west_eps($A23,YEAR($B23)+1,$B23,180)</f>
        <v>0.99829999999999997</v>
      </c>
      <c r="J23">
        <f>[1]!s_west_instnum_np($A23,YEAR($B23)+1,$B23,180)</f>
        <v>15</v>
      </c>
      <c r="K23">
        <f>[1]!s_west_stdnetprofit($A23,YEAR($B23)+1,$B23,180,1000000)</f>
        <v>142.32994299999999</v>
      </c>
      <c r="L23">
        <f>[1]!s_west_mediannetprofit($A23,YEAR($B23)+1,$B23,180,1000000)</f>
        <v>2410.5</v>
      </c>
      <c r="M23">
        <f>[1]!s_dq_close($A23,$B23,3)</f>
        <v>10.99</v>
      </c>
      <c r="N23">
        <f>[1]!s_dq_volume($A23,$B23)</f>
        <v>0</v>
      </c>
      <c r="O23">
        <f>[1]!s_dq_amount($A23,$B23)</f>
        <v>0</v>
      </c>
      <c r="P23">
        <f>[1]!s_dq_turn($A23,$B23)</f>
        <v>0</v>
      </c>
      <c r="Q23">
        <f>[1]!s_val_pe_ttm($A23,$B23)</f>
        <v>16.264245986938501</v>
      </c>
      <c r="R23">
        <f>[1]!S_VAL_MV($A23,$B23,100000000)</f>
        <v>268.10418346879999</v>
      </c>
      <c r="S23">
        <f>[1]!s_val_pb($A23,$B23)</f>
        <v>1.3920482165958701</v>
      </c>
      <c r="T23">
        <f>[1]!s_west_avgroe($A23,YEAR($B23),$B23,180)</f>
        <v>10.8592</v>
      </c>
      <c r="U23">
        <f>[1]!s_val_dividendyield2($A23,$B23)</f>
        <v>2.9663330300272999</v>
      </c>
      <c r="V23">
        <f>[1]!s_val_evtoebitda($A23,$B23)</f>
        <v>9.2734263009819493</v>
      </c>
    </row>
    <row r="24" spans="1:22">
      <c r="A24" t="str">
        <f>_meta!A23</f>
        <v>0917.HK</v>
      </c>
      <c r="B24">
        <f t="shared" si="0"/>
        <v>46167</v>
      </c>
      <c r="C24">
        <f>[1]!s_west_netprofit($A24,YEAR($B24),$B24,180,1000000)</f>
        <v>364</v>
      </c>
      <c r="D24">
        <f>[1]!s_west_eps($A24,YEAR($B24),$B24,180)</f>
        <v>1.3698999999999999</v>
      </c>
      <c r="E24">
        <f>[1]!s_west_instnum_np($A24,YEAR($B24),$B24,180)</f>
        <v>1</v>
      </c>
      <c r="F24">
        <f>[1]!s_west_stdnetprofit($A24,YEAR($B24),$B24,180,1000000)</f>
        <v>0</v>
      </c>
      <c r="G24">
        <f>[1]!s_west_mediannetprofit($A24,YEAR($B24),$B24,180,1000000)</f>
        <v>364</v>
      </c>
      <c r="H24">
        <f>[1]!s_west_netprofit($A24,YEAR($B24)+1,$B24,180,1000000)</f>
        <v>448</v>
      </c>
      <c r="I24">
        <f>[1]!s_west_eps($A24,YEAR($B24)+1,$B24,180)</f>
        <v>1.6860999999999999</v>
      </c>
      <c r="J24">
        <f>[1]!s_west_instnum_np($A24,YEAR($B24)+1,$B24,180)</f>
        <v>1</v>
      </c>
      <c r="K24">
        <f>[1]!s_west_stdnetprofit($A24,YEAR($B24)+1,$B24,180,1000000)</f>
        <v>0</v>
      </c>
      <c r="L24">
        <f>[1]!s_west_mediannetprofit($A24,YEAR($B24)+1,$B24,180,1000000)</f>
        <v>448</v>
      </c>
      <c r="M24">
        <f>[1]!s_dq_close($A24,$B24,3)</f>
        <v>12.34</v>
      </c>
      <c r="N24">
        <f>[1]!s_dq_volume($A24,$B24)</f>
        <v>0</v>
      </c>
      <c r="O24">
        <f>[1]!s_dq_amount($A24,$B24)</f>
        <v>0</v>
      </c>
      <c r="P24">
        <f>[1]!s_dq_turn($A24,$B24)</f>
        <v>0</v>
      </c>
      <c r="Q24">
        <f>[1]!s_val_pe_ttm($A24,$B24)</f>
        <v>10.3643283843994</v>
      </c>
      <c r="R24">
        <f>[1]!S_VAL_MV($A24,$B24,100000000)</f>
        <v>32.788052036399996</v>
      </c>
      <c r="S24">
        <f>[1]!s_val_pb($A24,$B24)</f>
        <v>1.46923854941251</v>
      </c>
      <c r="T24">
        <f>[1]!s_west_avgroe($A24,YEAR($B24),$B24,180)</f>
        <v>16.55</v>
      </c>
      <c r="U24">
        <f>[1]!s_val_dividendyield2($A24,$B24)</f>
        <v>0</v>
      </c>
      <c r="V24">
        <f>[1]!s_val_evtoebitda($A24,$B24)</f>
        <v>5.38543247486077</v>
      </c>
    </row>
    <row r="25" spans="1:22">
      <c r="A25" t="str">
        <f>_meta!A24</f>
        <v>0981.HK</v>
      </c>
      <c r="B25">
        <f t="shared" si="0"/>
        <v>46167</v>
      </c>
      <c r="C25">
        <f>[1]!s_west_netprofit($A25,YEAR($B25),$B25,180,1000000)</f>
        <v>1204.5498520000001</v>
      </c>
      <c r="D25">
        <f>[1]!s_west_eps($A25,YEAR($B25),$B25,180)</f>
        <v>0.15029999999999999</v>
      </c>
      <c r="E25">
        <f>[1]!s_west_instnum_np($A25,YEAR($B25),$B25,180)</f>
        <v>8</v>
      </c>
      <c r="F25">
        <f>[1]!s_west_stdnetprofit($A25,YEAR($B25),$B25,180,1000000)</f>
        <v>295.21404799999999</v>
      </c>
      <c r="G25">
        <f>[1]!s_west_mediannetprofit($A25,YEAR($B25),$B25,180,1000000)</f>
        <v>1280.0776639999999</v>
      </c>
      <c r="H25">
        <f>[1]!s_west_netprofit($A25,YEAR($B25)+1,$B25,180,1000000)</f>
        <v>1672.764516</v>
      </c>
      <c r="I25">
        <f>[1]!s_west_eps($A25,YEAR($B25)+1,$B25,180)</f>
        <v>0.20880000000000001</v>
      </c>
      <c r="J25">
        <f>[1]!s_west_instnum_np($A25,YEAR($B25)+1,$B25,180)</f>
        <v>8</v>
      </c>
      <c r="K25">
        <f>[1]!s_west_stdnetprofit($A25,YEAR($B25)+1,$B25,180,1000000)</f>
        <v>517.00155099999995</v>
      </c>
      <c r="L25">
        <f>[1]!s_west_mediannetprofit($A25,YEAR($B25)+1,$B25,180,1000000)</f>
        <v>1840.1116420000001</v>
      </c>
      <c r="M25">
        <f>[1]!s_dq_close($A25,$B25,3)</f>
        <v>79.849999999999994</v>
      </c>
      <c r="N25">
        <f>[1]!s_dq_volume($A25,$B25)</f>
        <v>0</v>
      </c>
      <c r="O25">
        <f>[1]!s_dq_amount($A25,$B25)</f>
        <v>0</v>
      </c>
      <c r="P25">
        <f>[1]!s_dq_turn($A25,$B25)</f>
        <v>0</v>
      </c>
      <c r="Q25">
        <f>[1]!s_val_pe_ttm($A25,$B25)</f>
        <v>117.556648254395</v>
      </c>
      <c r="R25">
        <f>[1]!S_VAL_MV($A25,$B25,100000000)</f>
        <v>6398.5162298284995</v>
      </c>
      <c r="S25">
        <f>[1]!s_val_pb($A25,$B25)</f>
        <v>3.8350721528743899</v>
      </c>
      <c r="T25">
        <f>[1]!s_west_avgroe($A25,YEAR($B25),$B25,180)</f>
        <v>4.63</v>
      </c>
      <c r="U25">
        <f>[1]!s_val_dividendyield2($A25,$B25)</f>
        <v>0</v>
      </c>
      <c r="V25">
        <f>[1]!s_val_evtoebitda($A25,$B25)</f>
        <v>23.660220401208399</v>
      </c>
    </row>
    <row r="26" spans="1:22">
      <c r="A26" t="str">
        <f>_meta!A25</f>
        <v>0992.HK</v>
      </c>
      <c r="B26">
        <f t="shared" si="0"/>
        <v>46167</v>
      </c>
      <c r="C26">
        <f>[1]!s_west_netprofit($A26,YEAR($B26),$B26,180,1000000)</f>
        <v>0</v>
      </c>
      <c r="D26">
        <f>[1]!s_west_eps($A26,YEAR($B26),$B26,180)</f>
        <v>0</v>
      </c>
      <c r="E26">
        <f>[1]!s_west_instnum_np($A26,YEAR($B26),$B26,180)</f>
        <v>0</v>
      </c>
      <c r="F26">
        <f>[1]!s_west_stdnetprofit($A26,YEAR($B26),$B26,180,1000000)</f>
        <v>0</v>
      </c>
      <c r="G26">
        <f>[1]!s_west_mediannetprofit($A26,YEAR($B26),$B26,180,1000000)</f>
        <v>0</v>
      </c>
      <c r="H26">
        <f>[1]!s_west_netprofit($A26,YEAR($B26)+1,$B26,180,1000000)</f>
        <v>2090.94731</v>
      </c>
      <c r="I26">
        <f>[1]!s_west_eps($A26,YEAR($B26)+1,$B26,180)</f>
        <v>0.16309999999999999</v>
      </c>
      <c r="J26">
        <f>[1]!s_west_instnum_np($A26,YEAR($B26)+1,$B26,180)</f>
        <v>18</v>
      </c>
      <c r="K26">
        <f>[1]!s_west_stdnetprofit($A26,YEAR($B26)+1,$B26,180,1000000)</f>
        <v>371.75476099999997</v>
      </c>
      <c r="L26">
        <f>[1]!s_west_mediannetprofit($A26,YEAR($B26)+1,$B26,180,1000000)</f>
        <v>2012</v>
      </c>
      <c r="M26">
        <f>[1]!s_dq_close($A26,$B26,3)</f>
        <v>15.75</v>
      </c>
      <c r="N26">
        <f>[1]!s_dq_volume($A26,$B26)</f>
        <v>0</v>
      </c>
      <c r="O26">
        <f>[1]!s_dq_amount($A26,$B26)</f>
        <v>0</v>
      </c>
      <c r="P26">
        <f>[1]!s_dq_turn($A26,$B26)</f>
        <v>0</v>
      </c>
      <c r="Q26">
        <f>[1]!s_val_pe_ttm($A26,$B26)</f>
        <v>13.039361000061</v>
      </c>
      <c r="R26">
        <f>[1]!S_VAL_MV($A26,$B26,100000000)</f>
        <v>1953.7338400650001</v>
      </c>
      <c r="S26">
        <f>[1]!s_val_pb($A26,$B26)</f>
        <v>3.2652861326014202</v>
      </c>
      <c r="T26">
        <f>[1]!s_west_avgroe($A26,YEAR($B26),$B26,180)</f>
        <v>0</v>
      </c>
      <c r="U26">
        <f>[1]!s_val_dividendyield2($A26,$B26)</f>
        <v>2.4761904761904798</v>
      </c>
      <c r="V26">
        <f>[1]!s_val_evtoebitda($A26,$B26)</f>
        <v>5.7755215485825699</v>
      </c>
    </row>
    <row r="27" spans="1:22">
      <c r="A27" t="str">
        <f>_meta!A26</f>
        <v>1024.HK</v>
      </c>
      <c r="B27">
        <f t="shared" si="0"/>
        <v>46167</v>
      </c>
      <c r="C27">
        <f>[1]!s_west_netprofit($A27,YEAR($B27),$B27,180,1000000)</f>
        <v>14834.63315</v>
      </c>
      <c r="D27">
        <f>[1]!s_west_eps($A27,YEAR($B27),$B27,180)</f>
        <v>3.4203000000000001</v>
      </c>
      <c r="E27">
        <f>[1]!s_west_instnum_np($A27,YEAR($B27),$B27,180)</f>
        <v>30</v>
      </c>
      <c r="F27">
        <f>[1]!s_west_stdnetprofit($A27,YEAR($B27),$B27,180,1000000)</f>
        <v>1834.4092499999999</v>
      </c>
      <c r="G27">
        <f>[1]!s_west_mediannetprofit($A27,YEAR($B27),$B27,180,1000000)</f>
        <v>14229</v>
      </c>
      <c r="H27">
        <f>[1]!s_west_netprofit($A27,YEAR($B27)+1,$B27,180,1000000)</f>
        <v>16884.481551000001</v>
      </c>
      <c r="I27">
        <f>[1]!s_west_eps($A27,YEAR($B27)+1,$B27,180)</f>
        <v>3.8929</v>
      </c>
      <c r="J27">
        <f>[1]!s_west_instnum_np($A27,YEAR($B27)+1,$B27,180)</f>
        <v>30</v>
      </c>
      <c r="K27">
        <f>[1]!s_west_stdnetprofit($A27,YEAR($B27)+1,$B27,180,1000000)</f>
        <v>2216.0030200000001</v>
      </c>
      <c r="L27">
        <f>[1]!s_west_mediannetprofit($A27,YEAR($B27)+1,$B27,180,1000000)</f>
        <v>16448</v>
      </c>
      <c r="M27">
        <f>[1]!s_dq_close($A27,$B27,3)</f>
        <v>45.64</v>
      </c>
      <c r="N27">
        <f>[1]!s_dq_volume($A27,$B27)</f>
        <v>0</v>
      </c>
      <c r="O27">
        <f>[1]!s_dq_amount($A27,$B27)</f>
        <v>0</v>
      </c>
      <c r="P27">
        <f>[1]!s_dq_turn($A27,$B27)</f>
        <v>0</v>
      </c>
      <c r="Q27">
        <f>[1]!s_val_pe_ttm($A27,$B27)</f>
        <v>9.6039094924926793</v>
      </c>
      <c r="R27">
        <f>[1]!S_VAL_MV($A27,$B27,100000000)</f>
        <v>1979.5397433868</v>
      </c>
      <c r="S27">
        <f>[1]!s_val_pb($A27,$B27)</f>
        <v>2.2473665590158398</v>
      </c>
      <c r="T27">
        <f>[1]!s_west_avgroe($A27,YEAR($B27),$B27,180)</f>
        <v>17.375</v>
      </c>
      <c r="U27">
        <f>[1]!s_val_dividendyield2($A27,$B27)</f>
        <v>0.98675042397934798</v>
      </c>
      <c r="V27">
        <f>[1]!s_val_evtoebitda($A27,$B27)</f>
        <v>6.5459745200413897</v>
      </c>
    </row>
    <row r="28" spans="1:22">
      <c r="A28" t="str">
        <f>_meta!A27</f>
        <v>1066.HK</v>
      </c>
      <c r="B28">
        <f t="shared" si="0"/>
        <v>46167</v>
      </c>
      <c r="C28">
        <f>[1]!s_west_netprofit($A28,YEAR($B28),$B28,180,1000000)</f>
        <v>2090.274649</v>
      </c>
      <c r="D28">
        <f>[1]!s_west_eps($A28,YEAR($B28),$B28,180)</f>
        <v>0.45729999999999998</v>
      </c>
      <c r="E28">
        <f>[1]!s_west_instnum_np($A28,YEAR($B28),$B28,180)</f>
        <v>7</v>
      </c>
      <c r="F28">
        <f>[1]!s_west_stdnetprofit($A28,YEAR($B28),$B28,180,1000000)</f>
        <v>267.64003300000002</v>
      </c>
      <c r="G28">
        <f>[1]!s_west_mediannetprofit($A28,YEAR($B28),$B28,180,1000000)</f>
        <v>2206.5</v>
      </c>
      <c r="H28">
        <f>[1]!s_west_netprofit($A28,YEAR($B28)+1,$B28,180,1000000)</f>
        <v>2298.2136009999999</v>
      </c>
      <c r="I28">
        <f>[1]!s_west_eps($A28,YEAR($B28)+1,$B28,180)</f>
        <v>0.50280000000000002</v>
      </c>
      <c r="J28">
        <f>[1]!s_west_instnum_np($A28,YEAR($B28)+1,$B28,180)</f>
        <v>7</v>
      </c>
      <c r="K28">
        <f>[1]!s_west_stdnetprofit($A28,YEAR($B28)+1,$B28,180,1000000)</f>
        <v>325.78487699999999</v>
      </c>
      <c r="L28">
        <f>[1]!s_west_mediannetprofit($A28,YEAR($B28)+1,$B28,180,1000000)</f>
        <v>2414.8644039999999</v>
      </c>
      <c r="M28">
        <f>[1]!s_dq_close($A28,$B28,3)</f>
        <v>3.48</v>
      </c>
      <c r="N28">
        <f>[1]!s_dq_volume($A28,$B28)</f>
        <v>0</v>
      </c>
      <c r="O28">
        <f>[1]!s_dq_amount($A28,$B28)</f>
        <v>0</v>
      </c>
      <c r="P28">
        <f>[1]!s_dq_turn($A28,$B28)</f>
        <v>0</v>
      </c>
      <c r="Q28">
        <f>[1]!s_val_pe_ttm($A28,$B28)</f>
        <v>8.9110212326049805</v>
      </c>
      <c r="R28">
        <f>[1]!S_VAL_MV($A28,$B28,100000000)</f>
        <v>159.0580048752</v>
      </c>
      <c r="S28">
        <f>[1]!s_val_pb($A28,$B28)</f>
        <v>0.59591553174417999</v>
      </c>
      <c r="T28">
        <f>[1]!s_west_avgroe($A28,YEAR($B28),$B28,180)</f>
        <v>8.0614000000000008</v>
      </c>
      <c r="U28">
        <f>[1]!s_val_dividendyield2($A28,$B28)</f>
        <v>6.9109195402298802</v>
      </c>
      <c r="V28">
        <f>[1]!s_val_evtoebitda($A28,$B28)</f>
        <v>3.9454807329638601</v>
      </c>
    </row>
    <row r="29" spans="1:22">
      <c r="A29" t="str">
        <f>_meta!A28</f>
        <v>1093.HK</v>
      </c>
      <c r="B29">
        <f t="shared" si="0"/>
        <v>46167</v>
      </c>
      <c r="C29">
        <f>[1]!s_west_netprofit($A29,YEAR($B29),$B29,180,1000000)</f>
        <v>7505.5532279999998</v>
      </c>
      <c r="D29">
        <f>[1]!s_west_eps($A29,YEAR($B29),$B29,180)</f>
        <v>0.64970000000000006</v>
      </c>
      <c r="E29">
        <f>[1]!s_west_instnum_np($A29,YEAR($B29),$B29,180)</f>
        <v>16</v>
      </c>
      <c r="F29">
        <f>[1]!s_west_stdnetprofit($A29,YEAR($B29),$B29,180,1000000)</f>
        <v>2618.0856610000001</v>
      </c>
      <c r="G29">
        <f>[1]!s_west_mediannetprofit($A29,YEAR($B29),$B29,180,1000000)</f>
        <v>7869</v>
      </c>
      <c r="H29">
        <f>[1]!s_west_netprofit($A29,YEAR($B29)+1,$B29,180,1000000)</f>
        <v>5642.0086410000004</v>
      </c>
      <c r="I29">
        <f>[1]!s_west_eps($A29,YEAR($B29)+1,$B29,180)</f>
        <v>0.48970000000000002</v>
      </c>
      <c r="J29">
        <f>[1]!s_west_instnum_np($A29,YEAR($B29)+1,$B29,180)</f>
        <v>16</v>
      </c>
      <c r="K29">
        <f>[1]!s_west_stdnetprofit($A29,YEAR($B29)+1,$B29,180,1000000)</f>
        <v>810.63880200000006</v>
      </c>
      <c r="L29">
        <f>[1]!s_west_mediannetprofit($A29,YEAR($B29)+1,$B29,180,1000000)</f>
        <v>5535</v>
      </c>
      <c r="M29">
        <f>[1]!s_dq_close($A29,$B29,3)</f>
        <v>7.69</v>
      </c>
      <c r="N29">
        <f>[1]!s_dq_volume($A29,$B29)</f>
        <v>0</v>
      </c>
      <c r="O29">
        <f>[1]!s_dq_amount($A29,$B29)</f>
        <v>0</v>
      </c>
      <c r="P29">
        <f>[1]!s_dq_turn($A29,$B29)</f>
        <v>0</v>
      </c>
      <c r="Q29">
        <f>[1]!s_val_pe_ttm($A29,$B29)</f>
        <v>20.615655899047901</v>
      </c>
      <c r="R29">
        <f>[1]!S_VAL_MV($A29,$B29,100000000)</f>
        <v>886.07653819079997</v>
      </c>
      <c r="S29">
        <f>[1]!s_val_pb($A29,$B29)</f>
        <v>2.4121948955911101</v>
      </c>
      <c r="T29">
        <f>[1]!s_west_avgroe($A29,YEAR($B29),$B29,180)</f>
        <v>20.405000000000001</v>
      </c>
      <c r="U29">
        <f>[1]!s_val_dividendyield2($A29,$B29)</f>
        <v>3.12046228119925</v>
      </c>
      <c r="V29">
        <f>[1]!s_val_evtoebitda($A29,$B29)</f>
        <v>11.868365537241001</v>
      </c>
    </row>
    <row r="30" spans="1:22">
      <c r="A30" t="str">
        <f>_meta!A29</f>
        <v>1177.HK</v>
      </c>
      <c r="B30">
        <f t="shared" si="0"/>
        <v>46167</v>
      </c>
      <c r="C30">
        <f>[1]!s_west_netprofit($A30,YEAR($B30),$B30,180,1000000)</f>
        <v>4460.835779</v>
      </c>
      <c r="D30">
        <f>[1]!s_west_eps($A30,YEAR($B30),$B30,180)</f>
        <v>0.23799999999999999</v>
      </c>
      <c r="E30">
        <f>[1]!s_west_instnum_np($A30,YEAR($B30),$B30,180)</f>
        <v>9</v>
      </c>
      <c r="F30">
        <f>[1]!s_west_stdnetprofit($A30,YEAR($B30),$B30,180,1000000)</f>
        <v>888.47565199999997</v>
      </c>
      <c r="G30">
        <f>[1]!s_west_mediannetprofit($A30,YEAR($B30),$B30,180,1000000)</f>
        <v>4399.5</v>
      </c>
      <c r="H30">
        <f>[1]!s_west_netprofit($A30,YEAR($B30)+1,$B30,180,1000000)</f>
        <v>5021.3179309999996</v>
      </c>
      <c r="I30">
        <f>[1]!s_west_eps($A30,YEAR($B30)+1,$B30,180)</f>
        <v>0.26790000000000003</v>
      </c>
      <c r="J30">
        <f>[1]!s_west_instnum_np($A30,YEAR($B30)+1,$B30,180)</f>
        <v>9</v>
      </c>
      <c r="K30">
        <f>[1]!s_west_stdnetprofit($A30,YEAR($B30)+1,$B30,180,1000000)</f>
        <v>887.41217500000005</v>
      </c>
      <c r="L30">
        <f>[1]!s_west_mediannetprofit($A30,YEAR($B30)+1,$B30,180,1000000)</f>
        <v>5063.5</v>
      </c>
      <c r="M30">
        <f>[1]!s_dq_close($A30,$B30,3)</f>
        <v>5.22</v>
      </c>
      <c r="N30">
        <f>[1]!s_dq_volume($A30,$B30)</f>
        <v>0</v>
      </c>
      <c r="O30">
        <f>[1]!s_dq_amount($A30,$B30)</f>
        <v>0</v>
      </c>
      <c r="P30">
        <f>[1]!s_dq_turn($A30,$B30)</f>
        <v>0</v>
      </c>
      <c r="Q30">
        <f>[1]!s_val_pe_ttm($A30,$B30)</f>
        <v>37.715618133544901</v>
      </c>
      <c r="R30">
        <f>[1]!S_VAL_MV($A30,$B30,100000000)</f>
        <v>978.50816940600009</v>
      </c>
      <c r="S30">
        <f>[1]!s_val_pb($A30,$B30)</f>
        <v>2.8815798605667502</v>
      </c>
      <c r="T30">
        <f>[1]!s_west_avgroe($A30,YEAR($B30),$B30,180)</f>
        <v>13.8238</v>
      </c>
      <c r="U30">
        <f>[1]!s_val_dividendyield2($A30,$B30)</f>
        <v>1.72554977412705</v>
      </c>
      <c r="V30">
        <f>[1]!s_val_evtoebitda($A30,$B30)</f>
        <v>12.4332117188965</v>
      </c>
    </row>
    <row r="31" spans="1:22">
      <c r="A31" t="str">
        <f>_meta!A30</f>
        <v>1211.HK</v>
      </c>
      <c r="B31">
        <f t="shared" si="0"/>
        <v>46167</v>
      </c>
      <c r="C31">
        <f>[1]!s_west_netprofit($A31,YEAR($B31),$B31,180,1000000)</f>
        <v>42490.749756999998</v>
      </c>
      <c r="D31">
        <f>[1]!s_west_eps($A31,YEAR($B31),$B31,180)</f>
        <v>4.6604999999999999</v>
      </c>
      <c r="E31">
        <f>[1]!s_west_instnum_np($A31,YEAR($B31),$B31,180)</f>
        <v>11</v>
      </c>
      <c r="F31">
        <f>[1]!s_west_stdnetprofit($A31,YEAR($B31),$B31,180,1000000)</f>
        <v>4318.6764460000004</v>
      </c>
      <c r="G31">
        <f>[1]!s_west_mediannetprofit($A31,YEAR($B31),$B31,180,1000000)</f>
        <v>41932.300000000003</v>
      </c>
      <c r="H31">
        <f>[1]!s_west_netprofit($A31,YEAR($B31)+1,$B31,180,1000000)</f>
        <v>53175.761385999998</v>
      </c>
      <c r="I31">
        <f>[1]!s_west_eps($A31,YEAR($B31)+1,$B31,180)</f>
        <v>5.8319000000000001</v>
      </c>
      <c r="J31">
        <f>[1]!s_west_instnum_np($A31,YEAR($B31)+1,$B31,180)</f>
        <v>11</v>
      </c>
      <c r="K31">
        <f>[1]!s_west_stdnetprofit($A31,YEAR($B31)+1,$B31,180,1000000)</f>
        <v>6899.7656790000001</v>
      </c>
      <c r="L31">
        <f>[1]!s_west_mediannetprofit($A31,YEAR($B31)+1,$B31,180,1000000)</f>
        <v>50555</v>
      </c>
      <c r="M31">
        <f>[1]!s_dq_close($A31,$B31,3)</f>
        <v>91.6</v>
      </c>
      <c r="N31">
        <f>[1]!s_dq_volume($A31,$B31)</f>
        <v>0</v>
      </c>
      <c r="O31">
        <f>[1]!s_dq_amount($A31,$B31)</f>
        <v>0</v>
      </c>
      <c r="P31">
        <f>[1]!s_dq_turn($A31,$B31)</f>
        <v>0</v>
      </c>
      <c r="Q31">
        <f>[1]!s_val_pe_ttm($A31,$B31)</f>
        <v>27.053489685058601</v>
      </c>
      <c r="R31">
        <f>[1]!S_VAL_MV($A31,$B31,100000000)</f>
        <v>8351.3529695399993</v>
      </c>
      <c r="S31">
        <f>[1]!s_val_pb($A31,$B31)</f>
        <v>3.3150603891501702</v>
      </c>
      <c r="T31">
        <f>[1]!s_west_avgroe($A31,YEAR($B31),$B31,180)</f>
        <v>15.2</v>
      </c>
      <c r="U31">
        <f>[1]!s_val_dividendyield2($A31,$B31)</f>
        <v>1.5778602620087301</v>
      </c>
      <c r="V31">
        <f>[1]!s_val_evtoebitda($A31,$B31)</f>
        <v>0</v>
      </c>
    </row>
    <row r="32" spans="1:22">
      <c r="A32" t="str">
        <f>_meta!A31</f>
        <v>1316.HK</v>
      </c>
      <c r="B32">
        <f t="shared" si="0"/>
        <v>46167</v>
      </c>
      <c r="C32">
        <f>[1]!s_west_netprofit($A32,YEAR($B32),$B32,180,1000000)</f>
        <v>153.50666699999999</v>
      </c>
      <c r="D32">
        <f>[1]!s_west_eps($A32,YEAR($B32),$B32,180)</f>
        <v>6.1199999999999997E-2</v>
      </c>
      <c r="E32">
        <f>[1]!s_west_instnum_np($A32,YEAR($B32),$B32,180)</f>
        <v>12</v>
      </c>
      <c r="F32">
        <f>[1]!s_west_stdnetprofit($A32,YEAR($B32),$B32,180,1000000)</f>
        <v>7.567367</v>
      </c>
      <c r="G32">
        <f>[1]!s_west_mediannetprofit($A32,YEAR($B32),$B32,180,1000000)</f>
        <v>153.5</v>
      </c>
      <c r="H32">
        <f>[1]!s_west_netprofit($A32,YEAR($B32)+1,$B32,180,1000000)</f>
        <v>193.005</v>
      </c>
      <c r="I32">
        <f>[1]!s_west_eps($A32,YEAR($B32)+1,$B32,180)</f>
        <v>7.6899999999999996E-2</v>
      </c>
      <c r="J32">
        <f>[1]!s_west_instnum_np($A32,YEAR($B32)+1,$B32,180)</f>
        <v>12</v>
      </c>
      <c r="K32">
        <f>[1]!s_west_stdnetprofit($A32,YEAR($B32)+1,$B32,180,1000000)</f>
        <v>15.355767</v>
      </c>
      <c r="L32">
        <f>[1]!s_west_mediannetprofit($A32,YEAR($B32)+1,$B32,180,1000000)</f>
        <v>191.55</v>
      </c>
      <c r="M32">
        <f>[1]!s_dq_close($A32,$B32,3)</f>
        <v>5.23</v>
      </c>
      <c r="N32">
        <f>[1]!s_dq_volume($A32,$B32)</f>
        <v>0</v>
      </c>
      <c r="O32">
        <f>[1]!s_dq_amount($A32,$B32)</f>
        <v>0</v>
      </c>
      <c r="P32">
        <f>[1]!s_dq_turn($A32,$B32)</f>
        <v>0</v>
      </c>
      <c r="Q32">
        <f>[1]!s_val_pe_ttm($A32,$B32)</f>
        <v>16.536369323730501</v>
      </c>
      <c r="R32">
        <f>[1]!S_VAL_MV($A32,$B32,100000000)</f>
        <v>131.26381052389999</v>
      </c>
      <c r="S32">
        <f>[1]!s_val_pb($A32,$B32)</f>
        <v>0.79881370651805195</v>
      </c>
      <c r="T32">
        <f>[1]!s_west_avgroe($A32,YEAR($B32),$B32,180)</f>
        <v>6.93</v>
      </c>
      <c r="U32">
        <f>[1]!s_val_dividendyield2($A32,$B32)</f>
        <v>1.3001912045889099</v>
      </c>
      <c r="V32">
        <f>[1]!s_val_evtoebitda($A32,$B32)</f>
        <v>2.97376210991442</v>
      </c>
    </row>
    <row r="33" spans="1:22">
      <c r="A33" t="str">
        <f>_meta!A32</f>
        <v>1347.HK</v>
      </c>
      <c r="B33">
        <f t="shared" si="0"/>
        <v>46167</v>
      </c>
      <c r="C33">
        <f>[1]!s_west_netprofit($A33,YEAR($B33),$B33,180,1000000)</f>
        <v>186.303</v>
      </c>
      <c r="D33">
        <f>[1]!s_west_eps($A33,YEAR($B33),$B33,180)</f>
        <v>0.1072</v>
      </c>
      <c r="E33">
        <f>[1]!s_west_instnum_np($A33,YEAR($B33),$B33,180)</f>
        <v>10</v>
      </c>
      <c r="F33">
        <f>[1]!s_west_stdnetprofit($A33,YEAR($B33),$B33,180,1000000)</f>
        <v>90.059055999999998</v>
      </c>
      <c r="G33">
        <f>[1]!s_west_mediannetprofit($A33,YEAR($B33),$B33,180,1000000)</f>
        <v>166</v>
      </c>
      <c r="H33">
        <f>[1]!s_west_netprofit($A33,YEAR($B33)+1,$B33,180,1000000)</f>
        <v>266.22699999999998</v>
      </c>
      <c r="I33">
        <f>[1]!s_west_eps($A33,YEAR($B33)+1,$B33,180)</f>
        <v>0.1532</v>
      </c>
      <c r="J33">
        <f>[1]!s_west_instnum_np($A33,YEAR($B33)+1,$B33,180)</f>
        <v>10</v>
      </c>
      <c r="K33">
        <f>[1]!s_west_stdnetprofit($A33,YEAR($B33)+1,$B33,180,1000000)</f>
        <v>113.66113300000001</v>
      </c>
      <c r="L33">
        <f>[1]!s_west_mediannetprofit($A33,YEAR($B33)+1,$B33,180,1000000)</f>
        <v>273.5</v>
      </c>
      <c r="M33">
        <f>[1]!s_dq_close($A33,$B33,3)</f>
        <v>130.1</v>
      </c>
      <c r="N33">
        <f>[1]!s_dq_volume($A33,$B33)</f>
        <v>0</v>
      </c>
      <c r="O33">
        <f>[1]!s_dq_amount($A33,$B33)</f>
        <v>0</v>
      </c>
      <c r="P33">
        <f>[1]!s_dq_turn($A33,$B33)</f>
        <v>0</v>
      </c>
      <c r="Q33">
        <f>[1]!s_val_pe_ttm($A33,$B33)</f>
        <v>400.3212890625</v>
      </c>
      <c r="R33">
        <f>[1]!S_VAL_MV($A33,$B33,100000000)</f>
        <v>2260.660133593</v>
      </c>
      <c r="S33">
        <f>[1]!s_val_pb($A33,$B33)</f>
        <v>4.3931015753820697</v>
      </c>
      <c r="T33">
        <f>[1]!s_west_avgroe($A33,YEAR($B33),$B33,180)</f>
        <v>2.9142999999999999</v>
      </c>
      <c r="U33">
        <f>[1]!s_val_dividendyield2($A33,$B33)</f>
        <v>0</v>
      </c>
      <c r="V33">
        <f>[1]!s_val_evtoebitda($A33,$B33)</f>
        <v>47.350796974323501</v>
      </c>
    </row>
    <row r="34" spans="1:22">
      <c r="A34" t="str">
        <f>_meta!A33</f>
        <v>1357.HK</v>
      </c>
      <c r="B34">
        <f t="shared" si="0"/>
        <v>46167</v>
      </c>
      <c r="C34">
        <f>[1]!s_west_netprofit($A34,YEAR($B34),$B34,180,1000000)</f>
        <v>1190.9707989999999</v>
      </c>
      <c r="D34">
        <f>[1]!s_west_eps($A34,YEAR($B34),$B34,180)</f>
        <v>0.25969999999999999</v>
      </c>
      <c r="E34">
        <f>[1]!s_west_instnum_np($A34,YEAR($B34),$B34,180)</f>
        <v>14</v>
      </c>
      <c r="F34">
        <f>[1]!s_west_stdnetprofit($A34,YEAR($B34),$B34,180,1000000)</f>
        <v>105.91805600000001</v>
      </c>
      <c r="G34">
        <f>[1]!s_west_mediannetprofit($A34,YEAR($B34),$B34,180,1000000)</f>
        <v>1217</v>
      </c>
      <c r="H34">
        <f>[1]!s_west_netprofit($A34,YEAR($B34)+1,$B34,180,1000000)</f>
        <v>1550.3477559999999</v>
      </c>
      <c r="I34">
        <f>[1]!s_west_eps($A34,YEAR($B34)+1,$B34,180)</f>
        <v>0.33800000000000002</v>
      </c>
      <c r="J34">
        <f>[1]!s_west_instnum_np($A34,YEAR($B34)+1,$B34,180)</f>
        <v>14</v>
      </c>
      <c r="K34">
        <f>[1]!s_west_stdnetprofit($A34,YEAR($B34)+1,$B34,180,1000000)</f>
        <v>195.963052</v>
      </c>
      <c r="L34">
        <f>[1]!s_west_mediannetprofit($A34,YEAR($B34)+1,$B34,180,1000000)</f>
        <v>1531</v>
      </c>
      <c r="M34">
        <f>[1]!s_dq_close($A34,$B34,3)</f>
        <v>4.4800000000000004</v>
      </c>
      <c r="N34">
        <f>[1]!s_dq_volume($A34,$B34)</f>
        <v>0</v>
      </c>
      <c r="O34">
        <f>[1]!s_dq_amount($A34,$B34)</f>
        <v>0</v>
      </c>
      <c r="P34">
        <f>[1]!s_dq_turn($A34,$B34)</f>
        <v>0</v>
      </c>
      <c r="Q34">
        <f>[1]!s_val_pe_ttm($A34,$B34)</f>
        <v>31.836734771728501</v>
      </c>
      <c r="R34">
        <f>[1]!S_VAL_MV($A34,$B34,100000000)</f>
        <v>205.46083174400002</v>
      </c>
      <c r="S34">
        <f>[1]!s_val_pb($A34,$B34)</f>
        <v>3.2743209760382199</v>
      </c>
      <c r="T34">
        <f>[1]!s_west_avgroe($A34,YEAR($B34),$B34,180)</f>
        <v>16.4373</v>
      </c>
      <c r="U34">
        <f>[1]!s_val_dividendyield2($A34,$B34)</f>
        <v>2.2268534589895701</v>
      </c>
      <c r="V34">
        <f>[1]!s_val_evtoebitda($A34,$B34)</f>
        <v>16.336925554200299</v>
      </c>
    </row>
    <row r="35" spans="1:22">
      <c r="A35" t="str">
        <f>_meta!A34</f>
        <v>1415.HK</v>
      </c>
      <c r="B35">
        <f t="shared" ref="B35:B66" si="1">$B$1</f>
        <v>46167</v>
      </c>
      <c r="C35">
        <f>[1]!s_west_netprofit($A35,YEAR($B35),$B35,180,1000000)</f>
        <v>234.082066</v>
      </c>
      <c r="D35">
        <f>[1]!s_west_eps($A35,YEAR($B35),$B35,180)</f>
        <v>0.26950000000000002</v>
      </c>
      <c r="E35">
        <f>[1]!s_west_instnum_np($A35,YEAR($B35),$B35,180)</f>
        <v>3</v>
      </c>
      <c r="F35">
        <f>[1]!s_west_stdnetprofit($A35,YEAR($B35),$B35,180,1000000)</f>
        <v>10.070781999999999</v>
      </c>
      <c r="G35">
        <f>[1]!s_west_mediannetprofit($A35,YEAR($B35),$B35,180,1000000)</f>
        <v>236</v>
      </c>
      <c r="H35">
        <f>[1]!s_west_netprofit($A35,YEAR($B35)+1,$B35,180,1000000)</f>
        <v>286.51883299999997</v>
      </c>
      <c r="I35">
        <f>[1]!s_west_eps($A35,YEAR($B35)+1,$B35,180)</f>
        <v>0.32990000000000003</v>
      </c>
      <c r="J35">
        <f>[1]!s_west_instnum_np($A35,YEAR($B35)+1,$B35,180)</f>
        <v>3</v>
      </c>
      <c r="K35">
        <f>[1]!s_west_stdnetprofit($A35,YEAR($B35)+1,$B35,180,1000000)</f>
        <v>21.180371000000001</v>
      </c>
      <c r="L35">
        <f>[1]!s_west_mediannetprofit($A35,YEAR($B35)+1,$B35,180,1000000)</f>
        <v>292.5</v>
      </c>
      <c r="M35">
        <f>[1]!s_dq_close($A35,$B35,3)</f>
        <v>30.04</v>
      </c>
      <c r="N35">
        <f>[1]!s_dq_volume($A35,$B35)</f>
        <v>0</v>
      </c>
      <c r="O35">
        <f>[1]!s_dq_amount($A35,$B35)</f>
        <v>0</v>
      </c>
      <c r="P35">
        <f>[1]!s_dq_turn($A35,$B35)</f>
        <v>0</v>
      </c>
      <c r="Q35">
        <f>[1]!s_val_pe_ttm($A35,$B35)</f>
        <v>17.028366088867202</v>
      </c>
      <c r="R35">
        <f>[1]!S_VAL_MV($A35,$B35,100000000)</f>
        <v>260.92467632</v>
      </c>
      <c r="S35">
        <f>[1]!s_val_pb($A35,$B35)</f>
        <v>4.6175789466579902</v>
      </c>
      <c r="T35">
        <f>[1]!s_west_avgroe($A35,YEAR($B35),$B35,180)</f>
        <v>26.063300000000002</v>
      </c>
      <c r="U35">
        <f>[1]!s_val_dividendyield2($A35,$B35)</f>
        <v>0</v>
      </c>
      <c r="V35">
        <f>[1]!s_val_evtoebitda($A35,$B35)</f>
        <v>11.2368993745708</v>
      </c>
    </row>
    <row r="36" spans="1:22">
      <c r="A36" t="str">
        <f>_meta!A35</f>
        <v>1513.HK</v>
      </c>
      <c r="B36">
        <f t="shared" si="1"/>
        <v>46167</v>
      </c>
      <c r="C36">
        <f>[1]!s_west_netprofit($A36,YEAR($B36),$B36,180,1000000)</f>
        <v>2072</v>
      </c>
      <c r="D36">
        <f>[1]!s_west_eps($A36,YEAR($B36),$B36,180)</f>
        <v>2.3336000000000001</v>
      </c>
      <c r="E36">
        <f>[1]!s_west_instnum_np($A36,YEAR($B36),$B36,180)</f>
        <v>1</v>
      </c>
      <c r="F36">
        <f>[1]!s_west_stdnetprofit($A36,YEAR($B36),$B36,180,1000000)</f>
        <v>0</v>
      </c>
      <c r="G36">
        <f>[1]!s_west_mediannetprofit($A36,YEAR($B36),$B36,180,1000000)</f>
        <v>2072</v>
      </c>
      <c r="H36">
        <f>[1]!s_west_netprofit($A36,YEAR($B36)+1,$B36,180,1000000)</f>
        <v>2273</v>
      </c>
      <c r="I36">
        <f>[1]!s_west_eps($A36,YEAR($B36)+1,$B36,180)</f>
        <v>2.56</v>
      </c>
      <c r="J36">
        <f>[1]!s_west_instnum_np($A36,YEAR($B36)+1,$B36,180)</f>
        <v>1</v>
      </c>
      <c r="K36">
        <f>[1]!s_west_stdnetprofit($A36,YEAR($B36)+1,$B36,180,1000000)</f>
        <v>0</v>
      </c>
      <c r="L36">
        <f>[1]!s_west_mediannetprofit($A36,YEAR($B36)+1,$B36,180,1000000)</f>
        <v>2273</v>
      </c>
      <c r="M36">
        <f>[1]!s_dq_close($A36,$B36,3)</f>
        <v>27.5</v>
      </c>
      <c r="N36">
        <f>[1]!s_dq_volume($A36,$B36)</f>
        <v>0</v>
      </c>
      <c r="O36">
        <f>[1]!s_dq_amount($A36,$B36)</f>
        <v>0</v>
      </c>
      <c r="P36">
        <f>[1]!s_dq_turn($A36,$B36)</f>
        <v>0</v>
      </c>
      <c r="Q36">
        <f>[1]!s_val_pe_ttm($A36,$B36)</f>
        <v>10.980357170105</v>
      </c>
      <c r="R36">
        <f>[1]!S_VAL_MV($A36,$B36,100000000)</f>
        <v>244.174472025</v>
      </c>
      <c r="S36">
        <f>[1]!s_val_pb($A36,$B36)</f>
        <v>1.5879730684217299</v>
      </c>
      <c r="T36">
        <f>[1]!s_west_avgroe($A36,YEAR($B36),$B36,180)</f>
        <v>14.5</v>
      </c>
      <c r="U36">
        <f>[1]!s_val_dividendyield2($A36,$B36)</f>
        <v>4.3591199999999999</v>
      </c>
      <c r="V36">
        <f>[1]!s_val_evtoebitda($A36,$B36)</f>
        <v>0</v>
      </c>
    </row>
    <row r="37" spans="1:22">
      <c r="A37" t="str">
        <f>_meta!A36</f>
        <v>1530.HK</v>
      </c>
      <c r="B37">
        <f t="shared" si="1"/>
        <v>46167</v>
      </c>
      <c r="C37">
        <f>[1]!s_west_netprofit($A37,YEAR($B37),$B37,180,1000000)</f>
        <v>2737.4724959999999</v>
      </c>
      <c r="D37">
        <f>[1]!s_west_eps($A37,YEAR($B37),$B37,180)</f>
        <v>1.0786</v>
      </c>
      <c r="E37">
        <f>[1]!s_west_instnum_np($A37,YEAR($B37),$B37,180)</f>
        <v>23</v>
      </c>
      <c r="F37">
        <f>[1]!s_west_stdnetprofit($A37,YEAR($B37),$B37,180,1000000)</f>
        <v>595.16687999999999</v>
      </c>
      <c r="G37">
        <f>[1]!s_west_mediannetprofit($A37,YEAR($B37),$B37,180,1000000)</f>
        <v>2689</v>
      </c>
      <c r="H37">
        <f>[1]!s_west_netprofit($A37,YEAR($B37)+1,$B37,180,1000000)</f>
        <v>2975.3858359999999</v>
      </c>
      <c r="I37">
        <f>[1]!s_west_eps($A37,YEAR($B37)+1,$B37,180)</f>
        <v>1.1722999999999999</v>
      </c>
      <c r="J37">
        <f>[1]!s_west_instnum_np($A37,YEAR($B37)+1,$B37,180)</f>
        <v>23</v>
      </c>
      <c r="K37">
        <f>[1]!s_west_stdnetprofit($A37,YEAR($B37)+1,$B37,180,1000000)</f>
        <v>635.14917100000002</v>
      </c>
      <c r="L37">
        <f>[1]!s_west_mediannetprofit($A37,YEAR($B37)+1,$B37,180,1000000)</f>
        <v>2892.5</v>
      </c>
      <c r="M37">
        <f>[1]!s_dq_close($A37,$B37,3)</f>
        <v>19.23</v>
      </c>
      <c r="N37">
        <f>[1]!s_dq_volume($A37,$B37)</f>
        <v>0</v>
      </c>
      <c r="O37">
        <f>[1]!s_dq_amount($A37,$B37)</f>
        <v>0</v>
      </c>
      <c r="P37">
        <f>[1]!s_dq_turn($A37,$B37)</f>
        <v>0</v>
      </c>
      <c r="Q37">
        <f>[1]!s_val_pe_ttm($A37,$B37)</f>
        <v>5.1971411705017099</v>
      </c>
      <c r="R37">
        <f>[1]!S_VAL_MV($A37,$B37,100000000)</f>
        <v>488.06497892760001</v>
      </c>
      <c r="S37">
        <f>[1]!s_val_pb($A37,$B37)</f>
        <v>1.6202180098293899</v>
      </c>
      <c r="T37">
        <f>[1]!s_west_avgroe($A37,YEAR($B37),$B37,180)</f>
        <v>9.0850000000000009</v>
      </c>
      <c r="U37">
        <f>[1]!s_val_dividendyield2($A37,$B37)</f>
        <v>1.22913265425871</v>
      </c>
      <c r="V37">
        <f>[1]!s_val_evtoebitda($A37,$B37)</f>
        <v>3.1357129645811299</v>
      </c>
    </row>
    <row r="38" spans="1:22">
      <c r="A38" t="str">
        <f>_meta!A37</f>
        <v>1548.HK</v>
      </c>
      <c r="B38">
        <f t="shared" si="1"/>
        <v>46167</v>
      </c>
      <c r="C38">
        <f>[1]!s_west_netprofit($A38,YEAR($B38),$B38,180,1000000)</f>
        <v>84.862499999999997</v>
      </c>
      <c r="D38">
        <f>[1]!s_west_eps($A38,YEAR($B38),$B38,180)</f>
        <v>3.8800000000000001E-2</v>
      </c>
      <c r="E38">
        <f>[1]!s_west_instnum_np($A38,YEAR($B38),$B38,180)</f>
        <v>8</v>
      </c>
      <c r="F38">
        <f>[1]!s_west_stdnetprofit($A38,YEAR($B38),$B38,180,1000000)</f>
        <v>71.904341000000002</v>
      </c>
      <c r="G38">
        <f>[1]!s_west_mediannetprofit($A38,YEAR($B38),$B38,180,1000000)</f>
        <v>77.14</v>
      </c>
      <c r="H38">
        <f>[1]!s_west_netprofit($A38,YEAR($B38)+1,$B38,180,1000000)</f>
        <v>192.85499999999999</v>
      </c>
      <c r="I38">
        <f>[1]!s_west_eps($A38,YEAR($B38)+1,$B38,180)</f>
        <v>8.8099999999999998E-2</v>
      </c>
      <c r="J38">
        <f>[1]!s_west_instnum_np($A38,YEAR($B38)+1,$B38,180)</f>
        <v>8</v>
      </c>
      <c r="K38">
        <f>[1]!s_west_stdnetprofit($A38,YEAR($B38)+1,$B38,180,1000000)</f>
        <v>99.277655999999993</v>
      </c>
      <c r="L38">
        <f>[1]!s_west_mediannetprofit($A38,YEAR($B38)+1,$B38,180,1000000)</f>
        <v>174.685</v>
      </c>
      <c r="M38">
        <f>[1]!s_dq_close($A38,$B38,3)</f>
        <v>12.97</v>
      </c>
      <c r="N38">
        <f>[1]!s_dq_volume($A38,$B38)</f>
        <v>0</v>
      </c>
      <c r="O38">
        <f>[1]!s_dq_amount($A38,$B38)</f>
        <v>0</v>
      </c>
      <c r="P38">
        <f>[1]!s_dq_turn($A38,$B38)</f>
        <v>0</v>
      </c>
      <c r="Q38">
        <f>[1]!s_val_pe_ttm($A38,$B38)</f>
        <v>-6.8105349540710396</v>
      </c>
      <c r="R38">
        <f>[1]!S_VAL_MV($A38,$B38,100000000)</f>
        <v>283.80141338710001</v>
      </c>
      <c r="S38">
        <f>[1]!s_val_pb($A38,$B38)</f>
        <v>0.92109643920725304</v>
      </c>
      <c r="T38">
        <f>[1]!s_west_avgroe($A38,YEAR($B38),$B38,180)</f>
        <v>2.2999999999999998</v>
      </c>
      <c r="U38">
        <f>[1]!s_val_dividendyield2($A38,$B38)</f>
        <v>0</v>
      </c>
      <c r="V38">
        <f>[1]!s_val_evtoebitda($A38,$B38)</f>
        <v>-9.7550281797017195</v>
      </c>
    </row>
    <row r="39" spans="1:22">
      <c r="A39" t="str">
        <f>_meta!A38</f>
        <v>1585.HK</v>
      </c>
      <c r="B39">
        <f t="shared" si="1"/>
        <v>46167</v>
      </c>
      <c r="C39">
        <f>[1]!s_west_netprofit($A39,YEAR($B39),$B39,180,1000000)</f>
        <v>3302.105556</v>
      </c>
      <c r="D39">
        <f>[1]!s_west_eps($A39,YEAR($B39),$B39,180)</f>
        <v>1.0609</v>
      </c>
      <c r="E39">
        <f>[1]!s_west_instnum_np($A39,YEAR($B39),$B39,180)</f>
        <v>18</v>
      </c>
      <c r="F39">
        <f>[1]!s_west_stdnetprofit($A39,YEAR($B39),$B39,180,1000000)</f>
        <v>81.926052999999996</v>
      </c>
      <c r="G39">
        <f>[1]!s_west_mediannetprofit($A39,YEAR($B39),$B39,180,1000000)</f>
        <v>3300</v>
      </c>
      <c r="H39">
        <f>[1]!s_west_netprofit($A39,YEAR($B39)+1,$B39,180,1000000)</f>
        <v>3749.421053</v>
      </c>
      <c r="I39">
        <f>[1]!s_west_eps($A39,YEAR($B39)+1,$B39,180)</f>
        <v>1.2045999999999999</v>
      </c>
      <c r="J39">
        <f>[1]!s_west_instnum_np($A39,YEAR($B39)+1,$B39,180)</f>
        <v>19</v>
      </c>
      <c r="K39">
        <f>[1]!s_west_stdnetprofit($A39,YEAR($B39)+1,$B39,180,1000000)</f>
        <v>142.20152999999999</v>
      </c>
      <c r="L39">
        <f>[1]!s_west_mediannetprofit($A39,YEAR($B39)+1,$B39,180,1000000)</f>
        <v>3765</v>
      </c>
      <c r="M39">
        <f>[1]!s_dq_close($A39,$B39,3)</f>
        <v>11.78</v>
      </c>
      <c r="N39">
        <f>[1]!s_dq_volume($A39,$B39)</f>
        <v>0</v>
      </c>
      <c r="O39">
        <f>[1]!s_dq_amount($A39,$B39)</f>
        <v>0</v>
      </c>
      <c r="P39">
        <f>[1]!s_dq_turn($A39,$B39)</f>
        <v>0</v>
      </c>
      <c r="Q39">
        <f>[1]!s_val_pe_ttm($A39,$B39)</f>
        <v>11.374682426452599</v>
      </c>
      <c r="R39">
        <f>[1]!S_VAL_MV($A39,$B39,100000000)</f>
        <v>366.66985123320001</v>
      </c>
      <c r="S39">
        <f>[1]!s_val_pb($A39,$B39)</f>
        <v>3.1656831216529699</v>
      </c>
      <c r="T39">
        <f>[1]!s_west_avgroe($A39,YEAR($B39),$B39,180)</f>
        <v>27.465699999999998</v>
      </c>
      <c r="U39">
        <f>[1]!s_val_dividendyield2($A39,$B39)</f>
        <v>3.8200339558573901</v>
      </c>
      <c r="V39">
        <f>[1]!s_val_evtoebitda($A39,$B39)</f>
        <v>6.9716899815272697</v>
      </c>
    </row>
    <row r="40" spans="1:22">
      <c r="A40" t="str">
        <f>_meta!A39</f>
        <v>1686.HK</v>
      </c>
      <c r="B40">
        <f t="shared" si="1"/>
        <v>46167</v>
      </c>
      <c r="C40">
        <f>[1]!s_west_netprofit($A40,YEAR($B40),$B40,180,1000000)</f>
        <v>1080.925</v>
      </c>
      <c r="D40">
        <f>[1]!s_west_eps($A40,YEAR($B40),$B40,180)</f>
        <v>0.33629999999999999</v>
      </c>
      <c r="E40">
        <f>[1]!s_west_instnum_np($A40,YEAR($B40),$B40,180)</f>
        <v>4</v>
      </c>
      <c r="F40">
        <f>[1]!s_west_stdnetprofit($A40,YEAR($B40),$B40,180,1000000)</f>
        <v>43.305379000000002</v>
      </c>
      <c r="G40">
        <f>[1]!s_west_mediannetprofit($A40,YEAR($B40),$B40,180,1000000)</f>
        <v>1084</v>
      </c>
      <c r="H40">
        <f>[1]!s_west_netprofit($A40,YEAR($B40)+1,$B40,180,1000000)</f>
        <v>1288.55</v>
      </c>
      <c r="I40">
        <f>[1]!s_west_eps($A40,YEAR($B40)+1,$B40,180)</f>
        <v>0.40089999999999998</v>
      </c>
      <c r="J40">
        <f>[1]!s_west_instnum_np($A40,YEAR($B40)+1,$B40,180)</f>
        <v>4</v>
      </c>
      <c r="K40">
        <f>[1]!s_west_stdnetprofit($A40,YEAR($B40)+1,$B40,180,1000000)</f>
        <v>79.075554999999994</v>
      </c>
      <c r="L40">
        <f>[1]!s_west_mediannetprofit($A40,YEAR($B40)+1,$B40,180,1000000)</f>
        <v>1277.5999999999999</v>
      </c>
      <c r="M40">
        <f>[1]!s_dq_close($A40,$B40,3)</f>
        <v>6.31</v>
      </c>
      <c r="N40">
        <f>[1]!s_dq_volume($A40,$B40)</f>
        <v>0</v>
      </c>
      <c r="O40">
        <f>[1]!s_dq_amount($A40,$B40)</f>
        <v>0</v>
      </c>
      <c r="P40">
        <f>[1]!s_dq_turn($A40,$B40)</f>
        <v>0</v>
      </c>
      <c r="Q40">
        <f>[1]!s_val_pe_ttm($A40,$B40)</f>
        <v>14.523797035217299</v>
      </c>
      <c r="R40">
        <f>[1]!S_VAL_MV($A40,$B40,100000000)</f>
        <v>149.07951311229999</v>
      </c>
      <c r="S40">
        <f>[1]!s_val_pb($A40,$B40)</f>
        <v>2.5808364325048001</v>
      </c>
      <c r="T40">
        <f>[1]!s_west_avgroe($A40,YEAR($B40),$B40,180)</f>
        <v>17.7425</v>
      </c>
      <c r="U40">
        <f>[1]!s_val_dividendyield2($A40,$B40)</f>
        <v>1.90023722271352</v>
      </c>
      <c r="V40">
        <f>[1]!s_val_evtoebitda($A40,$B40)</f>
        <v>15.031775966343799</v>
      </c>
    </row>
    <row r="41" spans="1:22">
      <c r="A41" t="str">
        <f>_meta!A40</f>
        <v>1772.HK</v>
      </c>
      <c r="B41">
        <f t="shared" si="1"/>
        <v>46167</v>
      </c>
      <c r="C41">
        <f>[1]!s_west_netprofit($A41,YEAR($B41),$B41,180,1000000)</f>
        <v>9957</v>
      </c>
      <c r="D41">
        <f>[1]!s_west_eps($A41,YEAR($B41),$B41,180)</f>
        <v>4.7488999999999999</v>
      </c>
      <c r="E41">
        <f>[1]!s_west_instnum_np($A41,YEAR($B41),$B41,180)</f>
        <v>1</v>
      </c>
      <c r="F41">
        <f>[1]!s_west_stdnetprofit($A41,YEAR($B41),$B41,180,1000000)</f>
        <v>0</v>
      </c>
      <c r="G41">
        <f>[1]!s_west_mediannetprofit($A41,YEAR($B41),$B41,180,1000000)</f>
        <v>9957</v>
      </c>
      <c r="H41">
        <f>[1]!s_west_netprofit($A41,YEAR($B41)+1,$B41,180,1000000)</f>
        <v>11804</v>
      </c>
      <c r="I41">
        <f>[1]!s_west_eps($A41,YEAR($B41)+1,$B41,180)</f>
        <v>5.6298000000000004</v>
      </c>
      <c r="J41">
        <f>[1]!s_west_instnum_np($A41,YEAR($B41)+1,$B41,180)</f>
        <v>1</v>
      </c>
      <c r="K41">
        <f>[1]!s_west_stdnetprofit($A41,YEAR($B41)+1,$B41,180,1000000)</f>
        <v>0</v>
      </c>
      <c r="L41">
        <f>[1]!s_west_mediannetprofit($A41,YEAR($B41)+1,$B41,180,1000000)</f>
        <v>11804</v>
      </c>
      <c r="M41">
        <f>[1]!s_dq_close($A41,$B41,3)</f>
        <v>68.2</v>
      </c>
      <c r="N41">
        <f>[1]!s_dq_volume($A41,$B41)</f>
        <v>0</v>
      </c>
      <c r="O41">
        <f>[1]!s_dq_amount($A41,$B41)</f>
        <v>0</v>
      </c>
      <c r="P41">
        <f>[1]!s_dq_turn($A41,$B41)</f>
        <v>0</v>
      </c>
      <c r="Q41">
        <f>[1]!s_val_pe_ttm($A41,$B41)</f>
        <v>33.1664009094238</v>
      </c>
      <c r="R41">
        <f>[1]!S_VAL_MV($A41,$B41,100000000)</f>
        <v>1429.9455835279998</v>
      </c>
      <c r="S41">
        <f>[1]!s_val_pb($A41,$B41)</f>
        <v>2.8608746501264202</v>
      </c>
      <c r="T41">
        <f>[1]!s_west_avgroe($A41,YEAR($B41),$B41,180)</f>
        <v>18.07</v>
      </c>
      <c r="U41">
        <f>[1]!s_val_dividendyield2($A41,$B41)</f>
        <v>0.25179912023460399</v>
      </c>
      <c r="V41">
        <f>[1]!s_val_evtoebitda($A41,$B41)</f>
        <v>33.846343186763299</v>
      </c>
    </row>
    <row r="42" spans="1:22">
      <c r="A42" t="str">
        <f>_meta!A41</f>
        <v>1797.HK</v>
      </c>
      <c r="B42">
        <f t="shared" si="1"/>
        <v>46167</v>
      </c>
      <c r="C42">
        <f>[1]!s_west_netprofit($A42,YEAR($B42),$B42,180,1000000)</f>
        <v>477.68063899999999</v>
      </c>
      <c r="D42">
        <f>[1]!s_west_eps($A42,YEAR($B42),$B42,180)</f>
        <v>0.4506</v>
      </c>
      <c r="E42">
        <f>[1]!s_west_instnum_np($A42,YEAR($B42),$B42,180)</f>
        <v>14</v>
      </c>
      <c r="F42">
        <f>[1]!s_west_stdnetprofit($A42,YEAR($B42),$B42,180,1000000)</f>
        <v>42.425575000000002</v>
      </c>
      <c r="G42">
        <f>[1]!s_west_mediannetprofit($A42,YEAR($B42),$B42,180,1000000)</f>
        <v>470</v>
      </c>
      <c r="H42">
        <f>[1]!s_west_netprofit($A42,YEAR($B42)+1,$B42,180,1000000)</f>
        <v>560.09282399999995</v>
      </c>
      <c r="I42">
        <f>[1]!s_west_eps($A42,YEAR($B42)+1,$B42,180)</f>
        <v>0.52829999999999999</v>
      </c>
      <c r="J42">
        <f>[1]!s_west_instnum_np($A42,YEAR($B42)+1,$B42,180)</f>
        <v>14</v>
      </c>
      <c r="K42">
        <f>[1]!s_west_stdnetprofit($A42,YEAR($B42)+1,$B42,180,1000000)</f>
        <v>68.793475999999998</v>
      </c>
      <c r="L42">
        <f>[1]!s_west_mediannetprofit($A42,YEAR($B42)+1,$B42,180,1000000)</f>
        <v>569</v>
      </c>
      <c r="M42">
        <f>[1]!s_dq_close($A42,$B42,3)</f>
        <v>22.78</v>
      </c>
      <c r="N42">
        <f>[1]!s_dq_volume($A42,$B42)</f>
        <v>0</v>
      </c>
      <c r="O42">
        <f>[1]!s_dq_amount($A42,$B42)</f>
        <v>0</v>
      </c>
      <c r="P42">
        <f>[1]!s_dq_turn($A42,$B42)</f>
        <v>0</v>
      </c>
      <c r="Q42">
        <f>[1]!s_val_pe_ttm($A42,$B42)</f>
        <v>64.344917297363295</v>
      </c>
      <c r="R42">
        <f>[1]!S_VAL_MV($A42,$B42,100000000)</f>
        <v>241.49675246040002</v>
      </c>
      <c r="S42">
        <f>[1]!s_val_pb($A42,$B42)</f>
        <v>4.3249610841803401</v>
      </c>
      <c r="T42">
        <f>[1]!s_west_avgroe($A42,YEAR($B42),$B42,180)</f>
        <v>8.7392000000000003</v>
      </c>
      <c r="U42">
        <f>[1]!s_val_dividendyield2($A42,$B42)</f>
        <v>0</v>
      </c>
      <c r="V42">
        <f>[1]!s_val_evtoebitda($A42,$B42)</f>
        <v>186.16638009130301</v>
      </c>
    </row>
    <row r="43" spans="1:22">
      <c r="A43" t="str">
        <f>_meta!A42</f>
        <v>1801.HK</v>
      </c>
      <c r="B43">
        <f t="shared" si="1"/>
        <v>46167</v>
      </c>
      <c r="C43">
        <f>[1]!s_west_netprofit($A43,YEAR($B43),$B43,180,1000000)</f>
        <v>2319.4840610000001</v>
      </c>
      <c r="D43">
        <f>[1]!s_west_eps($A43,YEAR($B43),$B43,180)</f>
        <v>1.3344</v>
      </c>
      <c r="E43">
        <f>[1]!s_west_instnum_np($A43,YEAR($B43),$B43,180)</f>
        <v>20</v>
      </c>
      <c r="F43">
        <f>[1]!s_west_stdnetprofit($A43,YEAR($B43),$B43,180,1000000)</f>
        <v>681.83079499999997</v>
      </c>
      <c r="G43">
        <f>[1]!s_west_mediannetprofit($A43,YEAR($B43),$B43,180,1000000)</f>
        <v>2329</v>
      </c>
      <c r="H43">
        <f>[1]!s_west_netprofit($A43,YEAR($B43)+1,$B43,180,1000000)</f>
        <v>3577.7484800000002</v>
      </c>
      <c r="I43">
        <f>[1]!s_west_eps($A43,YEAR($B43)+1,$B43,180)</f>
        <v>2.0583</v>
      </c>
      <c r="J43">
        <f>[1]!s_west_instnum_np($A43,YEAR($B43)+1,$B43,180)</f>
        <v>20</v>
      </c>
      <c r="K43">
        <f>[1]!s_west_stdnetprofit($A43,YEAR($B43)+1,$B43,180,1000000)</f>
        <v>902.14058199999999</v>
      </c>
      <c r="L43">
        <f>[1]!s_west_mediannetprofit($A43,YEAR($B43)+1,$B43,180,1000000)</f>
        <v>3680.9</v>
      </c>
      <c r="M43">
        <f>[1]!s_dq_close($A43,$B43,3)</f>
        <v>80.95</v>
      </c>
      <c r="N43">
        <f>[1]!s_dq_volume($A43,$B43)</f>
        <v>0</v>
      </c>
      <c r="O43">
        <f>[1]!s_dq_amount($A43,$B43)</f>
        <v>0</v>
      </c>
      <c r="P43">
        <f>[1]!s_dq_turn($A43,$B43)</f>
        <v>0</v>
      </c>
      <c r="Q43">
        <f>[1]!s_val_pe_ttm($A43,$B43)</f>
        <v>156.21659851074199</v>
      </c>
      <c r="R43">
        <f>[1]!S_VAL_MV($A43,$B43,100000000)</f>
        <v>1407.1030401135001</v>
      </c>
      <c r="S43">
        <f>[1]!s_val_pb($A43,$B43)</f>
        <v>6.5659622473809396</v>
      </c>
      <c r="T43">
        <f>[1]!s_west_avgroe($A43,YEAR($B43),$B43,180)</f>
        <v>11.1</v>
      </c>
      <c r="U43">
        <f>[1]!s_val_dividendyield2($A43,$B43)</f>
        <v>0</v>
      </c>
      <c r="V43">
        <f>[1]!s_val_evtoebitda($A43,$B43)</f>
        <v>110.525910568746</v>
      </c>
    </row>
    <row r="44" spans="1:22">
      <c r="A44" t="str">
        <f>_meta!A43</f>
        <v>1810.HK</v>
      </c>
      <c r="B44">
        <f t="shared" si="1"/>
        <v>46167</v>
      </c>
      <c r="C44">
        <f>[1]!s_west_netprofit($A44,YEAR($B44),$B44,180,1000000)</f>
        <v>32471.771070999999</v>
      </c>
      <c r="D44">
        <f>[1]!s_west_eps($A44,YEAR($B44),$B44,180)</f>
        <v>1.2566999999999999</v>
      </c>
      <c r="E44">
        <f>[1]!s_west_instnum_np($A44,YEAR($B44),$B44,180)</f>
        <v>28</v>
      </c>
      <c r="F44">
        <f>[1]!s_west_stdnetprofit($A44,YEAR($B44),$B44,180,1000000)</f>
        <v>5818.7155359999997</v>
      </c>
      <c r="G44">
        <f>[1]!s_west_mediannetprofit($A44,YEAR($B44),$B44,180,1000000)</f>
        <v>33538.5</v>
      </c>
      <c r="H44">
        <f>[1]!s_west_netprofit($A44,YEAR($B44)+1,$B44,180,1000000)</f>
        <v>42613.981071000002</v>
      </c>
      <c r="I44">
        <f>[1]!s_west_eps($A44,YEAR($B44)+1,$B44,180)</f>
        <v>1.6492</v>
      </c>
      <c r="J44">
        <f>[1]!s_west_instnum_np($A44,YEAR($B44)+1,$B44,180)</f>
        <v>28</v>
      </c>
      <c r="K44">
        <f>[1]!s_west_stdnetprofit($A44,YEAR($B44)+1,$B44,180,1000000)</f>
        <v>8797.0086069999998</v>
      </c>
      <c r="L44">
        <f>[1]!s_west_mediannetprofit($A44,YEAR($B44)+1,$B44,180,1000000)</f>
        <v>42277.5</v>
      </c>
      <c r="M44">
        <f>[1]!s_dq_close($A44,$B44,3)</f>
        <v>30</v>
      </c>
      <c r="N44">
        <f>[1]!s_dq_volume($A44,$B44)</f>
        <v>0</v>
      </c>
      <c r="O44">
        <f>[1]!s_dq_amount($A44,$B44)</f>
        <v>0</v>
      </c>
      <c r="P44">
        <f>[1]!s_dq_turn($A44,$B44)</f>
        <v>0</v>
      </c>
      <c r="Q44">
        <f>[1]!s_val_pe_ttm($A44,$B44)</f>
        <v>16.812585830688501</v>
      </c>
      <c r="R44">
        <f>[1]!S_VAL_MV($A44,$B44,100000000)</f>
        <v>7751.5229081999996</v>
      </c>
      <c r="S44">
        <f>[1]!s_val_pb($A44,$B44)</f>
        <v>2.6299172623155802</v>
      </c>
      <c r="T44">
        <f>[1]!s_west_avgroe($A44,YEAR($B44),$B44,180)</f>
        <v>12.0177</v>
      </c>
      <c r="U44">
        <f>[1]!s_val_dividendyield2($A44,$B44)</f>
        <v>0</v>
      </c>
      <c r="V44">
        <f>[1]!s_val_evtoebitda($A44,$B44)</f>
        <v>12.5197942604033</v>
      </c>
    </row>
    <row r="45" spans="1:22">
      <c r="A45" t="str">
        <f>_meta!A44</f>
        <v>1833.HK</v>
      </c>
      <c r="B45">
        <f t="shared" si="1"/>
        <v>46167</v>
      </c>
      <c r="C45">
        <f>[1]!s_west_netprofit($A45,YEAR($B45),$B45,180,1000000)</f>
        <v>462.00666699999999</v>
      </c>
      <c r="D45">
        <f>[1]!s_west_eps($A45,YEAR($B45),$B45,180)</f>
        <v>0.2137</v>
      </c>
      <c r="E45">
        <f>[1]!s_west_instnum_np($A45,YEAR($B45),$B45,180)</f>
        <v>9</v>
      </c>
      <c r="F45">
        <f>[1]!s_west_stdnetprofit($A45,YEAR($B45),$B45,180,1000000)</f>
        <v>23.391829000000001</v>
      </c>
      <c r="G45">
        <f>[1]!s_west_mediannetprofit($A45,YEAR($B45),$B45,180,1000000)</f>
        <v>458</v>
      </c>
      <c r="H45">
        <f>[1]!s_west_netprofit($A45,YEAR($B45)+1,$B45,180,1000000)</f>
        <v>605.4</v>
      </c>
      <c r="I45">
        <f>[1]!s_west_eps($A45,YEAR($B45)+1,$B45,180)</f>
        <v>0.28010000000000002</v>
      </c>
      <c r="J45">
        <f>[1]!s_west_instnum_np($A45,YEAR($B45)+1,$B45,180)</f>
        <v>9</v>
      </c>
      <c r="K45">
        <f>[1]!s_west_stdnetprofit($A45,YEAR($B45)+1,$B45,180,1000000)</f>
        <v>46.164479999999998</v>
      </c>
      <c r="L45">
        <f>[1]!s_west_mediannetprofit($A45,YEAR($B45)+1,$B45,180,1000000)</f>
        <v>595</v>
      </c>
      <c r="M45">
        <f>[1]!s_dq_close($A45,$B45,3)</f>
        <v>9.19</v>
      </c>
      <c r="N45">
        <f>[1]!s_dq_volume($A45,$B45)</f>
        <v>0</v>
      </c>
      <c r="O45">
        <f>[1]!s_dq_amount($A45,$B45)</f>
        <v>0</v>
      </c>
      <c r="P45">
        <f>[1]!s_dq_turn($A45,$B45)</f>
        <v>0</v>
      </c>
      <c r="Q45">
        <f>[1]!s_val_pe_ttm($A45,$B45)</f>
        <v>47.274681091308601</v>
      </c>
      <c r="R45">
        <f>[1]!S_VAL_MV($A45,$B45,100000000)</f>
        <v>198.63667786799999</v>
      </c>
      <c r="S45">
        <f>[1]!s_val_pb($A45,$B45)</f>
        <v>1.8092469835039799</v>
      </c>
      <c r="T45">
        <f>[1]!s_west_avgroe($A45,YEAR($B45),$B45,180)</f>
        <v>4.5689000000000002</v>
      </c>
      <c r="U45">
        <f>[1]!s_val_dividendyield2($A45,$B45)</f>
        <v>0</v>
      </c>
      <c r="V45">
        <f>[1]!s_val_evtoebitda($A45,$B45)</f>
        <v>46.482650572948302</v>
      </c>
    </row>
    <row r="46" spans="1:22">
      <c r="A46" t="str">
        <f>_meta!A45</f>
        <v>1860.HK</v>
      </c>
      <c r="B46">
        <f t="shared" si="1"/>
        <v>46167</v>
      </c>
      <c r="C46">
        <f>[1]!s_west_netprofit($A46,YEAR($B46),$B46,180,1000000)</f>
        <v>129.11250000000001</v>
      </c>
      <c r="D46">
        <f>[1]!s_west_eps($A46,YEAR($B46),$B46,180)</f>
        <v>8.2000000000000003E-2</v>
      </c>
      <c r="E46">
        <f>[1]!s_west_instnum_np($A46,YEAR($B46),$B46,180)</f>
        <v>8</v>
      </c>
      <c r="F46">
        <f>[1]!s_west_stdnetprofit($A46,YEAR($B46),$B46,180,1000000)</f>
        <v>18.808465999999999</v>
      </c>
      <c r="G46">
        <f>[1]!s_west_mediannetprofit($A46,YEAR($B46),$B46,180,1000000)</f>
        <v>127.5</v>
      </c>
      <c r="H46">
        <f>[1]!s_west_netprofit($A46,YEAR($B46)+1,$B46,180,1000000)</f>
        <v>196.61750000000001</v>
      </c>
      <c r="I46">
        <f>[1]!s_west_eps($A46,YEAR($B46)+1,$B46,180)</f>
        <v>0.1249</v>
      </c>
      <c r="J46">
        <f>[1]!s_west_instnum_np($A46,YEAR($B46)+1,$B46,180)</f>
        <v>8</v>
      </c>
      <c r="K46">
        <f>[1]!s_west_stdnetprofit($A46,YEAR($B46)+1,$B46,180,1000000)</f>
        <v>44.672764999999998</v>
      </c>
      <c r="L46">
        <f>[1]!s_west_mediannetprofit($A46,YEAR($B46)+1,$B46,180,1000000)</f>
        <v>190</v>
      </c>
      <c r="M46">
        <f>[1]!s_dq_close($A46,$B46,3)</f>
        <v>14.61</v>
      </c>
      <c r="N46">
        <f>[1]!s_dq_volume($A46,$B46)</f>
        <v>0</v>
      </c>
      <c r="O46">
        <f>[1]!s_dq_amount($A46,$B46)</f>
        <v>0</v>
      </c>
      <c r="P46">
        <f>[1]!s_dq_turn($A46,$B46)</f>
        <v>0</v>
      </c>
      <c r="Q46">
        <f>[1]!s_val_pe_ttm($A46,$B46)</f>
        <v>47.961769104003899</v>
      </c>
      <c r="R46">
        <f>[1]!S_VAL_MV($A46,$B46,100000000)</f>
        <v>229.98392336040001</v>
      </c>
      <c r="S46">
        <f>[1]!s_val_pb($A46,$B46)</f>
        <v>10.212752957245501</v>
      </c>
      <c r="T46">
        <f>[1]!s_west_avgroe($A46,YEAR($B46),$B46,180)</f>
        <v>31.4771</v>
      </c>
      <c r="U46">
        <f>[1]!s_val_dividendyield2($A46,$B46)</f>
        <v>0</v>
      </c>
      <c r="V46">
        <f>[1]!s_val_evtoebitda($A46,$B46)</f>
        <v>18.273849206342</v>
      </c>
    </row>
    <row r="47" spans="1:22">
      <c r="A47" t="str">
        <f>_meta!A46</f>
        <v>1888.HK</v>
      </c>
      <c r="B47">
        <f t="shared" si="1"/>
        <v>46167</v>
      </c>
      <c r="C47">
        <f>[1]!s_west_netprofit($A47,YEAR($B47),$B47,180,1000000)</f>
        <v>5119.25</v>
      </c>
      <c r="D47">
        <f>[1]!s_west_eps($A47,YEAR($B47),$B47,180)</f>
        <v>1.6328</v>
      </c>
      <c r="E47">
        <f>[1]!s_west_instnum_np($A47,YEAR($B47),$B47,180)</f>
        <v>4</v>
      </c>
      <c r="F47">
        <f>[1]!s_west_stdnetprofit($A47,YEAR($B47),$B47,180,1000000)</f>
        <v>1620.457214</v>
      </c>
      <c r="G47">
        <f>[1]!s_west_mediannetprofit($A47,YEAR($B47),$B47,180,1000000)</f>
        <v>5132</v>
      </c>
      <c r="H47">
        <f>[1]!s_west_netprofit($A47,YEAR($B47)+1,$B47,180,1000000)</f>
        <v>6265</v>
      </c>
      <c r="I47">
        <f>[1]!s_west_eps($A47,YEAR($B47)+1,$B47,180)</f>
        <v>1.9982</v>
      </c>
      <c r="J47">
        <f>[1]!s_west_instnum_np($A47,YEAR($B47)+1,$B47,180)</f>
        <v>4</v>
      </c>
      <c r="K47">
        <f>[1]!s_west_stdnetprofit($A47,YEAR($B47)+1,$B47,180,1000000)</f>
        <v>1898.828937</v>
      </c>
      <c r="L47">
        <f>[1]!s_west_mediannetprofit($A47,YEAR($B47)+1,$B47,180,1000000)</f>
        <v>6426</v>
      </c>
      <c r="M47">
        <f>[1]!s_dq_close($A47,$B47,3)</f>
        <v>51.1</v>
      </c>
      <c r="N47">
        <f>[1]!s_dq_volume($A47,$B47)</f>
        <v>0</v>
      </c>
      <c r="O47">
        <f>[1]!s_dq_amount($A47,$B47)</f>
        <v>0</v>
      </c>
      <c r="P47">
        <f>[1]!s_dq_turn($A47,$B47)</f>
        <v>0</v>
      </c>
      <c r="Q47">
        <f>[1]!s_val_pe_ttm($A47,$B47)</f>
        <v>65.603477478027301</v>
      </c>
      <c r="R47">
        <f>[1]!S_VAL_MV($A47,$B47,100000000)</f>
        <v>1602.151075</v>
      </c>
      <c r="S47">
        <f>[1]!s_val_pb($A47,$B47)</f>
        <v>9.8040391341316404</v>
      </c>
      <c r="T47">
        <f>[1]!s_west_avgroe($A47,YEAR($B47),$B47,180)</f>
        <v>24.98</v>
      </c>
      <c r="U47">
        <f>[1]!s_val_dividendyield2($A47,$B47)</f>
        <v>1.26716280485597</v>
      </c>
      <c r="V47">
        <f>[1]!s_val_evtoebitda($A47,$B47)</f>
        <v>39.333374371856898</v>
      </c>
    </row>
    <row r="48" spans="1:22">
      <c r="A48" t="str">
        <f>_meta!A47</f>
        <v>1896.HK</v>
      </c>
      <c r="B48">
        <f t="shared" si="1"/>
        <v>46167</v>
      </c>
      <c r="C48">
        <f>[1]!s_west_netprofit($A48,YEAR($B48),$B48,180,1000000)</f>
        <v>380.83333299999998</v>
      </c>
      <c r="D48">
        <f>[1]!s_west_eps($A48,YEAR($B48),$B48,180)</f>
        <v>0.32769999999999999</v>
      </c>
      <c r="E48">
        <f>[1]!s_west_instnum_np($A48,YEAR($B48),$B48,180)</f>
        <v>6</v>
      </c>
      <c r="F48">
        <f>[1]!s_west_stdnetprofit($A48,YEAR($B48),$B48,180,1000000)</f>
        <v>19.487603</v>
      </c>
      <c r="G48">
        <f>[1]!s_west_mediannetprofit($A48,YEAR($B48),$B48,180,1000000)</f>
        <v>380.5</v>
      </c>
      <c r="H48">
        <f>[1]!s_west_netprofit($A48,YEAR($B48)+1,$B48,180,1000000)</f>
        <v>481</v>
      </c>
      <c r="I48">
        <f>[1]!s_west_eps($A48,YEAR($B48)+1,$B48,180)</f>
        <v>0.41389999999999999</v>
      </c>
      <c r="J48">
        <f>[1]!s_west_instnum_np($A48,YEAR($B48)+1,$B48,180)</f>
        <v>6</v>
      </c>
      <c r="K48">
        <f>[1]!s_west_stdnetprofit($A48,YEAR($B48)+1,$B48,180,1000000)</f>
        <v>63.115766999999998</v>
      </c>
      <c r="L48">
        <f>[1]!s_west_mediannetprofit($A48,YEAR($B48)+1,$B48,180,1000000)</f>
        <v>477.5</v>
      </c>
      <c r="M48">
        <f>[1]!s_dq_close($A48,$B48,3)</f>
        <v>5.52</v>
      </c>
      <c r="N48">
        <f>[1]!s_dq_volume($A48,$B48)</f>
        <v>0</v>
      </c>
      <c r="O48">
        <f>[1]!s_dq_amount($A48,$B48)</f>
        <v>0</v>
      </c>
      <c r="P48">
        <f>[1]!s_dq_turn($A48,$B48)</f>
        <v>0</v>
      </c>
      <c r="Q48">
        <f>[1]!s_val_pe_ttm($A48,$B48)</f>
        <v>10.279824256896999</v>
      </c>
      <c r="R48">
        <f>[1]!S_VAL_MV($A48,$B48,100000000)</f>
        <v>64.150621322399999</v>
      </c>
      <c r="S48">
        <f>[1]!s_val_pb($A48,$B48)</f>
        <v>0.62411888922132297</v>
      </c>
      <c r="T48">
        <f>[1]!s_west_avgroe($A48,YEAR($B48),$B48,180)</f>
        <v>4.4640000000000004</v>
      </c>
      <c r="U48">
        <f>[1]!s_val_dividendyield2($A48,$B48)</f>
        <v>5.7431584618394496</v>
      </c>
      <c r="V48">
        <f>[1]!s_val_evtoebitda($A48,$B48)</f>
        <v>4.4960479830722297</v>
      </c>
    </row>
    <row r="49" spans="1:22">
      <c r="A49" t="str">
        <f>_meta!A48</f>
        <v>1952.HK</v>
      </c>
      <c r="B49">
        <f t="shared" si="1"/>
        <v>46167</v>
      </c>
      <c r="C49">
        <f>[1]!s_west_netprofit($A49,YEAR($B49),$B49,180,1000000)</f>
        <v>232.27089599999999</v>
      </c>
      <c r="D49">
        <f>[1]!s_west_eps($A49,YEAR($B49),$B49,180)</f>
        <v>0.65669999999999995</v>
      </c>
      <c r="E49">
        <f>[1]!s_west_instnum_np($A49,YEAR($B49),$B49,180)</f>
        <v>7</v>
      </c>
      <c r="F49">
        <f>[1]!s_west_stdnetprofit($A49,YEAR($B49),$B49,180,1000000)</f>
        <v>104.431391</v>
      </c>
      <c r="G49">
        <f>[1]!s_west_mediannetprofit($A49,YEAR($B49),$B49,180,1000000)</f>
        <v>244.94858500000001</v>
      </c>
      <c r="H49">
        <f>[1]!s_west_netprofit($A49,YEAR($B49)+1,$B49,180,1000000)</f>
        <v>719.50807799999995</v>
      </c>
      <c r="I49">
        <f>[1]!s_west_eps($A49,YEAR($B49)+1,$B49,180)</f>
        <v>2.0341999999999998</v>
      </c>
      <c r="J49">
        <f>[1]!s_west_instnum_np($A49,YEAR($B49)+1,$B49,180)</f>
        <v>7</v>
      </c>
      <c r="K49">
        <f>[1]!s_west_stdnetprofit($A49,YEAR($B49)+1,$B49,180,1000000)</f>
        <v>228.23312300000001</v>
      </c>
      <c r="L49">
        <f>[1]!s_west_mediannetprofit($A49,YEAR($B49)+1,$B49,180,1000000)</f>
        <v>694.91731300000004</v>
      </c>
      <c r="M49">
        <f>[1]!s_dq_close($A49,$B49,3)</f>
        <v>31.8</v>
      </c>
      <c r="N49">
        <f>[1]!s_dq_volume($A49,$B49)</f>
        <v>0</v>
      </c>
      <c r="O49">
        <f>[1]!s_dq_amount($A49,$B49)</f>
        <v>0</v>
      </c>
      <c r="P49">
        <f>[1]!s_dq_turn($A49,$B49)</f>
        <v>0</v>
      </c>
      <c r="Q49">
        <f>[1]!s_val_pe_ttm($A49,$B49)</f>
        <v>-34.118770599365199</v>
      </c>
      <c r="R49">
        <f>[1]!S_VAL_MV($A49,$B49,100000000)</f>
        <v>112.47989893200001</v>
      </c>
      <c r="S49">
        <f>[1]!s_val_pb($A49,$B49)</f>
        <v>1.9155111367873401</v>
      </c>
      <c r="T49">
        <f>[1]!s_west_avgroe($A49,YEAR($B49),$B49,180)</f>
        <v>3.8016999999999999</v>
      </c>
      <c r="U49">
        <f>[1]!s_val_dividendyield2($A49,$B49)</f>
        <v>0</v>
      </c>
      <c r="V49">
        <f>[1]!s_val_evtoebitda($A49,$B49)</f>
        <v>-18.975925447213601</v>
      </c>
    </row>
    <row r="50" spans="1:22">
      <c r="A50" t="str">
        <f>_meta!A49</f>
        <v>2015.HK</v>
      </c>
      <c r="B50">
        <f t="shared" si="1"/>
        <v>46167</v>
      </c>
      <c r="C50">
        <f>[1]!s_west_netprofit($A50,YEAR($B50),$B50,180,1000000)</f>
        <v>2196.4338670000002</v>
      </c>
      <c r="D50">
        <f>[1]!s_west_eps($A50,YEAR($B50),$B50,180)</f>
        <v>1.0152000000000001</v>
      </c>
      <c r="E50">
        <f>[1]!s_west_instnum_np($A50,YEAR($B50),$B50,180)</f>
        <v>30</v>
      </c>
      <c r="F50">
        <f>[1]!s_west_stdnetprofit($A50,YEAR($B50),$B50,180,1000000)</f>
        <v>2474.745895</v>
      </c>
      <c r="G50">
        <f>[1]!s_west_mediannetprofit($A50,YEAR($B50),$B50,180,1000000)</f>
        <v>1510</v>
      </c>
      <c r="H50">
        <f>[1]!s_west_netprofit($A50,YEAR($B50)+1,$B50,180,1000000)</f>
        <v>5701.9653669999998</v>
      </c>
      <c r="I50">
        <f>[1]!s_west_eps($A50,YEAR($B50)+1,$B50,180)</f>
        <v>2.6355</v>
      </c>
      <c r="J50">
        <f>[1]!s_west_instnum_np($A50,YEAR($B50)+1,$B50,180)</f>
        <v>30</v>
      </c>
      <c r="K50">
        <f>[1]!s_west_stdnetprofit($A50,YEAR($B50)+1,$B50,180,1000000)</f>
        <v>2554.2943030000001</v>
      </c>
      <c r="L50">
        <f>[1]!s_west_mediannetprofit($A50,YEAR($B50)+1,$B50,180,1000000)</f>
        <v>5374.585</v>
      </c>
      <c r="M50">
        <f>[1]!s_dq_close($A50,$B50,3)</f>
        <v>61.8</v>
      </c>
      <c r="N50">
        <f>[1]!s_dq_volume($A50,$B50)</f>
        <v>0</v>
      </c>
      <c r="O50">
        <f>[1]!s_dq_amount($A50,$B50)</f>
        <v>0</v>
      </c>
      <c r="P50">
        <f>[1]!s_dq_turn($A50,$B50)</f>
        <v>0</v>
      </c>
      <c r="Q50">
        <f>[1]!s_val_pe_ttm($A50,$B50)</f>
        <v>107.400985717773</v>
      </c>
      <c r="R50">
        <f>[1]!S_VAL_MV($A50,$B50,100000000)</f>
        <v>1337.0579976239999</v>
      </c>
      <c r="S50">
        <f>[1]!s_val_pb($A50,$B50)</f>
        <v>1.66299905529732</v>
      </c>
      <c r="T50">
        <f>[1]!s_west_avgroe($A50,YEAR($B50),$B50,180)</f>
        <v>3.2542</v>
      </c>
      <c r="U50">
        <f>[1]!s_val_dividendyield2($A50,$B50)</f>
        <v>0</v>
      </c>
      <c r="V50">
        <f>[1]!s_val_evtoebitda($A50,$B50)</f>
        <v>12.120637723695401</v>
      </c>
    </row>
    <row r="51" spans="1:22">
      <c r="A51" t="str">
        <f>_meta!A50</f>
        <v>2018.HK</v>
      </c>
      <c r="B51">
        <f t="shared" si="1"/>
        <v>46167</v>
      </c>
      <c r="C51">
        <f>[1]!s_west_netprofit($A51,YEAR($B51),$B51,180,1000000)</f>
        <v>2873.4821670000001</v>
      </c>
      <c r="D51">
        <f>[1]!s_west_eps($A51,YEAR($B51),$B51,180)</f>
        <v>2.3976000000000002</v>
      </c>
      <c r="E51">
        <f>[1]!s_west_instnum_np($A51,YEAR($B51),$B51,180)</f>
        <v>12</v>
      </c>
      <c r="F51">
        <f>[1]!s_west_stdnetprofit($A51,YEAR($B51),$B51,180,1000000)</f>
        <v>109.109776</v>
      </c>
      <c r="G51">
        <f>[1]!s_west_mediannetprofit($A51,YEAR($B51),$B51,180,1000000)</f>
        <v>2885.5</v>
      </c>
      <c r="H51">
        <f>[1]!s_west_netprofit($A51,YEAR($B51)+1,$B51,180,1000000)</f>
        <v>3348.6284169999999</v>
      </c>
      <c r="I51">
        <f>[1]!s_west_eps($A51,YEAR($B51)+1,$B51,180)</f>
        <v>2.794</v>
      </c>
      <c r="J51">
        <f>[1]!s_west_instnum_np($A51,YEAR($B51)+1,$B51,180)</f>
        <v>12</v>
      </c>
      <c r="K51">
        <f>[1]!s_west_stdnetprofit($A51,YEAR($B51)+1,$B51,180,1000000)</f>
        <v>129.04976300000001</v>
      </c>
      <c r="L51">
        <f>[1]!s_west_mediannetprofit($A51,YEAR($B51)+1,$B51,180,1000000)</f>
        <v>3326.5</v>
      </c>
      <c r="M51">
        <f>[1]!s_dq_close($A51,$B51,3)</f>
        <v>43.32</v>
      </c>
      <c r="N51">
        <f>[1]!s_dq_volume($A51,$B51)</f>
        <v>0</v>
      </c>
      <c r="O51">
        <f>[1]!s_dq_amount($A51,$B51)</f>
        <v>0</v>
      </c>
      <c r="P51">
        <f>[1]!s_dq_turn($A51,$B51)</f>
        <v>0</v>
      </c>
      <c r="Q51">
        <f>[1]!s_val_pe_ttm($A51,$B51)</f>
        <v>18.668275833129901</v>
      </c>
      <c r="R51">
        <f>[1]!S_VAL_MV($A51,$B51,100000000)</f>
        <v>519.1902</v>
      </c>
      <c r="S51">
        <f>[1]!s_val_pb($A51,$B51)</f>
        <v>1.92530363736959</v>
      </c>
      <c r="T51">
        <f>[1]!s_west_avgroe($A51,YEAR($B51),$B51,180)</f>
        <v>10.785</v>
      </c>
      <c r="U51">
        <f>[1]!s_val_dividendyield2($A51,$B51)</f>
        <v>0.554016620498615</v>
      </c>
      <c r="V51">
        <f>[1]!s_val_evtoebitda($A51,$B51)</f>
        <v>7.9717054578715896</v>
      </c>
    </row>
    <row r="52" spans="1:22">
      <c r="A52" t="str">
        <f>_meta!A51</f>
        <v>2096.HK</v>
      </c>
      <c r="B52">
        <f t="shared" si="1"/>
        <v>46167</v>
      </c>
      <c r="C52">
        <f>[1]!s_west_netprofit($A52,YEAR($B52),$B52,180,1000000)</f>
        <v>1835.8888890000001</v>
      </c>
      <c r="D52">
        <f>[1]!s_west_eps($A52,YEAR($B52),$B52,180)</f>
        <v>0.70730000000000004</v>
      </c>
      <c r="E52">
        <f>[1]!s_west_instnum_np($A52,YEAR($B52),$B52,180)</f>
        <v>9</v>
      </c>
      <c r="F52">
        <f>[1]!s_west_stdnetprofit($A52,YEAR($B52),$B52,180,1000000)</f>
        <v>381.436575</v>
      </c>
      <c r="G52">
        <f>[1]!s_west_mediannetprofit($A52,YEAR($B52),$B52,180,1000000)</f>
        <v>1678</v>
      </c>
      <c r="H52">
        <f>[1]!s_west_netprofit($A52,YEAR($B52)+1,$B52,180,1000000)</f>
        <v>2025.2222220000001</v>
      </c>
      <c r="I52">
        <f>[1]!s_west_eps($A52,YEAR($B52)+1,$B52,180)</f>
        <v>0.7802</v>
      </c>
      <c r="J52">
        <f>[1]!s_west_instnum_np($A52,YEAR($B52)+1,$B52,180)</f>
        <v>9</v>
      </c>
      <c r="K52">
        <f>[1]!s_west_stdnetprofit($A52,YEAR($B52)+1,$B52,180,1000000)</f>
        <v>169.34415999999999</v>
      </c>
      <c r="L52">
        <f>[1]!s_west_mediannetprofit($A52,YEAR($B52)+1,$B52,180,1000000)</f>
        <v>2024</v>
      </c>
      <c r="M52">
        <f>[1]!s_dq_close($A52,$B52,3)</f>
        <v>10.42</v>
      </c>
      <c r="N52">
        <f>[1]!s_dq_volume($A52,$B52)</f>
        <v>0</v>
      </c>
      <c r="O52">
        <f>[1]!s_dq_amount($A52,$B52)</f>
        <v>0</v>
      </c>
      <c r="P52">
        <f>[1]!s_dq_turn($A52,$B52)</f>
        <v>0</v>
      </c>
      <c r="Q52">
        <f>[1]!s_val_pe_ttm($A52,$B52)</f>
        <v>18.1766357421875</v>
      </c>
      <c r="R52">
        <f>[1]!S_VAL_MV($A52,$B52,100000000)</f>
        <v>270.47169179560001</v>
      </c>
      <c r="S52">
        <f>[1]!s_val_pb($A52,$B52)</f>
        <v>2.5967147221657099</v>
      </c>
      <c r="T52">
        <f>[1]!s_west_avgroe($A52,YEAR($B52),$B52,180)</f>
        <v>18.148900000000001</v>
      </c>
      <c r="U52">
        <f>[1]!s_val_dividendyield2($A52,$B52)</f>
        <v>1.5993435052467699</v>
      </c>
      <c r="V52">
        <f>[1]!s_val_evtoebitda($A52,$B52)</f>
        <v>11.811552470244401</v>
      </c>
    </row>
    <row r="53" spans="1:22">
      <c r="A53" t="str">
        <f>_meta!A52</f>
        <v>2162.HK</v>
      </c>
      <c r="B53">
        <f t="shared" si="1"/>
        <v>46167</v>
      </c>
      <c r="C53">
        <f>[1]!s_west_netprofit($A53,YEAR($B53),$B53,180,1000000)</f>
        <v>357.78750000000002</v>
      </c>
      <c r="D53">
        <f>[1]!s_west_eps($A53,YEAR($B53),$B53,180)</f>
        <v>1.1977</v>
      </c>
      <c r="E53">
        <f>[1]!s_west_instnum_np($A53,YEAR($B53),$B53,180)</f>
        <v>12</v>
      </c>
      <c r="F53">
        <f>[1]!s_west_stdnetprofit($A53,YEAR($B53),$B53,180,1000000)</f>
        <v>746.25264700000002</v>
      </c>
      <c r="G53">
        <f>[1]!s_west_mediannetprofit($A53,YEAR($B53),$B53,180,1000000)</f>
        <v>772.15</v>
      </c>
      <c r="H53">
        <f>[1]!s_west_netprofit($A53,YEAR($B53)+1,$B53,180,1000000)</f>
        <v>-132.92750000000001</v>
      </c>
      <c r="I53">
        <f>[1]!s_west_eps($A53,YEAR($B53)+1,$B53,180)</f>
        <v>-0.44490000000000002</v>
      </c>
      <c r="J53">
        <f>[1]!s_west_instnum_np($A53,YEAR($B53)+1,$B53,180)</f>
        <v>12</v>
      </c>
      <c r="K53">
        <f>[1]!s_west_stdnetprofit($A53,YEAR($B53)+1,$B53,180,1000000)</f>
        <v>226.49968899999999</v>
      </c>
      <c r="L53">
        <f>[1]!s_west_mediannetprofit($A53,YEAR($B53)+1,$B53,180,1000000)</f>
        <v>-142.5</v>
      </c>
      <c r="M53">
        <f>[1]!s_dq_close($A53,$B53,3)</f>
        <v>62.8</v>
      </c>
      <c r="N53">
        <f>[1]!s_dq_volume($A53,$B53)</f>
        <v>0</v>
      </c>
      <c r="O53">
        <f>[1]!s_dq_amount($A53,$B53)</f>
        <v>0</v>
      </c>
      <c r="P53">
        <f>[1]!s_dq_turn($A53,$B53)</f>
        <v>0</v>
      </c>
      <c r="Q53">
        <f>[1]!s_val_pe_ttm($A53,$B53)</f>
        <v>-32.421764373779297</v>
      </c>
      <c r="R53">
        <f>[1]!S_VAL_MV($A53,$B53,100000000)</f>
        <v>187.605935448</v>
      </c>
      <c r="S53">
        <f>[1]!s_val_pb($A53,$B53)</f>
        <v>6.1079278615203396</v>
      </c>
      <c r="T53">
        <f>[1]!s_west_avgroe($A53,YEAR($B53),$B53,180)</f>
        <v>8.7582000000000004</v>
      </c>
      <c r="U53">
        <f>[1]!s_val_dividendyield2($A53,$B53)</f>
        <v>0</v>
      </c>
      <c r="V53">
        <f>[1]!s_val_evtoebitda($A53,$B53)</f>
        <v>-36.155406507373797</v>
      </c>
    </row>
    <row r="54" spans="1:22">
      <c r="A54" t="str">
        <f>_meta!A53</f>
        <v>2186.HK</v>
      </c>
      <c r="B54">
        <f t="shared" si="1"/>
        <v>46167</v>
      </c>
      <c r="C54">
        <f>[1]!s_west_netprofit($A54,YEAR($B54),$B54,180,1000000)</f>
        <v>758.66666699999996</v>
      </c>
      <c r="D54">
        <f>[1]!s_west_eps($A54,YEAR($B54),$B54,180)</f>
        <v>0.18990000000000001</v>
      </c>
      <c r="E54">
        <f>[1]!s_west_instnum_np($A54,YEAR($B54),$B54,180)</f>
        <v>3</v>
      </c>
      <c r="F54">
        <f>[1]!s_west_stdnetprofit($A54,YEAR($B54),$B54,180,1000000)</f>
        <v>17.039171</v>
      </c>
      <c r="G54">
        <f>[1]!s_west_mediannetprofit($A54,YEAR($B54),$B54,180,1000000)</f>
        <v>760</v>
      </c>
      <c r="H54">
        <f>[1]!s_west_netprofit($A54,YEAR($B54)+1,$B54,180,1000000)</f>
        <v>972.33333300000004</v>
      </c>
      <c r="I54">
        <f>[1]!s_west_eps($A54,YEAR($B54)+1,$B54,180)</f>
        <v>0.24340000000000001</v>
      </c>
      <c r="J54">
        <f>[1]!s_west_instnum_np($A54,YEAR($B54)+1,$B54,180)</f>
        <v>3</v>
      </c>
      <c r="K54">
        <f>[1]!s_west_stdnetprofit($A54,YEAR($B54)+1,$B54,180,1000000)</f>
        <v>45.654499999999999</v>
      </c>
      <c r="L54">
        <f>[1]!s_west_mediannetprofit($A54,YEAR($B54)+1,$B54,180,1000000)</f>
        <v>968</v>
      </c>
      <c r="M54">
        <f>[1]!s_dq_close($A54,$B54,3)</f>
        <v>2.2599999999999998</v>
      </c>
      <c r="N54">
        <f>[1]!s_dq_volume($A54,$B54)</f>
        <v>0</v>
      </c>
      <c r="O54">
        <f>[1]!s_dq_amount($A54,$B54)</f>
        <v>0</v>
      </c>
      <c r="P54">
        <f>[1]!s_dq_turn($A54,$B54)</f>
        <v>0</v>
      </c>
      <c r="Q54">
        <f>[1]!s_val_pe_ttm($A54,$B54)</f>
        <v>13.178107261657701</v>
      </c>
      <c r="R54">
        <f>[1]!S_VAL_MV($A54,$B54,100000000)</f>
        <v>90.276060537800007</v>
      </c>
      <c r="S54">
        <f>[1]!s_val_pb($A54,$B54)</f>
        <v>0.507319144169319</v>
      </c>
      <c r="T54">
        <f>[1]!s_west_avgroe($A54,YEAR($B54),$B54,180)</f>
        <v>4.4866999999999999</v>
      </c>
      <c r="U54">
        <f>[1]!s_val_dividendyield2($A54,$B54)</f>
        <v>0</v>
      </c>
      <c r="V54">
        <f>[1]!s_val_evtoebitda($A54,$B54)</f>
        <v>5.8860825479003704</v>
      </c>
    </row>
    <row r="55" spans="1:22">
      <c r="A55" t="str">
        <f>_meta!A54</f>
        <v>2196.HK</v>
      </c>
      <c r="B55">
        <f t="shared" si="1"/>
        <v>46167</v>
      </c>
      <c r="C55">
        <f>[1]!s_west_netprofit($A55,YEAR($B55),$B55,180,1000000)</f>
        <v>4557.668592</v>
      </c>
      <c r="D55">
        <f>[1]!s_west_eps($A55,YEAR($B55),$B55,180)</f>
        <v>1.7067000000000001</v>
      </c>
      <c r="E55">
        <f>[1]!s_west_instnum_np($A55,YEAR($B55),$B55,180)</f>
        <v>1</v>
      </c>
      <c r="F55">
        <f>[1]!s_west_stdnetprofit($A55,YEAR($B55),$B55,180,1000000)</f>
        <v>918.77013399999998</v>
      </c>
      <c r="G55">
        <f>[1]!s_west_mediannetprofit($A55,YEAR($B55),$B55,180,1000000)</f>
        <v>4557.668592</v>
      </c>
      <c r="H55">
        <f>[1]!s_west_netprofit($A55,YEAR($B55)+1,$B55,180,1000000)</f>
        <v>4264.9134080000003</v>
      </c>
      <c r="I55">
        <f>[1]!s_west_eps($A55,YEAR($B55)+1,$B55,180)</f>
        <v>1.5971</v>
      </c>
      <c r="J55">
        <f>[1]!s_west_instnum_np($A55,YEAR($B55)+1,$B55,180)</f>
        <v>1</v>
      </c>
      <c r="K55">
        <f>[1]!s_west_stdnetprofit($A55,YEAR($B55)+1,$B55,180,1000000)</f>
        <v>517.72462399999995</v>
      </c>
      <c r="L55">
        <f>[1]!s_west_mediannetprofit($A55,YEAR($B55)+1,$B55,180,1000000)</f>
        <v>4264.9134080000003</v>
      </c>
      <c r="M55">
        <f>[1]!s_dq_close($A55,$B55,3)</f>
        <v>17.399999999999999</v>
      </c>
      <c r="N55">
        <f>[1]!s_dq_volume($A55,$B55)</f>
        <v>0</v>
      </c>
      <c r="O55">
        <f>[1]!s_dq_amount($A55,$B55)</f>
        <v>0</v>
      </c>
      <c r="P55">
        <f>[1]!s_dq_turn($A55,$B55)</f>
        <v>0</v>
      </c>
      <c r="Q55">
        <f>[1]!s_val_pe_ttm($A55,$B55)</f>
        <v>11.800705909729</v>
      </c>
      <c r="R55">
        <f>[1]!S_VAL_MV($A55,$B55,100000000)</f>
        <v>464.65470255000002</v>
      </c>
      <c r="S55">
        <f>[1]!s_val_pb($A55,$B55)</f>
        <v>0.86172162487868498</v>
      </c>
      <c r="T55">
        <f>[1]!s_west_avgroe($A55,YEAR($B55),$B55,180)</f>
        <v>0</v>
      </c>
      <c r="U55">
        <f>[1]!s_val_dividendyield2($A55,$B55)</f>
        <v>2.0114942528735602</v>
      </c>
      <c r="V55">
        <f>[1]!s_val_evtoebitda($A55,$B55)</f>
        <v>8.5576678966152393</v>
      </c>
    </row>
    <row r="56" spans="1:22">
      <c r="A56" t="str">
        <f>_meta!A55</f>
        <v>2228.HK</v>
      </c>
      <c r="B56">
        <f t="shared" si="1"/>
        <v>46167</v>
      </c>
      <c r="C56">
        <f>[1]!s_west_netprofit($A56,YEAR($B56),$B56,180,1000000)</f>
        <v>-29.11375</v>
      </c>
      <c r="D56">
        <f>[1]!s_west_eps($A56,YEAR($B56),$B56,180)</f>
        <v>-6.7999999999999996E-3</v>
      </c>
      <c r="E56">
        <f>[1]!s_west_instnum_np($A56,YEAR($B56),$B56,180)</f>
        <v>8</v>
      </c>
      <c r="F56">
        <f>[1]!s_west_stdnetprofit($A56,YEAR($B56),$B56,180,1000000)</f>
        <v>130.56982400000001</v>
      </c>
      <c r="G56">
        <f>[1]!s_west_mediannetprofit($A56,YEAR($B56),$B56,180,1000000)</f>
        <v>-56.5</v>
      </c>
      <c r="H56">
        <f>[1]!s_west_netprofit($A56,YEAR($B56)+1,$B56,180,1000000)</f>
        <v>61.506250000000001</v>
      </c>
      <c r="I56">
        <f>[1]!s_west_eps($A56,YEAR($B56)+1,$B56,180)</f>
        <v>1.43E-2</v>
      </c>
      <c r="J56">
        <f>[1]!s_west_instnum_np($A56,YEAR($B56)+1,$B56,180)</f>
        <v>8</v>
      </c>
      <c r="K56">
        <f>[1]!s_west_stdnetprofit($A56,YEAR($B56)+1,$B56,180,1000000)</f>
        <v>183.563694</v>
      </c>
      <c r="L56">
        <f>[1]!s_west_mediannetprofit($A56,YEAR($B56)+1,$B56,180,1000000)</f>
        <v>139.5</v>
      </c>
      <c r="M56">
        <f>[1]!s_dq_close($A56,$B56,3)</f>
        <v>7.95</v>
      </c>
      <c r="N56">
        <f>[1]!s_dq_volume($A56,$B56)</f>
        <v>0</v>
      </c>
      <c r="O56">
        <f>[1]!s_dq_amount($A56,$B56)</f>
        <v>0</v>
      </c>
      <c r="P56">
        <f>[1]!s_dq_turn($A56,$B56)</f>
        <v>0</v>
      </c>
      <c r="Q56">
        <f>[1]!s_val_pe_ttm($A56,$B56)</f>
        <v>249.70938110351599</v>
      </c>
      <c r="R56">
        <f>[1]!S_VAL_MV($A56,$B56,100000000)</f>
        <v>342.11805499950003</v>
      </c>
      <c r="S56">
        <f>[1]!s_val_pb($A56,$B56)</f>
        <v>3.2930325748999101</v>
      </c>
      <c r="T56">
        <f>[1]!s_west_avgroe($A56,YEAR($B56),$B56,180)</f>
        <v>-0.50860000000000005</v>
      </c>
      <c r="U56">
        <f>[1]!s_val_dividendyield2($A56,$B56)</f>
        <v>0</v>
      </c>
      <c r="V56">
        <f>[1]!s_val_evtoebitda($A56,$B56)</f>
        <v>192.85132674879799</v>
      </c>
    </row>
    <row r="57" spans="1:22">
      <c r="A57" t="str">
        <f>_meta!A56</f>
        <v>2252.HK</v>
      </c>
      <c r="B57">
        <f t="shared" si="1"/>
        <v>46167</v>
      </c>
      <c r="C57">
        <f>[1]!s_west_netprofit($A57,YEAR($B57),$B57,180,1000000)</f>
        <v>19.5825</v>
      </c>
      <c r="D57">
        <f>[1]!s_west_eps($A57,YEAR($B57),$B57,180)</f>
        <v>1.9E-2</v>
      </c>
      <c r="E57">
        <f>[1]!s_west_instnum_np($A57,YEAR($B57),$B57,180)</f>
        <v>4</v>
      </c>
      <c r="F57">
        <f>[1]!s_west_stdnetprofit($A57,YEAR($B57),$B57,180,1000000)</f>
        <v>51.856248999999998</v>
      </c>
      <c r="G57">
        <f>[1]!s_west_mediannetprofit($A57,YEAR($B57),$B57,180,1000000)</f>
        <v>27</v>
      </c>
      <c r="H57">
        <f>[1]!s_west_netprofit($A57,YEAR($B57)+1,$B57,180,1000000)</f>
        <v>175.16749999999999</v>
      </c>
      <c r="I57">
        <f>[1]!s_west_eps($A57,YEAR($B57)+1,$B57,180)</f>
        <v>0.16980000000000001</v>
      </c>
      <c r="J57">
        <f>[1]!s_west_instnum_np($A57,YEAR($B57)+1,$B57,180)</f>
        <v>4</v>
      </c>
      <c r="K57">
        <f>[1]!s_west_stdnetprofit($A57,YEAR($B57)+1,$B57,180,1000000)</f>
        <v>119.968825</v>
      </c>
      <c r="L57">
        <f>[1]!s_west_mediannetprofit($A57,YEAR($B57)+1,$B57,180,1000000)</f>
        <v>153.5</v>
      </c>
      <c r="M57">
        <f>[1]!s_dq_close($A57,$B57,3)</f>
        <v>27.3</v>
      </c>
      <c r="N57">
        <f>[1]!s_dq_volume($A57,$B57)</f>
        <v>0</v>
      </c>
      <c r="O57">
        <f>[1]!s_dq_amount($A57,$B57)</f>
        <v>0</v>
      </c>
      <c r="P57">
        <f>[1]!s_dq_turn($A57,$B57)</f>
        <v>0</v>
      </c>
      <c r="Q57">
        <f>[1]!s_val_pe_ttm($A57,$B57)</f>
        <v>-101.860313415527</v>
      </c>
      <c r="R57">
        <f>[1]!S_VAL_MV($A57,$B57,100000000)</f>
        <v>281.55318036299997</v>
      </c>
      <c r="S57">
        <f>[1]!s_val_pb($A57,$B57)</f>
        <v>61.923682426320802</v>
      </c>
      <c r="T57">
        <f>[1]!s_west_avgroe($A57,YEAR($B57),$B57,180)</f>
        <v>-1.0967</v>
      </c>
      <c r="U57">
        <f>[1]!s_val_dividendyield2($A57,$B57)</f>
        <v>0</v>
      </c>
      <c r="V57">
        <f>[1]!s_val_evtoebitda($A57,$B57)</f>
        <v>-200.931760099152</v>
      </c>
    </row>
    <row r="58" spans="1:22">
      <c r="A58" t="str">
        <f>_meta!A57</f>
        <v>2268.HK</v>
      </c>
      <c r="B58">
        <f t="shared" si="1"/>
        <v>46167</v>
      </c>
      <c r="C58">
        <f>[1]!s_west_netprofit($A58,YEAR($B58),$B58,180,1000000)</f>
        <v>2068.2642340000002</v>
      </c>
      <c r="D58">
        <f>[1]!s_west_eps($A58,YEAR($B58),$B58,180)</f>
        <v>1.6407</v>
      </c>
      <c r="E58">
        <f>[1]!s_west_instnum_np($A58,YEAR($B58),$B58,180)</f>
        <v>20</v>
      </c>
      <c r="F58">
        <f>[1]!s_west_stdnetprofit($A58,YEAR($B58),$B58,180,1000000)</f>
        <v>97.476179999999999</v>
      </c>
      <c r="G58">
        <f>[1]!s_west_mediannetprofit($A58,YEAR($B58),$B58,180,1000000)</f>
        <v>2049</v>
      </c>
      <c r="H58">
        <f>[1]!s_west_netprofit($A58,YEAR($B58)+1,$B58,180,1000000)</f>
        <v>2875.6859129999998</v>
      </c>
      <c r="I58">
        <f>[1]!s_west_eps($A58,YEAR($B58)+1,$B58,180)</f>
        <v>2.2812000000000001</v>
      </c>
      <c r="J58">
        <f>[1]!s_west_instnum_np($A58,YEAR($B58)+1,$B58,180)</f>
        <v>20</v>
      </c>
      <c r="K58">
        <f>[1]!s_west_stdnetprofit($A58,YEAR($B58)+1,$B58,180,1000000)</f>
        <v>196.66693900000001</v>
      </c>
      <c r="L58">
        <f>[1]!s_west_mediannetprofit($A58,YEAR($B58)+1,$B58,180,1000000)</f>
        <v>2828</v>
      </c>
      <c r="M58">
        <f>[1]!s_dq_close($A58,$B58,3)</f>
        <v>57.3</v>
      </c>
      <c r="N58">
        <f>[1]!s_dq_volume($A58,$B58)</f>
        <v>0</v>
      </c>
      <c r="O58">
        <f>[1]!s_dq_amount($A58,$B58)</f>
        <v>0</v>
      </c>
      <c r="P58">
        <f>[1]!s_dq_turn($A58,$B58)</f>
        <v>0</v>
      </c>
      <c r="Q58">
        <f>[1]!s_val_pe_ttm($A58,$B58)</f>
        <v>44.067806243896499</v>
      </c>
      <c r="R58">
        <f>[1]!S_VAL_MV($A58,$B58,100000000)</f>
        <v>722.32914895500005</v>
      </c>
      <c r="S58">
        <f>[1]!s_val_pb($A58,$B58)</f>
        <v>6.0829183845228298</v>
      </c>
      <c r="T58">
        <f>[1]!s_west_avgroe($A58,YEAR($B58),$B58,180)</f>
        <v>16.895</v>
      </c>
      <c r="U58">
        <f>[1]!s_val_dividendyield2($A58,$B58)</f>
        <v>0</v>
      </c>
      <c r="V58">
        <f>[1]!s_val_evtoebitda($A58,$B58)</f>
        <v>37.5986157240689</v>
      </c>
    </row>
    <row r="59" spans="1:22">
      <c r="A59" t="str">
        <f>_meta!A58</f>
        <v>2269.HK</v>
      </c>
      <c r="B59">
        <f t="shared" si="1"/>
        <v>46167</v>
      </c>
      <c r="C59">
        <f>[1]!s_west_netprofit($A59,YEAR($B59),$B59,180,1000000)</f>
        <v>5386.2004930000003</v>
      </c>
      <c r="D59">
        <f>[1]!s_west_eps($A59,YEAR($B59),$B59,180)</f>
        <v>1.2770999999999999</v>
      </c>
      <c r="E59">
        <f>[1]!s_west_instnum_np($A59,YEAR($B59),$B59,180)</f>
        <v>13</v>
      </c>
      <c r="F59">
        <f>[1]!s_west_stdnetprofit($A59,YEAR($B59),$B59,180,1000000)</f>
        <v>504.43474500000002</v>
      </c>
      <c r="G59">
        <f>[1]!s_west_mediannetprofit($A59,YEAR($B59),$B59,180,1000000)</f>
        <v>5601.5</v>
      </c>
      <c r="H59">
        <f>[1]!s_west_netprofit($A59,YEAR($B59)+1,$B59,180,1000000)</f>
        <v>6640.4069399999998</v>
      </c>
      <c r="I59">
        <f>[1]!s_west_eps($A59,YEAR($B59)+1,$B59,180)</f>
        <v>1.5752999999999999</v>
      </c>
      <c r="J59">
        <f>[1]!s_west_instnum_np($A59,YEAR($B59)+1,$B59,180)</f>
        <v>13</v>
      </c>
      <c r="K59">
        <f>[1]!s_west_stdnetprofit($A59,YEAR($B59)+1,$B59,180,1000000)</f>
        <v>583.91172700000004</v>
      </c>
      <c r="L59">
        <f>[1]!s_west_mediannetprofit($A59,YEAR($B59)+1,$B59,180,1000000)</f>
        <v>6803</v>
      </c>
      <c r="M59">
        <f>[1]!s_dq_close($A59,$B59,3)</f>
        <v>32.72</v>
      </c>
      <c r="N59">
        <f>[1]!s_dq_volume($A59,$B59)</f>
        <v>0</v>
      </c>
      <c r="O59">
        <f>[1]!s_dq_amount($A59,$B59)</f>
        <v>0</v>
      </c>
      <c r="P59">
        <f>[1]!s_dq_turn($A59,$B59)</f>
        <v>0</v>
      </c>
      <c r="Q59">
        <f>[1]!s_val_pe_ttm($A59,$B59)</f>
        <v>24.9320888519287</v>
      </c>
      <c r="R59">
        <f>[1]!S_VAL_MV($A59,$B59,100000000)</f>
        <v>1354.8774936991999</v>
      </c>
      <c r="S59">
        <f>[1]!s_val_pb($A59,$B59)</f>
        <v>2.5900248503449901</v>
      </c>
      <c r="T59">
        <f>[1]!s_west_avgroe($A59,YEAR($B59),$B59,180)</f>
        <v>10.35</v>
      </c>
      <c r="U59">
        <f>[1]!s_val_dividendyield2($A59,$B59)</f>
        <v>0</v>
      </c>
      <c r="V59">
        <f>[1]!s_val_evtoebitda($A59,$B59)</f>
        <v>13.5091854207973</v>
      </c>
    </row>
    <row r="60" spans="1:22">
      <c r="A60" t="str">
        <f>_meta!A59</f>
        <v>2357.HK</v>
      </c>
      <c r="B60">
        <f t="shared" si="1"/>
        <v>46167</v>
      </c>
      <c r="C60">
        <f>[1]!s_west_netprofit($A60,YEAR($B60),$B60,180,1000000)</f>
        <v>1937</v>
      </c>
      <c r="D60">
        <f>[1]!s_west_eps($A60,YEAR($B60),$B60,180)</f>
        <v>0.2429</v>
      </c>
      <c r="E60">
        <f>[1]!s_west_instnum_np($A60,YEAR($B60),$B60,180)</f>
        <v>1</v>
      </c>
      <c r="F60">
        <f>[1]!s_west_stdnetprofit($A60,YEAR($B60),$B60,180,1000000)</f>
        <v>0</v>
      </c>
      <c r="G60">
        <f>[1]!s_west_mediannetprofit($A60,YEAR($B60),$B60,180,1000000)</f>
        <v>1937</v>
      </c>
      <c r="H60">
        <f>[1]!s_west_netprofit($A60,YEAR($B60)+1,$B60,180,1000000)</f>
        <v>2132</v>
      </c>
      <c r="I60">
        <f>[1]!s_west_eps($A60,YEAR($B60)+1,$B60,180)</f>
        <v>0.26740000000000003</v>
      </c>
      <c r="J60">
        <f>[1]!s_west_instnum_np($A60,YEAR($B60)+1,$B60,180)</f>
        <v>1</v>
      </c>
      <c r="K60">
        <f>[1]!s_west_stdnetprofit($A60,YEAR($B60)+1,$B60,180,1000000)</f>
        <v>0</v>
      </c>
      <c r="L60">
        <f>[1]!s_west_mediannetprofit($A60,YEAR($B60)+1,$B60,180,1000000)</f>
        <v>2132</v>
      </c>
      <c r="M60">
        <f>[1]!s_dq_close($A60,$B60,3)</f>
        <v>3.19</v>
      </c>
      <c r="N60">
        <f>[1]!s_dq_volume($A60,$B60)</f>
        <v>0</v>
      </c>
      <c r="O60">
        <f>[1]!s_dq_amount($A60,$B60)</f>
        <v>0</v>
      </c>
      <c r="P60">
        <f>[1]!s_dq_turn($A60,$B60)</f>
        <v>0</v>
      </c>
      <c r="Q60">
        <f>[1]!s_val_pe_ttm($A60,$B60)</f>
        <v>13.0143394470215</v>
      </c>
      <c r="R60">
        <f>[1]!S_VAL_MV($A60,$B60,100000000)</f>
        <v>254.33405031979999</v>
      </c>
      <c r="S60">
        <f>[1]!s_val_pb($A60,$B60)</f>
        <v>0.65607737869902805</v>
      </c>
      <c r="T60">
        <f>[1]!s_west_avgroe($A60,YEAR($B60),$B60,180)</f>
        <v>5.5</v>
      </c>
      <c r="U60">
        <f>[1]!s_val_dividendyield2($A60,$B60)</f>
        <v>2.3888061906936202</v>
      </c>
      <c r="V60">
        <f>[1]!s_val_evtoebitda($A60,$B60)</f>
        <v>0</v>
      </c>
    </row>
    <row r="61" spans="1:22">
      <c r="A61" t="str">
        <f>_meta!A60</f>
        <v>2359.HK</v>
      </c>
      <c r="B61">
        <f t="shared" si="1"/>
        <v>46167</v>
      </c>
      <c r="C61">
        <f>[1]!s_west_netprofit($A61,YEAR($B61),$B61,180,1000000)</f>
        <v>17375.778143</v>
      </c>
      <c r="D61">
        <f>[1]!s_west_eps($A61,YEAR($B61),$B61,180)</f>
        <v>5.8232999999999997</v>
      </c>
      <c r="E61">
        <f>[1]!s_west_instnum_np($A61,YEAR($B61),$B61,180)</f>
        <v>1</v>
      </c>
      <c r="F61">
        <f>[1]!s_west_stdnetprofit($A61,YEAR($B61),$B61,180,1000000)</f>
        <v>1116.726705</v>
      </c>
      <c r="G61">
        <f>[1]!s_west_mediannetprofit($A61,YEAR($B61),$B61,180,1000000)</f>
        <v>16919</v>
      </c>
      <c r="H61">
        <f>[1]!s_west_netprofit($A61,YEAR($B61)+1,$B61,180,1000000)</f>
        <v>19974.673673000001</v>
      </c>
      <c r="I61">
        <f>[1]!s_west_eps($A61,YEAR($B61)+1,$B61,180)</f>
        <v>6.6943000000000001</v>
      </c>
      <c r="J61">
        <f>[1]!s_west_instnum_np($A61,YEAR($B61)+1,$B61,180)</f>
        <v>1</v>
      </c>
      <c r="K61">
        <f>[1]!s_west_stdnetprofit($A61,YEAR($B61)+1,$B61,180,1000000)</f>
        <v>839.29813300000001</v>
      </c>
      <c r="L61">
        <f>[1]!s_west_mediannetprofit($A61,YEAR($B61)+1,$B61,180,1000000)</f>
        <v>19882</v>
      </c>
      <c r="M61">
        <f>[1]!s_dq_close($A61,$B61,3)</f>
        <v>130</v>
      </c>
      <c r="N61">
        <f>[1]!s_dq_volume($A61,$B61)</f>
        <v>0</v>
      </c>
      <c r="O61">
        <f>[1]!s_dq_amount($A61,$B61)</f>
        <v>0</v>
      </c>
      <c r="P61">
        <f>[1]!s_dq_turn($A61,$B61)</f>
        <v>0</v>
      </c>
      <c r="Q61">
        <f>[1]!s_val_pe_ttm($A61,$B61)</f>
        <v>16.862779617309599</v>
      </c>
      <c r="R61">
        <f>[1]!S_VAL_MV($A61,$B61,100000000)</f>
        <v>3878.8843015000002</v>
      </c>
      <c r="S61">
        <f>[1]!s_val_pb($A61,$B61)</f>
        <v>4.3951640064547499</v>
      </c>
      <c r="T61">
        <f>[1]!s_west_avgroe($A61,YEAR($B61),$B61,180)</f>
        <v>18.809999999999999</v>
      </c>
      <c r="U61">
        <f>[1]!s_val_dividendyield2($A61,$B61)</f>
        <v>1.66394631994834</v>
      </c>
      <c r="V61">
        <f>[1]!s_val_evtoebitda($A61,$B61)</f>
        <v>10.874818918771901</v>
      </c>
    </row>
    <row r="62" spans="1:22">
      <c r="A62" t="str">
        <f>_meta!A61</f>
        <v>2367.HK</v>
      </c>
      <c r="B62">
        <f t="shared" si="1"/>
        <v>46167</v>
      </c>
      <c r="C62">
        <f>[1]!s_west_netprofit($A62,YEAR($B62),$B62,180,1000000)</f>
        <v>2005.980957</v>
      </c>
      <c r="D62">
        <f>[1]!s_west_eps($A62,YEAR($B62),$B62,180)</f>
        <v>1.8894</v>
      </c>
      <c r="E62">
        <f>[1]!s_west_instnum_np($A62,YEAR($B62),$B62,180)</f>
        <v>22</v>
      </c>
      <c r="F62">
        <f>[1]!s_west_stdnetprofit($A62,YEAR($B62),$B62,180,1000000)</f>
        <v>229.30353199999999</v>
      </c>
      <c r="G62">
        <f>[1]!s_west_mediannetprofit($A62,YEAR($B62),$B62,180,1000000)</f>
        <v>1950.27</v>
      </c>
      <c r="H62">
        <f>[1]!s_west_netprofit($A62,YEAR($B62)+1,$B62,180,1000000)</f>
        <v>2269.920181</v>
      </c>
      <c r="I62">
        <f>[1]!s_west_eps($A62,YEAR($B62)+1,$B62,180)</f>
        <v>2.1379999999999999</v>
      </c>
      <c r="J62">
        <f>[1]!s_west_instnum_np($A62,YEAR($B62)+1,$B62,180)</f>
        <v>22</v>
      </c>
      <c r="K62">
        <f>[1]!s_west_stdnetprofit($A62,YEAR($B62)+1,$B62,180,1000000)</f>
        <v>319.79538100000002</v>
      </c>
      <c r="L62">
        <f>[1]!s_west_mediannetprofit($A62,YEAR($B62)+1,$B62,180,1000000)</f>
        <v>2184</v>
      </c>
      <c r="M62">
        <f>[1]!s_dq_close($A62,$B62,3)</f>
        <v>27.44</v>
      </c>
      <c r="N62">
        <f>[1]!s_dq_volume($A62,$B62)</f>
        <v>0</v>
      </c>
      <c r="O62">
        <f>[1]!s_dq_amount($A62,$B62)</f>
        <v>0</v>
      </c>
      <c r="P62">
        <f>[1]!s_dq_turn($A62,$B62)</f>
        <v>0</v>
      </c>
      <c r="Q62">
        <f>[1]!s_val_pe_ttm($A62,$B62)</f>
        <v>13.741986274719199</v>
      </c>
      <c r="R62">
        <f>[1]!S_VAL_MV($A62,$B62,100000000)</f>
        <v>291.3315776</v>
      </c>
      <c r="S62">
        <f>[1]!s_val_pb($A62,$B62)</f>
        <v>2.6548678235805299</v>
      </c>
      <c r="T62">
        <f>[1]!s_west_avgroe($A62,YEAR($B62),$B62,180)</f>
        <v>18.293500000000002</v>
      </c>
      <c r="U62">
        <f>[1]!s_val_dividendyield2($A62,$B62)</f>
        <v>4.8003499830702898</v>
      </c>
      <c r="V62">
        <f>[1]!s_val_evtoebitda($A62,$B62)</f>
        <v>8.8354767649447297</v>
      </c>
    </row>
    <row r="63" spans="1:22">
      <c r="A63" t="str">
        <f>_meta!A62</f>
        <v>2382.HK</v>
      </c>
      <c r="B63">
        <f t="shared" si="1"/>
        <v>46167</v>
      </c>
      <c r="C63">
        <f>[1]!s_west_netprofit($A63,YEAR($B63),$B63,180,1000000)</f>
        <v>4129.23164</v>
      </c>
      <c r="D63">
        <f>[1]!s_west_eps($A63,YEAR($B63),$B63,180)</f>
        <v>3.7717000000000001</v>
      </c>
      <c r="E63">
        <f>[1]!s_west_instnum_np($A63,YEAR($B63),$B63,180)</f>
        <v>14</v>
      </c>
      <c r="F63">
        <f>[1]!s_west_stdnetprofit($A63,YEAR($B63),$B63,180,1000000)</f>
        <v>436.93820699999998</v>
      </c>
      <c r="G63">
        <f>[1]!s_west_mediannetprofit($A63,YEAR($B63),$B63,180,1000000)</f>
        <v>3989</v>
      </c>
      <c r="H63">
        <f>[1]!s_west_netprofit($A63,YEAR($B63)+1,$B63,180,1000000)</f>
        <v>4887.2367940000004</v>
      </c>
      <c r="I63">
        <f>[1]!s_west_eps($A63,YEAR($B63)+1,$B63,180)</f>
        <v>4.4640000000000004</v>
      </c>
      <c r="J63">
        <f>[1]!s_west_instnum_np($A63,YEAR($B63)+1,$B63,180)</f>
        <v>14</v>
      </c>
      <c r="K63">
        <f>[1]!s_west_stdnetprofit($A63,YEAR($B63)+1,$B63,180,1000000)</f>
        <v>470.21311600000001</v>
      </c>
      <c r="L63">
        <f>[1]!s_west_mediannetprofit($A63,YEAR($B63)+1,$B63,180,1000000)</f>
        <v>4738.93</v>
      </c>
      <c r="M63">
        <f>[1]!s_dq_close($A63,$B63,3)</f>
        <v>73.25</v>
      </c>
      <c r="N63">
        <f>[1]!s_dq_volume($A63,$B63)</f>
        <v>0</v>
      </c>
      <c r="O63">
        <f>[1]!s_dq_amount($A63,$B63)</f>
        <v>0</v>
      </c>
      <c r="P63">
        <f>[1]!s_dq_turn($A63,$B63)</f>
        <v>0</v>
      </c>
      <c r="Q63">
        <f>[1]!s_val_pe_ttm($A63,$B63)</f>
        <v>15.6136150360107</v>
      </c>
      <c r="R63">
        <f>[1]!S_VAL_MV($A63,$B63,100000000)</f>
        <v>801.94451600000002</v>
      </c>
      <c r="S63">
        <f>[1]!s_val_pb($A63,$B63)</f>
        <v>2.48496539778023</v>
      </c>
      <c r="T63">
        <f>[1]!s_west_avgroe($A63,YEAR($B63),$B63,180)</f>
        <v>13.449199999999999</v>
      </c>
      <c r="U63">
        <f>[1]!s_val_dividendyield2($A63,$B63)</f>
        <v>0.72627986348122897</v>
      </c>
      <c r="V63">
        <f>[1]!s_val_evtoebitda($A63,$B63)</f>
        <v>8.9267177919831102</v>
      </c>
    </row>
    <row r="64" spans="1:22">
      <c r="A64" t="str">
        <f>_meta!A63</f>
        <v>2400.HK</v>
      </c>
      <c r="B64">
        <f t="shared" si="1"/>
        <v>46167</v>
      </c>
      <c r="C64">
        <f>[1]!s_west_netprofit($A64,YEAR($B64),$B64,180,1000000)</f>
        <v>2015.833333</v>
      </c>
      <c r="D64">
        <f>[1]!s_west_eps($A64,YEAR($B64),$B64,180)</f>
        <v>4.1197999999999997</v>
      </c>
      <c r="E64">
        <f>[1]!s_west_instnum_np($A64,YEAR($B64),$B64,180)</f>
        <v>12</v>
      </c>
      <c r="F64">
        <f>[1]!s_west_stdnetprofit($A64,YEAR($B64),$B64,180,1000000)</f>
        <v>149.770026</v>
      </c>
      <c r="G64">
        <f>[1]!s_west_mediannetprofit($A64,YEAR($B64),$B64,180,1000000)</f>
        <v>2048</v>
      </c>
      <c r="H64">
        <f>[1]!s_west_netprofit($A64,YEAR($B64)+1,$B64,180,1000000)</f>
        <v>2393.6428569999998</v>
      </c>
      <c r="I64">
        <f>[1]!s_west_eps($A64,YEAR($B64)+1,$B64,180)</f>
        <v>4.8920000000000003</v>
      </c>
      <c r="J64">
        <f>[1]!s_west_instnum_np($A64,YEAR($B64)+1,$B64,180)</f>
        <v>14</v>
      </c>
      <c r="K64">
        <f>[1]!s_west_stdnetprofit($A64,YEAR($B64)+1,$B64,180,1000000)</f>
        <v>192.088764</v>
      </c>
      <c r="L64">
        <f>[1]!s_west_mediannetprofit($A64,YEAR($B64)+1,$B64,180,1000000)</f>
        <v>2385.5</v>
      </c>
      <c r="M64">
        <f>[1]!s_dq_close($A64,$B64,3)</f>
        <v>52.1</v>
      </c>
      <c r="N64">
        <f>[1]!s_dq_volume($A64,$B64)</f>
        <v>0</v>
      </c>
      <c r="O64">
        <f>[1]!s_dq_amount($A64,$B64)</f>
        <v>0</v>
      </c>
      <c r="P64">
        <f>[1]!s_dq_turn($A64,$B64)</f>
        <v>0</v>
      </c>
      <c r="Q64">
        <f>[1]!s_val_pe_ttm($A64,$B64)</f>
        <v>14.9975337982178</v>
      </c>
      <c r="R64">
        <f>[1]!S_VAL_MV($A64,$B64,100000000)</f>
        <v>254.92486444400001</v>
      </c>
      <c r="S64">
        <f>[1]!s_val_pb($A64,$B64)</f>
        <v>6.0414559025338503</v>
      </c>
      <c r="T64">
        <f>[1]!s_west_avgroe($A64,YEAR($B64),$B64,180)</f>
        <v>38.835999999999999</v>
      </c>
      <c r="U64">
        <f>[1]!s_val_dividendyield2($A64,$B64)</f>
        <v>0.77148259048384404</v>
      </c>
      <c r="V64">
        <f>[1]!s_val_evtoebitda($A64,$B64)</f>
        <v>11.0170005067007</v>
      </c>
    </row>
    <row r="65" spans="1:22">
      <c r="A65" t="str">
        <f>_meta!A64</f>
        <v>2432.HK</v>
      </c>
      <c r="B65">
        <f t="shared" si="1"/>
        <v>46167</v>
      </c>
      <c r="C65">
        <f>[1]!s_west_netprofit($A65,YEAR($B65),$B65,180,1000000)</f>
        <v>-71.83</v>
      </c>
      <c r="D65">
        <f>[1]!s_west_eps($A65,YEAR($B65),$B65,180)</f>
        <v>-0.1633</v>
      </c>
      <c r="E65">
        <f>[1]!s_west_instnum_np($A65,YEAR($B65),$B65,180)</f>
        <v>4</v>
      </c>
      <c r="F65">
        <f>[1]!s_west_stdnetprofit($A65,YEAR($B65),$B65,180,1000000)</f>
        <v>40.496695000000003</v>
      </c>
      <c r="G65">
        <f>[1]!s_west_mediannetprofit($A65,YEAR($B65),$B65,180,1000000)</f>
        <v>-90.5</v>
      </c>
      <c r="H65">
        <f>[1]!s_west_netprofit($A65,YEAR($B65)+1,$B65,180,1000000)</f>
        <v>-20.57</v>
      </c>
      <c r="I65">
        <f>[1]!s_west_eps($A65,YEAR($B65)+1,$B65,180)</f>
        <v>-4.6800000000000001E-2</v>
      </c>
      <c r="J65">
        <f>[1]!s_west_instnum_np($A65,YEAR($B65)+1,$B65,180)</f>
        <v>5</v>
      </c>
      <c r="K65">
        <f>[1]!s_west_stdnetprofit($A65,YEAR($B65)+1,$B65,180,1000000)</f>
        <v>69.780366000000001</v>
      </c>
      <c r="L65">
        <f>[1]!s_west_mediannetprofit($A65,YEAR($B65)+1,$B65,180,1000000)</f>
        <v>-64</v>
      </c>
      <c r="M65">
        <f>[1]!s_dq_close($A65,$B65,3)</f>
        <v>34.54</v>
      </c>
      <c r="N65">
        <f>[1]!s_dq_volume($A65,$B65)</f>
        <v>0</v>
      </c>
      <c r="O65">
        <f>[1]!s_dq_amount($A65,$B65)</f>
        <v>0</v>
      </c>
      <c r="P65">
        <f>[1]!s_dq_turn($A65,$B65)</f>
        <v>0</v>
      </c>
      <c r="Q65">
        <f>[1]!s_val_pe_ttm($A65,$B65)</f>
        <v>-164.30699157714801</v>
      </c>
      <c r="R65">
        <f>[1]!S_VAL_MV($A65,$B65,100000000)</f>
        <v>151.96059516</v>
      </c>
      <c r="S65">
        <f>[1]!s_val_pb($A65,$B65)</f>
        <v>5.2324794532456398</v>
      </c>
      <c r="T65">
        <f>[1]!s_west_avgroe($A65,YEAR($B65),$B65,180)</f>
        <v>-2.7867000000000002</v>
      </c>
      <c r="U65">
        <f>[1]!s_val_dividendyield2($A65,$B65)</f>
        <v>0</v>
      </c>
      <c r="V65">
        <f>[1]!s_val_evtoebitda($A65,$B65)</f>
        <v>-282.20785916303402</v>
      </c>
    </row>
    <row r="66" spans="1:22">
      <c r="A66" t="str">
        <f>_meta!A65</f>
        <v>2498.HK</v>
      </c>
      <c r="B66">
        <f t="shared" si="1"/>
        <v>46167</v>
      </c>
      <c r="C66">
        <f>[1]!s_west_netprofit($A66,YEAR($B66),$B66,180,1000000)</f>
        <v>104.01345000000001</v>
      </c>
      <c r="D66">
        <f>[1]!s_west_eps($A66,YEAR($B66),$B66,180)</f>
        <v>0.2147</v>
      </c>
      <c r="E66">
        <f>[1]!s_west_instnum_np($A66,YEAR($B66),$B66,180)</f>
        <v>20</v>
      </c>
      <c r="F66">
        <f>[1]!s_west_stdnetprofit($A66,YEAR($B66),$B66,180,1000000)</f>
        <v>67.713611999999998</v>
      </c>
      <c r="G66">
        <f>[1]!s_west_mediannetprofit($A66,YEAR($B66),$B66,180,1000000)</f>
        <v>114.5</v>
      </c>
      <c r="H66">
        <f>[1]!s_west_netprofit($A66,YEAR($B66)+1,$B66,180,1000000)</f>
        <v>371.89466700000003</v>
      </c>
      <c r="I66">
        <f>[1]!s_west_eps($A66,YEAR($B66)+1,$B66,180)</f>
        <v>0.76759999999999995</v>
      </c>
      <c r="J66">
        <f>[1]!s_west_instnum_np($A66,YEAR($B66)+1,$B66,180)</f>
        <v>21</v>
      </c>
      <c r="K66">
        <f>[1]!s_west_stdnetprofit($A66,YEAR($B66)+1,$B66,180,1000000)</f>
        <v>91.193093000000005</v>
      </c>
      <c r="L66">
        <f>[1]!s_west_mediannetprofit($A66,YEAR($B66)+1,$B66,180,1000000)</f>
        <v>382</v>
      </c>
      <c r="M66">
        <f>[1]!s_dq_close($A66,$B66,3)</f>
        <v>32.04</v>
      </c>
      <c r="N66">
        <f>[1]!s_dq_volume($A66,$B66)</f>
        <v>0</v>
      </c>
      <c r="O66">
        <f>[1]!s_dq_amount($A66,$B66)</f>
        <v>0</v>
      </c>
      <c r="P66">
        <f>[1]!s_dq_turn($A66,$B66)</f>
        <v>0</v>
      </c>
      <c r="Q66">
        <f>[1]!s_val_pe_ttm($A66,$B66)</f>
        <v>-96.079528808593807</v>
      </c>
      <c r="R66">
        <f>[1]!S_VAL_MV($A66,$B66,100000000)</f>
        <v>155.22372438120001</v>
      </c>
      <c r="S66">
        <f>[1]!s_val_pb($A66,$B66)</f>
        <v>3.7005838885417601</v>
      </c>
      <c r="T66">
        <f>[1]!s_west_avgroe($A66,YEAR($B66),$B66,180)</f>
        <v>2.9927999999999999</v>
      </c>
      <c r="U66">
        <f>[1]!s_val_dividendyield2($A66,$B66)</f>
        <v>0</v>
      </c>
      <c r="V66">
        <f>[1]!s_val_evtoebitda($A66,$B66)</f>
        <v>-86.633617223532497</v>
      </c>
    </row>
    <row r="67" spans="1:22">
      <c r="A67" t="str">
        <f>_meta!A66</f>
        <v>2533.HK</v>
      </c>
      <c r="B67">
        <f t="shared" ref="B67:B102" si="2">$B$1</f>
        <v>46167</v>
      </c>
      <c r="C67">
        <f>[1]!s_west_netprofit($A67,YEAR($B67),$B67,180,1000000)</f>
        <v>-924.63416700000005</v>
      </c>
      <c r="D67">
        <f>[1]!s_west_eps($A67,YEAR($B67),$B67,180)</f>
        <v>-1.2945</v>
      </c>
      <c r="E67">
        <f>[1]!s_west_instnum_np($A67,YEAR($B67),$B67,180)</f>
        <v>12</v>
      </c>
      <c r="F67">
        <f>[1]!s_west_stdnetprofit($A67,YEAR($B67),$B67,180,1000000)</f>
        <v>324.23772700000001</v>
      </c>
      <c r="G67">
        <f>[1]!s_west_mediannetprofit($A67,YEAR($B67),$B67,180,1000000)</f>
        <v>-814.70500000000004</v>
      </c>
      <c r="H67">
        <f>[1]!s_west_netprofit($A67,YEAR($B67)+1,$B67,180,1000000)</f>
        <v>-402.96090900000002</v>
      </c>
      <c r="I67">
        <f>[1]!s_west_eps($A67,YEAR($B67)+1,$B67,180)</f>
        <v>-0.56410000000000005</v>
      </c>
      <c r="J67">
        <f>[1]!s_west_instnum_np($A67,YEAR($B67)+1,$B67,180)</f>
        <v>11</v>
      </c>
      <c r="K67">
        <f>[1]!s_west_stdnetprofit($A67,YEAR($B67)+1,$B67,180,1000000)</f>
        <v>335.83385299999998</v>
      </c>
      <c r="L67">
        <f>[1]!s_west_mediannetprofit($A67,YEAR($B67)+1,$B67,180,1000000)</f>
        <v>-220.53</v>
      </c>
      <c r="M67">
        <f>[1]!s_dq_close($A67,$B67,3)</f>
        <v>16.04</v>
      </c>
      <c r="N67">
        <f>[1]!s_dq_volume($A67,$B67)</f>
        <v>0</v>
      </c>
      <c r="O67">
        <f>[1]!s_dq_amount($A67,$B67)</f>
        <v>0</v>
      </c>
      <c r="P67">
        <f>[1]!s_dq_turn($A67,$B67)</f>
        <v>0</v>
      </c>
      <c r="Q67">
        <f>[1]!s_val_pe_ttm($A67,$B67)</f>
        <v>-7.2635879516601598</v>
      </c>
      <c r="R67">
        <f>[1]!S_VAL_MV($A67,$B67,100000000)</f>
        <v>114.57268269319999</v>
      </c>
      <c r="S67">
        <f>[1]!s_val_pb($A67,$B67)</f>
        <v>-1.0914208976840201</v>
      </c>
      <c r="T67">
        <f>[1]!s_west_avgroe($A67,YEAR($B67),$B67,180)</f>
        <v>-93.661299999999997</v>
      </c>
      <c r="U67">
        <f>[1]!s_val_dividendyield2($A67,$B67)</f>
        <v>0</v>
      </c>
      <c r="V67">
        <f>[1]!s_val_evtoebitda($A67,$B67)</f>
        <v>-7.1869578298736503</v>
      </c>
    </row>
    <row r="68" spans="1:22">
      <c r="A68" t="str">
        <f>_meta!A67</f>
        <v>2556.HK</v>
      </c>
      <c r="B68">
        <f t="shared" si="2"/>
        <v>46167</v>
      </c>
      <c r="C68">
        <f>[1]!s_west_netprofit($A68,YEAR($B68),$B68,180,1000000)</f>
        <v>228.238</v>
      </c>
      <c r="D68">
        <f>[1]!s_west_eps($A68,YEAR($B68),$B68,180)</f>
        <v>0.84970000000000001</v>
      </c>
      <c r="E68">
        <f>[1]!s_west_instnum_np($A68,YEAR($B68),$B68,180)</f>
        <v>5</v>
      </c>
      <c r="F68">
        <f>[1]!s_west_stdnetprofit($A68,YEAR($B68),$B68,180,1000000)</f>
        <v>10.401357000000001</v>
      </c>
      <c r="G68">
        <f>[1]!s_west_mediannetprofit($A68,YEAR($B68),$B68,180,1000000)</f>
        <v>225</v>
      </c>
      <c r="H68">
        <f>[1]!s_west_netprofit($A68,YEAR($B68)+1,$B68,180,1000000)</f>
        <v>323.07600000000002</v>
      </c>
      <c r="I68">
        <f>[1]!s_west_eps($A68,YEAR($B68)+1,$B68,180)</f>
        <v>1.2028000000000001</v>
      </c>
      <c r="J68">
        <f>[1]!s_west_instnum_np($A68,YEAR($B68)+1,$B68,180)</f>
        <v>5</v>
      </c>
      <c r="K68">
        <f>[1]!s_west_stdnetprofit($A68,YEAR($B68)+1,$B68,180,1000000)</f>
        <v>42.549722000000003</v>
      </c>
      <c r="L68">
        <f>[1]!s_west_mediannetprofit($A68,YEAR($B68)+1,$B68,180,1000000)</f>
        <v>310</v>
      </c>
      <c r="M68">
        <f>[1]!s_dq_close($A68,$B68,3)</f>
        <v>39.6</v>
      </c>
      <c r="N68">
        <f>[1]!s_dq_volume($A68,$B68)</f>
        <v>0</v>
      </c>
      <c r="O68">
        <f>[1]!s_dq_amount($A68,$B68)</f>
        <v>0</v>
      </c>
      <c r="P68">
        <f>[1]!s_dq_turn($A68,$B68)</f>
        <v>0</v>
      </c>
      <c r="Q68">
        <f>[1]!s_val_pe_ttm($A68,$B68)</f>
        <v>108.01605224609401</v>
      </c>
      <c r="R68">
        <f>[1]!S_VAL_MV($A68,$B68,100000000)</f>
        <v>106.3669068</v>
      </c>
      <c r="S68">
        <f>[1]!s_val_pb($A68,$B68)</f>
        <v>5.15380331342016</v>
      </c>
      <c r="T68">
        <f>[1]!s_west_avgroe($A68,YEAR($B68),$B68,180)</f>
        <v>11.071999999999999</v>
      </c>
      <c r="U68">
        <f>[1]!s_val_dividendyield2($A68,$B68)</f>
        <v>0</v>
      </c>
      <c r="V68">
        <f>[1]!s_val_evtoebitda($A68,$B68)</f>
        <v>70.690335323297305</v>
      </c>
    </row>
    <row r="69" spans="1:22">
      <c r="A69" t="str">
        <f>_meta!A68</f>
        <v>2577.HK</v>
      </c>
      <c r="B69">
        <f t="shared" si="2"/>
        <v>46167</v>
      </c>
      <c r="C69">
        <f>[1]!s_west_netprofit($A69,YEAR($B69),$B69,180,1000000)</f>
        <v>-438.59857099999999</v>
      </c>
      <c r="D69">
        <f>[1]!s_west_eps($A69,YEAR($B69),$B69,180)</f>
        <v>-0.4793</v>
      </c>
      <c r="E69">
        <f>[1]!s_west_instnum_np($A69,YEAR($B69),$B69,180)</f>
        <v>7</v>
      </c>
      <c r="F69">
        <f>[1]!s_west_stdnetprofit($A69,YEAR($B69),$B69,180,1000000)</f>
        <v>129.24515</v>
      </c>
      <c r="G69">
        <f>[1]!s_west_mediannetprofit($A69,YEAR($B69),$B69,180,1000000)</f>
        <v>-365</v>
      </c>
      <c r="H69">
        <f>[1]!s_west_netprofit($A69,YEAR($B69)+1,$B69,180,1000000)</f>
        <v>310.24571400000002</v>
      </c>
      <c r="I69">
        <f>[1]!s_west_eps($A69,YEAR($B69)+1,$B69,180)</f>
        <v>0.33900000000000002</v>
      </c>
      <c r="J69">
        <f>[1]!s_west_instnum_np($A69,YEAR($B69)+1,$B69,180)</f>
        <v>7</v>
      </c>
      <c r="K69">
        <f>[1]!s_west_stdnetprofit($A69,YEAR($B69)+1,$B69,180,1000000)</f>
        <v>274.983904</v>
      </c>
      <c r="L69">
        <f>[1]!s_west_mediannetprofit($A69,YEAR($B69)+1,$B69,180,1000000)</f>
        <v>319</v>
      </c>
      <c r="M69">
        <f>[1]!s_dq_close($A69,$B69,3)</f>
        <v>67.45</v>
      </c>
      <c r="N69">
        <f>[1]!s_dq_volume($A69,$B69)</f>
        <v>0</v>
      </c>
      <c r="O69">
        <f>[1]!s_dq_amount($A69,$B69)</f>
        <v>0</v>
      </c>
      <c r="P69">
        <f>[1]!s_dq_turn($A69,$B69)</f>
        <v>0</v>
      </c>
      <c r="Q69">
        <f>[1]!s_val_pe_ttm($A69,$B69)</f>
        <v>-66.328460693359403</v>
      </c>
      <c r="R69">
        <f>[1]!S_VAL_MV($A69,$B69,100000000)</f>
        <v>617.23539044849997</v>
      </c>
      <c r="S69">
        <f>[1]!s_val_pb($A69,$B69)</f>
        <v>13.2404061415819</v>
      </c>
      <c r="T69">
        <f>[1]!s_west_avgroe($A69,YEAR($B69),$B69,180)</f>
        <v>-14.853300000000001</v>
      </c>
      <c r="U69">
        <f>[1]!s_val_dividendyield2($A69,$B69)</f>
        <v>0</v>
      </c>
      <c r="V69">
        <f>[1]!s_val_evtoebitda($A69,$B69)</f>
        <v>-209.063538206137</v>
      </c>
    </row>
    <row r="70" spans="1:22">
      <c r="A70" t="str">
        <f>_meta!A69</f>
        <v>2587.HK</v>
      </c>
      <c r="B70">
        <f t="shared" si="2"/>
        <v>46167</v>
      </c>
      <c r="C70">
        <f>[1]!s_west_netprofit($A70,YEAR($B70),$B70,180,1000000)</f>
        <v>125</v>
      </c>
      <c r="D70">
        <f>[1]!s_west_eps($A70,YEAR($B70),$B70,180)</f>
        <v>0.1424</v>
      </c>
      <c r="E70">
        <f>[1]!s_west_instnum_np($A70,YEAR($B70),$B70,180)</f>
        <v>1</v>
      </c>
      <c r="F70">
        <f>[1]!s_west_stdnetprofit($A70,YEAR($B70),$B70,180,1000000)</f>
        <v>0</v>
      </c>
      <c r="G70">
        <f>[1]!s_west_mediannetprofit($A70,YEAR($B70),$B70,180,1000000)</f>
        <v>125</v>
      </c>
      <c r="H70">
        <f>[1]!s_west_netprofit($A70,YEAR($B70)+1,$B70,180,1000000)</f>
        <v>223</v>
      </c>
      <c r="I70">
        <f>[1]!s_west_eps($A70,YEAR($B70)+1,$B70,180)</f>
        <v>0.25409999999999999</v>
      </c>
      <c r="J70">
        <f>[1]!s_west_instnum_np($A70,YEAR($B70)+1,$B70,180)</f>
        <v>1</v>
      </c>
      <c r="K70">
        <f>[1]!s_west_stdnetprofit($A70,YEAR($B70)+1,$B70,180,1000000)</f>
        <v>0</v>
      </c>
      <c r="L70">
        <f>[1]!s_west_mediannetprofit($A70,YEAR($B70)+1,$B70,180,1000000)</f>
        <v>223</v>
      </c>
      <c r="M70">
        <f>[1]!s_dq_close($A70,$B70,3)</f>
        <v>3.81</v>
      </c>
      <c r="N70">
        <f>[1]!s_dq_volume($A70,$B70)</f>
        <v>0</v>
      </c>
      <c r="O70">
        <f>[1]!s_dq_amount($A70,$B70)</f>
        <v>0</v>
      </c>
      <c r="P70">
        <f>[1]!s_dq_turn($A70,$B70)</f>
        <v>0</v>
      </c>
      <c r="Q70">
        <f>[1]!s_val_pe_ttm($A70,$B70)</f>
        <v>54.244056701660199</v>
      </c>
      <c r="R70">
        <f>[1]!S_VAL_MV($A70,$B70,100000000)</f>
        <v>33.440552879999998</v>
      </c>
      <c r="S70">
        <f>[1]!s_val_pb($A70,$B70)</f>
        <v>10.916409277041</v>
      </c>
      <c r="T70">
        <f>[1]!s_west_avgroe($A70,YEAR($B70),$B70,180)</f>
        <v>31</v>
      </c>
      <c r="U70">
        <f>[1]!s_val_dividendyield2($A70,$B70)</f>
        <v>0</v>
      </c>
      <c r="V70">
        <f>[1]!s_val_evtoebitda($A70,$B70)</f>
        <v>23.575323654048798</v>
      </c>
    </row>
    <row r="71" spans="1:22">
      <c r="A71" t="str">
        <f>_meta!A70</f>
        <v>2858.HK</v>
      </c>
      <c r="B71">
        <f t="shared" si="2"/>
        <v>46167</v>
      </c>
      <c r="C71">
        <f>[1]!s_west_netprofit($A71,YEAR($B71),$B71,180,1000000)</f>
        <v>1486.0337500000001</v>
      </c>
      <c r="D71">
        <f>[1]!s_west_eps($A71,YEAR($B71),$B71,180)</f>
        <v>0.21890000000000001</v>
      </c>
      <c r="E71">
        <f>[1]!s_west_instnum_np($A71,YEAR($B71),$B71,180)</f>
        <v>8</v>
      </c>
      <c r="F71">
        <f>[1]!s_west_stdnetprofit($A71,YEAR($B71),$B71,180,1000000)</f>
        <v>34.837691999999997</v>
      </c>
      <c r="G71">
        <f>[1]!s_west_mediannetprofit($A71,YEAR($B71),$B71,180,1000000)</f>
        <v>1479.595</v>
      </c>
      <c r="H71">
        <f>[1]!s_west_netprofit($A71,YEAR($B71)+1,$B71,180,1000000)</f>
        <v>1806.1824999999999</v>
      </c>
      <c r="I71">
        <f>[1]!s_west_eps($A71,YEAR($B71)+1,$B71,180)</f>
        <v>0.2661</v>
      </c>
      <c r="J71">
        <f>[1]!s_west_instnum_np($A71,YEAR($B71)+1,$B71,180)</f>
        <v>8</v>
      </c>
      <c r="K71">
        <f>[1]!s_west_stdnetprofit($A71,YEAR($B71)+1,$B71,180,1000000)</f>
        <v>71.461110000000005</v>
      </c>
      <c r="L71">
        <f>[1]!s_west_mediannetprofit($A71,YEAR($B71)+1,$B71,180,1000000)</f>
        <v>1765.575</v>
      </c>
      <c r="M71">
        <f>[1]!s_dq_close($A71,$B71,3)</f>
        <v>1.46</v>
      </c>
      <c r="N71">
        <f>[1]!s_dq_volume($A71,$B71)</f>
        <v>0</v>
      </c>
      <c r="O71">
        <f>[1]!s_dq_amount($A71,$B71)</f>
        <v>0</v>
      </c>
      <c r="P71">
        <f>[1]!s_dq_turn($A71,$B71)</f>
        <v>0</v>
      </c>
      <c r="Q71">
        <f>[1]!s_val_pe_ttm($A71,$B71)</f>
        <v>7.4653129577636701</v>
      </c>
      <c r="R71">
        <f>[1]!S_VAL_MV($A71,$B71,100000000)</f>
        <v>99.092809034599995</v>
      </c>
      <c r="S71">
        <f>[1]!s_val_pb($A71,$B71)</f>
        <v>0.52791685755897599</v>
      </c>
      <c r="T71">
        <f>[1]!s_west_avgroe($A71,YEAR($B71),$B71,180)</f>
        <v>8.4339999999999993</v>
      </c>
      <c r="U71">
        <f>[1]!s_val_dividendyield2($A71,$B71)</f>
        <v>9.5890410958904102</v>
      </c>
      <c r="V71">
        <f>[1]!s_val_evtoebitda($A71,$B71)</f>
        <v>18.529842863082902</v>
      </c>
    </row>
    <row r="72" spans="1:22">
      <c r="A72" t="str">
        <f>_meta!A71</f>
        <v>3320.HK</v>
      </c>
      <c r="B72">
        <f t="shared" si="2"/>
        <v>46167</v>
      </c>
      <c r="C72">
        <f>[1]!s_west_netprofit($A72,YEAR($B72),$B72,180,1000000)</f>
        <v>4192.0470020000002</v>
      </c>
      <c r="D72">
        <f>[1]!s_west_eps($A72,YEAR($B72),$B72,180)</f>
        <v>0.6673</v>
      </c>
      <c r="E72">
        <f>[1]!s_west_instnum_np($A72,YEAR($B72),$B72,180)</f>
        <v>5</v>
      </c>
      <c r="F72">
        <f>[1]!s_west_stdnetprofit($A72,YEAR($B72),$B72,180,1000000)</f>
        <v>236.963987</v>
      </c>
      <c r="G72">
        <f>[1]!s_west_mediannetprofit($A72,YEAR($B72),$B72,180,1000000)</f>
        <v>4220.6410050000004</v>
      </c>
      <c r="H72">
        <f>[1]!s_west_netprofit($A72,YEAR($B72)+1,$B72,180,1000000)</f>
        <v>4503.2637379999996</v>
      </c>
      <c r="I72">
        <f>[1]!s_west_eps($A72,YEAR($B72)+1,$B72,180)</f>
        <v>0.71679999999999999</v>
      </c>
      <c r="J72">
        <f>[1]!s_west_instnum_np($A72,YEAR($B72)+1,$B72,180)</f>
        <v>5</v>
      </c>
      <c r="K72">
        <f>[1]!s_west_stdnetprofit($A72,YEAR($B72)+1,$B72,180,1000000)</f>
        <v>288.06347699999998</v>
      </c>
      <c r="L72">
        <f>[1]!s_west_mediannetprofit($A72,YEAR($B72)+1,$B72,180,1000000)</f>
        <v>4522.7912139999999</v>
      </c>
      <c r="M72">
        <f>[1]!s_dq_close($A72,$B72,3)</f>
        <v>4.7300000000000004</v>
      </c>
      <c r="N72">
        <f>[1]!s_dq_volume($A72,$B72)</f>
        <v>0</v>
      </c>
      <c r="O72">
        <f>[1]!s_dq_amount($A72,$B72)</f>
        <v>0</v>
      </c>
      <c r="P72">
        <f>[1]!s_dq_turn($A72,$B72)</f>
        <v>0</v>
      </c>
      <c r="Q72">
        <f>[1]!s_val_pe_ttm($A72,$B72)</f>
        <v>6.6401772499084499</v>
      </c>
      <c r="R72">
        <f>[1]!S_VAL_MV($A72,$B72,100000000)</f>
        <v>297.16274480530001</v>
      </c>
      <c r="S72">
        <f>[1]!s_val_pb($A72,$B72)</f>
        <v>0.52209938996059102</v>
      </c>
      <c r="T72">
        <f>[1]!s_west_avgroe($A72,YEAR($B72),$B72,180)</f>
        <v>7.77</v>
      </c>
      <c r="U72">
        <f>[1]!s_val_dividendyield2($A72,$B72)</f>
        <v>2.85200845665962</v>
      </c>
      <c r="V72">
        <f>[1]!s_val_evtoebitda($A72,$B72)</f>
        <v>4.7173730564522298</v>
      </c>
    </row>
    <row r="73" spans="1:22">
      <c r="A73" t="str">
        <f>_meta!A72</f>
        <v>3677.HK</v>
      </c>
      <c r="B73">
        <f t="shared" si="2"/>
        <v>46167</v>
      </c>
      <c r="C73">
        <f>[1]!s_west_netprofit($A73,YEAR($B73),$B73,180,1000000)</f>
        <v>1247.406667</v>
      </c>
      <c r="D73">
        <f>[1]!s_west_eps($A73,YEAR($B73),$B73,180)</f>
        <v>0.48830000000000001</v>
      </c>
      <c r="E73">
        <f>[1]!s_west_instnum_np($A73,YEAR($B73),$B73,180)</f>
        <v>6</v>
      </c>
      <c r="F73">
        <f>[1]!s_west_stdnetprofit($A73,YEAR($B73),$B73,180,1000000)</f>
        <v>113.405821</v>
      </c>
      <c r="G73">
        <f>[1]!s_west_mediannetprofit($A73,YEAR($B73),$B73,180,1000000)</f>
        <v>1281.5</v>
      </c>
      <c r="H73">
        <f>[1]!s_west_netprofit($A73,YEAR($B73)+1,$B73,180,1000000)</f>
        <v>1781.5616669999999</v>
      </c>
      <c r="I73">
        <f>[1]!s_west_eps($A73,YEAR($B73)+1,$B73,180)</f>
        <v>0.69740000000000002</v>
      </c>
      <c r="J73">
        <f>[1]!s_west_instnum_np($A73,YEAR($B73)+1,$B73,180)</f>
        <v>6</v>
      </c>
      <c r="K73">
        <f>[1]!s_west_stdnetprofit($A73,YEAR($B73)+1,$B73,180,1000000)</f>
        <v>179.447766</v>
      </c>
      <c r="L73">
        <f>[1]!s_west_mediannetprofit($A73,YEAR($B73)+1,$B73,180,1000000)</f>
        <v>1871</v>
      </c>
      <c r="M73">
        <f>[1]!s_dq_close($A73,$B73,3)</f>
        <v>7.61</v>
      </c>
      <c r="N73">
        <f>[1]!s_dq_volume($A73,$B73)</f>
        <v>0</v>
      </c>
      <c r="O73">
        <f>[1]!s_dq_amount($A73,$B73)</f>
        <v>0</v>
      </c>
      <c r="P73">
        <f>[1]!s_dq_turn($A73,$B73)</f>
        <v>0</v>
      </c>
      <c r="Q73">
        <f>[1]!s_val_pe_ttm($A73,$B73)</f>
        <v>21.7151985168457</v>
      </c>
      <c r="R73">
        <f>[1]!S_VAL_MV($A73,$B73,100000000)</f>
        <v>194.39144593830002</v>
      </c>
      <c r="S73">
        <f>[1]!s_val_pb($A73,$B73)</f>
        <v>2.1698370084916099</v>
      </c>
      <c r="T73">
        <f>[1]!s_west_avgroe($A73,YEAR($B73),$B73,180)</f>
        <v>14.157999999999999</v>
      </c>
      <c r="U73">
        <f>[1]!s_val_dividendyield2($A73,$B73)</f>
        <v>0</v>
      </c>
      <c r="V73">
        <f>[1]!s_val_evtoebitda($A73,$B73)</f>
        <v>13.0175368087035</v>
      </c>
    </row>
    <row r="74" spans="1:22">
      <c r="A74" t="str">
        <f>_meta!A73</f>
        <v>3690.HK</v>
      </c>
      <c r="B74">
        <f t="shared" si="2"/>
        <v>46167</v>
      </c>
      <c r="C74">
        <f>[1]!s_west_netprofit($A74,YEAR($B74),$B74,180,1000000)</f>
        <v>-11836.122321000001</v>
      </c>
      <c r="D74">
        <f>[1]!s_west_eps($A74,YEAR($B74),$B74,180)</f>
        <v>-1.9169</v>
      </c>
      <c r="E74">
        <f>[1]!s_west_instnum_np($A74,YEAR($B74),$B74,180)</f>
        <v>27</v>
      </c>
      <c r="F74">
        <f>[1]!s_west_stdnetprofit($A74,YEAR($B74),$B74,180,1000000)</f>
        <v>10994.982330000001</v>
      </c>
      <c r="G74">
        <f>[1]!s_west_mediannetprofit($A74,YEAR($B74),$B74,180,1000000)</f>
        <v>-11677</v>
      </c>
      <c r="H74">
        <f>[1]!s_west_netprofit($A74,YEAR($B74)+1,$B74,180,1000000)</f>
        <v>22611.080903999999</v>
      </c>
      <c r="I74">
        <f>[1]!s_west_eps($A74,YEAR($B74)+1,$B74,180)</f>
        <v>3.6619000000000002</v>
      </c>
      <c r="J74">
        <f>[1]!s_west_instnum_np($A74,YEAR($B74)+1,$B74,180)</f>
        <v>27</v>
      </c>
      <c r="K74">
        <f>[1]!s_west_stdnetprofit($A74,YEAR($B74)+1,$B74,180,1000000)</f>
        <v>9085.4532190000009</v>
      </c>
      <c r="L74">
        <f>[1]!s_west_mediannetprofit($A74,YEAR($B74)+1,$B74,180,1000000)</f>
        <v>21993</v>
      </c>
      <c r="M74">
        <f>[1]!s_dq_close($A74,$B74,3)</f>
        <v>81.349999999999994</v>
      </c>
      <c r="N74">
        <f>[1]!s_dq_volume($A74,$B74)</f>
        <v>0</v>
      </c>
      <c r="O74">
        <f>[1]!s_dq_amount($A74,$B74)</f>
        <v>0</v>
      </c>
      <c r="P74">
        <f>[1]!s_dq_turn($A74,$B74)</f>
        <v>0</v>
      </c>
      <c r="Q74">
        <f>[1]!s_val_pe_ttm($A74,$B74)</f>
        <v>-19.425899505615199</v>
      </c>
      <c r="R74">
        <f>[1]!S_VAL_MV($A74,$B74,100000000)</f>
        <v>5023.0525613809996</v>
      </c>
      <c r="S74">
        <f>[1]!s_val_pb($A74,$B74)</f>
        <v>3.0036705028162798</v>
      </c>
      <c r="T74">
        <f>[1]!s_west_avgroe($A74,YEAR($B74),$B74,180)</f>
        <v>4.6100000000000003</v>
      </c>
      <c r="U74">
        <f>[1]!s_val_dividendyield2($A74,$B74)</f>
        <v>0</v>
      </c>
      <c r="V74">
        <f>[1]!s_val_evtoebitda($A74,$B74)</f>
        <v>-25.005087705176901</v>
      </c>
    </row>
    <row r="75" spans="1:22">
      <c r="A75" t="str">
        <f>_meta!A74</f>
        <v>3692.HK</v>
      </c>
      <c r="B75">
        <f t="shared" si="2"/>
        <v>46167</v>
      </c>
      <c r="C75">
        <f>[1]!s_west_netprofit($A75,YEAR($B75),$B75,180,1000000)</f>
        <v>5910.3333329999996</v>
      </c>
      <c r="D75">
        <f>[1]!s_west_eps($A75,YEAR($B75),$B75,180)</f>
        <v>0.97460000000000002</v>
      </c>
      <c r="E75">
        <f>[1]!s_west_instnum_np($A75,YEAR($B75),$B75,180)</f>
        <v>12</v>
      </c>
      <c r="F75">
        <f>[1]!s_west_stdnetprofit($A75,YEAR($B75),$B75,180,1000000)</f>
        <v>407.073666</v>
      </c>
      <c r="G75">
        <f>[1]!s_west_mediannetprofit($A75,YEAR($B75),$B75,180,1000000)</f>
        <v>5986</v>
      </c>
      <c r="H75">
        <f>[1]!s_west_netprofit($A75,YEAR($B75)+1,$B75,180,1000000)</f>
        <v>6614.8461539999998</v>
      </c>
      <c r="I75">
        <f>[1]!s_west_eps($A75,YEAR($B75)+1,$B75,180)</f>
        <v>1.0908</v>
      </c>
      <c r="J75">
        <f>[1]!s_west_instnum_np($A75,YEAR($B75)+1,$B75,180)</f>
        <v>13</v>
      </c>
      <c r="K75">
        <f>[1]!s_west_stdnetprofit($A75,YEAR($B75)+1,$B75,180,1000000)</f>
        <v>401.76088399999998</v>
      </c>
      <c r="L75">
        <f>[1]!s_west_mediannetprofit($A75,YEAR($B75)+1,$B75,180,1000000)</f>
        <v>6625</v>
      </c>
      <c r="M75">
        <f>[1]!s_dq_close($A75,$B75,3)</f>
        <v>33.72</v>
      </c>
      <c r="N75">
        <f>[1]!s_dq_volume($A75,$B75)</f>
        <v>0</v>
      </c>
      <c r="O75">
        <f>[1]!s_dq_amount($A75,$B75)</f>
        <v>0</v>
      </c>
      <c r="P75">
        <f>[1]!s_dq_turn($A75,$B75)</f>
        <v>0</v>
      </c>
      <c r="Q75">
        <f>[1]!s_val_pe_ttm($A75,$B75)</f>
        <v>33.245353698730497</v>
      </c>
      <c r="R75">
        <f>[1]!S_VAL_MV($A75,$B75,100000000)</f>
        <v>2044.8314036039999</v>
      </c>
      <c r="S75">
        <f>[1]!s_val_pb($A75,$B75)</f>
        <v>5.2225683366700801</v>
      </c>
      <c r="T75">
        <f>[1]!s_west_avgroe($A75,YEAR($B75),$B75,180)</f>
        <v>15.127000000000001</v>
      </c>
      <c r="U75">
        <f>[1]!s_val_dividendyield2($A75,$B75)</f>
        <v>1.07931742284138</v>
      </c>
      <c r="V75">
        <f>[1]!s_val_evtoebitda($A75,$B75)</f>
        <v>26.103843942617502</v>
      </c>
    </row>
    <row r="76" spans="1:22">
      <c r="A76" t="str">
        <f>_meta!A75</f>
        <v>3738.HK</v>
      </c>
      <c r="B76">
        <f t="shared" si="2"/>
        <v>46167</v>
      </c>
      <c r="C76">
        <f>[1]!s_west_netprofit($A76,YEAR($B76),$B76,180,1000000)</f>
        <v>280.48388599999998</v>
      </c>
      <c r="D76">
        <f>[1]!s_west_eps($A76,YEAR($B76),$B76,180)</f>
        <v>0.1081</v>
      </c>
      <c r="E76">
        <f>[1]!s_west_instnum_np($A76,YEAR($B76),$B76,180)</f>
        <v>7</v>
      </c>
      <c r="F76">
        <f>[1]!s_west_stdnetprofit($A76,YEAR($B76),$B76,180,1000000)</f>
        <v>23.608353999999999</v>
      </c>
      <c r="G76">
        <f>[1]!s_west_mediannetprofit($A76,YEAR($B76),$B76,180,1000000)</f>
        <v>280.72000000000003</v>
      </c>
      <c r="H76">
        <f>[1]!s_west_netprofit($A76,YEAR($B76)+1,$B76,180,1000000)</f>
        <v>390.31777099999999</v>
      </c>
      <c r="I76">
        <f>[1]!s_west_eps($A76,YEAR($B76)+1,$B76,180)</f>
        <v>0.15049999999999999</v>
      </c>
      <c r="J76">
        <f>[1]!s_west_instnum_np($A76,YEAR($B76)+1,$B76,180)</f>
        <v>7</v>
      </c>
      <c r="K76">
        <f>[1]!s_west_stdnetprofit($A76,YEAR($B76)+1,$B76,180,1000000)</f>
        <v>56.293050000000001</v>
      </c>
      <c r="L76">
        <f>[1]!s_west_mediannetprofit($A76,YEAR($B76)+1,$B76,180,1000000)</f>
        <v>378.84</v>
      </c>
      <c r="M76">
        <f>[1]!s_dq_close($A76,$B76,3)</f>
        <v>2.89</v>
      </c>
      <c r="N76">
        <f>[1]!s_dq_volume($A76,$B76)</f>
        <v>0</v>
      </c>
      <c r="O76">
        <f>[1]!s_dq_amount($A76,$B76)</f>
        <v>0</v>
      </c>
      <c r="P76">
        <f>[1]!s_dq_turn($A76,$B76)</f>
        <v>0</v>
      </c>
      <c r="Q76">
        <f>[1]!s_val_pe_ttm($A76,$B76)</f>
        <v>37.617195129394503</v>
      </c>
      <c r="R76">
        <f>[1]!S_VAL_MV($A76,$B76,100000000)</f>
        <v>74.975583160400006</v>
      </c>
      <c r="S76">
        <f>[1]!s_val_pb($A76,$B76)</f>
        <v>2.3219659259887799</v>
      </c>
      <c r="T76">
        <f>[1]!s_west_avgroe($A76,YEAR($B76),$B76,180)</f>
        <v>9.6850000000000005</v>
      </c>
      <c r="U76">
        <f>[1]!s_val_dividendyield2($A76,$B76)</f>
        <v>0</v>
      </c>
      <c r="V76">
        <f>[1]!s_val_evtoebitda($A76,$B76)</f>
        <v>16.871691996298399</v>
      </c>
    </row>
    <row r="77" spans="1:22">
      <c r="A77" t="str">
        <f>_meta!A76</f>
        <v>3750.HK</v>
      </c>
      <c r="B77">
        <f t="shared" si="2"/>
        <v>46167</v>
      </c>
      <c r="C77">
        <f>[1]!s_west_netprofit($A77,YEAR($B77),$B77,180,1000000)</f>
        <v>93616.603445999994</v>
      </c>
      <c r="D77">
        <f>[1]!s_west_eps($A77,YEAR($B77),$B77,180)</f>
        <v>20.2349</v>
      </c>
      <c r="E77">
        <f>[1]!s_west_instnum_np($A77,YEAR($B77),$B77,180)</f>
        <v>4</v>
      </c>
      <c r="F77">
        <f>[1]!s_west_stdnetprofit($A77,YEAR($B77),$B77,180,1000000)</f>
        <v>3287.736026</v>
      </c>
      <c r="G77">
        <f>[1]!s_west_mediannetprofit($A77,YEAR($B77),$B77,180,1000000)</f>
        <v>93483.026557000005</v>
      </c>
      <c r="H77">
        <f>[1]!s_west_netprofit($A77,YEAR($B77)+1,$B77,180,1000000)</f>
        <v>115047.353197</v>
      </c>
      <c r="I77">
        <f>[1]!s_west_eps($A77,YEAR($B77)+1,$B77,180)</f>
        <v>24.867100000000001</v>
      </c>
      <c r="J77">
        <f>[1]!s_west_instnum_np($A77,YEAR($B77)+1,$B77,180)</f>
        <v>4</v>
      </c>
      <c r="K77">
        <f>[1]!s_west_stdnetprofit($A77,YEAR($B77)+1,$B77,180,1000000)</f>
        <v>3204.934878</v>
      </c>
      <c r="L77">
        <f>[1]!s_west_mediannetprofit($A77,YEAR($B77)+1,$B77,180,1000000)</f>
        <v>115154</v>
      </c>
      <c r="M77">
        <f>[1]!s_dq_close($A77,$B77,3)</f>
        <v>686</v>
      </c>
      <c r="N77">
        <f>[1]!s_dq_volume($A77,$B77)</f>
        <v>0</v>
      </c>
      <c r="O77">
        <f>[1]!s_dq_amount($A77,$B77)</f>
        <v>0</v>
      </c>
      <c r="P77">
        <f>[1]!s_dq_turn($A77,$B77)</f>
        <v>0</v>
      </c>
      <c r="Q77">
        <f>[1]!s_val_pe_ttm($A77,$B77)</f>
        <v>35.482532501220703</v>
      </c>
      <c r="R77">
        <f>[1]!S_VAL_MV($A77,$B77,100000000)</f>
        <v>31737.740752059999</v>
      </c>
      <c r="S77">
        <f>[1]!s_val_pb($A77,$B77)</f>
        <v>8.5035607924120598</v>
      </c>
      <c r="T77">
        <f>[1]!s_west_avgroe($A77,YEAR($B77),$B77,180)</f>
        <v>24.65</v>
      </c>
      <c r="U77">
        <f>[1]!s_val_dividendyield2($A77,$B77)</f>
        <v>0.93567500489526101</v>
      </c>
      <c r="V77">
        <f>[1]!s_val_evtoebitda($A77,$B77)</f>
        <v>0</v>
      </c>
    </row>
    <row r="78" spans="1:22">
      <c r="A78" t="str">
        <f>_meta!A77</f>
        <v>3888.HK</v>
      </c>
      <c r="B78">
        <f t="shared" si="2"/>
        <v>46167</v>
      </c>
      <c r="C78">
        <f>[1]!s_west_netprofit($A78,YEAR($B78),$B78,180,1000000)</f>
        <v>1506.60625</v>
      </c>
      <c r="D78">
        <f>[1]!s_west_eps($A78,YEAR($B78),$B78,180)</f>
        <v>1.0903</v>
      </c>
      <c r="E78">
        <f>[1]!s_west_instnum_np($A78,YEAR($B78),$B78,180)</f>
        <v>8</v>
      </c>
      <c r="F78">
        <f>[1]!s_west_stdnetprofit($A78,YEAR($B78),$B78,180,1000000)</f>
        <v>104.513487</v>
      </c>
      <c r="G78">
        <f>[1]!s_west_mediannetprofit($A78,YEAR($B78),$B78,180,1000000)</f>
        <v>1506.925</v>
      </c>
      <c r="H78">
        <f>[1]!s_west_netprofit($A78,YEAR($B78)+1,$B78,180,1000000)</f>
        <v>1801.3362500000001</v>
      </c>
      <c r="I78">
        <f>[1]!s_west_eps($A78,YEAR($B78)+1,$B78,180)</f>
        <v>1.3036000000000001</v>
      </c>
      <c r="J78">
        <f>[1]!s_west_instnum_np($A78,YEAR($B78)+1,$B78,180)</f>
        <v>8</v>
      </c>
      <c r="K78">
        <f>[1]!s_west_stdnetprofit($A78,YEAR($B78)+1,$B78,180,1000000)</f>
        <v>405.95869800000003</v>
      </c>
      <c r="L78">
        <f>[1]!s_west_mediannetprofit($A78,YEAR($B78)+1,$B78,180,1000000)</f>
        <v>1793.845</v>
      </c>
      <c r="M78">
        <f>[1]!s_dq_close($A78,$B78,3)</f>
        <v>21.54</v>
      </c>
      <c r="N78">
        <f>[1]!s_dq_volume($A78,$B78)</f>
        <v>0</v>
      </c>
      <c r="O78">
        <f>[1]!s_dq_amount($A78,$B78)</f>
        <v>0</v>
      </c>
      <c r="P78">
        <f>[1]!s_dq_turn($A78,$B78)</f>
        <v>0</v>
      </c>
      <c r="Q78">
        <f>[1]!s_val_pe_ttm($A78,$B78)</f>
        <v>13.4124212265015</v>
      </c>
      <c r="R78">
        <f>[1]!S_VAL_MV($A78,$B78,100000000)</f>
        <v>297.642845454</v>
      </c>
      <c r="S78">
        <f>[1]!s_val_pb($A78,$B78)</f>
        <v>1.03262425286566</v>
      </c>
      <c r="T78">
        <f>[1]!s_west_avgroe($A78,YEAR($B78),$B78,180)</f>
        <v>5.9128999999999996</v>
      </c>
      <c r="U78">
        <f>[1]!s_val_dividendyield2($A78,$B78)</f>
        <v>0.70575816522512302</v>
      </c>
      <c r="V78">
        <f>[1]!s_val_evtoebitda($A78,$B78)</f>
        <v>8.0319097220740492</v>
      </c>
    </row>
    <row r="79" spans="1:22">
      <c r="A79" t="str">
        <f>_meta!A78</f>
        <v>3896.HK</v>
      </c>
      <c r="B79">
        <f t="shared" si="2"/>
        <v>46167</v>
      </c>
      <c r="C79">
        <f>[1]!s_west_netprofit($A79,YEAR($B79),$B79,180,1000000)</f>
        <v>-862.42857100000003</v>
      </c>
      <c r="D79">
        <f>[1]!s_west_eps($A79,YEAR($B79),$B79,180)</f>
        <v>-0.1903</v>
      </c>
      <c r="E79">
        <f>[1]!s_west_instnum_np($A79,YEAR($B79),$B79,180)</f>
        <v>7</v>
      </c>
      <c r="F79">
        <f>[1]!s_west_stdnetprofit($A79,YEAR($B79),$B79,180,1000000)</f>
        <v>237.25292899999999</v>
      </c>
      <c r="G79">
        <f>[1]!s_west_mediannetprofit($A79,YEAR($B79),$B79,180,1000000)</f>
        <v>-923</v>
      </c>
      <c r="H79">
        <f>[1]!s_west_netprofit($A79,YEAR($B79)+1,$B79,180,1000000)</f>
        <v>-701.14285700000005</v>
      </c>
      <c r="I79">
        <f>[1]!s_west_eps($A79,YEAR($B79)+1,$B79,180)</f>
        <v>-0.1547</v>
      </c>
      <c r="J79">
        <f>[1]!s_west_instnum_np($A79,YEAR($B79)+1,$B79,180)</f>
        <v>7</v>
      </c>
      <c r="K79">
        <f>[1]!s_west_stdnetprofit($A79,YEAR($B79)+1,$B79,180,1000000)</f>
        <v>262.55502799999999</v>
      </c>
      <c r="L79">
        <f>[1]!s_west_mediannetprofit($A79,YEAR($B79)+1,$B79,180,1000000)</f>
        <v>-706</v>
      </c>
      <c r="M79">
        <f>[1]!s_dq_close($A79,$B79,3)</f>
        <v>7.27</v>
      </c>
      <c r="N79">
        <f>[1]!s_dq_volume($A79,$B79)</f>
        <v>0</v>
      </c>
      <c r="O79">
        <f>[1]!s_dq_amount($A79,$B79)</f>
        <v>0</v>
      </c>
      <c r="P79">
        <f>[1]!s_dq_turn($A79,$B79)</f>
        <v>0</v>
      </c>
      <c r="Q79">
        <f>[1]!s_val_pe_ttm($A79,$B79)</f>
        <v>-31.783735275268601</v>
      </c>
      <c r="R79">
        <f>[1]!S_VAL_MV($A79,$B79,100000000)</f>
        <v>329.46075503269998</v>
      </c>
      <c r="S79">
        <f>[1]!s_val_pb($A79,$B79)</f>
        <v>3.1938898008939298</v>
      </c>
      <c r="T79">
        <f>[1]!s_west_avgroe($A79,YEAR($B79),$B79,180)</f>
        <v>0</v>
      </c>
      <c r="U79">
        <f>[1]!s_val_dividendyield2($A79,$B79)</f>
        <v>0</v>
      </c>
      <c r="V79">
        <f>[1]!s_val_evtoebitda($A79,$B79)</f>
        <v>15.393537900525899</v>
      </c>
    </row>
    <row r="80" spans="1:22">
      <c r="A80" t="str">
        <f>_meta!A79</f>
        <v>3933.HK</v>
      </c>
      <c r="B80">
        <f t="shared" si="2"/>
        <v>46167</v>
      </c>
      <c r="C80">
        <f>[1]!s_west_netprofit($A80,YEAR($B80),$B80,180,1000000)</f>
        <v>1338.274341</v>
      </c>
      <c r="D80">
        <f>[1]!s_west_eps($A80,YEAR($B80),$B80,180)</f>
        <v>0.67830000000000001</v>
      </c>
      <c r="E80">
        <f>[1]!s_west_instnum_np($A80,YEAR($B80),$B80,180)</f>
        <v>10</v>
      </c>
      <c r="F80">
        <f>[1]!s_west_stdnetprofit($A80,YEAR($B80),$B80,180,1000000)</f>
        <v>826.22021700000005</v>
      </c>
      <c r="G80">
        <f>[1]!s_west_mediannetprofit($A80,YEAR($B80),$B80,180,1000000)</f>
        <v>885.88</v>
      </c>
      <c r="H80">
        <f>[1]!s_west_netprofit($A80,YEAR($B80)+1,$B80,180,1000000)</f>
        <v>1596.6173650000001</v>
      </c>
      <c r="I80">
        <f>[1]!s_west_eps($A80,YEAR($B80)+1,$B80,180)</f>
        <v>0.80920000000000003</v>
      </c>
      <c r="J80">
        <f>[1]!s_west_instnum_np($A80,YEAR($B80)+1,$B80,180)</f>
        <v>10</v>
      </c>
      <c r="K80">
        <f>[1]!s_west_stdnetprofit($A80,YEAR($B80)+1,$B80,180,1000000)</f>
        <v>729.53695600000003</v>
      </c>
      <c r="L80">
        <f>[1]!s_west_mediannetprofit($A80,YEAR($B80)+1,$B80,180,1000000)</f>
        <v>1130</v>
      </c>
      <c r="M80">
        <f>[1]!s_dq_close($A80,$B80,3)</f>
        <v>8.9600000000000009</v>
      </c>
      <c r="N80">
        <f>[1]!s_dq_volume($A80,$B80)</f>
        <v>0</v>
      </c>
      <c r="O80">
        <f>[1]!s_dq_amount($A80,$B80)</f>
        <v>0</v>
      </c>
      <c r="P80">
        <f>[1]!s_dq_turn($A80,$B80)</f>
        <v>0</v>
      </c>
      <c r="Q80">
        <f>[1]!s_val_pe_ttm($A80,$B80)</f>
        <v>7.6549186706543004</v>
      </c>
      <c r="R80">
        <f>[1]!S_VAL_MV($A80,$B80,100000000)</f>
        <v>176.78317511680001</v>
      </c>
      <c r="S80">
        <f>[1]!s_val_pb($A80,$B80)</f>
        <v>0.91803899112822396</v>
      </c>
      <c r="T80">
        <f>[1]!s_west_avgroe($A80,YEAR($B80),$B80,180)</f>
        <v>7.3475000000000001</v>
      </c>
      <c r="U80">
        <f>[1]!s_val_dividendyield2($A80,$B80)</f>
        <v>6.4555656154629801</v>
      </c>
      <c r="V80">
        <f>[1]!s_val_evtoebitda($A80,$B80)</f>
        <v>3.3413468142953699</v>
      </c>
    </row>
    <row r="81" spans="1:22">
      <c r="A81" t="str">
        <f>_meta!A80</f>
        <v>6060.HK</v>
      </c>
      <c r="B81">
        <f t="shared" si="2"/>
        <v>46167</v>
      </c>
      <c r="C81">
        <f>[1]!s_west_netprofit($A81,YEAR($B81),$B81,180,1000000)</f>
        <v>1361.6358190000001</v>
      </c>
      <c r="D81">
        <f>[1]!s_west_eps($A81,YEAR($B81),$B81,180)</f>
        <v>0.80820000000000003</v>
      </c>
      <c r="E81">
        <f>[1]!s_west_instnum_np($A81,YEAR($B81),$B81,180)</f>
        <v>20</v>
      </c>
      <c r="F81">
        <f>[1]!s_west_stdnetprofit($A81,YEAR($B81),$B81,180,1000000)</f>
        <v>250.882383</v>
      </c>
      <c r="G81">
        <f>[1]!s_west_mediannetprofit($A81,YEAR($B81),$B81,180,1000000)</f>
        <v>1271</v>
      </c>
      <c r="H81">
        <f>[1]!s_west_netprofit($A81,YEAR($B81)+1,$B81,180,1000000)</f>
        <v>1590.3747490000001</v>
      </c>
      <c r="I81">
        <f>[1]!s_west_eps($A81,YEAR($B81)+1,$B81,180)</f>
        <v>0.94389999999999996</v>
      </c>
      <c r="J81">
        <f>[1]!s_west_instnum_np($A81,YEAR($B81)+1,$B81,180)</f>
        <v>20</v>
      </c>
      <c r="K81">
        <f>[1]!s_west_stdnetprofit($A81,YEAR($B81)+1,$B81,180,1000000)</f>
        <v>322.47160600000001</v>
      </c>
      <c r="L81">
        <f>[1]!s_west_mediannetprofit($A81,YEAR($B81)+1,$B81,180,1000000)</f>
        <v>1526</v>
      </c>
      <c r="M81">
        <f>[1]!s_dq_close($A81,$B81,3)</f>
        <v>10.63</v>
      </c>
      <c r="N81">
        <f>[1]!s_dq_volume($A81,$B81)</f>
        <v>0</v>
      </c>
      <c r="O81">
        <f>[1]!s_dq_amount($A81,$B81)</f>
        <v>0</v>
      </c>
      <c r="P81">
        <f>[1]!s_dq_turn($A81,$B81)</f>
        <v>0</v>
      </c>
      <c r="Q81">
        <f>[1]!s_val_pe_ttm($A81,$B81)</f>
        <v>14.684277534484901</v>
      </c>
      <c r="R81">
        <f>[1]!S_VAL_MV($A81,$B81,100000000)</f>
        <v>179.09561127000001</v>
      </c>
      <c r="S81">
        <f>[1]!s_val_pb($A81,$B81)</f>
        <v>0.635628354561803</v>
      </c>
      <c r="T81">
        <f>[1]!s_west_avgroe($A81,YEAR($B81),$B81,180)</f>
        <v>5.0471000000000004</v>
      </c>
      <c r="U81">
        <f>[1]!s_val_dividendyield2($A81,$B81)</f>
        <v>0</v>
      </c>
      <c r="V81">
        <f>[1]!s_val_evtoebitda($A81,$B81)</f>
        <v>0</v>
      </c>
    </row>
    <row r="82" spans="1:22">
      <c r="A82" t="str">
        <f>_meta!A81</f>
        <v>6069.HK</v>
      </c>
      <c r="B82">
        <f t="shared" si="2"/>
        <v>46167</v>
      </c>
      <c r="C82">
        <f>[1]!s_west_netprofit($A82,YEAR($B82),$B82,180,1000000)</f>
        <v>604.36599999999999</v>
      </c>
      <c r="D82">
        <f>[1]!s_west_eps($A82,YEAR($B82),$B82,180)</f>
        <v>0.56679999999999997</v>
      </c>
      <c r="E82">
        <f>[1]!s_west_instnum_np($A82,YEAR($B82),$B82,180)</f>
        <v>5</v>
      </c>
      <c r="F82">
        <f>[1]!s_west_stdnetprofit($A82,YEAR($B82),$B82,180,1000000)</f>
        <v>20.707735</v>
      </c>
      <c r="G82">
        <f>[1]!s_west_mediannetprofit($A82,YEAR($B82),$B82,180,1000000)</f>
        <v>613.29999999999995</v>
      </c>
      <c r="H82">
        <f>[1]!s_west_netprofit($A82,YEAR($B82)+1,$B82,180,1000000)</f>
        <v>802.048</v>
      </c>
      <c r="I82">
        <f>[1]!s_west_eps($A82,YEAR($B82)+1,$B82,180)</f>
        <v>0.75219999999999998</v>
      </c>
      <c r="J82">
        <f>[1]!s_west_instnum_np($A82,YEAR($B82)+1,$B82,180)</f>
        <v>5</v>
      </c>
      <c r="K82">
        <f>[1]!s_west_stdnetprofit($A82,YEAR($B82)+1,$B82,180,1000000)</f>
        <v>52.465268000000002</v>
      </c>
      <c r="L82">
        <f>[1]!s_west_mediannetprofit($A82,YEAR($B82)+1,$B82,180,1000000)</f>
        <v>821</v>
      </c>
      <c r="M82">
        <f>[1]!s_dq_close($A82,$B82,3)</f>
        <v>8.73</v>
      </c>
      <c r="N82">
        <f>[1]!s_dq_volume($A82,$B82)</f>
        <v>0</v>
      </c>
      <c r="O82">
        <f>[1]!s_dq_amount($A82,$B82)</f>
        <v>0</v>
      </c>
      <c r="P82">
        <f>[1]!s_dq_turn($A82,$B82)</f>
        <v>0</v>
      </c>
      <c r="Q82">
        <f>[1]!s_val_pe_ttm($A82,$B82)</f>
        <v>17.555950164794901</v>
      </c>
      <c r="R82">
        <f>[1]!S_VAL_MV($A82,$B82,100000000)</f>
        <v>93.085876641599995</v>
      </c>
      <c r="S82">
        <f>[1]!s_val_pb($A82,$B82)</f>
        <v>1.92262499506009</v>
      </c>
      <c r="T82">
        <f>[1]!s_west_avgroe($A82,YEAR($B82),$B82,180)</f>
        <v>12.77</v>
      </c>
      <c r="U82">
        <f>[1]!s_val_dividendyield2($A82,$B82)</f>
        <v>7.0459224155481603</v>
      </c>
      <c r="V82">
        <f>[1]!s_val_evtoebitda($A82,$B82)</f>
        <v>0</v>
      </c>
    </row>
    <row r="83" spans="1:22">
      <c r="A83" t="str">
        <f>_meta!A82</f>
        <v>6078.HK</v>
      </c>
      <c r="B83">
        <f t="shared" si="2"/>
        <v>46167</v>
      </c>
      <c r="C83">
        <f>[1]!s_west_netprofit($A83,YEAR($B83),$B83,180,1000000)</f>
        <v>531.36</v>
      </c>
      <c r="D83">
        <f>[1]!s_west_eps($A83,YEAR($B83),$B83,180)</f>
        <v>0.85909999999999997</v>
      </c>
      <c r="E83">
        <f>[1]!s_west_instnum_np($A83,YEAR($B83),$B83,180)</f>
        <v>11</v>
      </c>
      <c r="F83">
        <f>[1]!s_west_stdnetprofit($A83,YEAR($B83),$B83,180,1000000)</f>
        <v>47.480170999999999</v>
      </c>
      <c r="G83">
        <f>[1]!s_west_mediannetprofit($A83,YEAR($B83),$B83,180,1000000)</f>
        <v>533</v>
      </c>
      <c r="H83">
        <f>[1]!s_west_netprofit($A83,YEAR($B83)+1,$B83,180,1000000)</f>
        <v>615.98727299999996</v>
      </c>
      <c r="I83">
        <f>[1]!s_west_eps($A83,YEAR($B83)+1,$B83,180)</f>
        <v>0.99590000000000001</v>
      </c>
      <c r="J83">
        <f>[1]!s_west_instnum_np($A83,YEAR($B83)+1,$B83,180)</f>
        <v>11</v>
      </c>
      <c r="K83">
        <f>[1]!s_west_stdnetprofit($A83,YEAR($B83)+1,$B83,180,1000000)</f>
        <v>69.437815999999998</v>
      </c>
      <c r="L83">
        <f>[1]!s_west_mediannetprofit($A83,YEAR($B83)+1,$B83,180,1000000)</f>
        <v>607</v>
      </c>
      <c r="M83">
        <f>[1]!s_dq_close($A83,$B83,3)</f>
        <v>10.34</v>
      </c>
      <c r="N83">
        <f>[1]!s_dq_volume($A83,$B83)</f>
        <v>0</v>
      </c>
      <c r="O83">
        <f>[1]!s_dq_amount($A83,$B83)</f>
        <v>0</v>
      </c>
      <c r="P83">
        <f>[1]!s_dq_turn($A83,$B83)</f>
        <v>0</v>
      </c>
      <c r="Q83">
        <f>[1]!s_val_pe_ttm($A83,$B83)</f>
        <v>35.1090087890625</v>
      </c>
      <c r="R83">
        <f>[1]!S_VAL_MV($A83,$B83,100000000)</f>
        <v>63.952796599999999</v>
      </c>
      <c r="S83">
        <f>[1]!s_val_pb($A83,$B83)</f>
        <v>0.85345496328562898</v>
      </c>
      <c r="T83">
        <f>[1]!s_west_avgroe($A83,YEAR($B83),$B83,180)</f>
        <v>7.4218000000000002</v>
      </c>
      <c r="U83">
        <f>[1]!s_val_dividendyield2($A83,$B83)</f>
        <v>0</v>
      </c>
      <c r="V83">
        <f>[1]!s_val_evtoebitda($A83,$B83)</f>
        <v>11.161872063915601</v>
      </c>
    </row>
    <row r="84" spans="1:22">
      <c r="A84" t="str">
        <f>_meta!A83</f>
        <v>6088.HK</v>
      </c>
      <c r="B84">
        <f t="shared" si="2"/>
        <v>46167</v>
      </c>
      <c r="C84">
        <f>[1]!s_west_netprofit($A84,YEAR($B84),$B84,180,1000000)</f>
        <v>286.29857099999998</v>
      </c>
      <c r="D84">
        <f>[1]!s_west_eps($A84,YEAR($B84),$B84,180)</f>
        <v>3.9199999999999999E-2</v>
      </c>
      <c r="E84">
        <f>[1]!s_west_instnum_np($A84,YEAR($B84),$B84,180)</f>
        <v>7</v>
      </c>
      <c r="F84">
        <f>[1]!s_west_stdnetprofit($A84,YEAR($B84),$B84,180,1000000)</f>
        <v>44.794764999999998</v>
      </c>
      <c r="G84">
        <f>[1]!s_west_mediannetprofit($A84,YEAR($B84),$B84,180,1000000)</f>
        <v>301</v>
      </c>
      <c r="H84">
        <f>[1]!s_west_netprofit($A84,YEAR($B84)+1,$B84,180,1000000)</f>
        <v>396.05</v>
      </c>
      <c r="I84">
        <f>[1]!s_west_eps($A84,YEAR($B84)+1,$B84,180)</f>
        <v>5.4199999999999998E-2</v>
      </c>
      <c r="J84">
        <f>[1]!s_west_instnum_np($A84,YEAR($B84)+1,$B84,180)</f>
        <v>7</v>
      </c>
      <c r="K84">
        <f>[1]!s_west_stdnetprofit($A84,YEAR($B84)+1,$B84,180,1000000)</f>
        <v>73.211048000000005</v>
      </c>
      <c r="L84">
        <f>[1]!s_west_mediannetprofit($A84,YEAR($B84)+1,$B84,180,1000000)</f>
        <v>407</v>
      </c>
      <c r="M84">
        <f>[1]!s_dq_close($A84,$B84,3)</f>
        <v>9.07</v>
      </c>
      <c r="N84">
        <f>[1]!s_dq_volume($A84,$B84)</f>
        <v>0</v>
      </c>
      <c r="O84">
        <f>[1]!s_dq_amount($A84,$B84)</f>
        <v>0</v>
      </c>
      <c r="P84">
        <f>[1]!s_dq_turn($A84,$B84)</f>
        <v>0</v>
      </c>
      <c r="Q84">
        <f>[1]!s_val_pe_ttm($A84,$B84)</f>
        <v>54.5473022460938</v>
      </c>
      <c r="R84">
        <f>[1]!S_VAL_MV($A84,$B84,100000000)</f>
        <v>662.44908848040006</v>
      </c>
      <c r="S84">
        <f>[1]!s_val_pb($A84,$B84)</f>
        <v>3.1814873969713999</v>
      </c>
      <c r="T84">
        <f>[1]!s_west_avgroe($A84,YEAR($B84),$B84,180)</f>
        <v>10.023999999999999</v>
      </c>
      <c r="U84">
        <f>[1]!s_val_dividendyield2($A84,$B84)</f>
        <v>0</v>
      </c>
      <c r="V84">
        <f>[1]!s_val_evtoebitda($A84,$B84)</f>
        <v>16.2773639010578</v>
      </c>
    </row>
    <row r="85" spans="1:22">
      <c r="A85" t="str">
        <f>_meta!A84</f>
        <v>6160.HK</v>
      </c>
      <c r="B85">
        <f t="shared" si="2"/>
        <v>46167</v>
      </c>
      <c r="C85">
        <f>[1]!s_west_netprofit($A85,YEAR($B85),$B85,180,1000000)</f>
        <v>668.77777800000001</v>
      </c>
      <c r="D85">
        <f>[1]!s_west_eps($A85,YEAR($B85),$B85,180)</f>
        <v>0.43380000000000002</v>
      </c>
      <c r="E85">
        <f>[1]!s_west_instnum_np($A85,YEAR($B85),$B85,180)</f>
        <v>9</v>
      </c>
      <c r="F85">
        <f>[1]!s_west_stdnetprofit($A85,YEAR($B85),$B85,180,1000000)</f>
        <v>81.163072999999997</v>
      </c>
      <c r="G85">
        <f>[1]!s_west_mediannetprofit($A85,YEAR($B85),$B85,180,1000000)</f>
        <v>662</v>
      </c>
      <c r="H85">
        <f>[1]!s_west_netprofit($A85,YEAR($B85)+1,$B85,180,1000000)</f>
        <v>1048.1111109999999</v>
      </c>
      <c r="I85">
        <f>[1]!s_west_eps($A85,YEAR($B85)+1,$B85,180)</f>
        <v>0.67989999999999995</v>
      </c>
      <c r="J85">
        <f>[1]!s_west_instnum_np($A85,YEAR($B85)+1,$B85,180)</f>
        <v>9</v>
      </c>
      <c r="K85">
        <f>[1]!s_west_stdnetprofit($A85,YEAR($B85)+1,$B85,180,1000000)</f>
        <v>156.84980400000001</v>
      </c>
      <c r="L85">
        <f>[1]!s_west_mediannetprofit($A85,YEAR($B85)+1,$B85,180,1000000)</f>
        <v>1040</v>
      </c>
      <c r="M85">
        <f>[1]!s_dq_close($A85,$B85,3)</f>
        <v>184.5</v>
      </c>
      <c r="N85">
        <f>[1]!s_dq_volume($A85,$B85)</f>
        <v>0</v>
      </c>
      <c r="O85">
        <f>[1]!s_dq_amount($A85,$B85)</f>
        <v>0</v>
      </c>
      <c r="P85">
        <f>[1]!s_dq_turn($A85,$B85)</f>
        <v>0</v>
      </c>
      <c r="Q85">
        <f>[1]!s_val_pe_ttm($A85,$B85)</f>
        <v>70.745185852050795</v>
      </c>
      <c r="R85">
        <f>[1]!S_VAL_MV($A85,$B85,100000000)</f>
        <v>2844.2221202249998</v>
      </c>
      <c r="S85">
        <f>[1]!s_val_pb($A85,$B85)</f>
        <v>8.38051028637177</v>
      </c>
      <c r="T85">
        <f>[1]!s_west_avgroe($A85,YEAR($B85),$B85,180)</f>
        <v>12.644399999999999</v>
      </c>
      <c r="U85">
        <f>[1]!s_val_dividendyield2($A85,$B85)</f>
        <v>0</v>
      </c>
      <c r="V85">
        <f>[1]!s_val_evtoebitda($A85,$B85)</f>
        <v>77.285692661149596</v>
      </c>
    </row>
    <row r="86" spans="1:22">
      <c r="A86" t="str">
        <f>_meta!A85</f>
        <v>6618.HK</v>
      </c>
      <c r="B86">
        <f t="shared" si="2"/>
        <v>46167</v>
      </c>
      <c r="C86">
        <f>[1]!s_west_netprofit($A86,YEAR($B86),$B86,180,1000000)</f>
        <v>5747.9285710000004</v>
      </c>
      <c r="D86">
        <f>[1]!s_west_eps($A86,YEAR($B86),$B86,180)</f>
        <v>1.7902</v>
      </c>
      <c r="E86">
        <f>[1]!s_west_instnum_np($A86,YEAR($B86),$B86,180)</f>
        <v>14</v>
      </c>
      <c r="F86">
        <f>[1]!s_west_stdnetprofit($A86,YEAR($B86),$B86,180,1000000)</f>
        <v>196.41144600000001</v>
      </c>
      <c r="G86">
        <f>[1]!s_west_mediannetprofit($A86,YEAR($B86),$B86,180,1000000)</f>
        <v>5734.5</v>
      </c>
      <c r="H86">
        <f>[1]!s_west_netprofit($A86,YEAR($B86)+1,$B86,180,1000000)</f>
        <v>6842</v>
      </c>
      <c r="I86">
        <f>[1]!s_west_eps($A86,YEAR($B86)+1,$B86,180)</f>
        <v>2.1309</v>
      </c>
      <c r="J86">
        <f>[1]!s_west_instnum_np($A86,YEAR($B86)+1,$B86,180)</f>
        <v>14</v>
      </c>
      <c r="K86">
        <f>[1]!s_west_stdnetprofit($A86,YEAR($B86)+1,$B86,180,1000000)</f>
        <v>470.42468500000001</v>
      </c>
      <c r="L86">
        <f>[1]!s_west_mediannetprofit($A86,YEAR($B86)+1,$B86,180,1000000)</f>
        <v>6827.5</v>
      </c>
      <c r="M86">
        <f>[1]!s_dq_close($A86,$B86,3)</f>
        <v>40.58</v>
      </c>
      <c r="N86">
        <f>[1]!s_dq_volume($A86,$B86)</f>
        <v>0</v>
      </c>
      <c r="O86">
        <f>[1]!s_dq_amount($A86,$B86)</f>
        <v>0</v>
      </c>
      <c r="P86">
        <f>[1]!s_dq_turn($A86,$B86)</f>
        <v>0</v>
      </c>
      <c r="Q86">
        <f>[1]!s_val_pe_ttm($A86,$B86)</f>
        <v>21.892950057983398</v>
      </c>
      <c r="R86">
        <f>[1]!S_VAL_MV($A86,$B86,100000000)</f>
        <v>1302.9325400438001</v>
      </c>
      <c r="S86">
        <f>[1]!s_val_pb($A86,$B86)</f>
        <v>1.95904610590543</v>
      </c>
      <c r="T86">
        <f>[1]!s_west_avgroe($A86,YEAR($B86),$B86,180)</f>
        <v>8.8292000000000002</v>
      </c>
      <c r="U86">
        <f>[1]!s_val_dividendyield2($A86,$B86)</f>
        <v>0</v>
      </c>
      <c r="V86">
        <f>[1]!s_val_evtoebitda($A86,$B86)</f>
        <v>17.957132212708199</v>
      </c>
    </row>
    <row r="87" spans="1:22">
      <c r="A87" t="str">
        <f>_meta!A86</f>
        <v>6682.HK</v>
      </c>
      <c r="B87">
        <f t="shared" si="2"/>
        <v>46167</v>
      </c>
      <c r="C87">
        <f>[1]!s_west_netprofit($A87,YEAR($B87),$B87,180,1000000)</f>
        <v>131.973333</v>
      </c>
      <c r="D87">
        <f>[1]!s_west_eps($A87,YEAR($B87),$B87,180)</f>
        <v>0.23630000000000001</v>
      </c>
      <c r="E87">
        <f>[1]!s_west_instnum_np($A87,YEAR($B87),$B87,180)</f>
        <v>3</v>
      </c>
      <c r="F87">
        <f>[1]!s_west_stdnetprofit($A87,YEAR($B87),$B87,180,1000000)</f>
        <v>180.161711</v>
      </c>
      <c r="G87">
        <f>[1]!s_west_mediannetprofit($A87,YEAR($B87),$B87,180,1000000)</f>
        <v>53.92</v>
      </c>
      <c r="H87">
        <f>[1]!s_west_netprofit($A87,YEAR($B87)+1,$B87,180,1000000)</f>
        <v>271.60000000000002</v>
      </c>
      <c r="I87">
        <f>[1]!s_west_eps($A87,YEAR($B87)+1,$B87,180)</f>
        <v>0.48630000000000001</v>
      </c>
      <c r="J87">
        <f>[1]!s_west_instnum_np($A87,YEAR($B87)+1,$B87,180)</f>
        <v>3</v>
      </c>
      <c r="K87">
        <f>[1]!s_west_stdnetprofit($A87,YEAR($B87)+1,$B87,180,1000000)</f>
        <v>325.96300400000001</v>
      </c>
      <c r="L87">
        <f>[1]!s_west_mediannetprofit($A87,YEAR($B87)+1,$B87,180,1000000)</f>
        <v>138.80000000000001</v>
      </c>
      <c r="M87">
        <f>[1]!s_dq_close($A87,$B87,3)</f>
        <v>34.659999999999997</v>
      </c>
      <c r="N87">
        <f>[1]!s_dq_volume($A87,$B87)</f>
        <v>0</v>
      </c>
      <c r="O87">
        <f>[1]!s_dq_amount($A87,$B87)</f>
        <v>0</v>
      </c>
      <c r="P87">
        <f>[1]!s_dq_turn($A87,$B87)</f>
        <v>0</v>
      </c>
      <c r="Q87">
        <f>[1]!s_val_pe_ttm($A87,$B87)</f>
        <v>-665.63293457031205</v>
      </c>
      <c r="R87">
        <f>[1]!S_VAL_MV($A87,$B87,100000000)</f>
        <v>193.56872885779998</v>
      </c>
      <c r="S87">
        <f>[1]!s_val_pb($A87,$B87)</f>
        <v>2.3232186970205899</v>
      </c>
      <c r="T87">
        <f>[1]!s_west_avgroe($A87,YEAR($B87),$B87,180)</f>
        <v>1.6867000000000001</v>
      </c>
      <c r="U87">
        <f>[1]!s_val_dividendyield2($A87,$B87)</f>
        <v>0</v>
      </c>
      <c r="V87">
        <f>[1]!s_val_evtoebitda($A87,$B87)</f>
        <v>-174.66280410921999</v>
      </c>
    </row>
    <row r="88" spans="1:22">
      <c r="A88" t="str">
        <f>_meta!A87</f>
        <v>6699.HK</v>
      </c>
      <c r="B88">
        <f t="shared" si="2"/>
        <v>46167</v>
      </c>
      <c r="C88">
        <f>[1]!s_west_netprofit($A88,YEAR($B88),$B88,180,1000000)</f>
        <v>32.497273</v>
      </c>
      <c r="D88">
        <f>[1]!s_west_eps($A88,YEAR($B88),$B88,180)</f>
        <v>0.19020000000000001</v>
      </c>
      <c r="E88">
        <f>[1]!s_west_instnum_np($A88,YEAR($B88),$B88,180)</f>
        <v>11</v>
      </c>
      <c r="F88">
        <f>[1]!s_west_stdnetprofit($A88,YEAR($B88),$B88,180,1000000)</f>
        <v>5.890644</v>
      </c>
      <c r="G88">
        <f>[1]!s_west_mediannetprofit($A88,YEAR($B88),$B88,180,1000000)</f>
        <v>31</v>
      </c>
      <c r="H88">
        <f>[1]!s_west_netprofit($A88,YEAR($B88)+1,$B88,180,1000000)</f>
        <v>49.565455</v>
      </c>
      <c r="I88">
        <f>[1]!s_west_eps($A88,YEAR($B88)+1,$B88,180)</f>
        <v>0.28999999999999998</v>
      </c>
      <c r="J88">
        <f>[1]!s_west_instnum_np($A88,YEAR($B88)+1,$B88,180)</f>
        <v>11</v>
      </c>
      <c r="K88">
        <f>[1]!s_west_stdnetprofit($A88,YEAR($B88)+1,$B88,180,1000000)</f>
        <v>11.018108</v>
      </c>
      <c r="L88">
        <f>[1]!s_west_mediannetprofit($A88,YEAR($B88)+1,$B88,180,1000000)</f>
        <v>46</v>
      </c>
      <c r="M88">
        <f>[1]!s_dq_close($A88,$B88,3)</f>
        <v>72.2</v>
      </c>
      <c r="N88">
        <f>[1]!s_dq_volume($A88,$B88)</f>
        <v>0</v>
      </c>
      <c r="O88">
        <f>[1]!s_dq_amount($A88,$B88)</f>
        <v>0</v>
      </c>
      <c r="P88">
        <f>[1]!s_dq_turn($A88,$B88)</f>
        <v>0</v>
      </c>
      <c r="Q88">
        <f>[1]!s_val_pe_ttm($A88,$B88)</f>
        <v>55.756900787353501</v>
      </c>
      <c r="R88">
        <f>[1]!S_VAL_MV($A88,$B88,100000000)</f>
        <v>123.38718274999999</v>
      </c>
      <c r="S88">
        <f>[1]!s_val_pb($A88,$B88)</f>
        <v>3.1752966964693701</v>
      </c>
      <c r="T88">
        <f>[1]!s_west_avgroe($A88,YEAR($B88),$B88,180)</f>
        <v>6.7373000000000003</v>
      </c>
      <c r="U88">
        <f>[1]!s_val_dividendyield2($A88,$B88)</f>
        <v>8.2127963485737308</v>
      </c>
      <c r="V88">
        <f>[1]!s_val_evtoebitda($A88,$B88)</f>
        <v>38.227738908873299</v>
      </c>
    </row>
    <row r="89" spans="1:22">
      <c r="A89" t="str">
        <f>_meta!A88</f>
        <v>6855.HK</v>
      </c>
      <c r="B89">
        <f t="shared" si="2"/>
        <v>46167</v>
      </c>
      <c r="C89">
        <f>[1]!s_west_netprofit($A89,YEAR($B89),$B89,180,1000000)</f>
        <v>-765.89574800000003</v>
      </c>
      <c r="D89">
        <f>[1]!s_west_eps($A89,YEAR($B89),$B89,180)</f>
        <v>-2.0514999999999999</v>
      </c>
      <c r="E89">
        <f>[1]!s_west_instnum_np($A89,YEAR($B89),$B89,180)</f>
        <v>8</v>
      </c>
      <c r="F89">
        <f>[1]!s_west_stdnetprofit($A89,YEAR($B89),$B89,180,1000000)</f>
        <v>321.07781</v>
      </c>
      <c r="G89">
        <f>[1]!s_west_mediannetprofit($A89,YEAR($B89),$B89,180,1000000)</f>
        <v>-709</v>
      </c>
      <c r="H89">
        <f>[1]!s_west_netprofit($A89,YEAR($B89)+1,$B89,180,1000000)</f>
        <v>-208.88008400000001</v>
      </c>
      <c r="I89">
        <f>[1]!s_west_eps($A89,YEAR($B89)+1,$B89,180)</f>
        <v>-0.5595</v>
      </c>
      <c r="J89">
        <f>[1]!s_west_instnum_np($A89,YEAR($B89)+1,$B89,180)</f>
        <v>8</v>
      </c>
      <c r="K89">
        <f>[1]!s_west_stdnetprofit($A89,YEAR($B89)+1,$B89,180,1000000)</f>
        <v>441.96896800000002</v>
      </c>
      <c r="L89">
        <f>[1]!s_west_mediannetprofit($A89,YEAR($B89)+1,$B89,180,1000000)</f>
        <v>-226</v>
      </c>
      <c r="M89">
        <f>[1]!s_dq_close($A89,$B89,3)</f>
        <v>41.64</v>
      </c>
      <c r="N89">
        <f>[1]!s_dq_volume($A89,$B89)</f>
        <v>0</v>
      </c>
      <c r="O89">
        <f>[1]!s_dq_amount($A89,$B89)</f>
        <v>0</v>
      </c>
      <c r="P89">
        <f>[1]!s_dq_turn($A89,$B89)</f>
        <v>0</v>
      </c>
      <c r="Q89">
        <f>[1]!s_val_pe_ttm($A89,$B89)</f>
        <v>-11.2982788085938</v>
      </c>
      <c r="R89">
        <f>[1]!S_VAL_MV($A89,$B89,100000000)</f>
        <v>155.45658990000001</v>
      </c>
      <c r="S89">
        <f>[1]!s_val_pb($A89,$B89)</f>
        <v>10.6013989929102</v>
      </c>
      <c r="T89">
        <f>[1]!s_west_avgroe($A89,YEAR($B89),$B89,180)</f>
        <v>0</v>
      </c>
      <c r="U89">
        <f>[1]!s_val_dividendyield2($A89,$B89)</f>
        <v>0</v>
      </c>
      <c r="V89">
        <f>[1]!s_val_evtoebitda($A89,$B89)</f>
        <v>-12.5271548195837</v>
      </c>
    </row>
    <row r="90" spans="1:22">
      <c r="A90" t="str">
        <f>_meta!A89</f>
        <v>6990.HK</v>
      </c>
      <c r="B90">
        <f t="shared" si="2"/>
        <v>46167</v>
      </c>
      <c r="C90">
        <f>[1]!s_west_netprofit($A90,YEAR($B90),$B90,180,1000000)</f>
        <v>-218.37271100000001</v>
      </c>
      <c r="D90">
        <f>[1]!s_west_eps($A90,YEAR($B90),$B90,180)</f>
        <v>-0.9365</v>
      </c>
      <c r="E90">
        <f>[1]!s_west_instnum_np($A90,YEAR($B90),$B90,180)</f>
        <v>18</v>
      </c>
      <c r="F90">
        <f>[1]!s_west_stdnetprofit($A90,YEAR($B90),$B90,180,1000000)</f>
        <v>212.177536</v>
      </c>
      <c r="G90">
        <f>[1]!s_west_mediannetprofit($A90,YEAR($B90),$B90,180,1000000)</f>
        <v>-177</v>
      </c>
      <c r="H90">
        <f>[1]!s_west_netprofit($A90,YEAR($B90)+1,$B90,180,1000000)</f>
        <v>490.56691000000001</v>
      </c>
      <c r="I90">
        <f>[1]!s_west_eps($A90,YEAR($B90)+1,$B90,180)</f>
        <v>2.1038000000000001</v>
      </c>
      <c r="J90">
        <f>[1]!s_west_instnum_np($A90,YEAR($B90)+1,$B90,180)</f>
        <v>18</v>
      </c>
      <c r="K90">
        <f>[1]!s_west_stdnetprofit($A90,YEAR($B90)+1,$B90,180,1000000)</f>
        <v>440.694031</v>
      </c>
      <c r="L90">
        <f>[1]!s_west_mediannetprofit($A90,YEAR($B90)+1,$B90,180,1000000)</f>
        <v>478</v>
      </c>
      <c r="M90">
        <f>[1]!s_dq_close($A90,$B90,3)</f>
        <v>474.2</v>
      </c>
      <c r="N90">
        <f>[1]!s_dq_volume($A90,$B90)</f>
        <v>0</v>
      </c>
      <c r="O90">
        <f>[1]!s_dq_amount($A90,$B90)</f>
        <v>0</v>
      </c>
      <c r="P90">
        <f>[1]!s_dq_turn($A90,$B90)</f>
        <v>0</v>
      </c>
      <c r="Q90">
        <f>[1]!s_val_pe_ttm($A90,$B90)</f>
        <v>-261.47317504882801</v>
      </c>
      <c r="R90">
        <f>[1]!S_VAL_MV($A90,$B90,100000000)</f>
        <v>1105.7678649980001</v>
      </c>
      <c r="S90">
        <f>[1]!s_val_pb($A90,$B90)</f>
        <v>20.5205935197869</v>
      </c>
      <c r="T90">
        <f>[1]!s_west_avgroe($A90,YEAR($B90),$B90,180)</f>
        <v>-5.6547000000000001</v>
      </c>
      <c r="U90">
        <f>[1]!s_val_dividendyield2($A90,$B90)</f>
        <v>0</v>
      </c>
      <c r="V90">
        <f>[1]!s_val_evtoebitda($A90,$B90)</f>
        <v>-308.962332587341</v>
      </c>
    </row>
    <row r="91" spans="1:22">
      <c r="A91" t="str">
        <f>_meta!A90</f>
        <v>9606.HK</v>
      </c>
      <c r="B91">
        <f t="shared" si="2"/>
        <v>46167</v>
      </c>
      <c r="C91">
        <f>[1]!s_west_netprofit($A91,YEAR($B91),$B91,180,1000000)</f>
        <v>-402.40214300000002</v>
      </c>
      <c r="D91">
        <f>[1]!s_west_eps($A91,YEAR($B91),$B91,180)</f>
        <v>-4.45</v>
      </c>
      <c r="E91">
        <f>[1]!s_west_instnum_np($A91,YEAR($B91),$B91,180)</f>
        <v>14</v>
      </c>
      <c r="F91">
        <f>[1]!s_west_stdnetprofit($A91,YEAR($B91),$B91,180,1000000)</f>
        <v>159.881834</v>
      </c>
      <c r="G91">
        <f>[1]!s_west_mediannetprofit($A91,YEAR($B91),$B91,180,1000000)</f>
        <v>-409</v>
      </c>
      <c r="H91">
        <f>[1]!s_west_netprofit($A91,YEAR($B91)+1,$B91,180,1000000)</f>
        <v>-386.33</v>
      </c>
      <c r="I91">
        <f>[1]!s_west_eps($A91,YEAR($B91)+1,$B91,180)</f>
        <v>-4.2721999999999998</v>
      </c>
      <c r="J91">
        <f>[1]!s_west_instnum_np($A91,YEAR($B91)+1,$B91,180)</f>
        <v>14</v>
      </c>
      <c r="K91">
        <f>[1]!s_west_stdnetprofit($A91,YEAR($B91)+1,$B91,180,1000000)</f>
        <v>146.30354600000001</v>
      </c>
      <c r="L91">
        <f>[1]!s_west_mediannetprofit($A91,YEAR($B91)+1,$B91,180,1000000)</f>
        <v>-352.5</v>
      </c>
      <c r="M91">
        <f>[1]!s_dq_close($A91,$B91,3)</f>
        <v>222.8</v>
      </c>
      <c r="N91">
        <f>[1]!s_dq_volume($A91,$B91)</f>
        <v>0</v>
      </c>
      <c r="O91">
        <f>[1]!s_dq_amount($A91,$B91)</f>
        <v>0</v>
      </c>
      <c r="P91">
        <f>[1]!s_dq_turn($A91,$B91)</f>
        <v>0</v>
      </c>
      <c r="Q91">
        <f>[1]!s_val_pe_ttm($A91,$B91)</f>
        <v>-7.0129761695861799</v>
      </c>
      <c r="R91">
        <f>[1]!S_VAL_MV($A91,$B91,100000000)</f>
        <v>201.473169592</v>
      </c>
      <c r="S91">
        <f>[1]!s_val_pb($A91,$B91)</f>
        <v>7.4989613823292496</v>
      </c>
      <c r="T91">
        <f>[1]!s_west_avgroe($A91,YEAR($B91),$B91,180)</f>
        <v>-18.13</v>
      </c>
      <c r="U91">
        <f>[1]!s_val_dividendyield2($A91,$B91)</f>
        <v>0</v>
      </c>
      <c r="V91">
        <f>[1]!s_val_evtoebitda($A91,$B91)</f>
        <v>-6.3650150484045298</v>
      </c>
    </row>
    <row r="92" spans="1:22">
      <c r="A92" t="str">
        <f>_meta!A91</f>
        <v>9626.HK</v>
      </c>
      <c r="B92">
        <f t="shared" si="2"/>
        <v>46167</v>
      </c>
      <c r="C92">
        <f>[1]!s_west_netprofit($A92,YEAR($B92),$B92,180,1000000)</f>
        <v>1755.3114479999999</v>
      </c>
      <c r="D92">
        <f>[1]!s_west_eps($A92,YEAR($B92),$B92,180)</f>
        <v>4.0716000000000001</v>
      </c>
      <c r="E92">
        <f>[1]!s_west_instnum_np($A92,YEAR($B92),$B92,180)</f>
        <v>29</v>
      </c>
      <c r="F92">
        <f>[1]!s_west_stdnetprofit($A92,YEAR($B92),$B92,180,1000000)</f>
        <v>223.217028</v>
      </c>
      <c r="G92">
        <f>[1]!s_west_mediannetprofit($A92,YEAR($B92),$B92,180,1000000)</f>
        <v>1775</v>
      </c>
      <c r="H92">
        <f>[1]!s_west_netprofit($A92,YEAR($B92)+1,$B92,180,1000000)</f>
        <v>2645.7483099999999</v>
      </c>
      <c r="I92">
        <f>[1]!s_west_eps($A92,YEAR($B92)+1,$B92,180)</f>
        <v>6.18</v>
      </c>
      <c r="J92">
        <f>[1]!s_west_instnum_np($A92,YEAR($B92)+1,$B92,180)</f>
        <v>29</v>
      </c>
      <c r="K92">
        <f>[1]!s_west_stdnetprofit($A92,YEAR($B92)+1,$B92,180,1000000)</f>
        <v>419.10529700000001</v>
      </c>
      <c r="L92">
        <f>[1]!s_west_mediannetprofit($A92,YEAR($B92)+1,$B92,180,1000000)</f>
        <v>2651</v>
      </c>
      <c r="M92">
        <f>[1]!s_dq_close($A92,$B92,3)</f>
        <v>138.1</v>
      </c>
      <c r="N92">
        <f>[1]!s_dq_volume($A92,$B92)</f>
        <v>0</v>
      </c>
      <c r="O92">
        <f>[1]!s_dq_amount($A92,$B92)</f>
        <v>0</v>
      </c>
      <c r="P92">
        <f>[1]!s_dq_turn($A92,$B92)</f>
        <v>0</v>
      </c>
      <c r="Q92">
        <f>[1]!s_val_pe_ttm($A92,$B92)</f>
        <v>36.693756103515597</v>
      </c>
      <c r="R92">
        <f>[1]!S_VAL_MV($A92,$B92,100000000)</f>
        <v>586.97210590999998</v>
      </c>
      <c r="S92">
        <f>[1]!s_val_pb($A92,$B92)</f>
        <v>3.4043237995692199</v>
      </c>
      <c r="T92">
        <f>[1]!s_west_avgroe($A92,YEAR($B92),$B92,180)</f>
        <v>11.79</v>
      </c>
      <c r="U92">
        <f>[1]!s_val_dividendyield2($A92,$B92)</f>
        <v>0</v>
      </c>
      <c r="V92">
        <f>[1]!s_val_evtoebitda($A92,$B92)</f>
        <v>17.957728137417401</v>
      </c>
    </row>
    <row r="93" spans="1:22">
      <c r="A93" t="str">
        <f>_meta!A92</f>
        <v>9636.HK</v>
      </c>
      <c r="B93">
        <f t="shared" si="2"/>
        <v>46167</v>
      </c>
      <c r="C93">
        <f>[1]!s_west_netprofit($A93,YEAR($B93),$B93,180,1000000)</f>
        <v>1094.8888890000001</v>
      </c>
      <c r="D93">
        <f>[1]!s_west_eps($A93,YEAR($B93),$B93,180)</f>
        <v>2.3376999999999999</v>
      </c>
      <c r="E93">
        <f>[1]!s_west_instnum_np($A93,YEAR($B93),$B93,180)</f>
        <v>9</v>
      </c>
      <c r="F93">
        <f>[1]!s_west_stdnetprofit($A93,YEAR($B93),$B93,180,1000000)</f>
        <v>262.25009299999999</v>
      </c>
      <c r="G93">
        <f>[1]!s_west_mediannetprofit($A93,YEAR($B93),$B93,180,1000000)</f>
        <v>965</v>
      </c>
      <c r="H93">
        <f>[1]!s_west_netprofit($A93,YEAR($B93)+1,$B93,180,1000000)</f>
        <v>1258.1111109999999</v>
      </c>
      <c r="I93">
        <f>[1]!s_west_eps($A93,YEAR($B93)+1,$B93,180)</f>
        <v>2.6861999999999999</v>
      </c>
      <c r="J93">
        <f>[1]!s_west_instnum_np($A93,YEAR($B93)+1,$B93,180)</f>
        <v>9</v>
      </c>
      <c r="K93">
        <f>[1]!s_west_stdnetprofit($A93,YEAR($B93)+1,$B93,180,1000000)</f>
        <v>301.26543299999997</v>
      </c>
      <c r="L93">
        <f>[1]!s_west_mediannetprofit($A93,YEAR($B93)+1,$B93,180,1000000)</f>
        <v>1136</v>
      </c>
      <c r="M93">
        <f>[1]!s_dq_close($A93,$B93,3)</f>
        <v>30.42</v>
      </c>
      <c r="N93">
        <f>[1]!s_dq_volume($A93,$B93)</f>
        <v>0</v>
      </c>
      <c r="O93">
        <f>[1]!s_dq_amount($A93,$B93)</f>
        <v>0</v>
      </c>
      <c r="P93">
        <f>[1]!s_dq_turn($A93,$B93)</f>
        <v>0</v>
      </c>
      <c r="Q93">
        <f>[1]!s_val_pe_ttm($A93,$B93)</f>
        <v>14.393390655517599</v>
      </c>
      <c r="R93">
        <f>[1]!S_VAL_MV($A93,$B93,100000000)</f>
        <v>142.4741994</v>
      </c>
      <c r="S93">
        <f>[1]!s_val_pb($A93,$B93)</f>
        <v>4.3327197614772901</v>
      </c>
      <c r="T93">
        <f>[1]!s_west_avgroe($A93,YEAR($B93),$B93,180)</f>
        <v>30.71</v>
      </c>
      <c r="U93">
        <f>[1]!s_val_dividendyield2($A93,$B93)</f>
        <v>2.7150170460968401</v>
      </c>
      <c r="V93">
        <f>[1]!s_val_evtoebitda($A93,$B93)</f>
        <v>9.3636362865686493</v>
      </c>
    </row>
    <row r="94" spans="1:22">
      <c r="A94" t="str">
        <f>_meta!A93</f>
        <v>9660.HK</v>
      </c>
      <c r="B94">
        <f t="shared" si="2"/>
        <v>46167</v>
      </c>
      <c r="C94">
        <f>[1]!s_west_netprofit($A94,YEAR($B94),$B94,180,1000000)</f>
        <v>-2996.3492799999999</v>
      </c>
      <c r="D94">
        <f>[1]!s_west_eps($A94,YEAR($B94),$B94,180)</f>
        <v>-0.20449999999999999</v>
      </c>
      <c r="E94">
        <f>[1]!s_west_instnum_np($A94,YEAR($B94),$B94,180)</f>
        <v>25</v>
      </c>
      <c r="F94">
        <f>[1]!s_west_stdnetprofit($A94,YEAR($B94),$B94,180,1000000)</f>
        <v>866.43807200000003</v>
      </c>
      <c r="G94">
        <f>[1]!s_west_mediannetprofit($A94,YEAR($B94),$B94,180,1000000)</f>
        <v>-2918</v>
      </c>
      <c r="H94">
        <f>[1]!s_west_netprofit($A94,YEAR($B94)+1,$B94,180,1000000)</f>
        <v>-1248.4228000000001</v>
      </c>
      <c r="I94">
        <f>[1]!s_west_eps($A94,YEAR($B94)+1,$B94,180)</f>
        <v>-8.5199999999999998E-2</v>
      </c>
      <c r="J94">
        <f>[1]!s_west_instnum_np($A94,YEAR($B94)+1,$B94,180)</f>
        <v>25</v>
      </c>
      <c r="K94">
        <f>[1]!s_west_stdnetprofit($A94,YEAR($B94)+1,$B94,180,1000000)</f>
        <v>847.764814</v>
      </c>
      <c r="L94">
        <f>[1]!s_west_mediannetprofit($A94,YEAR($B94)+1,$B94,180,1000000)</f>
        <v>-1260</v>
      </c>
      <c r="M94">
        <f>[1]!s_dq_close($A94,$B94,3)</f>
        <v>6.03</v>
      </c>
      <c r="N94">
        <f>[1]!s_dq_volume($A94,$B94)</f>
        <v>0</v>
      </c>
      <c r="O94">
        <f>[1]!s_dq_amount($A94,$B94)</f>
        <v>0</v>
      </c>
      <c r="P94">
        <f>[1]!s_dq_turn($A94,$B94)</f>
        <v>0</v>
      </c>
      <c r="Q94">
        <f>[1]!s_val_pe_ttm($A94,$B94)</f>
        <v>-7.6225214004516602</v>
      </c>
      <c r="R94">
        <f>[1]!S_VAL_MV($A94,$B94,100000000)</f>
        <v>883.50866459550002</v>
      </c>
      <c r="S94">
        <f>[1]!s_val_pb($A94,$B94)</f>
        <v>6.3136900912423801</v>
      </c>
      <c r="T94">
        <f>[1]!s_west_avgroe($A94,YEAR($B94),$B94,180)</f>
        <v>-31.521799999999999</v>
      </c>
      <c r="U94">
        <f>[1]!s_val_dividendyield2($A94,$B94)</f>
        <v>0</v>
      </c>
      <c r="V94">
        <f>[1]!s_val_evtoebitda($A94,$B94)</f>
        <v>0</v>
      </c>
    </row>
    <row r="95" spans="1:22">
      <c r="A95" t="str">
        <f>_meta!A94</f>
        <v>9688.HK</v>
      </c>
      <c r="B95">
        <f t="shared" si="2"/>
        <v>46167</v>
      </c>
      <c r="C95">
        <f>[1]!s_west_netprofit($A95,YEAR($B95),$B95,180,1000000)</f>
        <v>-194.226</v>
      </c>
      <c r="D95">
        <f>[1]!s_west_eps($A95,YEAR($B95),$B95,180)</f>
        <v>-0.17130000000000001</v>
      </c>
      <c r="E95">
        <f>[1]!s_west_instnum_np($A95,YEAR($B95),$B95,180)</f>
        <v>10</v>
      </c>
      <c r="F95">
        <f>[1]!s_west_stdnetprofit($A95,YEAR($B95),$B95,180,1000000)</f>
        <v>69.345028999999997</v>
      </c>
      <c r="G95">
        <f>[1]!s_west_mediannetprofit($A95,YEAR($B95),$B95,180,1000000)</f>
        <v>-211.5</v>
      </c>
      <c r="H95">
        <f>[1]!s_west_netprofit($A95,YEAR($B95)+1,$B95,180,1000000)</f>
        <v>-151.47300000000001</v>
      </c>
      <c r="I95">
        <f>[1]!s_west_eps($A95,YEAR($B95)+1,$B95,180)</f>
        <v>-0.1336</v>
      </c>
      <c r="J95">
        <f>[1]!s_west_instnum_np($A95,YEAR($B95)+1,$B95,180)</f>
        <v>10</v>
      </c>
      <c r="K95">
        <f>[1]!s_west_stdnetprofit($A95,YEAR($B95)+1,$B95,180,1000000)</f>
        <v>95.713133999999997</v>
      </c>
      <c r="L95">
        <f>[1]!s_west_mediannetprofit($A95,YEAR($B95)+1,$B95,180,1000000)</f>
        <v>-182.5</v>
      </c>
      <c r="M95">
        <f>[1]!s_dq_close($A95,$B95,3)</f>
        <v>14.69</v>
      </c>
      <c r="N95">
        <f>[1]!s_dq_volume($A95,$B95)</f>
        <v>0</v>
      </c>
      <c r="O95">
        <f>[1]!s_dq_amount($A95,$B95)</f>
        <v>0</v>
      </c>
      <c r="P95">
        <f>[1]!s_dq_turn($A95,$B95)</f>
        <v>0</v>
      </c>
      <c r="Q95">
        <f>[1]!s_val_pe_ttm($A95,$B95)</f>
        <v>-11.935787200927701</v>
      </c>
      <c r="R95">
        <f>[1]!S_VAL_MV($A95,$B95,100000000)</f>
        <v>166.60340760700001</v>
      </c>
      <c r="S95">
        <f>[1]!s_val_pb($A95,$B95)</f>
        <v>2.99217232347271</v>
      </c>
      <c r="T95">
        <f>[1]!s_west_avgroe($A95,YEAR($B95),$B95,180)</f>
        <v>0</v>
      </c>
      <c r="U95">
        <f>[1]!s_val_dividendyield2($A95,$B95)</f>
        <v>0</v>
      </c>
      <c r="V95">
        <f>[1]!s_val_evtoebitda($A95,$B95)</f>
        <v>-8.6471974857281193</v>
      </c>
    </row>
    <row r="96" spans="1:22">
      <c r="A96" t="str">
        <f>_meta!A95</f>
        <v>9863.HK</v>
      </c>
      <c r="B96">
        <f t="shared" si="2"/>
        <v>46167</v>
      </c>
      <c r="C96">
        <f>[1]!s_west_netprofit($A96,YEAR($B96),$B96,180,1000000)</f>
        <v>4012.7994739999999</v>
      </c>
      <c r="D96">
        <f>[1]!s_west_eps($A96,YEAR($B96),$B96,180)</f>
        <v>2.8216000000000001</v>
      </c>
      <c r="E96">
        <f>[1]!s_west_instnum_np($A96,YEAR($B96),$B96,180)</f>
        <v>19</v>
      </c>
      <c r="F96">
        <f>[1]!s_west_stdnetprofit($A96,YEAR($B96),$B96,180,1000000)</f>
        <v>744.15178800000001</v>
      </c>
      <c r="G96">
        <f>[1]!s_west_mediannetprofit($A96,YEAR($B96),$B96,180,1000000)</f>
        <v>4198</v>
      </c>
      <c r="H96">
        <f>[1]!s_west_netprofit($A96,YEAR($B96)+1,$B96,180,1000000)</f>
        <v>6866.9733329999999</v>
      </c>
      <c r="I96">
        <f>[1]!s_west_eps($A96,YEAR($B96)+1,$B96,180)</f>
        <v>4.8295000000000003</v>
      </c>
      <c r="J96">
        <f>[1]!s_west_instnum_np($A96,YEAR($B96)+1,$B96,180)</f>
        <v>18</v>
      </c>
      <c r="K96">
        <f>[1]!s_west_stdnetprofit($A96,YEAR($B96)+1,$B96,180,1000000)</f>
        <v>1550.8367410000001</v>
      </c>
      <c r="L96">
        <f>[1]!s_west_mediannetprofit($A96,YEAR($B96)+1,$B96,180,1000000)</f>
        <v>6674.5</v>
      </c>
      <c r="M96">
        <f>[1]!s_dq_close($A96,$B96,3)</f>
        <v>42.68</v>
      </c>
      <c r="N96">
        <f>[1]!s_dq_volume($A96,$B96)</f>
        <v>0</v>
      </c>
      <c r="O96">
        <f>[1]!s_dq_amount($A96,$B96)</f>
        <v>0</v>
      </c>
      <c r="P96">
        <f>[1]!s_dq_turn($A96,$B96)</f>
        <v>0</v>
      </c>
      <c r="Q96">
        <f>[1]!s_val_pe_ttm($A96,$B96)</f>
        <v>101.803268432617</v>
      </c>
      <c r="R96">
        <f>[1]!S_VAL_MV($A96,$B96,100000000)</f>
        <v>606.82963987360006</v>
      </c>
      <c r="S96">
        <f>[1]!s_val_pb($A96,$B96)</f>
        <v>3.8823393182152501</v>
      </c>
      <c r="T96">
        <f>[1]!s_west_avgroe($A96,YEAR($B96),$B96,180)</f>
        <v>89.114099999999993</v>
      </c>
      <c r="U96">
        <f>[1]!s_val_dividendyield2($A96,$B96)</f>
        <v>0</v>
      </c>
      <c r="V96">
        <f>[1]!s_val_evtoebitda($A96,$B96)</f>
        <v>33.549426780404502</v>
      </c>
    </row>
    <row r="97" spans="1:22">
      <c r="A97" t="str">
        <f>_meta!A96</f>
        <v>9868.HK</v>
      </c>
      <c r="B97">
        <f t="shared" si="2"/>
        <v>46167</v>
      </c>
      <c r="C97">
        <f>[1]!s_west_netprofit($A97,YEAR($B97),$B97,180,1000000)</f>
        <v>446.20916499999998</v>
      </c>
      <c r="D97">
        <f>[1]!s_west_eps($A97,YEAR($B97),$B97,180)</f>
        <v>0.2331</v>
      </c>
      <c r="E97">
        <f>[1]!s_west_instnum_np($A97,YEAR($B97),$B97,180)</f>
        <v>27</v>
      </c>
      <c r="F97">
        <f>[1]!s_west_stdnetprofit($A97,YEAR($B97),$B97,180,1000000)</f>
        <v>1312.3994150000001</v>
      </c>
      <c r="G97">
        <f>[1]!s_west_mediannetprofit($A97,YEAR($B97),$B97,180,1000000)</f>
        <v>620</v>
      </c>
      <c r="H97">
        <f>[1]!s_west_netprofit($A97,YEAR($B97)+1,$B97,180,1000000)</f>
        <v>3087.777407</v>
      </c>
      <c r="I97">
        <f>[1]!s_west_eps($A97,YEAR($B97)+1,$B97,180)</f>
        <v>1.6129</v>
      </c>
      <c r="J97">
        <f>[1]!s_west_instnum_np($A97,YEAR($B97)+1,$B97,180)</f>
        <v>27</v>
      </c>
      <c r="K97">
        <f>[1]!s_west_stdnetprofit($A97,YEAR($B97)+1,$B97,180,1000000)</f>
        <v>1685.7930200000001</v>
      </c>
      <c r="L97">
        <f>[1]!s_west_mediannetprofit($A97,YEAR($B97)+1,$B97,180,1000000)</f>
        <v>3030</v>
      </c>
      <c r="M97">
        <f>[1]!s_dq_close($A97,$B97,3)</f>
        <v>62.6</v>
      </c>
      <c r="N97">
        <f>[1]!s_dq_volume($A97,$B97)</f>
        <v>0</v>
      </c>
      <c r="O97">
        <f>[1]!s_dq_amount($A97,$B97)</f>
        <v>0</v>
      </c>
      <c r="P97">
        <f>[1]!s_dq_turn($A97,$B97)</f>
        <v>0</v>
      </c>
      <c r="Q97">
        <f>[1]!s_val_pe_ttm($A97,$B97)</f>
        <v>-94.997863769531193</v>
      </c>
      <c r="R97">
        <f>[1]!S_VAL_MV($A97,$B97,100000000)</f>
        <v>1198.4485051060001</v>
      </c>
      <c r="S97">
        <f>[1]!s_val_pb($A97,$B97)</f>
        <v>3.5644152684791801</v>
      </c>
      <c r="T97">
        <f>[1]!s_west_avgroe($A97,YEAR($B97),$B97,180)</f>
        <v>3.9112</v>
      </c>
      <c r="U97">
        <f>[1]!s_val_dividendyield2($A97,$B97)</f>
        <v>0</v>
      </c>
      <c r="V97">
        <f>[1]!s_val_evtoebitda($A97,$B97)</f>
        <v>99.652934026227101</v>
      </c>
    </row>
    <row r="98" spans="1:22">
      <c r="A98" t="str">
        <f>_meta!A97</f>
        <v>9880.HK</v>
      </c>
      <c r="B98">
        <f t="shared" si="2"/>
        <v>46167</v>
      </c>
      <c r="C98">
        <f>[1]!s_west_netprofit($A98,YEAR($B98),$B98,180,1000000)</f>
        <v>-293.951818</v>
      </c>
      <c r="D98">
        <f>[1]!s_west_eps($A98,YEAR($B98),$B98,180)</f>
        <v>-0.58379999999999999</v>
      </c>
      <c r="E98">
        <f>[1]!s_west_instnum_np($A98,YEAR($B98),$B98,180)</f>
        <v>11</v>
      </c>
      <c r="F98">
        <f>[1]!s_west_stdnetprofit($A98,YEAR($B98),$B98,180,1000000)</f>
        <v>159.72486799999999</v>
      </c>
      <c r="G98">
        <f>[1]!s_west_mediannetprofit($A98,YEAR($B98),$B98,180,1000000)</f>
        <v>-304</v>
      </c>
      <c r="H98">
        <f>[1]!s_west_netprofit($A98,YEAR($B98)+1,$B98,180,1000000)</f>
        <v>106.22499999999999</v>
      </c>
      <c r="I98">
        <f>[1]!s_west_eps($A98,YEAR($B98)+1,$B98,180)</f>
        <v>0.21099999999999999</v>
      </c>
      <c r="J98">
        <f>[1]!s_west_instnum_np($A98,YEAR($B98)+1,$B98,180)</f>
        <v>8</v>
      </c>
      <c r="K98">
        <f>[1]!s_west_stdnetprofit($A98,YEAR($B98)+1,$B98,180,1000000)</f>
        <v>265.46757500000001</v>
      </c>
      <c r="L98">
        <f>[1]!s_west_mediannetprofit($A98,YEAR($B98)+1,$B98,180,1000000)</f>
        <v>68.900000000000006</v>
      </c>
      <c r="M98">
        <f>[1]!s_dq_close($A98,$B98,3)</f>
        <v>123.9</v>
      </c>
      <c r="N98">
        <f>[1]!s_dq_volume($A98,$B98)</f>
        <v>0</v>
      </c>
      <c r="O98">
        <f>[1]!s_dq_amount($A98,$B98)</f>
        <v>0</v>
      </c>
      <c r="P98">
        <f>[1]!s_dq_turn($A98,$B98)</f>
        <v>0</v>
      </c>
      <c r="Q98">
        <f>[1]!s_val_pe_ttm($A98,$B98)</f>
        <v>-80.113540649414105</v>
      </c>
      <c r="R98">
        <f>[1]!S_VAL_MV($A98,$B98,100000000)</f>
        <v>623.71430114700001</v>
      </c>
      <c r="S98">
        <f>[1]!s_val_pb($A98,$B98)</f>
        <v>7.8048257655527902</v>
      </c>
      <c r="T98">
        <f>[1]!s_west_avgroe($A98,YEAR($B98),$B98,180)</f>
        <v>-5.8369999999999997</v>
      </c>
      <c r="U98">
        <f>[1]!s_val_dividendyield2($A98,$B98)</f>
        <v>0</v>
      </c>
      <c r="V98">
        <f>[1]!s_val_evtoebitda($A98,$B98)</f>
        <v>0</v>
      </c>
    </row>
    <row r="99" spans="1:22">
      <c r="A99" t="str">
        <f>_meta!A98</f>
        <v>9899.HK</v>
      </c>
      <c r="B99">
        <f t="shared" si="2"/>
        <v>46167</v>
      </c>
      <c r="C99">
        <f>[1]!s_west_netprofit($A99,YEAR($B99),$B99,180,1000000)</f>
        <v>2094.2307689999998</v>
      </c>
      <c r="D99">
        <f>[1]!s_west_eps($A99,YEAR($B99),$B99,180)</f>
        <v>9.6096000000000004</v>
      </c>
      <c r="E99">
        <f>[1]!s_west_instnum_np($A99,YEAR($B99),$B99,180)</f>
        <v>13</v>
      </c>
      <c r="F99">
        <f>[1]!s_west_stdnetprofit($A99,YEAR($B99),$B99,180,1000000)</f>
        <v>70.494862999999995</v>
      </c>
      <c r="G99">
        <f>[1]!s_west_mediannetprofit($A99,YEAR($B99),$B99,180,1000000)</f>
        <v>2114</v>
      </c>
      <c r="H99">
        <f>[1]!s_west_netprofit($A99,YEAR($B99)+1,$B99,180,1000000)</f>
        <v>2346.3571430000002</v>
      </c>
      <c r="I99">
        <f>[1]!s_west_eps($A99,YEAR($B99)+1,$B99,180)</f>
        <v>10.767200000000001</v>
      </c>
      <c r="J99">
        <f>[1]!s_west_instnum_np($A99,YEAR($B99)+1,$B99,180)</f>
        <v>14</v>
      </c>
      <c r="K99">
        <f>[1]!s_west_stdnetprofit($A99,YEAR($B99)+1,$B99,180,1000000)</f>
        <v>127.440247</v>
      </c>
      <c r="L99">
        <f>[1]!s_west_mediannetprofit($A99,YEAR($B99)+1,$B99,180,1000000)</f>
        <v>2353.5</v>
      </c>
      <c r="M99">
        <f>[1]!s_dq_close($A99,$B99,3)</f>
        <v>117.7</v>
      </c>
      <c r="N99">
        <f>[1]!s_dq_volume($A99,$B99)</f>
        <v>0</v>
      </c>
      <c r="O99">
        <f>[1]!s_dq_amount($A99,$B99)</f>
        <v>0</v>
      </c>
      <c r="P99">
        <f>[1]!s_dq_turn($A99,$B99)</f>
        <v>0</v>
      </c>
      <c r="Q99">
        <f>[1]!s_val_pe_ttm($A99,$B99)</f>
        <v>8.4296483993530291</v>
      </c>
      <c r="R99">
        <f>[1]!S_VAL_MV($A99,$B99,100000000)</f>
        <v>256.48726853200003</v>
      </c>
      <c r="S99">
        <f>[1]!s_val_pb($A99,$B99)</f>
        <v>1.80011359227976</v>
      </c>
      <c r="T99">
        <f>[1]!s_west_avgroe($A99,YEAR($B99),$B99,180)</f>
        <v>14.4009</v>
      </c>
      <c r="U99">
        <f>[1]!s_val_dividendyield2($A99,$B99)</f>
        <v>0</v>
      </c>
      <c r="V99">
        <f>[1]!s_val_evtoebitda($A99,$B99)</f>
        <v>12.2646450741228</v>
      </c>
    </row>
    <row r="100" spans="1:22">
      <c r="A100" t="str">
        <f>_meta!A99</f>
        <v>9926.HK</v>
      </c>
      <c r="B100">
        <f t="shared" si="2"/>
        <v>46167</v>
      </c>
      <c r="C100">
        <f>[1]!s_west_netprofit($A100,YEAR($B100),$B100,180,1000000)</f>
        <v>6.309831</v>
      </c>
      <c r="D100">
        <f>[1]!s_west_eps($A100,YEAR($B100),$B100,180)</f>
        <v>6.7999999999999996E-3</v>
      </c>
      <c r="E100">
        <f>[1]!s_west_instnum_np($A100,YEAR($B100),$B100,180)</f>
        <v>15</v>
      </c>
      <c r="F100">
        <f>[1]!s_west_stdnetprofit($A100,YEAR($B100),$B100,180,1000000)</f>
        <v>497.50896399999999</v>
      </c>
      <c r="G100">
        <f>[1]!s_west_mediannetprofit($A100,YEAR($B100),$B100,180,1000000)</f>
        <v>28.7</v>
      </c>
      <c r="H100">
        <f>[1]!s_west_netprofit($A100,YEAR($B100)+1,$B100,180,1000000)</f>
        <v>882.76612</v>
      </c>
      <c r="I100">
        <f>[1]!s_west_eps($A100,YEAR($B100)+1,$B100,180)</f>
        <v>0.95830000000000004</v>
      </c>
      <c r="J100">
        <f>[1]!s_west_instnum_np($A100,YEAR($B100)+1,$B100,180)</f>
        <v>15</v>
      </c>
      <c r="K100">
        <f>[1]!s_west_stdnetprofit($A100,YEAR($B100)+1,$B100,180,1000000)</f>
        <v>702.65205600000002</v>
      </c>
      <c r="L100">
        <f>[1]!s_west_mediannetprofit($A100,YEAR($B100)+1,$B100,180,1000000)</f>
        <v>1045.58</v>
      </c>
      <c r="M100">
        <f>[1]!s_dq_close($A100,$B100,3)</f>
        <v>116.6</v>
      </c>
      <c r="N100">
        <f>[1]!s_dq_volume($A100,$B100)</f>
        <v>0</v>
      </c>
      <c r="O100">
        <f>[1]!s_dq_amount($A100,$B100)</f>
        <v>0</v>
      </c>
      <c r="P100">
        <f>[1]!s_dq_turn($A100,$B100)</f>
        <v>0</v>
      </c>
      <c r="Q100">
        <f>[1]!s_val_pe_ttm($A100,$B100)</f>
        <v>-87.159416198730497</v>
      </c>
      <c r="R100">
        <f>[1]!S_VAL_MV($A100,$B100,100000000)</f>
        <v>1074.0529432160001</v>
      </c>
      <c r="S100">
        <f>[1]!s_val_pb($A100,$B100)</f>
        <v>10.7218994759615</v>
      </c>
      <c r="T100">
        <f>[1]!s_west_avgroe($A100,YEAR($B100),$B100,180)</f>
        <v>0.14430000000000001</v>
      </c>
      <c r="U100">
        <f>[1]!s_val_dividendyield2($A100,$B100)</f>
        <v>0</v>
      </c>
      <c r="V100">
        <f>[1]!s_val_evtoebitda($A100,$B100)</f>
        <v>-97.389925598401206</v>
      </c>
    </row>
    <row r="101" spans="1:22">
      <c r="A101" t="str">
        <f>_meta!A100</f>
        <v>9969.HK</v>
      </c>
      <c r="B101">
        <f t="shared" si="2"/>
        <v>46167</v>
      </c>
      <c r="C101">
        <f>[1]!s_west_netprofit($A101,YEAR($B101),$B101,180,1000000)</f>
        <v>193.60055199999999</v>
      </c>
      <c r="D101">
        <f>[1]!s_west_eps($A101,YEAR($B101),$B101,180)</f>
        <v>0.10970000000000001</v>
      </c>
      <c r="E101">
        <f>[1]!s_west_instnum_np($A101,YEAR($B101),$B101,180)</f>
        <v>6</v>
      </c>
      <c r="F101">
        <f>[1]!s_west_stdnetprofit($A101,YEAR($B101),$B101,180,1000000)</f>
        <v>198.17487199999999</v>
      </c>
      <c r="G101">
        <f>[1]!s_west_mediannetprofit($A101,YEAR($B101),$B101,180,1000000)</f>
        <v>112</v>
      </c>
      <c r="H101">
        <f>[1]!s_west_netprofit($A101,YEAR($B101)+1,$B101,180,1000000)</f>
        <v>328.21946000000003</v>
      </c>
      <c r="I101">
        <f>[1]!s_west_eps($A101,YEAR($B101)+1,$B101,180)</f>
        <v>0.186</v>
      </c>
      <c r="J101">
        <f>[1]!s_west_instnum_np($A101,YEAR($B101)+1,$B101,180)</f>
        <v>6</v>
      </c>
      <c r="K101">
        <f>[1]!s_west_stdnetprofit($A101,YEAR($B101)+1,$B101,180,1000000)</f>
        <v>251.97678199999999</v>
      </c>
      <c r="L101">
        <f>[1]!s_west_mediannetprofit($A101,YEAR($B101)+1,$B101,180,1000000)</f>
        <v>252</v>
      </c>
      <c r="M101">
        <f>[1]!s_dq_close($A101,$B101,3)</f>
        <v>12.01</v>
      </c>
      <c r="N101">
        <f>[1]!s_dq_volume($A101,$B101)</f>
        <v>0</v>
      </c>
      <c r="O101">
        <f>[1]!s_dq_amount($A101,$B101)</f>
        <v>0</v>
      </c>
      <c r="P101">
        <f>[1]!s_dq_turn($A101,$B101)</f>
        <v>0</v>
      </c>
      <c r="Q101">
        <f>[1]!s_val_pe_ttm($A101,$B101)</f>
        <v>25.6227016448975</v>
      </c>
      <c r="R101">
        <f>[1]!S_VAL_MV($A101,$B101,100000000)</f>
        <v>211.9337386352</v>
      </c>
      <c r="S101">
        <f>[1]!s_val_pb($A101,$B101)</f>
        <v>2.4773803076644199</v>
      </c>
      <c r="T101">
        <f>[1]!s_west_avgroe($A101,YEAR($B101),$B101,180)</f>
        <v>1.7617</v>
      </c>
      <c r="U101">
        <f>[1]!s_val_dividendyield2($A101,$B101)</f>
        <v>0</v>
      </c>
      <c r="V101">
        <f>[1]!s_val_evtoebitda($A101,$B101)</f>
        <v>25.8718733908796</v>
      </c>
    </row>
    <row r="102" spans="1:22">
      <c r="A102" t="str">
        <f>_meta!A101</f>
        <v>9988.HK</v>
      </c>
      <c r="B102">
        <f t="shared" si="2"/>
        <v>46167</v>
      </c>
      <c r="C102">
        <f>[1]!s_west_netprofit($A102,YEAR($B102),$B102,180,1000000)</f>
        <v>0</v>
      </c>
      <c r="D102">
        <f>[1]!s_west_eps($A102,YEAR($B102),$B102,180)</f>
        <v>0</v>
      </c>
      <c r="E102">
        <f>[1]!s_west_instnum_np($A102,YEAR($B102),$B102,180)</f>
        <v>0</v>
      </c>
      <c r="F102">
        <f>[1]!s_west_stdnetprofit($A102,YEAR($B102),$B102,180,1000000)</f>
        <v>0</v>
      </c>
      <c r="G102">
        <f>[1]!s_west_mediannetprofit($A102,YEAR($B102),$B102,180,1000000)</f>
        <v>0</v>
      </c>
      <c r="H102">
        <f>[1]!s_west_netprofit($A102,YEAR($B102)+1,$B102,180,1000000)</f>
        <v>105751.02</v>
      </c>
      <c r="I102">
        <f>[1]!s_west_eps($A102,YEAR($B102)+1,$B102,180)</f>
        <v>5.5099</v>
      </c>
      <c r="J102">
        <f>[1]!s_west_instnum_np($A102,YEAR($B102)+1,$B102,180)</f>
        <v>36</v>
      </c>
      <c r="K102">
        <f>[1]!s_west_stdnetprofit($A102,YEAR($B102)+1,$B102,180,1000000)</f>
        <v>21619.823849</v>
      </c>
      <c r="L102">
        <f>[1]!s_west_mediannetprofit($A102,YEAR($B102)+1,$B102,180,1000000)</f>
        <v>105470</v>
      </c>
      <c r="M102">
        <f>[1]!s_dq_close($A102,$B102,3)</f>
        <v>127</v>
      </c>
      <c r="N102">
        <f>[1]!s_dq_volume($A102,$B102)</f>
        <v>0</v>
      </c>
      <c r="O102">
        <f>[1]!s_dq_amount($A102,$B102)</f>
        <v>0</v>
      </c>
      <c r="P102">
        <f>[1]!s_dq_turn($A102,$B102)</f>
        <v>0</v>
      </c>
      <c r="Q102">
        <f>[1]!s_val_pe_ttm($A102,$B102)</f>
        <v>20.322257995605501</v>
      </c>
      <c r="R102">
        <f>[1]!S_VAL_MV($A102,$B102,100000000)</f>
        <v>24375.201386659999</v>
      </c>
      <c r="S102">
        <f>[1]!s_val_pb($A102,$B102)</f>
        <v>2.0137980524894901</v>
      </c>
      <c r="T102">
        <f>[1]!s_west_avgroe($A102,YEAR($B102),$B102,180)</f>
        <v>0</v>
      </c>
      <c r="U102">
        <f>[1]!s_val_dividendyield2($A102,$B102)</f>
        <v>1.53597677370809</v>
      </c>
      <c r="V102">
        <f>[1]!s_val_evtoebitda($A102,$B102)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2"/>
  <sheetViews>
    <sheetView workbookViewId="0"/>
  </sheetViews>
  <sheetFormatPr baseColWidth="10" defaultColWidth="8.83203125" defaultRowHeight="14"/>
  <sheetData>
    <row r="1" spans="1:5">
      <c r="A1" s="3" t="s">
        <v>225</v>
      </c>
      <c r="B1" s="1">
        <v>46167</v>
      </c>
    </row>
    <row r="2" spans="1:5">
      <c r="A2" s="2" t="s">
        <v>203</v>
      </c>
      <c r="B2" s="2" t="s">
        <v>226</v>
      </c>
      <c r="C2" s="2" t="s">
        <v>227</v>
      </c>
      <c r="D2" s="2" t="s">
        <v>228</v>
      </c>
      <c r="E2" s="2" t="s">
        <v>229</v>
      </c>
    </row>
    <row r="3" spans="1:5">
      <c r="A3" t="str">
        <f>_meta!A2</f>
        <v>0013.HK</v>
      </c>
      <c r="B3" t="str">
        <f>[1]!S_INFO_NAME($A3)</f>
        <v>和黄医药</v>
      </c>
      <c r="C3" t="str">
        <f>[1]!hks_info_industry_sw_2021($A3,$B$1,1)</f>
        <v>医药生物</v>
      </c>
      <c r="D3" t="str">
        <f>[1]!hks_info_industry_sw_2021($A3,$B$1,2)</f>
        <v>化学制药</v>
      </c>
      <c r="E3" t="str">
        <f>[1]!s_ipo_listeddate($A3)</f>
        <v>2021-06-30</v>
      </c>
    </row>
    <row r="4" spans="1:5">
      <c r="A4" t="str">
        <f>_meta!A3</f>
        <v>0020.HK</v>
      </c>
      <c r="B4" t="str">
        <f>[1]!S_INFO_NAME($A4)</f>
        <v>商汤-W</v>
      </c>
      <c r="C4" t="str">
        <f>[1]!hks_info_industry_sw_2021($A4,$B$1,1)</f>
        <v>计算机</v>
      </c>
      <c r="D4" t="str">
        <f>[1]!hks_info_industry_sw_2021($A4,$B$1,2)</f>
        <v>IT服务Ⅱ</v>
      </c>
      <c r="E4" t="str">
        <f>[1]!s_ipo_listeddate($A4)</f>
        <v>2021-12-30</v>
      </c>
    </row>
    <row r="5" spans="1:5">
      <c r="A5" t="str">
        <f>_meta!A4</f>
        <v>0136.HK</v>
      </c>
      <c r="B5" t="str">
        <f>[1]!S_INFO_NAME($A5)</f>
        <v>中国儒意</v>
      </c>
      <c r="C5" t="str">
        <f>[1]!hks_info_industry_sw_2021($A5,$B$1,1)</f>
        <v>传媒</v>
      </c>
      <c r="D5" t="str">
        <f>[1]!hks_info_industry_sw_2021($A5,$B$1,2)</f>
        <v>影视院线</v>
      </c>
      <c r="E5" t="str">
        <f>[1]!s_ipo_listeddate($A5)</f>
        <v>1997-09-25</v>
      </c>
    </row>
    <row r="6" spans="1:5">
      <c r="A6" t="str">
        <f>_meta!A5</f>
        <v>0148.HK</v>
      </c>
      <c r="B6" t="str">
        <f>[1]!S_INFO_NAME($A6)</f>
        <v>建滔集团</v>
      </c>
      <c r="C6" t="str">
        <f>[1]!hks_info_industry_sw_2021($A6,$B$1,1)</f>
        <v>电子</v>
      </c>
      <c r="D6" t="str">
        <f>[1]!hks_info_industry_sw_2021($A6,$B$1,2)</f>
        <v>元件</v>
      </c>
      <c r="E6" t="str">
        <f>[1]!s_ipo_listeddate($A6)</f>
        <v>1993-10-08</v>
      </c>
    </row>
    <row r="7" spans="1:5">
      <c r="A7" t="str">
        <f>_meta!A6</f>
        <v>0179.HK</v>
      </c>
      <c r="B7" t="str">
        <f>[1]!S_INFO_NAME($A7)</f>
        <v>德昌电机控股</v>
      </c>
      <c r="C7" t="str">
        <f>[1]!hks_info_industry_sw_2021($A7,$B$1,1)</f>
        <v>汽车</v>
      </c>
      <c r="D7" t="str">
        <f>[1]!hks_info_industry_sw_2021($A7,$B$1,2)</f>
        <v>汽车零部件</v>
      </c>
      <c r="E7" t="str">
        <f>[1]!s_ipo_listeddate($A7)</f>
        <v>1984-07-11</v>
      </c>
    </row>
    <row r="8" spans="1:5">
      <c r="A8" t="str">
        <f>_meta!A7</f>
        <v>0241.HK</v>
      </c>
      <c r="B8" t="str">
        <f>[1]!S_INFO_NAME($A8)</f>
        <v>阿里健康</v>
      </c>
      <c r="C8" t="str">
        <f>[1]!hks_info_industry_sw_2021($A8,$B$1,1)</f>
        <v>医药生物</v>
      </c>
      <c r="D8" t="str">
        <f>[1]!hks_info_industry_sw_2021($A8,$B$1,2)</f>
        <v>医药商业</v>
      </c>
      <c r="E8" t="str">
        <f>[1]!s_ipo_listeddate($A8)</f>
        <v>1972-07-06</v>
      </c>
    </row>
    <row r="9" spans="1:5">
      <c r="A9" t="str">
        <f>_meta!A8</f>
        <v>0268.HK</v>
      </c>
      <c r="B9" t="str">
        <f>[1]!S_INFO_NAME($A9)</f>
        <v>金蝶国际</v>
      </c>
      <c r="C9" t="str">
        <f>[1]!hks_info_industry_sw_2021($A9,$B$1,1)</f>
        <v>计算机</v>
      </c>
      <c r="D9" t="str">
        <f>[1]!hks_info_industry_sw_2021($A9,$B$1,2)</f>
        <v>软件开发</v>
      </c>
      <c r="E9" t="str">
        <f>[1]!s_ipo_listeddate($A9)</f>
        <v>2001-02-15</v>
      </c>
    </row>
    <row r="10" spans="1:5">
      <c r="A10" t="str">
        <f>_meta!A9</f>
        <v>0285.HK</v>
      </c>
      <c r="B10" t="str">
        <f>[1]!S_INFO_NAME($A10)</f>
        <v>比亚迪电子</v>
      </c>
      <c r="C10" t="str">
        <f>[1]!hks_info_industry_sw_2021($A10,$B$1,1)</f>
        <v>电子</v>
      </c>
      <c r="D10" t="str">
        <f>[1]!hks_info_industry_sw_2021($A10,$B$1,2)</f>
        <v>消费电子</v>
      </c>
      <c r="E10" t="str">
        <f>[1]!s_ipo_listeddate($A10)</f>
        <v>2007-12-20</v>
      </c>
    </row>
    <row r="11" spans="1:5">
      <c r="A11" t="str">
        <f>_meta!A10</f>
        <v>0303.HK</v>
      </c>
      <c r="B11" t="str">
        <f>[1]!S_INFO_NAME($A11)</f>
        <v>伟易达</v>
      </c>
      <c r="C11" t="str">
        <f>[1]!hks_info_industry_sw_2021($A11,$B$1,1)</f>
        <v>电子</v>
      </c>
      <c r="D11" t="str">
        <f>[1]!hks_info_industry_sw_2021($A11,$B$1,2)</f>
        <v>消费电子</v>
      </c>
      <c r="E11" t="str">
        <f>[1]!s_ipo_listeddate($A11)</f>
        <v>1992-11-05</v>
      </c>
    </row>
    <row r="12" spans="1:5">
      <c r="A12" t="str">
        <f>_meta!A11</f>
        <v>0354.HK</v>
      </c>
      <c r="B12" t="str">
        <f>[1]!S_INFO_NAME($A12)</f>
        <v>中国软件国际</v>
      </c>
      <c r="C12" t="str">
        <f>[1]!hks_info_industry_sw_2021($A12,$B$1,1)</f>
        <v>计算机</v>
      </c>
      <c r="D12" t="str">
        <f>[1]!hks_info_industry_sw_2021($A12,$B$1,2)</f>
        <v>IT服务Ⅱ</v>
      </c>
      <c r="E12" t="str">
        <f>[1]!s_ipo_listeddate($A12)</f>
        <v>2003-06-20</v>
      </c>
    </row>
    <row r="13" spans="1:5">
      <c r="A13" t="str">
        <f>_meta!A12</f>
        <v>0460.HK</v>
      </c>
      <c r="B13" t="str">
        <f>[1]!S_INFO_NAME($A13)</f>
        <v>四环医药</v>
      </c>
      <c r="C13" t="str">
        <f>[1]!hks_info_industry_sw_2021($A13,$B$1,1)</f>
        <v>医药生物</v>
      </c>
      <c r="D13" t="str">
        <f>[1]!hks_info_industry_sw_2021($A13,$B$1,2)</f>
        <v>化学制药</v>
      </c>
      <c r="E13" t="str">
        <f>[1]!s_ipo_listeddate($A13)</f>
        <v>2010-10-28</v>
      </c>
    </row>
    <row r="14" spans="1:5">
      <c r="A14" t="str">
        <f>_meta!A13</f>
        <v>0512.HK</v>
      </c>
      <c r="B14" t="str">
        <f>[1]!S_INFO_NAME($A14)</f>
        <v>远大医药</v>
      </c>
      <c r="C14" t="str">
        <f>[1]!hks_info_industry_sw_2021($A14,$B$1,1)</f>
        <v>医药生物</v>
      </c>
      <c r="D14" t="str">
        <f>[1]!hks_info_industry_sw_2021($A14,$B$1,2)</f>
        <v>化学制药</v>
      </c>
      <c r="E14" t="str">
        <f>[1]!s_ipo_listeddate($A14)</f>
        <v>1995-12-19</v>
      </c>
    </row>
    <row r="15" spans="1:5">
      <c r="A15" t="str">
        <f>_meta!A14</f>
        <v>0522.HK</v>
      </c>
      <c r="B15" t="str">
        <f>[1]!S_INFO_NAME($A15)</f>
        <v>ASMPT</v>
      </c>
      <c r="C15" t="str">
        <f>[1]!hks_info_industry_sw_2021($A15,$B$1,1)</f>
        <v>电子</v>
      </c>
      <c r="D15" t="str">
        <f>[1]!hks_info_industry_sw_2021($A15,$B$1,2)</f>
        <v>半导体</v>
      </c>
      <c r="E15" t="str">
        <f>[1]!s_ipo_listeddate($A15)</f>
        <v>1989-01-03</v>
      </c>
    </row>
    <row r="16" spans="1:5">
      <c r="A16" t="str">
        <f>_meta!A15</f>
        <v>0552.HK</v>
      </c>
      <c r="B16" t="str">
        <f>[1]!S_INFO_NAME($A16)</f>
        <v>中国通信服务</v>
      </c>
      <c r="C16" t="str">
        <f>[1]!hks_info_industry_sw_2021($A16,$B$1,1)</f>
        <v>通信</v>
      </c>
      <c r="D16" t="str">
        <f>[1]!hks_info_industry_sw_2021($A16,$B$1,2)</f>
        <v>通信服务</v>
      </c>
      <c r="E16" t="str">
        <f>[1]!s_ipo_listeddate($A16)</f>
        <v>2006-12-08</v>
      </c>
    </row>
    <row r="17" spans="1:5">
      <c r="A17" t="str">
        <f>_meta!A16</f>
        <v>0696.HK</v>
      </c>
      <c r="B17" t="str">
        <f>[1]!S_INFO_NAME($A17)</f>
        <v>中国民航信息网络</v>
      </c>
      <c r="C17" t="str">
        <f>[1]!hks_info_industry_sw_2021($A17,$B$1,1)</f>
        <v>计算机</v>
      </c>
      <c r="D17" t="str">
        <f>[1]!hks_info_industry_sw_2021($A17,$B$1,2)</f>
        <v>软件开发</v>
      </c>
      <c r="E17" t="str">
        <f>[1]!s_ipo_listeddate($A17)</f>
        <v>2001-02-07</v>
      </c>
    </row>
    <row r="18" spans="1:5">
      <c r="A18" t="str">
        <f>_meta!A17</f>
        <v>0700.HK</v>
      </c>
      <c r="B18" t="str">
        <f>[1]!S_INFO_NAME($A18)</f>
        <v>腾讯控股</v>
      </c>
      <c r="C18" t="str">
        <f>[1]!hks_info_industry_sw_2021($A18,$B$1,1)</f>
        <v>传媒</v>
      </c>
      <c r="D18" t="str">
        <f>[1]!hks_info_industry_sw_2021($A18,$B$1,2)</f>
        <v>社交Ⅱ</v>
      </c>
      <c r="E18" t="str">
        <f>[1]!s_ipo_listeddate($A18)</f>
        <v>2004-06-16</v>
      </c>
    </row>
    <row r="19" spans="1:5">
      <c r="A19" t="str">
        <f>_meta!A18</f>
        <v>0763.HK</v>
      </c>
      <c r="B19" t="str">
        <f>[1]!S_INFO_NAME($A19)</f>
        <v>中兴通讯</v>
      </c>
      <c r="C19" t="str">
        <f>[1]!hks_info_industry_sw_2021($A19,$B$1,1)</f>
        <v>通信</v>
      </c>
      <c r="D19" t="str">
        <f>[1]!hks_info_industry_sw_2021($A19,$B$1,2)</f>
        <v>通信设备</v>
      </c>
      <c r="E19" t="str">
        <f>[1]!s_ipo_listeddate($A19)</f>
        <v>2004-12-09</v>
      </c>
    </row>
    <row r="20" spans="1:5">
      <c r="A20" t="str">
        <f>_meta!A19</f>
        <v>0772.HK</v>
      </c>
      <c r="B20" t="str">
        <f>[1]!S_INFO_NAME($A20)</f>
        <v>阅文集团</v>
      </c>
      <c r="C20" t="str">
        <f>[1]!hks_info_industry_sw_2021($A20,$B$1,1)</f>
        <v>传媒</v>
      </c>
      <c r="D20" t="str">
        <f>[1]!hks_info_industry_sw_2021($A20,$B$1,2)</f>
        <v>数字媒体</v>
      </c>
      <c r="E20" t="str">
        <f>[1]!s_ipo_listeddate($A20)</f>
        <v>2017-11-08</v>
      </c>
    </row>
    <row r="21" spans="1:5">
      <c r="A21" t="str">
        <f>_meta!A20</f>
        <v>0780.HK</v>
      </c>
      <c r="B21" t="str">
        <f>[1]!S_INFO_NAME($A21)</f>
        <v>同程旅行</v>
      </c>
      <c r="C21" t="str">
        <f>[1]!hks_info_industry_sw_2021($A21,$B$1,1)</f>
        <v>社会服务</v>
      </c>
      <c r="D21" t="str">
        <f>[1]!hks_info_industry_sw_2021($A21,$B$1,2)</f>
        <v>旅游及景区</v>
      </c>
      <c r="E21" t="str">
        <f>[1]!s_ipo_listeddate($A21)</f>
        <v>2018-11-26</v>
      </c>
    </row>
    <row r="22" spans="1:5">
      <c r="A22" t="str">
        <f>_meta!A21</f>
        <v>0853.HK</v>
      </c>
      <c r="B22" t="str">
        <f>[1]!S_INFO_NAME($A22)</f>
        <v>微创医疗</v>
      </c>
      <c r="C22" t="str">
        <f>[1]!hks_info_industry_sw_2021($A22,$B$1,1)</f>
        <v>医药生物</v>
      </c>
      <c r="D22" t="str">
        <f>[1]!hks_info_industry_sw_2021($A22,$B$1,2)</f>
        <v>医疗器械</v>
      </c>
      <c r="E22" t="str">
        <f>[1]!s_ipo_listeddate($A22)</f>
        <v>2010-09-24</v>
      </c>
    </row>
    <row r="23" spans="1:5">
      <c r="A23" t="str">
        <f>_meta!A22</f>
        <v>0867.HK</v>
      </c>
      <c r="B23" t="str">
        <f>[1]!S_INFO_NAME($A23)</f>
        <v>康哲药业</v>
      </c>
      <c r="C23" t="str">
        <f>[1]!hks_info_industry_sw_2021($A23,$B$1,1)</f>
        <v>医药生物</v>
      </c>
      <c r="D23" t="str">
        <f>[1]!hks_info_industry_sw_2021($A23,$B$1,2)</f>
        <v>化学制药</v>
      </c>
      <c r="E23" t="str">
        <f>[1]!s_ipo_listeddate($A23)</f>
        <v>2010-09-28</v>
      </c>
    </row>
    <row r="24" spans="1:5">
      <c r="A24" t="str">
        <f>_meta!A23</f>
        <v>0917.HK</v>
      </c>
      <c r="B24" t="str">
        <f>[1]!S_INFO_NAME($A24)</f>
        <v>趣致集团</v>
      </c>
      <c r="C24" t="str">
        <f>[1]!hks_info_industry_sw_2021($A24,$B$1,1)</f>
        <v>计算机</v>
      </c>
      <c r="D24" t="str">
        <f>[1]!hks_info_industry_sw_2021($A24,$B$1,2)</f>
        <v>软件开发</v>
      </c>
      <c r="E24" t="str">
        <f>[1]!s_ipo_listeddate($A24)</f>
        <v>2024-05-27</v>
      </c>
    </row>
    <row r="25" spans="1:5">
      <c r="A25" t="str">
        <f>_meta!A24</f>
        <v>0981.HK</v>
      </c>
      <c r="B25" t="str">
        <f>[1]!S_INFO_NAME($A25)</f>
        <v>中芯国际</v>
      </c>
      <c r="C25" t="str">
        <f>[1]!hks_info_industry_sw_2021($A25,$B$1,1)</f>
        <v>电子</v>
      </c>
      <c r="D25" t="str">
        <f>[1]!hks_info_industry_sw_2021($A25,$B$1,2)</f>
        <v>半导体</v>
      </c>
      <c r="E25" t="str">
        <f>[1]!s_ipo_listeddate($A25)</f>
        <v>2004-03-18</v>
      </c>
    </row>
    <row r="26" spans="1:5">
      <c r="A26" t="str">
        <f>_meta!A25</f>
        <v>0992.HK</v>
      </c>
      <c r="B26" t="str">
        <f>[1]!S_INFO_NAME($A26)</f>
        <v>联想集团</v>
      </c>
      <c r="C26" t="str">
        <f>[1]!hks_info_industry_sw_2021($A26,$B$1,1)</f>
        <v>计算机</v>
      </c>
      <c r="D26" t="str">
        <f>[1]!hks_info_industry_sw_2021($A26,$B$1,2)</f>
        <v>计算机设备</v>
      </c>
      <c r="E26" t="str">
        <f>[1]!s_ipo_listeddate($A26)</f>
        <v>1994-02-14</v>
      </c>
    </row>
    <row r="27" spans="1:5">
      <c r="A27" t="str">
        <f>_meta!A26</f>
        <v>1024.HK</v>
      </c>
      <c r="B27" t="str">
        <f>[1]!S_INFO_NAME($A27)</f>
        <v>快手-W</v>
      </c>
      <c r="C27" t="str">
        <f>[1]!hks_info_industry_sw_2021($A27,$B$1,1)</f>
        <v>传媒</v>
      </c>
      <c r="D27" t="str">
        <f>[1]!hks_info_industry_sw_2021($A27,$B$1,2)</f>
        <v>数字媒体</v>
      </c>
      <c r="E27" t="str">
        <f>[1]!s_ipo_listeddate($A27)</f>
        <v>2021-02-05</v>
      </c>
    </row>
    <row r="28" spans="1:5">
      <c r="A28" t="str">
        <f>_meta!A27</f>
        <v>1066.HK</v>
      </c>
      <c r="B28" t="str">
        <f>[1]!S_INFO_NAME($A28)</f>
        <v>威高股份</v>
      </c>
      <c r="C28" t="str">
        <f>[1]!hks_info_industry_sw_2021($A28,$B$1,1)</f>
        <v>医药生物</v>
      </c>
      <c r="D28" t="str">
        <f>[1]!hks_info_industry_sw_2021($A28,$B$1,2)</f>
        <v>医疗器械</v>
      </c>
      <c r="E28" t="str">
        <f>[1]!s_ipo_listeddate($A28)</f>
        <v>2004-02-27</v>
      </c>
    </row>
    <row r="29" spans="1:5">
      <c r="A29" t="str">
        <f>_meta!A28</f>
        <v>1093.HK</v>
      </c>
      <c r="B29" t="str">
        <f>[1]!S_INFO_NAME($A29)</f>
        <v>石药集团</v>
      </c>
      <c r="C29" t="str">
        <f>[1]!hks_info_industry_sw_2021($A29,$B$1,1)</f>
        <v>医药生物</v>
      </c>
      <c r="D29" t="str">
        <f>[1]!hks_info_industry_sw_2021($A29,$B$1,2)</f>
        <v>化学制药</v>
      </c>
      <c r="E29" t="str">
        <f>[1]!s_ipo_listeddate($A29)</f>
        <v>1994-06-21</v>
      </c>
    </row>
    <row r="30" spans="1:5">
      <c r="A30" t="str">
        <f>_meta!A29</f>
        <v>1177.HK</v>
      </c>
      <c r="B30" t="str">
        <f>[1]!S_INFO_NAME($A30)</f>
        <v>中国生物制药</v>
      </c>
      <c r="C30" t="str">
        <f>[1]!hks_info_industry_sw_2021($A30,$B$1,1)</f>
        <v>医药生物</v>
      </c>
      <c r="D30" t="str">
        <f>[1]!hks_info_industry_sw_2021($A30,$B$1,2)</f>
        <v>化学制药</v>
      </c>
      <c r="E30" t="str">
        <f>[1]!s_ipo_listeddate($A30)</f>
        <v>2000-09-29</v>
      </c>
    </row>
    <row r="31" spans="1:5">
      <c r="A31" t="str">
        <f>_meta!A30</f>
        <v>1211.HK</v>
      </c>
      <c r="B31" t="str">
        <f>[1]!S_INFO_NAME($A31)</f>
        <v>比亚迪股份</v>
      </c>
      <c r="C31" t="str">
        <f>[1]!hks_info_industry_sw_2021($A31,$B$1,1)</f>
        <v>汽车</v>
      </c>
      <c r="D31" t="str">
        <f>[1]!hks_info_industry_sw_2021($A31,$B$1,2)</f>
        <v>乘用车</v>
      </c>
      <c r="E31" t="str">
        <f>[1]!s_ipo_listeddate($A31)</f>
        <v>2002-07-31</v>
      </c>
    </row>
    <row r="32" spans="1:5">
      <c r="A32" t="str">
        <f>_meta!A31</f>
        <v>1316.HK</v>
      </c>
      <c r="B32" t="str">
        <f>[1]!S_INFO_NAME($A32)</f>
        <v>耐世特</v>
      </c>
      <c r="C32" t="str">
        <f>[1]!hks_info_industry_sw_2021($A32,$B$1,1)</f>
        <v>汽车</v>
      </c>
      <c r="D32" t="str">
        <f>[1]!hks_info_industry_sw_2021($A32,$B$1,2)</f>
        <v>汽车零部件</v>
      </c>
      <c r="E32" t="str">
        <f>[1]!s_ipo_listeddate($A32)</f>
        <v>2013-10-07</v>
      </c>
    </row>
    <row r="33" spans="1:5">
      <c r="A33" t="str">
        <f>_meta!A32</f>
        <v>1347.HK</v>
      </c>
      <c r="B33" t="str">
        <f>[1]!S_INFO_NAME($A33)</f>
        <v>华虹半导体</v>
      </c>
      <c r="C33" t="str">
        <f>[1]!hks_info_industry_sw_2021($A33,$B$1,1)</f>
        <v>电子</v>
      </c>
      <c r="D33" t="str">
        <f>[1]!hks_info_industry_sw_2021($A33,$B$1,2)</f>
        <v>半导体</v>
      </c>
      <c r="E33" t="str">
        <f>[1]!s_ipo_listeddate($A33)</f>
        <v>2014-10-15</v>
      </c>
    </row>
    <row r="34" spans="1:5">
      <c r="A34" t="str">
        <f>_meta!A33</f>
        <v>1357.HK</v>
      </c>
      <c r="B34" t="str">
        <f>[1]!S_INFO_NAME($A34)</f>
        <v>美图公司</v>
      </c>
      <c r="C34" t="str">
        <f>[1]!hks_info_industry_sw_2021($A34,$B$1,1)</f>
        <v>计算机</v>
      </c>
      <c r="D34" t="str">
        <f>[1]!hks_info_industry_sw_2021($A34,$B$1,2)</f>
        <v>软件开发</v>
      </c>
      <c r="E34" t="str">
        <f>[1]!s_ipo_listeddate($A34)</f>
        <v>2016-12-15</v>
      </c>
    </row>
    <row r="35" spans="1:5">
      <c r="A35" t="str">
        <f>_meta!A34</f>
        <v>1415.HK</v>
      </c>
      <c r="B35" t="str">
        <f>[1]!S_INFO_NAME($A35)</f>
        <v>高伟电子</v>
      </c>
      <c r="C35" t="str">
        <f>[1]!hks_info_industry_sw_2021($A35,$B$1,1)</f>
        <v>电子</v>
      </c>
      <c r="D35" t="str">
        <f>[1]!hks_info_industry_sw_2021($A35,$B$1,2)</f>
        <v>消费电子</v>
      </c>
      <c r="E35" t="str">
        <f>[1]!s_ipo_listeddate($A35)</f>
        <v>2015-03-31</v>
      </c>
    </row>
    <row r="36" spans="1:5">
      <c r="A36" t="str">
        <f>_meta!A35</f>
        <v>1513.HK</v>
      </c>
      <c r="B36" t="str">
        <f>[1]!S_INFO_NAME($A36)</f>
        <v>丽珠医药</v>
      </c>
      <c r="C36" t="str">
        <f>[1]!hks_info_industry_sw_2021($A36,$B$1,1)</f>
        <v>医药生物</v>
      </c>
      <c r="D36" t="str">
        <f>[1]!hks_info_industry_sw_2021($A36,$B$1,2)</f>
        <v>化学制药</v>
      </c>
      <c r="E36" t="str">
        <f>[1]!s_ipo_listeddate($A36)</f>
        <v>2014-01-16</v>
      </c>
    </row>
    <row r="37" spans="1:5">
      <c r="A37" t="str">
        <f>_meta!A36</f>
        <v>1530.HK</v>
      </c>
      <c r="B37" t="str">
        <f>[1]!S_INFO_NAME($A37)</f>
        <v>三生制药</v>
      </c>
      <c r="C37" t="str">
        <f>[1]!hks_info_industry_sw_2021($A37,$B$1,1)</f>
        <v>医药生物</v>
      </c>
      <c r="D37" t="str">
        <f>[1]!hks_info_industry_sw_2021($A37,$B$1,2)</f>
        <v>生物制品</v>
      </c>
      <c r="E37" t="str">
        <f>[1]!s_ipo_listeddate($A37)</f>
        <v>2015-06-11</v>
      </c>
    </row>
    <row r="38" spans="1:5">
      <c r="A38" t="str">
        <f>_meta!A37</f>
        <v>1548.HK</v>
      </c>
      <c r="B38" t="str">
        <f>[1]!S_INFO_NAME($A38)</f>
        <v>金斯瑞生物科技</v>
      </c>
      <c r="C38" t="str">
        <f>[1]!hks_info_industry_sw_2021($A38,$B$1,1)</f>
        <v>医药生物</v>
      </c>
      <c r="D38" t="str">
        <f>[1]!hks_info_industry_sw_2021($A38,$B$1,2)</f>
        <v>生物制品</v>
      </c>
      <c r="E38" t="str">
        <f>[1]!s_ipo_listeddate($A38)</f>
        <v>2015-12-30</v>
      </c>
    </row>
    <row r="39" spans="1:5">
      <c r="A39" t="str">
        <f>_meta!A38</f>
        <v>1585.HK</v>
      </c>
      <c r="B39" t="str">
        <f>[1]!S_INFO_NAME($A39)</f>
        <v>雅迪控股</v>
      </c>
      <c r="C39" t="str">
        <f>[1]!hks_info_industry_sw_2021($A39,$B$1,1)</f>
        <v>汽车</v>
      </c>
      <c r="D39" t="str">
        <f>[1]!hks_info_industry_sw_2021($A39,$B$1,2)</f>
        <v>摩托车及其他</v>
      </c>
      <c r="E39" t="str">
        <f>[1]!s_ipo_listeddate($A39)</f>
        <v>2016-05-19</v>
      </c>
    </row>
    <row r="40" spans="1:5">
      <c r="A40" t="str">
        <f>_meta!A39</f>
        <v>1686.HK</v>
      </c>
      <c r="B40" t="str">
        <f>[1]!S_INFO_NAME($A40)</f>
        <v>新意网集团</v>
      </c>
      <c r="C40" t="str">
        <f>[1]!hks_info_industry_sw_2021($A40,$B$1,1)</f>
        <v>计算机</v>
      </c>
      <c r="D40" t="str">
        <f>[1]!hks_info_industry_sw_2021($A40,$B$1,2)</f>
        <v>IT服务Ⅱ</v>
      </c>
      <c r="E40" t="str">
        <f>[1]!s_ipo_listeddate($A40)</f>
        <v>2000-03-17</v>
      </c>
    </row>
    <row r="41" spans="1:5">
      <c r="A41" t="str">
        <f>_meta!A40</f>
        <v>1772.HK</v>
      </c>
      <c r="B41" t="str">
        <f>[1]!S_INFO_NAME($A41)</f>
        <v>赣锋锂业</v>
      </c>
      <c r="C41" t="str">
        <f>[1]!hks_info_industry_sw_2021($A41,$B$1,1)</f>
        <v>有色金属</v>
      </c>
      <c r="D41" t="str">
        <f>[1]!hks_info_industry_sw_2021($A41,$B$1,2)</f>
        <v>能源金属</v>
      </c>
      <c r="E41" t="str">
        <f>[1]!s_ipo_listeddate($A41)</f>
        <v>2018-10-11</v>
      </c>
    </row>
    <row r="42" spans="1:5">
      <c r="A42" t="str">
        <f>_meta!A41</f>
        <v>1797.HK</v>
      </c>
      <c r="B42" t="str">
        <f>[1]!S_INFO_NAME($A42)</f>
        <v>东方甄选</v>
      </c>
      <c r="C42" t="str">
        <f>[1]!hks_info_industry_sw_2021($A42,$B$1,1)</f>
        <v>社会服务</v>
      </c>
      <c r="D42" t="str">
        <f>[1]!hks_info_industry_sw_2021($A42,$B$1,2)</f>
        <v>教育</v>
      </c>
      <c r="E42" t="str">
        <f>[1]!s_ipo_listeddate($A42)</f>
        <v>2019-03-28</v>
      </c>
    </row>
    <row r="43" spans="1:5">
      <c r="A43" t="str">
        <f>_meta!A42</f>
        <v>1801.HK</v>
      </c>
      <c r="B43" t="str">
        <f>[1]!S_INFO_NAME($A43)</f>
        <v>信达生物</v>
      </c>
      <c r="C43" t="str">
        <f>[1]!hks_info_industry_sw_2021($A43,$B$1,1)</f>
        <v>医药生物</v>
      </c>
      <c r="D43" t="str">
        <f>[1]!hks_info_industry_sw_2021($A43,$B$1,2)</f>
        <v>生物制品</v>
      </c>
      <c r="E43" t="str">
        <f>[1]!s_ipo_listeddate($A43)</f>
        <v>2018-10-31</v>
      </c>
    </row>
    <row r="44" spans="1:5">
      <c r="A44" t="str">
        <f>_meta!A43</f>
        <v>1810.HK</v>
      </c>
      <c r="B44" t="str">
        <f>[1]!S_INFO_NAME($A44)</f>
        <v>小米集团-W</v>
      </c>
      <c r="C44" t="str">
        <f>[1]!hks_info_industry_sw_2021($A44,$B$1,1)</f>
        <v>电子</v>
      </c>
      <c r="D44" t="str">
        <f>[1]!hks_info_industry_sw_2021($A44,$B$1,2)</f>
        <v>消费电子</v>
      </c>
      <c r="E44" t="str">
        <f>[1]!s_ipo_listeddate($A44)</f>
        <v>2018-07-09</v>
      </c>
    </row>
    <row r="45" spans="1:5">
      <c r="A45" t="str">
        <f>_meta!A44</f>
        <v>1833.HK</v>
      </c>
      <c r="B45" t="str">
        <f>[1]!S_INFO_NAME($A45)</f>
        <v>平安好医生</v>
      </c>
      <c r="C45" t="str">
        <f>[1]!hks_info_industry_sw_2021($A45,$B$1,1)</f>
        <v>医药生物</v>
      </c>
      <c r="D45" t="str">
        <f>[1]!hks_info_industry_sw_2021($A45,$B$1,2)</f>
        <v>医药商业</v>
      </c>
      <c r="E45" t="str">
        <f>[1]!s_ipo_listeddate($A45)</f>
        <v>2018-05-04</v>
      </c>
    </row>
    <row r="46" spans="1:5">
      <c r="A46" t="str">
        <f>_meta!A45</f>
        <v>1860.HK</v>
      </c>
      <c r="B46" t="str">
        <f>[1]!S_INFO_NAME($A46)</f>
        <v>汇量科技</v>
      </c>
      <c r="C46" t="str">
        <f>[1]!hks_info_industry_sw_2021($A46,$B$1,1)</f>
        <v>传媒</v>
      </c>
      <c r="D46" t="str">
        <f>[1]!hks_info_industry_sw_2021($A46,$B$1,2)</f>
        <v>广告营销</v>
      </c>
      <c r="E46" t="str">
        <f>[1]!s_ipo_listeddate($A46)</f>
        <v>2018-12-12</v>
      </c>
    </row>
    <row r="47" spans="1:5">
      <c r="A47" t="str">
        <f>_meta!A46</f>
        <v>1888.HK</v>
      </c>
      <c r="B47" t="str">
        <f>[1]!S_INFO_NAME($A47)</f>
        <v>建滔积层板</v>
      </c>
      <c r="C47" t="str">
        <f>[1]!hks_info_industry_sw_2021($A47,$B$1,1)</f>
        <v>电子</v>
      </c>
      <c r="D47" t="str">
        <f>[1]!hks_info_industry_sw_2021($A47,$B$1,2)</f>
        <v>元件</v>
      </c>
      <c r="E47" t="str">
        <f>[1]!s_ipo_listeddate($A47)</f>
        <v>2006-12-07</v>
      </c>
    </row>
    <row r="48" spans="1:5">
      <c r="A48" t="str">
        <f>_meta!A47</f>
        <v>1896.HK</v>
      </c>
      <c r="B48" t="str">
        <f>[1]!S_INFO_NAME($A48)</f>
        <v>猫眼娱乐</v>
      </c>
      <c r="C48" t="str">
        <f>[1]!hks_info_industry_sw_2021($A48,$B$1,1)</f>
        <v>商贸零售</v>
      </c>
      <c r="D48" t="str">
        <f>[1]!hks_info_industry_sw_2021($A48,$B$1,2)</f>
        <v>互联网电商</v>
      </c>
      <c r="E48" t="str">
        <f>[1]!s_ipo_listeddate($A48)</f>
        <v>2019-02-04</v>
      </c>
    </row>
    <row r="49" spans="1:5">
      <c r="A49" t="str">
        <f>_meta!A48</f>
        <v>1952.HK</v>
      </c>
      <c r="B49" t="str">
        <f>[1]!S_INFO_NAME($A49)</f>
        <v>云顶新耀</v>
      </c>
      <c r="C49" t="str">
        <f>[1]!hks_info_industry_sw_2021($A49,$B$1,1)</f>
        <v>医药生物</v>
      </c>
      <c r="D49" t="str">
        <f>[1]!hks_info_industry_sw_2021($A49,$B$1,2)</f>
        <v>生物制品</v>
      </c>
      <c r="E49" t="str">
        <f>[1]!s_ipo_listeddate($A49)</f>
        <v>2020-10-09</v>
      </c>
    </row>
    <row r="50" spans="1:5">
      <c r="A50" t="str">
        <f>_meta!A49</f>
        <v>2015.HK</v>
      </c>
      <c r="B50" t="str">
        <f>[1]!S_INFO_NAME($A50)</f>
        <v>理想汽车-W</v>
      </c>
      <c r="C50" t="str">
        <f>[1]!hks_info_industry_sw_2021($A50,$B$1,1)</f>
        <v>汽车</v>
      </c>
      <c r="D50" t="str">
        <f>[1]!hks_info_industry_sw_2021($A50,$B$1,2)</f>
        <v>乘用车</v>
      </c>
      <c r="E50" t="str">
        <f>[1]!s_ipo_listeddate($A50)</f>
        <v>2021-08-12</v>
      </c>
    </row>
    <row r="51" spans="1:5">
      <c r="A51" t="str">
        <f>_meta!A50</f>
        <v>2018.HK</v>
      </c>
      <c r="B51" t="str">
        <f>[1]!S_INFO_NAME($A51)</f>
        <v>瑞声科技</v>
      </c>
      <c r="C51" t="str">
        <f>[1]!hks_info_industry_sw_2021($A51,$B$1,1)</f>
        <v>电子</v>
      </c>
      <c r="D51" t="str">
        <f>[1]!hks_info_industry_sw_2021($A51,$B$1,2)</f>
        <v>消费电子</v>
      </c>
      <c r="E51" t="str">
        <f>[1]!s_ipo_listeddate($A51)</f>
        <v>2005-08-09</v>
      </c>
    </row>
    <row r="52" spans="1:5">
      <c r="A52" t="str">
        <f>_meta!A51</f>
        <v>2096.HK</v>
      </c>
      <c r="B52" t="str">
        <f>[1]!S_INFO_NAME($A52)</f>
        <v>先声药业</v>
      </c>
      <c r="C52" t="str">
        <f>[1]!hks_info_industry_sw_2021($A52,$B$1,1)</f>
        <v>医药生物</v>
      </c>
      <c r="D52" t="str">
        <f>[1]!hks_info_industry_sw_2021($A52,$B$1,2)</f>
        <v>化学制药</v>
      </c>
      <c r="E52" t="str">
        <f>[1]!s_ipo_listeddate($A52)</f>
        <v>2020-10-27</v>
      </c>
    </row>
    <row r="53" spans="1:5">
      <c r="A53" t="str">
        <f>_meta!A52</f>
        <v>2162.HK</v>
      </c>
      <c r="B53" t="str">
        <f>[1]!S_INFO_NAME($A53)</f>
        <v>康诺亚-B</v>
      </c>
      <c r="C53" t="str">
        <f>[1]!hks_info_industry_sw_2021($A53,$B$1,1)</f>
        <v>医药生物</v>
      </c>
      <c r="D53" t="str">
        <f>[1]!hks_info_industry_sw_2021($A53,$B$1,2)</f>
        <v>生物制品</v>
      </c>
      <c r="E53" t="str">
        <f>[1]!s_ipo_listeddate($A53)</f>
        <v>2021-07-08</v>
      </c>
    </row>
    <row r="54" spans="1:5">
      <c r="A54" t="str">
        <f>_meta!A53</f>
        <v>2186.HK</v>
      </c>
      <c r="B54" t="str">
        <f>[1]!S_INFO_NAME($A54)</f>
        <v>绿叶制药</v>
      </c>
      <c r="C54" t="str">
        <f>[1]!hks_info_industry_sw_2021($A54,$B$1,1)</f>
        <v>医药生物</v>
      </c>
      <c r="D54" t="str">
        <f>[1]!hks_info_industry_sw_2021($A54,$B$1,2)</f>
        <v>化学制药</v>
      </c>
      <c r="E54" t="str">
        <f>[1]!s_ipo_listeddate($A54)</f>
        <v>2014-07-09</v>
      </c>
    </row>
    <row r="55" spans="1:5">
      <c r="A55" t="str">
        <f>_meta!A54</f>
        <v>2196.HK</v>
      </c>
      <c r="B55" t="str">
        <f>[1]!S_INFO_NAME($A55)</f>
        <v>复星医药</v>
      </c>
      <c r="C55" t="str">
        <f>[1]!hks_info_industry_sw_2021($A55,$B$1,1)</f>
        <v>医药生物</v>
      </c>
      <c r="D55" t="str">
        <f>[1]!hks_info_industry_sw_2021($A55,$B$1,2)</f>
        <v>化学制药</v>
      </c>
      <c r="E55" t="str">
        <f>[1]!s_ipo_listeddate($A55)</f>
        <v>2012-10-30</v>
      </c>
    </row>
    <row r="56" spans="1:5">
      <c r="A56" t="str">
        <f>_meta!A55</f>
        <v>2228.HK</v>
      </c>
      <c r="B56" t="str">
        <f>[1]!S_INFO_NAME($A56)</f>
        <v>晶泰控股</v>
      </c>
      <c r="C56" t="str">
        <f>[1]!hks_info_industry_sw_2021($A56,$B$1,1)</f>
        <v>医药生物</v>
      </c>
      <c r="D56" t="str">
        <f>[1]!hks_info_industry_sw_2021($A56,$B$1,2)</f>
        <v>医疗服务</v>
      </c>
      <c r="E56" t="str">
        <f>[1]!s_ipo_listeddate($A56)</f>
        <v>2024-06-13</v>
      </c>
    </row>
    <row r="57" spans="1:5">
      <c r="A57" t="str">
        <f>_meta!A56</f>
        <v>2252.HK</v>
      </c>
      <c r="B57" t="str">
        <f>[1]!S_INFO_NAME($A57)</f>
        <v>微创机器人-B</v>
      </c>
      <c r="C57" t="str">
        <f>[1]!hks_info_industry_sw_2021($A57,$B$1,1)</f>
        <v>医药生物</v>
      </c>
      <c r="D57" t="str">
        <f>[1]!hks_info_industry_sw_2021($A57,$B$1,2)</f>
        <v>医疗器械</v>
      </c>
      <c r="E57" t="str">
        <f>[1]!s_ipo_listeddate($A57)</f>
        <v>2021-11-02</v>
      </c>
    </row>
    <row r="58" spans="1:5">
      <c r="A58" t="str">
        <f>_meta!A57</f>
        <v>2268.HK</v>
      </c>
      <c r="B58" t="str">
        <f>[1]!S_INFO_NAME($A58)</f>
        <v>药明合联</v>
      </c>
      <c r="C58" t="str">
        <f>[1]!hks_info_industry_sw_2021($A58,$B$1,1)</f>
        <v>医药生物</v>
      </c>
      <c r="D58" t="str">
        <f>[1]!hks_info_industry_sw_2021($A58,$B$1,2)</f>
        <v>医疗服务</v>
      </c>
      <c r="E58" t="str">
        <f>[1]!s_ipo_listeddate($A58)</f>
        <v>2023-11-17</v>
      </c>
    </row>
    <row r="59" spans="1:5">
      <c r="A59" t="str">
        <f>_meta!A58</f>
        <v>2269.HK</v>
      </c>
      <c r="B59" t="str">
        <f>[1]!S_INFO_NAME($A59)</f>
        <v>药明生物</v>
      </c>
      <c r="C59" t="str">
        <f>[1]!hks_info_industry_sw_2021($A59,$B$1,1)</f>
        <v>医药生物</v>
      </c>
      <c r="D59" t="str">
        <f>[1]!hks_info_industry_sw_2021($A59,$B$1,2)</f>
        <v>生物制品</v>
      </c>
      <c r="E59" t="str">
        <f>[1]!s_ipo_listeddate($A59)</f>
        <v>2017-06-13</v>
      </c>
    </row>
    <row r="60" spans="1:5">
      <c r="A60" t="str">
        <f>_meta!A59</f>
        <v>2357.HK</v>
      </c>
      <c r="B60" t="str">
        <f>[1]!S_INFO_NAME($A60)</f>
        <v>中航科工</v>
      </c>
      <c r="C60" t="str">
        <f>[1]!hks_info_industry_sw_2021($A60,$B$1,1)</f>
        <v>国防军工</v>
      </c>
      <c r="D60" t="str">
        <f>[1]!hks_info_industry_sw_2021($A60,$B$1,2)</f>
        <v>航空装备Ⅱ</v>
      </c>
      <c r="E60" t="str">
        <f>[1]!s_ipo_listeddate($A60)</f>
        <v>2003-10-30</v>
      </c>
    </row>
    <row r="61" spans="1:5">
      <c r="A61" t="str">
        <f>_meta!A60</f>
        <v>2359.HK</v>
      </c>
      <c r="B61" t="str">
        <f>[1]!S_INFO_NAME($A61)</f>
        <v>药明康德</v>
      </c>
      <c r="C61" t="str">
        <f>[1]!hks_info_industry_sw_2021($A61,$B$1,1)</f>
        <v>医药生物</v>
      </c>
      <c r="D61" t="str">
        <f>[1]!hks_info_industry_sw_2021($A61,$B$1,2)</f>
        <v>医疗服务</v>
      </c>
      <c r="E61" t="str">
        <f>[1]!s_ipo_listeddate($A61)</f>
        <v>2018-12-13</v>
      </c>
    </row>
    <row r="62" spans="1:5">
      <c r="A62" t="str">
        <f>_meta!A61</f>
        <v>2367.HK</v>
      </c>
      <c r="B62" t="str">
        <f>[1]!S_INFO_NAME($A62)</f>
        <v>巨子生物</v>
      </c>
      <c r="C62" t="str">
        <f>[1]!hks_info_industry_sw_2021($A62,$B$1,1)</f>
        <v>美容护理</v>
      </c>
      <c r="D62" t="str">
        <f>[1]!hks_info_industry_sw_2021($A62,$B$1,2)</f>
        <v>医疗美容</v>
      </c>
      <c r="E62" t="str">
        <f>[1]!s_ipo_listeddate($A62)</f>
        <v>2022-11-04</v>
      </c>
    </row>
    <row r="63" spans="1:5">
      <c r="A63" t="str">
        <f>_meta!A62</f>
        <v>2382.HK</v>
      </c>
      <c r="B63" t="str">
        <f>[1]!S_INFO_NAME($A63)</f>
        <v>舜宇光学科技</v>
      </c>
      <c r="C63" t="str">
        <f>[1]!hks_info_industry_sw_2021($A63,$B$1,1)</f>
        <v>电子</v>
      </c>
      <c r="D63" t="str">
        <f>[1]!hks_info_industry_sw_2021($A63,$B$1,2)</f>
        <v>光学光电子</v>
      </c>
      <c r="E63" t="str">
        <f>[1]!s_ipo_listeddate($A63)</f>
        <v>2007-06-15</v>
      </c>
    </row>
    <row r="64" spans="1:5">
      <c r="A64" t="str">
        <f>_meta!A63</f>
        <v>2400.HK</v>
      </c>
      <c r="B64" t="str">
        <f>[1]!S_INFO_NAME($A64)</f>
        <v>心动公司</v>
      </c>
      <c r="C64" t="str">
        <f>[1]!hks_info_industry_sw_2021($A64,$B$1,1)</f>
        <v>传媒</v>
      </c>
      <c r="D64" t="str">
        <f>[1]!hks_info_industry_sw_2021($A64,$B$1,2)</f>
        <v>游戏Ⅱ</v>
      </c>
      <c r="E64" t="str">
        <f>[1]!s_ipo_listeddate($A64)</f>
        <v>2019-12-12</v>
      </c>
    </row>
    <row r="65" spans="1:5">
      <c r="A65" t="str">
        <f>_meta!A64</f>
        <v>2432.HK</v>
      </c>
      <c r="B65" t="str">
        <f>[1]!S_INFO_NAME($A65)</f>
        <v>越疆</v>
      </c>
      <c r="C65" t="str">
        <f>[1]!hks_info_industry_sw_2021($A65,$B$1,1)</f>
        <v>机械设备</v>
      </c>
      <c r="D65" t="str">
        <f>[1]!hks_info_industry_sw_2021($A65,$B$1,2)</f>
        <v>自动化设备</v>
      </c>
      <c r="E65" t="str">
        <f>[1]!s_ipo_listeddate($A65)</f>
        <v>2024-12-23</v>
      </c>
    </row>
    <row r="66" spans="1:5">
      <c r="A66" t="str">
        <f>_meta!A65</f>
        <v>2498.HK</v>
      </c>
      <c r="B66" t="str">
        <f>[1]!S_INFO_NAME($A66)</f>
        <v>速腾聚创</v>
      </c>
      <c r="C66" t="str">
        <f>[1]!hks_info_industry_sw_2021($A66,$B$1,1)</f>
        <v>汽车</v>
      </c>
      <c r="D66" t="str">
        <f>[1]!hks_info_industry_sw_2021($A66,$B$1,2)</f>
        <v>汽车零部件</v>
      </c>
      <c r="E66" t="str">
        <f>[1]!s_ipo_listeddate($A66)</f>
        <v>2024-01-05</v>
      </c>
    </row>
    <row r="67" spans="1:5">
      <c r="A67" t="str">
        <f>_meta!A66</f>
        <v>2533.HK</v>
      </c>
      <c r="B67" t="str">
        <f>[1]!S_INFO_NAME($A67)</f>
        <v>黑芝麻智能</v>
      </c>
      <c r="C67" t="str">
        <f>[1]!hks_info_industry_sw_2021($A67,$B$1,1)</f>
        <v>计算机</v>
      </c>
      <c r="D67" t="str">
        <f>[1]!hks_info_industry_sw_2021($A67,$B$1,2)</f>
        <v>软件开发</v>
      </c>
      <c r="E67" t="str">
        <f>[1]!s_ipo_listeddate($A67)</f>
        <v>2024-08-08</v>
      </c>
    </row>
    <row r="68" spans="1:5">
      <c r="A68" t="str">
        <f>_meta!A67</f>
        <v>2556.HK</v>
      </c>
      <c r="B68" t="str">
        <f>[1]!S_INFO_NAME($A68)</f>
        <v>迈富时</v>
      </c>
      <c r="C68" t="str">
        <f>[1]!hks_info_industry_sw_2021($A68,$B$1,1)</f>
        <v>计算机</v>
      </c>
      <c r="D68" t="str">
        <f>[1]!hks_info_industry_sw_2021($A68,$B$1,2)</f>
        <v>软件开发</v>
      </c>
      <c r="E68" t="str">
        <f>[1]!s_ipo_listeddate($A68)</f>
        <v>2024-05-16</v>
      </c>
    </row>
    <row r="69" spans="1:5">
      <c r="A69" t="str">
        <f>_meta!A68</f>
        <v>2577.HK</v>
      </c>
      <c r="B69" t="str">
        <f>[1]!S_INFO_NAME($A69)</f>
        <v>英诺赛科</v>
      </c>
      <c r="C69" t="str">
        <f>[1]!hks_info_industry_sw_2021($A69,$B$1,1)</f>
        <v>电子</v>
      </c>
      <c r="D69" t="str">
        <f>[1]!hks_info_industry_sw_2021($A69,$B$1,2)</f>
        <v>半导体</v>
      </c>
      <c r="E69" t="str">
        <f>[1]!s_ipo_listeddate($A69)</f>
        <v>2024-12-30</v>
      </c>
    </row>
    <row r="70" spans="1:5">
      <c r="A70" t="str">
        <f>_meta!A69</f>
        <v>2587.HK</v>
      </c>
      <c r="B70" t="str">
        <f>[1]!S_INFO_NAME($A70)</f>
        <v>健康之路</v>
      </c>
      <c r="C70" t="str">
        <f>[1]!hks_info_industry_sw_2021($A70,$B$1,1)</f>
        <v>计算机</v>
      </c>
      <c r="D70" t="str">
        <f>[1]!hks_info_industry_sw_2021($A70,$B$1,2)</f>
        <v>软件开发</v>
      </c>
      <c r="E70" t="str">
        <f>[1]!s_ipo_listeddate($A70)</f>
        <v>2024-12-30</v>
      </c>
    </row>
    <row r="71" spans="1:5">
      <c r="A71" t="str">
        <f>_meta!A70</f>
        <v>2858.HK</v>
      </c>
      <c r="B71" t="str">
        <f>[1]!S_INFO_NAME($A71)</f>
        <v>易鑫集团</v>
      </c>
      <c r="C71" t="str">
        <f>[1]!hks_info_industry_sw_2021($A71,$B$1,1)</f>
        <v>汽车</v>
      </c>
      <c r="D71" t="str">
        <f>[1]!hks_info_industry_sw_2021($A71,$B$1,2)</f>
        <v>汽车服务</v>
      </c>
      <c r="E71" t="str">
        <f>[1]!s_ipo_listeddate($A71)</f>
        <v>2017-11-16</v>
      </c>
    </row>
    <row r="72" spans="1:5">
      <c r="A72" t="str">
        <f>_meta!A71</f>
        <v>3320.HK</v>
      </c>
      <c r="B72" t="str">
        <f>[1]!S_INFO_NAME($A72)</f>
        <v>华润医药</v>
      </c>
      <c r="C72" t="str">
        <f>[1]!hks_info_industry_sw_2021($A72,$B$1,1)</f>
        <v>医药生物</v>
      </c>
      <c r="D72" t="str">
        <f>[1]!hks_info_industry_sw_2021($A72,$B$1,2)</f>
        <v>化学制药</v>
      </c>
      <c r="E72" t="str">
        <f>[1]!s_ipo_listeddate($A72)</f>
        <v>2016-10-28</v>
      </c>
    </row>
    <row r="73" spans="1:5">
      <c r="A73" t="str">
        <f>_meta!A72</f>
        <v>3677.HK</v>
      </c>
      <c r="B73" t="str">
        <f>[1]!S_INFO_NAME($A73)</f>
        <v>正力新能</v>
      </c>
      <c r="C73" t="str">
        <f>[1]!hks_info_industry_sw_2021($A73,$B$1,1)</f>
        <v>电力设备</v>
      </c>
      <c r="D73" t="str">
        <f>[1]!hks_info_industry_sw_2021($A73,$B$1,2)</f>
        <v>电池</v>
      </c>
      <c r="E73" t="str">
        <f>[1]!s_ipo_listeddate($A73)</f>
        <v>2025-04-14</v>
      </c>
    </row>
    <row r="74" spans="1:5">
      <c r="A74" t="str">
        <f>_meta!A73</f>
        <v>3690.HK</v>
      </c>
      <c r="B74" t="str">
        <f>[1]!S_INFO_NAME($A74)</f>
        <v>美团-W</v>
      </c>
      <c r="C74" t="str">
        <f>[1]!hks_info_industry_sw_2021($A74,$B$1,1)</f>
        <v>社会服务</v>
      </c>
      <c r="D74" t="str">
        <f>[1]!hks_info_industry_sw_2021($A74,$B$1,2)</f>
        <v>本地生活服务Ⅱ</v>
      </c>
      <c r="E74" t="str">
        <f>[1]!s_ipo_listeddate($A74)</f>
        <v>2018-09-20</v>
      </c>
    </row>
    <row r="75" spans="1:5">
      <c r="A75" t="str">
        <f>_meta!A74</f>
        <v>3692.HK</v>
      </c>
      <c r="B75" t="str">
        <f>[1]!S_INFO_NAME($A75)</f>
        <v>翰森制药</v>
      </c>
      <c r="C75" t="str">
        <f>[1]!hks_info_industry_sw_2021($A75,$B$1,1)</f>
        <v>医药生物</v>
      </c>
      <c r="D75" t="str">
        <f>[1]!hks_info_industry_sw_2021($A75,$B$1,2)</f>
        <v>化学制药</v>
      </c>
      <c r="E75" t="str">
        <f>[1]!s_ipo_listeddate($A75)</f>
        <v>2019-06-14</v>
      </c>
    </row>
    <row r="76" spans="1:5">
      <c r="A76" t="str">
        <f>_meta!A75</f>
        <v>3738.HK</v>
      </c>
      <c r="B76" t="str">
        <f>[1]!S_INFO_NAME($A76)</f>
        <v>阜博集团</v>
      </c>
      <c r="C76" t="str">
        <f>[1]!hks_info_industry_sw_2021($A76,$B$1,1)</f>
        <v>传媒</v>
      </c>
      <c r="D76" t="str">
        <f>[1]!hks_info_industry_sw_2021($A76,$B$1,2)</f>
        <v>数字媒体</v>
      </c>
      <c r="E76" t="str">
        <f>[1]!s_ipo_listeddate($A76)</f>
        <v>2018-01-04</v>
      </c>
    </row>
    <row r="77" spans="1:5">
      <c r="A77" t="str">
        <f>_meta!A76</f>
        <v>3750.HK</v>
      </c>
      <c r="B77" t="str">
        <f>[1]!S_INFO_NAME($A77)</f>
        <v>宁德时代</v>
      </c>
      <c r="C77" t="str">
        <f>[1]!hks_info_industry_sw_2021($A77,$B$1,1)</f>
        <v>电力设备</v>
      </c>
      <c r="D77" t="str">
        <f>[1]!hks_info_industry_sw_2021($A77,$B$1,2)</f>
        <v>电池</v>
      </c>
      <c r="E77" t="str">
        <f>[1]!s_ipo_listeddate($A77)</f>
        <v>2025-05-20</v>
      </c>
    </row>
    <row r="78" spans="1:5">
      <c r="A78" t="str">
        <f>_meta!A77</f>
        <v>3888.HK</v>
      </c>
      <c r="B78" t="str">
        <f>[1]!S_INFO_NAME($A78)</f>
        <v>金山软件</v>
      </c>
      <c r="C78" t="str">
        <f>[1]!hks_info_industry_sw_2021($A78,$B$1,1)</f>
        <v>计算机</v>
      </c>
      <c r="D78" t="str">
        <f>[1]!hks_info_industry_sw_2021($A78,$B$1,2)</f>
        <v>软件开发</v>
      </c>
      <c r="E78" t="str">
        <f>[1]!s_ipo_listeddate($A78)</f>
        <v>2007-10-09</v>
      </c>
    </row>
    <row r="79" spans="1:5">
      <c r="A79" t="str">
        <f>_meta!A78</f>
        <v>3896.HK</v>
      </c>
      <c r="B79" t="str">
        <f>[1]!S_INFO_NAME($A79)</f>
        <v>金山云</v>
      </c>
      <c r="C79" t="str">
        <f>[1]!hks_info_industry_sw_2021($A79,$B$1,1)</f>
        <v>计算机</v>
      </c>
      <c r="D79" t="str">
        <f>[1]!hks_info_industry_sw_2021($A79,$B$1,2)</f>
        <v>IT服务Ⅱ</v>
      </c>
      <c r="E79" t="str">
        <f>[1]!s_ipo_listeddate($A79)</f>
        <v>2022-12-30</v>
      </c>
    </row>
    <row r="80" spans="1:5">
      <c r="A80" t="str">
        <f>_meta!A79</f>
        <v>3933.HK</v>
      </c>
      <c r="B80" t="str">
        <f>[1]!S_INFO_NAME($A80)</f>
        <v>联邦制药</v>
      </c>
      <c r="C80" t="str">
        <f>[1]!hks_info_industry_sw_2021($A80,$B$1,1)</f>
        <v>医药生物</v>
      </c>
      <c r="D80" t="str">
        <f>[1]!hks_info_industry_sw_2021($A80,$B$1,2)</f>
        <v>化学制药</v>
      </c>
      <c r="E80" t="str">
        <f>[1]!s_ipo_listeddate($A80)</f>
        <v>2007-06-15</v>
      </c>
    </row>
    <row r="81" spans="1:5">
      <c r="A81" t="str">
        <f>_meta!A80</f>
        <v>6060.HK</v>
      </c>
      <c r="B81" t="str">
        <f>[1]!S_INFO_NAME($A81)</f>
        <v>众安在线</v>
      </c>
      <c r="C81" t="str">
        <f>[1]!hks_info_industry_sw_2021($A81,$B$1,1)</f>
        <v>非银金融</v>
      </c>
      <c r="D81" t="str">
        <f>[1]!hks_info_industry_sw_2021($A81,$B$1,2)</f>
        <v>保险Ⅱ</v>
      </c>
      <c r="E81" t="str">
        <f>[1]!s_ipo_listeddate($A81)</f>
        <v>2017-09-28</v>
      </c>
    </row>
    <row r="82" spans="1:5">
      <c r="A82" t="str">
        <f>_meta!A81</f>
        <v>6069.HK</v>
      </c>
      <c r="B82" t="str">
        <f>[1]!S_INFO_NAME($A82)</f>
        <v>盛业</v>
      </c>
      <c r="C82" t="str">
        <f>[1]!hks_info_industry_sw_2021($A82,$B$1,1)</f>
        <v>非银金融</v>
      </c>
      <c r="D82" t="str">
        <f>[1]!hks_info_industry_sw_2021($A82,$B$1,2)</f>
        <v>多元金融</v>
      </c>
      <c r="E82" t="str">
        <f>[1]!s_ipo_listeddate($A82)</f>
        <v>2017-07-06</v>
      </c>
    </row>
    <row r="83" spans="1:5">
      <c r="A83" t="str">
        <f>_meta!A82</f>
        <v>6078.HK</v>
      </c>
      <c r="B83" t="str">
        <f>[1]!S_INFO_NAME($A83)</f>
        <v>海吉亚医疗</v>
      </c>
      <c r="C83" t="str">
        <f>[1]!hks_info_industry_sw_2021($A83,$B$1,1)</f>
        <v>医药生物</v>
      </c>
      <c r="D83" t="str">
        <f>[1]!hks_info_industry_sw_2021($A83,$B$1,2)</f>
        <v>医疗服务</v>
      </c>
      <c r="E83" t="str">
        <f>[1]!s_ipo_listeddate($A83)</f>
        <v>2020-06-29</v>
      </c>
    </row>
    <row r="84" spans="1:5">
      <c r="A84" t="str">
        <f>_meta!A83</f>
        <v>6088.HK</v>
      </c>
      <c r="B84" t="str">
        <f>[1]!S_INFO_NAME($A84)</f>
        <v>鸿腾精密</v>
      </c>
      <c r="C84" t="str">
        <f>[1]!hks_info_industry_sw_2021($A84,$B$1,1)</f>
        <v>通信</v>
      </c>
      <c r="D84" t="str">
        <f>[1]!hks_info_industry_sw_2021($A84,$B$1,2)</f>
        <v>通信设备</v>
      </c>
      <c r="E84" t="str">
        <f>[1]!s_ipo_listeddate($A84)</f>
        <v>2017-07-13</v>
      </c>
    </row>
    <row r="85" spans="1:5">
      <c r="A85" t="str">
        <f>_meta!A84</f>
        <v>6160.HK</v>
      </c>
      <c r="B85" t="str">
        <f>[1]!S_INFO_NAME($A85)</f>
        <v>百济神州</v>
      </c>
      <c r="C85" t="str">
        <f>[1]!hks_info_industry_sw_2021($A85,$B$1,1)</f>
        <v>医药生物</v>
      </c>
      <c r="D85" t="str">
        <f>[1]!hks_info_industry_sw_2021($A85,$B$1,2)</f>
        <v>化学制药</v>
      </c>
      <c r="E85" t="str">
        <f>[1]!s_ipo_listeddate($A85)</f>
        <v>2018-08-08</v>
      </c>
    </row>
    <row r="86" spans="1:5">
      <c r="A86" t="str">
        <f>_meta!A85</f>
        <v>6618.HK</v>
      </c>
      <c r="B86" t="str">
        <f>[1]!S_INFO_NAME($A86)</f>
        <v>京东健康</v>
      </c>
      <c r="C86" t="str">
        <f>[1]!hks_info_industry_sw_2021($A86,$B$1,1)</f>
        <v>医药生物</v>
      </c>
      <c r="D86" t="str">
        <f>[1]!hks_info_industry_sw_2021($A86,$B$1,2)</f>
        <v>医药商业</v>
      </c>
      <c r="E86" t="str">
        <f>[1]!s_ipo_listeddate($A86)</f>
        <v>2020-12-08</v>
      </c>
    </row>
    <row r="87" spans="1:5">
      <c r="A87" t="str">
        <f>_meta!A86</f>
        <v>6682.HK</v>
      </c>
      <c r="B87" t="str">
        <f>[1]!S_INFO_NAME($A87)</f>
        <v>范式智能</v>
      </c>
      <c r="C87" t="str">
        <f>[1]!hks_info_industry_sw_2021($A87,$B$1,1)</f>
        <v>计算机</v>
      </c>
      <c r="D87" t="str">
        <f>[1]!hks_info_industry_sw_2021($A87,$B$1,2)</f>
        <v>IT服务Ⅱ</v>
      </c>
      <c r="E87" t="str">
        <f>[1]!s_ipo_listeddate($A87)</f>
        <v>2023-09-28</v>
      </c>
    </row>
    <row r="88" spans="1:5">
      <c r="A88" t="str">
        <f>_meta!A87</f>
        <v>6699.HK</v>
      </c>
      <c r="B88" t="str">
        <f>[1]!S_INFO_NAME($A88)</f>
        <v>时代天使</v>
      </c>
      <c r="C88" t="str">
        <f>[1]!hks_info_industry_sw_2021($A88,$B$1,1)</f>
        <v>美容护理</v>
      </c>
      <c r="D88" t="str">
        <f>[1]!hks_info_industry_sw_2021($A88,$B$1,2)</f>
        <v>医疗美容</v>
      </c>
      <c r="E88" t="str">
        <f>[1]!s_ipo_listeddate($A88)</f>
        <v>2021-06-16</v>
      </c>
    </row>
    <row r="89" spans="1:5">
      <c r="A89" t="str">
        <f>_meta!A88</f>
        <v>6855.HK</v>
      </c>
      <c r="B89" t="str">
        <f>[1]!S_INFO_NAME($A89)</f>
        <v>亚盛医药-B</v>
      </c>
      <c r="C89" t="str">
        <f>[1]!hks_info_industry_sw_2021($A89,$B$1,1)</f>
        <v>医药生物</v>
      </c>
      <c r="D89" t="str">
        <f>[1]!hks_info_industry_sw_2021($A89,$B$1,2)</f>
        <v>化学制药</v>
      </c>
      <c r="E89" t="str">
        <f>[1]!s_ipo_listeddate($A89)</f>
        <v>2019-10-28</v>
      </c>
    </row>
    <row r="90" spans="1:5">
      <c r="A90" t="str">
        <f>_meta!A89</f>
        <v>6990.HK</v>
      </c>
      <c r="B90" t="str">
        <f>[1]!S_INFO_NAME($A90)</f>
        <v>科伦博泰生物</v>
      </c>
      <c r="C90" t="str">
        <f>[1]!hks_info_industry_sw_2021($A90,$B$1,1)</f>
        <v>医药生物</v>
      </c>
      <c r="D90" t="str">
        <f>[1]!hks_info_industry_sw_2021($A90,$B$1,2)</f>
        <v>生物制品</v>
      </c>
      <c r="E90" t="str">
        <f>[1]!s_ipo_listeddate($A90)</f>
        <v>2023-07-11</v>
      </c>
    </row>
    <row r="91" spans="1:5">
      <c r="A91" t="str">
        <f>_meta!A90</f>
        <v>9606.HK</v>
      </c>
      <c r="B91" t="str">
        <f>[1]!S_INFO_NAME($A91)</f>
        <v>映恩生物-B</v>
      </c>
      <c r="C91" t="str">
        <f>[1]!hks_info_industry_sw_2021($A91,$B$1,1)</f>
        <v>医药生物</v>
      </c>
      <c r="D91" t="str">
        <f>[1]!hks_info_industry_sw_2021($A91,$B$1,2)</f>
        <v>生物制品</v>
      </c>
      <c r="E91" t="str">
        <f>[1]!s_ipo_listeddate($A91)</f>
        <v>2025-04-15</v>
      </c>
    </row>
    <row r="92" spans="1:5">
      <c r="A92" t="str">
        <f>_meta!A91</f>
        <v>9626.HK</v>
      </c>
      <c r="B92" t="str">
        <f>[1]!S_INFO_NAME($A92)</f>
        <v>哔哩哔哩-W</v>
      </c>
      <c r="C92" t="str">
        <f>[1]!hks_info_industry_sw_2021($A92,$B$1,1)</f>
        <v>传媒</v>
      </c>
      <c r="D92" t="str">
        <f>[1]!hks_info_industry_sw_2021($A92,$B$1,2)</f>
        <v>数字媒体</v>
      </c>
      <c r="E92" t="str">
        <f>[1]!s_ipo_listeddate($A92)</f>
        <v>2021-03-29</v>
      </c>
    </row>
    <row r="93" spans="1:5">
      <c r="A93" t="str">
        <f>_meta!A92</f>
        <v>9636.HK</v>
      </c>
      <c r="B93" t="str">
        <f>[1]!S_INFO_NAME($A93)</f>
        <v>九方智投控股</v>
      </c>
      <c r="C93" t="str">
        <f>[1]!hks_info_industry_sw_2021($A93,$B$1,1)</f>
        <v>非银金融</v>
      </c>
      <c r="D93" t="str">
        <f>[1]!hks_info_industry_sw_2021($A93,$B$1,2)</f>
        <v>多元金融</v>
      </c>
      <c r="E93" t="str">
        <f>[1]!s_ipo_listeddate($A93)</f>
        <v>2023-03-10</v>
      </c>
    </row>
    <row r="94" spans="1:5">
      <c r="A94" t="str">
        <f>_meta!A93</f>
        <v>9660.HK</v>
      </c>
      <c r="B94" t="str">
        <f>[1]!S_INFO_NAME($A94)</f>
        <v>地平线机器人-W</v>
      </c>
      <c r="C94" t="str">
        <f>[1]!hks_info_industry_sw_2021($A94,$B$1,1)</f>
        <v>机械设备</v>
      </c>
      <c r="D94" t="str">
        <f>[1]!hks_info_industry_sw_2021($A94,$B$1,2)</f>
        <v>自动化设备</v>
      </c>
      <c r="E94" t="str">
        <f>[1]!s_ipo_listeddate($A94)</f>
        <v>2024-10-24</v>
      </c>
    </row>
    <row r="95" spans="1:5">
      <c r="A95" t="str">
        <f>_meta!A94</f>
        <v>9688.HK</v>
      </c>
      <c r="B95" t="str">
        <f>[1]!S_INFO_NAME($A95)</f>
        <v>再鼎医药</v>
      </c>
      <c r="C95" t="str">
        <f>[1]!hks_info_industry_sw_2021($A95,$B$1,1)</f>
        <v>医药生物</v>
      </c>
      <c r="D95" t="str">
        <f>[1]!hks_info_industry_sw_2021($A95,$B$1,2)</f>
        <v>生物制品</v>
      </c>
      <c r="E95" t="str">
        <f>[1]!s_ipo_listeddate($A95)</f>
        <v>2020-09-28</v>
      </c>
    </row>
    <row r="96" spans="1:5">
      <c r="A96" t="str">
        <f>_meta!A95</f>
        <v>9863.HK</v>
      </c>
      <c r="B96" t="str">
        <f>[1]!S_INFO_NAME($A96)</f>
        <v>零跑汽车</v>
      </c>
      <c r="C96" t="str">
        <f>[1]!hks_info_industry_sw_2021($A96,$B$1,1)</f>
        <v>汽车</v>
      </c>
      <c r="D96" t="str">
        <f>[1]!hks_info_industry_sw_2021($A96,$B$1,2)</f>
        <v>乘用车</v>
      </c>
      <c r="E96" t="str">
        <f>[1]!s_ipo_listeddate($A96)</f>
        <v>2022-09-29</v>
      </c>
    </row>
    <row r="97" spans="1:5">
      <c r="A97" t="str">
        <f>_meta!A96</f>
        <v>9868.HK</v>
      </c>
      <c r="B97" t="str">
        <f>[1]!S_INFO_NAME($A97)</f>
        <v>小鹏集团-W</v>
      </c>
      <c r="C97" t="str">
        <f>[1]!hks_info_industry_sw_2021($A97,$B$1,1)</f>
        <v>汽车</v>
      </c>
      <c r="D97" t="str">
        <f>[1]!hks_info_industry_sw_2021($A97,$B$1,2)</f>
        <v>乘用车</v>
      </c>
      <c r="E97" t="str">
        <f>[1]!s_ipo_listeddate($A97)</f>
        <v>2021-07-07</v>
      </c>
    </row>
    <row r="98" spans="1:5">
      <c r="A98" t="str">
        <f>_meta!A97</f>
        <v>9880.HK</v>
      </c>
      <c r="B98" t="str">
        <f>[1]!S_INFO_NAME($A98)</f>
        <v>优必选</v>
      </c>
      <c r="C98" t="str">
        <f>[1]!hks_info_industry_sw_2021($A98,$B$1,1)</f>
        <v>机械设备</v>
      </c>
      <c r="D98" t="str">
        <f>[1]!hks_info_industry_sw_2021($A98,$B$1,2)</f>
        <v>自动化设备</v>
      </c>
      <c r="E98" t="str">
        <f>[1]!s_ipo_listeddate($A98)</f>
        <v>2023-12-29</v>
      </c>
    </row>
    <row r="99" spans="1:5">
      <c r="A99" t="str">
        <f>_meta!A98</f>
        <v>9899.HK</v>
      </c>
      <c r="B99" t="str">
        <f>[1]!S_INFO_NAME($A99)</f>
        <v>网易云音乐</v>
      </c>
      <c r="C99" t="str">
        <f>[1]!hks_info_industry_sw_2021($A99,$B$1,1)</f>
        <v>传媒</v>
      </c>
      <c r="D99" t="str">
        <f>[1]!hks_info_industry_sw_2021($A99,$B$1,2)</f>
        <v>数字媒体</v>
      </c>
      <c r="E99" t="str">
        <f>[1]!s_ipo_listeddate($A99)</f>
        <v>2021-12-02</v>
      </c>
    </row>
    <row r="100" spans="1:5">
      <c r="A100" t="str">
        <f>_meta!A99</f>
        <v>9926.HK</v>
      </c>
      <c r="B100" t="str">
        <f>[1]!S_INFO_NAME($A100)</f>
        <v>康方生物</v>
      </c>
      <c r="C100" t="str">
        <f>[1]!hks_info_industry_sw_2021($A100,$B$1,1)</f>
        <v>医药生物</v>
      </c>
      <c r="D100" t="str">
        <f>[1]!hks_info_industry_sw_2021($A100,$B$1,2)</f>
        <v>生物制品</v>
      </c>
      <c r="E100" t="str">
        <f>[1]!s_ipo_listeddate($A100)</f>
        <v>2020-04-24</v>
      </c>
    </row>
    <row r="101" spans="1:5">
      <c r="A101" t="str">
        <f>_meta!A100</f>
        <v>9969.HK</v>
      </c>
      <c r="B101" t="str">
        <f>[1]!S_INFO_NAME($A101)</f>
        <v>诺诚健华</v>
      </c>
      <c r="C101" t="str">
        <f>[1]!hks_info_industry_sw_2021($A101,$B$1,1)</f>
        <v>医药生物</v>
      </c>
      <c r="D101" t="str">
        <f>[1]!hks_info_industry_sw_2021($A101,$B$1,2)</f>
        <v>化学制药</v>
      </c>
      <c r="E101" t="str">
        <f>[1]!s_ipo_listeddate($A101)</f>
        <v>2020-03-23</v>
      </c>
    </row>
    <row r="102" spans="1:5">
      <c r="A102" t="str">
        <f>_meta!A101</f>
        <v>9988.HK</v>
      </c>
      <c r="B102" t="str">
        <f>[1]!S_INFO_NAME($A102)</f>
        <v>阿里巴巴-W</v>
      </c>
      <c r="C102" t="str">
        <f>[1]!hks_info_industry_sw_2021($A102,$B$1,1)</f>
        <v>商贸零售</v>
      </c>
      <c r="D102" t="str">
        <f>[1]!hks_info_industry_sw_2021($A102,$B$1,2)</f>
        <v>互联网电商</v>
      </c>
      <c r="E102" t="str">
        <f>[1]!s_ipo_listeddate($A102)</f>
        <v>2019-11-26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workbookViewId="0"/>
  </sheetViews>
  <sheetFormatPr baseColWidth="10" defaultColWidth="8.83203125" defaultRowHeight="14"/>
  <sheetData>
    <row r="1" spans="1:3">
      <c r="A1" s="3" t="s">
        <v>202</v>
      </c>
      <c r="B1" s="1">
        <v>46167</v>
      </c>
    </row>
    <row r="2" spans="1:3">
      <c r="A2" s="2" t="s">
        <v>203</v>
      </c>
      <c r="B2" s="2" t="s">
        <v>230</v>
      </c>
      <c r="C2" s="2" t="s">
        <v>231</v>
      </c>
    </row>
    <row r="3" spans="1:3">
      <c r="A3" t="s">
        <v>232</v>
      </c>
      <c r="B3">
        <f>[1]!s_dq_close($A3,$B$1,3)</f>
        <v>4869.57</v>
      </c>
      <c r="C3" t="s">
        <v>233</v>
      </c>
    </row>
    <row r="4" spans="1:3">
      <c r="A4" t="s">
        <v>234</v>
      </c>
      <c r="B4">
        <f>[1]!s_dq_close($A4,$B$1,3)</f>
        <v>25606.03</v>
      </c>
      <c r="C4" t="s">
        <v>235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_meta</vt:lpstr>
      <vt:lpstr>panel</vt:lpstr>
      <vt:lpstr>static_info</vt:lpstr>
      <vt:lpstr>benchmark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macbook</dc:creator>
  <cp:lastModifiedBy>Elsie</cp:lastModifiedBy>
  <dcterms:created xsi:type="dcterms:W3CDTF">2026-05-19T01:56:00Z</dcterms:created>
  <dcterms:modified xsi:type="dcterms:W3CDTF">2026-05-25T12:54:56Z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57C655C77D574BA942E20A6ABBEBDA10_41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1</vt:i4>
  </property>
</Properties>
</file>