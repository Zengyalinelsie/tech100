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000" yWindow="-20120" windowWidth="27980" windowHeight="14640" tabRatio="600" firstSheet="0" autoFilterDateGrouping="1"/>
  </bookViews>
  <sheets>
    <sheet xmlns:r="http://schemas.openxmlformats.org/officeDocument/2006/relationships" name="_meta" sheetId="1" state="visible" r:id="rId1"/>
    <sheet xmlns:r="http://schemas.openxmlformats.org/officeDocument/2006/relationships" name="panel" sheetId="2" state="visible" r:id="rId2"/>
    <sheet xmlns:r="http://schemas.openxmlformats.org/officeDocument/2006/relationships" name="static_info" sheetId="3" state="visible" r:id="rId3"/>
    <sheet xmlns:r="http://schemas.openxmlformats.org/officeDocument/2006/relationships" name="benchmark" sheetId="4" state="visible" r:id="rId4"/>
  </sheets>
  <externalReferences>
    <externalReference xmlns:r="http://schemas.openxmlformats.org/officeDocument/2006/relationships" r:id="rId5"/>
  </externalReferences>
  <definedNames>
    <definedName name="____NAV3">IF(tType="N","EV/Ebitda","Pre-Provision Profits")</definedName>
    <definedName name="tType">"N"</definedName>
  </definedNames>
  <calcPr calcId="191029" fullCalcOnLoad="1" iterate="1" iterateCount="2000" iterateDelta="0.0001"/>
</workbook>
</file>

<file path=xl/styles.xml><?xml version="1.0" encoding="utf-8"?>
<styleSheet xmlns="http://schemas.openxmlformats.org/spreadsheetml/2006/main">
  <numFmts count="3">
    <numFmt numFmtId="164" formatCode="###,###,##0"/>
    <numFmt numFmtId="165" formatCode="###,###,##0.00"/>
    <numFmt numFmtId="166" formatCode="###,###,##0.0000"/>
  </numFmts>
  <fonts count="22">
    <font>
      <name val="宋体"/>
      <charset val="134"/>
      <color theme="1"/>
      <sz val="11"/>
      <scheme val="minor"/>
    </font>
    <font>
      <name val="Times New Roman"/>
      <family val="1"/>
      <b val="1"/>
      <color theme="1"/>
      <sz val="14"/>
    </font>
    <font>
      <name val="Times New Roman"/>
      <family val="1"/>
      <color theme="1"/>
      <sz val="14"/>
    </font>
    <font>
      <name val="Times New Roman"/>
      <family val="1"/>
      <b val="1"/>
      <color rgb="FF000000"/>
      <sz val="12"/>
    </font>
    <font>
      <name val="宋体"/>
      <charset val="134"/>
      <family val="3"/>
      <color theme="1"/>
      <sz val="14"/>
    </font>
    <font>
      <name val="宋体"/>
      <charset val="134"/>
      <family val="3"/>
      <b val="1"/>
      <color theme="1"/>
      <sz val="14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rgb="FF000000"/>
      <sz val="11"/>
      <scheme val="minor"/>
    </font>
    <font>
      <name val="Courier New"/>
      <family val="1"/>
      <color theme="1"/>
      <sz val="11"/>
    </font>
    <font>
      <name val="Courier New"/>
      <family val="1"/>
      <color rgb="FF61FFCA"/>
      <sz val="11"/>
    </font>
    <font>
      <name val="Courier New"/>
      <family val="1"/>
      <color rgb="FFFF6767"/>
      <sz val="11"/>
    </font>
    <font>
      <name val="Arial"/>
      <family val="2"/>
      <color rgb="FF4C4F69"/>
      <sz val="14"/>
    </font>
    <font>
      <name val="Menlo"/>
      <family val="2"/>
      <color rgb="FF4C4F69"/>
      <sz val="11"/>
    </font>
    <font>
      <name val="Times New Roman"/>
      <family val="1"/>
      <color rgb="FFFF6767"/>
      <sz val="9"/>
    </font>
    <font>
      <name val="Times New Roman"/>
      <family val="1"/>
      <color theme="1"/>
      <sz val="9"/>
    </font>
    <font>
      <name val="宋体"/>
      <charset val="134"/>
      <family val="3"/>
      <color theme="1"/>
      <sz val="9"/>
    </font>
    <font>
      <name val="Times New Roman"/>
      <family val="1"/>
      <color rgb="FF4C4F69"/>
      <sz val="9"/>
    </font>
    <font>
      <name val="Arial"/>
      <family val="2"/>
      <color rgb="FF4C4F69"/>
      <sz val="9"/>
    </font>
    <font>
      <name val="Microsoft YaHei"/>
      <charset val="134"/>
      <family val="2"/>
      <color rgb="FF4C4F69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theme="8" tint="0.7999206518753624"/>
        <bgColor indexed="64"/>
      </patternFill>
    </fill>
    <fill>
      <patternFill patternType="solid">
        <fgColor rgb="002878B5"/>
      </patternFill>
    </fill>
  </fills>
  <borders count="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 applyAlignment="1">
      <alignment vertical="center"/>
    </xf>
    <xf numFmtId="0" fontId="6" fillId="0" borderId="0"/>
  </cellStyleXfs>
  <cellXfs count="3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1">
      <alignment horizontal="center"/>
    </xf>
    <xf numFmtId="0" fontId="2" fillId="0" borderId="2" applyAlignment="1" pivotButton="0" quotePrefix="0" xfId="1">
      <alignment horizontal="center"/>
    </xf>
    <xf numFmtId="0" fontId="2" fillId="0" borderId="3" applyAlignment="1" pivotButton="0" quotePrefix="0" xfId="1">
      <alignment horizontal="center"/>
    </xf>
    <xf numFmtId="0" fontId="2" fillId="0" borderId="4" applyAlignment="1" pivotButton="0" quotePrefix="0" xfId="1">
      <alignment horizontal="center"/>
    </xf>
    <xf numFmtId="0" fontId="2" fillId="0" borderId="0" applyAlignment="1" pivotButton="0" quotePrefix="0" xfId="1">
      <alignment horizontal="center"/>
    </xf>
    <xf numFmtId="0" fontId="2" fillId="0" borderId="5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5" applyAlignment="1" pivotButton="0" quotePrefix="0" xfId="1">
      <alignment horizontal="center"/>
    </xf>
    <xf numFmtId="0" fontId="2" fillId="0" borderId="6" applyAlignment="1" pivotButton="0" quotePrefix="0" xfId="1">
      <alignment horizontal="center"/>
    </xf>
    <xf numFmtId="164" fontId="2" fillId="0" borderId="7" applyAlignment="1" pivotButton="0" quotePrefix="0" xfId="1">
      <alignment horizontal="center"/>
    </xf>
    <xf numFmtId="164" fontId="2" fillId="0" borderId="8" applyAlignment="1" pivotButton="0" quotePrefix="0" xfId="1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4" fontId="2" fillId="2" borderId="4" pivotButton="0" quotePrefix="0" xfId="1"/>
    <xf numFmtId="164" fontId="2" fillId="0" borderId="0" pivotButton="0" quotePrefix="0" xfId="1"/>
    <xf numFmtId="165" fontId="2" fillId="0" borderId="5" pivotButton="0" quotePrefix="0" xfId="1"/>
    <xf numFmtId="14" fontId="2" fillId="0" borderId="4" pivotButton="0" quotePrefix="0" xfId="1"/>
    <xf numFmtId="14" fontId="2" fillId="0" borderId="6" pivotButton="0" quotePrefix="0" xfId="1"/>
    <xf numFmtId="164" fontId="2" fillId="0" borderId="7" pivotButton="0" quotePrefix="0" xfId="1"/>
    <xf numFmtId="165" fontId="2" fillId="0" borderId="8" pivotButton="0" quotePrefix="0" xfId="1"/>
    <xf numFmtId="14" fontId="0" fillId="0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4" fontId="9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0" fillId="3" borderId="0" pivotButton="0" quotePrefix="0" xfId="0"/>
    <xf numFmtId="0" fontId="21" fillId="0" borderId="0" pivotButton="0" quotePrefix="0" xfId="0"/>
    <xf numFmtId="0" fontId="20" fillId="3" borderId="0" applyAlignment="1" pivotButton="0" quotePrefix="0" xfId="0">
      <alignment horizontal="center"/>
    </xf>
  </cellXfs>
  <cellStyles count="2">
    <cellStyle name="常规" xfId="0" builtinId="0"/>
    <cellStyle name="Normal 7" xfId="1"/>
  </cellStyles>
  <dxfs count="17"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Library/WindFunc/windfunc.xlam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hks_info_industry_sw_2021"/>
      <definedName name="s_dq_amount"/>
      <definedName name="s_dq_close"/>
      <definedName name="s_dq_turn"/>
      <definedName name="s_dq_volume"/>
      <definedName name="S_INFO_NAME"/>
      <definedName name="s_ipo_listeddate"/>
      <definedName name="S_VAL_MV"/>
      <definedName name="s_val_pe_ttm"/>
      <definedName name="s_west_eps"/>
      <definedName name="s_west_instnum_np"/>
      <definedName name="s_west_maxnetprofit"/>
      <definedName name="s_west_mediannetprofit"/>
      <definedName name="s_west_minnetprofit"/>
      <definedName name="s_west_netprofit"/>
      <definedName name="s_west_stdnetprofit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s="35" t="inlineStr">
        <is>
          <t>wind_code</t>
        </is>
      </c>
      <c r="B1" s="35" t="inlineStr">
        <is>
          <t>name</t>
        </is>
      </c>
    </row>
    <row r="2">
      <c r="A2" t="inlineStr">
        <is>
          <t>0013.HK</t>
        </is>
      </c>
      <c r="B2" t="inlineStr">
        <is>
          <t>和黄医药</t>
        </is>
      </c>
    </row>
    <row r="3">
      <c r="A3" t="inlineStr">
        <is>
          <t>0020.HK</t>
        </is>
      </c>
      <c r="B3" t="inlineStr">
        <is>
          <t>商汤</t>
        </is>
      </c>
    </row>
    <row r="4">
      <c r="A4" t="inlineStr">
        <is>
          <t>0136.HK</t>
        </is>
      </c>
      <c r="B4" t="inlineStr">
        <is>
          <t>中国儒意</t>
        </is>
      </c>
    </row>
    <row r="5">
      <c r="A5" t="inlineStr">
        <is>
          <t>0148.HK</t>
        </is>
      </c>
      <c r="B5" t="inlineStr">
        <is>
          <t>建滔集团</t>
        </is>
      </c>
    </row>
    <row r="6">
      <c r="A6" t="inlineStr">
        <is>
          <t>0179.HK</t>
        </is>
      </c>
      <c r="B6" t="inlineStr">
        <is>
          <t>德昌电机</t>
        </is>
      </c>
    </row>
    <row r="7">
      <c r="A7" t="inlineStr">
        <is>
          <t>0241.HK</t>
        </is>
      </c>
      <c r="B7" t="inlineStr">
        <is>
          <t>阿里健康</t>
        </is>
      </c>
    </row>
    <row r="8">
      <c r="A8" t="inlineStr">
        <is>
          <t>0268.HK</t>
        </is>
      </c>
      <c r="B8" t="inlineStr">
        <is>
          <t>金蝶国际</t>
        </is>
      </c>
    </row>
    <row r="9">
      <c r="A9" t="inlineStr">
        <is>
          <t>0285.HK</t>
        </is>
      </c>
      <c r="B9" t="inlineStr">
        <is>
          <t>比亚迪电子</t>
        </is>
      </c>
    </row>
    <row r="10">
      <c r="A10" t="inlineStr">
        <is>
          <t>0303.HK</t>
        </is>
      </c>
      <c r="B10" t="inlineStr">
        <is>
          <t>VTECH</t>
        </is>
      </c>
    </row>
    <row r="11">
      <c r="A11" t="inlineStr">
        <is>
          <t>0354.HK</t>
        </is>
      </c>
      <c r="B11" t="inlineStr">
        <is>
          <t>中软国际</t>
        </is>
      </c>
    </row>
    <row r="12">
      <c r="A12" t="inlineStr">
        <is>
          <t>0460.HK</t>
        </is>
      </c>
      <c r="B12" t="inlineStr">
        <is>
          <t>四环医药</t>
        </is>
      </c>
    </row>
    <row r="13">
      <c r="A13" t="inlineStr">
        <is>
          <t>0512.HK</t>
        </is>
      </c>
      <c r="B13" t="inlineStr">
        <is>
          <t>远大医药</t>
        </is>
      </c>
    </row>
    <row r="14">
      <c r="A14" t="inlineStr">
        <is>
          <t>0522.HK</t>
        </is>
      </c>
      <c r="B14" t="inlineStr">
        <is>
          <t>ASMPT</t>
        </is>
      </c>
    </row>
    <row r="15">
      <c r="A15" t="inlineStr">
        <is>
          <t>0552.HK</t>
        </is>
      </c>
      <c r="B15" t="inlineStr">
        <is>
          <t>中通服</t>
        </is>
      </c>
    </row>
    <row r="16">
      <c r="A16" t="inlineStr">
        <is>
          <t>0696.HK</t>
        </is>
      </c>
      <c r="B16" t="inlineStr">
        <is>
          <t>中国民航信息网络</t>
        </is>
      </c>
    </row>
    <row r="17">
      <c r="A17" t="inlineStr">
        <is>
          <t>0700.HK</t>
        </is>
      </c>
      <c r="B17" t="inlineStr">
        <is>
          <t>腾讯</t>
        </is>
      </c>
    </row>
    <row r="18">
      <c r="A18" t="inlineStr">
        <is>
          <t>0763.HK</t>
        </is>
      </c>
      <c r="B18" t="inlineStr">
        <is>
          <t>中兴通讯</t>
        </is>
      </c>
    </row>
    <row r="19">
      <c r="A19" t="inlineStr">
        <is>
          <t>0772.HK</t>
        </is>
      </c>
      <c r="B19" t="inlineStr">
        <is>
          <t>阅文集团</t>
        </is>
      </c>
    </row>
    <row r="20">
      <c r="A20" t="inlineStr">
        <is>
          <t>0780.HK</t>
        </is>
      </c>
      <c r="B20" t="inlineStr">
        <is>
          <t>同程旅行</t>
        </is>
      </c>
    </row>
    <row r="21">
      <c r="A21" t="inlineStr">
        <is>
          <t>0853.HK</t>
        </is>
      </c>
      <c r="B21" t="inlineStr">
        <is>
          <t>微创医疗</t>
        </is>
      </c>
    </row>
    <row r="22">
      <c r="A22" t="inlineStr">
        <is>
          <t>0867.HK</t>
        </is>
      </c>
      <c r="B22" t="inlineStr">
        <is>
          <t>康哲药业</t>
        </is>
      </c>
    </row>
    <row r="23">
      <c r="A23" t="inlineStr">
        <is>
          <t>0917.HK</t>
        </is>
      </c>
      <c r="B23" t="inlineStr">
        <is>
          <t>趣致集团</t>
        </is>
      </c>
    </row>
    <row r="24">
      <c r="A24" t="inlineStr">
        <is>
          <t>0981.HK</t>
        </is>
      </c>
      <c r="B24" t="inlineStr">
        <is>
          <t>中芯国际</t>
        </is>
      </c>
    </row>
    <row r="25">
      <c r="A25" t="inlineStr">
        <is>
          <t>0992.HK</t>
        </is>
      </c>
      <c r="B25" t="inlineStr">
        <is>
          <t>联想集团</t>
        </is>
      </c>
    </row>
    <row r="26">
      <c r="A26" t="inlineStr">
        <is>
          <t>1024.HK</t>
        </is>
      </c>
      <c r="B26" t="inlineStr">
        <is>
          <t>快手</t>
        </is>
      </c>
    </row>
    <row r="27">
      <c r="A27" t="inlineStr">
        <is>
          <t>1066.HK</t>
        </is>
      </c>
      <c r="B27" t="inlineStr">
        <is>
          <t>威高股份</t>
        </is>
      </c>
    </row>
    <row r="28">
      <c r="A28" t="inlineStr">
        <is>
          <t>1093.HK</t>
        </is>
      </c>
      <c r="B28" t="inlineStr">
        <is>
          <t>石药集团</t>
        </is>
      </c>
    </row>
    <row r="29">
      <c r="A29" t="inlineStr">
        <is>
          <t>1177.HK</t>
        </is>
      </c>
      <c r="B29" t="inlineStr">
        <is>
          <t>中生制药</t>
        </is>
      </c>
    </row>
    <row r="30">
      <c r="A30" t="inlineStr">
        <is>
          <t>1211.HK</t>
        </is>
      </c>
      <c r="B30" t="inlineStr">
        <is>
          <t>比亚迪</t>
        </is>
      </c>
    </row>
    <row r="31">
      <c r="A31" t="inlineStr">
        <is>
          <t>1316.HK</t>
        </is>
      </c>
      <c r="B31" t="inlineStr">
        <is>
          <t>耐世特</t>
        </is>
      </c>
    </row>
    <row r="32">
      <c r="A32" t="inlineStr">
        <is>
          <t>1347.HK</t>
        </is>
      </c>
      <c r="B32" t="inlineStr">
        <is>
          <t>华虹半导体</t>
        </is>
      </c>
    </row>
    <row r="33">
      <c r="A33" t="inlineStr">
        <is>
          <t>1357.HK</t>
        </is>
      </c>
      <c r="B33" t="inlineStr">
        <is>
          <t>美图</t>
        </is>
      </c>
    </row>
    <row r="34">
      <c r="A34" t="inlineStr">
        <is>
          <t>1415.HK</t>
        </is>
      </c>
      <c r="B34" t="inlineStr">
        <is>
          <t>高伟电子</t>
        </is>
      </c>
    </row>
    <row r="35">
      <c r="A35" t="inlineStr">
        <is>
          <t>1513.HK</t>
        </is>
      </c>
      <c r="B35" t="inlineStr">
        <is>
          <t>丽珠医药</t>
        </is>
      </c>
    </row>
    <row r="36">
      <c r="A36" t="inlineStr">
        <is>
          <t>1530.HK</t>
        </is>
      </c>
      <c r="B36" t="inlineStr">
        <is>
          <t>三生制药</t>
        </is>
      </c>
    </row>
    <row r="37">
      <c r="A37" t="inlineStr">
        <is>
          <t>1548.HK</t>
        </is>
      </c>
      <c r="B37" t="inlineStr">
        <is>
          <t>金斯瑞生物科技</t>
        </is>
      </c>
    </row>
    <row r="38">
      <c r="A38" t="inlineStr">
        <is>
          <t>1585.HK</t>
        </is>
      </c>
      <c r="B38" t="inlineStr">
        <is>
          <t>雅迪控股</t>
        </is>
      </c>
    </row>
    <row r="39">
      <c r="A39" t="inlineStr">
        <is>
          <t>1686.HK</t>
        </is>
      </c>
      <c r="B39" t="inlineStr">
        <is>
          <t>新意网</t>
        </is>
      </c>
    </row>
    <row r="40">
      <c r="A40" t="inlineStr">
        <is>
          <t>1772.HK</t>
        </is>
      </c>
      <c r="B40" t="inlineStr">
        <is>
          <t>赣锋锂业</t>
        </is>
      </c>
    </row>
    <row r="41">
      <c r="A41" t="inlineStr">
        <is>
          <t>1797.HK</t>
        </is>
      </c>
      <c r="B41" t="inlineStr">
        <is>
          <t>东方甄选</t>
        </is>
      </c>
    </row>
    <row r="42">
      <c r="A42" t="inlineStr">
        <is>
          <t>1801.HK</t>
        </is>
      </c>
      <c r="B42" t="inlineStr">
        <is>
          <t>信达生物</t>
        </is>
      </c>
    </row>
    <row r="43">
      <c r="A43" t="inlineStr">
        <is>
          <t>1810.HK</t>
        </is>
      </c>
      <c r="B43" t="inlineStr">
        <is>
          <t>小米集团</t>
        </is>
      </c>
    </row>
    <row r="44">
      <c r="A44" t="inlineStr">
        <is>
          <t>1833.HK</t>
        </is>
      </c>
      <c r="B44" t="inlineStr">
        <is>
          <t>平安好医生</t>
        </is>
      </c>
    </row>
    <row r="45">
      <c r="A45" t="inlineStr">
        <is>
          <t>1860.HK</t>
        </is>
      </c>
      <c r="B45" t="inlineStr">
        <is>
          <t>汇量科技</t>
        </is>
      </c>
    </row>
    <row r="46">
      <c r="A46" t="inlineStr">
        <is>
          <t>1888.HK</t>
        </is>
      </c>
      <c r="B46" t="inlineStr">
        <is>
          <t>建滔积层板</t>
        </is>
      </c>
    </row>
    <row r="47">
      <c r="A47" t="inlineStr">
        <is>
          <t>1896.HK</t>
        </is>
      </c>
      <c r="B47" t="inlineStr">
        <is>
          <t>猫眼娱乐</t>
        </is>
      </c>
    </row>
    <row r="48">
      <c r="A48" t="inlineStr">
        <is>
          <t>1952.HK</t>
        </is>
      </c>
      <c r="B48" t="inlineStr">
        <is>
          <t>云顶新耀</t>
        </is>
      </c>
    </row>
    <row r="49">
      <c r="A49" t="inlineStr">
        <is>
          <t>2015.HK</t>
        </is>
      </c>
      <c r="B49" t="inlineStr">
        <is>
          <t>理想汽车</t>
        </is>
      </c>
    </row>
    <row r="50">
      <c r="A50" t="inlineStr">
        <is>
          <t>2018.HK</t>
        </is>
      </c>
      <c r="B50" t="inlineStr">
        <is>
          <t>瑞声科技</t>
        </is>
      </c>
    </row>
    <row r="51">
      <c r="A51" t="inlineStr">
        <is>
          <t>2096.HK</t>
        </is>
      </c>
      <c r="B51" t="inlineStr">
        <is>
          <t>先声药业</t>
        </is>
      </c>
    </row>
    <row r="52">
      <c r="A52" t="inlineStr">
        <is>
          <t>2162.HK</t>
        </is>
      </c>
      <c r="B52" t="inlineStr">
        <is>
          <t>康诺亚</t>
        </is>
      </c>
    </row>
    <row r="53">
      <c r="A53" t="inlineStr">
        <is>
          <t>2186.HK</t>
        </is>
      </c>
      <c r="B53" t="inlineStr">
        <is>
          <t>绿叶制药</t>
        </is>
      </c>
    </row>
    <row r="54">
      <c r="A54" t="inlineStr">
        <is>
          <t>2196.HK</t>
        </is>
      </c>
      <c r="B54" t="inlineStr">
        <is>
          <t>复星医药</t>
        </is>
      </c>
    </row>
    <row r="55">
      <c r="A55" t="inlineStr">
        <is>
          <t>2228.HK</t>
        </is>
      </c>
      <c r="B55" t="inlineStr">
        <is>
          <t>晶泰控股</t>
        </is>
      </c>
    </row>
    <row r="56">
      <c r="A56" t="inlineStr">
        <is>
          <t>2252.HK</t>
        </is>
      </c>
      <c r="B56" t="inlineStr">
        <is>
          <t>微创机器人</t>
        </is>
      </c>
    </row>
    <row r="57">
      <c r="A57" t="inlineStr">
        <is>
          <t>2268.HK</t>
        </is>
      </c>
      <c r="B57" t="inlineStr">
        <is>
          <t>药明合联</t>
        </is>
      </c>
    </row>
    <row r="58">
      <c r="A58" t="inlineStr">
        <is>
          <t>2269.HK</t>
        </is>
      </c>
      <c r="B58" t="inlineStr">
        <is>
          <t>药明生物</t>
        </is>
      </c>
    </row>
    <row r="59">
      <c r="A59" t="inlineStr">
        <is>
          <t>2357.HK</t>
        </is>
      </c>
      <c r="B59" t="inlineStr">
        <is>
          <t>中航科工</t>
        </is>
      </c>
    </row>
    <row r="60">
      <c r="A60" t="inlineStr">
        <is>
          <t>2359.HK</t>
        </is>
      </c>
      <c r="B60" t="inlineStr">
        <is>
          <t>药明康德</t>
        </is>
      </c>
    </row>
    <row r="61">
      <c r="A61" t="inlineStr">
        <is>
          <t>2367.HK</t>
        </is>
      </c>
      <c r="B61" t="inlineStr">
        <is>
          <t>巨子生物</t>
        </is>
      </c>
    </row>
    <row r="62">
      <c r="A62" t="inlineStr">
        <is>
          <t>2382.HK</t>
        </is>
      </c>
      <c r="B62" t="inlineStr">
        <is>
          <t>舜宇光学</t>
        </is>
      </c>
    </row>
    <row r="63">
      <c r="A63" t="inlineStr">
        <is>
          <t>2400.HK</t>
        </is>
      </c>
      <c r="B63" t="inlineStr">
        <is>
          <t>心动公司</t>
        </is>
      </c>
    </row>
    <row r="64">
      <c r="A64" t="inlineStr">
        <is>
          <t>2432.HK</t>
        </is>
      </c>
      <c r="B64" t="inlineStr">
        <is>
          <t>越疆</t>
        </is>
      </c>
    </row>
    <row r="65">
      <c r="A65" t="inlineStr">
        <is>
          <t>2498.HK</t>
        </is>
      </c>
      <c r="B65" t="inlineStr">
        <is>
          <t>速腾聚创</t>
        </is>
      </c>
    </row>
    <row r="66">
      <c r="A66" t="inlineStr">
        <is>
          <t>2533.HK</t>
        </is>
      </c>
      <c r="B66" t="inlineStr">
        <is>
          <t>黑芝麻智能</t>
        </is>
      </c>
    </row>
    <row r="67">
      <c r="A67" t="inlineStr">
        <is>
          <t>2556.HK</t>
        </is>
      </c>
      <c r="B67" t="inlineStr">
        <is>
          <t>迈富时</t>
        </is>
      </c>
    </row>
    <row r="68">
      <c r="A68" t="inlineStr">
        <is>
          <t>2577.HK</t>
        </is>
      </c>
      <c r="B68" t="inlineStr">
        <is>
          <t>英诺赛科</t>
        </is>
      </c>
    </row>
    <row r="69">
      <c r="A69" t="inlineStr">
        <is>
          <t>2587.HK</t>
        </is>
      </c>
      <c r="B69" t="inlineStr">
        <is>
          <t>健康之路</t>
        </is>
      </c>
    </row>
    <row r="70">
      <c r="A70" t="inlineStr">
        <is>
          <t>2858.HK</t>
        </is>
      </c>
      <c r="B70" t="inlineStr">
        <is>
          <t>易鑫集团</t>
        </is>
      </c>
    </row>
    <row r="71">
      <c r="A71" t="inlineStr">
        <is>
          <t>3320.HK</t>
        </is>
      </c>
      <c r="B71" t="inlineStr">
        <is>
          <t>华润医药</t>
        </is>
      </c>
    </row>
    <row r="72">
      <c r="A72" t="inlineStr">
        <is>
          <t>3677.HK</t>
        </is>
      </c>
      <c r="B72" t="inlineStr">
        <is>
          <t>正力新能</t>
        </is>
      </c>
    </row>
    <row r="73">
      <c r="A73" t="inlineStr">
        <is>
          <t>3690.HK</t>
        </is>
      </c>
      <c r="B73" t="inlineStr">
        <is>
          <t>美团</t>
        </is>
      </c>
    </row>
    <row r="74">
      <c r="A74" t="inlineStr">
        <is>
          <t>3692.HK</t>
        </is>
      </c>
      <c r="B74" t="inlineStr">
        <is>
          <t>翰森制药</t>
        </is>
      </c>
    </row>
    <row r="75">
      <c r="A75" t="inlineStr">
        <is>
          <t>3738.HK</t>
        </is>
      </c>
      <c r="B75" t="inlineStr">
        <is>
          <t>阜博集团</t>
        </is>
      </c>
    </row>
    <row r="76">
      <c r="A76" t="inlineStr">
        <is>
          <t>3750.HK</t>
        </is>
      </c>
      <c r="B76" t="inlineStr">
        <is>
          <t>宁德时代</t>
        </is>
      </c>
    </row>
    <row r="77">
      <c r="A77" t="inlineStr">
        <is>
          <t>3888.HK</t>
        </is>
      </c>
      <c r="B77" t="inlineStr">
        <is>
          <t>金山软件</t>
        </is>
      </c>
    </row>
    <row r="78">
      <c r="A78" t="inlineStr">
        <is>
          <t>3896.HK</t>
        </is>
      </c>
      <c r="B78" t="inlineStr">
        <is>
          <t>金山云</t>
        </is>
      </c>
    </row>
    <row r="79">
      <c r="A79" t="inlineStr">
        <is>
          <t>3933.HK</t>
        </is>
      </c>
      <c r="B79" t="inlineStr">
        <is>
          <t>联邦制药</t>
        </is>
      </c>
    </row>
    <row r="80">
      <c r="A80" t="inlineStr">
        <is>
          <t>6060.HK</t>
        </is>
      </c>
      <c r="B80" t="inlineStr">
        <is>
          <t>众安在线</t>
        </is>
      </c>
    </row>
    <row r="81">
      <c r="A81" t="inlineStr">
        <is>
          <t>6069.HK</t>
        </is>
      </c>
      <c r="B81" t="inlineStr">
        <is>
          <t>盛业</t>
        </is>
      </c>
    </row>
    <row r="82">
      <c r="A82" t="inlineStr">
        <is>
          <t>6078.HK</t>
        </is>
      </c>
      <c r="B82" t="inlineStr">
        <is>
          <t>海吉亚医疗</t>
        </is>
      </c>
    </row>
    <row r="83">
      <c r="A83" t="inlineStr">
        <is>
          <t>6088.HK</t>
        </is>
      </c>
      <c r="B83" t="inlineStr">
        <is>
          <t>鸿腾精密</t>
        </is>
      </c>
    </row>
    <row r="84">
      <c r="A84" t="inlineStr">
        <is>
          <t>6160.HK</t>
        </is>
      </c>
      <c r="B84" t="inlineStr">
        <is>
          <t>百济神州</t>
        </is>
      </c>
    </row>
    <row r="85">
      <c r="A85" t="inlineStr">
        <is>
          <t>6618.HK</t>
        </is>
      </c>
      <c r="B85" t="inlineStr">
        <is>
          <t>京东健康</t>
        </is>
      </c>
    </row>
    <row r="86">
      <c r="A86" t="inlineStr">
        <is>
          <t>6682.HK</t>
        </is>
      </c>
      <c r="B86" t="inlineStr">
        <is>
          <t>第四范式</t>
        </is>
      </c>
    </row>
    <row r="87">
      <c r="A87" t="inlineStr">
        <is>
          <t>6699.HK</t>
        </is>
      </c>
      <c r="B87" t="inlineStr">
        <is>
          <t>时代天使</t>
        </is>
      </c>
    </row>
    <row r="88">
      <c r="A88" t="inlineStr">
        <is>
          <t>6855.HK</t>
        </is>
      </c>
      <c r="B88" t="inlineStr">
        <is>
          <t>亚盛医药</t>
        </is>
      </c>
    </row>
    <row r="89">
      <c r="A89" t="inlineStr">
        <is>
          <t>6990.HK</t>
        </is>
      </c>
      <c r="B89" t="inlineStr">
        <is>
          <t>科伦博泰生物</t>
        </is>
      </c>
    </row>
    <row r="90">
      <c r="A90" t="inlineStr">
        <is>
          <t>9606.HK</t>
        </is>
      </c>
      <c r="B90" t="inlineStr">
        <is>
          <t>映恩生物</t>
        </is>
      </c>
    </row>
    <row r="91">
      <c r="A91" t="inlineStr">
        <is>
          <t>9626.HK</t>
        </is>
      </c>
      <c r="B91" t="inlineStr">
        <is>
          <t>哔哩哔哩</t>
        </is>
      </c>
    </row>
    <row r="92">
      <c r="A92" t="inlineStr">
        <is>
          <t>9636.HK</t>
        </is>
      </c>
      <c r="B92" t="inlineStr">
        <is>
          <t>九方智投</t>
        </is>
      </c>
    </row>
    <row r="93">
      <c r="A93" t="inlineStr">
        <is>
          <t>9660.HK</t>
        </is>
      </c>
      <c r="B93" t="inlineStr">
        <is>
          <t>地平线机器人</t>
        </is>
      </c>
    </row>
    <row r="94">
      <c r="A94" t="inlineStr">
        <is>
          <t>9688.HK</t>
        </is>
      </c>
      <c r="B94" t="inlineStr">
        <is>
          <t>再鼎医药</t>
        </is>
      </c>
    </row>
    <row r="95">
      <c r="A95" t="inlineStr">
        <is>
          <t>9863.HK</t>
        </is>
      </c>
      <c r="B95" t="inlineStr">
        <is>
          <t>零跑汽车</t>
        </is>
      </c>
    </row>
    <row r="96">
      <c r="A96" t="inlineStr">
        <is>
          <t>9868.HK</t>
        </is>
      </c>
      <c r="B96" t="inlineStr">
        <is>
          <t>京东集团</t>
        </is>
      </c>
    </row>
    <row r="97">
      <c r="A97" t="inlineStr">
        <is>
          <t>9880.HK</t>
        </is>
      </c>
      <c r="B97" t="inlineStr">
        <is>
          <t>优必选</t>
        </is>
      </c>
    </row>
    <row r="98">
      <c r="A98" t="inlineStr">
        <is>
          <t>9899.HK</t>
        </is>
      </c>
      <c r="B98" t="inlineStr">
        <is>
          <t>网易云音乐</t>
        </is>
      </c>
    </row>
    <row r="99">
      <c r="A99" t="inlineStr">
        <is>
          <t>9926.HK</t>
        </is>
      </c>
      <c r="B99" t="inlineStr">
        <is>
          <t>康方生物</t>
        </is>
      </c>
    </row>
    <row r="100">
      <c r="A100" t="inlineStr">
        <is>
          <t>9969.HK</t>
        </is>
      </c>
      <c r="B100" t="inlineStr">
        <is>
          <t>诺诚健华</t>
        </is>
      </c>
    </row>
    <row r="101">
      <c r="A101" t="inlineStr">
        <is>
          <t>9988.HK</t>
        </is>
      </c>
      <c r="B101" t="inlineStr">
        <is>
          <t>阿里巴巴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6" t="inlineStr">
        <is>
          <t>观测日期→</t>
        </is>
      </c>
      <c r="B1">
        <f>TODAY()</f>
        <v/>
      </c>
    </row>
    <row r="2">
      <c r="A2" s="37" t="inlineStr">
        <is>
          <t>代码</t>
        </is>
      </c>
      <c r="B2" s="37" t="inlineStr">
        <is>
          <t>日期</t>
        </is>
      </c>
      <c r="C2" s="37" t="inlineStr">
        <is>
          <t>FY1净利润均值</t>
        </is>
      </c>
      <c r="D2" s="37" t="inlineStr">
        <is>
          <t>FY1_EPS</t>
        </is>
      </c>
      <c r="E2" s="37" t="inlineStr">
        <is>
          <t>FY1机构数</t>
        </is>
      </c>
      <c r="F2" s="37" t="inlineStr">
        <is>
          <t>FY1标准差</t>
        </is>
      </c>
      <c r="G2" s="37" t="inlineStr">
        <is>
          <t>FY1中值</t>
        </is>
      </c>
      <c r="H2" s="37" t="inlineStr">
        <is>
          <t>FY2净利润均值</t>
        </is>
      </c>
      <c r="I2" s="37" t="inlineStr">
        <is>
          <t>FY2_EPS</t>
        </is>
      </c>
      <c r="J2" s="37" t="inlineStr">
        <is>
          <t>FY2机构数</t>
        </is>
      </c>
      <c r="K2" s="37" t="inlineStr">
        <is>
          <t>FY2标准差</t>
        </is>
      </c>
      <c r="L2" s="37" t="inlineStr">
        <is>
          <t>FY2中值</t>
        </is>
      </c>
      <c r="M2" s="37" t="inlineStr">
        <is>
          <t>收盘价</t>
        </is>
      </c>
      <c r="N2" s="37" t="inlineStr">
        <is>
          <t>成交量</t>
        </is>
      </c>
      <c r="O2" s="37" t="inlineStr">
        <is>
          <t>成交额</t>
        </is>
      </c>
      <c r="P2" s="37" t="inlineStr">
        <is>
          <t>换手率</t>
        </is>
      </c>
      <c r="Q2" s="37" t="inlineStr">
        <is>
          <t>滚动PE</t>
        </is>
      </c>
      <c r="R2" s="37" t="inlineStr">
        <is>
          <t>总市值(亿)</t>
        </is>
      </c>
    </row>
    <row r="3">
      <c r="A3">
        <f>_meta!A2</f>
        <v/>
      </c>
      <c r="B3">
        <f>$B$1</f>
        <v/>
      </c>
      <c r="C3">
        <f>[1]!s_west_netprofit($A3,YEAR($B3),$B3,180,1000000)</f>
        <v/>
      </c>
      <c r="D3">
        <f>[1]!s_west_eps($A3,YEAR($B3),$B3,180)</f>
        <v/>
      </c>
      <c r="E3">
        <f>[1]!s_west_instnum_np($A3,YEAR($B3),$B3,180)</f>
        <v/>
      </c>
      <c r="F3">
        <f>[1]!s_west_stdnetprofit($A3,YEAR($B3),$B3,180,1000000)</f>
        <v/>
      </c>
      <c r="G3">
        <f>[1]!s_west_mediannetprofit($A3,YEAR($B3),$B3,180,1000000)</f>
        <v/>
      </c>
      <c r="H3">
        <f>[1]!s_west_netprofit($A3,YEAR($B3)+1,$B3,180,1000000)</f>
        <v/>
      </c>
      <c r="I3">
        <f>[1]!s_west_eps($A3,YEAR($B3)+1,$B3,180)</f>
        <v/>
      </c>
      <c r="J3">
        <f>[1]!s_west_instnum_np($A3,YEAR($B3)+1,$B3,180)</f>
        <v/>
      </c>
      <c r="K3">
        <f>[1]!s_west_stdnetprofit($A3,YEAR($B3)+1,$B3,180,1000000)</f>
        <v/>
      </c>
      <c r="L3">
        <f>[1]!s_west_mediannetprofit($A3,YEAR($B3)+1,$B3,180,1000000)</f>
        <v/>
      </c>
      <c r="M3">
        <f>[1]!s_dq_close($A3,$B3,3)</f>
        <v/>
      </c>
      <c r="N3">
        <f>[1]!s_dq_volume($A3,$B3)</f>
        <v/>
      </c>
      <c r="O3">
        <f>[1]!s_dq_amount($A3,$B3)</f>
        <v/>
      </c>
      <c r="P3">
        <f>[1]!s_dq_turn($A3,$B3)</f>
        <v/>
      </c>
      <c r="Q3">
        <f>[1]!s_val_pe_ttm($A3,$B3)</f>
        <v/>
      </c>
      <c r="R3">
        <f>[1]!S_VAL_MV($A3,$B3,100000000)</f>
        <v/>
      </c>
    </row>
    <row r="4">
      <c r="A4">
        <f>_meta!A3</f>
        <v/>
      </c>
      <c r="B4">
        <f>$B$1</f>
        <v/>
      </c>
      <c r="C4">
        <f>[1]!s_west_netprofit($A4,YEAR($B4),$B4,180,1000000)</f>
        <v/>
      </c>
      <c r="D4">
        <f>[1]!s_west_eps($A4,YEAR($B4),$B4,180)</f>
        <v/>
      </c>
      <c r="E4">
        <f>[1]!s_west_instnum_np($A4,YEAR($B4),$B4,180)</f>
        <v/>
      </c>
      <c r="F4">
        <f>[1]!s_west_stdnetprofit($A4,YEAR($B4),$B4,180,1000000)</f>
        <v/>
      </c>
      <c r="G4">
        <f>[1]!s_west_mediannetprofit($A4,YEAR($B4),$B4,180,1000000)</f>
        <v/>
      </c>
      <c r="H4">
        <f>[1]!s_west_netprofit($A4,YEAR($B4)+1,$B4,180,1000000)</f>
        <v/>
      </c>
      <c r="I4">
        <f>[1]!s_west_eps($A4,YEAR($B4)+1,$B4,180)</f>
        <v/>
      </c>
      <c r="J4">
        <f>[1]!s_west_instnum_np($A4,YEAR($B4)+1,$B4,180)</f>
        <v/>
      </c>
      <c r="K4">
        <f>[1]!s_west_stdnetprofit($A4,YEAR($B4)+1,$B4,180,1000000)</f>
        <v/>
      </c>
      <c r="L4">
        <f>[1]!s_west_mediannetprofit($A4,YEAR($B4)+1,$B4,180,1000000)</f>
        <v/>
      </c>
      <c r="M4">
        <f>[1]!s_dq_close($A4,$B4,3)</f>
        <v/>
      </c>
      <c r="N4">
        <f>[1]!s_dq_volume($A4,$B4)</f>
        <v/>
      </c>
      <c r="O4">
        <f>[1]!s_dq_amount($A4,$B4)</f>
        <v/>
      </c>
      <c r="P4">
        <f>[1]!s_dq_turn($A4,$B4)</f>
        <v/>
      </c>
      <c r="Q4">
        <f>[1]!s_val_pe_ttm($A4,$B4)</f>
        <v/>
      </c>
      <c r="R4">
        <f>[1]!S_VAL_MV($A4,$B4,100000000)</f>
        <v/>
      </c>
    </row>
    <row r="5">
      <c r="A5">
        <f>_meta!A4</f>
        <v/>
      </c>
      <c r="B5">
        <f>$B$1</f>
        <v/>
      </c>
      <c r="C5">
        <f>[1]!s_west_netprofit($A5,YEAR($B5),$B5,180,1000000)</f>
        <v/>
      </c>
      <c r="D5">
        <f>[1]!s_west_eps($A5,YEAR($B5),$B5,180)</f>
        <v/>
      </c>
      <c r="E5">
        <f>[1]!s_west_instnum_np($A5,YEAR($B5),$B5,180)</f>
        <v/>
      </c>
      <c r="F5">
        <f>[1]!s_west_stdnetprofit($A5,YEAR($B5),$B5,180,1000000)</f>
        <v/>
      </c>
      <c r="G5">
        <f>[1]!s_west_mediannetprofit($A5,YEAR($B5),$B5,180,1000000)</f>
        <v/>
      </c>
      <c r="H5">
        <f>[1]!s_west_netprofit($A5,YEAR($B5)+1,$B5,180,1000000)</f>
        <v/>
      </c>
      <c r="I5">
        <f>[1]!s_west_eps($A5,YEAR($B5)+1,$B5,180)</f>
        <v/>
      </c>
      <c r="J5">
        <f>[1]!s_west_instnum_np($A5,YEAR($B5)+1,$B5,180)</f>
        <v/>
      </c>
      <c r="K5">
        <f>[1]!s_west_stdnetprofit($A5,YEAR($B5)+1,$B5,180,1000000)</f>
        <v/>
      </c>
      <c r="L5">
        <f>[1]!s_west_mediannetprofit($A5,YEAR($B5)+1,$B5,180,1000000)</f>
        <v/>
      </c>
      <c r="M5">
        <f>[1]!s_dq_close($A5,$B5,3)</f>
        <v/>
      </c>
      <c r="N5">
        <f>[1]!s_dq_volume($A5,$B5)</f>
        <v/>
      </c>
      <c r="O5">
        <f>[1]!s_dq_amount($A5,$B5)</f>
        <v/>
      </c>
      <c r="P5">
        <f>[1]!s_dq_turn($A5,$B5)</f>
        <v/>
      </c>
      <c r="Q5">
        <f>[1]!s_val_pe_ttm($A5,$B5)</f>
        <v/>
      </c>
      <c r="R5">
        <f>[1]!S_VAL_MV($A5,$B5,100000000)</f>
        <v/>
      </c>
    </row>
    <row r="6">
      <c r="A6">
        <f>_meta!A5</f>
        <v/>
      </c>
      <c r="B6">
        <f>$B$1</f>
        <v/>
      </c>
      <c r="C6">
        <f>[1]!s_west_netprofit($A6,YEAR($B6),$B6,180,1000000)</f>
        <v/>
      </c>
      <c r="D6">
        <f>[1]!s_west_eps($A6,YEAR($B6),$B6,180)</f>
        <v/>
      </c>
      <c r="E6">
        <f>[1]!s_west_instnum_np($A6,YEAR($B6),$B6,180)</f>
        <v/>
      </c>
      <c r="F6">
        <f>[1]!s_west_stdnetprofit($A6,YEAR($B6),$B6,180,1000000)</f>
        <v/>
      </c>
      <c r="G6">
        <f>[1]!s_west_mediannetprofit($A6,YEAR($B6),$B6,180,1000000)</f>
        <v/>
      </c>
      <c r="H6">
        <f>[1]!s_west_netprofit($A6,YEAR($B6)+1,$B6,180,1000000)</f>
        <v/>
      </c>
      <c r="I6">
        <f>[1]!s_west_eps($A6,YEAR($B6)+1,$B6,180)</f>
        <v/>
      </c>
      <c r="J6">
        <f>[1]!s_west_instnum_np($A6,YEAR($B6)+1,$B6,180)</f>
        <v/>
      </c>
      <c r="K6">
        <f>[1]!s_west_stdnetprofit($A6,YEAR($B6)+1,$B6,180,1000000)</f>
        <v/>
      </c>
      <c r="L6">
        <f>[1]!s_west_mediannetprofit($A6,YEAR($B6)+1,$B6,180,1000000)</f>
        <v/>
      </c>
      <c r="M6">
        <f>[1]!s_dq_close($A6,$B6,3)</f>
        <v/>
      </c>
      <c r="N6">
        <f>[1]!s_dq_volume($A6,$B6)</f>
        <v/>
      </c>
      <c r="O6">
        <f>[1]!s_dq_amount($A6,$B6)</f>
        <v/>
      </c>
      <c r="P6">
        <f>[1]!s_dq_turn($A6,$B6)</f>
        <v/>
      </c>
      <c r="Q6">
        <f>[1]!s_val_pe_ttm($A6,$B6)</f>
        <v/>
      </c>
      <c r="R6">
        <f>[1]!S_VAL_MV($A6,$B6,100000000)</f>
        <v/>
      </c>
    </row>
    <row r="7">
      <c r="A7">
        <f>_meta!A6</f>
        <v/>
      </c>
      <c r="B7">
        <f>$B$1</f>
        <v/>
      </c>
      <c r="C7">
        <f>[1]!s_west_netprofit($A7,YEAR($B7),$B7,180,1000000)</f>
        <v/>
      </c>
      <c r="D7">
        <f>[1]!s_west_eps($A7,YEAR($B7),$B7,180)</f>
        <v/>
      </c>
      <c r="E7">
        <f>[1]!s_west_instnum_np($A7,YEAR($B7),$B7,180)</f>
        <v/>
      </c>
      <c r="F7">
        <f>[1]!s_west_stdnetprofit($A7,YEAR($B7),$B7,180,1000000)</f>
        <v/>
      </c>
      <c r="G7">
        <f>[1]!s_west_mediannetprofit($A7,YEAR($B7),$B7,180,1000000)</f>
        <v/>
      </c>
      <c r="H7">
        <f>[1]!s_west_netprofit($A7,YEAR($B7)+1,$B7,180,1000000)</f>
        <v/>
      </c>
      <c r="I7">
        <f>[1]!s_west_eps($A7,YEAR($B7)+1,$B7,180)</f>
        <v/>
      </c>
      <c r="J7">
        <f>[1]!s_west_instnum_np($A7,YEAR($B7)+1,$B7,180)</f>
        <v/>
      </c>
      <c r="K7">
        <f>[1]!s_west_stdnetprofit($A7,YEAR($B7)+1,$B7,180,1000000)</f>
        <v/>
      </c>
      <c r="L7">
        <f>[1]!s_west_mediannetprofit($A7,YEAR($B7)+1,$B7,180,1000000)</f>
        <v/>
      </c>
      <c r="M7">
        <f>[1]!s_dq_close($A7,$B7,3)</f>
        <v/>
      </c>
      <c r="N7">
        <f>[1]!s_dq_volume($A7,$B7)</f>
        <v/>
      </c>
      <c r="O7">
        <f>[1]!s_dq_amount($A7,$B7)</f>
        <v/>
      </c>
      <c r="P7">
        <f>[1]!s_dq_turn($A7,$B7)</f>
        <v/>
      </c>
      <c r="Q7">
        <f>[1]!s_val_pe_ttm($A7,$B7)</f>
        <v/>
      </c>
      <c r="R7">
        <f>[1]!S_VAL_MV($A7,$B7,100000000)</f>
        <v/>
      </c>
    </row>
    <row r="8">
      <c r="A8">
        <f>_meta!A7</f>
        <v/>
      </c>
      <c r="B8">
        <f>$B$1</f>
        <v/>
      </c>
      <c r="C8">
        <f>[1]!s_west_netprofit($A8,YEAR($B8),$B8,180,1000000)</f>
        <v/>
      </c>
      <c r="D8">
        <f>[1]!s_west_eps($A8,YEAR($B8),$B8,180)</f>
        <v/>
      </c>
      <c r="E8">
        <f>[1]!s_west_instnum_np($A8,YEAR($B8),$B8,180)</f>
        <v/>
      </c>
      <c r="F8">
        <f>[1]!s_west_stdnetprofit($A8,YEAR($B8),$B8,180,1000000)</f>
        <v/>
      </c>
      <c r="G8">
        <f>[1]!s_west_mediannetprofit($A8,YEAR($B8),$B8,180,1000000)</f>
        <v/>
      </c>
      <c r="H8">
        <f>[1]!s_west_netprofit($A8,YEAR($B8)+1,$B8,180,1000000)</f>
        <v/>
      </c>
      <c r="I8">
        <f>[1]!s_west_eps($A8,YEAR($B8)+1,$B8,180)</f>
        <v/>
      </c>
      <c r="J8">
        <f>[1]!s_west_instnum_np($A8,YEAR($B8)+1,$B8,180)</f>
        <v/>
      </c>
      <c r="K8">
        <f>[1]!s_west_stdnetprofit($A8,YEAR($B8)+1,$B8,180,1000000)</f>
        <v/>
      </c>
      <c r="L8">
        <f>[1]!s_west_mediannetprofit($A8,YEAR($B8)+1,$B8,180,1000000)</f>
        <v/>
      </c>
      <c r="M8">
        <f>[1]!s_dq_close($A8,$B8,3)</f>
        <v/>
      </c>
      <c r="N8">
        <f>[1]!s_dq_volume($A8,$B8)</f>
        <v/>
      </c>
      <c r="O8">
        <f>[1]!s_dq_amount($A8,$B8)</f>
        <v/>
      </c>
      <c r="P8">
        <f>[1]!s_dq_turn($A8,$B8)</f>
        <v/>
      </c>
      <c r="Q8">
        <f>[1]!s_val_pe_ttm($A8,$B8)</f>
        <v/>
      </c>
      <c r="R8">
        <f>[1]!S_VAL_MV($A8,$B8,100000000)</f>
        <v/>
      </c>
    </row>
    <row r="9">
      <c r="A9">
        <f>_meta!A8</f>
        <v/>
      </c>
      <c r="B9">
        <f>$B$1</f>
        <v/>
      </c>
      <c r="C9">
        <f>[1]!s_west_netprofit($A9,YEAR($B9),$B9,180,1000000)</f>
        <v/>
      </c>
      <c r="D9">
        <f>[1]!s_west_eps($A9,YEAR($B9),$B9,180)</f>
        <v/>
      </c>
      <c r="E9">
        <f>[1]!s_west_instnum_np($A9,YEAR($B9),$B9,180)</f>
        <v/>
      </c>
      <c r="F9">
        <f>[1]!s_west_stdnetprofit($A9,YEAR($B9),$B9,180,1000000)</f>
        <v/>
      </c>
      <c r="G9">
        <f>[1]!s_west_mediannetprofit($A9,YEAR($B9),$B9,180,1000000)</f>
        <v/>
      </c>
      <c r="H9">
        <f>[1]!s_west_netprofit($A9,YEAR($B9)+1,$B9,180,1000000)</f>
        <v/>
      </c>
      <c r="I9">
        <f>[1]!s_west_eps($A9,YEAR($B9)+1,$B9,180)</f>
        <v/>
      </c>
      <c r="J9">
        <f>[1]!s_west_instnum_np($A9,YEAR($B9)+1,$B9,180)</f>
        <v/>
      </c>
      <c r="K9">
        <f>[1]!s_west_stdnetprofit($A9,YEAR($B9)+1,$B9,180,1000000)</f>
        <v/>
      </c>
      <c r="L9">
        <f>[1]!s_west_mediannetprofit($A9,YEAR($B9)+1,$B9,180,1000000)</f>
        <v/>
      </c>
      <c r="M9">
        <f>[1]!s_dq_close($A9,$B9,3)</f>
        <v/>
      </c>
      <c r="N9">
        <f>[1]!s_dq_volume($A9,$B9)</f>
        <v/>
      </c>
      <c r="O9">
        <f>[1]!s_dq_amount($A9,$B9)</f>
        <v/>
      </c>
      <c r="P9">
        <f>[1]!s_dq_turn($A9,$B9)</f>
        <v/>
      </c>
      <c r="Q9">
        <f>[1]!s_val_pe_ttm($A9,$B9)</f>
        <v/>
      </c>
      <c r="R9">
        <f>[1]!S_VAL_MV($A9,$B9,100000000)</f>
        <v/>
      </c>
    </row>
    <row r="10">
      <c r="A10">
        <f>_meta!A9</f>
        <v/>
      </c>
      <c r="B10">
        <f>$B$1</f>
        <v/>
      </c>
      <c r="C10">
        <f>[1]!s_west_netprofit($A10,YEAR($B10),$B10,180,1000000)</f>
        <v/>
      </c>
      <c r="D10">
        <f>[1]!s_west_eps($A10,YEAR($B10),$B10,180)</f>
        <v/>
      </c>
      <c r="E10">
        <f>[1]!s_west_instnum_np($A10,YEAR($B10),$B10,180)</f>
        <v/>
      </c>
      <c r="F10">
        <f>[1]!s_west_stdnetprofit($A10,YEAR($B10),$B10,180,1000000)</f>
        <v/>
      </c>
      <c r="G10">
        <f>[1]!s_west_mediannetprofit($A10,YEAR($B10),$B10,180,1000000)</f>
        <v/>
      </c>
      <c r="H10">
        <f>[1]!s_west_netprofit($A10,YEAR($B10)+1,$B10,180,1000000)</f>
        <v/>
      </c>
      <c r="I10">
        <f>[1]!s_west_eps($A10,YEAR($B10)+1,$B10,180)</f>
        <v/>
      </c>
      <c r="J10">
        <f>[1]!s_west_instnum_np($A10,YEAR($B10)+1,$B10,180)</f>
        <v/>
      </c>
      <c r="K10">
        <f>[1]!s_west_stdnetprofit($A10,YEAR($B10)+1,$B10,180,1000000)</f>
        <v/>
      </c>
      <c r="L10">
        <f>[1]!s_west_mediannetprofit($A10,YEAR($B10)+1,$B10,180,1000000)</f>
        <v/>
      </c>
      <c r="M10">
        <f>[1]!s_dq_close($A10,$B10,3)</f>
        <v/>
      </c>
      <c r="N10">
        <f>[1]!s_dq_volume($A10,$B10)</f>
        <v/>
      </c>
      <c r="O10">
        <f>[1]!s_dq_amount($A10,$B10)</f>
        <v/>
      </c>
      <c r="P10">
        <f>[1]!s_dq_turn($A10,$B10)</f>
        <v/>
      </c>
      <c r="Q10">
        <f>[1]!s_val_pe_ttm($A10,$B10)</f>
        <v/>
      </c>
      <c r="R10">
        <f>[1]!S_VAL_MV($A10,$B10,100000000)</f>
        <v/>
      </c>
    </row>
    <row r="11">
      <c r="A11">
        <f>_meta!A10</f>
        <v/>
      </c>
      <c r="B11">
        <f>$B$1</f>
        <v/>
      </c>
      <c r="C11">
        <f>[1]!s_west_netprofit($A11,YEAR($B11),$B11,180,1000000)</f>
        <v/>
      </c>
      <c r="D11">
        <f>[1]!s_west_eps($A11,YEAR($B11),$B11,180)</f>
        <v/>
      </c>
      <c r="E11">
        <f>[1]!s_west_instnum_np($A11,YEAR($B11),$B11,180)</f>
        <v/>
      </c>
      <c r="F11">
        <f>[1]!s_west_stdnetprofit($A11,YEAR($B11),$B11,180,1000000)</f>
        <v/>
      </c>
      <c r="G11">
        <f>[1]!s_west_mediannetprofit($A11,YEAR($B11),$B11,180,1000000)</f>
        <v/>
      </c>
      <c r="H11">
        <f>[1]!s_west_netprofit($A11,YEAR($B11)+1,$B11,180,1000000)</f>
        <v/>
      </c>
      <c r="I11">
        <f>[1]!s_west_eps($A11,YEAR($B11)+1,$B11,180)</f>
        <v/>
      </c>
      <c r="J11">
        <f>[1]!s_west_instnum_np($A11,YEAR($B11)+1,$B11,180)</f>
        <v/>
      </c>
      <c r="K11">
        <f>[1]!s_west_stdnetprofit($A11,YEAR($B11)+1,$B11,180,1000000)</f>
        <v/>
      </c>
      <c r="L11">
        <f>[1]!s_west_mediannetprofit($A11,YEAR($B11)+1,$B11,180,1000000)</f>
        <v/>
      </c>
      <c r="M11">
        <f>[1]!s_dq_close($A11,$B11,3)</f>
        <v/>
      </c>
      <c r="N11">
        <f>[1]!s_dq_volume($A11,$B11)</f>
        <v/>
      </c>
      <c r="O11">
        <f>[1]!s_dq_amount($A11,$B11)</f>
        <v/>
      </c>
      <c r="P11">
        <f>[1]!s_dq_turn($A11,$B11)</f>
        <v/>
      </c>
      <c r="Q11">
        <f>[1]!s_val_pe_ttm($A11,$B11)</f>
        <v/>
      </c>
      <c r="R11">
        <f>[1]!S_VAL_MV($A11,$B11,100000000)</f>
        <v/>
      </c>
    </row>
    <row r="12">
      <c r="A12">
        <f>_meta!A11</f>
        <v/>
      </c>
      <c r="B12">
        <f>$B$1</f>
        <v/>
      </c>
      <c r="C12">
        <f>[1]!s_west_netprofit($A12,YEAR($B12),$B12,180,1000000)</f>
        <v/>
      </c>
      <c r="D12">
        <f>[1]!s_west_eps($A12,YEAR($B12),$B12,180)</f>
        <v/>
      </c>
      <c r="E12">
        <f>[1]!s_west_instnum_np($A12,YEAR($B12),$B12,180)</f>
        <v/>
      </c>
      <c r="F12">
        <f>[1]!s_west_stdnetprofit($A12,YEAR($B12),$B12,180,1000000)</f>
        <v/>
      </c>
      <c r="G12">
        <f>[1]!s_west_mediannetprofit($A12,YEAR($B12),$B12,180,1000000)</f>
        <v/>
      </c>
      <c r="H12">
        <f>[1]!s_west_netprofit($A12,YEAR($B12)+1,$B12,180,1000000)</f>
        <v/>
      </c>
      <c r="I12">
        <f>[1]!s_west_eps($A12,YEAR($B12)+1,$B12,180)</f>
        <v/>
      </c>
      <c r="J12">
        <f>[1]!s_west_instnum_np($A12,YEAR($B12)+1,$B12,180)</f>
        <v/>
      </c>
      <c r="K12">
        <f>[1]!s_west_stdnetprofit($A12,YEAR($B12)+1,$B12,180,1000000)</f>
        <v/>
      </c>
      <c r="L12">
        <f>[1]!s_west_mediannetprofit($A12,YEAR($B12)+1,$B12,180,1000000)</f>
        <v/>
      </c>
      <c r="M12">
        <f>[1]!s_dq_close($A12,$B12,3)</f>
        <v/>
      </c>
      <c r="N12">
        <f>[1]!s_dq_volume($A12,$B12)</f>
        <v/>
      </c>
      <c r="O12">
        <f>[1]!s_dq_amount($A12,$B12)</f>
        <v/>
      </c>
      <c r="P12">
        <f>[1]!s_dq_turn($A12,$B12)</f>
        <v/>
      </c>
      <c r="Q12">
        <f>[1]!s_val_pe_ttm($A12,$B12)</f>
        <v/>
      </c>
      <c r="R12">
        <f>[1]!S_VAL_MV($A12,$B12,100000000)</f>
        <v/>
      </c>
    </row>
    <row r="13">
      <c r="A13">
        <f>_meta!A12</f>
        <v/>
      </c>
      <c r="B13">
        <f>$B$1</f>
        <v/>
      </c>
      <c r="C13">
        <f>[1]!s_west_netprofit($A13,YEAR($B13),$B13,180,1000000)</f>
        <v/>
      </c>
      <c r="D13">
        <f>[1]!s_west_eps($A13,YEAR($B13),$B13,180)</f>
        <v/>
      </c>
      <c r="E13">
        <f>[1]!s_west_instnum_np($A13,YEAR($B13),$B13,180)</f>
        <v/>
      </c>
      <c r="F13">
        <f>[1]!s_west_stdnetprofit($A13,YEAR($B13),$B13,180,1000000)</f>
        <v/>
      </c>
      <c r="G13">
        <f>[1]!s_west_mediannetprofit($A13,YEAR($B13),$B13,180,1000000)</f>
        <v/>
      </c>
      <c r="H13">
        <f>[1]!s_west_netprofit($A13,YEAR($B13)+1,$B13,180,1000000)</f>
        <v/>
      </c>
      <c r="I13">
        <f>[1]!s_west_eps($A13,YEAR($B13)+1,$B13,180)</f>
        <v/>
      </c>
      <c r="J13">
        <f>[1]!s_west_instnum_np($A13,YEAR($B13)+1,$B13,180)</f>
        <v/>
      </c>
      <c r="K13">
        <f>[1]!s_west_stdnetprofit($A13,YEAR($B13)+1,$B13,180,1000000)</f>
        <v/>
      </c>
      <c r="L13">
        <f>[1]!s_west_mediannetprofit($A13,YEAR($B13)+1,$B13,180,1000000)</f>
        <v/>
      </c>
      <c r="M13">
        <f>[1]!s_dq_close($A13,$B13,3)</f>
        <v/>
      </c>
      <c r="N13">
        <f>[1]!s_dq_volume($A13,$B13)</f>
        <v/>
      </c>
      <c r="O13">
        <f>[1]!s_dq_amount($A13,$B13)</f>
        <v/>
      </c>
      <c r="P13">
        <f>[1]!s_dq_turn($A13,$B13)</f>
        <v/>
      </c>
      <c r="Q13">
        <f>[1]!s_val_pe_ttm($A13,$B13)</f>
        <v/>
      </c>
      <c r="R13">
        <f>[1]!S_VAL_MV($A13,$B13,100000000)</f>
        <v/>
      </c>
    </row>
    <row r="14">
      <c r="A14">
        <f>_meta!A13</f>
        <v/>
      </c>
      <c r="B14">
        <f>$B$1</f>
        <v/>
      </c>
      <c r="C14">
        <f>[1]!s_west_netprofit($A14,YEAR($B14),$B14,180,1000000)</f>
        <v/>
      </c>
      <c r="D14">
        <f>[1]!s_west_eps($A14,YEAR($B14),$B14,180)</f>
        <v/>
      </c>
      <c r="E14">
        <f>[1]!s_west_instnum_np($A14,YEAR($B14),$B14,180)</f>
        <v/>
      </c>
      <c r="F14">
        <f>[1]!s_west_stdnetprofit($A14,YEAR($B14),$B14,180,1000000)</f>
        <v/>
      </c>
      <c r="G14">
        <f>[1]!s_west_mediannetprofit($A14,YEAR($B14),$B14,180,1000000)</f>
        <v/>
      </c>
      <c r="H14">
        <f>[1]!s_west_netprofit($A14,YEAR($B14)+1,$B14,180,1000000)</f>
        <v/>
      </c>
      <c r="I14">
        <f>[1]!s_west_eps($A14,YEAR($B14)+1,$B14,180)</f>
        <v/>
      </c>
      <c r="J14">
        <f>[1]!s_west_instnum_np($A14,YEAR($B14)+1,$B14,180)</f>
        <v/>
      </c>
      <c r="K14">
        <f>[1]!s_west_stdnetprofit($A14,YEAR($B14)+1,$B14,180,1000000)</f>
        <v/>
      </c>
      <c r="L14">
        <f>[1]!s_west_mediannetprofit($A14,YEAR($B14)+1,$B14,180,1000000)</f>
        <v/>
      </c>
      <c r="M14">
        <f>[1]!s_dq_close($A14,$B14,3)</f>
        <v/>
      </c>
      <c r="N14">
        <f>[1]!s_dq_volume($A14,$B14)</f>
        <v/>
      </c>
      <c r="O14">
        <f>[1]!s_dq_amount($A14,$B14)</f>
        <v/>
      </c>
      <c r="P14">
        <f>[1]!s_dq_turn($A14,$B14)</f>
        <v/>
      </c>
      <c r="Q14">
        <f>[1]!s_val_pe_ttm($A14,$B14)</f>
        <v/>
      </c>
      <c r="R14">
        <f>[1]!S_VAL_MV($A14,$B14,100000000)</f>
        <v/>
      </c>
    </row>
    <row r="15">
      <c r="A15">
        <f>_meta!A14</f>
        <v/>
      </c>
      <c r="B15">
        <f>$B$1</f>
        <v/>
      </c>
      <c r="C15">
        <f>[1]!s_west_netprofit($A15,YEAR($B15),$B15,180,1000000)</f>
        <v/>
      </c>
      <c r="D15">
        <f>[1]!s_west_eps($A15,YEAR($B15),$B15,180)</f>
        <v/>
      </c>
      <c r="E15">
        <f>[1]!s_west_instnum_np($A15,YEAR($B15),$B15,180)</f>
        <v/>
      </c>
      <c r="F15">
        <f>[1]!s_west_stdnetprofit($A15,YEAR($B15),$B15,180,1000000)</f>
        <v/>
      </c>
      <c r="G15">
        <f>[1]!s_west_mediannetprofit($A15,YEAR($B15),$B15,180,1000000)</f>
        <v/>
      </c>
      <c r="H15">
        <f>[1]!s_west_netprofit($A15,YEAR($B15)+1,$B15,180,1000000)</f>
        <v/>
      </c>
      <c r="I15">
        <f>[1]!s_west_eps($A15,YEAR($B15)+1,$B15,180)</f>
        <v/>
      </c>
      <c r="J15">
        <f>[1]!s_west_instnum_np($A15,YEAR($B15)+1,$B15,180)</f>
        <v/>
      </c>
      <c r="K15">
        <f>[1]!s_west_stdnetprofit($A15,YEAR($B15)+1,$B15,180,1000000)</f>
        <v/>
      </c>
      <c r="L15">
        <f>[1]!s_west_mediannetprofit($A15,YEAR($B15)+1,$B15,180,1000000)</f>
        <v/>
      </c>
      <c r="M15">
        <f>[1]!s_dq_close($A15,$B15,3)</f>
        <v/>
      </c>
      <c r="N15">
        <f>[1]!s_dq_volume($A15,$B15)</f>
        <v/>
      </c>
      <c r="O15">
        <f>[1]!s_dq_amount($A15,$B15)</f>
        <v/>
      </c>
      <c r="P15">
        <f>[1]!s_dq_turn($A15,$B15)</f>
        <v/>
      </c>
      <c r="Q15">
        <f>[1]!s_val_pe_ttm($A15,$B15)</f>
        <v/>
      </c>
      <c r="R15">
        <f>[1]!S_VAL_MV($A15,$B15,100000000)</f>
        <v/>
      </c>
    </row>
    <row r="16">
      <c r="A16">
        <f>_meta!A15</f>
        <v/>
      </c>
      <c r="B16">
        <f>$B$1</f>
        <v/>
      </c>
      <c r="C16">
        <f>[1]!s_west_netprofit($A16,YEAR($B16),$B16,180,1000000)</f>
        <v/>
      </c>
      <c r="D16">
        <f>[1]!s_west_eps($A16,YEAR($B16),$B16,180)</f>
        <v/>
      </c>
      <c r="E16">
        <f>[1]!s_west_instnum_np($A16,YEAR($B16),$B16,180)</f>
        <v/>
      </c>
      <c r="F16">
        <f>[1]!s_west_stdnetprofit($A16,YEAR($B16),$B16,180,1000000)</f>
        <v/>
      </c>
      <c r="G16">
        <f>[1]!s_west_mediannetprofit($A16,YEAR($B16),$B16,180,1000000)</f>
        <v/>
      </c>
      <c r="H16">
        <f>[1]!s_west_netprofit($A16,YEAR($B16)+1,$B16,180,1000000)</f>
        <v/>
      </c>
      <c r="I16">
        <f>[1]!s_west_eps($A16,YEAR($B16)+1,$B16,180)</f>
        <v/>
      </c>
      <c r="J16">
        <f>[1]!s_west_instnum_np($A16,YEAR($B16)+1,$B16,180)</f>
        <v/>
      </c>
      <c r="K16">
        <f>[1]!s_west_stdnetprofit($A16,YEAR($B16)+1,$B16,180,1000000)</f>
        <v/>
      </c>
      <c r="L16">
        <f>[1]!s_west_mediannetprofit($A16,YEAR($B16)+1,$B16,180,1000000)</f>
        <v/>
      </c>
      <c r="M16">
        <f>[1]!s_dq_close($A16,$B16,3)</f>
        <v/>
      </c>
      <c r="N16">
        <f>[1]!s_dq_volume($A16,$B16)</f>
        <v/>
      </c>
      <c r="O16">
        <f>[1]!s_dq_amount($A16,$B16)</f>
        <v/>
      </c>
      <c r="P16">
        <f>[1]!s_dq_turn($A16,$B16)</f>
        <v/>
      </c>
      <c r="Q16">
        <f>[1]!s_val_pe_ttm($A16,$B16)</f>
        <v/>
      </c>
      <c r="R16">
        <f>[1]!S_VAL_MV($A16,$B16,100000000)</f>
        <v/>
      </c>
    </row>
    <row r="17">
      <c r="A17">
        <f>_meta!A16</f>
        <v/>
      </c>
      <c r="B17">
        <f>$B$1</f>
        <v/>
      </c>
      <c r="C17">
        <f>[1]!s_west_netprofit($A17,YEAR($B17),$B17,180,1000000)</f>
        <v/>
      </c>
      <c r="D17">
        <f>[1]!s_west_eps($A17,YEAR($B17),$B17,180)</f>
        <v/>
      </c>
      <c r="E17">
        <f>[1]!s_west_instnum_np($A17,YEAR($B17),$B17,180)</f>
        <v/>
      </c>
      <c r="F17">
        <f>[1]!s_west_stdnetprofit($A17,YEAR($B17),$B17,180,1000000)</f>
        <v/>
      </c>
      <c r="G17">
        <f>[1]!s_west_mediannetprofit($A17,YEAR($B17),$B17,180,1000000)</f>
        <v/>
      </c>
      <c r="H17">
        <f>[1]!s_west_netprofit($A17,YEAR($B17)+1,$B17,180,1000000)</f>
        <v/>
      </c>
      <c r="I17">
        <f>[1]!s_west_eps($A17,YEAR($B17)+1,$B17,180)</f>
        <v/>
      </c>
      <c r="J17">
        <f>[1]!s_west_instnum_np($A17,YEAR($B17)+1,$B17,180)</f>
        <v/>
      </c>
      <c r="K17">
        <f>[1]!s_west_stdnetprofit($A17,YEAR($B17)+1,$B17,180,1000000)</f>
        <v/>
      </c>
      <c r="L17">
        <f>[1]!s_west_mediannetprofit($A17,YEAR($B17)+1,$B17,180,1000000)</f>
        <v/>
      </c>
      <c r="M17">
        <f>[1]!s_dq_close($A17,$B17,3)</f>
        <v/>
      </c>
      <c r="N17">
        <f>[1]!s_dq_volume($A17,$B17)</f>
        <v/>
      </c>
      <c r="O17">
        <f>[1]!s_dq_amount($A17,$B17)</f>
        <v/>
      </c>
      <c r="P17">
        <f>[1]!s_dq_turn($A17,$B17)</f>
        <v/>
      </c>
      <c r="Q17">
        <f>[1]!s_val_pe_ttm($A17,$B17)</f>
        <v/>
      </c>
      <c r="R17">
        <f>[1]!S_VAL_MV($A17,$B17,100000000)</f>
        <v/>
      </c>
    </row>
    <row r="18">
      <c r="A18">
        <f>_meta!A17</f>
        <v/>
      </c>
      <c r="B18">
        <f>$B$1</f>
        <v/>
      </c>
      <c r="C18">
        <f>[1]!s_west_netprofit($A18,YEAR($B18),$B18,180,1000000)</f>
        <v/>
      </c>
      <c r="D18">
        <f>[1]!s_west_eps($A18,YEAR($B18),$B18,180)</f>
        <v/>
      </c>
      <c r="E18">
        <f>[1]!s_west_instnum_np($A18,YEAR($B18),$B18,180)</f>
        <v/>
      </c>
      <c r="F18">
        <f>[1]!s_west_stdnetprofit($A18,YEAR($B18),$B18,180,1000000)</f>
        <v/>
      </c>
      <c r="G18">
        <f>[1]!s_west_mediannetprofit($A18,YEAR($B18),$B18,180,1000000)</f>
        <v/>
      </c>
      <c r="H18">
        <f>[1]!s_west_netprofit($A18,YEAR($B18)+1,$B18,180,1000000)</f>
        <v/>
      </c>
      <c r="I18">
        <f>[1]!s_west_eps($A18,YEAR($B18)+1,$B18,180)</f>
        <v/>
      </c>
      <c r="J18">
        <f>[1]!s_west_instnum_np($A18,YEAR($B18)+1,$B18,180)</f>
        <v/>
      </c>
      <c r="K18">
        <f>[1]!s_west_stdnetprofit($A18,YEAR($B18)+1,$B18,180,1000000)</f>
        <v/>
      </c>
      <c r="L18">
        <f>[1]!s_west_mediannetprofit($A18,YEAR($B18)+1,$B18,180,1000000)</f>
        <v/>
      </c>
      <c r="M18">
        <f>[1]!s_dq_close($A18,$B18,3)</f>
        <v/>
      </c>
      <c r="N18">
        <f>[1]!s_dq_volume($A18,$B18)</f>
        <v/>
      </c>
      <c r="O18">
        <f>[1]!s_dq_amount($A18,$B18)</f>
        <v/>
      </c>
      <c r="P18">
        <f>[1]!s_dq_turn($A18,$B18)</f>
        <v/>
      </c>
      <c r="Q18">
        <f>[1]!s_val_pe_ttm($A18,$B18)</f>
        <v/>
      </c>
      <c r="R18">
        <f>[1]!S_VAL_MV($A18,$B18,100000000)</f>
        <v/>
      </c>
    </row>
    <row r="19">
      <c r="A19">
        <f>_meta!A18</f>
        <v/>
      </c>
      <c r="B19">
        <f>$B$1</f>
        <v/>
      </c>
      <c r="C19">
        <f>[1]!s_west_netprofit($A19,YEAR($B19),$B19,180,1000000)</f>
        <v/>
      </c>
      <c r="D19">
        <f>[1]!s_west_eps($A19,YEAR($B19),$B19,180)</f>
        <v/>
      </c>
      <c r="E19">
        <f>[1]!s_west_instnum_np($A19,YEAR($B19),$B19,180)</f>
        <v/>
      </c>
      <c r="F19">
        <f>[1]!s_west_stdnetprofit($A19,YEAR($B19),$B19,180,1000000)</f>
        <v/>
      </c>
      <c r="G19">
        <f>[1]!s_west_mediannetprofit($A19,YEAR($B19),$B19,180,1000000)</f>
        <v/>
      </c>
      <c r="H19">
        <f>[1]!s_west_netprofit($A19,YEAR($B19)+1,$B19,180,1000000)</f>
        <v/>
      </c>
      <c r="I19">
        <f>[1]!s_west_eps($A19,YEAR($B19)+1,$B19,180)</f>
        <v/>
      </c>
      <c r="J19">
        <f>[1]!s_west_instnum_np($A19,YEAR($B19)+1,$B19,180)</f>
        <v/>
      </c>
      <c r="K19">
        <f>[1]!s_west_stdnetprofit($A19,YEAR($B19)+1,$B19,180,1000000)</f>
        <v/>
      </c>
      <c r="L19">
        <f>[1]!s_west_mediannetprofit($A19,YEAR($B19)+1,$B19,180,1000000)</f>
        <v/>
      </c>
      <c r="M19">
        <f>[1]!s_dq_close($A19,$B19,3)</f>
        <v/>
      </c>
      <c r="N19">
        <f>[1]!s_dq_volume($A19,$B19)</f>
        <v/>
      </c>
      <c r="O19">
        <f>[1]!s_dq_amount($A19,$B19)</f>
        <v/>
      </c>
      <c r="P19">
        <f>[1]!s_dq_turn($A19,$B19)</f>
        <v/>
      </c>
      <c r="Q19">
        <f>[1]!s_val_pe_ttm($A19,$B19)</f>
        <v/>
      </c>
      <c r="R19">
        <f>[1]!S_VAL_MV($A19,$B19,100000000)</f>
        <v/>
      </c>
    </row>
    <row r="20">
      <c r="A20">
        <f>_meta!A19</f>
        <v/>
      </c>
      <c r="B20">
        <f>$B$1</f>
        <v/>
      </c>
      <c r="C20">
        <f>[1]!s_west_netprofit($A20,YEAR($B20),$B20,180,1000000)</f>
        <v/>
      </c>
      <c r="D20">
        <f>[1]!s_west_eps($A20,YEAR($B20),$B20,180)</f>
        <v/>
      </c>
      <c r="E20">
        <f>[1]!s_west_instnum_np($A20,YEAR($B20),$B20,180)</f>
        <v/>
      </c>
      <c r="F20">
        <f>[1]!s_west_stdnetprofit($A20,YEAR($B20),$B20,180,1000000)</f>
        <v/>
      </c>
      <c r="G20">
        <f>[1]!s_west_mediannetprofit($A20,YEAR($B20),$B20,180,1000000)</f>
        <v/>
      </c>
      <c r="H20">
        <f>[1]!s_west_netprofit($A20,YEAR($B20)+1,$B20,180,1000000)</f>
        <v/>
      </c>
      <c r="I20">
        <f>[1]!s_west_eps($A20,YEAR($B20)+1,$B20,180)</f>
        <v/>
      </c>
      <c r="J20">
        <f>[1]!s_west_instnum_np($A20,YEAR($B20)+1,$B20,180)</f>
        <v/>
      </c>
      <c r="K20">
        <f>[1]!s_west_stdnetprofit($A20,YEAR($B20)+1,$B20,180,1000000)</f>
        <v/>
      </c>
      <c r="L20">
        <f>[1]!s_west_mediannetprofit($A20,YEAR($B20)+1,$B20,180,1000000)</f>
        <v/>
      </c>
      <c r="M20">
        <f>[1]!s_dq_close($A20,$B20,3)</f>
        <v/>
      </c>
      <c r="N20">
        <f>[1]!s_dq_volume($A20,$B20)</f>
        <v/>
      </c>
      <c r="O20">
        <f>[1]!s_dq_amount($A20,$B20)</f>
        <v/>
      </c>
      <c r="P20">
        <f>[1]!s_dq_turn($A20,$B20)</f>
        <v/>
      </c>
      <c r="Q20">
        <f>[1]!s_val_pe_ttm($A20,$B20)</f>
        <v/>
      </c>
      <c r="R20">
        <f>[1]!S_VAL_MV($A20,$B20,100000000)</f>
        <v/>
      </c>
    </row>
    <row r="21">
      <c r="A21">
        <f>_meta!A20</f>
        <v/>
      </c>
      <c r="B21">
        <f>$B$1</f>
        <v/>
      </c>
      <c r="C21">
        <f>[1]!s_west_netprofit($A21,YEAR($B21),$B21,180,1000000)</f>
        <v/>
      </c>
      <c r="D21">
        <f>[1]!s_west_eps($A21,YEAR($B21),$B21,180)</f>
        <v/>
      </c>
      <c r="E21">
        <f>[1]!s_west_instnum_np($A21,YEAR($B21),$B21,180)</f>
        <v/>
      </c>
      <c r="F21">
        <f>[1]!s_west_stdnetprofit($A21,YEAR($B21),$B21,180,1000000)</f>
        <v/>
      </c>
      <c r="G21">
        <f>[1]!s_west_mediannetprofit($A21,YEAR($B21),$B21,180,1000000)</f>
        <v/>
      </c>
      <c r="H21">
        <f>[1]!s_west_netprofit($A21,YEAR($B21)+1,$B21,180,1000000)</f>
        <v/>
      </c>
      <c r="I21">
        <f>[1]!s_west_eps($A21,YEAR($B21)+1,$B21,180)</f>
        <v/>
      </c>
      <c r="J21">
        <f>[1]!s_west_instnum_np($A21,YEAR($B21)+1,$B21,180)</f>
        <v/>
      </c>
      <c r="K21">
        <f>[1]!s_west_stdnetprofit($A21,YEAR($B21)+1,$B21,180,1000000)</f>
        <v/>
      </c>
      <c r="L21">
        <f>[1]!s_west_mediannetprofit($A21,YEAR($B21)+1,$B21,180,1000000)</f>
        <v/>
      </c>
      <c r="M21">
        <f>[1]!s_dq_close($A21,$B21,3)</f>
        <v/>
      </c>
      <c r="N21">
        <f>[1]!s_dq_volume($A21,$B21)</f>
        <v/>
      </c>
      <c r="O21">
        <f>[1]!s_dq_amount($A21,$B21)</f>
        <v/>
      </c>
      <c r="P21">
        <f>[1]!s_dq_turn($A21,$B21)</f>
        <v/>
      </c>
      <c r="Q21">
        <f>[1]!s_val_pe_ttm($A21,$B21)</f>
        <v/>
      </c>
      <c r="R21">
        <f>[1]!S_VAL_MV($A21,$B21,100000000)</f>
        <v/>
      </c>
    </row>
    <row r="22">
      <c r="A22">
        <f>_meta!A21</f>
        <v/>
      </c>
      <c r="B22">
        <f>$B$1</f>
        <v/>
      </c>
      <c r="C22">
        <f>[1]!s_west_netprofit($A22,YEAR($B22),$B22,180,1000000)</f>
        <v/>
      </c>
      <c r="D22">
        <f>[1]!s_west_eps($A22,YEAR($B22),$B22,180)</f>
        <v/>
      </c>
      <c r="E22">
        <f>[1]!s_west_instnum_np($A22,YEAR($B22),$B22,180)</f>
        <v/>
      </c>
      <c r="F22">
        <f>[1]!s_west_stdnetprofit($A22,YEAR($B22),$B22,180,1000000)</f>
        <v/>
      </c>
      <c r="G22">
        <f>[1]!s_west_mediannetprofit($A22,YEAR($B22),$B22,180,1000000)</f>
        <v/>
      </c>
      <c r="H22">
        <f>[1]!s_west_netprofit($A22,YEAR($B22)+1,$B22,180,1000000)</f>
        <v/>
      </c>
      <c r="I22">
        <f>[1]!s_west_eps($A22,YEAR($B22)+1,$B22,180)</f>
        <v/>
      </c>
      <c r="J22">
        <f>[1]!s_west_instnum_np($A22,YEAR($B22)+1,$B22,180)</f>
        <v/>
      </c>
      <c r="K22">
        <f>[1]!s_west_stdnetprofit($A22,YEAR($B22)+1,$B22,180,1000000)</f>
        <v/>
      </c>
      <c r="L22">
        <f>[1]!s_west_mediannetprofit($A22,YEAR($B22)+1,$B22,180,1000000)</f>
        <v/>
      </c>
      <c r="M22">
        <f>[1]!s_dq_close($A22,$B22,3)</f>
        <v/>
      </c>
      <c r="N22">
        <f>[1]!s_dq_volume($A22,$B22)</f>
        <v/>
      </c>
      <c r="O22">
        <f>[1]!s_dq_amount($A22,$B22)</f>
        <v/>
      </c>
      <c r="P22">
        <f>[1]!s_dq_turn($A22,$B22)</f>
        <v/>
      </c>
      <c r="Q22">
        <f>[1]!s_val_pe_ttm($A22,$B22)</f>
        <v/>
      </c>
      <c r="R22">
        <f>[1]!S_VAL_MV($A22,$B22,100000000)</f>
        <v/>
      </c>
    </row>
    <row r="23">
      <c r="A23">
        <f>_meta!A22</f>
        <v/>
      </c>
      <c r="B23">
        <f>$B$1</f>
        <v/>
      </c>
      <c r="C23">
        <f>[1]!s_west_netprofit($A23,YEAR($B23),$B23,180,1000000)</f>
        <v/>
      </c>
      <c r="D23">
        <f>[1]!s_west_eps($A23,YEAR($B23),$B23,180)</f>
        <v/>
      </c>
      <c r="E23">
        <f>[1]!s_west_instnum_np($A23,YEAR($B23),$B23,180)</f>
        <v/>
      </c>
      <c r="F23">
        <f>[1]!s_west_stdnetprofit($A23,YEAR($B23),$B23,180,1000000)</f>
        <v/>
      </c>
      <c r="G23">
        <f>[1]!s_west_mediannetprofit($A23,YEAR($B23),$B23,180,1000000)</f>
        <v/>
      </c>
      <c r="H23">
        <f>[1]!s_west_netprofit($A23,YEAR($B23)+1,$B23,180,1000000)</f>
        <v/>
      </c>
      <c r="I23">
        <f>[1]!s_west_eps($A23,YEAR($B23)+1,$B23,180)</f>
        <v/>
      </c>
      <c r="J23">
        <f>[1]!s_west_instnum_np($A23,YEAR($B23)+1,$B23,180)</f>
        <v/>
      </c>
      <c r="K23">
        <f>[1]!s_west_stdnetprofit($A23,YEAR($B23)+1,$B23,180,1000000)</f>
        <v/>
      </c>
      <c r="L23">
        <f>[1]!s_west_mediannetprofit($A23,YEAR($B23)+1,$B23,180,1000000)</f>
        <v/>
      </c>
      <c r="M23">
        <f>[1]!s_dq_close($A23,$B23,3)</f>
        <v/>
      </c>
      <c r="N23">
        <f>[1]!s_dq_volume($A23,$B23)</f>
        <v/>
      </c>
      <c r="O23">
        <f>[1]!s_dq_amount($A23,$B23)</f>
        <v/>
      </c>
      <c r="P23">
        <f>[1]!s_dq_turn($A23,$B23)</f>
        <v/>
      </c>
      <c r="Q23">
        <f>[1]!s_val_pe_ttm($A23,$B23)</f>
        <v/>
      </c>
      <c r="R23">
        <f>[1]!S_VAL_MV($A23,$B23,100000000)</f>
        <v/>
      </c>
    </row>
    <row r="24">
      <c r="A24">
        <f>_meta!A23</f>
        <v/>
      </c>
      <c r="B24">
        <f>$B$1</f>
        <v/>
      </c>
      <c r="C24">
        <f>[1]!s_west_netprofit($A24,YEAR($B24),$B24,180,1000000)</f>
        <v/>
      </c>
      <c r="D24">
        <f>[1]!s_west_eps($A24,YEAR($B24),$B24,180)</f>
        <v/>
      </c>
      <c r="E24">
        <f>[1]!s_west_instnum_np($A24,YEAR($B24),$B24,180)</f>
        <v/>
      </c>
      <c r="F24">
        <f>[1]!s_west_stdnetprofit($A24,YEAR($B24),$B24,180,1000000)</f>
        <v/>
      </c>
      <c r="G24">
        <f>[1]!s_west_mediannetprofit($A24,YEAR($B24),$B24,180,1000000)</f>
        <v/>
      </c>
      <c r="H24">
        <f>[1]!s_west_netprofit($A24,YEAR($B24)+1,$B24,180,1000000)</f>
        <v/>
      </c>
      <c r="I24">
        <f>[1]!s_west_eps($A24,YEAR($B24)+1,$B24,180)</f>
        <v/>
      </c>
      <c r="J24">
        <f>[1]!s_west_instnum_np($A24,YEAR($B24)+1,$B24,180)</f>
        <v/>
      </c>
      <c r="K24">
        <f>[1]!s_west_stdnetprofit($A24,YEAR($B24)+1,$B24,180,1000000)</f>
        <v/>
      </c>
      <c r="L24">
        <f>[1]!s_west_mediannetprofit($A24,YEAR($B24)+1,$B24,180,1000000)</f>
        <v/>
      </c>
      <c r="M24">
        <f>[1]!s_dq_close($A24,$B24,3)</f>
        <v/>
      </c>
      <c r="N24">
        <f>[1]!s_dq_volume($A24,$B24)</f>
        <v/>
      </c>
      <c r="O24">
        <f>[1]!s_dq_amount($A24,$B24)</f>
        <v/>
      </c>
      <c r="P24">
        <f>[1]!s_dq_turn($A24,$B24)</f>
        <v/>
      </c>
      <c r="Q24">
        <f>[1]!s_val_pe_ttm($A24,$B24)</f>
        <v/>
      </c>
      <c r="R24">
        <f>[1]!S_VAL_MV($A24,$B24,100000000)</f>
        <v/>
      </c>
    </row>
    <row r="25">
      <c r="A25">
        <f>_meta!A24</f>
        <v/>
      </c>
      <c r="B25">
        <f>$B$1</f>
        <v/>
      </c>
      <c r="C25">
        <f>[1]!s_west_netprofit($A25,YEAR($B25),$B25,180,1000000)</f>
        <v/>
      </c>
      <c r="D25">
        <f>[1]!s_west_eps($A25,YEAR($B25),$B25,180)</f>
        <v/>
      </c>
      <c r="E25">
        <f>[1]!s_west_instnum_np($A25,YEAR($B25),$B25,180)</f>
        <v/>
      </c>
      <c r="F25">
        <f>[1]!s_west_stdnetprofit($A25,YEAR($B25),$B25,180,1000000)</f>
        <v/>
      </c>
      <c r="G25">
        <f>[1]!s_west_mediannetprofit($A25,YEAR($B25),$B25,180,1000000)</f>
        <v/>
      </c>
      <c r="H25">
        <f>[1]!s_west_netprofit($A25,YEAR($B25)+1,$B25,180,1000000)</f>
        <v/>
      </c>
      <c r="I25">
        <f>[1]!s_west_eps($A25,YEAR($B25)+1,$B25,180)</f>
        <v/>
      </c>
      <c r="J25">
        <f>[1]!s_west_instnum_np($A25,YEAR($B25)+1,$B25,180)</f>
        <v/>
      </c>
      <c r="K25">
        <f>[1]!s_west_stdnetprofit($A25,YEAR($B25)+1,$B25,180,1000000)</f>
        <v/>
      </c>
      <c r="L25">
        <f>[1]!s_west_mediannetprofit($A25,YEAR($B25)+1,$B25,180,1000000)</f>
        <v/>
      </c>
      <c r="M25">
        <f>[1]!s_dq_close($A25,$B25,3)</f>
        <v/>
      </c>
      <c r="N25">
        <f>[1]!s_dq_volume($A25,$B25)</f>
        <v/>
      </c>
      <c r="O25">
        <f>[1]!s_dq_amount($A25,$B25)</f>
        <v/>
      </c>
      <c r="P25">
        <f>[1]!s_dq_turn($A25,$B25)</f>
        <v/>
      </c>
      <c r="Q25">
        <f>[1]!s_val_pe_ttm($A25,$B25)</f>
        <v/>
      </c>
      <c r="R25">
        <f>[1]!S_VAL_MV($A25,$B25,100000000)</f>
        <v/>
      </c>
    </row>
    <row r="26">
      <c r="A26">
        <f>_meta!A25</f>
        <v/>
      </c>
      <c r="B26">
        <f>$B$1</f>
        <v/>
      </c>
      <c r="C26">
        <f>[1]!s_west_netprofit($A26,YEAR($B26),$B26,180,1000000)</f>
        <v/>
      </c>
      <c r="D26">
        <f>[1]!s_west_eps($A26,YEAR($B26),$B26,180)</f>
        <v/>
      </c>
      <c r="E26">
        <f>[1]!s_west_instnum_np($A26,YEAR($B26),$B26,180)</f>
        <v/>
      </c>
      <c r="F26">
        <f>[1]!s_west_stdnetprofit($A26,YEAR($B26),$B26,180,1000000)</f>
        <v/>
      </c>
      <c r="G26">
        <f>[1]!s_west_mediannetprofit($A26,YEAR($B26),$B26,180,1000000)</f>
        <v/>
      </c>
      <c r="H26">
        <f>[1]!s_west_netprofit($A26,YEAR($B26)+1,$B26,180,1000000)</f>
        <v/>
      </c>
      <c r="I26">
        <f>[1]!s_west_eps($A26,YEAR($B26)+1,$B26,180)</f>
        <v/>
      </c>
      <c r="J26">
        <f>[1]!s_west_instnum_np($A26,YEAR($B26)+1,$B26,180)</f>
        <v/>
      </c>
      <c r="K26">
        <f>[1]!s_west_stdnetprofit($A26,YEAR($B26)+1,$B26,180,1000000)</f>
        <v/>
      </c>
      <c r="L26">
        <f>[1]!s_west_mediannetprofit($A26,YEAR($B26)+1,$B26,180,1000000)</f>
        <v/>
      </c>
      <c r="M26">
        <f>[1]!s_dq_close($A26,$B26,3)</f>
        <v/>
      </c>
      <c r="N26">
        <f>[1]!s_dq_volume($A26,$B26)</f>
        <v/>
      </c>
      <c r="O26">
        <f>[1]!s_dq_amount($A26,$B26)</f>
        <v/>
      </c>
      <c r="P26">
        <f>[1]!s_dq_turn($A26,$B26)</f>
        <v/>
      </c>
      <c r="Q26">
        <f>[1]!s_val_pe_ttm($A26,$B26)</f>
        <v/>
      </c>
      <c r="R26">
        <f>[1]!S_VAL_MV($A26,$B26,100000000)</f>
        <v/>
      </c>
    </row>
    <row r="27">
      <c r="A27">
        <f>_meta!A26</f>
        <v/>
      </c>
      <c r="B27">
        <f>$B$1</f>
        <v/>
      </c>
      <c r="C27">
        <f>[1]!s_west_netprofit($A27,YEAR($B27),$B27,180,1000000)</f>
        <v/>
      </c>
      <c r="D27">
        <f>[1]!s_west_eps($A27,YEAR($B27),$B27,180)</f>
        <v/>
      </c>
      <c r="E27">
        <f>[1]!s_west_instnum_np($A27,YEAR($B27),$B27,180)</f>
        <v/>
      </c>
      <c r="F27">
        <f>[1]!s_west_stdnetprofit($A27,YEAR($B27),$B27,180,1000000)</f>
        <v/>
      </c>
      <c r="G27">
        <f>[1]!s_west_mediannetprofit($A27,YEAR($B27),$B27,180,1000000)</f>
        <v/>
      </c>
      <c r="H27">
        <f>[1]!s_west_netprofit($A27,YEAR($B27)+1,$B27,180,1000000)</f>
        <v/>
      </c>
      <c r="I27">
        <f>[1]!s_west_eps($A27,YEAR($B27)+1,$B27,180)</f>
        <v/>
      </c>
      <c r="J27">
        <f>[1]!s_west_instnum_np($A27,YEAR($B27)+1,$B27,180)</f>
        <v/>
      </c>
      <c r="K27">
        <f>[1]!s_west_stdnetprofit($A27,YEAR($B27)+1,$B27,180,1000000)</f>
        <v/>
      </c>
      <c r="L27">
        <f>[1]!s_west_mediannetprofit($A27,YEAR($B27)+1,$B27,180,1000000)</f>
        <v/>
      </c>
      <c r="M27">
        <f>[1]!s_dq_close($A27,$B27,3)</f>
        <v/>
      </c>
      <c r="N27">
        <f>[1]!s_dq_volume($A27,$B27)</f>
        <v/>
      </c>
      <c r="O27">
        <f>[1]!s_dq_amount($A27,$B27)</f>
        <v/>
      </c>
      <c r="P27">
        <f>[1]!s_dq_turn($A27,$B27)</f>
        <v/>
      </c>
      <c r="Q27">
        <f>[1]!s_val_pe_ttm($A27,$B27)</f>
        <v/>
      </c>
      <c r="R27">
        <f>[1]!S_VAL_MV($A27,$B27,100000000)</f>
        <v/>
      </c>
    </row>
    <row r="28">
      <c r="A28">
        <f>_meta!A27</f>
        <v/>
      </c>
      <c r="B28">
        <f>$B$1</f>
        <v/>
      </c>
      <c r="C28">
        <f>[1]!s_west_netprofit($A28,YEAR($B28),$B28,180,1000000)</f>
        <v/>
      </c>
      <c r="D28">
        <f>[1]!s_west_eps($A28,YEAR($B28),$B28,180)</f>
        <v/>
      </c>
      <c r="E28">
        <f>[1]!s_west_instnum_np($A28,YEAR($B28),$B28,180)</f>
        <v/>
      </c>
      <c r="F28">
        <f>[1]!s_west_stdnetprofit($A28,YEAR($B28),$B28,180,1000000)</f>
        <v/>
      </c>
      <c r="G28">
        <f>[1]!s_west_mediannetprofit($A28,YEAR($B28),$B28,180,1000000)</f>
        <v/>
      </c>
      <c r="H28">
        <f>[1]!s_west_netprofit($A28,YEAR($B28)+1,$B28,180,1000000)</f>
        <v/>
      </c>
      <c r="I28">
        <f>[1]!s_west_eps($A28,YEAR($B28)+1,$B28,180)</f>
        <v/>
      </c>
      <c r="J28">
        <f>[1]!s_west_instnum_np($A28,YEAR($B28)+1,$B28,180)</f>
        <v/>
      </c>
      <c r="K28">
        <f>[1]!s_west_stdnetprofit($A28,YEAR($B28)+1,$B28,180,1000000)</f>
        <v/>
      </c>
      <c r="L28">
        <f>[1]!s_west_mediannetprofit($A28,YEAR($B28)+1,$B28,180,1000000)</f>
        <v/>
      </c>
      <c r="M28">
        <f>[1]!s_dq_close($A28,$B28,3)</f>
        <v/>
      </c>
      <c r="N28">
        <f>[1]!s_dq_volume($A28,$B28)</f>
        <v/>
      </c>
      <c r="O28">
        <f>[1]!s_dq_amount($A28,$B28)</f>
        <v/>
      </c>
      <c r="P28">
        <f>[1]!s_dq_turn($A28,$B28)</f>
        <v/>
      </c>
      <c r="Q28">
        <f>[1]!s_val_pe_ttm($A28,$B28)</f>
        <v/>
      </c>
      <c r="R28">
        <f>[1]!S_VAL_MV($A28,$B28,100000000)</f>
        <v/>
      </c>
    </row>
    <row r="29">
      <c r="A29">
        <f>_meta!A28</f>
        <v/>
      </c>
      <c r="B29">
        <f>$B$1</f>
        <v/>
      </c>
      <c r="C29">
        <f>[1]!s_west_netprofit($A29,YEAR($B29),$B29,180,1000000)</f>
        <v/>
      </c>
      <c r="D29">
        <f>[1]!s_west_eps($A29,YEAR($B29),$B29,180)</f>
        <v/>
      </c>
      <c r="E29">
        <f>[1]!s_west_instnum_np($A29,YEAR($B29),$B29,180)</f>
        <v/>
      </c>
      <c r="F29">
        <f>[1]!s_west_stdnetprofit($A29,YEAR($B29),$B29,180,1000000)</f>
        <v/>
      </c>
      <c r="G29">
        <f>[1]!s_west_mediannetprofit($A29,YEAR($B29),$B29,180,1000000)</f>
        <v/>
      </c>
      <c r="H29">
        <f>[1]!s_west_netprofit($A29,YEAR($B29)+1,$B29,180,1000000)</f>
        <v/>
      </c>
      <c r="I29">
        <f>[1]!s_west_eps($A29,YEAR($B29)+1,$B29,180)</f>
        <v/>
      </c>
      <c r="J29">
        <f>[1]!s_west_instnum_np($A29,YEAR($B29)+1,$B29,180)</f>
        <v/>
      </c>
      <c r="K29">
        <f>[1]!s_west_stdnetprofit($A29,YEAR($B29)+1,$B29,180,1000000)</f>
        <v/>
      </c>
      <c r="L29">
        <f>[1]!s_west_mediannetprofit($A29,YEAR($B29)+1,$B29,180,1000000)</f>
        <v/>
      </c>
      <c r="M29">
        <f>[1]!s_dq_close($A29,$B29,3)</f>
        <v/>
      </c>
      <c r="N29">
        <f>[1]!s_dq_volume($A29,$B29)</f>
        <v/>
      </c>
      <c r="O29">
        <f>[1]!s_dq_amount($A29,$B29)</f>
        <v/>
      </c>
      <c r="P29">
        <f>[1]!s_dq_turn($A29,$B29)</f>
        <v/>
      </c>
      <c r="Q29">
        <f>[1]!s_val_pe_ttm($A29,$B29)</f>
        <v/>
      </c>
      <c r="R29">
        <f>[1]!S_VAL_MV($A29,$B29,100000000)</f>
        <v/>
      </c>
    </row>
    <row r="30">
      <c r="A30">
        <f>_meta!A29</f>
        <v/>
      </c>
      <c r="B30">
        <f>$B$1</f>
        <v/>
      </c>
      <c r="C30">
        <f>[1]!s_west_netprofit($A30,YEAR($B30),$B30,180,1000000)</f>
        <v/>
      </c>
      <c r="D30">
        <f>[1]!s_west_eps($A30,YEAR($B30),$B30,180)</f>
        <v/>
      </c>
      <c r="E30">
        <f>[1]!s_west_instnum_np($A30,YEAR($B30),$B30,180)</f>
        <v/>
      </c>
      <c r="F30">
        <f>[1]!s_west_stdnetprofit($A30,YEAR($B30),$B30,180,1000000)</f>
        <v/>
      </c>
      <c r="G30">
        <f>[1]!s_west_mediannetprofit($A30,YEAR($B30),$B30,180,1000000)</f>
        <v/>
      </c>
      <c r="H30">
        <f>[1]!s_west_netprofit($A30,YEAR($B30)+1,$B30,180,1000000)</f>
        <v/>
      </c>
      <c r="I30">
        <f>[1]!s_west_eps($A30,YEAR($B30)+1,$B30,180)</f>
        <v/>
      </c>
      <c r="J30">
        <f>[1]!s_west_instnum_np($A30,YEAR($B30)+1,$B30,180)</f>
        <v/>
      </c>
      <c r="K30">
        <f>[1]!s_west_stdnetprofit($A30,YEAR($B30)+1,$B30,180,1000000)</f>
        <v/>
      </c>
      <c r="L30">
        <f>[1]!s_west_mediannetprofit($A30,YEAR($B30)+1,$B30,180,1000000)</f>
        <v/>
      </c>
      <c r="M30">
        <f>[1]!s_dq_close($A30,$B30,3)</f>
        <v/>
      </c>
      <c r="N30">
        <f>[1]!s_dq_volume($A30,$B30)</f>
        <v/>
      </c>
      <c r="O30">
        <f>[1]!s_dq_amount($A30,$B30)</f>
        <v/>
      </c>
      <c r="P30">
        <f>[1]!s_dq_turn($A30,$B30)</f>
        <v/>
      </c>
      <c r="Q30">
        <f>[1]!s_val_pe_ttm($A30,$B30)</f>
        <v/>
      </c>
      <c r="R30">
        <f>[1]!S_VAL_MV($A30,$B30,100000000)</f>
        <v/>
      </c>
    </row>
    <row r="31">
      <c r="A31">
        <f>_meta!A30</f>
        <v/>
      </c>
      <c r="B31">
        <f>$B$1</f>
        <v/>
      </c>
      <c r="C31">
        <f>[1]!s_west_netprofit($A31,YEAR($B31),$B31,180,1000000)</f>
        <v/>
      </c>
      <c r="D31">
        <f>[1]!s_west_eps($A31,YEAR($B31),$B31,180)</f>
        <v/>
      </c>
      <c r="E31">
        <f>[1]!s_west_instnum_np($A31,YEAR($B31),$B31,180)</f>
        <v/>
      </c>
      <c r="F31">
        <f>[1]!s_west_stdnetprofit($A31,YEAR($B31),$B31,180,1000000)</f>
        <v/>
      </c>
      <c r="G31">
        <f>[1]!s_west_mediannetprofit($A31,YEAR($B31),$B31,180,1000000)</f>
        <v/>
      </c>
      <c r="H31">
        <f>[1]!s_west_netprofit($A31,YEAR($B31)+1,$B31,180,1000000)</f>
        <v/>
      </c>
      <c r="I31">
        <f>[1]!s_west_eps($A31,YEAR($B31)+1,$B31,180)</f>
        <v/>
      </c>
      <c r="J31">
        <f>[1]!s_west_instnum_np($A31,YEAR($B31)+1,$B31,180)</f>
        <v/>
      </c>
      <c r="K31">
        <f>[1]!s_west_stdnetprofit($A31,YEAR($B31)+1,$B31,180,1000000)</f>
        <v/>
      </c>
      <c r="L31">
        <f>[1]!s_west_mediannetprofit($A31,YEAR($B31)+1,$B31,180,1000000)</f>
        <v/>
      </c>
      <c r="M31">
        <f>[1]!s_dq_close($A31,$B31,3)</f>
        <v/>
      </c>
      <c r="N31">
        <f>[1]!s_dq_volume($A31,$B31)</f>
        <v/>
      </c>
      <c r="O31">
        <f>[1]!s_dq_amount($A31,$B31)</f>
        <v/>
      </c>
      <c r="P31">
        <f>[1]!s_dq_turn($A31,$B31)</f>
        <v/>
      </c>
      <c r="Q31">
        <f>[1]!s_val_pe_ttm($A31,$B31)</f>
        <v/>
      </c>
      <c r="R31">
        <f>[1]!S_VAL_MV($A31,$B31,100000000)</f>
        <v/>
      </c>
    </row>
    <row r="32">
      <c r="A32">
        <f>_meta!A31</f>
        <v/>
      </c>
      <c r="B32">
        <f>$B$1</f>
        <v/>
      </c>
      <c r="C32">
        <f>[1]!s_west_netprofit($A32,YEAR($B32),$B32,180,1000000)</f>
        <v/>
      </c>
      <c r="D32">
        <f>[1]!s_west_eps($A32,YEAR($B32),$B32,180)</f>
        <v/>
      </c>
      <c r="E32">
        <f>[1]!s_west_instnum_np($A32,YEAR($B32),$B32,180)</f>
        <v/>
      </c>
      <c r="F32">
        <f>[1]!s_west_stdnetprofit($A32,YEAR($B32),$B32,180,1000000)</f>
        <v/>
      </c>
      <c r="G32">
        <f>[1]!s_west_mediannetprofit($A32,YEAR($B32),$B32,180,1000000)</f>
        <v/>
      </c>
      <c r="H32">
        <f>[1]!s_west_netprofit($A32,YEAR($B32)+1,$B32,180,1000000)</f>
        <v/>
      </c>
      <c r="I32">
        <f>[1]!s_west_eps($A32,YEAR($B32)+1,$B32,180)</f>
        <v/>
      </c>
      <c r="J32">
        <f>[1]!s_west_instnum_np($A32,YEAR($B32)+1,$B32,180)</f>
        <v/>
      </c>
      <c r="K32">
        <f>[1]!s_west_stdnetprofit($A32,YEAR($B32)+1,$B32,180,1000000)</f>
        <v/>
      </c>
      <c r="L32">
        <f>[1]!s_west_mediannetprofit($A32,YEAR($B32)+1,$B32,180,1000000)</f>
        <v/>
      </c>
      <c r="M32">
        <f>[1]!s_dq_close($A32,$B32,3)</f>
        <v/>
      </c>
      <c r="N32">
        <f>[1]!s_dq_volume($A32,$B32)</f>
        <v/>
      </c>
      <c r="O32">
        <f>[1]!s_dq_amount($A32,$B32)</f>
        <v/>
      </c>
      <c r="P32">
        <f>[1]!s_dq_turn($A32,$B32)</f>
        <v/>
      </c>
      <c r="Q32">
        <f>[1]!s_val_pe_ttm($A32,$B32)</f>
        <v/>
      </c>
      <c r="R32">
        <f>[1]!S_VAL_MV($A32,$B32,100000000)</f>
        <v/>
      </c>
    </row>
    <row r="33">
      <c r="A33">
        <f>_meta!A32</f>
        <v/>
      </c>
      <c r="B33">
        <f>$B$1</f>
        <v/>
      </c>
      <c r="C33">
        <f>[1]!s_west_netprofit($A33,YEAR($B33),$B33,180,1000000)</f>
        <v/>
      </c>
      <c r="D33">
        <f>[1]!s_west_eps($A33,YEAR($B33),$B33,180)</f>
        <v/>
      </c>
      <c r="E33">
        <f>[1]!s_west_instnum_np($A33,YEAR($B33),$B33,180)</f>
        <v/>
      </c>
      <c r="F33">
        <f>[1]!s_west_stdnetprofit($A33,YEAR($B33),$B33,180,1000000)</f>
        <v/>
      </c>
      <c r="G33">
        <f>[1]!s_west_mediannetprofit($A33,YEAR($B33),$B33,180,1000000)</f>
        <v/>
      </c>
      <c r="H33">
        <f>[1]!s_west_netprofit($A33,YEAR($B33)+1,$B33,180,1000000)</f>
        <v/>
      </c>
      <c r="I33">
        <f>[1]!s_west_eps($A33,YEAR($B33)+1,$B33,180)</f>
        <v/>
      </c>
      <c r="J33">
        <f>[1]!s_west_instnum_np($A33,YEAR($B33)+1,$B33,180)</f>
        <v/>
      </c>
      <c r="K33">
        <f>[1]!s_west_stdnetprofit($A33,YEAR($B33)+1,$B33,180,1000000)</f>
        <v/>
      </c>
      <c r="L33">
        <f>[1]!s_west_mediannetprofit($A33,YEAR($B33)+1,$B33,180,1000000)</f>
        <v/>
      </c>
      <c r="M33">
        <f>[1]!s_dq_close($A33,$B33,3)</f>
        <v/>
      </c>
      <c r="N33">
        <f>[1]!s_dq_volume($A33,$B33)</f>
        <v/>
      </c>
      <c r="O33">
        <f>[1]!s_dq_amount($A33,$B33)</f>
        <v/>
      </c>
      <c r="P33">
        <f>[1]!s_dq_turn($A33,$B33)</f>
        <v/>
      </c>
      <c r="Q33">
        <f>[1]!s_val_pe_ttm($A33,$B33)</f>
        <v/>
      </c>
      <c r="R33">
        <f>[1]!S_VAL_MV($A33,$B33,100000000)</f>
        <v/>
      </c>
    </row>
    <row r="34">
      <c r="A34">
        <f>_meta!A33</f>
        <v/>
      </c>
      <c r="B34">
        <f>$B$1</f>
        <v/>
      </c>
      <c r="C34">
        <f>[1]!s_west_netprofit($A34,YEAR($B34),$B34,180,1000000)</f>
        <v/>
      </c>
      <c r="D34">
        <f>[1]!s_west_eps($A34,YEAR($B34),$B34,180)</f>
        <v/>
      </c>
      <c r="E34">
        <f>[1]!s_west_instnum_np($A34,YEAR($B34),$B34,180)</f>
        <v/>
      </c>
      <c r="F34">
        <f>[1]!s_west_stdnetprofit($A34,YEAR($B34),$B34,180,1000000)</f>
        <v/>
      </c>
      <c r="G34">
        <f>[1]!s_west_mediannetprofit($A34,YEAR($B34),$B34,180,1000000)</f>
        <v/>
      </c>
      <c r="H34">
        <f>[1]!s_west_netprofit($A34,YEAR($B34)+1,$B34,180,1000000)</f>
        <v/>
      </c>
      <c r="I34">
        <f>[1]!s_west_eps($A34,YEAR($B34)+1,$B34,180)</f>
        <v/>
      </c>
      <c r="J34">
        <f>[1]!s_west_instnum_np($A34,YEAR($B34)+1,$B34,180)</f>
        <v/>
      </c>
      <c r="K34">
        <f>[1]!s_west_stdnetprofit($A34,YEAR($B34)+1,$B34,180,1000000)</f>
        <v/>
      </c>
      <c r="L34">
        <f>[1]!s_west_mediannetprofit($A34,YEAR($B34)+1,$B34,180,1000000)</f>
        <v/>
      </c>
      <c r="M34">
        <f>[1]!s_dq_close($A34,$B34,3)</f>
        <v/>
      </c>
      <c r="N34">
        <f>[1]!s_dq_volume($A34,$B34)</f>
        <v/>
      </c>
      <c r="O34">
        <f>[1]!s_dq_amount($A34,$B34)</f>
        <v/>
      </c>
      <c r="P34">
        <f>[1]!s_dq_turn($A34,$B34)</f>
        <v/>
      </c>
      <c r="Q34">
        <f>[1]!s_val_pe_ttm($A34,$B34)</f>
        <v/>
      </c>
      <c r="R34">
        <f>[1]!S_VAL_MV($A34,$B34,100000000)</f>
        <v/>
      </c>
    </row>
    <row r="35">
      <c r="A35">
        <f>_meta!A34</f>
        <v/>
      </c>
      <c r="B35">
        <f>$B$1</f>
        <v/>
      </c>
      <c r="C35">
        <f>[1]!s_west_netprofit($A35,YEAR($B35),$B35,180,1000000)</f>
        <v/>
      </c>
      <c r="D35">
        <f>[1]!s_west_eps($A35,YEAR($B35),$B35,180)</f>
        <v/>
      </c>
      <c r="E35">
        <f>[1]!s_west_instnum_np($A35,YEAR($B35),$B35,180)</f>
        <v/>
      </c>
      <c r="F35">
        <f>[1]!s_west_stdnetprofit($A35,YEAR($B35),$B35,180,1000000)</f>
        <v/>
      </c>
      <c r="G35">
        <f>[1]!s_west_mediannetprofit($A35,YEAR($B35),$B35,180,1000000)</f>
        <v/>
      </c>
      <c r="H35">
        <f>[1]!s_west_netprofit($A35,YEAR($B35)+1,$B35,180,1000000)</f>
        <v/>
      </c>
      <c r="I35">
        <f>[1]!s_west_eps($A35,YEAR($B35)+1,$B35,180)</f>
        <v/>
      </c>
      <c r="J35">
        <f>[1]!s_west_instnum_np($A35,YEAR($B35)+1,$B35,180)</f>
        <v/>
      </c>
      <c r="K35">
        <f>[1]!s_west_stdnetprofit($A35,YEAR($B35)+1,$B35,180,1000000)</f>
        <v/>
      </c>
      <c r="L35">
        <f>[1]!s_west_mediannetprofit($A35,YEAR($B35)+1,$B35,180,1000000)</f>
        <v/>
      </c>
      <c r="M35">
        <f>[1]!s_dq_close($A35,$B35,3)</f>
        <v/>
      </c>
      <c r="N35">
        <f>[1]!s_dq_volume($A35,$B35)</f>
        <v/>
      </c>
      <c r="O35">
        <f>[1]!s_dq_amount($A35,$B35)</f>
        <v/>
      </c>
      <c r="P35">
        <f>[1]!s_dq_turn($A35,$B35)</f>
        <v/>
      </c>
      <c r="Q35">
        <f>[1]!s_val_pe_ttm($A35,$B35)</f>
        <v/>
      </c>
      <c r="R35">
        <f>[1]!S_VAL_MV($A35,$B35,100000000)</f>
        <v/>
      </c>
    </row>
    <row r="36">
      <c r="A36">
        <f>_meta!A35</f>
        <v/>
      </c>
      <c r="B36">
        <f>$B$1</f>
        <v/>
      </c>
      <c r="C36">
        <f>[1]!s_west_netprofit($A36,YEAR($B36),$B36,180,1000000)</f>
        <v/>
      </c>
      <c r="D36">
        <f>[1]!s_west_eps($A36,YEAR($B36),$B36,180)</f>
        <v/>
      </c>
      <c r="E36">
        <f>[1]!s_west_instnum_np($A36,YEAR($B36),$B36,180)</f>
        <v/>
      </c>
      <c r="F36">
        <f>[1]!s_west_stdnetprofit($A36,YEAR($B36),$B36,180,1000000)</f>
        <v/>
      </c>
      <c r="G36">
        <f>[1]!s_west_mediannetprofit($A36,YEAR($B36),$B36,180,1000000)</f>
        <v/>
      </c>
      <c r="H36">
        <f>[1]!s_west_netprofit($A36,YEAR($B36)+1,$B36,180,1000000)</f>
        <v/>
      </c>
      <c r="I36">
        <f>[1]!s_west_eps($A36,YEAR($B36)+1,$B36,180)</f>
        <v/>
      </c>
      <c r="J36">
        <f>[1]!s_west_instnum_np($A36,YEAR($B36)+1,$B36,180)</f>
        <v/>
      </c>
      <c r="K36">
        <f>[1]!s_west_stdnetprofit($A36,YEAR($B36)+1,$B36,180,1000000)</f>
        <v/>
      </c>
      <c r="L36">
        <f>[1]!s_west_mediannetprofit($A36,YEAR($B36)+1,$B36,180,1000000)</f>
        <v/>
      </c>
      <c r="M36">
        <f>[1]!s_dq_close($A36,$B36,3)</f>
        <v/>
      </c>
      <c r="N36">
        <f>[1]!s_dq_volume($A36,$B36)</f>
        <v/>
      </c>
      <c r="O36">
        <f>[1]!s_dq_amount($A36,$B36)</f>
        <v/>
      </c>
      <c r="P36">
        <f>[1]!s_dq_turn($A36,$B36)</f>
        <v/>
      </c>
      <c r="Q36">
        <f>[1]!s_val_pe_ttm($A36,$B36)</f>
        <v/>
      </c>
      <c r="R36">
        <f>[1]!S_VAL_MV($A36,$B36,100000000)</f>
        <v/>
      </c>
    </row>
    <row r="37">
      <c r="A37">
        <f>_meta!A36</f>
        <v/>
      </c>
      <c r="B37">
        <f>$B$1</f>
        <v/>
      </c>
      <c r="C37">
        <f>[1]!s_west_netprofit($A37,YEAR($B37),$B37,180,1000000)</f>
        <v/>
      </c>
      <c r="D37">
        <f>[1]!s_west_eps($A37,YEAR($B37),$B37,180)</f>
        <v/>
      </c>
      <c r="E37">
        <f>[1]!s_west_instnum_np($A37,YEAR($B37),$B37,180)</f>
        <v/>
      </c>
      <c r="F37">
        <f>[1]!s_west_stdnetprofit($A37,YEAR($B37),$B37,180,1000000)</f>
        <v/>
      </c>
      <c r="G37">
        <f>[1]!s_west_mediannetprofit($A37,YEAR($B37),$B37,180,1000000)</f>
        <v/>
      </c>
      <c r="H37">
        <f>[1]!s_west_netprofit($A37,YEAR($B37)+1,$B37,180,1000000)</f>
        <v/>
      </c>
      <c r="I37">
        <f>[1]!s_west_eps($A37,YEAR($B37)+1,$B37,180)</f>
        <v/>
      </c>
      <c r="J37">
        <f>[1]!s_west_instnum_np($A37,YEAR($B37)+1,$B37,180)</f>
        <v/>
      </c>
      <c r="K37">
        <f>[1]!s_west_stdnetprofit($A37,YEAR($B37)+1,$B37,180,1000000)</f>
        <v/>
      </c>
      <c r="L37">
        <f>[1]!s_west_mediannetprofit($A37,YEAR($B37)+1,$B37,180,1000000)</f>
        <v/>
      </c>
      <c r="M37">
        <f>[1]!s_dq_close($A37,$B37,3)</f>
        <v/>
      </c>
      <c r="N37">
        <f>[1]!s_dq_volume($A37,$B37)</f>
        <v/>
      </c>
      <c r="O37">
        <f>[1]!s_dq_amount($A37,$B37)</f>
        <v/>
      </c>
      <c r="P37">
        <f>[1]!s_dq_turn($A37,$B37)</f>
        <v/>
      </c>
      <c r="Q37">
        <f>[1]!s_val_pe_ttm($A37,$B37)</f>
        <v/>
      </c>
      <c r="R37">
        <f>[1]!S_VAL_MV($A37,$B37,100000000)</f>
        <v/>
      </c>
    </row>
    <row r="38">
      <c r="A38">
        <f>_meta!A37</f>
        <v/>
      </c>
      <c r="B38">
        <f>$B$1</f>
        <v/>
      </c>
      <c r="C38">
        <f>[1]!s_west_netprofit($A38,YEAR($B38),$B38,180,1000000)</f>
        <v/>
      </c>
      <c r="D38">
        <f>[1]!s_west_eps($A38,YEAR($B38),$B38,180)</f>
        <v/>
      </c>
      <c r="E38">
        <f>[1]!s_west_instnum_np($A38,YEAR($B38),$B38,180)</f>
        <v/>
      </c>
      <c r="F38">
        <f>[1]!s_west_stdnetprofit($A38,YEAR($B38),$B38,180,1000000)</f>
        <v/>
      </c>
      <c r="G38">
        <f>[1]!s_west_mediannetprofit($A38,YEAR($B38),$B38,180,1000000)</f>
        <v/>
      </c>
      <c r="H38">
        <f>[1]!s_west_netprofit($A38,YEAR($B38)+1,$B38,180,1000000)</f>
        <v/>
      </c>
      <c r="I38">
        <f>[1]!s_west_eps($A38,YEAR($B38)+1,$B38,180)</f>
        <v/>
      </c>
      <c r="J38">
        <f>[1]!s_west_instnum_np($A38,YEAR($B38)+1,$B38,180)</f>
        <v/>
      </c>
      <c r="K38">
        <f>[1]!s_west_stdnetprofit($A38,YEAR($B38)+1,$B38,180,1000000)</f>
        <v/>
      </c>
      <c r="L38">
        <f>[1]!s_west_mediannetprofit($A38,YEAR($B38)+1,$B38,180,1000000)</f>
        <v/>
      </c>
      <c r="M38">
        <f>[1]!s_dq_close($A38,$B38,3)</f>
        <v/>
      </c>
      <c r="N38">
        <f>[1]!s_dq_volume($A38,$B38)</f>
        <v/>
      </c>
      <c r="O38">
        <f>[1]!s_dq_amount($A38,$B38)</f>
        <v/>
      </c>
      <c r="P38">
        <f>[1]!s_dq_turn($A38,$B38)</f>
        <v/>
      </c>
      <c r="Q38">
        <f>[1]!s_val_pe_ttm($A38,$B38)</f>
        <v/>
      </c>
      <c r="R38">
        <f>[1]!S_VAL_MV($A38,$B38,100000000)</f>
        <v/>
      </c>
    </row>
    <row r="39">
      <c r="A39">
        <f>_meta!A38</f>
        <v/>
      </c>
      <c r="B39">
        <f>$B$1</f>
        <v/>
      </c>
      <c r="C39">
        <f>[1]!s_west_netprofit($A39,YEAR($B39),$B39,180,1000000)</f>
        <v/>
      </c>
      <c r="D39">
        <f>[1]!s_west_eps($A39,YEAR($B39),$B39,180)</f>
        <v/>
      </c>
      <c r="E39">
        <f>[1]!s_west_instnum_np($A39,YEAR($B39),$B39,180)</f>
        <v/>
      </c>
      <c r="F39">
        <f>[1]!s_west_stdnetprofit($A39,YEAR($B39),$B39,180,1000000)</f>
        <v/>
      </c>
      <c r="G39">
        <f>[1]!s_west_mediannetprofit($A39,YEAR($B39),$B39,180,1000000)</f>
        <v/>
      </c>
      <c r="H39">
        <f>[1]!s_west_netprofit($A39,YEAR($B39)+1,$B39,180,1000000)</f>
        <v/>
      </c>
      <c r="I39">
        <f>[1]!s_west_eps($A39,YEAR($B39)+1,$B39,180)</f>
        <v/>
      </c>
      <c r="J39">
        <f>[1]!s_west_instnum_np($A39,YEAR($B39)+1,$B39,180)</f>
        <v/>
      </c>
      <c r="K39">
        <f>[1]!s_west_stdnetprofit($A39,YEAR($B39)+1,$B39,180,1000000)</f>
        <v/>
      </c>
      <c r="L39">
        <f>[1]!s_west_mediannetprofit($A39,YEAR($B39)+1,$B39,180,1000000)</f>
        <v/>
      </c>
      <c r="M39">
        <f>[1]!s_dq_close($A39,$B39,3)</f>
        <v/>
      </c>
      <c r="N39">
        <f>[1]!s_dq_volume($A39,$B39)</f>
        <v/>
      </c>
      <c r="O39">
        <f>[1]!s_dq_amount($A39,$B39)</f>
        <v/>
      </c>
      <c r="P39">
        <f>[1]!s_dq_turn($A39,$B39)</f>
        <v/>
      </c>
      <c r="Q39">
        <f>[1]!s_val_pe_ttm($A39,$B39)</f>
        <v/>
      </c>
      <c r="R39">
        <f>[1]!S_VAL_MV($A39,$B39,100000000)</f>
        <v/>
      </c>
    </row>
    <row r="40">
      <c r="A40">
        <f>_meta!A39</f>
        <v/>
      </c>
      <c r="B40">
        <f>$B$1</f>
        <v/>
      </c>
      <c r="C40">
        <f>[1]!s_west_netprofit($A40,YEAR($B40),$B40,180,1000000)</f>
        <v/>
      </c>
      <c r="D40">
        <f>[1]!s_west_eps($A40,YEAR($B40),$B40,180)</f>
        <v/>
      </c>
      <c r="E40">
        <f>[1]!s_west_instnum_np($A40,YEAR($B40),$B40,180)</f>
        <v/>
      </c>
      <c r="F40">
        <f>[1]!s_west_stdnetprofit($A40,YEAR($B40),$B40,180,1000000)</f>
        <v/>
      </c>
      <c r="G40">
        <f>[1]!s_west_mediannetprofit($A40,YEAR($B40),$B40,180,1000000)</f>
        <v/>
      </c>
      <c r="H40">
        <f>[1]!s_west_netprofit($A40,YEAR($B40)+1,$B40,180,1000000)</f>
        <v/>
      </c>
      <c r="I40">
        <f>[1]!s_west_eps($A40,YEAR($B40)+1,$B40,180)</f>
        <v/>
      </c>
      <c r="J40">
        <f>[1]!s_west_instnum_np($A40,YEAR($B40)+1,$B40,180)</f>
        <v/>
      </c>
      <c r="K40">
        <f>[1]!s_west_stdnetprofit($A40,YEAR($B40)+1,$B40,180,1000000)</f>
        <v/>
      </c>
      <c r="L40">
        <f>[1]!s_west_mediannetprofit($A40,YEAR($B40)+1,$B40,180,1000000)</f>
        <v/>
      </c>
      <c r="M40">
        <f>[1]!s_dq_close($A40,$B40,3)</f>
        <v/>
      </c>
      <c r="N40">
        <f>[1]!s_dq_volume($A40,$B40)</f>
        <v/>
      </c>
      <c r="O40">
        <f>[1]!s_dq_amount($A40,$B40)</f>
        <v/>
      </c>
      <c r="P40">
        <f>[1]!s_dq_turn($A40,$B40)</f>
        <v/>
      </c>
      <c r="Q40">
        <f>[1]!s_val_pe_ttm($A40,$B40)</f>
        <v/>
      </c>
      <c r="R40">
        <f>[1]!S_VAL_MV($A40,$B40,100000000)</f>
        <v/>
      </c>
    </row>
    <row r="41">
      <c r="A41">
        <f>_meta!A40</f>
        <v/>
      </c>
      <c r="B41">
        <f>$B$1</f>
        <v/>
      </c>
      <c r="C41">
        <f>[1]!s_west_netprofit($A41,YEAR($B41),$B41,180,1000000)</f>
        <v/>
      </c>
      <c r="D41">
        <f>[1]!s_west_eps($A41,YEAR($B41),$B41,180)</f>
        <v/>
      </c>
      <c r="E41">
        <f>[1]!s_west_instnum_np($A41,YEAR($B41),$B41,180)</f>
        <v/>
      </c>
      <c r="F41">
        <f>[1]!s_west_stdnetprofit($A41,YEAR($B41),$B41,180,1000000)</f>
        <v/>
      </c>
      <c r="G41">
        <f>[1]!s_west_mediannetprofit($A41,YEAR($B41),$B41,180,1000000)</f>
        <v/>
      </c>
      <c r="H41">
        <f>[1]!s_west_netprofit($A41,YEAR($B41)+1,$B41,180,1000000)</f>
        <v/>
      </c>
      <c r="I41">
        <f>[1]!s_west_eps($A41,YEAR($B41)+1,$B41,180)</f>
        <v/>
      </c>
      <c r="J41">
        <f>[1]!s_west_instnum_np($A41,YEAR($B41)+1,$B41,180)</f>
        <v/>
      </c>
      <c r="K41">
        <f>[1]!s_west_stdnetprofit($A41,YEAR($B41)+1,$B41,180,1000000)</f>
        <v/>
      </c>
      <c r="L41">
        <f>[1]!s_west_mediannetprofit($A41,YEAR($B41)+1,$B41,180,1000000)</f>
        <v/>
      </c>
      <c r="M41">
        <f>[1]!s_dq_close($A41,$B41,3)</f>
        <v/>
      </c>
      <c r="N41">
        <f>[1]!s_dq_volume($A41,$B41)</f>
        <v/>
      </c>
      <c r="O41">
        <f>[1]!s_dq_amount($A41,$B41)</f>
        <v/>
      </c>
      <c r="P41">
        <f>[1]!s_dq_turn($A41,$B41)</f>
        <v/>
      </c>
      <c r="Q41">
        <f>[1]!s_val_pe_ttm($A41,$B41)</f>
        <v/>
      </c>
      <c r="R41">
        <f>[1]!S_VAL_MV($A41,$B41,100000000)</f>
        <v/>
      </c>
    </row>
    <row r="42">
      <c r="A42">
        <f>_meta!A41</f>
        <v/>
      </c>
      <c r="B42">
        <f>$B$1</f>
        <v/>
      </c>
      <c r="C42">
        <f>[1]!s_west_netprofit($A42,YEAR($B42),$B42,180,1000000)</f>
        <v/>
      </c>
      <c r="D42">
        <f>[1]!s_west_eps($A42,YEAR($B42),$B42,180)</f>
        <v/>
      </c>
      <c r="E42">
        <f>[1]!s_west_instnum_np($A42,YEAR($B42),$B42,180)</f>
        <v/>
      </c>
      <c r="F42">
        <f>[1]!s_west_stdnetprofit($A42,YEAR($B42),$B42,180,1000000)</f>
        <v/>
      </c>
      <c r="G42">
        <f>[1]!s_west_mediannetprofit($A42,YEAR($B42),$B42,180,1000000)</f>
        <v/>
      </c>
      <c r="H42">
        <f>[1]!s_west_netprofit($A42,YEAR($B42)+1,$B42,180,1000000)</f>
        <v/>
      </c>
      <c r="I42">
        <f>[1]!s_west_eps($A42,YEAR($B42)+1,$B42,180)</f>
        <v/>
      </c>
      <c r="J42">
        <f>[1]!s_west_instnum_np($A42,YEAR($B42)+1,$B42,180)</f>
        <v/>
      </c>
      <c r="K42">
        <f>[1]!s_west_stdnetprofit($A42,YEAR($B42)+1,$B42,180,1000000)</f>
        <v/>
      </c>
      <c r="L42">
        <f>[1]!s_west_mediannetprofit($A42,YEAR($B42)+1,$B42,180,1000000)</f>
        <v/>
      </c>
      <c r="M42">
        <f>[1]!s_dq_close($A42,$B42,3)</f>
        <v/>
      </c>
      <c r="N42">
        <f>[1]!s_dq_volume($A42,$B42)</f>
        <v/>
      </c>
      <c r="O42">
        <f>[1]!s_dq_amount($A42,$B42)</f>
        <v/>
      </c>
      <c r="P42">
        <f>[1]!s_dq_turn($A42,$B42)</f>
        <v/>
      </c>
      <c r="Q42">
        <f>[1]!s_val_pe_ttm($A42,$B42)</f>
        <v/>
      </c>
      <c r="R42">
        <f>[1]!S_VAL_MV($A42,$B42,100000000)</f>
        <v/>
      </c>
    </row>
    <row r="43">
      <c r="A43">
        <f>_meta!A42</f>
        <v/>
      </c>
      <c r="B43">
        <f>$B$1</f>
        <v/>
      </c>
      <c r="C43">
        <f>[1]!s_west_netprofit($A43,YEAR($B43),$B43,180,1000000)</f>
        <v/>
      </c>
      <c r="D43">
        <f>[1]!s_west_eps($A43,YEAR($B43),$B43,180)</f>
        <v/>
      </c>
      <c r="E43">
        <f>[1]!s_west_instnum_np($A43,YEAR($B43),$B43,180)</f>
        <v/>
      </c>
      <c r="F43">
        <f>[1]!s_west_stdnetprofit($A43,YEAR($B43),$B43,180,1000000)</f>
        <v/>
      </c>
      <c r="G43">
        <f>[1]!s_west_mediannetprofit($A43,YEAR($B43),$B43,180,1000000)</f>
        <v/>
      </c>
      <c r="H43">
        <f>[1]!s_west_netprofit($A43,YEAR($B43)+1,$B43,180,1000000)</f>
        <v/>
      </c>
      <c r="I43">
        <f>[1]!s_west_eps($A43,YEAR($B43)+1,$B43,180)</f>
        <v/>
      </c>
      <c r="J43">
        <f>[1]!s_west_instnum_np($A43,YEAR($B43)+1,$B43,180)</f>
        <v/>
      </c>
      <c r="K43">
        <f>[1]!s_west_stdnetprofit($A43,YEAR($B43)+1,$B43,180,1000000)</f>
        <v/>
      </c>
      <c r="L43">
        <f>[1]!s_west_mediannetprofit($A43,YEAR($B43)+1,$B43,180,1000000)</f>
        <v/>
      </c>
      <c r="M43">
        <f>[1]!s_dq_close($A43,$B43,3)</f>
        <v/>
      </c>
      <c r="N43">
        <f>[1]!s_dq_volume($A43,$B43)</f>
        <v/>
      </c>
      <c r="O43">
        <f>[1]!s_dq_amount($A43,$B43)</f>
        <v/>
      </c>
      <c r="P43">
        <f>[1]!s_dq_turn($A43,$B43)</f>
        <v/>
      </c>
      <c r="Q43">
        <f>[1]!s_val_pe_ttm($A43,$B43)</f>
        <v/>
      </c>
      <c r="R43">
        <f>[1]!S_VAL_MV($A43,$B43,100000000)</f>
        <v/>
      </c>
    </row>
    <row r="44">
      <c r="A44">
        <f>_meta!A43</f>
        <v/>
      </c>
      <c r="B44">
        <f>$B$1</f>
        <v/>
      </c>
      <c r="C44">
        <f>[1]!s_west_netprofit($A44,YEAR($B44),$B44,180,1000000)</f>
        <v/>
      </c>
      <c r="D44">
        <f>[1]!s_west_eps($A44,YEAR($B44),$B44,180)</f>
        <v/>
      </c>
      <c r="E44">
        <f>[1]!s_west_instnum_np($A44,YEAR($B44),$B44,180)</f>
        <v/>
      </c>
      <c r="F44">
        <f>[1]!s_west_stdnetprofit($A44,YEAR($B44),$B44,180,1000000)</f>
        <v/>
      </c>
      <c r="G44">
        <f>[1]!s_west_mediannetprofit($A44,YEAR($B44),$B44,180,1000000)</f>
        <v/>
      </c>
      <c r="H44">
        <f>[1]!s_west_netprofit($A44,YEAR($B44)+1,$B44,180,1000000)</f>
        <v/>
      </c>
      <c r="I44">
        <f>[1]!s_west_eps($A44,YEAR($B44)+1,$B44,180)</f>
        <v/>
      </c>
      <c r="J44">
        <f>[1]!s_west_instnum_np($A44,YEAR($B44)+1,$B44,180)</f>
        <v/>
      </c>
      <c r="K44">
        <f>[1]!s_west_stdnetprofit($A44,YEAR($B44)+1,$B44,180,1000000)</f>
        <v/>
      </c>
      <c r="L44">
        <f>[1]!s_west_mediannetprofit($A44,YEAR($B44)+1,$B44,180,1000000)</f>
        <v/>
      </c>
      <c r="M44">
        <f>[1]!s_dq_close($A44,$B44,3)</f>
        <v/>
      </c>
      <c r="N44">
        <f>[1]!s_dq_volume($A44,$B44)</f>
        <v/>
      </c>
      <c r="O44">
        <f>[1]!s_dq_amount($A44,$B44)</f>
        <v/>
      </c>
      <c r="P44">
        <f>[1]!s_dq_turn($A44,$B44)</f>
        <v/>
      </c>
      <c r="Q44">
        <f>[1]!s_val_pe_ttm($A44,$B44)</f>
        <v/>
      </c>
      <c r="R44">
        <f>[1]!S_VAL_MV($A44,$B44,100000000)</f>
        <v/>
      </c>
    </row>
    <row r="45">
      <c r="A45">
        <f>_meta!A44</f>
        <v/>
      </c>
      <c r="B45">
        <f>$B$1</f>
        <v/>
      </c>
      <c r="C45">
        <f>[1]!s_west_netprofit($A45,YEAR($B45),$B45,180,1000000)</f>
        <v/>
      </c>
      <c r="D45">
        <f>[1]!s_west_eps($A45,YEAR($B45),$B45,180)</f>
        <v/>
      </c>
      <c r="E45">
        <f>[1]!s_west_instnum_np($A45,YEAR($B45),$B45,180)</f>
        <v/>
      </c>
      <c r="F45">
        <f>[1]!s_west_stdnetprofit($A45,YEAR($B45),$B45,180,1000000)</f>
        <v/>
      </c>
      <c r="G45">
        <f>[1]!s_west_mediannetprofit($A45,YEAR($B45),$B45,180,1000000)</f>
        <v/>
      </c>
      <c r="H45">
        <f>[1]!s_west_netprofit($A45,YEAR($B45)+1,$B45,180,1000000)</f>
        <v/>
      </c>
      <c r="I45">
        <f>[1]!s_west_eps($A45,YEAR($B45)+1,$B45,180)</f>
        <v/>
      </c>
      <c r="J45">
        <f>[1]!s_west_instnum_np($A45,YEAR($B45)+1,$B45,180)</f>
        <v/>
      </c>
      <c r="K45">
        <f>[1]!s_west_stdnetprofit($A45,YEAR($B45)+1,$B45,180,1000000)</f>
        <v/>
      </c>
      <c r="L45">
        <f>[1]!s_west_mediannetprofit($A45,YEAR($B45)+1,$B45,180,1000000)</f>
        <v/>
      </c>
      <c r="M45">
        <f>[1]!s_dq_close($A45,$B45,3)</f>
        <v/>
      </c>
      <c r="N45">
        <f>[1]!s_dq_volume($A45,$B45)</f>
        <v/>
      </c>
      <c r="O45">
        <f>[1]!s_dq_amount($A45,$B45)</f>
        <v/>
      </c>
      <c r="P45">
        <f>[1]!s_dq_turn($A45,$B45)</f>
        <v/>
      </c>
      <c r="Q45">
        <f>[1]!s_val_pe_ttm($A45,$B45)</f>
        <v/>
      </c>
      <c r="R45">
        <f>[1]!S_VAL_MV($A45,$B45,100000000)</f>
        <v/>
      </c>
    </row>
    <row r="46">
      <c r="A46">
        <f>_meta!A45</f>
        <v/>
      </c>
      <c r="B46">
        <f>$B$1</f>
        <v/>
      </c>
      <c r="C46">
        <f>[1]!s_west_netprofit($A46,YEAR($B46),$B46,180,1000000)</f>
        <v/>
      </c>
      <c r="D46">
        <f>[1]!s_west_eps($A46,YEAR($B46),$B46,180)</f>
        <v/>
      </c>
      <c r="E46">
        <f>[1]!s_west_instnum_np($A46,YEAR($B46),$B46,180)</f>
        <v/>
      </c>
      <c r="F46">
        <f>[1]!s_west_stdnetprofit($A46,YEAR($B46),$B46,180,1000000)</f>
        <v/>
      </c>
      <c r="G46">
        <f>[1]!s_west_mediannetprofit($A46,YEAR($B46),$B46,180,1000000)</f>
        <v/>
      </c>
      <c r="H46">
        <f>[1]!s_west_netprofit($A46,YEAR($B46)+1,$B46,180,1000000)</f>
        <v/>
      </c>
      <c r="I46">
        <f>[1]!s_west_eps($A46,YEAR($B46)+1,$B46,180)</f>
        <v/>
      </c>
      <c r="J46">
        <f>[1]!s_west_instnum_np($A46,YEAR($B46)+1,$B46,180)</f>
        <v/>
      </c>
      <c r="K46">
        <f>[1]!s_west_stdnetprofit($A46,YEAR($B46)+1,$B46,180,1000000)</f>
        <v/>
      </c>
      <c r="L46">
        <f>[1]!s_west_mediannetprofit($A46,YEAR($B46)+1,$B46,180,1000000)</f>
        <v/>
      </c>
      <c r="M46">
        <f>[1]!s_dq_close($A46,$B46,3)</f>
        <v/>
      </c>
      <c r="N46">
        <f>[1]!s_dq_volume($A46,$B46)</f>
        <v/>
      </c>
      <c r="O46">
        <f>[1]!s_dq_amount($A46,$B46)</f>
        <v/>
      </c>
      <c r="P46">
        <f>[1]!s_dq_turn($A46,$B46)</f>
        <v/>
      </c>
      <c r="Q46">
        <f>[1]!s_val_pe_ttm($A46,$B46)</f>
        <v/>
      </c>
      <c r="R46">
        <f>[1]!S_VAL_MV($A46,$B46,100000000)</f>
        <v/>
      </c>
    </row>
    <row r="47">
      <c r="A47">
        <f>_meta!A46</f>
        <v/>
      </c>
      <c r="B47">
        <f>$B$1</f>
        <v/>
      </c>
      <c r="C47">
        <f>[1]!s_west_netprofit($A47,YEAR($B47),$B47,180,1000000)</f>
        <v/>
      </c>
      <c r="D47">
        <f>[1]!s_west_eps($A47,YEAR($B47),$B47,180)</f>
        <v/>
      </c>
      <c r="E47">
        <f>[1]!s_west_instnum_np($A47,YEAR($B47),$B47,180)</f>
        <v/>
      </c>
      <c r="F47">
        <f>[1]!s_west_stdnetprofit($A47,YEAR($B47),$B47,180,1000000)</f>
        <v/>
      </c>
      <c r="G47">
        <f>[1]!s_west_mediannetprofit($A47,YEAR($B47),$B47,180,1000000)</f>
        <v/>
      </c>
      <c r="H47">
        <f>[1]!s_west_netprofit($A47,YEAR($B47)+1,$B47,180,1000000)</f>
        <v/>
      </c>
      <c r="I47">
        <f>[1]!s_west_eps($A47,YEAR($B47)+1,$B47,180)</f>
        <v/>
      </c>
      <c r="J47">
        <f>[1]!s_west_instnum_np($A47,YEAR($B47)+1,$B47,180)</f>
        <v/>
      </c>
      <c r="K47">
        <f>[1]!s_west_stdnetprofit($A47,YEAR($B47)+1,$B47,180,1000000)</f>
        <v/>
      </c>
      <c r="L47">
        <f>[1]!s_west_mediannetprofit($A47,YEAR($B47)+1,$B47,180,1000000)</f>
        <v/>
      </c>
      <c r="M47">
        <f>[1]!s_dq_close($A47,$B47,3)</f>
        <v/>
      </c>
      <c r="N47">
        <f>[1]!s_dq_volume($A47,$B47)</f>
        <v/>
      </c>
      <c r="O47">
        <f>[1]!s_dq_amount($A47,$B47)</f>
        <v/>
      </c>
      <c r="P47">
        <f>[1]!s_dq_turn($A47,$B47)</f>
        <v/>
      </c>
      <c r="Q47">
        <f>[1]!s_val_pe_ttm($A47,$B47)</f>
        <v/>
      </c>
      <c r="R47">
        <f>[1]!S_VAL_MV($A47,$B47,100000000)</f>
        <v/>
      </c>
    </row>
    <row r="48">
      <c r="A48">
        <f>_meta!A47</f>
        <v/>
      </c>
      <c r="B48">
        <f>$B$1</f>
        <v/>
      </c>
      <c r="C48">
        <f>[1]!s_west_netprofit($A48,YEAR($B48),$B48,180,1000000)</f>
        <v/>
      </c>
      <c r="D48">
        <f>[1]!s_west_eps($A48,YEAR($B48),$B48,180)</f>
        <v/>
      </c>
      <c r="E48">
        <f>[1]!s_west_instnum_np($A48,YEAR($B48),$B48,180)</f>
        <v/>
      </c>
      <c r="F48">
        <f>[1]!s_west_stdnetprofit($A48,YEAR($B48),$B48,180,1000000)</f>
        <v/>
      </c>
      <c r="G48">
        <f>[1]!s_west_mediannetprofit($A48,YEAR($B48),$B48,180,1000000)</f>
        <v/>
      </c>
      <c r="H48">
        <f>[1]!s_west_netprofit($A48,YEAR($B48)+1,$B48,180,1000000)</f>
        <v/>
      </c>
      <c r="I48">
        <f>[1]!s_west_eps($A48,YEAR($B48)+1,$B48,180)</f>
        <v/>
      </c>
      <c r="J48">
        <f>[1]!s_west_instnum_np($A48,YEAR($B48)+1,$B48,180)</f>
        <v/>
      </c>
      <c r="K48">
        <f>[1]!s_west_stdnetprofit($A48,YEAR($B48)+1,$B48,180,1000000)</f>
        <v/>
      </c>
      <c r="L48">
        <f>[1]!s_west_mediannetprofit($A48,YEAR($B48)+1,$B48,180,1000000)</f>
        <v/>
      </c>
      <c r="M48">
        <f>[1]!s_dq_close($A48,$B48,3)</f>
        <v/>
      </c>
      <c r="N48">
        <f>[1]!s_dq_volume($A48,$B48)</f>
        <v/>
      </c>
      <c r="O48">
        <f>[1]!s_dq_amount($A48,$B48)</f>
        <v/>
      </c>
      <c r="P48">
        <f>[1]!s_dq_turn($A48,$B48)</f>
        <v/>
      </c>
      <c r="Q48">
        <f>[1]!s_val_pe_ttm($A48,$B48)</f>
        <v/>
      </c>
      <c r="R48">
        <f>[1]!S_VAL_MV($A48,$B48,100000000)</f>
        <v/>
      </c>
    </row>
    <row r="49">
      <c r="A49">
        <f>_meta!A48</f>
        <v/>
      </c>
      <c r="B49">
        <f>$B$1</f>
        <v/>
      </c>
      <c r="C49">
        <f>[1]!s_west_netprofit($A49,YEAR($B49),$B49,180,1000000)</f>
        <v/>
      </c>
      <c r="D49">
        <f>[1]!s_west_eps($A49,YEAR($B49),$B49,180)</f>
        <v/>
      </c>
      <c r="E49">
        <f>[1]!s_west_instnum_np($A49,YEAR($B49),$B49,180)</f>
        <v/>
      </c>
      <c r="F49">
        <f>[1]!s_west_stdnetprofit($A49,YEAR($B49),$B49,180,1000000)</f>
        <v/>
      </c>
      <c r="G49">
        <f>[1]!s_west_mediannetprofit($A49,YEAR($B49),$B49,180,1000000)</f>
        <v/>
      </c>
      <c r="H49">
        <f>[1]!s_west_netprofit($A49,YEAR($B49)+1,$B49,180,1000000)</f>
        <v/>
      </c>
      <c r="I49">
        <f>[1]!s_west_eps($A49,YEAR($B49)+1,$B49,180)</f>
        <v/>
      </c>
      <c r="J49">
        <f>[1]!s_west_instnum_np($A49,YEAR($B49)+1,$B49,180)</f>
        <v/>
      </c>
      <c r="K49">
        <f>[1]!s_west_stdnetprofit($A49,YEAR($B49)+1,$B49,180,1000000)</f>
        <v/>
      </c>
      <c r="L49">
        <f>[1]!s_west_mediannetprofit($A49,YEAR($B49)+1,$B49,180,1000000)</f>
        <v/>
      </c>
      <c r="M49">
        <f>[1]!s_dq_close($A49,$B49,3)</f>
        <v/>
      </c>
      <c r="N49">
        <f>[1]!s_dq_volume($A49,$B49)</f>
        <v/>
      </c>
      <c r="O49">
        <f>[1]!s_dq_amount($A49,$B49)</f>
        <v/>
      </c>
      <c r="P49">
        <f>[1]!s_dq_turn($A49,$B49)</f>
        <v/>
      </c>
      <c r="Q49">
        <f>[1]!s_val_pe_ttm($A49,$B49)</f>
        <v/>
      </c>
      <c r="R49">
        <f>[1]!S_VAL_MV($A49,$B49,100000000)</f>
        <v/>
      </c>
    </row>
    <row r="50">
      <c r="A50">
        <f>_meta!A49</f>
        <v/>
      </c>
      <c r="B50">
        <f>$B$1</f>
        <v/>
      </c>
      <c r="C50">
        <f>[1]!s_west_netprofit($A50,YEAR($B50),$B50,180,1000000)</f>
        <v/>
      </c>
      <c r="D50">
        <f>[1]!s_west_eps($A50,YEAR($B50),$B50,180)</f>
        <v/>
      </c>
      <c r="E50">
        <f>[1]!s_west_instnum_np($A50,YEAR($B50),$B50,180)</f>
        <v/>
      </c>
      <c r="F50">
        <f>[1]!s_west_stdnetprofit($A50,YEAR($B50),$B50,180,1000000)</f>
        <v/>
      </c>
      <c r="G50">
        <f>[1]!s_west_mediannetprofit($A50,YEAR($B50),$B50,180,1000000)</f>
        <v/>
      </c>
      <c r="H50">
        <f>[1]!s_west_netprofit($A50,YEAR($B50)+1,$B50,180,1000000)</f>
        <v/>
      </c>
      <c r="I50">
        <f>[1]!s_west_eps($A50,YEAR($B50)+1,$B50,180)</f>
        <v/>
      </c>
      <c r="J50">
        <f>[1]!s_west_instnum_np($A50,YEAR($B50)+1,$B50,180)</f>
        <v/>
      </c>
      <c r="K50">
        <f>[1]!s_west_stdnetprofit($A50,YEAR($B50)+1,$B50,180,1000000)</f>
        <v/>
      </c>
      <c r="L50">
        <f>[1]!s_west_mediannetprofit($A50,YEAR($B50)+1,$B50,180,1000000)</f>
        <v/>
      </c>
      <c r="M50">
        <f>[1]!s_dq_close($A50,$B50,3)</f>
        <v/>
      </c>
      <c r="N50">
        <f>[1]!s_dq_volume($A50,$B50)</f>
        <v/>
      </c>
      <c r="O50">
        <f>[1]!s_dq_amount($A50,$B50)</f>
        <v/>
      </c>
      <c r="P50">
        <f>[1]!s_dq_turn($A50,$B50)</f>
        <v/>
      </c>
      <c r="Q50">
        <f>[1]!s_val_pe_ttm($A50,$B50)</f>
        <v/>
      </c>
      <c r="R50">
        <f>[1]!S_VAL_MV($A50,$B50,100000000)</f>
        <v/>
      </c>
    </row>
    <row r="51">
      <c r="A51">
        <f>_meta!A50</f>
        <v/>
      </c>
      <c r="B51">
        <f>$B$1</f>
        <v/>
      </c>
      <c r="C51">
        <f>[1]!s_west_netprofit($A51,YEAR($B51),$B51,180,1000000)</f>
        <v/>
      </c>
      <c r="D51">
        <f>[1]!s_west_eps($A51,YEAR($B51),$B51,180)</f>
        <v/>
      </c>
      <c r="E51">
        <f>[1]!s_west_instnum_np($A51,YEAR($B51),$B51,180)</f>
        <v/>
      </c>
      <c r="F51">
        <f>[1]!s_west_stdnetprofit($A51,YEAR($B51),$B51,180,1000000)</f>
        <v/>
      </c>
      <c r="G51">
        <f>[1]!s_west_mediannetprofit($A51,YEAR($B51),$B51,180,1000000)</f>
        <v/>
      </c>
      <c r="H51">
        <f>[1]!s_west_netprofit($A51,YEAR($B51)+1,$B51,180,1000000)</f>
        <v/>
      </c>
      <c r="I51">
        <f>[1]!s_west_eps($A51,YEAR($B51)+1,$B51,180)</f>
        <v/>
      </c>
      <c r="J51">
        <f>[1]!s_west_instnum_np($A51,YEAR($B51)+1,$B51,180)</f>
        <v/>
      </c>
      <c r="K51">
        <f>[1]!s_west_stdnetprofit($A51,YEAR($B51)+1,$B51,180,1000000)</f>
        <v/>
      </c>
      <c r="L51">
        <f>[1]!s_west_mediannetprofit($A51,YEAR($B51)+1,$B51,180,1000000)</f>
        <v/>
      </c>
      <c r="M51">
        <f>[1]!s_dq_close($A51,$B51,3)</f>
        <v/>
      </c>
      <c r="N51">
        <f>[1]!s_dq_volume($A51,$B51)</f>
        <v/>
      </c>
      <c r="O51">
        <f>[1]!s_dq_amount($A51,$B51)</f>
        <v/>
      </c>
      <c r="P51">
        <f>[1]!s_dq_turn($A51,$B51)</f>
        <v/>
      </c>
      <c r="Q51">
        <f>[1]!s_val_pe_ttm($A51,$B51)</f>
        <v/>
      </c>
      <c r="R51">
        <f>[1]!S_VAL_MV($A51,$B51,100000000)</f>
        <v/>
      </c>
    </row>
    <row r="52">
      <c r="A52">
        <f>_meta!A51</f>
        <v/>
      </c>
      <c r="B52">
        <f>$B$1</f>
        <v/>
      </c>
      <c r="C52">
        <f>[1]!s_west_netprofit($A52,YEAR($B52),$B52,180,1000000)</f>
        <v/>
      </c>
      <c r="D52">
        <f>[1]!s_west_eps($A52,YEAR($B52),$B52,180)</f>
        <v/>
      </c>
      <c r="E52">
        <f>[1]!s_west_instnum_np($A52,YEAR($B52),$B52,180)</f>
        <v/>
      </c>
      <c r="F52">
        <f>[1]!s_west_stdnetprofit($A52,YEAR($B52),$B52,180,1000000)</f>
        <v/>
      </c>
      <c r="G52">
        <f>[1]!s_west_mediannetprofit($A52,YEAR($B52),$B52,180,1000000)</f>
        <v/>
      </c>
      <c r="H52">
        <f>[1]!s_west_netprofit($A52,YEAR($B52)+1,$B52,180,1000000)</f>
        <v/>
      </c>
      <c r="I52">
        <f>[1]!s_west_eps($A52,YEAR($B52)+1,$B52,180)</f>
        <v/>
      </c>
      <c r="J52">
        <f>[1]!s_west_instnum_np($A52,YEAR($B52)+1,$B52,180)</f>
        <v/>
      </c>
      <c r="K52">
        <f>[1]!s_west_stdnetprofit($A52,YEAR($B52)+1,$B52,180,1000000)</f>
        <v/>
      </c>
      <c r="L52">
        <f>[1]!s_west_mediannetprofit($A52,YEAR($B52)+1,$B52,180,1000000)</f>
        <v/>
      </c>
      <c r="M52">
        <f>[1]!s_dq_close($A52,$B52,3)</f>
        <v/>
      </c>
      <c r="N52">
        <f>[1]!s_dq_volume($A52,$B52)</f>
        <v/>
      </c>
      <c r="O52">
        <f>[1]!s_dq_amount($A52,$B52)</f>
        <v/>
      </c>
      <c r="P52">
        <f>[1]!s_dq_turn($A52,$B52)</f>
        <v/>
      </c>
      <c r="Q52">
        <f>[1]!s_val_pe_ttm($A52,$B52)</f>
        <v/>
      </c>
      <c r="R52">
        <f>[1]!S_VAL_MV($A52,$B52,100000000)</f>
        <v/>
      </c>
    </row>
    <row r="53">
      <c r="A53">
        <f>_meta!A52</f>
        <v/>
      </c>
      <c r="B53">
        <f>$B$1</f>
        <v/>
      </c>
      <c r="C53">
        <f>[1]!s_west_netprofit($A53,YEAR($B53),$B53,180,1000000)</f>
        <v/>
      </c>
      <c r="D53">
        <f>[1]!s_west_eps($A53,YEAR($B53),$B53,180)</f>
        <v/>
      </c>
      <c r="E53">
        <f>[1]!s_west_instnum_np($A53,YEAR($B53),$B53,180)</f>
        <v/>
      </c>
      <c r="F53">
        <f>[1]!s_west_stdnetprofit($A53,YEAR($B53),$B53,180,1000000)</f>
        <v/>
      </c>
      <c r="G53">
        <f>[1]!s_west_mediannetprofit($A53,YEAR($B53),$B53,180,1000000)</f>
        <v/>
      </c>
      <c r="H53">
        <f>[1]!s_west_netprofit($A53,YEAR($B53)+1,$B53,180,1000000)</f>
        <v/>
      </c>
      <c r="I53">
        <f>[1]!s_west_eps($A53,YEAR($B53)+1,$B53,180)</f>
        <v/>
      </c>
      <c r="J53">
        <f>[1]!s_west_instnum_np($A53,YEAR($B53)+1,$B53,180)</f>
        <v/>
      </c>
      <c r="K53">
        <f>[1]!s_west_stdnetprofit($A53,YEAR($B53)+1,$B53,180,1000000)</f>
        <v/>
      </c>
      <c r="L53">
        <f>[1]!s_west_mediannetprofit($A53,YEAR($B53)+1,$B53,180,1000000)</f>
        <v/>
      </c>
      <c r="M53">
        <f>[1]!s_dq_close($A53,$B53,3)</f>
        <v/>
      </c>
      <c r="N53">
        <f>[1]!s_dq_volume($A53,$B53)</f>
        <v/>
      </c>
      <c r="O53">
        <f>[1]!s_dq_amount($A53,$B53)</f>
        <v/>
      </c>
      <c r="P53">
        <f>[1]!s_dq_turn($A53,$B53)</f>
        <v/>
      </c>
      <c r="Q53">
        <f>[1]!s_val_pe_ttm($A53,$B53)</f>
        <v/>
      </c>
      <c r="R53">
        <f>[1]!S_VAL_MV($A53,$B53,100000000)</f>
        <v/>
      </c>
    </row>
    <row r="54">
      <c r="A54">
        <f>_meta!A53</f>
        <v/>
      </c>
      <c r="B54">
        <f>$B$1</f>
        <v/>
      </c>
      <c r="C54">
        <f>[1]!s_west_netprofit($A54,YEAR($B54),$B54,180,1000000)</f>
        <v/>
      </c>
      <c r="D54">
        <f>[1]!s_west_eps($A54,YEAR($B54),$B54,180)</f>
        <v/>
      </c>
      <c r="E54">
        <f>[1]!s_west_instnum_np($A54,YEAR($B54),$B54,180)</f>
        <v/>
      </c>
      <c r="F54">
        <f>[1]!s_west_stdnetprofit($A54,YEAR($B54),$B54,180,1000000)</f>
        <v/>
      </c>
      <c r="G54">
        <f>[1]!s_west_mediannetprofit($A54,YEAR($B54),$B54,180,1000000)</f>
        <v/>
      </c>
      <c r="H54">
        <f>[1]!s_west_netprofit($A54,YEAR($B54)+1,$B54,180,1000000)</f>
        <v/>
      </c>
      <c r="I54">
        <f>[1]!s_west_eps($A54,YEAR($B54)+1,$B54,180)</f>
        <v/>
      </c>
      <c r="J54">
        <f>[1]!s_west_instnum_np($A54,YEAR($B54)+1,$B54,180)</f>
        <v/>
      </c>
      <c r="K54">
        <f>[1]!s_west_stdnetprofit($A54,YEAR($B54)+1,$B54,180,1000000)</f>
        <v/>
      </c>
      <c r="L54">
        <f>[1]!s_west_mediannetprofit($A54,YEAR($B54)+1,$B54,180,1000000)</f>
        <v/>
      </c>
      <c r="M54">
        <f>[1]!s_dq_close($A54,$B54,3)</f>
        <v/>
      </c>
      <c r="N54">
        <f>[1]!s_dq_volume($A54,$B54)</f>
        <v/>
      </c>
      <c r="O54">
        <f>[1]!s_dq_amount($A54,$B54)</f>
        <v/>
      </c>
      <c r="P54">
        <f>[1]!s_dq_turn($A54,$B54)</f>
        <v/>
      </c>
      <c r="Q54">
        <f>[1]!s_val_pe_ttm($A54,$B54)</f>
        <v/>
      </c>
      <c r="R54">
        <f>[1]!S_VAL_MV($A54,$B54,100000000)</f>
        <v/>
      </c>
    </row>
    <row r="55">
      <c r="A55">
        <f>_meta!A54</f>
        <v/>
      </c>
      <c r="B55">
        <f>$B$1</f>
        <v/>
      </c>
      <c r="C55">
        <f>[1]!s_west_netprofit($A55,YEAR($B55),$B55,180,1000000)</f>
        <v/>
      </c>
      <c r="D55">
        <f>[1]!s_west_eps($A55,YEAR($B55),$B55,180)</f>
        <v/>
      </c>
      <c r="E55">
        <f>[1]!s_west_instnum_np($A55,YEAR($B55),$B55,180)</f>
        <v/>
      </c>
      <c r="F55">
        <f>[1]!s_west_stdnetprofit($A55,YEAR($B55),$B55,180,1000000)</f>
        <v/>
      </c>
      <c r="G55">
        <f>[1]!s_west_mediannetprofit($A55,YEAR($B55),$B55,180,1000000)</f>
        <v/>
      </c>
      <c r="H55">
        <f>[1]!s_west_netprofit($A55,YEAR($B55)+1,$B55,180,1000000)</f>
        <v/>
      </c>
      <c r="I55">
        <f>[1]!s_west_eps($A55,YEAR($B55)+1,$B55,180)</f>
        <v/>
      </c>
      <c r="J55">
        <f>[1]!s_west_instnum_np($A55,YEAR($B55)+1,$B55,180)</f>
        <v/>
      </c>
      <c r="K55">
        <f>[1]!s_west_stdnetprofit($A55,YEAR($B55)+1,$B55,180,1000000)</f>
        <v/>
      </c>
      <c r="L55">
        <f>[1]!s_west_mediannetprofit($A55,YEAR($B55)+1,$B55,180,1000000)</f>
        <v/>
      </c>
      <c r="M55">
        <f>[1]!s_dq_close($A55,$B55,3)</f>
        <v/>
      </c>
      <c r="N55">
        <f>[1]!s_dq_volume($A55,$B55)</f>
        <v/>
      </c>
      <c r="O55">
        <f>[1]!s_dq_amount($A55,$B55)</f>
        <v/>
      </c>
      <c r="P55">
        <f>[1]!s_dq_turn($A55,$B55)</f>
        <v/>
      </c>
      <c r="Q55">
        <f>[1]!s_val_pe_ttm($A55,$B55)</f>
        <v/>
      </c>
      <c r="R55">
        <f>[1]!S_VAL_MV($A55,$B55,100000000)</f>
        <v/>
      </c>
    </row>
    <row r="56">
      <c r="A56">
        <f>_meta!A55</f>
        <v/>
      </c>
      <c r="B56">
        <f>$B$1</f>
        <v/>
      </c>
      <c r="C56">
        <f>[1]!s_west_netprofit($A56,YEAR($B56),$B56,180,1000000)</f>
        <v/>
      </c>
      <c r="D56">
        <f>[1]!s_west_eps($A56,YEAR($B56),$B56,180)</f>
        <v/>
      </c>
      <c r="E56">
        <f>[1]!s_west_instnum_np($A56,YEAR($B56),$B56,180)</f>
        <v/>
      </c>
      <c r="F56">
        <f>[1]!s_west_stdnetprofit($A56,YEAR($B56),$B56,180,1000000)</f>
        <v/>
      </c>
      <c r="G56">
        <f>[1]!s_west_mediannetprofit($A56,YEAR($B56),$B56,180,1000000)</f>
        <v/>
      </c>
      <c r="H56">
        <f>[1]!s_west_netprofit($A56,YEAR($B56)+1,$B56,180,1000000)</f>
        <v/>
      </c>
      <c r="I56">
        <f>[1]!s_west_eps($A56,YEAR($B56)+1,$B56,180)</f>
        <v/>
      </c>
      <c r="J56">
        <f>[1]!s_west_instnum_np($A56,YEAR($B56)+1,$B56,180)</f>
        <v/>
      </c>
      <c r="K56">
        <f>[1]!s_west_stdnetprofit($A56,YEAR($B56)+1,$B56,180,1000000)</f>
        <v/>
      </c>
      <c r="L56">
        <f>[1]!s_west_mediannetprofit($A56,YEAR($B56)+1,$B56,180,1000000)</f>
        <v/>
      </c>
      <c r="M56">
        <f>[1]!s_dq_close($A56,$B56,3)</f>
        <v/>
      </c>
      <c r="N56">
        <f>[1]!s_dq_volume($A56,$B56)</f>
        <v/>
      </c>
      <c r="O56">
        <f>[1]!s_dq_amount($A56,$B56)</f>
        <v/>
      </c>
      <c r="P56">
        <f>[1]!s_dq_turn($A56,$B56)</f>
        <v/>
      </c>
      <c r="Q56">
        <f>[1]!s_val_pe_ttm($A56,$B56)</f>
        <v/>
      </c>
      <c r="R56">
        <f>[1]!S_VAL_MV($A56,$B56,100000000)</f>
        <v/>
      </c>
    </row>
    <row r="57">
      <c r="A57">
        <f>_meta!A56</f>
        <v/>
      </c>
      <c r="B57">
        <f>$B$1</f>
        <v/>
      </c>
      <c r="C57">
        <f>[1]!s_west_netprofit($A57,YEAR($B57),$B57,180,1000000)</f>
        <v/>
      </c>
      <c r="D57">
        <f>[1]!s_west_eps($A57,YEAR($B57),$B57,180)</f>
        <v/>
      </c>
      <c r="E57">
        <f>[1]!s_west_instnum_np($A57,YEAR($B57),$B57,180)</f>
        <v/>
      </c>
      <c r="F57">
        <f>[1]!s_west_stdnetprofit($A57,YEAR($B57),$B57,180,1000000)</f>
        <v/>
      </c>
      <c r="G57">
        <f>[1]!s_west_mediannetprofit($A57,YEAR($B57),$B57,180,1000000)</f>
        <v/>
      </c>
      <c r="H57">
        <f>[1]!s_west_netprofit($A57,YEAR($B57)+1,$B57,180,1000000)</f>
        <v/>
      </c>
      <c r="I57">
        <f>[1]!s_west_eps($A57,YEAR($B57)+1,$B57,180)</f>
        <v/>
      </c>
      <c r="J57">
        <f>[1]!s_west_instnum_np($A57,YEAR($B57)+1,$B57,180)</f>
        <v/>
      </c>
      <c r="K57">
        <f>[1]!s_west_stdnetprofit($A57,YEAR($B57)+1,$B57,180,1000000)</f>
        <v/>
      </c>
      <c r="L57">
        <f>[1]!s_west_mediannetprofit($A57,YEAR($B57)+1,$B57,180,1000000)</f>
        <v/>
      </c>
      <c r="M57">
        <f>[1]!s_dq_close($A57,$B57,3)</f>
        <v/>
      </c>
      <c r="N57">
        <f>[1]!s_dq_volume($A57,$B57)</f>
        <v/>
      </c>
      <c r="O57">
        <f>[1]!s_dq_amount($A57,$B57)</f>
        <v/>
      </c>
      <c r="P57">
        <f>[1]!s_dq_turn($A57,$B57)</f>
        <v/>
      </c>
      <c r="Q57">
        <f>[1]!s_val_pe_ttm($A57,$B57)</f>
        <v/>
      </c>
      <c r="R57">
        <f>[1]!S_VAL_MV($A57,$B57,100000000)</f>
        <v/>
      </c>
    </row>
    <row r="58">
      <c r="A58">
        <f>_meta!A57</f>
        <v/>
      </c>
      <c r="B58">
        <f>$B$1</f>
        <v/>
      </c>
      <c r="C58">
        <f>[1]!s_west_netprofit($A58,YEAR($B58),$B58,180,1000000)</f>
        <v/>
      </c>
      <c r="D58">
        <f>[1]!s_west_eps($A58,YEAR($B58),$B58,180)</f>
        <v/>
      </c>
      <c r="E58">
        <f>[1]!s_west_instnum_np($A58,YEAR($B58),$B58,180)</f>
        <v/>
      </c>
      <c r="F58">
        <f>[1]!s_west_stdnetprofit($A58,YEAR($B58),$B58,180,1000000)</f>
        <v/>
      </c>
      <c r="G58">
        <f>[1]!s_west_mediannetprofit($A58,YEAR($B58),$B58,180,1000000)</f>
        <v/>
      </c>
      <c r="H58">
        <f>[1]!s_west_netprofit($A58,YEAR($B58)+1,$B58,180,1000000)</f>
        <v/>
      </c>
      <c r="I58">
        <f>[1]!s_west_eps($A58,YEAR($B58)+1,$B58,180)</f>
        <v/>
      </c>
      <c r="J58">
        <f>[1]!s_west_instnum_np($A58,YEAR($B58)+1,$B58,180)</f>
        <v/>
      </c>
      <c r="K58">
        <f>[1]!s_west_stdnetprofit($A58,YEAR($B58)+1,$B58,180,1000000)</f>
        <v/>
      </c>
      <c r="L58">
        <f>[1]!s_west_mediannetprofit($A58,YEAR($B58)+1,$B58,180,1000000)</f>
        <v/>
      </c>
      <c r="M58">
        <f>[1]!s_dq_close($A58,$B58,3)</f>
        <v/>
      </c>
      <c r="N58">
        <f>[1]!s_dq_volume($A58,$B58)</f>
        <v/>
      </c>
      <c r="O58">
        <f>[1]!s_dq_amount($A58,$B58)</f>
        <v/>
      </c>
      <c r="P58">
        <f>[1]!s_dq_turn($A58,$B58)</f>
        <v/>
      </c>
      <c r="Q58">
        <f>[1]!s_val_pe_ttm($A58,$B58)</f>
        <v/>
      </c>
      <c r="R58">
        <f>[1]!S_VAL_MV($A58,$B58,100000000)</f>
        <v/>
      </c>
    </row>
    <row r="59">
      <c r="A59">
        <f>_meta!A58</f>
        <v/>
      </c>
      <c r="B59">
        <f>$B$1</f>
        <v/>
      </c>
      <c r="C59">
        <f>[1]!s_west_netprofit($A59,YEAR($B59),$B59,180,1000000)</f>
        <v/>
      </c>
      <c r="D59">
        <f>[1]!s_west_eps($A59,YEAR($B59),$B59,180)</f>
        <v/>
      </c>
      <c r="E59">
        <f>[1]!s_west_instnum_np($A59,YEAR($B59),$B59,180)</f>
        <v/>
      </c>
      <c r="F59">
        <f>[1]!s_west_stdnetprofit($A59,YEAR($B59),$B59,180,1000000)</f>
        <v/>
      </c>
      <c r="G59">
        <f>[1]!s_west_mediannetprofit($A59,YEAR($B59),$B59,180,1000000)</f>
        <v/>
      </c>
      <c r="H59">
        <f>[1]!s_west_netprofit($A59,YEAR($B59)+1,$B59,180,1000000)</f>
        <v/>
      </c>
      <c r="I59">
        <f>[1]!s_west_eps($A59,YEAR($B59)+1,$B59,180)</f>
        <v/>
      </c>
      <c r="J59">
        <f>[1]!s_west_instnum_np($A59,YEAR($B59)+1,$B59,180)</f>
        <v/>
      </c>
      <c r="K59">
        <f>[1]!s_west_stdnetprofit($A59,YEAR($B59)+1,$B59,180,1000000)</f>
        <v/>
      </c>
      <c r="L59">
        <f>[1]!s_west_mediannetprofit($A59,YEAR($B59)+1,$B59,180,1000000)</f>
        <v/>
      </c>
      <c r="M59">
        <f>[1]!s_dq_close($A59,$B59,3)</f>
        <v/>
      </c>
      <c r="N59">
        <f>[1]!s_dq_volume($A59,$B59)</f>
        <v/>
      </c>
      <c r="O59">
        <f>[1]!s_dq_amount($A59,$B59)</f>
        <v/>
      </c>
      <c r="P59">
        <f>[1]!s_dq_turn($A59,$B59)</f>
        <v/>
      </c>
      <c r="Q59">
        <f>[1]!s_val_pe_ttm($A59,$B59)</f>
        <v/>
      </c>
      <c r="R59">
        <f>[1]!S_VAL_MV($A59,$B59,100000000)</f>
        <v/>
      </c>
    </row>
    <row r="60">
      <c r="A60">
        <f>_meta!A59</f>
        <v/>
      </c>
      <c r="B60">
        <f>$B$1</f>
        <v/>
      </c>
      <c r="C60">
        <f>[1]!s_west_netprofit($A60,YEAR($B60),$B60,180,1000000)</f>
        <v/>
      </c>
      <c r="D60">
        <f>[1]!s_west_eps($A60,YEAR($B60),$B60,180)</f>
        <v/>
      </c>
      <c r="E60">
        <f>[1]!s_west_instnum_np($A60,YEAR($B60),$B60,180)</f>
        <v/>
      </c>
      <c r="F60">
        <f>[1]!s_west_stdnetprofit($A60,YEAR($B60),$B60,180,1000000)</f>
        <v/>
      </c>
      <c r="G60">
        <f>[1]!s_west_mediannetprofit($A60,YEAR($B60),$B60,180,1000000)</f>
        <v/>
      </c>
      <c r="H60">
        <f>[1]!s_west_netprofit($A60,YEAR($B60)+1,$B60,180,1000000)</f>
        <v/>
      </c>
      <c r="I60">
        <f>[1]!s_west_eps($A60,YEAR($B60)+1,$B60,180)</f>
        <v/>
      </c>
      <c r="J60">
        <f>[1]!s_west_instnum_np($A60,YEAR($B60)+1,$B60,180)</f>
        <v/>
      </c>
      <c r="K60">
        <f>[1]!s_west_stdnetprofit($A60,YEAR($B60)+1,$B60,180,1000000)</f>
        <v/>
      </c>
      <c r="L60">
        <f>[1]!s_west_mediannetprofit($A60,YEAR($B60)+1,$B60,180,1000000)</f>
        <v/>
      </c>
      <c r="M60">
        <f>[1]!s_dq_close($A60,$B60,3)</f>
        <v/>
      </c>
      <c r="N60">
        <f>[1]!s_dq_volume($A60,$B60)</f>
        <v/>
      </c>
      <c r="O60">
        <f>[1]!s_dq_amount($A60,$B60)</f>
        <v/>
      </c>
      <c r="P60">
        <f>[1]!s_dq_turn($A60,$B60)</f>
        <v/>
      </c>
      <c r="Q60">
        <f>[1]!s_val_pe_ttm($A60,$B60)</f>
        <v/>
      </c>
      <c r="R60">
        <f>[1]!S_VAL_MV($A60,$B60,100000000)</f>
        <v/>
      </c>
    </row>
    <row r="61">
      <c r="A61">
        <f>_meta!A60</f>
        <v/>
      </c>
      <c r="B61">
        <f>$B$1</f>
        <v/>
      </c>
      <c r="C61">
        <f>[1]!s_west_netprofit($A61,YEAR($B61),$B61,180,1000000)</f>
        <v/>
      </c>
      <c r="D61">
        <f>[1]!s_west_eps($A61,YEAR($B61),$B61,180)</f>
        <v/>
      </c>
      <c r="E61">
        <f>[1]!s_west_instnum_np($A61,YEAR($B61),$B61,180)</f>
        <v/>
      </c>
      <c r="F61">
        <f>[1]!s_west_stdnetprofit($A61,YEAR($B61),$B61,180,1000000)</f>
        <v/>
      </c>
      <c r="G61">
        <f>[1]!s_west_mediannetprofit($A61,YEAR($B61),$B61,180,1000000)</f>
        <v/>
      </c>
      <c r="H61">
        <f>[1]!s_west_netprofit($A61,YEAR($B61)+1,$B61,180,1000000)</f>
        <v/>
      </c>
      <c r="I61">
        <f>[1]!s_west_eps($A61,YEAR($B61)+1,$B61,180)</f>
        <v/>
      </c>
      <c r="J61">
        <f>[1]!s_west_instnum_np($A61,YEAR($B61)+1,$B61,180)</f>
        <v/>
      </c>
      <c r="K61">
        <f>[1]!s_west_stdnetprofit($A61,YEAR($B61)+1,$B61,180,1000000)</f>
        <v/>
      </c>
      <c r="L61">
        <f>[1]!s_west_mediannetprofit($A61,YEAR($B61)+1,$B61,180,1000000)</f>
        <v/>
      </c>
      <c r="M61">
        <f>[1]!s_dq_close($A61,$B61,3)</f>
        <v/>
      </c>
      <c r="N61">
        <f>[1]!s_dq_volume($A61,$B61)</f>
        <v/>
      </c>
      <c r="O61">
        <f>[1]!s_dq_amount($A61,$B61)</f>
        <v/>
      </c>
      <c r="P61">
        <f>[1]!s_dq_turn($A61,$B61)</f>
        <v/>
      </c>
      <c r="Q61">
        <f>[1]!s_val_pe_ttm($A61,$B61)</f>
        <v/>
      </c>
      <c r="R61">
        <f>[1]!S_VAL_MV($A61,$B61,100000000)</f>
        <v/>
      </c>
    </row>
    <row r="62">
      <c r="A62">
        <f>_meta!A61</f>
        <v/>
      </c>
      <c r="B62">
        <f>$B$1</f>
        <v/>
      </c>
      <c r="C62">
        <f>[1]!s_west_netprofit($A62,YEAR($B62),$B62,180,1000000)</f>
        <v/>
      </c>
      <c r="D62">
        <f>[1]!s_west_eps($A62,YEAR($B62),$B62,180)</f>
        <v/>
      </c>
      <c r="E62">
        <f>[1]!s_west_instnum_np($A62,YEAR($B62),$B62,180)</f>
        <v/>
      </c>
      <c r="F62">
        <f>[1]!s_west_stdnetprofit($A62,YEAR($B62),$B62,180,1000000)</f>
        <v/>
      </c>
      <c r="G62">
        <f>[1]!s_west_mediannetprofit($A62,YEAR($B62),$B62,180,1000000)</f>
        <v/>
      </c>
      <c r="H62">
        <f>[1]!s_west_netprofit($A62,YEAR($B62)+1,$B62,180,1000000)</f>
        <v/>
      </c>
      <c r="I62">
        <f>[1]!s_west_eps($A62,YEAR($B62)+1,$B62,180)</f>
        <v/>
      </c>
      <c r="J62">
        <f>[1]!s_west_instnum_np($A62,YEAR($B62)+1,$B62,180)</f>
        <v/>
      </c>
      <c r="K62">
        <f>[1]!s_west_stdnetprofit($A62,YEAR($B62)+1,$B62,180,1000000)</f>
        <v/>
      </c>
      <c r="L62">
        <f>[1]!s_west_mediannetprofit($A62,YEAR($B62)+1,$B62,180,1000000)</f>
        <v/>
      </c>
      <c r="M62">
        <f>[1]!s_dq_close($A62,$B62,3)</f>
        <v/>
      </c>
      <c r="N62">
        <f>[1]!s_dq_volume($A62,$B62)</f>
        <v/>
      </c>
      <c r="O62">
        <f>[1]!s_dq_amount($A62,$B62)</f>
        <v/>
      </c>
      <c r="P62">
        <f>[1]!s_dq_turn($A62,$B62)</f>
        <v/>
      </c>
      <c r="Q62">
        <f>[1]!s_val_pe_ttm($A62,$B62)</f>
        <v/>
      </c>
      <c r="R62">
        <f>[1]!S_VAL_MV($A62,$B62,100000000)</f>
        <v/>
      </c>
    </row>
    <row r="63">
      <c r="A63">
        <f>_meta!A62</f>
        <v/>
      </c>
      <c r="B63">
        <f>$B$1</f>
        <v/>
      </c>
      <c r="C63">
        <f>[1]!s_west_netprofit($A63,YEAR($B63),$B63,180,1000000)</f>
        <v/>
      </c>
      <c r="D63">
        <f>[1]!s_west_eps($A63,YEAR($B63),$B63,180)</f>
        <v/>
      </c>
      <c r="E63">
        <f>[1]!s_west_instnum_np($A63,YEAR($B63),$B63,180)</f>
        <v/>
      </c>
      <c r="F63">
        <f>[1]!s_west_stdnetprofit($A63,YEAR($B63),$B63,180,1000000)</f>
        <v/>
      </c>
      <c r="G63">
        <f>[1]!s_west_mediannetprofit($A63,YEAR($B63),$B63,180,1000000)</f>
        <v/>
      </c>
      <c r="H63">
        <f>[1]!s_west_netprofit($A63,YEAR($B63)+1,$B63,180,1000000)</f>
        <v/>
      </c>
      <c r="I63">
        <f>[1]!s_west_eps($A63,YEAR($B63)+1,$B63,180)</f>
        <v/>
      </c>
      <c r="J63">
        <f>[1]!s_west_instnum_np($A63,YEAR($B63)+1,$B63,180)</f>
        <v/>
      </c>
      <c r="K63">
        <f>[1]!s_west_stdnetprofit($A63,YEAR($B63)+1,$B63,180,1000000)</f>
        <v/>
      </c>
      <c r="L63">
        <f>[1]!s_west_mediannetprofit($A63,YEAR($B63)+1,$B63,180,1000000)</f>
        <v/>
      </c>
      <c r="M63">
        <f>[1]!s_dq_close($A63,$B63,3)</f>
        <v/>
      </c>
      <c r="N63">
        <f>[1]!s_dq_volume($A63,$B63)</f>
        <v/>
      </c>
      <c r="O63">
        <f>[1]!s_dq_amount($A63,$B63)</f>
        <v/>
      </c>
      <c r="P63">
        <f>[1]!s_dq_turn($A63,$B63)</f>
        <v/>
      </c>
      <c r="Q63">
        <f>[1]!s_val_pe_ttm($A63,$B63)</f>
        <v/>
      </c>
      <c r="R63">
        <f>[1]!S_VAL_MV($A63,$B63,100000000)</f>
        <v/>
      </c>
    </row>
    <row r="64">
      <c r="A64">
        <f>_meta!A63</f>
        <v/>
      </c>
      <c r="B64">
        <f>$B$1</f>
        <v/>
      </c>
      <c r="C64">
        <f>[1]!s_west_netprofit($A64,YEAR($B64),$B64,180,1000000)</f>
        <v/>
      </c>
      <c r="D64">
        <f>[1]!s_west_eps($A64,YEAR($B64),$B64,180)</f>
        <v/>
      </c>
      <c r="E64">
        <f>[1]!s_west_instnum_np($A64,YEAR($B64),$B64,180)</f>
        <v/>
      </c>
      <c r="F64">
        <f>[1]!s_west_stdnetprofit($A64,YEAR($B64),$B64,180,1000000)</f>
        <v/>
      </c>
      <c r="G64">
        <f>[1]!s_west_mediannetprofit($A64,YEAR($B64),$B64,180,1000000)</f>
        <v/>
      </c>
      <c r="H64">
        <f>[1]!s_west_netprofit($A64,YEAR($B64)+1,$B64,180,1000000)</f>
        <v/>
      </c>
      <c r="I64">
        <f>[1]!s_west_eps($A64,YEAR($B64)+1,$B64,180)</f>
        <v/>
      </c>
      <c r="J64">
        <f>[1]!s_west_instnum_np($A64,YEAR($B64)+1,$B64,180)</f>
        <v/>
      </c>
      <c r="K64">
        <f>[1]!s_west_stdnetprofit($A64,YEAR($B64)+1,$B64,180,1000000)</f>
        <v/>
      </c>
      <c r="L64">
        <f>[1]!s_west_mediannetprofit($A64,YEAR($B64)+1,$B64,180,1000000)</f>
        <v/>
      </c>
      <c r="M64">
        <f>[1]!s_dq_close($A64,$B64,3)</f>
        <v/>
      </c>
      <c r="N64">
        <f>[1]!s_dq_volume($A64,$B64)</f>
        <v/>
      </c>
      <c r="O64">
        <f>[1]!s_dq_amount($A64,$B64)</f>
        <v/>
      </c>
      <c r="P64">
        <f>[1]!s_dq_turn($A64,$B64)</f>
        <v/>
      </c>
      <c r="Q64">
        <f>[1]!s_val_pe_ttm($A64,$B64)</f>
        <v/>
      </c>
      <c r="R64">
        <f>[1]!S_VAL_MV($A64,$B64,100000000)</f>
        <v/>
      </c>
    </row>
    <row r="65">
      <c r="A65">
        <f>_meta!A64</f>
        <v/>
      </c>
      <c r="B65">
        <f>$B$1</f>
        <v/>
      </c>
      <c r="C65">
        <f>[1]!s_west_netprofit($A65,YEAR($B65),$B65,180,1000000)</f>
        <v/>
      </c>
      <c r="D65">
        <f>[1]!s_west_eps($A65,YEAR($B65),$B65,180)</f>
        <v/>
      </c>
      <c r="E65">
        <f>[1]!s_west_instnum_np($A65,YEAR($B65),$B65,180)</f>
        <v/>
      </c>
      <c r="F65">
        <f>[1]!s_west_stdnetprofit($A65,YEAR($B65),$B65,180,1000000)</f>
        <v/>
      </c>
      <c r="G65">
        <f>[1]!s_west_mediannetprofit($A65,YEAR($B65),$B65,180,1000000)</f>
        <v/>
      </c>
      <c r="H65">
        <f>[1]!s_west_netprofit($A65,YEAR($B65)+1,$B65,180,1000000)</f>
        <v/>
      </c>
      <c r="I65">
        <f>[1]!s_west_eps($A65,YEAR($B65)+1,$B65,180)</f>
        <v/>
      </c>
      <c r="J65">
        <f>[1]!s_west_instnum_np($A65,YEAR($B65)+1,$B65,180)</f>
        <v/>
      </c>
      <c r="K65">
        <f>[1]!s_west_stdnetprofit($A65,YEAR($B65)+1,$B65,180,1000000)</f>
        <v/>
      </c>
      <c r="L65">
        <f>[1]!s_west_mediannetprofit($A65,YEAR($B65)+1,$B65,180,1000000)</f>
        <v/>
      </c>
      <c r="M65">
        <f>[1]!s_dq_close($A65,$B65,3)</f>
        <v/>
      </c>
      <c r="N65">
        <f>[1]!s_dq_volume($A65,$B65)</f>
        <v/>
      </c>
      <c r="O65">
        <f>[1]!s_dq_amount($A65,$B65)</f>
        <v/>
      </c>
      <c r="P65">
        <f>[1]!s_dq_turn($A65,$B65)</f>
        <v/>
      </c>
      <c r="Q65">
        <f>[1]!s_val_pe_ttm($A65,$B65)</f>
        <v/>
      </c>
      <c r="R65">
        <f>[1]!S_VAL_MV($A65,$B65,100000000)</f>
        <v/>
      </c>
    </row>
    <row r="66">
      <c r="A66">
        <f>_meta!A65</f>
        <v/>
      </c>
      <c r="B66">
        <f>$B$1</f>
        <v/>
      </c>
      <c r="C66">
        <f>[1]!s_west_netprofit($A66,YEAR($B66),$B66,180,1000000)</f>
        <v/>
      </c>
      <c r="D66">
        <f>[1]!s_west_eps($A66,YEAR($B66),$B66,180)</f>
        <v/>
      </c>
      <c r="E66">
        <f>[1]!s_west_instnum_np($A66,YEAR($B66),$B66,180)</f>
        <v/>
      </c>
      <c r="F66">
        <f>[1]!s_west_stdnetprofit($A66,YEAR($B66),$B66,180,1000000)</f>
        <v/>
      </c>
      <c r="G66">
        <f>[1]!s_west_mediannetprofit($A66,YEAR($B66),$B66,180,1000000)</f>
        <v/>
      </c>
      <c r="H66">
        <f>[1]!s_west_netprofit($A66,YEAR($B66)+1,$B66,180,1000000)</f>
        <v/>
      </c>
      <c r="I66">
        <f>[1]!s_west_eps($A66,YEAR($B66)+1,$B66,180)</f>
        <v/>
      </c>
      <c r="J66">
        <f>[1]!s_west_instnum_np($A66,YEAR($B66)+1,$B66,180)</f>
        <v/>
      </c>
      <c r="K66">
        <f>[1]!s_west_stdnetprofit($A66,YEAR($B66)+1,$B66,180,1000000)</f>
        <v/>
      </c>
      <c r="L66">
        <f>[1]!s_west_mediannetprofit($A66,YEAR($B66)+1,$B66,180,1000000)</f>
        <v/>
      </c>
      <c r="M66">
        <f>[1]!s_dq_close($A66,$B66,3)</f>
        <v/>
      </c>
      <c r="N66">
        <f>[1]!s_dq_volume($A66,$B66)</f>
        <v/>
      </c>
      <c r="O66">
        <f>[1]!s_dq_amount($A66,$B66)</f>
        <v/>
      </c>
      <c r="P66">
        <f>[1]!s_dq_turn($A66,$B66)</f>
        <v/>
      </c>
      <c r="Q66">
        <f>[1]!s_val_pe_ttm($A66,$B66)</f>
        <v/>
      </c>
      <c r="R66">
        <f>[1]!S_VAL_MV($A66,$B66,100000000)</f>
        <v/>
      </c>
    </row>
    <row r="67">
      <c r="A67">
        <f>_meta!A66</f>
        <v/>
      </c>
      <c r="B67">
        <f>$B$1</f>
        <v/>
      </c>
      <c r="C67">
        <f>[1]!s_west_netprofit($A67,YEAR($B67),$B67,180,1000000)</f>
        <v/>
      </c>
      <c r="D67">
        <f>[1]!s_west_eps($A67,YEAR($B67),$B67,180)</f>
        <v/>
      </c>
      <c r="E67">
        <f>[1]!s_west_instnum_np($A67,YEAR($B67),$B67,180)</f>
        <v/>
      </c>
      <c r="F67">
        <f>[1]!s_west_stdnetprofit($A67,YEAR($B67),$B67,180,1000000)</f>
        <v/>
      </c>
      <c r="G67">
        <f>[1]!s_west_mediannetprofit($A67,YEAR($B67),$B67,180,1000000)</f>
        <v/>
      </c>
      <c r="H67">
        <f>[1]!s_west_netprofit($A67,YEAR($B67)+1,$B67,180,1000000)</f>
        <v/>
      </c>
      <c r="I67">
        <f>[1]!s_west_eps($A67,YEAR($B67)+1,$B67,180)</f>
        <v/>
      </c>
      <c r="J67">
        <f>[1]!s_west_instnum_np($A67,YEAR($B67)+1,$B67,180)</f>
        <v/>
      </c>
      <c r="K67">
        <f>[1]!s_west_stdnetprofit($A67,YEAR($B67)+1,$B67,180,1000000)</f>
        <v/>
      </c>
      <c r="L67">
        <f>[1]!s_west_mediannetprofit($A67,YEAR($B67)+1,$B67,180,1000000)</f>
        <v/>
      </c>
      <c r="M67">
        <f>[1]!s_dq_close($A67,$B67,3)</f>
        <v/>
      </c>
      <c r="N67">
        <f>[1]!s_dq_volume($A67,$B67)</f>
        <v/>
      </c>
      <c r="O67">
        <f>[1]!s_dq_amount($A67,$B67)</f>
        <v/>
      </c>
      <c r="P67">
        <f>[1]!s_dq_turn($A67,$B67)</f>
        <v/>
      </c>
      <c r="Q67">
        <f>[1]!s_val_pe_ttm($A67,$B67)</f>
        <v/>
      </c>
      <c r="R67">
        <f>[1]!S_VAL_MV($A67,$B67,100000000)</f>
        <v/>
      </c>
    </row>
    <row r="68">
      <c r="A68">
        <f>_meta!A67</f>
        <v/>
      </c>
      <c r="B68">
        <f>$B$1</f>
        <v/>
      </c>
      <c r="C68">
        <f>[1]!s_west_netprofit($A68,YEAR($B68),$B68,180,1000000)</f>
        <v/>
      </c>
      <c r="D68">
        <f>[1]!s_west_eps($A68,YEAR($B68),$B68,180)</f>
        <v/>
      </c>
      <c r="E68">
        <f>[1]!s_west_instnum_np($A68,YEAR($B68),$B68,180)</f>
        <v/>
      </c>
      <c r="F68">
        <f>[1]!s_west_stdnetprofit($A68,YEAR($B68),$B68,180,1000000)</f>
        <v/>
      </c>
      <c r="G68">
        <f>[1]!s_west_mediannetprofit($A68,YEAR($B68),$B68,180,1000000)</f>
        <v/>
      </c>
      <c r="H68">
        <f>[1]!s_west_netprofit($A68,YEAR($B68)+1,$B68,180,1000000)</f>
        <v/>
      </c>
      <c r="I68">
        <f>[1]!s_west_eps($A68,YEAR($B68)+1,$B68,180)</f>
        <v/>
      </c>
      <c r="J68">
        <f>[1]!s_west_instnum_np($A68,YEAR($B68)+1,$B68,180)</f>
        <v/>
      </c>
      <c r="K68">
        <f>[1]!s_west_stdnetprofit($A68,YEAR($B68)+1,$B68,180,1000000)</f>
        <v/>
      </c>
      <c r="L68">
        <f>[1]!s_west_mediannetprofit($A68,YEAR($B68)+1,$B68,180,1000000)</f>
        <v/>
      </c>
      <c r="M68">
        <f>[1]!s_dq_close($A68,$B68,3)</f>
        <v/>
      </c>
      <c r="N68">
        <f>[1]!s_dq_volume($A68,$B68)</f>
        <v/>
      </c>
      <c r="O68">
        <f>[1]!s_dq_amount($A68,$B68)</f>
        <v/>
      </c>
      <c r="P68">
        <f>[1]!s_dq_turn($A68,$B68)</f>
        <v/>
      </c>
      <c r="Q68">
        <f>[1]!s_val_pe_ttm($A68,$B68)</f>
        <v/>
      </c>
      <c r="R68">
        <f>[1]!S_VAL_MV($A68,$B68,100000000)</f>
        <v/>
      </c>
    </row>
    <row r="69">
      <c r="A69">
        <f>_meta!A68</f>
        <v/>
      </c>
      <c r="B69">
        <f>$B$1</f>
        <v/>
      </c>
      <c r="C69">
        <f>[1]!s_west_netprofit($A69,YEAR($B69),$B69,180,1000000)</f>
        <v/>
      </c>
      <c r="D69">
        <f>[1]!s_west_eps($A69,YEAR($B69),$B69,180)</f>
        <v/>
      </c>
      <c r="E69">
        <f>[1]!s_west_instnum_np($A69,YEAR($B69),$B69,180)</f>
        <v/>
      </c>
      <c r="F69">
        <f>[1]!s_west_stdnetprofit($A69,YEAR($B69),$B69,180,1000000)</f>
        <v/>
      </c>
      <c r="G69">
        <f>[1]!s_west_mediannetprofit($A69,YEAR($B69),$B69,180,1000000)</f>
        <v/>
      </c>
      <c r="H69">
        <f>[1]!s_west_netprofit($A69,YEAR($B69)+1,$B69,180,1000000)</f>
        <v/>
      </c>
      <c r="I69">
        <f>[1]!s_west_eps($A69,YEAR($B69)+1,$B69,180)</f>
        <v/>
      </c>
      <c r="J69">
        <f>[1]!s_west_instnum_np($A69,YEAR($B69)+1,$B69,180)</f>
        <v/>
      </c>
      <c r="K69">
        <f>[1]!s_west_stdnetprofit($A69,YEAR($B69)+1,$B69,180,1000000)</f>
        <v/>
      </c>
      <c r="L69">
        <f>[1]!s_west_mediannetprofit($A69,YEAR($B69)+1,$B69,180,1000000)</f>
        <v/>
      </c>
      <c r="M69">
        <f>[1]!s_dq_close($A69,$B69,3)</f>
        <v/>
      </c>
      <c r="N69">
        <f>[1]!s_dq_volume($A69,$B69)</f>
        <v/>
      </c>
      <c r="O69">
        <f>[1]!s_dq_amount($A69,$B69)</f>
        <v/>
      </c>
      <c r="P69">
        <f>[1]!s_dq_turn($A69,$B69)</f>
        <v/>
      </c>
      <c r="Q69">
        <f>[1]!s_val_pe_ttm($A69,$B69)</f>
        <v/>
      </c>
      <c r="R69">
        <f>[1]!S_VAL_MV($A69,$B69,100000000)</f>
        <v/>
      </c>
    </row>
    <row r="70">
      <c r="A70">
        <f>_meta!A69</f>
        <v/>
      </c>
      <c r="B70">
        <f>$B$1</f>
        <v/>
      </c>
      <c r="C70">
        <f>[1]!s_west_netprofit($A70,YEAR($B70),$B70,180,1000000)</f>
        <v/>
      </c>
      <c r="D70">
        <f>[1]!s_west_eps($A70,YEAR($B70),$B70,180)</f>
        <v/>
      </c>
      <c r="E70">
        <f>[1]!s_west_instnum_np($A70,YEAR($B70),$B70,180)</f>
        <v/>
      </c>
      <c r="F70">
        <f>[1]!s_west_stdnetprofit($A70,YEAR($B70),$B70,180,1000000)</f>
        <v/>
      </c>
      <c r="G70">
        <f>[1]!s_west_mediannetprofit($A70,YEAR($B70),$B70,180,1000000)</f>
        <v/>
      </c>
      <c r="H70">
        <f>[1]!s_west_netprofit($A70,YEAR($B70)+1,$B70,180,1000000)</f>
        <v/>
      </c>
      <c r="I70">
        <f>[1]!s_west_eps($A70,YEAR($B70)+1,$B70,180)</f>
        <v/>
      </c>
      <c r="J70">
        <f>[1]!s_west_instnum_np($A70,YEAR($B70)+1,$B70,180)</f>
        <v/>
      </c>
      <c r="K70">
        <f>[1]!s_west_stdnetprofit($A70,YEAR($B70)+1,$B70,180,1000000)</f>
        <v/>
      </c>
      <c r="L70">
        <f>[1]!s_west_mediannetprofit($A70,YEAR($B70)+1,$B70,180,1000000)</f>
        <v/>
      </c>
      <c r="M70">
        <f>[1]!s_dq_close($A70,$B70,3)</f>
        <v/>
      </c>
      <c r="N70">
        <f>[1]!s_dq_volume($A70,$B70)</f>
        <v/>
      </c>
      <c r="O70">
        <f>[1]!s_dq_amount($A70,$B70)</f>
        <v/>
      </c>
      <c r="P70">
        <f>[1]!s_dq_turn($A70,$B70)</f>
        <v/>
      </c>
      <c r="Q70">
        <f>[1]!s_val_pe_ttm($A70,$B70)</f>
        <v/>
      </c>
      <c r="R70">
        <f>[1]!S_VAL_MV($A70,$B70,100000000)</f>
        <v/>
      </c>
    </row>
    <row r="71">
      <c r="A71">
        <f>_meta!A70</f>
        <v/>
      </c>
      <c r="B71">
        <f>$B$1</f>
        <v/>
      </c>
      <c r="C71">
        <f>[1]!s_west_netprofit($A71,YEAR($B71),$B71,180,1000000)</f>
        <v/>
      </c>
      <c r="D71">
        <f>[1]!s_west_eps($A71,YEAR($B71),$B71,180)</f>
        <v/>
      </c>
      <c r="E71">
        <f>[1]!s_west_instnum_np($A71,YEAR($B71),$B71,180)</f>
        <v/>
      </c>
      <c r="F71">
        <f>[1]!s_west_stdnetprofit($A71,YEAR($B71),$B71,180,1000000)</f>
        <v/>
      </c>
      <c r="G71">
        <f>[1]!s_west_mediannetprofit($A71,YEAR($B71),$B71,180,1000000)</f>
        <v/>
      </c>
      <c r="H71">
        <f>[1]!s_west_netprofit($A71,YEAR($B71)+1,$B71,180,1000000)</f>
        <v/>
      </c>
      <c r="I71">
        <f>[1]!s_west_eps($A71,YEAR($B71)+1,$B71,180)</f>
        <v/>
      </c>
      <c r="J71">
        <f>[1]!s_west_instnum_np($A71,YEAR($B71)+1,$B71,180)</f>
        <v/>
      </c>
      <c r="K71">
        <f>[1]!s_west_stdnetprofit($A71,YEAR($B71)+1,$B71,180,1000000)</f>
        <v/>
      </c>
      <c r="L71">
        <f>[1]!s_west_mediannetprofit($A71,YEAR($B71)+1,$B71,180,1000000)</f>
        <v/>
      </c>
      <c r="M71">
        <f>[1]!s_dq_close($A71,$B71,3)</f>
        <v/>
      </c>
      <c r="N71">
        <f>[1]!s_dq_volume($A71,$B71)</f>
        <v/>
      </c>
      <c r="O71">
        <f>[1]!s_dq_amount($A71,$B71)</f>
        <v/>
      </c>
      <c r="P71">
        <f>[1]!s_dq_turn($A71,$B71)</f>
        <v/>
      </c>
      <c r="Q71">
        <f>[1]!s_val_pe_ttm($A71,$B71)</f>
        <v/>
      </c>
      <c r="R71">
        <f>[1]!S_VAL_MV($A71,$B71,100000000)</f>
        <v/>
      </c>
    </row>
    <row r="72">
      <c r="A72">
        <f>_meta!A71</f>
        <v/>
      </c>
      <c r="B72">
        <f>$B$1</f>
        <v/>
      </c>
      <c r="C72">
        <f>[1]!s_west_netprofit($A72,YEAR($B72),$B72,180,1000000)</f>
        <v/>
      </c>
      <c r="D72">
        <f>[1]!s_west_eps($A72,YEAR($B72),$B72,180)</f>
        <v/>
      </c>
      <c r="E72">
        <f>[1]!s_west_instnum_np($A72,YEAR($B72),$B72,180)</f>
        <v/>
      </c>
      <c r="F72">
        <f>[1]!s_west_stdnetprofit($A72,YEAR($B72),$B72,180,1000000)</f>
        <v/>
      </c>
      <c r="G72">
        <f>[1]!s_west_mediannetprofit($A72,YEAR($B72),$B72,180,1000000)</f>
        <v/>
      </c>
      <c r="H72">
        <f>[1]!s_west_netprofit($A72,YEAR($B72)+1,$B72,180,1000000)</f>
        <v/>
      </c>
      <c r="I72">
        <f>[1]!s_west_eps($A72,YEAR($B72)+1,$B72,180)</f>
        <v/>
      </c>
      <c r="J72">
        <f>[1]!s_west_instnum_np($A72,YEAR($B72)+1,$B72,180)</f>
        <v/>
      </c>
      <c r="K72">
        <f>[1]!s_west_stdnetprofit($A72,YEAR($B72)+1,$B72,180,1000000)</f>
        <v/>
      </c>
      <c r="L72">
        <f>[1]!s_west_mediannetprofit($A72,YEAR($B72)+1,$B72,180,1000000)</f>
        <v/>
      </c>
      <c r="M72">
        <f>[1]!s_dq_close($A72,$B72,3)</f>
        <v/>
      </c>
      <c r="N72">
        <f>[1]!s_dq_volume($A72,$B72)</f>
        <v/>
      </c>
      <c r="O72">
        <f>[1]!s_dq_amount($A72,$B72)</f>
        <v/>
      </c>
      <c r="P72">
        <f>[1]!s_dq_turn($A72,$B72)</f>
        <v/>
      </c>
      <c r="Q72">
        <f>[1]!s_val_pe_ttm($A72,$B72)</f>
        <v/>
      </c>
      <c r="R72">
        <f>[1]!S_VAL_MV($A72,$B72,100000000)</f>
        <v/>
      </c>
    </row>
    <row r="73">
      <c r="A73">
        <f>_meta!A72</f>
        <v/>
      </c>
      <c r="B73">
        <f>$B$1</f>
        <v/>
      </c>
      <c r="C73">
        <f>[1]!s_west_netprofit($A73,YEAR($B73),$B73,180,1000000)</f>
        <v/>
      </c>
      <c r="D73">
        <f>[1]!s_west_eps($A73,YEAR($B73),$B73,180)</f>
        <v/>
      </c>
      <c r="E73">
        <f>[1]!s_west_instnum_np($A73,YEAR($B73),$B73,180)</f>
        <v/>
      </c>
      <c r="F73">
        <f>[1]!s_west_stdnetprofit($A73,YEAR($B73),$B73,180,1000000)</f>
        <v/>
      </c>
      <c r="G73">
        <f>[1]!s_west_mediannetprofit($A73,YEAR($B73),$B73,180,1000000)</f>
        <v/>
      </c>
      <c r="H73">
        <f>[1]!s_west_netprofit($A73,YEAR($B73)+1,$B73,180,1000000)</f>
        <v/>
      </c>
      <c r="I73">
        <f>[1]!s_west_eps($A73,YEAR($B73)+1,$B73,180)</f>
        <v/>
      </c>
      <c r="J73">
        <f>[1]!s_west_instnum_np($A73,YEAR($B73)+1,$B73,180)</f>
        <v/>
      </c>
      <c r="K73">
        <f>[1]!s_west_stdnetprofit($A73,YEAR($B73)+1,$B73,180,1000000)</f>
        <v/>
      </c>
      <c r="L73">
        <f>[1]!s_west_mediannetprofit($A73,YEAR($B73)+1,$B73,180,1000000)</f>
        <v/>
      </c>
      <c r="M73">
        <f>[1]!s_dq_close($A73,$B73,3)</f>
        <v/>
      </c>
      <c r="N73">
        <f>[1]!s_dq_volume($A73,$B73)</f>
        <v/>
      </c>
      <c r="O73">
        <f>[1]!s_dq_amount($A73,$B73)</f>
        <v/>
      </c>
      <c r="P73">
        <f>[1]!s_dq_turn($A73,$B73)</f>
        <v/>
      </c>
      <c r="Q73">
        <f>[1]!s_val_pe_ttm($A73,$B73)</f>
        <v/>
      </c>
      <c r="R73">
        <f>[1]!S_VAL_MV($A73,$B73,100000000)</f>
        <v/>
      </c>
    </row>
    <row r="74">
      <c r="A74">
        <f>_meta!A73</f>
        <v/>
      </c>
      <c r="B74">
        <f>$B$1</f>
        <v/>
      </c>
      <c r="C74">
        <f>[1]!s_west_netprofit($A74,YEAR($B74),$B74,180,1000000)</f>
        <v/>
      </c>
      <c r="D74">
        <f>[1]!s_west_eps($A74,YEAR($B74),$B74,180)</f>
        <v/>
      </c>
      <c r="E74">
        <f>[1]!s_west_instnum_np($A74,YEAR($B74),$B74,180)</f>
        <v/>
      </c>
      <c r="F74">
        <f>[1]!s_west_stdnetprofit($A74,YEAR($B74),$B74,180,1000000)</f>
        <v/>
      </c>
      <c r="G74">
        <f>[1]!s_west_mediannetprofit($A74,YEAR($B74),$B74,180,1000000)</f>
        <v/>
      </c>
      <c r="H74">
        <f>[1]!s_west_netprofit($A74,YEAR($B74)+1,$B74,180,1000000)</f>
        <v/>
      </c>
      <c r="I74">
        <f>[1]!s_west_eps($A74,YEAR($B74)+1,$B74,180)</f>
        <v/>
      </c>
      <c r="J74">
        <f>[1]!s_west_instnum_np($A74,YEAR($B74)+1,$B74,180)</f>
        <v/>
      </c>
      <c r="K74">
        <f>[1]!s_west_stdnetprofit($A74,YEAR($B74)+1,$B74,180,1000000)</f>
        <v/>
      </c>
      <c r="L74">
        <f>[1]!s_west_mediannetprofit($A74,YEAR($B74)+1,$B74,180,1000000)</f>
        <v/>
      </c>
      <c r="M74">
        <f>[1]!s_dq_close($A74,$B74,3)</f>
        <v/>
      </c>
      <c r="N74">
        <f>[1]!s_dq_volume($A74,$B74)</f>
        <v/>
      </c>
      <c r="O74">
        <f>[1]!s_dq_amount($A74,$B74)</f>
        <v/>
      </c>
      <c r="P74">
        <f>[1]!s_dq_turn($A74,$B74)</f>
        <v/>
      </c>
      <c r="Q74">
        <f>[1]!s_val_pe_ttm($A74,$B74)</f>
        <v/>
      </c>
      <c r="R74">
        <f>[1]!S_VAL_MV($A74,$B74,100000000)</f>
        <v/>
      </c>
    </row>
    <row r="75">
      <c r="A75">
        <f>_meta!A74</f>
        <v/>
      </c>
      <c r="B75">
        <f>$B$1</f>
        <v/>
      </c>
      <c r="C75">
        <f>[1]!s_west_netprofit($A75,YEAR($B75),$B75,180,1000000)</f>
        <v/>
      </c>
      <c r="D75">
        <f>[1]!s_west_eps($A75,YEAR($B75),$B75,180)</f>
        <v/>
      </c>
      <c r="E75">
        <f>[1]!s_west_instnum_np($A75,YEAR($B75),$B75,180)</f>
        <v/>
      </c>
      <c r="F75">
        <f>[1]!s_west_stdnetprofit($A75,YEAR($B75),$B75,180,1000000)</f>
        <v/>
      </c>
      <c r="G75">
        <f>[1]!s_west_mediannetprofit($A75,YEAR($B75),$B75,180,1000000)</f>
        <v/>
      </c>
      <c r="H75">
        <f>[1]!s_west_netprofit($A75,YEAR($B75)+1,$B75,180,1000000)</f>
        <v/>
      </c>
      <c r="I75">
        <f>[1]!s_west_eps($A75,YEAR($B75)+1,$B75,180)</f>
        <v/>
      </c>
      <c r="J75">
        <f>[1]!s_west_instnum_np($A75,YEAR($B75)+1,$B75,180)</f>
        <v/>
      </c>
      <c r="K75">
        <f>[1]!s_west_stdnetprofit($A75,YEAR($B75)+1,$B75,180,1000000)</f>
        <v/>
      </c>
      <c r="L75">
        <f>[1]!s_west_mediannetprofit($A75,YEAR($B75)+1,$B75,180,1000000)</f>
        <v/>
      </c>
      <c r="M75">
        <f>[1]!s_dq_close($A75,$B75,3)</f>
        <v/>
      </c>
      <c r="N75">
        <f>[1]!s_dq_volume($A75,$B75)</f>
        <v/>
      </c>
      <c r="O75">
        <f>[1]!s_dq_amount($A75,$B75)</f>
        <v/>
      </c>
      <c r="P75">
        <f>[1]!s_dq_turn($A75,$B75)</f>
        <v/>
      </c>
      <c r="Q75">
        <f>[1]!s_val_pe_ttm($A75,$B75)</f>
        <v/>
      </c>
      <c r="R75">
        <f>[1]!S_VAL_MV($A75,$B75,100000000)</f>
        <v/>
      </c>
    </row>
    <row r="76">
      <c r="A76">
        <f>_meta!A75</f>
        <v/>
      </c>
      <c r="B76">
        <f>$B$1</f>
        <v/>
      </c>
      <c r="C76">
        <f>[1]!s_west_netprofit($A76,YEAR($B76),$B76,180,1000000)</f>
        <v/>
      </c>
      <c r="D76">
        <f>[1]!s_west_eps($A76,YEAR($B76),$B76,180)</f>
        <v/>
      </c>
      <c r="E76">
        <f>[1]!s_west_instnum_np($A76,YEAR($B76),$B76,180)</f>
        <v/>
      </c>
      <c r="F76">
        <f>[1]!s_west_stdnetprofit($A76,YEAR($B76),$B76,180,1000000)</f>
        <v/>
      </c>
      <c r="G76">
        <f>[1]!s_west_mediannetprofit($A76,YEAR($B76),$B76,180,1000000)</f>
        <v/>
      </c>
      <c r="H76">
        <f>[1]!s_west_netprofit($A76,YEAR($B76)+1,$B76,180,1000000)</f>
        <v/>
      </c>
      <c r="I76">
        <f>[1]!s_west_eps($A76,YEAR($B76)+1,$B76,180)</f>
        <v/>
      </c>
      <c r="J76">
        <f>[1]!s_west_instnum_np($A76,YEAR($B76)+1,$B76,180)</f>
        <v/>
      </c>
      <c r="K76">
        <f>[1]!s_west_stdnetprofit($A76,YEAR($B76)+1,$B76,180,1000000)</f>
        <v/>
      </c>
      <c r="L76">
        <f>[1]!s_west_mediannetprofit($A76,YEAR($B76)+1,$B76,180,1000000)</f>
        <v/>
      </c>
      <c r="M76">
        <f>[1]!s_dq_close($A76,$B76,3)</f>
        <v/>
      </c>
      <c r="N76">
        <f>[1]!s_dq_volume($A76,$B76)</f>
        <v/>
      </c>
      <c r="O76">
        <f>[1]!s_dq_amount($A76,$B76)</f>
        <v/>
      </c>
      <c r="P76">
        <f>[1]!s_dq_turn($A76,$B76)</f>
        <v/>
      </c>
      <c r="Q76">
        <f>[1]!s_val_pe_ttm($A76,$B76)</f>
        <v/>
      </c>
      <c r="R76">
        <f>[1]!S_VAL_MV($A76,$B76,100000000)</f>
        <v/>
      </c>
    </row>
    <row r="77">
      <c r="A77">
        <f>_meta!A76</f>
        <v/>
      </c>
      <c r="B77">
        <f>$B$1</f>
        <v/>
      </c>
      <c r="C77">
        <f>[1]!s_west_netprofit($A77,YEAR($B77),$B77,180,1000000)</f>
        <v/>
      </c>
      <c r="D77">
        <f>[1]!s_west_eps($A77,YEAR($B77),$B77,180)</f>
        <v/>
      </c>
      <c r="E77">
        <f>[1]!s_west_instnum_np($A77,YEAR($B77),$B77,180)</f>
        <v/>
      </c>
      <c r="F77">
        <f>[1]!s_west_stdnetprofit($A77,YEAR($B77),$B77,180,1000000)</f>
        <v/>
      </c>
      <c r="G77">
        <f>[1]!s_west_mediannetprofit($A77,YEAR($B77),$B77,180,1000000)</f>
        <v/>
      </c>
      <c r="H77">
        <f>[1]!s_west_netprofit($A77,YEAR($B77)+1,$B77,180,1000000)</f>
        <v/>
      </c>
      <c r="I77">
        <f>[1]!s_west_eps($A77,YEAR($B77)+1,$B77,180)</f>
        <v/>
      </c>
      <c r="J77">
        <f>[1]!s_west_instnum_np($A77,YEAR($B77)+1,$B77,180)</f>
        <v/>
      </c>
      <c r="K77">
        <f>[1]!s_west_stdnetprofit($A77,YEAR($B77)+1,$B77,180,1000000)</f>
        <v/>
      </c>
      <c r="L77">
        <f>[1]!s_west_mediannetprofit($A77,YEAR($B77)+1,$B77,180,1000000)</f>
        <v/>
      </c>
      <c r="M77">
        <f>[1]!s_dq_close($A77,$B77,3)</f>
        <v/>
      </c>
      <c r="N77">
        <f>[1]!s_dq_volume($A77,$B77)</f>
        <v/>
      </c>
      <c r="O77">
        <f>[1]!s_dq_amount($A77,$B77)</f>
        <v/>
      </c>
      <c r="P77">
        <f>[1]!s_dq_turn($A77,$B77)</f>
        <v/>
      </c>
      <c r="Q77">
        <f>[1]!s_val_pe_ttm($A77,$B77)</f>
        <v/>
      </c>
      <c r="R77">
        <f>[1]!S_VAL_MV($A77,$B77,100000000)</f>
        <v/>
      </c>
    </row>
    <row r="78">
      <c r="A78">
        <f>_meta!A77</f>
        <v/>
      </c>
      <c r="B78">
        <f>$B$1</f>
        <v/>
      </c>
      <c r="C78">
        <f>[1]!s_west_netprofit($A78,YEAR($B78),$B78,180,1000000)</f>
        <v/>
      </c>
      <c r="D78">
        <f>[1]!s_west_eps($A78,YEAR($B78),$B78,180)</f>
        <v/>
      </c>
      <c r="E78">
        <f>[1]!s_west_instnum_np($A78,YEAR($B78),$B78,180)</f>
        <v/>
      </c>
      <c r="F78">
        <f>[1]!s_west_stdnetprofit($A78,YEAR($B78),$B78,180,1000000)</f>
        <v/>
      </c>
      <c r="G78">
        <f>[1]!s_west_mediannetprofit($A78,YEAR($B78),$B78,180,1000000)</f>
        <v/>
      </c>
      <c r="H78">
        <f>[1]!s_west_netprofit($A78,YEAR($B78)+1,$B78,180,1000000)</f>
        <v/>
      </c>
      <c r="I78">
        <f>[1]!s_west_eps($A78,YEAR($B78)+1,$B78,180)</f>
        <v/>
      </c>
      <c r="J78">
        <f>[1]!s_west_instnum_np($A78,YEAR($B78)+1,$B78,180)</f>
        <v/>
      </c>
      <c r="K78">
        <f>[1]!s_west_stdnetprofit($A78,YEAR($B78)+1,$B78,180,1000000)</f>
        <v/>
      </c>
      <c r="L78">
        <f>[1]!s_west_mediannetprofit($A78,YEAR($B78)+1,$B78,180,1000000)</f>
        <v/>
      </c>
      <c r="M78">
        <f>[1]!s_dq_close($A78,$B78,3)</f>
        <v/>
      </c>
      <c r="N78">
        <f>[1]!s_dq_volume($A78,$B78)</f>
        <v/>
      </c>
      <c r="O78">
        <f>[1]!s_dq_amount($A78,$B78)</f>
        <v/>
      </c>
      <c r="P78">
        <f>[1]!s_dq_turn($A78,$B78)</f>
        <v/>
      </c>
      <c r="Q78">
        <f>[1]!s_val_pe_ttm($A78,$B78)</f>
        <v/>
      </c>
      <c r="R78">
        <f>[1]!S_VAL_MV($A78,$B78,100000000)</f>
        <v/>
      </c>
    </row>
    <row r="79">
      <c r="A79">
        <f>_meta!A78</f>
        <v/>
      </c>
      <c r="B79">
        <f>$B$1</f>
        <v/>
      </c>
      <c r="C79">
        <f>[1]!s_west_netprofit($A79,YEAR($B79),$B79,180,1000000)</f>
        <v/>
      </c>
      <c r="D79">
        <f>[1]!s_west_eps($A79,YEAR($B79),$B79,180)</f>
        <v/>
      </c>
      <c r="E79">
        <f>[1]!s_west_instnum_np($A79,YEAR($B79),$B79,180)</f>
        <v/>
      </c>
      <c r="F79">
        <f>[1]!s_west_stdnetprofit($A79,YEAR($B79),$B79,180,1000000)</f>
        <v/>
      </c>
      <c r="G79">
        <f>[1]!s_west_mediannetprofit($A79,YEAR($B79),$B79,180,1000000)</f>
        <v/>
      </c>
      <c r="H79">
        <f>[1]!s_west_netprofit($A79,YEAR($B79)+1,$B79,180,1000000)</f>
        <v/>
      </c>
      <c r="I79">
        <f>[1]!s_west_eps($A79,YEAR($B79)+1,$B79,180)</f>
        <v/>
      </c>
      <c r="J79">
        <f>[1]!s_west_instnum_np($A79,YEAR($B79)+1,$B79,180)</f>
        <v/>
      </c>
      <c r="K79">
        <f>[1]!s_west_stdnetprofit($A79,YEAR($B79)+1,$B79,180,1000000)</f>
        <v/>
      </c>
      <c r="L79">
        <f>[1]!s_west_mediannetprofit($A79,YEAR($B79)+1,$B79,180,1000000)</f>
        <v/>
      </c>
      <c r="M79">
        <f>[1]!s_dq_close($A79,$B79,3)</f>
        <v/>
      </c>
      <c r="N79">
        <f>[1]!s_dq_volume($A79,$B79)</f>
        <v/>
      </c>
      <c r="O79">
        <f>[1]!s_dq_amount($A79,$B79)</f>
        <v/>
      </c>
      <c r="P79">
        <f>[1]!s_dq_turn($A79,$B79)</f>
        <v/>
      </c>
      <c r="Q79">
        <f>[1]!s_val_pe_ttm($A79,$B79)</f>
        <v/>
      </c>
      <c r="R79">
        <f>[1]!S_VAL_MV($A79,$B79,100000000)</f>
        <v/>
      </c>
    </row>
    <row r="80">
      <c r="A80">
        <f>_meta!A79</f>
        <v/>
      </c>
      <c r="B80">
        <f>$B$1</f>
        <v/>
      </c>
      <c r="C80">
        <f>[1]!s_west_netprofit($A80,YEAR($B80),$B80,180,1000000)</f>
        <v/>
      </c>
      <c r="D80">
        <f>[1]!s_west_eps($A80,YEAR($B80),$B80,180)</f>
        <v/>
      </c>
      <c r="E80">
        <f>[1]!s_west_instnum_np($A80,YEAR($B80),$B80,180)</f>
        <v/>
      </c>
      <c r="F80">
        <f>[1]!s_west_stdnetprofit($A80,YEAR($B80),$B80,180,1000000)</f>
        <v/>
      </c>
      <c r="G80">
        <f>[1]!s_west_mediannetprofit($A80,YEAR($B80),$B80,180,1000000)</f>
        <v/>
      </c>
      <c r="H80">
        <f>[1]!s_west_netprofit($A80,YEAR($B80)+1,$B80,180,1000000)</f>
        <v/>
      </c>
      <c r="I80">
        <f>[1]!s_west_eps($A80,YEAR($B80)+1,$B80,180)</f>
        <v/>
      </c>
      <c r="J80">
        <f>[1]!s_west_instnum_np($A80,YEAR($B80)+1,$B80,180)</f>
        <v/>
      </c>
      <c r="K80">
        <f>[1]!s_west_stdnetprofit($A80,YEAR($B80)+1,$B80,180,1000000)</f>
        <v/>
      </c>
      <c r="L80">
        <f>[1]!s_west_mediannetprofit($A80,YEAR($B80)+1,$B80,180,1000000)</f>
        <v/>
      </c>
      <c r="M80">
        <f>[1]!s_dq_close($A80,$B80,3)</f>
        <v/>
      </c>
      <c r="N80">
        <f>[1]!s_dq_volume($A80,$B80)</f>
        <v/>
      </c>
      <c r="O80">
        <f>[1]!s_dq_amount($A80,$B80)</f>
        <v/>
      </c>
      <c r="P80">
        <f>[1]!s_dq_turn($A80,$B80)</f>
        <v/>
      </c>
      <c r="Q80">
        <f>[1]!s_val_pe_ttm($A80,$B80)</f>
        <v/>
      </c>
      <c r="R80">
        <f>[1]!S_VAL_MV($A80,$B80,100000000)</f>
        <v/>
      </c>
    </row>
    <row r="81">
      <c r="A81">
        <f>_meta!A80</f>
        <v/>
      </c>
      <c r="B81">
        <f>$B$1</f>
        <v/>
      </c>
      <c r="C81">
        <f>[1]!s_west_netprofit($A81,YEAR($B81),$B81,180,1000000)</f>
        <v/>
      </c>
      <c r="D81">
        <f>[1]!s_west_eps($A81,YEAR($B81),$B81,180)</f>
        <v/>
      </c>
      <c r="E81">
        <f>[1]!s_west_instnum_np($A81,YEAR($B81),$B81,180)</f>
        <v/>
      </c>
      <c r="F81">
        <f>[1]!s_west_stdnetprofit($A81,YEAR($B81),$B81,180,1000000)</f>
        <v/>
      </c>
      <c r="G81">
        <f>[1]!s_west_mediannetprofit($A81,YEAR($B81),$B81,180,1000000)</f>
        <v/>
      </c>
      <c r="H81">
        <f>[1]!s_west_netprofit($A81,YEAR($B81)+1,$B81,180,1000000)</f>
        <v/>
      </c>
      <c r="I81">
        <f>[1]!s_west_eps($A81,YEAR($B81)+1,$B81,180)</f>
        <v/>
      </c>
      <c r="J81">
        <f>[1]!s_west_instnum_np($A81,YEAR($B81)+1,$B81,180)</f>
        <v/>
      </c>
      <c r="K81">
        <f>[1]!s_west_stdnetprofit($A81,YEAR($B81)+1,$B81,180,1000000)</f>
        <v/>
      </c>
      <c r="L81">
        <f>[1]!s_west_mediannetprofit($A81,YEAR($B81)+1,$B81,180,1000000)</f>
        <v/>
      </c>
      <c r="M81">
        <f>[1]!s_dq_close($A81,$B81,3)</f>
        <v/>
      </c>
      <c r="N81">
        <f>[1]!s_dq_volume($A81,$B81)</f>
        <v/>
      </c>
      <c r="O81">
        <f>[1]!s_dq_amount($A81,$B81)</f>
        <v/>
      </c>
      <c r="P81">
        <f>[1]!s_dq_turn($A81,$B81)</f>
        <v/>
      </c>
      <c r="Q81">
        <f>[1]!s_val_pe_ttm($A81,$B81)</f>
        <v/>
      </c>
      <c r="R81">
        <f>[1]!S_VAL_MV($A81,$B81,100000000)</f>
        <v/>
      </c>
    </row>
    <row r="82">
      <c r="A82">
        <f>_meta!A81</f>
        <v/>
      </c>
      <c r="B82">
        <f>$B$1</f>
        <v/>
      </c>
      <c r="C82">
        <f>[1]!s_west_netprofit($A82,YEAR($B82),$B82,180,1000000)</f>
        <v/>
      </c>
      <c r="D82">
        <f>[1]!s_west_eps($A82,YEAR($B82),$B82,180)</f>
        <v/>
      </c>
      <c r="E82">
        <f>[1]!s_west_instnum_np($A82,YEAR($B82),$B82,180)</f>
        <v/>
      </c>
      <c r="F82">
        <f>[1]!s_west_stdnetprofit($A82,YEAR($B82),$B82,180,1000000)</f>
        <v/>
      </c>
      <c r="G82">
        <f>[1]!s_west_mediannetprofit($A82,YEAR($B82),$B82,180,1000000)</f>
        <v/>
      </c>
      <c r="H82">
        <f>[1]!s_west_netprofit($A82,YEAR($B82)+1,$B82,180,1000000)</f>
        <v/>
      </c>
      <c r="I82">
        <f>[1]!s_west_eps($A82,YEAR($B82)+1,$B82,180)</f>
        <v/>
      </c>
      <c r="J82">
        <f>[1]!s_west_instnum_np($A82,YEAR($B82)+1,$B82,180)</f>
        <v/>
      </c>
      <c r="K82">
        <f>[1]!s_west_stdnetprofit($A82,YEAR($B82)+1,$B82,180,1000000)</f>
        <v/>
      </c>
      <c r="L82">
        <f>[1]!s_west_mediannetprofit($A82,YEAR($B82)+1,$B82,180,1000000)</f>
        <v/>
      </c>
      <c r="M82">
        <f>[1]!s_dq_close($A82,$B82,3)</f>
        <v/>
      </c>
      <c r="N82">
        <f>[1]!s_dq_volume($A82,$B82)</f>
        <v/>
      </c>
      <c r="O82">
        <f>[1]!s_dq_amount($A82,$B82)</f>
        <v/>
      </c>
      <c r="P82">
        <f>[1]!s_dq_turn($A82,$B82)</f>
        <v/>
      </c>
      <c r="Q82">
        <f>[1]!s_val_pe_ttm($A82,$B82)</f>
        <v/>
      </c>
      <c r="R82">
        <f>[1]!S_VAL_MV($A82,$B82,100000000)</f>
        <v/>
      </c>
    </row>
    <row r="83">
      <c r="A83">
        <f>_meta!A82</f>
        <v/>
      </c>
      <c r="B83">
        <f>$B$1</f>
        <v/>
      </c>
      <c r="C83">
        <f>[1]!s_west_netprofit($A83,YEAR($B83),$B83,180,1000000)</f>
        <v/>
      </c>
      <c r="D83">
        <f>[1]!s_west_eps($A83,YEAR($B83),$B83,180)</f>
        <v/>
      </c>
      <c r="E83">
        <f>[1]!s_west_instnum_np($A83,YEAR($B83),$B83,180)</f>
        <v/>
      </c>
      <c r="F83">
        <f>[1]!s_west_stdnetprofit($A83,YEAR($B83),$B83,180,1000000)</f>
        <v/>
      </c>
      <c r="G83">
        <f>[1]!s_west_mediannetprofit($A83,YEAR($B83),$B83,180,1000000)</f>
        <v/>
      </c>
      <c r="H83">
        <f>[1]!s_west_netprofit($A83,YEAR($B83)+1,$B83,180,1000000)</f>
        <v/>
      </c>
      <c r="I83">
        <f>[1]!s_west_eps($A83,YEAR($B83)+1,$B83,180)</f>
        <v/>
      </c>
      <c r="J83">
        <f>[1]!s_west_instnum_np($A83,YEAR($B83)+1,$B83,180)</f>
        <v/>
      </c>
      <c r="K83">
        <f>[1]!s_west_stdnetprofit($A83,YEAR($B83)+1,$B83,180,1000000)</f>
        <v/>
      </c>
      <c r="L83">
        <f>[1]!s_west_mediannetprofit($A83,YEAR($B83)+1,$B83,180,1000000)</f>
        <v/>
      </c>
      <c r="M83">
        <f>[1]!s_dq_close($A83,$B83,3)</f>
        <v/>
      </c>
      <c r="N83">
        <f>[1]!s_dq_volume($A83,$B83)</f>
        <v/>
      </c>
      <c r="O83">
        <f>[1]!s_dq_amount($A83,$B83)</f>
        <v/>
      </c>
      <c r="P83">
        <f>[1]!s_dq_turn($A83,$B83)</f>
        <v/>
      </c>
      <c r="Q83">
        <f>[1]!s_val_pe_ttm($A83,$B83)</f>
        <v/>
      </c>
      <c r="R83">
        <f>[1]!S_VAL_MV($A83,$B83,100000000)</f>
        <v/>
      </c>
    </row>
    <row r="84">
      <c r="A84">
        <f>_meta!A83</f>
        <v/>
      </c>
      <c r="B84">
        <f>$B$1</f>
        <v/>
      </c>
      <c r="C84">
        <f>[1]!s_west_netprofit($A84,YEAR($B84),$B84,180,1000000)</f>
        <v/>
      </c>
      <c r="D84">
        <f>[1]!s_west_eps($A84,YEAR($B84),$B84,180)</f>
        <v/>
      </c>
      <c r="E84">
        <f>[1]!s_west_instnum_np($A84,YEAR($B84),$B84,180)</f>
        <v/>
      </c>
      <c r="F84">
        <f>[1]!s_west_stdnetprofit($A84,YEAR($B84),$B84,180,1000000)</f>
        <v/>
      </c>
      <c r="G84">
        <f>[1]!s_west_mediannetprofit($A84,YEAR($B84),$B84,180,1000000)</f>
        <v/>
      </c>
      <c r="H84">
        <f>[1]!s_west_netprofit($A84,YEAR($B84)+1,$B84,180,1000000)</f>
        <v/>
      </c>
      <c r="I84">
        <f>[1]!s_west_eps($A84,YEAR($B84)+1,$B84,180)</f>
        <v/>
      </c>
      <c r="J84">
        <f>[1]!s_west_instnum_np($A84,YEAR($B84)+1,$B84,180)</f>
        <v/>
      </c>
      <c r="K84">
        <f>[1]!s_west_stdnetprofit($A84,YEAR($B84)+1,$B84,180,1000000)</f>
        <v/>
      </c>
      <c r="L84">
        <f>[1]!s_west_mediannetprofit($A84,YEAR($B84)+1,$B84,180,1000000)</f>
        <v/>
      </c>
      <c r="M84">
        <f>[1]!s_dq_close($A84,$B84,3)</f>
        <v/>
      </c>
      <c r="N84">
        <f>[1]!s_dq_volume($A84,$B84)</f>
        <v/>
      </c>
      <c r="O84">
        <f>[1]!s_dq_amount($A84,$B84)</f>
        <v/>
      </c>
      <c r="P84">
        <f>[1]!s_dq_turn($A84,$B84)</f>
        <v/>
      </c>
      <c r="Q84">
        <f>[1]!s_val_pe_ttm($A84,$B84)</f>
        <v/>
      </c>
      <c r="R84">
        <f>[1]!S_VAL_MV($A84,$B84,100000000)</f>
        <v/>
      </c>
    </row>
    <row r="85">
      <c r="A85">
        <f>_meta!A84</f>
        <v/>
      </c>
      <c r="B85">
        <f>$B$1</f>
        <v/>
      </c>
      <c r="C85">
        <f>[1]!s_west_netprofit($A85,YEAR($B85),$B85,180,1000000)</f>
        <v/>
      </c>
      <c r="D85">
        <f>[1]!s_west_eps($A85,YEAR($B85),$B85,180)</f>
        <v/>
      </c>
      <c r="E85">
        <f>[1]!s_west_instnum_np($A85,YEAR($B85),$B85,180)</f>
        <v/>
      </c>
      <c r="F85">
        <f>[1]!s_west_stdnetprofit($A85,YEAR($B85),$B85,180,1000000)</f>
        <v/>
      </c>
      <c r="G85">
        <f>[1]!s_west_mediannetprofit($A85,YEAR($B85),$B85,180,1000000)</f>
        <v/>
      </c>
      <c r="H85">
        <f>[1]!s_west_netprofit($A85,YEAR($B85)+1,$B85,180,1000000)</f>
        <v/>
      </c>
      <c r="I85">
        <f>[1]!s_west_eps($A85,YEAR($B85)+1,$B85,180)</f>
        <v/>
      </c>
      <c r="J85">
        <f>[1]!s_west_instnum_np($A85,YEAR($B85)+1,$B85,180)</f>
        <v/>
      </c>
      <c r="K85">
        <f>[1]!s_west_stdnetprofit($A85,YEAR($B85)+1,$B85,180,1000000)</f>
        <v/>
      </c>
      <c r="L85">
        <f>[1]!s_west_mediannetprofit($A85,YEAR($B85)+1,$B85,180,1000000)</f>
        <v/>
      </c>
      <c r="M85">
        <f>[1]!s_dq_close($A85,$B85,3)</f>
        <v/>
      </c>
      <c r="N85">
        <f>[1]!s_dq_volume($A85,$B85)</f>
        <v/>
      </c>
      <c r="O85">
        <f>[1]!s_dq_amount($A85,$B85)</f>
        <v/>
      </c>
      <c r="P85">
        <f>[1]!s_dq_turn($A85,$B85)</f>
        <v/>
      </c>
      <c r="Q85">
        <f>[1]!s_val_pe_ttm($A85,$B85)</f>
        <v/>
      </c>
      <c r="R85">
        <f>[1]!S_VAL_MV($A85,$B85,100000000)</f>
        <v/>
      </c>
    </row>
    <row r="86">
      <c r="A86">
        <f>_meta!A85</f>
        <v/>
      </c>
      <c r="B86">
        <f>$B$1</f>
        <v/>
      </c>
      <c r="C86">
        <f>[1]!s_west_netprofit($A86,YEAR($B86),$B86,180,1000000)</f>
        <v/>
      </c>
      <c r="D86">
        <f>[1]!s_west_eps($A86,YEAR($B86),$B86,180)</f>
        <v/>
      </c>
      <c r="E86">
        <f>[1]!s_west_instnum_np($A86,YEAR($B86),$B86,180)</f>
        <v/>
      </c>
      <c r="F86">
        <f>[1]!s_west_stdnetprofit($A86,YEAR($B86),$B86,180,1000000)</f>
        <v/>
      </c>
      <c r="G86">
        <f>[1]!s_west_mediannetprofit($A86,YEAR($B86),$B86,180,1000000)</f>
        <v/>
      </c>
      <c r="H86">
        <f>[1]!s_west_netprofit($A86,YEAR($B86)+1,$B86,180,1000000)</f>
        <v/>
      </c>
      <c r="I86">
        <f>[1]!s_west_eps($A86,YEAR($B86)+1,$B86,180)</f>
        <v/>
      </c>
      <c r="J86">
        <f>[1]!s_west_instnum_np($A86,YEAR($B86)+1,$B86,180)</f>
        <v/>
      </c>
      <c r="K86">
        <f>[1]!s_west_stdnetprofit($A86,YEAR($B86)+1,$B86,180,1000000)</f>
        <v/>
      </c>
      <c r="L86">
        <f>[1]!s_west_mediannetprofit($A86,YEAR($B86)+1,$B86,180,1000000)</f>
        <v/>
      </c>
      <c r="M86">
        <f>[1]!s_dq_close($A86,$B86,3)</f>
        <v/>
      </c>
      <c r="N86">
        <f>[1]!s_dq_volume($A86,$B86)</f>
        <v/>
      </c>
      <c r="O86">
        <f>[1]!s_dq_amount($A86,$B86)</f>
        <v/>
      </c>
      <c r="P86">
        <f>[1]!s_dq_turn($A86,$B86)</f>
        <v/>
      </c>
      <c r="Q86">
        <f>[1]!s_val_pe_ttm($A86,$B86)</f>
        <v/>
      </c>
      <c r="R86">
        <f>[1]!S_VAL_MV($A86,$B86,100000000)</f>
        <v/>
      </c>
    </row>
    <row r="87">
      <c r="A87">
        <f>_meta!A86</f>
        <v/>
      </c>
      <c r="B87">
        <f>$B$1</f>
        <v/>
      </c>
      <c r="C87">
        <f>[1]!s_west_netprofit($A87,YEAR($B87),$B87,180,1000000)</f>
        <v/>
      </c>
      <c r="D87">
        <f>[1]!s_west_eps($A87,YEAR($B87),$B87,180)</f>
        <v/>
      </c>
      <c r="E87">
        <f>[1]!s_west_instnum_np($A87,YEAR($B87),$B87,180)</f>
        <v/>
      </c>
      <c r="F87">
        <f>[1]!s_west_stdnetprofit($A87,YEAR($B87),$B87,180,1000000)</f>
        <v/>
      </c>
      <c r="G87">
        <f>[1]!s_west_mediannetprofit($A87,YEAR($B87),$B87,180,1000000)</f>
        <v/>
      </c>
      <c r="H87">
        <f>[1]!s_west_netprofit($A87,YEAR($B87)+1,$B87,180,1000000)</f>
        <v/>
      </c>
      <c r="I87">
        <f>[1]!s_west_eps($A87,YEAR($B87)+1,$B87,180)</f>
        <v/>
      </c>
      <c r="J87">
        <f>[1]!s_west_instnum_np($A87,YEAR($B87)+1,$B87,180)</f>
        <v/>
      </c>
      <c r="K87">
        <f>[1]!s_west_stdnetprofit($A87,YEAR($B87)+1,$B87,180,1000000)</f>
        <v/>
      </c>
      <c r="L87">
        <f>[1]!s_west_mediannetprofit($A87,YEAR($B87)+1,$B87,180,1000000)</f>
        <v/>
      </c>
      <c r="M87">
        <f>[1]!s_dq_close($A87,$B87,3)</f>
        <v/>
      </c>
      <c r="N87">
        <f>[1]!s_dq_volume($A87,$B87)</f>
        <v/>
      </c>
      <c r="O87">
        <f>[1]!s_dq_amount($A87,$B87)</f>
        <v/>
      </c>
      <c r="P87">
        <f>[1]!s_dq_turn($A87,$B87)</f>
        <v/>
      </c>
      <c r="Q87">
        <f>[1]!s_val_pe_ttm($A87,$B87)</f>
        <v/>
      </c>
      <c r="R87">
        <f>[1]!S_VAL_MV($A87,$B87,100000000)</f>
        <v/>
      </c>
    </row>
    <row r="88">
      <c r="A88">
        <f>_meta!A87</f>
        <v/>
      </c>
      <c r="B88">
        <f>$B$1</f>
        <v/>
      </c>
      <c r="C88">
        <f>[1]!s_west_netprofit($A88,YEAR($B88),$B88,180,1000000)</f>
        <v/>
      </c>
      <c r="D88">
        <f>[1]!s_west_eps($A88,YEAR($B88),$B88,180)</f>
        <v/>
      </c>
      <c r="E88">
        <f>[1]!s_west_instnum_np($A88,YEAR($B88),$B88,180)</f>
        <v/>
      </c>
      <c r="F88">
        <f>[1]!s_west_stdnetprofit($A88,YEAR($B88),$B88,180,1000000)</f>
        <v/>
      </c>
      <c r="G88">
        <f>[1]!s_west_mediannetprofit($A88,YEAR($B88),$B88,180,1000000)</f>
        <v/>
      </c>
      <c r="H88">
        <f>[1]!s_west_netprofit($A88,YEAR($B88)+1,$B88,180,1000000)</f>
        <v/>
      </c>
      <c r="I88">
        <f>[1]!s_west_eps($A88,YEAR($B88)+1,$B88,180)</f>
        <v/>
      </c>
      <c r="J88">
        <f>[1]!s_west_instnum_np($A88,YEAR($B88)+1,$B88,180)</f>
        <v/>
      </c>
      <c r="K88">
        <f>[1]!s_west_stdnetprofit($A88,YEAR($B88)+1,$B88,180,1000000)</f>
        <v/>
      </c>
      <c r="L88">
        <f>[1]!s_west_mediannetprofit($A88,YEAR($B88)+1,$B88,180,1000000)</f>
        <v/>
      </c>
      <c r="M88">
        <f>[1]!s_dq_close($A88,$B88,3)</f>
        <v/>
      </c>
      <c r="N88">
        <f>[1]!s_dq_volume($A88,$B88)</f>
        <v/>
      </c>
      <c r="O88">
        <f>[1]!s_dq_amount($A88,$B88)</f>
        <v/>
      </c>
      <c r="P88">
        <f>[1]!s_dq_turn($A88,$B88)</f>
        <v/>
      </c>
      <c r="Q88">
        <f>[1]!s_val_pe_ttm($A88,$B88)</f>
        <v/>
      </c>
      <c r="R88">
        <f>[1]!S_VAL_MV($A88,$B88,100000000)</f>
        <v/>
      </c>
    </row>
    <row r="89">
      <c r="A89">
        <f>_meta!A88</f>
        <v/>
      </c>
      <c r="B89">
        <f>$B$1</f>
        <v/>
      </c>
      <c r="C89">
        <f>[1]!s_west_netprofit($A89,YEAR($B89),$B89,180,1000000)</f>
        <v/>
      </c>
      <c r="D89">
        <f>[1]!s_west_eps($A89,YEAR($B89),$B89,180)</f>
        <v/>
      </c>
      <c r="E89">
        <f>[1]!s_west_instnum_np($A89,YEAR($B89),$B89,180)</f>
        <v/>
      </c>
      <c r="F89">
        <f>[1]!s_west_stdnetprofit($A89,YEAR($B89),$B89,180,1000000)</f>
        <v/>
      </c>
      <c r="G89">
        <f>[1]!s_west_mediannetprofit($A89,YEAR($B89),$B89,180,1000000)</f>
        <v/>
      </c>
      <c r="H89">
        <f>[1]!s_west_netprofit($A89,YEAR($B89)+1,$B89,180,1000000)</f>
        <v/>
      </c>
      <c r="I89">
        <f>[1]!s_west_eps($A89,YEAR($B89)+1,$B89,180)</f>
        <v/>
      </c>
      <c r="J89">
        <f>[1]!s_west_instnum_np($A89,YEAR($B89)+1,$B89,180)</f>
        <v/>
      </c>
      <c r="K89">
        <f>[1]!s_west_stdnetprofit($A89,YEAR($B89)+1,$B89,180,1000000)</f>
        <v/>
      </c>
      <c r="L89">
        <f>[1]!s_west_mediannetprofit($A89,YEAR($B89)+1,$B89,180,1000000)</f>
        <v/>
      </c>
      <c r="M89">
        <f>[1]!s_dq_close($A89,$B89,3)</f>
        <v/>
      </c>
      <c r="N89">
        <f>[1]!s_dq_volume($A89,$B89)</f>
        <v/>
      </c>
      <c r="O89">
        <f>[1]!s_dq_amount($A89,$B89)</f>
        <v/>
      </c>
      <c r="P89">
        <f>[1]!s_dq_turn($A89,$B89)</f>
        <v/>
      </c>
      <c r="Q89">
        <f>[1]!s_val_pe_ttm($A89,$B89)</f>
        <v/>
      </c>
      <c r="R89">
        <f>[1]!S_VAL_MV($A89,$B89,100000000)</f>
        <v/>
      </c>
    </row>
    <row r="90">
      <c r="A90">
        <f>_meta!A89</f>
        <v/>
      </c>
      <c r="B90">
        <f>$B$1</f>
        <v/>
      </c>
      <c r="C90">
        <f>[1]!s_west_netprofit($A90,YEAR($B90),$B90,180,1000000)</f>
        <v/>
      </c>
      <c r="D90">
        <f>[1]!s_west_eps($A90,YEAR($B90),$B90,180)</f>
        <v/>
      </c>
      <c r="E90">
        <f>[1]!s_west_instnum_np($A90,YEAR($B90),$B90,180)</f>
        <v/>
      </c>
      <c r="F90">
        <f>[1]!s_west_stdnetprofit($A90,YEAR($B90),$B90,180,1000000)</f>
        <v/>
      </c>
      <c r="G90">
        <f>[1]!s_west_mediannetprofit($A90,YEAR($B90),$B90,180,1000000)</f>
        <v/>
      </c>
      <c r="H90">
        <f>[1]!s_west_netprofit($A90,YEAR($B90)+1,$B90,180,1000000)</f>
        <v/>
      </c>
      <c r="I90">
        <f>[1]!s_west_eps($A90,YEAR($B90)+1,$B90,180)</f>
        <v/>
      </c>
      <c r="J90">
        <f>[1]!s_west_instnum_np($A90,YEAR($B90)+1,$B90,180)</f>
        <v/>
      </c>
      <c r="K90">
        <f>[1]!s_west_stdnetprofit($A90,YEAR($B90)+1,$B90,180,1000000)</f>
        <v/>
      </c>
      <c r="L90">
        <f>[1]!s_west_mediannetprofit($A90,YEAR($B90)+1,$B90,180,1000000)</f>
        <v/>
      </c>
      <c r="M90">
        <f>[1]!s_dq_close($A90,$B90,3)</f>
        <v/>
      </c>
      <c r="N90">
        <f>[1]!s_dq_volume($A90,$B90)</f>
        <v/>
      </c>
      <c r="O90">
        <f>[1]!s_dq_amount($A90,$B90)</f>
        <v/>
      </c>
      <c r="P90">
        <f>[1]!s_dq_turn($A90,$B90)</f>
        <v/>
      </c>
      <c r="Q90">
        <f>[1]!s_val_pe_ttm($A90,$B90)</f>
        <v/>
      </c>
      <c r="R90">
        <f>[1]!S_VAL_MV($A90,$B90,100000000)</f>
        <v/>
      </c>
    </row>
    <row r="91">
      <c r="A91">
        <f>_meta!A90</f>
        <v/>
      </c>
      <c r="B91">
        <f>$B$1</f>
        <v/>
      </c>
      <c r="C91">
        <f>[1]!s_west_netprofit($A91,YEAR($B91),$B91,180,1000000)</f>
        <v/>
      </c>
      <c r="D91">
        <f>[1]!s_west_eps($A91,YEAR($B91),$B91,180)</f>
        <v/>
      </c>
      <c r="E91">
        <f>[1]!s_west_instnum_np($A91,YEAR($B91),$B91,180)</f>
        <v/>
      </c>
      <c r="F91">
        <f>[1]!s_west_stdnetprofit($A91,YEAR($B91),$B91,180,1000000)</f>
        <v/>
      </c>
      <c r="G91">
        <f>[1]!s_west_mediannetprofit($A91,YEAR($B91),$B91,180,1000000)</f>
        <v/>
      </c>
      <c r="H91">
        <f>[1]!s_west_netprofit($A91,YEAR($B91)+1,$B91,180,1000000)</f>
        <v/>
      </c>
      <c r="I91">
        <f>[1]!s_west_eps($A91,YEAR($B91)+1,$B91,180)</f>
        <v/>
      </c>
      <c r="J91">
        <f>[1]!s_west_instnum_np($A91,YEAR($B91)+1,$B91,180)</f>
        <v/>
      </c>
      <c r="K91">
        <f>[1]!s_west_stdnetprofit($A91,YEAR($B91)+1,$B91,180,1000000)</f>
        <v/>
      </c>
      <c r="L91">
        <f>[1]!s_west_mediannetprofit($A91,YEAR($B91)+1,$B91,180,1000000)</f>
        <v/>
      </c>
      <c r="M91">
        <f>[1]!s_dq_close($A91,$B91,3)</f>
        <v/>
      </c>
      <c r="N91">
        <f>[1]!s_dq_volume($A91,$B91)</f>
        <v/>
      </c>
      <c r="O91">
        <f>[1]!s_dq_amount($A91,$B91)</f>
        <v/>
      </c>
      <c r="P91">
        <f>[1]!s_dq_turn($A91,$B91)</f>
        <v/>
      </c>
      <c r="Q91">
        <f>[1]!s_val_pe_ttm($A91,$B91)</f>
        <v/>
      </c>
      <c r="R91">
        <f>[1]!S_VAL_MV($A91,$B91,100000000)</f>
        <v/>
      </c>
    </row>
    <row r="92">
      <c r="A92">
        <f>_meta!A91</f>
        <v/>
      </c>
      <c r="B92">
        <f>$B$1</f>
        <v/>
      </c>
      <c r="C92">
        <f>[1]!s_west_netprofit($A92,YEAR($B92),$B92,180,1000000)</f>
        <v/>
      </c>
      <c r="D92">
        <f>[1]!s_west_eps($A92,YEAR($B92),$B92,180)</f>
        <v/>
      </c>
      <c r="E92">
        <f>[1]!s_west_instnum_np($A92,YEAR($B92),$B92,180)</f>
        <v/>
      </c>
      <c r="F92">
        <f>[1]!s_west_stdnetprofit($A92,YEAR($B92),$B92,180,1000000)</f>
        <v/>
      </c>
      <c r="G92">
        <f>[1]!s_west_mediannetprofit($A92,YEAR($B92),$B92,180,1000000)</f>
        <v/>
      </c>
      <c r="H92">
        <f>[1]!s_west_netprofit($A92,YEAR($B92)+1,$B92,180,1000000)</f>
        <v/>
      </c>
      <c r="I92">
        <f>[1]!s_west_eps($A92,YEAR($B92)+1,$B92,180)</f>
        <v/>
      </c>
      <c r="J92">
        <f>[1]!s_west_instnum_np($A92,YEAR($B92)+1,$B92,180)</f>
        <v/>
      </c>
      <c r="K92">
        <f>[1]!s_west_stdnetprofit($A92,YEAR($B92)+1,$B92,180,1000000)</f>
        <v/>
      </c>
      <c r="L92">
        <f>[1]!s_west_mediannetprofit($A92,YEAR($B92)+1,$B92,180,1000000)</f>
        <v/>
      </c>
      <c r="M92">
        <f>[1]!s_dq_close($A92,$B92,3)</f>
        <v/>
      </c>
      <c r="N92">
        <f>[1]!s_dq_volume($A92,$B92)</f>
        <v/>
      </c>
      <c r="O92">
        <f>[1]!s_dq_amount($A92,$B92)</f>
        <v/>
      </c>
      <c r="P92">
        <f>[1]!s_dq_turn($A92,$B92)</f>
        <v/>
      </c>
      <c r="Q92">
        <f>[1]!s_val_pe_ttm($A92,$B92)</f>
        <v/>
      </c>
      <c r="R92">
        <f>[1]!S_VAL_MV($A92,$B92,100000000)</f>
        <v/>
      </c>
    </row>
    <row r="93">
      <c r="A93">
        <f>_meta!A92</f>
        <v/>
      </c>
      <c r="B93">
        <f>$B$1</f>
        <v/>
      </c>
      <c r="C93">
        <f>[1]!s_west_netprofit($A93,YEAR($B93),$B93,180,1000000)</f>
        <v/>
      </c>
      <c r="D93">
        <f>[1]!s_west_eps($A93,YEAR($B93),$B93,180)</f>
        <v/>
      </c>
      <c r="E93">
        <f>[1]!s_west_instnum_np($A93,YEAR($B93),$B93,180)</f>
        <v/>
      </c>
      <c r="F93">
        <f>[1]!s_west_stdnetprofit($A93,YEAR($B93),$B93,180,1000000)</f>
        <v/>
      </c>
      <c r="G93">
        <f>[1]!s_west_mediannetprofit($A93,YEAR($B93),$B93,180,1000000)</f>
        <v/>
      </c>
      <c r="H93">
        <f>[1]!s_west_netprofit($A93,YEAR($B93)+1,$B93,180,1000000)</f>
        <v/>
      </c>
      <c r="I93">
        <f>[1]!s_west_eps($A93,YEAR($B93)+1,$B93,180)</f>
        <v/>
      </c>
      <c r="J93">
        <f>[1]!s_west_instnum_np($A93,YEAR($B93)+1,$B93,180)</f>
        <v/>
      </c>
      <c r="K93">
        <f>[1]!s_west_stdnetprofit($A93,YEAR($B93)+1,$B93,180,1000000)</f>
        <v/>
      </c>
      <c r="L93">
        <f>[1]!s_west_mediannetprofit($A93,YEAR($B93)+1,$B93,180,1000000)</f>
        <v/>
      </c>
      <c r="M93">
        <f>[1]!s_dq_close($A93,$B93,3)</f>
        <v/>
      </c>
      <c r="N93">
        <f>[1]!s_dq_volume($A93,$B93)</f>
        <v/>
      </c>
      <c r="O93">
        <f>[1]!s_dq_amount($A93,$B93)</f>
        <v/>
      </c>
      <c r="P93">
        <f>[1]!s_dq_turn($A93,$B93)</f>
        <v/>
      </c>
      <c r="Q93">
        <f>[1]!s_val_pe_ttm($A93,$B93)</f>
        <v/>
      </c>
      <c r="R93">
        <f>[1]!S_VAL_MV($A93,$B93,100000000)</f>
        <v/>
      </c>
    </row>
    <row r="94">
      <c r="A94">
        <f>_meta!A93</f>
        <v/>
      </c>
      <c r="B94">
        <f>$B$1</f>
        <v/>
      </c>
      <c r="C94">
        <f>[1]!s_west_netprofit($A94,YEAR($B94),$B94,180,1000000)</f>
        <v/>
      </c>
      <c r="D94">
        <f>[1]!s_west_eps($A94,YEAR($B94),$B94,180)</f>
        <v/>
      </c>
      <c r="E94">
        <f>[1]!s_west_instnum_np($A94,YEAR($B94),$B94,180)</f>
        <v/>
      </c>
      <c r="F94">
        <f>[1]!s_west_stdnetprofit($A94,YEAR($B94),$B94,180,1000000)</f>
        <v/>
      </c>
      <c r="G94">
        <f>[1]!s_west_mediannetprofit($A94,YEAR($B94),$B94,180,1000000)</f>
        <v/>
      </c>
      <c r="H94">
        <f>[1]!s_west_netprofit($A94,YEAR($B94)+1,$B94,180,1000000)</f>
        <v/>
      </c>
      <c r="I94">
        <f>[1]!s_west_eps($A94,YEAR($B94)+1,$B94,180)</f>
        <v/>
      </c>
      <c r="J94">
        <f>[1]!s_west_instnum_np($A94,YEAR($B94)+1,$B94,180)</f>
        <v/>
      </c>
      <c r="K94">
        <f>[1]!s_west_stdnetprofit($A94,YEAR($B94)+1,$B94,180,1000000)</f>
        <v/>
      </c>
      <c r="L94">
        <f>[1]!s_west_mediannetprofit($A94,YEAR($B94)+1,$B94,180,1000000)</f>
        <v/>
      </c>
      <c r="M94">
        <f>[1]!s_dq_close($A94,$B94,3)</f>
        <v/>
      </c>
      <c r="N94">
        <f>[1]!s_dq_volume($A94,$B94)</f>
        <v/>
      </c>
      <c r="O94">
        <f>[1]!s_dq_amount($A94,$B94)</f>
        <v/>
      </c>
      <c r="P94">
        <f>[1]!s_dq_turn($A94,$B94)</f>
        <v/>
      </c>
      <c r="Q94">
        <f>[1]!s_val_pe_ttm($A94,$B94)</f>
        <v/>
      </c>
      <c r="R94">
        <f>[1]!S_VAL_MV($A94,$B94,100000000)</f>
        <v/>
      </c>
    </row>
    <row r="95">
      <c r="A95">
        <f>_meta!A94</f>
        <v/>
      </c>
      <c r="B95">
        <f>$B$1</f>
        <v/>
      </c>
      <c r="C95">
        <f>[1]!s_west_netprofit($A95,YEAR($B95),$B95,180,1000000)</f>
        <v/>
      </c>
      <c r="D95">
        <f>[1]!s_west_eps($A95,YEAR($B95),$B95,180)</f>
        <v/>
      </c>
      <c r="E95">
        <f>[1]!s_west_instnum_np($A95,YEAR($B95),$B95,180)</f>
        <v/>
      </c>
      <c r="F95">
        <f>[1]!s_west_stdnetprofit($A95,YEAR($B95),$B95,180,1000000)</f>
        <v/>
      </c>
      <c r="G95">
        <f>[1]!s_west_mediannetprofit($A95,YEAR($B95),$B95,180,1000000)</f>
        <v/>
      </c>
      <c r="H95">
        <f>[1]!s_west_netprofit($A95,YEAR($B95)+1,$B95,180,1000000)</f>
        <v/>
      </c>
      <c r="I95">
        <f>[1]!s_west_eps($A95,YEAR($B95)+1,$B95,180)</f>
        <v/>
      </c>
      <c r="J95">
        <f>[1]!s_west_instnum_np($A95,YEAR($B95)+1,$B95,180)</f>
        <v/>
      </c>
      <c r="K95">
        <f>[1]!s_west_stdnetprofit($A95,YEAR($B95)+1,$B95,180,1000000)</f>
        <v/>
      </c>
      <c r="L95">
        <f>[1]!s_west_mediannetprofit($A95,YEAR($B95)+1,$B95,180,1000000)</f>
        <v/>
      </c>
      <c r="M95">
        <f>[1]!s_dq_close($A95,$B95,3)</f>
        <v/>
      </c>
      <c r="N95">
        <f>[1]!s_dq_volume($A95,$B95)</f>
        <v/>
      </c>
      <c r="O95">
        <f>[1]!s_dq_amount($A95,$B95)</f>
        <v/>
      </c>
      <c r="P95">
        <f>[1]!s_dq_turn($A95,$B95)</f>
        <v/>
      </c>
      <c r="Q95">
        <f>[1]!s_val_pe_ttm($A95,$B95)</f>
        <v/>
      </c>
      <c r="R95">
        <f>[1]!S_VAL_MV($A95,$B95,100000000)</f>
        <v/>
      </c>
    </row>
    <row r="96">
      <c r="A96">
        <f>_meta!A95</f>
        <v/>
      </c>
      <c r="B96">
        <f>$B$1</f>
        <v/>
      </c>
      <c r="C96">
        <f>[1]!s_west_netprofit($A96,YEAR($B96),$B96,180,1000000)</f>
        <v/>
      </c>
      <c r="D96">
        <f>[1]!s_west_eps($A96,YEAR($B96),$B96,180)</f>
        <v/>
      </c>
      <c r="E96">
        <f>[1]!s_west_instnum_np($A96,YEAR($B96),$B96,180)</f>
        <v/>
      </c>
      <c r="F96">
        <f>[1]!s_west_stdnetprofit($A96,YEAR($B96),$B96,180,1000000)</f>
        <v/>
      </c>
      <c r="G96">
        <f>[1]!s_west_mediannetprofit($A96,YEAR($B96),$B96,180,1000000)</f>
        <v/>
      </c>
      <c r="H96">
        <f>[1]!s_west_netprofit($A96,YEAR($B96)+1,$B96,180,1000000)</f>
        <v/>
      </c>
      <c r="I96">
        <f>[1]!s_west_eps($A96,YEAR($B96)+1,$B96,180)</f>
        <v/>
      </c>
      <c r="J96">
        <f>[1]!s_west_instnum_np($A96,YEAR($B96)+1,$B96,180)</f>
        <v/>
      </c>
      <c r="K96">
        <f>[1]!s_west_stdnetprofit($A96,YEAR($B96)+1,$B96,180,1000000)</f>
        <v/>
      </c>
      <c r="L96">
        <f>[1]!s_west_mediannetprofit($A96,YEAR($B96)+1,$B96,180,1000000)</f>
        <v/>
      </c>
      <c r="M96">
        <f>[1]!s_dq_close($A96,$B96,3)</f>
        <v/>
      </c>
      <c r="N96">
        <f>[1]!s_dq_volume($A96,$B96)</f>
        <v/>
      </c>
      <c r="O96">
        <f>[1]!s_dq_amount($A96,$B96)</f>
        <v/>
      </c>
      <c r="P96">
        <f>[1]!s_dq_turn($A96,$B96)</f>
        <v/>
      </c>
      <c r="Q96">
        <f>[1]!s_val_pe_ttm($A96,$B96)</f>
        <v/>
      </c>
      <c r="R96">
        <f>[1]!S_VAL_MV($A96,$B96,100000000)</f>
        <v/>
      </c>
    </row>
    <row r="97">
      <c r="A97">
        <f>_meta!A96</f>
        <v/>
      </c>
      <c r="B97">
        <f>$B$1</f>
        <v/>
      </c>
      <c r="C97">
        <f>[1]!s_west_netprofit($A97,YEAR($B97),$B97,180,1000000)</f>
        <v/>
      </c>
      <c r="D97">
        <f>[1]!s_west_eps($A97,YEAR($B97),$B97,180)</f>
        <v/>
      </c>
      <c r="E97">
        <f>[1]!s_west_instnum_np($A97,YEAR($B97),$B97,180)</f>
        <v/>
      </c>
      <c r="F97">
        <f>[1]!s_west_stdnetprofit($A97,YEAR($B97),$B97,180,1000000)</f>
        <v/>
      </c>
      <c r="G97">
        <f>[1]!s_west_mediannetprofit($A97,YEAR($B97),$B97,180,1000000)</f>
        <v/>
      </c>
      <c r="H97">
        <f>[1]!s_west_netprofit($A97,YEAR($B97)+1,$B97,180,1000000)</f>
        <v/>
      </c>
      <c r="I97">
        <f>[1]!s_west_eps($A97,YEAR($B97)+1,$B97,180)</f>
        <v/>
      </c>
      <c r="J97">
        <f>[1]!s_west_instnum_np($A97,YEAR($B97)+1,$B97,180)</f>
        <v/>
      </c>
      <c r="K97">
        <f>[1]!s_west_stdnetprofit($A97,YEAR($B97)+1,$B97,180,1000000)</f>
        <v/>
      </c>
      <c r="L97">
        <f>[1]!s_west_mediannetprofit($A97,YEAR($B97)+1,$B97,180,1000000)</f>
        <v/>
      </c>
      <c r="M97">
        <f>[1]!s_dq_close($A97,$B97,3)</f>
        <v/>
      </c>
      <c r="N97">
        <f>[1]!s_dq_volume($A97,$B97)</f>
        <v/>
      </c>
      <c r="O97">
        <f>[1]!s_dq_amount($A97,$B97)</f>
        <v/>
      </c>
      <c r="P97">
        <f>[1]!s_dq_turn($A97,$B97)</f>
        <v/>
      </c>
      <c r="Q97">
        <f>[1]!s_val_pe_ttm($A97,$B97)</f>
        <v/>
      </c>
      <c r="R97">
        <f>[1]!S_VAL_MV($A97,$B97,100000000)</f>
        <v/>
      </c>
    </row>
    <row r="98">
      <c r="A98">
        <f>_meta!A97</f>
        <v/>
      </c>
      <c r="B98">
        <f>$B$1</f>
        <v/>
      </c>
      <c r="C98">
        <f>[1]!s_west_netprofit($A98,YEAR($B98),$B98,180,1000000)</f>
        <v/>
      </c>
      <c r="D98">
        <f>[1]!s_west_eps($A98,YEAR($B98),$B98,180)</f>
        <v/>
      </c>
      <c r="E98">
        <f>[1]!s_west_instnum_np($A98,YEAR($B98),$B98,180)</f>
        <v/>
      </c>
      <c r="F98">
        <f>[1]!s_west_stdnetprofit($A98,YEAR($B98),$B98,180,1000000)</f>
        <v/>
      </c>
      <c r="G98">
        <f>[1]!s_west_mediannetprofit($A98,YEAR($B98),$B98,180,1000000)</f>
        <v/>
      </c>
      <c r="H98">
        <f>[1]!s_west_netprofit($A98,YEAR($B98)+1,$B98,180,1000000)</f>
        <v/>
      </c>
      <c r="I98">
        <f>[1]!s_west_eps($A98,YEAR($B98)+1,$B98,180)</f>
        <v/>
      </c>
      <c r="J98">
        <f>[1]!s_west_instnum_np($A98,YEAR($B98)+1,$B98,180)</f>
        <v/>
      </c>
      <c r="K98">
        <f>[1]!s_west_stdnetprofit($A98,YEAR($B98)+1,$B98,180,1000000)</f>
        <v/>
      </c>
      <c r="L98">
        <f>[1]!s_west_mediannetprofit($A98,YEAR($B98)+1,$B98,180,1000000)</f>
        <v/>
      </c>
      <c r="M98">
        <f>[1]!s_dq_close($A98,$B98,3)</f>
        <v/>
      </c>
      <c r="N98">
        <f>[1]!s_dq_volume($A98,$B98)</f>
        <v/>
      </c>
      <c r="O98">
        <f>[1]!s_dq_amount($A98,$B98)</f>
        <v/>
      </c>
      <c r="P98">
        <f>[1]!s_dq_turn($A98,$B98)</f>
        <v/>
      </c>
      <c r="Q98">
        <f>[1]!s_val_pe_ttm($A98,$B98)</f>
        <v/>
      </c>
      <c r="R98">
        <f>[1]!S_VAL_MV($A98,$B98,100000000)</f>
        <v/>
      </c>
    </row>
    <row r="99">
      <c r="A99">
        <f>_meta!A98</f>
        <v/>
      </c>
      <c r="B99">
        <f>$B$1</f>
        <v/>
      </c>
      <c r="C99">
        <f>[1]!s_west_netprofit($A99,YEAR($B99),$B99,180,1000000)</f>
        <v/>
      </c>
      <c r="D99">
        <f>[1]!s_west_eps($A99,YEAR($B99),$B99,180)</f>
        <v/>
      </c>
      <c r="E99">
        <f>[1]!s_west_instnum_np($A99,YEAR($B99),$B99,180)</f>
        <v/>
      </c>
      <c r="F99">
        <f>[1]!s_west_stdnetprofit($A99,YEAR($B99),$B99,180,1000000)</f>
        <v/>
      </c>
      <c r="G99">
        <f>[1]!s_west_mediannetprofit($A99,YEAR($B99),$B99,180,1000000)</f>
        <v/>
      </c>
      <c r="H99">
        <f>[1]!s_west_netprofit($A99,YEAR($B99)+1,$B99,180,1000000)</f>
        <v/>
      </c>
      <c r="I99">
        <f>[1]!s_west_eps($A99,YEAR($B99)+1,$B99,180)</f>
        <v/>
      </c>
      <c r="J99">
        <f>[1]!s_west_instnum_np($A99,YEAR($B99)+1,$B99,180)</f>
        <v/>
      </c>
      <c r="K99">
        <f>[1]!s_west_stdnetprofit($A99,YEAR($B99)+1,$B99,180,1000000)</f>
        <v/>
      </c>
      <c r="L99">
        <f>[1]!s_west_mediannetprofit($A99,YEAR($B99)+1,$B99,180,1000000)</f>
        <v/>
      </c>
      <c r="M99">
        <f>[1]!s_dq_close($A99,$B99,3)</f>
        <v/>
      </c>
      <c r="N99">
        <f>[1]!s_dq_volume($A99,$B99)</f>
        <v/>
      </c>
      <c r="O99">
        <f>[1]!s_dq_amount($A99,$B99)</f>
        <v/>
      </c>
      <c r="P99">
        <f>[1]!s_dq_turn($A99,$B99)</f>
        <v/>
      </c>
      <c r="Q99">
        <f>[1]!s_val_pe_ttm($A99,$B99)</f>
        <v/>
      </c>
      <c r="R99">
        <f>[1]!S_VAL_MV($A99,$B99,100000000)</f>
        <v/>
      </c>
    </row>
    <row r="100">
      <c r="A100">
        <f>_meta!A99</f>
        <v/>
      </c>
      <c r="B100">
        <f>$B$1</f>
        <v/>
      </c>
      <c r="C100">
        <f>[1]!s_west_netprofit($A100,YEAR($B100),$B100,180,1000000)</f>
        <v/>
      </c>
      <c r="D100">
        <f>[1]!s_west_eps($A100,YEAR($B100),$B100,180)</f>
        <v/>
      </c>
      <c r="E100">
        <f>[1]!s_west_instnum_np($A100,YEAR($B100),$B100,180)</f>
        <v/>
      </c>
      <c r="F100">
        <f>[1]!s_west_stdnetprofit($A100,YEAR($B100),$B100,180,1000000)</f>
        <v/>
      </c>
      <c r="G100">
        <f>[1]!s_west_mediannetprofit($A100,YEAR($B100),$B100,180,1000000)</f>
        <v/>
      </c>
      <c r="H100">
        <f>[1]!s_west_netprofit($A100,YEAR($B100)+1,$B100,180,1000000)</f>
        <v/>
      </c>
      <c r="I100">
        <f>[1]!s_west_eps($A100,YEAR($B100)+1,$B100,180)</f>
        <v/>
      </c>
      <c r="J100">
        <f>[1]!s_west_instnum_np($A100,YEAR($B100)+1,$B100,180)</f>
        <v/>
      </c>
      <c r="K100">
        <f>[1]!s_west_stdnetprofit($A100,YEAR($B100)+1,$B100,180,1000000)</f>
        <v/>
      </c>
      <c r="L100">
        <f>[1]!s_west_mediannetprofit($A100,YEAR($B100)+1,$B100,180,1000000)</f>
        <v/>
      </c>
      <c r="M100">
        <f>[1]!s_dq_close($A100,$B100,3)</f>
        <v/>
      </c>
      <c r="N100">
        <f>[1]!s_dq_volume($A100,$B100)</f>
        <v/>
      </c>
      <c r="O100">
        <f>[1]!s_dq_amount($A100,$B100)</f>
        <v/>
      </c>
      <c r="P100">
        <f>[1]!s_dq_turn($A100,$B100)</f>
        <v/>
      </c>
      <c r="Q100">
        <f>[1]!s_val_pe_ttm($A100,$B100)</f>
        <v/>
      </c>
      <c r="R100">
        <f>[1]!S_VAL_MV($A100,$B100,100000000)</f>
        <v/>
      </c>
    </row>
    <row r="101">
      <c r="A101">
        <f>_meta!A100</f>
        <v/>
      </c>
      <c r="B101">
        <f>$B$1</f>
        <v/>
      </c>
      <c r="C101">
        <f>[1]!s_west_netprofit($A101,YEAR($B101),$B101,180,1000000)</f>
        <v/>
      </c>
      <c r="D101">
        <f>[1]!s_west_eps($A101,YEAR($B101),$B101,180)</f>
        <v/>
      </c>
      <c r="E101">
        <f>[1]!s_west_instnum_np($A101,YEAR($B101),$B101,180)</f>
        <v/>
      </c>
      <c r="F101">
        <f>[1]!s_west_stdnetprofit($A101,YEAR($B101),$B101,180,1000000)</f>
        <v/>
      </c>
      <c r="G101">
        <f>[1]!s_west_mediannetprofit($A101,YEAR($B101),$B101,180,1000000)</f>
        <v/>
      </c>
      <c r="H101">
        <f>[1]!s_west_netprofit($A101,YEAR($B101)+1,$B101,180,1000000)</f>
        <v/>
      </c>
      <c r="I101">
        <f>[1]!s_west_eps($A101,YEAR($B101)+1,$B101,180)</f>
        <v/>
      </c>
      <c r="J101">
        <f>[1]!s_west_instnum_np($A101,YEAR($B101)+1,$B101,180)</f>
        <v/>
      </c>
      <c r="K101">
        <f>[1]!s_west_stdnetprofit($A101,YEAR($B101)+1,$B101,180,1000000)</f>
        <v/>
      </c>
      <c r="L101">
        <f>[1]!s_west_mediannetprofit($A101,YEAR($B101)+1,$B101,180,1000000)</f>
        <v/>
      </c>
      <c r="M101">
        <f>[1]!s_dq_close($A101,$B101,3)</f>
        <v/>
      </c>
      <c r="N101">
        <f>[1]!s_dq_volume($A101,$B101)</f>
        <v/>
      </c>
      <c r="O101">
        <f>[1]!s_dq_amount($A101,$B101)</f>
        <v/>
      </c>
      <c r="P101">
        <f>[1]!s_dq_turn($A101,$B101)</f>
        <v/>
      </c>
      <c r="Q101">
        <f>[1]!s_val_pe_ttm($A101,$B101)</f>
        <v/>
      </c>
      <c r="R101">
        <f>[1]!S_VAL_MV($A101,$B101,100000000)</f>
        <v/>
      </c>
    </row>
    <row r="102">
      <c r="A102">
        <f>_meta!A101</f>
        <v/>
      </c>
      <c r="B102">
        <f>$B$1</f>
        <v/>
      </c>
      <c r="C102">
        <f>[1]!s_west_netprofit($A102,YEAR($B102),$B102,180,1000000)</f>
        <v/>
      </c>
      <c r="D102">
        <f>[1]!s_west_eps($A102,YEAR($B102),$B102,180)</f>
        <v/>
      </c>
      <c r="E102">
        <f>[1]!s_west_instnum_np($A102,YEAR($B102),$B102,180)</f>
        <v/>
      </c>
      <c r="F102">
        <f>[1]!s_west_stdnetprofit($A102,YEAR($B102),$B102,180,1000000)</f>
        <v/>
      </c>
      <c r="G102">
        <f>[1]!s_west_mediannetprofit($A102,YEAR($B102),$B102,180,1000000)</f>
        <v/>
      </c>
      <c r="H102">
        <f>[1]!s_west_netprofit($A102,YEAR($B102)+1,$B102,180,1000000)</f>
        <v/>
      </c>
      <c r="I102">
        <f>[1]!s_west_eps($A102,YEAR($B102)+1,$B102,180)</f>
        <v/>
      </c>
      <c r="J102">
        <f>[1]!s_west_instnum_np($A102,YEAR($B102)+1,$B102,180)</f>
        <v/>
      </c>
      <c r="K102">
        <f>[1]!s_west_stdnetprofit($A102,YEAR($B102)+1,$B102,180,1000000)</f>
        <v/>
      </c>
      <c r="L102">
        <f>[1]!s_west_mediannetprofit($A102,YEAR($B102)+1,$B102,180,1000000)</f>
        <v/>
      </c>
      <c r="M102">
        <f>[1]!s_dq_close($A102,$B102,3)</f>
        <v/>
      </c>
      <c r="N102">
        <f>[1]!s_dq_volume($A102,$B102)</f>
        <v/>
      </c>
      <c r="O102">
        <f>[1]!s_dq_amount($A102,$B102)</f>
        <v/>
      </c>
      <c r="P102">
        <f>[1]!s_dq_turn($A102,$B102)</f>
        <v/>
      </c>
      <c r="Q102">
        <f>[1]!s_val_pe_ttm($A102,$B102)</f>
        <v/>
      </c>
      <c r="R102">
        <f>[1]!S_VAL_MV($A102,$B102,100000000)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基准日→</t>
        </is>
      </c>
      <c r="B1">
        <f>TODAY()</f>
        <v/>
      </c>
    </row>
    <row r="2">
      <c r="A2" s="35" t="inlineStr">
        <is>
          <t>代码</t>
        </is>
      </c>
      <c r="B2" s="35" t="inlineStr">
        <is>
          <t>公司名</t>
        </is>
      </c>
      <c r="C2" s="35" t="inlineStr">
        <is>
          <t>申万一级</t>
        </is>
      </c>
      <c r="D2" s="35" t="inlineStr">
        <is>
          <t>申万二级</t>
        </is>
      </c>
      <c r="E2" s="35" t="inlineStr">
        <is>
          <t>上市日期</t>
        </is>
      </c>
    </row>
    <row r="3">
      <c r="A3">
        <f>_meta!A2</f>
        <v/>
      </c>
      <c r="B3">
        <f>[1]!S_INFO_NAME($A3)</f>
        <v/>
      </c>
      <c r="C3">
        <f>[1]!hks_info_industry_sw_2021($A3,$B$1,1)</f>
        <v/>
      </c>
      <c r="D3">
        <f>[1]!hks_info_industry_sw_2021($A3,$B$1,2)</f>
        <v/>
      </c>
      <c r="E3">
        <f>[1]!s_ipo_listeddate($A3)</f>
        <v/>
      </c>
    </row>
    <row r="4">
      <c r="A4">
        <f>_meta!A3</f>
        <v/>
      </c>
      <c r="B4">
        <f>[1]!S_INFO_NAME($A4)</f>
        <v/>
      </c>
      <c r="C4">
        <f>[1]!hks_info_industry_sw_2021($A4,$B$1,1)</f>
        <v/>
      </c>
      <c r="D4">
        <f>[1]!hks_info_industry_sw_2021($A4,$B$1,2)</f>
        <v/>
      </c>
      <c r="E4">
        <f>[1]!s_ipo_listeddate($A4)</f>
        <v/>
      </c>
    </row>
    <row r="5">
      <c r="A5">
        <f>_meta!A4</f>
        <v/>
      </c>
      <c r="B5">
        <f>[1]!S_INFO_NAME($A5)</f>
        <v/>
      </c>
      <c r="C5">
        <f>[1]!hks_info_industry_sw_2021($A5,$B$1,1)</f>
        <v/>
      </c>
      <c r="D5">
        <f>[1]!hks_info_industry_sw_2021($A5,$B$1,2)</f>
        <v/>
      </c>
      <c r="E5">
        <f>[1]!s_ipo_listeddate($A5)</f>
        <v/>
      </c>
    </row>
    <row r="6">
      <c r="A6">
        <f>_meta!A5</f>
        <v/>
      </c>
      <c r="B6">
        <f>[1]!S_INFO_NAME($A6)</f>
        <v/>
      </c>
      <c r="C6">
        <f>[1]!hks_info_industry_sw_2021($A6,$B$1,1)</f>
        <v/>
      </c>
      <c r="D6">
        <f>[1]!hks_info_industry_sw_2021($A6,$B$1,2)</f>
        <v/>
      </c>
      <c r="E6">
        <f>[1]!s_ipo_listeddate($A6)</f>
        <v/>
      </c>
    </row>
    <row r="7">
      <c r="A7">
        <f>_meta!A6</f>
        <v/>
      </c>
      <c r="B7">
        <f>[1]!S_INFO_NAME($A7)</f>
        <v/>
      </c>
      <c r="C7">
        <f>[1]!hks_info_industry_sw_2021($A7,$B$1,1)</f>
        <v/>
      </c>
      <c r="D7">
        <f>[1]!hks_info_industry_sw_2021($A7,$B$1,2)</f>
        <v/>
      </c>
      <c r="E7">
        <f>[1]!s_ipo_listeddate($A7)</f>
        <v/>
      </c>
    </row>
    <row r="8">
      <c r="A8">
        <f>_meta!A7</f>
        <v/>
      </c>
      <c r="B8">
        <f>[1]!S_INFO_NAME($A8)</f>
        <v/>
      </c>
      <c r="C8">
        <f>[1]!hks_info_industry_sw_2021($A8,$B$1,1)</f>
        <v/>
      </c>
      <c r="D8">
        <f>[1]!hks_info_industry_sw_2021($A8,$B$1,2)</f>
        <v/>
      </c>
      <c r="E8">
        <f>[1]!s_ipo_listeddate($A8)</f>
        <v/>
      </c>
    </row>
    <row r="9">
      <c r="A9">
        <f>_meta!A8</f>
        <v/>
      </c>
      <c r="B9">
        <f>[1]!S_INFO_NAME($A9)</f>
        <v/>
      </c>
      <c r="C9">
        <f>[1]!hks_info_industry_sw_2021($A9,$B$1,1)</f>
        <v/>
      </c>
      <c r="D9">
        <f>[1]!hks_info_industry_sw_2021($A9,$B$1,2)</f>
        <v/>
      </c>
      <c r="E9">
        <f>[1]!s_ipo_listeddate($A9)</f>
        <v/>
      </c>
    </row>
    <row r="10">
      <c r="A10">
        <f>_meta!A9</f>
        <v/>
      </c>
      <c r="B10">
        <f>[1]!S_INFO_NAME($A10)</f>
        <v/>
      </c>
      <c r="C10">
        <f>[1]!hks_info_industry_sw_2021($A10,$B$1,1)</f>
        <v/>
      </c>
      <c r="D10">
        <f>[1]!hks_info_industry_sw_2021($A10,$B$1,2)</f>
        <v/>
      </c>
      <c r="E10">
        <f>[1]!s_ipo_listeddate($A10)</f>
        <v/>
      </c>
    </row>
    <row r="11">
      <c r="A11">
        <f>_meta!A10</f>
        <v/>
      </c>
      <c r="B11">
        <f>[1]!S_INFO_NAME($A11)</f>
        <v/>
      </c>
      <c r="C11">
        <f>[1]!hks_info_industry_sw_2021($A11,$B$1,1)</f>
        <v/>
      </c>
      <c r="D11">
        <f>[1]!hks_info_industry_sw_2021($A11,$B$1,2)</f>
        <v/>
      </c>
      <c r="E11">
        <f>[1]!s_ipo_listeddate($A11)</f>
        <v/>
      </c>
    </row>
    <row r="12">
      <c r="A12">
        <f>_meta!A11</f>
        <v/>
      </c>
      <c r="B12">
        <f>[1]!S_INFO_NAME($A12)</f>
        <v/>
      </c>
      <c r="C12">
        <f>[1]!hks_info_industry_sw_2021($A12,$B$1,1)</f>
        <v/>
      </c>
      <c r="D12">
        <f>[1]!hks_info_industry_sw_2021($A12,$B$1,2)</f>
        <v/>
      </c>
      <c r="E12">
        <f>[1]!s_ipo_listeddate($A12)</f>
        <v/>
      </c>
    </row>
    <row r="13">
      <c r="A13">
        <f>_meta!A12</f>
        <v/>
      </c>
      <c r="B13">
        <f>[1]!S_INFO_NAME($A13)</f>
        <v/>
      </c>
      <c r="C13">
        <f>[1]!hks_info_industry_sw_2021($A13,$B$1,1)</f>
        <v/>
      </c>
      <c r="D13">
        <f>[1]!hks_info_industry_sw_2021($A13,$B$1,2)</f>
        <v/>
      </c>
      <c r="E13">
        <f>[1]!s_ipo_listeddate($A13)</f>
        <v/>
      </c>
    </row>
    <row r="14">
      <c r="A14">
        <f>_meta!A13</f>
        <v/>
      </c>
      <c r="B14">
        <f>[1]!S_INFO_NAME($A14)</f>
        <v/>
      </c>
      <c r="C14">
        <f>[1]!hks_info_industry_sw_2021($A14,$B$1,1)</f>
        <v/>
      </c>
      <c r="D14">
        <f>[1]!hks_info_industry_sw_2021($A14,$B$1,2)</f>
        <v/>
      </c>
      <c r="E14">
        <f>[1]!s_ipo_listeddate($A14)</f>
        <v/>
      </c>
    </row>
    <row r="15">
      <c r="A15">
        <f>_meta!A14</f>
        <v/>
      </c>
      <c r="B15">
        <f>[1]!S_INFO_NAME($A15)</f>
        <v/>
      </c>
      <c r="C15">
        <f>[1]!hks_info_industry_sw_2021($A15,$B$1,1)</f>
        <v/>
      </c>
      <c r="D15">
        <f>[1]!hks_info_industry_sw_2021($A15,$B$1,2)</f>
        <v/>
      </c>
      <c r="E15">
        <f>[1]!s_ipo_listeddate($A15)</f>
        <v/>
      </c>
    </row>
    <row r="16">
      <c r="A16">
        <f>_meta!A15</f>
        <v/>
      </c>
      <c r="B16">
        <f>[1]!S_INFO_NAME($A16)</f>
        <v/>
      </c>
      <c r="C16">
        <f>[1]!hks_info_industry_sw_2021($A16,$B$1,1)</f>
        <v/>
      </c>
      <c r="D16">
        <f>[1]!hks_info_industry_sw_2021($A16,$B$1,2)</f>
        <v/>
      </c>
      <c r="E16">
        <f>[1]!s_ipo_listeddate($A16)</f>
        <v/>
      </c>
    </row>
    <row r="17">
      <c r="A17">
        <f>_meta!A16</f>
        <v/>
      </c>
      <c r="B17">
        <f>[1]!S_INFO_NAME($A17)</f>
        <v/>
      </c>
      <c r="C17">
        <f>[1]!hks_info_industry_sw_2021($A17,$B$1,1)</f>
        <v/>
      </c>
      <c r="D17">
        <f>[1]!hks_info_industry_sw_2021($A17,$B$1,2)</f>
        <v/>
      </c>
      <c r="E17">
        <f>[1]!s_ipo_listeddate($A17)</f>
        <v/>
      </c>
    </row>
    <row r="18">
      <c r="A18">
        <f>_meta!A17</f>
        <v/>
      </c>
      <c r="B18">
        <f>[1]!S_INFO_NAME($A18)</f>
        <v/>
      </c>
      <c r="C18">
        <f>[1]!hks_info_industry_sw_2021($A18,$B$1,1)</f>
        <v/>
      </c>
      <c r="D18">
        <f>[1]!hks_info_industry_sw_2021($A18,$B$1,2)</f>
        <v/>
      </c>
      <c r="E18">
        <f>[1]!s_ipo_listeddate($A18)</f>
        <v/>
      </c>
    </row>
    <row r="19">
      <c r="A19">
        <f>_meta!A18</f>
        <v/>
      </c>
      <c r="B19">
        <f>[1]!S_INFO_NAME($A19)</f>
        <v/>
      </c>
      <c r="C19">
        <f>[1]!hks_info_industry_sw_2021($A19,$B$1,1)</f>
        <v/>
      </c>
      <c r="D19">
        <f>[1]!hks_info_industry_sw_2021($A19,$B$1,2)</f>
        <v/>
      </c>
      <c r="E19">
        <f>[1]!s_ipo_listeddate($A19)</f>
        <v/>
      </c>
    </row>
    <row r="20">
      <c r="A20">
        <f>_meta!A19</f>
        <v/>
      </c>
      <c r="B20">
        <f>[1]!S_INFO_NAME($A20)</f>
        <v/>
      </c>
      <c r="C20">
        <f>[1]!hks_info_industry_sw_2021($A20,$B$1,1)</f>
        <v/>
      </c>
      <c r="D20">
        <f>[1]!hks_info_industry_sw_2021($A20,$B$1,2)</f>
        <v/>
      </c>
      <c r="E20">
        <f>[1]!s_ipo_listeddate($A20)</f>
        <v/>
      </c>
    </row>
    <row r="21">
      <c r="A21">
        <f>_meta!A20</f>
        <v/>
      </c>
      <c r="B21">
        <f>[1]!S_INFO_NAME($A21)</f>
        <v/>
      </c>
      <c r="C21">
        <f>[1]!hks_info_industry_sw_2021($A21,$B$1,1)</f>
        <v/>
      </c>
      <c r="D21">
        <f>[1]!hks_info_industry_sw_2021($A21,$B$1,2)</f>
        <v/>
      </c>
      <c r="E21">
        <f>[1]!s_ipo_listeddate($A21)</f>
        <v/>
      </c>
    </row>
    <row r="22">
      <c r="A22">
        <f>_meta!A21</f>
        <v/>
      </c>
      <c r="B22">
        <f>[1]!S_INFO_NAME($A22)</f>
        <v/>
      </c>
      <c r="C22">
        <f>[1]!hks_info_industry_sw_2021($A22,$B$1,1)</f>
        <v/>
      </c>
      <c r="D22">
        <f>[1]!hks_info_industry_sw_2021($A22,$B$1,2)</f>
        <v/>
      </c>
      <c r="E22">
        <f>[1]!s_ipo_listeddate($A22)</f>
        <v/>
      </c>
    </row>
    <row r="23">
      <c r="A23">
        <f>_meta!A22</f>
        <v/>
      </c>
      <c r="B23">
        <f>[1]!S_INFO_NAME($A23)</f>
        <v/>
      </c>
      <c r="C23">
        <f>[1]!hks_info_industry_sw_2021($A23,$B$1,1)</f>
        <v/>
      </c>
      <c r="D23">
        <f>[1]!hks_info_industry_sw_2021($A23,$B$1,2)</f>
        <v/>
      </c>
      <c r="E23">
        <f>[1]!s_ipo_listeddate($A23)</f>
        <v/>
      </c>
    </row>
    <row r="24">
      <c r="A24">
        <f>_meta!A23</f>
        <v/>
      </c>
      <c r="B24">
        <f>[1]!S_INFO_NAME($A24)</f>
        <v/>
      </c>
      <c r="C24">
        <f>[1]!hks_info_industry_sw_2021($A24,$B$1,1)</f>
        <v/>
      </c>
      <c r="D24">
        <f>[1]!hks_info_industry_sw_2021($A24,$B$1,2)</f>
        <v/>
      </c>
      <c r="E24">
        <f>[1]!s_ipo_listeddate($A24)</f>
        <v/>
      </c>
    </row>
    <row r="25">
      <c r="A25">
        <f>_meta!A24</f>
        <v/>
      </c>
      <c r="B25">
        <f>[1]!S_INFO_NAME($A25)</f>
        <v/>
      </c>
      <c r="C25">
        <f>[1]!hks_info_industry_sw_2021($A25,$B$1,1)</f>
        <v/>
      </c>
      <c r="D25">
        <f>[1]!hks_info_industry_sw_2021($A25,$B$1,2)</f>
        <v/>
      </c>
      <c r="E25">
        <f>[1]!s_ipo_listeddate($A25)</f>
        <v/>
      </c>
    </row>
    <row r="26">
      <c r="A26">
        <f>_meta!A25</f>
        <v/>
      </c>
      <c r="B26">
        <f>[1]!S_INFO_NAME($A26)</f>
        <v/>
      </c>
      <c r="C26">
        <f>[1]!hks_info_industry_sw_2021($A26,$B$1,1)</f>
        <v/>
      </c>
      <c r="D26">
        <f>[1]!hks_info_industry_sw_2021($A26,$B$1,2)</f>
        <v/>
      </c>
      <c r="E26">
        <f>[1]!s_ipo_listeddate($A26)</f>
        <v/>
      </c>
    </row>
    <row r="27">
      <c r="A27">
        <f>_meta!A26</f>
        <v/>
      </c>
      <c r="B27">
        <f>[1]!S_INFO_NAME($A27)</f>
        <v/>
      </c>
      <c r="C27">
        <f>[1]!hks_info_industry_sw_2021($A27,$B$1,1)</f>
        <v/>
      </c>
      <c r="D27">
        <f>[1]!hks_info_industry_sw_2021($A27,$B$1,2)</f>
        <v/>
      </c>
      <c r="E27">
        <f>[1]!s_ipo_listeddate($A27)</f>
        <v/>
      </c>
    </row>
    <row r="28">
      <c r="A28">
        <f>_meta!A27</f>
        <v/>
      </c>
      <c r="B28">
        <f>[1]!S_INFO_NAME($A28)</f>
        <v/>
      </c>
      <c r="C28">
        <f>[1]!hks_info_industry_sw_2021($A28,$B$1,1)</f>
        <v/>
      </c>
      <c r="D28">
        <f>[1]!hks_info_industry_sw_2021($A28,$B$1,2)</f>
        <v/>
      </c>
      <c r="E28">
        <f>[1]!s_ipo_listeddate($A28)</f>
        <v/>
      </c>
    </row>
    <row r="29">
      <c r="A29">
        <f>_meta!A28</f>
        <v/>
      </c>
      <c r="B29">
        <f>[1]!S_INFO_NAME($A29)</f>
        <v/>
      </c>
      <c r="C29">
        <f>[1]!hks_info_industry_sw_2021($A29,$B$1,1)</f>
        <v/>
      </c>
      <c r="D29">
        <f>[1]!hks_info_industry_sw_2021($A29,$B$1,2)</f>
        <v/>
      </c>
      <c r="E29">
        <f>[1]!s_ipo_listeddate($A29)</f>
        <v/>
      </c>
    </row>
    <row r="30">
      <c r="A30">
        <f>_meta!A29</f>
        <v/>
      </c>
      <c r="B30">
        <f>[1]!S_INFO_NAME($A30)</f>
        <v/>
      </c>
      <c r="C30">
        <f>[1]!hks_info_industry_sw_2021($A30,$B$1,1)</f>
        <v/>
      </c>
      <c r="D30">
        <f>[1]!hks_info_industry_sw_2021($A30,$B$1,2)</f>
        <v/>
      </c>
      <c r="E30">
        <f>[1]!s_ipo_listeddate($A30)</f>
        <v/>
      </c>
    </row>
    <row r="31">
      <c r="A31">
        <f>_meta!A30</f>
        <v/>
      </c>
      <c r="B31">
        <f>[1]!S_INFO_NAME($A31)</f>
        <v/>
      </c>
      <c r="C31">
        <f>[1]!hks_info_industry_sw_2021($A31,$B$1,1)</f>
        <v/>
      </c>
      <c r="D31">
        <f>[1]!hks_info_industry_sw_2021($A31,$B$1,2)</f>
        <v/>
      </c>
      <c r="E31">
        <f>[1]!s_ipo_listeddate($A31)</f>
        <v/>
      </c>
    </row>
    <row r="32">
      <c r="A32">
        <f>_meta!A31</f>
        <v/>
      </c>
      <c r="B32">
        <f>[1]!S_INFO_NAME($A32)</f>
        <v/>
      </c>
      <c r="C32">
        <f>[1]!hks_info_industry_sw_2021($A32,$B$1,1)</f>
        <v/>
      </c>
      <c r="D32">
        <f>[1]!hks_info_industry_sw_2021($A32,$B$1,2)</f>
        <v/>
      </c>
      <c r="E32">
        <f>[1]!s_ipo_listeddate($A32)</f>
        <v/>
      </c>
    </row>
    <row r="33">
      <c r="A33">
        <f>_meta!A32</f>
        <v/>
      </c>
      <c r="B33">
        <f>[1]!S_INFO_NAME($A33)</f>
        <v/>
      </c>
      <c r="C33">
        <f>[1]!hks_info_industry_sw_2021($A33,$B$1,1)</f>
        <v/>
      </c>
      <c r="D33">
        <f>[1]!hks_info_industry_sw_2021($A33,$B$1,2)</f>
        <v/>
      </c>
      <c r="E33">
        <f>[1]!s_ipo_listeddate($A33)</f>
        <v/>
      </c>
    </row>
    <row r="34">
      <c r="A34">
        <f>_meta!A33</f>
        <v/>
      </c>
      <c r="B34">
        <f>[1]!S_INFO_NAME($A34)</f>
        <v/>
      </c>
      <c r="C34">
        <f>[1]!hks_info_industry_sw_2021($A34,$B$1,1)</f>
        <v/>
      </c>
      <c r="D34">
        <f>[1]!hks_info_industry_sw_2021($A34,$B$1,2)</f>
        <v/>
      </c>
      <c r="E34">
        <f>[1]!s_ipo_listeddate($A34)</f>
        <v/>
      </c>
    </row>
    <row r="35">
      <c r="A35">
        <f>_meta!A34</f>
        <v/>
      </c>
      <c r="B35">
        <f>[1]!S_INFO_NAME($A35)</f>
        <v/>
      </c>
      <c r="C35">
        <f>[1]!hks_info_industry_sw_2021($A35,$B$1,1)</f>
        <v/>
      </c>
      <c r="D35">
        <f>[1]!hks_info_industry_sw_2021($A35,$B$1,2)</f>
        <v/>
      </c>
      <c r="E35">
        <f>[1]!s_ipo_listeddate($A35)</f>
        <v/>
      </c>
    </row>
    <row r="36">
      <c r="A36">
        <f>_meta!A35</f>
        <v/>
      </c>
      <c r="B36">
        <f>[1]!S_INFO_NAME($A36)</f>
        <v/>
      </c>
      <c r="C36">
        <f>[1]!hks_info_industry_sw_2021($A36,$B$1,1)</f>
        <v/>
      </c>
      <c r="D36">
        <f>[1]!hks_info_industry_sw_2021($A36,$B$1,2)</f>
        <v/>
      </c>
      <c r="E36">
        <f>[1]!s_ipo_listeddate($A36)</f>
        <v/>
      </c>
    </row>
    <row r="37">
      <c r="A37">
        <f>_meta!A36</f>
        <v/>
      </c>
      <c r="B37">
        <f>[1]!S_INFO_NAME($A37)</f>
        <v/>
      </c>
      <c r="C37">
        <f>[1]!hks_info_industry_sw_2021($A37,$B$1,1)</f>
        <v/>
      </c>
      <c r="D37">
        <f>[1]!hks_info_industry_sw_2021($A37,$B$1,2)</f>
        <v/>
      </c>
      <c r="E37">
        <f>[1]!s_ipo_listeddate($A37)</f>
        <v/>
      </c>
    </row>
    <row r="38">
      <c r="A38">
        <f>_meta!A37</f>
        <v/>
      </c>
      <c r="B38">
        <f>[1]!S_INFO_NAME($A38)</f>
        <v/>
      </c>
      <c r="C38">
        <f>[1]!hks_info_industry_sw_2021($A38,$B$1,1)</f>
        <v/>
      </c>
      <c r="D38">
        <f>[1]!hks_info_industry_sw_2021($A38,$B$1,2)</f>
        <v/>
      </c>
      <c r="E38">
        <f>[1]!s_ipo_listeddate($A38)</f>
        <v/>
      </c>
    </row>
    <row r="39">
      <c r="A39">
        <f>_meta!A38</f>
        <v/>
      </c>
      <c r="B39">
        <f>[1]!S_INFO_NAME($A39)</f>
        <v/>
      </c>
      <c r="C39">
        <f>[1]!hks_info_industry_sw_2021($A39,$B$1,1)</f>
        <v/>
      </c>
      <c r="D39">
        <f>[1]!hks_info_industry_sw_2021($A39,$B$1,2)</f>
        <v/>
      </c>
      <c r="E39">
        <f>[1]!s_ipo_listeddate($A39)</f>
        <v/>
      </c>
    </row>
    <row r="40">
      <c r="A40">
        <f>_meta!A39</f>
        <v/>
      </c>
      <c r="B40">
        <f>[1]!S_INFO_NAME($A40)</f>
        <v/>
      </c>
      <c r="C40">
        <f>[1]!hks_info_industry_sw_2021($A40,$B$1,1)</f>
        <v/>
      </c>
      <c r="D40">
        <f>[1]!hks_info_industry_sw_2021($A40,$B$1,2)</f>
        <v/>
      </c>
      <c r="E40">
        <f>[1]!s_ipo_listeddate($A40)</f>
        <v/>
      </c>
    </row>
    <row r="41">
      <c r="A41">
        <f>_meta!A40</f>
        <v/>
      </c>
      <c r="B41">
        <f>[1]!S_INFO_NAME($A41)</f>
        <v/>
      </c>
      <c r="C41">
        <f>[1]!hks_info_industry_sw_2021($A41,$B$1,1)</f>
        <v/>
      </c>
      <c r="D41">
        <f>[1]!hks_info_industry_sw_2021($A41,$B$1,2)</f>
        <v/>
      </c>
      <c r="E41">
        <f>[1]!s_ipo_listeddate($A41)</f>
        <v/>
      </c>
    </row>
    <row r="42">
      <c r="A42">
        <f>_meta!A41</f>
        <v/>
      </c>
      <c r="B42">
        <f>[1]!S_INFO_NAME($A42)</f>
        <v/>
      </c>
      <c r="C42">
        <f>[1]!hks_info_industry_sw_2021($A42,$B$1,1)</f>
        <v/>
      </c>
      <c r="D42">
        <f>[1]!hks_info_industry_sw_2021($A42,$B$1,2)</f>
        <v/>
      </c>
      <c r="E42">
        <f>[1]!s_ipo_listeddate($A42)</f>
        <v/>
      </c>
    </row>
    <row r="43">
      <c r="A43">
        <f>_meta!A42</f>
        <v/>
      </c>
      <c r="B43">
        <f>[1]!S_INFO_NAME($A43)</f>
        <v/>
      </c>
      <c r="C43">
        <f>[1]!hks_info_industry_sw_2021($A43,$B$1,1)</f>
        <v/>
      </c>
      <c r="D43">
        <f>[1]!hks_info_industry_sw_2021($A43,$B$1,2)</f>
        <v/>
      </c>
      <c r="E43">
        <f>[1]!s_ipo_listeddate($A43)</f>
        <v/>
      </c>
    </row>
    <row r="44">
      <c r="A44">
        <f>_meta!A43</f>
        <v/>
      </c>
      <c r="B44">
        <f>[1]!S_INFO_NAME($A44)</f>
        <v/>
      </c>
      <c r="C44">
        <f>[1]!hks_info_industry_sw_2021($A44,$B$1,1)</f>
        <v/>
      </c>
      <c r="D44">
        <f>[1]!hks_info_industry_sw_2021($A44,$B$1,2)</f>
        <v/>
      </c>
      <c r="E44">
        <f>[1]!s_ipo_listeddate($A44)</f>
        <v/>
      </c>
    </row>
    <row r="45">
      <c r="A45">
        <f>_meta!A44</f>
        <v/>
      </c>
      <c r="B45">
        <f>[1]!S_INFO_NAME($A45)</f>
        <v/>
      </c>
      <c r="C45">
        <f>[1]!hks_info_industry_sw_2021($A45,$B$1,1)</f>
        <v/>
      </c>
      <c r="D45">
        <f>[1]!hks_info_industry_sw_2021($A45,$B$1,2)</f>
        <v/>
      </c>
      <c r="E45">
        <f>[1]!s_ipo_listeddate($A45)</f>
        <v/>
      </c>
    </row>
    <row r="46">
      <c r="A46">
        <f>_meta!A45</f>
        <v/>
      </c>
      <c r="B46">
        <f>[1]!S_INFO_NAME($A46)</f>
        <v/>
      </c>
      <c r="C46">
        <f>[1]!hks_info_industry_sw_2021($A46,$B$1,1)</f>
        <v/>
      </c>
      <c r="D46">
        <f>[1]!hks_info_industry_sw_2021($A46,$B$1,2)</f>
        <v/>
      </c>
      <c r="E46">
        <f>[1]!s_ipo_listeddate($A46)</f>
        <v/>
      </c>
    </row>
    <row r="47">
      <c r="A47">
        <f>_meta!A46</f>
        <v/>
      </c>
      <c r="B47">
        <f>[1]!S_INFO_NAME($A47)</f>
        <v/>
      </c>
      <c r="C47">
        <f>[1]!hks_info_industry_sw_2021($A47,$B$1,1)</f>
        <v/>
      </c>
      <c r="D47">
        <f>[1]!hks_info_industry_sw_2021($A47,$B$1,2)</f>
        <v/>
      </c>
      <c r="E47">
        <f>[1]!s_ipo_listeddate($A47)</f>
        <v/>
      </c>
    </row>
    <row r="48">
      <c r="A48">
        <f>_meta!A47</f>
        <v/>
      </c>
      <c r="B48">
        <f>[1]!S_INFO_NAME($A48)</f>
        <v/>
      </c>
      <c r="C48">
        <f>[1]!hks_info_industry_sw_2021($A48,$B$1,1)</f>
        <v/>
      </c>
      <c r="D48">
        <f>[1]!hks_info_industry_sw_2021($A48,$B$1,2)</f>
        <v/>
      </c>
      <c r="E48">
        <f>[1]!s_ipo_listeddate($A48)</f>
        <v/>
      </c>
    </row>
    <row r="49">
      <c r="A49">
        <f>_meta!A48</f>
        <v/>
      </c>
      <c r="B49">
        <f>[1]!S_INFO_NAME($A49)</f>
        <v/>
      </c>
      <c r="C49">
        <f>[1]!hks_info_industry_sw_2021($A49,$B$1,1)</f>
        <v/>
      </c>
      <c r="D49">
        <f>[1]!hks_info_industry_sw_2021($A49,$B$1,2)</f>
        <v/>
      </c>
      <c r="E49">
        <f>[1]!s_ipo_listeddate($A49)</f>
        <v/>
      </c>
    </row>
    <row r="50">
      <c r="A50">
        <f>_meta!A49</f>
        <v/>
      </c>
      <c r="B50">
        <f>[1]!S_INFO_NAME($A50)</f>
        <v/>
      </c>
      <c r="C50">
        <f>[1]!hks_info_industry_sw_2021($A50,$B$1,1)</f>
        <v/>
      </c>
      <c r="D50">
        <f>[1]!hks_info_industry_sw_2021($A50,$B$1,2)</f>
        <v/>
      </c>
      <c r="E50">
        <f>[1]!s_ipo_listeddate($A50)</f>
        <v/>
      </c>
    </row>
    <row r="51">
      <c r="A51">
        <f>_meta!A50</f>
        <v/>
      </c>
      <c r="B51">
        <f>[1]!S_INFO_NAME($A51)</f>
        <v/>
      </c>
      <c r="C51">
        <f>[1]!hks_info_industry_sw_2021($A51,$B$1,1)</f>
        <v/>
      </c>
      <c r="D51">
        <f>[1]!hks_info_industry_sw_2021($A51,$B$1,2)</f>
        <v/>
      </c>
      <c r="E51">
        <f>[1]!s_ipo_listeddate($A51)</f>
        <v/>
      </c>
    </row>
    <row r="52">
      <c r="A52">
        <f>_meta!A51</f>
        <v/>
      </c>
      <c r="B52">
        <f>[1]!S_INFO_NAME($A52)</f>
        <v/>
      </c>
      <c r="C52">
        <f>[1]!hks_info_industry_sw_2021($A52,$B$1,1)</f>
        <v/>
      </c>
      <c r="D52">
        <f>[1]!hks_info_industry_sw_2021($A52,$B$1,2)</f>
        <v/>
      </c>
      <c r="E52">
        <f>[1]!s_ipo_listeddate($A52)</f>
        <v/>
      </c>
    </row>
    <row r="53">
      <c r="A53">
        <f>_meta!A52</f>
        <v/>
      </c>
      <c r="B53">
        <f>[1]!S_INFO_NAME($A53)</f>
        <v/>
      </c>
      <c r="C53">
        <f>[1]!hks_info_industry_sw_2021($A53,$B$1,1)</f>
        <v/>
      </c>
      <c r="D53">
        <f>[1]!hks_info_industry_sw_2021($A53,$B$1,2)</f>
        <v/>
      </c>
      <c r="E53">
        <f>[1]!s_ipo_listeddate($A53)</f>
        <v/>
      </c>
    </row>
    <row r="54">
      <c r="A54">
        <f>_meta!A53</f>
        <v/>
      </c>
      <c r="B54">
        <f>[1]!S_INFO_NAME($A54)</f>
        <v/>
      </c>
      <c r="C54">
        <f>[1]!hks_info_industry_sw_2021($A54,$B$1,1)</f>
        <v/>
      </c>
      <c r="D54">
        <f>[1]!hks_info_industry_sw_2021($A54,$B$1,2)</f>
        <v/>
      </c>
      <c r="E54">
        <f>[1]!s_ipo_listeddate($A54)</f>
        <v/>
      </c>
    </row>
    <row r="55">
      <c r="A55">
        <f>_meta!A54</f>
        <v/>
      </c>
      <c r="B55">
        <f>[1]!S_INFO_NAME($A55)</f>
        <v/>
      </c>
      <c r="C55">
        <f>[1]!hks_info_industry_sw_2021($A55,$B$1,1)</f>
        <v/>
      </c>
      <c r="D55">
        <f>[1]!hks_info_industry_sw_2021($A55,$B$1,2)</f>
        <v/>
      </c>
      <c r="E55">
        <f>[1]!s_ipo_listeddate($A55)</f>
        <v/>
      </c>
    </row>
    <row r="56">
      <c r="A56">
        <f>_meta!A55</f>
        <v/>
      </c>
      <c r="B56">
        <f>[1]!S_INFO_NAME($A56)</f>
        <v/>
      </c>
      <c r="C56">
        <f>[1]!hks_info_industry_sw_2021($A56,$B$1,1)</f>
        <v/>
      </c>
      <c r="D56">
        <f>[1]!hks_info_industry_sw_2021($A56,$B$1,2)</f>
        <v/>
      </c>
      <c r="E56">
        <f>[1]!s_ipo_listeddate($A56)</f>
        <v/>
      </c>
    </row>
    <row r="57">
      <c r="A57">
        <f>_meta!A56</f>
        <v/>
      </c>
      <c r="B57">
        <f>[1]!S_INFO_NAME($A57)</f>
        <v/>
      </c>
      <c r="C57">
        <f>[1]!hks_info_industry_sw_2021($A57,$B$1,1)</f>
        <v/>
      </c>
      <c r="D57">
        <f>[1]!hks_info_industry_sw_2021($A57,$B$1,2)</f>
        <v/>
      </c>
      <c r="E57">
        <f>[1]!s_ipo_listeddate($A57)</f>
        <v/>
      </c>
    </row>
    <row r="58">
      <c r="A58">
        <f>_meta!A57</f>
        <v/>
      </c>
      <c r="B58">
        <f>[1]!S_INFO_NAME($A58)</f>
        <v/>
      </c>
      <c r="C58">
        <f>[1]!hks_info_industry_sw_2021($A58,$B$1,1)</f>
        <v/>
      </c>
      <c r="D58">
        <f>[1]!hks_info_industry_sw_2021($A58,$B$1,2)</f>
        <v/>
      </c>
      <c r="E58">
        <f>[1]!s_ipo_listeddate($A58)</f>
        <v/>
      </c>
    </row>
    <row r="59">
      <c r="A59">
        <f>_meta!A58</f>
        <v/>
      </c>
      <c r="B59">
        <f>[1]!S_INFO_NAME($A59)</f>
        <v/>
      </c>
      <c r="C59">
        <f>[1]!hks_info_industry_sw_2021($A59,$B$1,1)</f>
        <v/>
      </c>
      <c r="D59">
        <f>[1]!hks_info_industry_sw_2021($A59,$B$1,2)</f>
        <v/>
      </c>
      <c r="E59">
        <f>[1]!s_ipo_listeddate($A59)</f>
        <v/>
      </c>
    </row>
    <row r="60">
      <c r="A60">
        <f>_meta!A59</f>
        <v/>
      </c>
      <c r="B60">
        <f>[1]!S_INFO_NAME($A60)</f>
        <v/>
      </c>
      <c r="C60">
        <f>[1]!hks_info_industry_sw_2021($A60,$B$1,1)</f>
        <v/>
      </c>
      <c r="D60">
        <f>[1]!hks_info_industry_sw_2021($A60,$B$1,2)</f>
        <v/>
      </c>
      <c r="E60">
        <f>[1]!s_ipo_listeddate($A60)</f>
        <v/>
      </c>
    </row>
    <row r="61">
      <c r="A61">
        <f>_meta!A60</f>
        <v/>
      </c>
      <c r="B61">
        <f>[1]!S_INFO_NAME($A61)</f>
        <v/>
      </c>
      <c r="C61">
        <f>[1]!hks_info_industry_sw_2021($A61,$B$1,1)</f>
        <v/>
      </c>
      <c r="D61">
        <f>[1]!hks_info_industry_sw_2021($A61,$B$1,2)</f>
        <v/>
      </c>
      <c r="E61">
        <f>[1]!s_ipo_listeddate($A61)</f>
        <v/>
      </c>
    </row>
    <row r="62">
      <c r="A62">
        <f>_meta!A61</f>
        <v/>
      </c>
      <c r="B62">
        <f>[1]!S_INFO_NAME($A62)</f>
        <v/>
      </c>
      <c r="C62">
        <f>[1]!hks_info_industry_sw_2021($A62,$B$1,1)</f>
        <v/>
      </c>
      <c r="D62">
        <f>[1]!hks_info_industry_sw_2021($A62,$B$1,2)</f>
        <v/>
      </c>
      <c r="E62">
        <f>[1]!s_ipo_listeddate($A62)</f>
        <v/>
      </c>
    </row>
    <row r="63">
      <c r="A63">
        <f>_meta!A62</f>
        <v/>
      </c>
      <c r="B63">
        <f>[1]!S_INFO_NAME($A63)</f>
        <v/>
      </c>
      <c r="C63">
        <f>[1]!hks_info_industry_sw_2021($A63,$B$1,1)</f>
        <v/>
      </c>
      <c r="D63">
        <f>[1]!hks_info_industry_sw_2021($A63,$B$1,2)</f>
        <v/>
      </c>
      <c r="E63">
        <f>[1]!s_ipo_listeddate($A63)</f>
        <v/>
      </c>
    </row>
    <row r="64">
      <c r="A64">
        <f>_meta!A63</f>
        <v/>
      </c>
      <c r="B64">
        <f>[1]!S_INFO_NAME($A64)</f>
        <v/>
      </c>
      <c r="C64">
        <f>[1]!hks_info_industry_sw_2021($A64,$B$1,1)</f>
        <v/>
      </c>
      <c r="D64">
        <f>[1]!hks_info_industry_sw_2021($A64,$B$1,2)</f>
        <v/>
      </c>
      <c r="E64">
        <f>[1]!s_ipo_listeddate($A64)</f>
        <v/>
      </c>
    </row>
    <row r="65">
      <c r="A65">
        <f>_meta!A64</f>
        <v/>
      </c>
      <c r="B65">
        <f>[1]!S_INFO_NAME($A65)</f>
        <v/>
      </c>
      <c r="C65">
        <f>[1]!hks_info_industry_sw_2021($A65,$B$1,1)</f>
        <v/>
      </c>
      <c r="D65">
        <f>[1]!hks_info_industry_sw_2021($A65,$B$1,2)</f>
        <v/>
      </c>
      <c r="E65">
        <f>[1]!s_ipo_listeddate($A65)</f>
        <v/>
      </c>
    </row>
    <row r="66">
      <c r="A66">
        <f>_meta!A65</f>
        <v/>
      </c>
      <c r="B66">
        <f>[1]!S_INFO_NAME($A66)</f>
        <v/>
      </c>
      <c r="C66">
        <f>[1]!hks_info_industry_sw_2021($A66,$B$1,1)</f>
        <v/>
      </c>
      <c r="D66">
        <f>[1]!hks_info_industry_sw_2021($A66,$B$1,2)</f>
        <v/>
      </c>
      <c r="E66">
        <f>[1]!s_ipo_listeddate($A66)</f>
        <v/>
      </c>
    </row>
    <row r="67">
      <c r="A67">
        <f>_meta!A66</f>
        <v/>
      </c>
      <c r="B67">
        <f>[1]!S_INFO_NAME($A67)</f>
        <v/>
      </c>
      <c r="C67">
        <f>[1]!hks_info_industry_sw_2021($A67,$B$1,1)</f>
        <v/>
      </c>
      <c r="D67">
        <f>[1]!hks_info_industry_sw_2021($A67,$B$1,2)</f>
        <v/>
      </c>
      <c r="E67">
        <f>[1]!s_ipo_listeddate($A67)</f>
        <v/>
      </c>
    </row>
    <row r="68">
      <c r="A68">
        <f>_meta!A67</f>
        <v/>
      </c>
      <c r="B68">
        <f>[1]!S_INFO_NAME($A68)</f>
        <v/>
      </c>
      <c r="C68">
        <f>[1]!hks_info_industry_sw_2021($A68,$B$1,1)</f>
        <v/>
      </c>
      <c r="D68">
        <f>[1]!hks_info_industry_sw_2021($A68,$B$1,2)</f>
        <v/>
      </c>
      <c r="E68">
        <f>[1]!s_ipo_listeddate($A68)</f>
        <v/>
      </c>
    </row>
    <row r="69">
      <c r="A69">
        <f>_meta!A68</f>
        <v/>
      </c>
      <c r="B69">
        <f>[1]!S_INFO_NAME($A69)</f>
        <v/>
      </c>
      <c r="C69">
        <f>[1]!hks_info_industry_sw_2021($A69,$B$1,1)</f>
        <v/>
      </c>
      <c r="D69">
        <f>[1]!hks_info_industry_sw_2021($A69,$B$1,2)</f>
        <v/>
      </c>
      <c r="E69">
        <f>[1]!s_ipo_listeddate($A69)</f>
        <v/>
      </c>
    </row>
    <row r="70">
      <c r="A70">
        <f>_meta!A69</f>
        <v/>
      </c>
      <c r="B70">
        <f>[1]!S_INFO_NAME($A70)</f>
        <v/>
      </c>
      <c r="C70">
        <f>[1]!hks_info_industry_sw_2021($A70,$B$1,1)</f>
        <v/>
      </c>
      <c r="D70">
        <f>[1]!hks_info_industry_sw_2021($A70,$B$1,2)</f>
        <v/>
      </c>
      <c r="E70">
        <f>[1]!s_ipo_listeddate($A70)</f>
        <v/>
      </c>
    </row>
    <row r="71">
      <c r="A71">
        <f>_meta!A70</f>
        <v/>
      </c>
      <c r="B71">
        <f>[1]!S_INFO_NAME($A71)</f>
        <v/>
      </c>
      <c r="C71">
        <f>[1]!hks_info_industry_sw_2021($A71,$B$1,1)</f>
        <v/>
      </c>
      <c r="D71">
        <f>[1]!hks_info_industry_sw_2021($A71,$B$1,2)</f>
        <v/>
      </c>
      <c r="E71">
        <f>[1]!s_ipo_listeddate($A71)</f>
        <v/>
      </c>
    </row>
    <row r="72">
      <c r="A72">
        <f>_meta!A71</f>
        <v/>
      </c>
      <c r="B72">
        <f>[1]!S_INFO_NAME($A72)</f>
        <v/>
      </c>
      <c r="C72">
        <f>[1]!hks_info_industry_sw_2021($A72,$B$1,1)</f>
        <v/>
      </c>
      <c r="D72">
        <f>[1]!hks_info_industry_sw_2021($A72,$B$1,2)</f>
        <v/>
      </c>
      <c r="E72">
        <f>[1]!s_ipo_listeddate($A72)</f>
        <v/>
      </c>
    </row>
    <row r="73">
      <c r="A73">
        <f>_meta!A72</f>
        <v/>
      </c>
      <c r="B73">
        <f>[1]!S_INFO_NAME($A73)</f>
        <v/>
      </c>
      <c r="C73">
        <f>[1]!hks_info_industry_sw_2021($A73,$B$1,1)</f>
        <v/>
      </c>
      <c r="D73">
        <f>[1]!hks_info_industry_sw_2021($A73,$B$1,2)</f>
        <v/>
      </c>
      <c r="E73">
        <f>[1]!s_ipo_listeddate($A73)</f>
        <v/>
      </c>
    </row>
    <row r="74">
      <c r="A74">
        <f>_meta!A73</f>
        <v/>
      </c>
      <c r="B74">
        <f>[1]!S_INFO_NAME($A74)</f>
        <v/>
      </c>
      <c r="C74">
        <f>[1]!hks_info_industry_sw_2021($A74,$B$1,1)</f>
        <v/>
      </c>
      <c r="D74">
        <f>[1]!hks_info_industry_sw_2021($A74,$B$1,2)</f>
        <v/>
      </c>
      <c r="E74">
        <f>[1]!s_ipo_listeddate($A74)</f>
        <v/>
      </c>
    </row>
    <row r="75">
      <c r="A75">
        <f>_meta!A74</f>
        <v/>
      </c>
      <c r="B75">
        <f>[1]!S_INFO_NAME($A75)</f>
        <v/>
      </c>
      <c r="C75">
        <f>[1]!hks_info_industry_sw_2021($A75,$B$1,1)</f>
        <v/>
      </c>
      <c r="D75">
        <f>[1]!hks_info_industry_sw_2021($A75,$B$1,2)</f>
        <v/>
      </c>
      <c r="E75">
        <f>[1]!s_ipo_listeddate($A75)</f>
        <v/>
      </c>
    </row>
    <row r="76">
      <c r="A76">
        <f>_meta!A75</f>
        <v/>
      </c>
      <c r="B76">
        <f>[1]!S_INFO_NAME($A76)</f>
        <v/>
      </c>
      <c r="C76">
        <f>[1]!hks_info_industry_sw_2021($A76,$B$1,1)</f>
        <v/>
      </c>
      <c r="D76">
        <f>[1]!hks_info_industry_sw_2021($A76,$B$1,2)</f>
        <v/>
      </c>
      <c r="E76">
        <f>[1]!s_ipo_listeddate($A76)</f>
        <v/>
      </c>
    </row>
    <row r="77">
      <c r="A77">
        <f>_meta!A76</f>
        <v/>
      </c>
      <c r="B77">
        <f>[1]!S_INFO_NAME($A77)</f>
        <v/>
      </c>
      <c r="C77">
        <f>[1]!hks_info_industry_sw_2021($A77,$B$1,1)</f>
        <v/>
      </c>
      <c r="D77">
        <f>[1]!hks_info_industry_sw_2021($A77,$B$1,2)</f>
        <v/>
      </c>
      <c r="E77">
        <f>[1]!s_ipo_listeddate($A77)</f>
        <v/>
      </c>
    </row>
    <row r="78">
      <c r="A78">
        <f>_meta!A77</f>
        <v/>
      </c>
      <c r="B78">
        <f>[1]!S_INFO_NAME($A78)</f>
        <v/>
      </c>
      <c r="C78">
        <f>[1]!hks_info_industry_sw_2021($A78,$B$1,1)</f>
        <v/>
      </c>
      <c r="D78">
        <f>[1]!hks_info_industry_sw_2021($A78,$B$1,2)</f>
        <v/>
      </c>
      <c r="E78">
        <f>[1]!s_ipo_listeddate($A78)</f>
        <v/>
      </c>
    </row>
    <row r="79">
      <c r="A79">
        <f>_meta!A78</f>
        <v/>
      </c>
      <c r="B79">
        <f>[1]!S_INFO_NAME($A79)</f>
        <v/>
      </c>
      <c r="C79">
        <f>[1]!hks_info_industry_sw_2021($A79,$B$1,1)</f>
        <v/>
      </c>
      <c r="D79">
        <f>[1]!hks_info_industry_sw_2021($A79,$B$1,2)</f>
        <v/>
      </c>
      <c r="E79">
        <f>[1]!s_ipo_listeddate($A79)</f>
        <v/>
      </c>
    </row>
    <row r="80">
      <c r="A80">
        <f>_meta!A79</f>
        <v/>
      </c>
      <c r="B80">
        <f>[1]!S_INFO_NAME($A80)</f>
        <v/>
      </c>
      <c r="C80">
        <f>[1]!hks_info_industry_sw_2021($A80,$B$1,1)</f>
        <v/>
      </c>
      <c r="D80">
        <f>[1]!hks_info_industry_sw_2021($A80,$B$1,2)</f>
        <v/>
      </c>
      <c r="E80">
        <f>[1]!s_ipo_listeddate($A80)</f>
        <v/>
      </c>
    </row>
    <row r="81">
      <c r="A81">
        <f>_meta!A80</f>
        <v/>
      </c>
      <c r="B81">
        <f>[1]!S_INFO_NAME($A81)</f>
        <v/>
      </c>
      <c r="C81">
        <f>[1]!hks_info_industry_sw_2021($A81,$B$1,1)</f>
        <v/>
      </c>
      <c r="D81">
        <f>[1]!hks_info_industry_sw_2021($A81,$B$1,2)</f>
        <v/>
      </c>
      <c r="E81">
        <f>[1]!s_ipo_listeddate($A81)</f>
        <v/>
      </c>
    </row>
    <row r="82">
      <c r="A82">
        <f>_meta!A81</f>
        <v/>
      </c>
      <c r="B82">
        <f>[1]!S_INFO_NAME($A82)</f>
        <v/>
      </c>
      <c r="C82">
        <f>[1]!hks_info_industry_sw_2021($A82,$B$1,1)</f>
        <v/>
      </c>
      <c r="D82">
        <f>[1]!hks_info_industry_sw_2021($A82,$B$1,2)</f>
        <v/>
      </c>
      <c r="E82">
        <f>[1]!s_ipo_listeddate($A82)</f>
        <v/>
      </c>
    </row>
    <row r="83">
      <c r="A83">
        <f>_meta!A82</f>
        <v/>
      </c>
      <c r="B83">
        <f>[1]!S_INFO_NAME($A83)</f>
        <v/>
      </c>
      <c r="C83">
        <f>[1]!hks_info_industry_sw_2021($A83,$B$1,1)</f>
        <v/>
      </c>
      <c r="D83">
        <f>[1]!hks_info_industry_sw_2021($A83,$B$1,2)</f>
        <v/>
      </c>
      <c r="E83">
        <f>[1]!s_ipo_listeddate($A83)</f>
        <v/>
      </c>
    </row>
    <row r="84">
      <c r="A84">
        <f>_meta!A83</f>
        <v/>
      </c>
      <c r="B84">
        <f>[1]!S_INFO_NAME($A84)</f>
        <v/>
      </c>
      <c r="C84">
        <f>[1]!hks_info_industry_sw_2021($A84,$B$1,1)</f>
        <v/>
      </c>
      <c r="D84">
        <f>[1]!hks_info_industry_sw_2021($A84,$B$1,2)</f>
        <v/>
      </c>
      <c r="E84">
        <f>[1]!s_ipo_listeddate($A84)</f>
        <v/>
      </c>
    </row>
    <row r="85">
      <c r="A85">
        <f>_meta!A84</f>
        <v/>
      </c>
      <c r="B85">
        <f>[1]!S_INFO_NAME($A85)</f>
        <v/>
      </c>
      <c r="C85">
        <f>[1]!hks_info_industry_sw_2021($A85,$B$1,1)</f>
        <v/>
      </c>
      <c r="D85">
        <f>[1]!hks_info_industry_sw_2021($A85,$B$1,2)</f>
        <v/>
      </c>
      <c r="E85">
        <f>[1]!s_ipo_listeddate($A85)</f>
        <v/>
      </c>
    </row>
    <row r="86">
      <c r="A86">
        <f>_meta!A85</f>
        <v/>
      </c>
      <c r="B86">
        <f>[1]!S_INFO_NAME($A86)</f>
        <v/>
      </c>
      <c r="C86">
        <f>[1]!hks_info_industry_sw_2021($A86,$B$1,1)</f>
        <v/>
      </c>
      <c r="D86">
        <f>[1]!hks_info_industry_sw_2021($A86,$B$1,2)</f>
        <v/>
      </c>
      <c r="E86">
        <f>[1]!s_ipo_listeddate($A86)</f>
        <v/>
      </c>
    </row>
    <row r="87">
      <c r="A87">
        <f>_meta!A86</f>
        <v/>
      </c>
      <c r="B87">
        <f>[1]!S_INFO_NAME($A87)</f>
        <v/>
      </c>
      <c r="C87">
        <f>[1]!hks_info_industry_sw_2021($A87,$B$1,1)</f>
        <v/>
      </c>
      <c r="D87">
        <f>[1]!hks_info_industry_sw_2021($A87,$B$1,2)</f>
        <v/>
      </c>
      <c r="E87">
        <f>[1]!s_ipo_listeddate($A87)</f>
        <v/>
      </c>
    </row>
    <row r="88">
      <c r="A88">
        <f>_meta!A87</f>
        <v/>
      </c>
      <c r="B88">
        <f>[1]!S_INFO_NAME($A88)</f>
        <v/>
      </c>
      <c r="C88">
        <f>[1]!hks_info_industry_sw_2021($A88,$B$1,1)</f>
        <v/>
      </c>
      <c r="D88">
        <f>[1]!hks_info_industry_sw_2021($A88,$B$1,2)</f>
        <v/>
      </c>
      <c r="E88">
        <f>[1]!s_ipo_listeddate($A88)</f>
        <v/>
      </c>
    </row>
    <row r="89">
      <c r="A89">
        <f>_meta!A88</f>
        <v/>
      </c>
      <c r="B89">
        <f>[1]!S_INFO_NAME($A89)</f>
        <v/>
      </c>
      <c r="C89">
        <f>[1]!hks_info_industry_sw_2021($A89,$B$1,1)</f>
        <v/>
      </c>
      <c r="D89">
        <f>[1]!hks_info_industry_sw_2021($A89,$B$1,2)</f>
        <v/>
      </c>
      <c r="E89">
        <f>[1]!s_ipo_listeddate($A89)</f>
        <v/>
      </c>
    </row>
    <row r="90">
      <c r="A90">
        <f>_meta!A89</f>
        <v/>
      </c>
      <c r="B90">
        <f>[1]!S_INFO_NAME($A90)</f>
        <v/>
      </c>
      <c r="C90">
        <f>[1]!hks_info_industry_sw_2021($A90,$B$1,1)</f>
        <v/>
      </c>
      <c r="D90">
        <f>[1]!hks_info_industry_sw_2021($A90,$B$1,2)</f>
        <v/>
      </c>
      <c r="E90">
        <f>[1]!s_ipo_listeddate($A90)</f>
        <v/>
      </c>
    </row>
    <row r="91">
      <c r="A91">
        <f>_meta!A90</f>
        <v/>
      </c>
      <c r="B91">
        <f>[1]!S_INFO_NAME($A91)</f>
        <v/>
      </c>
      <c r="C91">
        <f>[1]!hks_info_industry_sw_2021($A91,$B$1,1)</f>
        <v/>
      </c>
      <c r="D91">
        <f>[1]!hks_info_industry_sw_2021($A91,$B$1,2)</f>
        <v/>
      </c>
      <c r="E91">
        <f>[1]!s_ipo_listeddate($A91)</f>
        <v/>
      </c>
    </row>
    <row r="92">
      <c r="A92">
        <f>_meta!A91</f>
        <v/>
      </c>
      <c r="B92">
        <f>[1]!S_INFO_NAME($A92)</f>
        <v/>
      </c>
      <c r="C92">
        <f>[1]!hks_info_industry_sw_2021($A92,$B$1,1)</f>
        <v/>
      </c>
      <c r="D92">
        <f>[1]!hks_info_industry_sw_2021($A92,$B$1,2)</f>
        <v/>
      </c>
      <c r="E92">
        <f>[1]!s_ipo_listeddate($A92)</f>
        <v/>
      </c>
    </row>
    <row r="93">
      <c r="A93">
        <f>_meta!A92</f>
        <v/>
      </c>
      <c r="B93">
        <f>[1]!S_INFO_NAME($A93)</f>
        <v/>
      </c>
      <c r="C93">
        <f>[1]!hks_info_industry_sw_2021($A93,$B$1,1)</f>
        <v/>
      </c>
      <c r="D93">
        <f>[1]!hks_info_industry_sw_2021($A93,$B$1,2)</f>
        <v/>
      </c>
      <c r="E93">
        <f>[1]!s_ipo_listeddate($A93)</f>
        <v/>
      </c>
    </row>
    <row r="94">
      <c r="A94">
        <f>_meta!A93</f>
        <v/>
      </c>
      <c r="B94">
        <f>[1]!S_INFO_NAME($A94)</f>
        <v/>
      </c>
      <c r="C94">
        <f>[1]!hks_info_industry_sw_2021($A94,$B$1,1)</f>
        <v/>
      </c>
      <c r="D94">
        <f>[1]!hks_info_industry_sw_2021($A94,$B$1,2)</f>
        <v/>
      </c>
      <c r="E94">
        <f>[1]!s_ipo_listeddate($A94)</f>
        <v/>
      </c>
    </row>
    <row r="95">
      <c r="A95">
        <f>_meta!A94</f>
        <v/>
      </c>
      <c r="B95">
        <f>[1]!S_INFO_NAME($A95)</f>
        <v/>
      </c>
      <c r="C95">
        <f>[1]!hks_info_industry_sw_2021($A95,$B$1,1)</f>
        <v/>
      </c>
      <c r="D95">
        <f>[1]!hks_info_industry_sw_2021($A95,$B$1,2)</f>
        <v/>
      </c>
      <c r="E95">
        <f>[1]!s_ipo_listeddate($A95)</f>
        <v/>
      </c>
    </row>
    <row r="96">
      <c r="A96">
        <f>_meta!A95</f>
        <v/>
      </c>
      <c r="B96">
        <f>[1]!S_INFO_NAME($A96)</f>
        <v/>
      </c>
      <c r="C96">
        <f>[1]!hks_info_industry_sw_2021($A96,$B$1,1)</f>
        <v/>
      </c>
      <c r="D96">
        <f>[1]!hks_info_industry_sw_2021($A96,$B$1,2)</f>
        <v/>
      </c>
      <c r="E96">
        <f>[1]!s_ipo_listeddate($A96)</f>
        <v/>
      </c>
    </row>
    <row r="97">
      <c r="A97">
        <f>_meta!A96</f>
        <v/>
      </c>
      <c r="B97">
        <f>[1]!S_INFO_NAME($A97)</f>
        <v/>
      </c>
      <c r="C97">
        <f>[1]!hks_info_industry_sw_2021($A97,$B$1,1)</f>
        <v/>
      </c>
      <c r="D97">
        <f>[1]!hks_info_industry_sw_2021($A97,$B$1,2)</f>
        <v/>
      </c>
      <c r="E97">
        <f>[1]!s_ipo_listeddate($A97)</f>
        <v/>
      </c>
    </row>
    <row r="98">
      <c r="A98">
        <f>_meta!A97</f>
        <v/>
      </c>
      <c r="B98">
        <f>[1]!S_INFO_NAME($A98)</f>
        <v/>
      </c>
      <c r="C98">
        <f>[1]!hks_info_industry_sw_2021($A98,$B$1,1)</f>
        <v/>
      </c>
      <c r="D98">
        <f>[1]!hks_info_industry_sw_2021($A98,$B$1,2)</f>
        <v/>
      </c>
      <c r="E98">
        <f>[1]!s_ipo_listeddate($A98)</f>
        <v/>
      </c>
    </row>
    <row r="99">
      <c r="A99">
        <f>_meta!A98</f>
        <v/>
      </c>
      <c r="B99">
        <f>[1]!S_INFO_NAME($A99)</f>
        <v/>
      </c>
      <c r="C99">
        <f>[1]!hks_info_industry_sw_2021($A99,$B$1,1)</f>
        <v/>
      </c>
      <c r="D99">
        <f>[1]!hks_info_industry_sw_2021($A99,$B$1,2)</f>
        <v/>
      </c>
      <c r="E99">
        <f>[1]!s_ipo_listeddate($A99)</f>
        <v/>
      </c>
    </row>
    <row r="100">
      <c r="A100">
        <f>_meta!A99</f>
        <v/>
      </c>
      <c r="B100">
        <f>[1]!S_INFO_NAME($A100)</f>
        <v/>
      </c>
      <c r="C100">
        <f>[1]!hks_info_industry_sw_2021($A100,$B$1,1)</f>
        <v/>
      </c>
      <c r="D100">
        <f>[1]!hks_info_industry_sw_2021($A100,$B$1,2)</f>
        <v/>
      </c>
      <c r="E100">
        <f>[1]!s_ipo_listeddate($A100)</f>
        <v/>
      </c>
    </row>
    <row r="101">
      <c r="A101">
        <f>_meta!A100</f>
        <v/>
      </c>
      <c r="B101">
        <f>[1]!S_INFO_NAME($A101)</f>
        <v/>
      </c>
      <c r="C101">
        <f>[1]!hks_info_industry_sw_2021($A101,$B$1,1)</f>
        <v/>
      </c>
      <c r="D101">
        <f>[1]!hks_info_industry_sw_2021($A101,$B$1,2)</f>
        <v/>
      </c>
      <c r="E101">
        <f>[1]!s_ipo_listeddate($A101)</f>
        <v/>
      </c>
    </row>
    <row r="102">
      <c r="A102">
        <f>_meta!A101</f>
        <v/>
      </c>
      <c r="B102">
        <f>[1]!S_INFO_NAME($A102)</f>
        <v/>
      </c>
      <c r="C102">
        <f>[1]!hks_info_industry_sw_2021($A102,$B$1,1)</f>
        <v/>
      </c>
      <c r="D102">
        <f>[1]!hks_info_industry_sw_2021($A102,$B$1,2)</f>
        <v/>
      </c>
      <c r="E102">
        <f>[1]!s_ipo_listeddate($A102)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观测日期→</t>
        </is>
      </c>
      <c r="B1">
        <f>TODAY()</f>
        <v/>
      </c>
    </row>
    <row r="2">
      <c r="A2" s="35" t="inlineStr">
        <is>
          <t>代码</t>
        </is>
      </c>
      <c r="B2" s="35" t="inlineStr">
        <is>
          <t>收盘</t>
        </is>
      </c>
      <c r="C2" s="35" t="inlineStr">
        <is>
          <t>名称</t>
        </is>
      </c>
    </row>
    <row r="3">
      <c r="A3" t="inlineStr">
        <is>
          <t>HSTECH.HI</t>
        </is>
      </c>
      <c r="B3">
        <f>[1]!s_dq_close($A3,$B$1,3)</f>
        <v/>
      </c>
      <c r="C3" t="inlineStr">
        <is>
          <t>恒生科技指数</t>
        </is>
      </c>
    </row>
    <row r="4">
      <c r="A4" t="inlineStr">
        <is>
          <t>HSI.HI</t>
        </is>
      </c>
      <c r="B4">
        <f>[1]!s_dq_close($A4,$B$1,3)</f>
        <v/>
      </c>
      <c r="C4" t="inlineStr">
        <is>
          <t>恒生指数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macbook</dc:creator>
  <dcterms:created xmlns:dcterms="http://purl.org/dc/terms/" xmlns:xsi="http://www.w3.org/2001/XMLSchema-instance" xsi:type="dcterms:W3CDTF">2026-05-19T01:56:00Z</dcterms:created>
  <dcterms:modified xmlns:dcterms="http://purl.org/dc/terms/" xmlns:xsi="http://www.w3.org/2001/XMLSchema-instance" xsi:type="dcterms:W3CDTF">2026-05-22T09:54:06Z</dcterms:modified>
  <cp:lastModifiedBy>Elsie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57C655C77D574BA942E20A6ABBEBDA10_41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1</vt:i4>
  </property>
</Properties>
</file>