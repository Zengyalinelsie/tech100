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macbook/Desktop/tech100/templates/"/>
    </mc:Choice>
  </mc:AlternateContent>
  <xr:revisionPtr revIDLastSave="0" documentId="13_ncr:1_{330F0E4E-6A80-2E41-8209-90953A51A345}" xr6:coauthVersionLast="47" xr6:coauthVersionMax="47" xr10:uidLastSave="{00000000-0000-0000-0000-000000000000}"/>
  <bookViews>
    <workbookView xWindow="12720" yWindow="660" windowWidth="27980" windowHeight="14640" xr2:uid="{00000000-000D-0000-FFFF-FFFF00000000}"/>
  </bookViews>
  <sheets>
    <sheet name="Sheet1" sheetId="1" r:id="rId1"/>
  </sheets>
  <externalReferences>
    <externalReference r:id="rId2"/>
  </externalReferences>
  <definedNames>
    <definedName name="____NAV3">IF(tType="N","EV/Ebitda","Pre-Provision Profits")</definedName>
    <definedName name="tType">"N"</definedName>
  </definedNames>
  <calcPr calcId="191029" iterate="1" iterateCount="20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" i="1"/>
  <c r="C8" i="1"/>
  <c r="C3" i="1"/>
  <c r="C7" i="1"/>
  <c r="C6" i="1"/>
  <c r="C5" i="1"/>
  <c r="B8" i="1"/>
  <c r="B3" i="1"/>
  <c r="B7" i="1"/>
  <c r="B5" i="1"/>
  <c r="C4" i="1"/>
  <c r="B6" i="1"/>
  <c r="B4" i="1"/>
  <c r="B11" i="1" a="1"/>
  <c r="B11" i="1"/>
  <c r="C11" i="1" a="1"/>
  <c r="C11" i="1"/>
  <c r="B12" i="1" a="1"/>
  <c r="B12" i="1"/>
  <c r="C12" i="1" a="1"/>
  <c r="C12" i="1"/>
  <c r="B13" i="1" a="1"/>
  <c r="B13" i="1"/>
  <c r="C13" i="1" a="1"/>
  <c r="C13" i="1"/>
  <c r="B14" i="1" a="1"/>
  <c r="B14" i="1"/>
  <c r="C14" i="1" a="1"/>
  <c r="C14" i="1"/>
  <c r="B15" i="1" a="1"/>
  <c r="B15" i="1"/>
  <c r="C15" i="1" a="1"/>
  <c r="C15" i="1"/>
  <c r="B16" i="1" a="1"/>
  <c r="B16" i="1"/>
  <c r="C16" i="1" a="1"/>
  <c r="C16" i="1"/>
  <c r="B17" i="1" a="1"/>
  <c r="B17" i="1"/>
  <c r="C17" i="1" a="1"/>
  <c r="C17" i="1"/>
  <c r="B18" i="1" a="1"/>
  <c r="B18" i="1"/>
  <c r="C18" i="1" a="1"/>
  <c r="C18" i="1"/>
  <c r="B19" i="1" a="1"/>
  <c r="B19" i="1"/>
  <c r="C19" i="1" a="1"/>
  <c r="C19" i="1"/>
  <c r="B20" i="1" a="1"/>
  <c r="B20" i="1"/>
  <c r="C20" i="1" a="1"/>
  <c r="C20" i="1"/>
  <c r="B21" i="1" a="1"/>
  <c r="B21" i="1"/>
  <c r="C21" i="1" a="1"/>
  <c r="C21" i="1"/>
  <c r="B22" i="1" a="1"/>
  <c r="B22" i="1"/>
  <c r="C22" i="1" a="1"/>
  <c r="C22" i="1"/>
  <c r="B23" i="1" a="1"/>
  <c r="B23" i="1"/>
  <c r="C23" i="1" a="1"/>
  <c r="C23" i="1"/>
  <c r="B24" i="1" a="1"/>
  <c r="B24" i="1"/>
  <c r="C24" i="1" a="1"/>
  <c r="C24" i="1"/>
  <c r="B25" i="1" a="1"/>
  <c r="B25" i="1"/>
  <c r="C25" i="1" a="1"/>
  <c r="C25" i="1"/>
  <c r="B26" i="1" a="1"/>
  <c r="B26" i="1"/>
  <c r="C26" i="1" a="1"/>
  <c r="C26" i="1"/>
  <c r="B27" i="1" a="1"/>
  <c r="B27" i="1"/>
  <c r="C27" i="1" a="1"/>
  <c r="C27" i="1"/>
  <c r="B28" i="1" a="1"/>
  <c r="B28" i="1"/>
  <c r="C28" i="1" a="1"/>
  <c r="C28" i="1"/>
  <c r="B29" i="1" a="1"/>
  <c r="B29" i="1"/>
  <c r="C29" i="1" a="1"/>
  <c r="C29" i="1"/>
  <c r="B30" i="1" a="1"/>
  <c r="B30" i="1"/>
  <c r="C30" i="1" a="1"/>
  <c r="C30" i="1"/>
  <c r="B31" i="1" a="1"/>
  <c r="B31" i="1"/>
  <c r="C31" i="1" a="1"/>
  <c r="C31" i="1"/>
  <c r="B32" i="1" a="1"/>
  <c r="B32" i="1"/>
  <c r="C32" i="1" a="1"/>
  <c r="C32" i="1"/>
  <c r="B33" i="1" a="1"/>
  <c r="B33" i="1"/>
  <c r="C33" i="1" a="1"/>
  <c r="C33" i="1"/>
  <c r="B34" i="1" a="1"/>
  <c r="B34" i="1"/>
  <c r="C34" i="1" a="1"/>
  <c r="C34" i="1"/>
  <c r="B35" i="1" a="1"/>
  <c r="B35" i="1"/>
  <c r="C35" i="1" a="1"/>
  <c r="C35" i="1"/>
  <c r="B36" i="1" a="1"/>
  <c r="B36" i="1"/>
  <c r="C36" i="1" a="1"/>
  <c r="C36" i="1"/>
  <c r="B37" i="1" a="1"/>
  <c r="B37" i="1"/>
  <c r="C37" i="1" a="1"/>
  <c r="C37" i="1"/>
  <c r="B38" i="1" a="1"/>
  <c r="B38" i="1"/>
  <c r="C38" i="1" a="1"/>
  <c r="C38" i="1"/>
  <c r="B39" i="1" a="1"/>
  <c r="B39" i="1"/>
  <c r="C39" i="1" a="1"/>
  <c r="C39" i="1"/>
  <c r="B40" i="1" a="1"/>
  <c r="B40" i="1"/>
  <c r="C40" i="1" a="1"/>
  <c r="C40" i="1"/>
  <c r="B41" i="1" a="1"/>
  <c r="B41" i="1"/>
  <c r="C41" i="1" a="1"/>
  <c r="C41" i="1"/>
  <c r="B42" i="1" a="1"/>
  <c r="B42" i="1"/>
  <c r="C42" i="1" a="1"/>
  <c r="C42" i="1"/>
  <c r="B43" i="1" a="1"/>
  <c r="B43" i="1"/>
  <c r="C43" i="1" a="1"/>
  <c r="C43" i="1"/>
  <c r="B44" i="1" a="1"/>
  <c r="B44" i="1"/>
  <c r="C44" i="1" a="1"/>
  <c r="C44" i="1"/>
  <c r="B45" i="1" a="1"/>
  <c r="B45" i="1"/>
  <c r="C45" i="1" a="1"/>
  <c r="C45" i="1"/>
  <c r="B46" i="1" a="1"/>
  <c r="B46" i="1"/>
  <c r="C46" i="1" a="1"/>
  <c r="C46" i="1"/>
  <c r="B47" i="1" a="1"/>
  <c r="B47" i="1"/>
  <c r="C47" i="1" a="1"/>
  <c r="C47" i="1"/>
  <c r="B48" i="1" a="1"/>
  <c r="B48" i="1"/>
  <c r="C48" i="1" a="1"/>
  <c r="C48" i="1"/>
  <c r="B49" i="1" a="1"/>
  <c r="B49" i="1"/>
  <c r="C49" i="1" a="1"/>
  <c r="C49" i="1"/>
  <c r="B50" i="1" a="1"/>
  <c r="B50" i="1"/>
  <c r="C50" i="1" a="1"/>
  <c r="C50" i="1"/>
  <c r="B51" i="1" a="1"/>
  <c r="B51" i="1"/>
  <c r="C51" i="1" a="1"/>
  <c r="C51" i="1"/>
  <c r="B52" i="1" a="1"/>
  <c r="B52" i="1"/>
  <c r="C52" i="1" a="1"/>
  <c r="C52" i="1"/>
  <c r="B53" i="1" a="1"/>
  <c r="B53" i="1"/>
  <c r="C53" i="1" a="1"/>
  <c r="C53" i="1"/>
  <c r="B54" i="1" a="1"/>
  <c r="B54" i="1"/>
  <c r="C54" i="1" a="1"/>
  <c r="C54" i="1"/>
  <c r="B55" i="1" a="1"/>
  <c r="B55" i="1"/>
  <c r="C55" i="1" a="1"/>
  <c r="C55" i="1"/>
  <c r="B56" i="1" a="1"/>
  <c r="B56" i="1"/>
  <c r="C56" i="1" a="1"/>
  <c r="C56" i="1"/>
  <c r="B57" i="1" a="1"/>
  <c r="B57" i="1"/>
  <c r="C57" i="1" a="1"/>
  <c r="C57" i="1"/>
  <c r="B58" i="1" a="1"/>
  <c r="B58" i="1"/>
  <c r="C58" i="1" a="1"/>
  <c r="C58" i="1"/>
  <c r="B59" i="1" a="1"/>
  <c r="B59" i="1"/>
  <c r="C59" i="1" a="1"/>
  <c r="C59" i="1"/>
  <c r="B60" i="1" a="1"/>
  <c r="B60" i="1"/>
  <c r="C60" i="1" a="1"/>
  <c r="C60" i="1"/>
  <c r="B61" i="1" a="1"/>
  <c r="B61" i="1"/>
  <c r="C61" i="1" a="1"/>
  <c r="C61" i="1"/>
  <c r="B62" i="1" a="1"/>
  <c r="B62" i="1"/>
  <c r="C62" i="1" a="1"/>
  <c r="C62" i="1"/>
  <c r="B63" i="1" a="1"/>
  <c r="B63" i="1"/>
  <c r="C63" i="1" a="1"/>
  <c r="C63" i="1"/>
  <c r="B64" i="1" a="1"/>
  <c r="B64" i="1"/>
  <c r="C64" i="1" a="1"/>
  <c r="C64" i="1"/>
  <c r="B65" i="1" a="1"/>
  <c r="B65" i="1"/>
  <c r="C65" i="1" a="1"/>
  <c r="C65" i="1"/>
  <c r="B66" i="1" a="1"/>
  <c r="B66" i="1"/>
  <c r="C66" i="1" a="1"/>
  <c r="C66" i="1"/>
  <c r="B67" i="1" a="1"/>
  <c r="B67" i="1"/>
  <c r="C67" i="1" a="1"/>
  <c r="C67" i="1"/>
  <c r="B68" i="1" a="1"/>
  <c r="B68" i="1"/>
  <c r="C68" i="1" a="1"/>
  <c r="C68" i="1"/>
  <c r="B69" i="1" a="1"/>
  <c r="B69" i="1"/>
  <c r="C69" i="1" a="1"/>
  <c r="C69" i="1"/>
  <c r="B70" i="1" a="1"/>
  <c r="B70" i="1"/>
  <c r="C70" i="1" a="1"/>
  <c r="C70" i="1"/>
  <c r="B71" i="1" a="1"/>
  <c r="B71" i="1"/>
  <c r="C71" i="1" a="1"/>
  <c r="C71" i="1"/>
  <c r="B72" i="1" a="1"/>
  <c r="B72" i="1"/>
  <c r="C72" i="1" a="1"/>
  <c r="C72" i="1"/>
  <c r="B73" i="1" a="1"/>
  <c r="B73" i="1"/>
  <c r="C73" i="1" a="1"/>
  <c r="C73" i="1"/>
  <c r="B74" i="1" a="1"/>
  <c r="B74" i="1"/>
  <c r="C74" i="1" a="1"/>
  <c r="C74" i="1"/>
  <c r="B75" i="1" a="1"/>
  <c r="B75" i="1"/>
  <c r="C75" i="1" a="1"/>
  <c r="C75" i="1"/>
  <c r="B76" i="1" a="1"/>
  <c r="B76" i="1"/>
  <c r="C76" i="1" a="1"/>
  <c r="C76" i="1"/>
  <c r="B77" i="1" a="1"/>
  <c r="B77" i="1"/>
  <c r="C77" i="1" a="1"/>
  <c r="C77" i="1"/>
  <c r="B78" i="1" a="1"/>
  <c r="B78" i="1"/>
  <c r="C78" i="1" a="1"/>
  <c r="C78" i="1"/>
  <c r="B79" i="1" a="1"/>
  <c r="B79" i="1"/>
  <c r="C79" i="1" a="1"/>
  <c r="C79" i="1"/>
  <c r="B80" i="1" a="1"/>
  <c r="B80" i="1"/>
  <c r="C80" i="1" a="1"/>
  <c r="C80" i="1"/>
  <c r="B81" i="1" a="1"/>
  <c r="B81" i="1"/>
  <c r="C81" i="1" a="1"/>
  <c r="C81" i="1"/>
  <c r="B82" i="1" a="1"/>
  <c r="B82" i="1"/>
  <c r="C82" i="1" a="1"/>
  <c r="C82" i="1"/>
  <c r="B83" i="1" a="1"/>
  <c r="B83" i="1"/>
  <c r="C83" i="1" a="1"/>
  <c r="C83" i="1"/>
  <c r="B84" i="1" a="1"/>
  <c r="B84" i="1"/>
  <c r="C84" i="1" a="1"/>
  <c r="C84" i="1"/>
  <c r="B85" i="1" a="1"/>
  <c r="B85" i="1"/>
  <c r="C85" i="1" a="1"/>
  <c r="C85" i="1"/>
  <c r="B86" i="1" a="1"/>
  <c r="B86" i="1"/>
  <c r="C86" i="1" a="1"/>
  <c r="C86" i="1"/>
  <c r="B87" i="1" a="1"/>
  <c r="B87" i="1"/>
  <c r="C87" i="1" a="1"/>
  <c r="C87" i="1"/>
  <c r="B88" i="1" a="1"/>
  <c r="B88" i="1"/>
  <c r="C88" i="1" a="1"/>
  <c r="C88" i="1"/>
  <c r="B89" i="1" a="1"/>
  <c r="B89" i="1"/>
  <c r="C89" i="1" a="1"/>
  <c r="C89" i="1"/>
  <c r="B90" i="1" a="1"/>
  <c r="B90" i="1"/>
  <c r="C90" i="1" a="1"/>
  <c r="C90" i="1"/>
  <c r="B91" i="1" a="1"/>
  <c r="B91" i="1"/>
  <c r="C91" i="1" a="1"/>
  <c r="C91" i="1"/>
  <c r="B92" i="1" a="1"/>
  <c r="B92" i="1"/>
  <c r="C92" i="1" a="1"/>
  <c r="C92" i="1"/>
  <c r="B93" i="1" a="1"/>
  <c r="B93" i="1"/>
  <c r="C93" i="1" a="1"/>
  <c r="C93" i="1"/>
  <c r="B94" i="1" a="1"/>
  <c r="B94" i="1"/>
  <c r="C94" i="1" a="1"/>
  <c r="C94" i="1"/>
  <c r="B95" i="1" a="1"/>
  <c r="B95" i="1"/>
  <c r="C95" i="1" a="1"/>
  <c r="C95" i="1"/>
  <c r="B96" i="1" a="1"/>
  <c r="B96" i="1"/>
  <c r="C96" i="1" a="1"/>
  <c r="C96" i="1"/>
  <c r="B97" i="1" a="1"/>
  <c r="B97" i="1"/>
  <c r="C97" i="1" a="1"/>
  <c r="C97" i="1"/>
  <c r="B98" i="1" a="1"/>
  <c r="B98" i="1"/>
  <c r="C98" i="1" a="1"/>
  <c r="C98" i="1"/>
  <c r="B99" i="1" a="1"/>
  <c r="B99" i="1"/>
  <c r="C99" i="1" a="1"/>
  <c r="C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<sst xmlns="http://schemas.openxmlformats.org/spreadsheetml/2006/main" count="11" uniqueCount="11">
  <si>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r>
      <rPr>
        <b/>
        <sz val="14"/>
        <color theme="1"/>
        <rFont val="宋体"/>
        <family val="3"/>
        <charset val="134"/>
      </rPr>
      <t>一致预期</t>
    </r>
  </si>
  <si>
    <r>
      <rPr>
        <sz val="14"/>
        <color theme="1"/>
        <rFont val="宋体"/>
        <family val="3"/>
        <charset val="134"/>
      </rPr>
      <t>净利润预测机构家数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</si>
  <si>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宋体"/>
        <family val="3"/>
        <charset val="134"/>
      </rPr>
      <t>预测净利润平均值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</si>
  <si>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宋体"/>
        <family val="3"/>
        <charset val="134"/>
      </rPr>
      <t>预测净利润最大值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</si>
  <si>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宋体"/>
        <family val="3"/>
        <charset val="134"/>
      </rPr>
      <t>预测净利润最小值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)(</t>
    </r>
    <r>
      <rPr>
        <sz val="14"/>
        <color theme="1"/>
        <rFont val="宋体"/>
        <family val="3"/>
        <charset val="134"/>
      </rPr>
      <t>百万元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</si>
  <si>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预测净利润中值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</si>
  <si>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预测净利润标准差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可选类型</t>
    </r>
    <r>
      <rPr>
        <sz val="14"/>
        <color theme="1"/>
        <rFont val="Times New Roman"/>
        <family val="1"/>
      </rPr>
      <t>)</t>
    </r>
  </si>
  <si>
    <t>日期</t>
  </si>
  <si>
    <t>预测净利润平均值(可选类型)</t>
  </si>
  <si>
    <t>股价（HKD)</t>
  </si>
  <si>
    <t>今天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</si>
</sst>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0" formatCode="###,###,##0"/>
    <numFmt numFmtId="181" formatCode="###,###,##0.00"/>
  </numFmts>
  <fonts count="9">
    <font>
      <sz val="11"/>
      <color theme="1"/>
      <name val="宋体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180" fontId="2" fillId="0" borderId="0" xfId="1" applyNumberFormat="1" applyFont="1" applyAlignment="1">
      <alignment horizontal="center"/>
    </xf>
    <xf numFmtId="180" fontId="2" fillId="0" borderId="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180" fontId="2" fillId="0" borderId="7" xfId="1" applyNumberFormat="1" applyFont="1" applyBorder="1" applyAlignment="1">
      <alignment horizontal="center"/>
    </xf>
    <xf numFmtId="180" fontId="2" fillId="0" borderId="8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2" borderId="4" xfId="1" applyNumberFormat="1" applyFont="1" applyFill="1" applyBorder="1"/>
    <xf numFmtId="180" fontId="2" fillId="0" borderId="0" xfId="1" applyNumberFormat="1" applyFont="1"/>
    <xf numFmtId="181" fontId="2" fillId="0" borderId="5" xfId="1" applyNumberFormat="1" applyFont="1" applyBorder="1"/>
    <xf numFmtId="14" fontId="2" fillId="0" borderId="4" xfId="1" applyNumberFormat="1" applyFont="1" applyBorder="1"/>
    <xf numFmtId="14" fontId="2" fillId="0" borderId="6" xfId="1" applyNumberFormat="1" applyFont="1" applyBorder="1"/>
    <xf numFmtId="180" fontId="2" fillId="0" borderId="7" xfId="1" applyNumberFormat="1" applyFont="1" applyBorder="1"/>
    <xf numFmtId="181" fontId="2" fillId="0" borderId="8" xfId="1" applyNumberFormat="1" applyFont="1" applyBorder="1"/>
    <xf numFmtId="14" fontId="0" fillId="0" borderId="0" xfId="0" applyNumberFormat="1">
      <alignment vertical="center"/>
    </xf>
    <xf numFmtId="0" fontId="8" fillId="0" borderId="0" xfId="0" applyFont="1" applyAlignment="1"/>
  </cellXfs>
  <cellStyles count="2">
    <cellStyle name="Normal 7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s_dq_close"/>
      <definedName name="S_INFO_NAME"/>
      <definedName name="s_west_instnum_np"/>
      <definedName name="s_west_maxnetprofit"/>
      <definedName name="s_west_mediannetprofit"/>
      <definedName name="s_west_minnetprofit"/>
      <definedName name="s_west_netprofit"/>
      <definedName name="s_west_stdne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selection activeCell="B1" sqref="B1"/>
    </sheetView>
  </sheetViews>
  <sheetFormatPr baseColWidth="10" defaultColWidth="9.1640625" defaultRowHeight="14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5" thickBot="1">
      <c r="A1">
        <f>[1]!S_INFO_NAME($B$1)</f>
        <v>0</v>
      </c>
      <c r="B1" s="24"/>
      <c r="C1" t="s">
        <v>10</v>
      </c>
      <c r="D1" s="23">
        <f ca="1">TODAY()</f>
        <v>46160</v>
      </c>
    </row>
    <row r="2" spans="1:4" s="1" customFormat="1" ht="18">
      <c r="A2" s="2" t="s">
        <v>0</v>
      </c>
      <c r="B2" s="3">
        <v>2025</v>
      </c>
      <c r="C2" s="4">
        <v>2026</v>
      </c>
    </row>
    <row r="3" spans="1:4" s="1" customFormat="1" ht="18">
      <c r="A3" s="5" t="s">
        <v>1</v>
      </c>
      <c r="B3" s="6">
        <f ca="1">[1]!s_west_instnum_np($B$1,2025,$D$1,180)</f>
        <v>0</v>
      </c>
      <c r="C3" s="7">
        <f ca="1">[1]!s_west_instnum_np($B$1,2026,$D$1,180)</f>
        <v>0</v>
      </c>
    </row>
    <row r="4" spans="1:4" s="1" customFormat="1" ht="18">
      <c r="A4" s="5" t="s">
        <v>2</v>
      </c>
      <c r="B4" s="8">
        <f ca="1">[1]!s_west_instnum_np($A$1,2025,$D$1,180)</f>
        <v>0</v>
      </c>
      <c r="C4" s="9">
        <f ca="1">[1]!s_west_netprofit($B$1,2026,$D$1,180,1000000)</f>
        <v>0</v>
      </c>
    </row>
    <row r="5" spans="1:4" s="1" customFormat="1" ht="18">
      <c r="A5" s="5" t="s">
        <v>3</v>
      </c>
      <c r="B5" s="8">
        <f ca="1">[1]!s_west_maxnetprofit($B$1,2025,$D$1,180,1000000)</f>
        <v>0</v>
      </c>
      <c r="C5" s="9">
        <f ca="1">[1]!s_west_maxnetprofit($B$1,2026,$D$1,180,1000000)</f>
        <v>0</v>
      </c>
    </row>
    <row r="6" spans="1:4" s="1" customFormat="1" ht="18">
      <c r="A6" s="5" t="s">
        <v>4</v>
      </c>
      <c r="B6" s="8">
        <f ca="1">[1]!s_west_minnetprofit($B$1,2025,$D$1,180,1000000)</f>
        <v>0</v>
      </c>
      <c r="C6" s="9">
        <f ca="1">[1]!s_west_minnetprofit($B$1,2026,$D$1,180,1000000)</f>
        <v>0</v>
      </c>
    </row>
    <row r="7" spans="1:4" s="1" customFormat="1" ht="18">
      <c r="A7" s="5" t="s">
        <v>5</v>
      </c>
      <c r="B7" s="8">
        <f ca="1">[1]!s_west_mediannetprofit($B$1,2025,$D$1,180,1000000)</f>
        <v>0</v>
      </c>
      <c r="C7" s="9">
        <f ca="1">[1]!s_west_mediannetprofit($B$1,2026,$D$1,180,1000000)</f>
        <v>0</v>
      </c>
    </row>
    <row r="8" spans="1:4" s="1" customFormat="1" ht="18">
      <c r="A8" s="10" t="s">
        <v>6</v>
      </c>
      <c r="B8" s="11">
        <f ca="1">[1]!s_west_stdnetprofit($B$1,2025,$D$1,180,1000000)</f>
        <v>0</v>
      </c>
      <c r="C8" s="12">
        <f ca="1">[1]!s_west_stdnetprofit($B$1,2026,$D$1,180,1000000)</f>
        <v>0</v>
      </c>
    </row>
    <row r="10" spans="1:4" ht="16">
      <c r="A10" s="13" t="s">
        <v>7</v>
      </c>
      <c r="B10" s="14" t="s">
        <v>8</v>
      </c>
      <c r="C10" s="15" t="s">
        <v>9</v>
      </c>
    </row>
    <row r="11" spans="1:4" ht="18">
      <c r="A11" s="16">
        <f ca="1">TODAY()-IF(WEEKDAY(TODAY(),2)=6,1,IF(WEEKDAY(TODAY(),2)=7,2,0))</f>
        <v>46160</v>
      </c>
      <c r="B11" s="17" cm="1">
        <f t="array" aca="1" ref="B11" ca="1">[1]!s_west_netprofit($B$1,2026,$A11,180,1000000)</f>
        <v>0</v>
      </c>
      <c r="C11" s="18" cm="1">
        <f t="array" aca="1" ref="C11" ca="1">[1]!s_dq_close($B$1,$A11,3)</f>
        <v>0</v>
      </c>
    </row>
    <row r="12" spans="1:4" ht="18">
      <c r="A12" s="19">
        <f t="shared" ref="A12:A75" ca="1" si="0">A11-7</f>
        <v>46153</v>
      </c>
      <c r="B12" s="17" cm="1">
        <f t="array" aca="1" ref="B12" ca="1">[1]!s_west_netprofit($B$1,2026,$A12,180,1000000)</f>
        <v>0</v>
      </c>
      <c r="C12" s="18" cm="1">
        <f t="array" aca="1" ref="C12" ca="1">[1]!s_dq_close($B$1,$A12,3)</f>
        <v>0</v>
      </c>
    </row>
    <row r="13" spans="1:4" ht="18">
      <c r="A13" s="19">
        <f t="shared" ca="1" si="0"/>
        <v>46146</v>
      </c>
      <c r="B13" s="17" cm="1">
        <f t="array" aca="1" ref="B13" ca="1">[1]!s_west_netprofit($B$1,2026,$A13,180,1000000)</f>
        <v>0</v>
      </c>
      <c r="C13" s="18" cm="1">
        <f t="array" aca="1" ref="C13" ca="1">[1]!s_dq_close($B$1,$A13,3)</f>
        <v>0</v>
      </c>
    </row>
    <row r="14" spans="1:4" ht="18">
      <c r="A14" s="19">
        <f t="shared" ca="1" si="0"/>
        <v>46139</v>
      </c>
      <c r="B14" s="17" cm="1">
        <f t="array" aca="1" ref="B14" ca="1">[1]!s_west_netprofit($B$1,2026,$A14,180,1000000)</f>
        <v>0</v>
      </c>
      <c r="C14" s="18" cm="1">
        <f t="array" aca="1" ref="C14" ca="1">[1]!s_dq_close($B$1,$A14,3)</f>
        <v>0</v>
      </c>
    </row>
    <row r="15" spans="1:4" ht="18">
      <c r="A15" s="19">
        <f t="shared" ca="1" si="0"/>
        <v>46132</v>
      </c>
      <c r="B15" s="17" cm="1">
        <f t="array" aca="1" ref="B15" ca="1">[1]!s_west_netprofit($B$1,2026,$A15,180,1000000)</f>
        <v>0</v>
      </c>
      <c r="C15" s="18" cm="1">
        <f t="array" aca="1" ref="C15" ca="1">[1]!s_dq_close($B$1,$A15,3)</f>
        <v>0</v>
      </c>
    </row>
    <row r="16" spans="1:4" ht="18">
      <c r="A16" s="19">
        <f t="shared" ca="1" si="0"/>
        <v>46125</v>
      </c>
      <c r="B16" s="17" cm="1">
        <f t="array" aca="1" ref="B16" ca="1">[1]!s_west_netprofit($B$1,2026,$A16,180,1000000)</f>
        <v>0</v>
      </c>
      <c r="C16" s="18" cm="1">
        <f t="array" aca="1" ref="C16" ca="1">[1]!s_dq_close($B$1,$A16,3)</f>
        <v>0</v>
      </c>
    </row>
    <row r="17" spans="1:3" ht="18">
      <c r="A17" s="19">
        <f t="shared" ca="1" si="0"/>
        <v>46118</v>
      </c>
      <c r="B17" s="17" cm="1">
        <f t="array" aca="1" ref="B17" ca="1">[1]!s_west_netprofit($B$1,2026,$A17,180,1000000)</f>
        <v>0</v>
      </c>
      <c r="C17" s="18" cm="1">
        <f t="array" aca="1" ref="C17" ca="1">[1]!s_dq_close($B$1,$A17,3)</f>
        <v>0</v>
      </c>
    </row>
    <row r="18" spans="1:3" ht="18">
      <c r="A18" s="19">
        <f t="shared" ca="1" si="0"/>
        <v>46111</v>
      </c>
      <c r="B18" s="17" cm="1">
        <f t="array" aca="1" ref="B18" ca="1">[1]!s_west_netprofit($B$1,2026,$A18,180,1000000)</f>
        <v>0</v>
      </c>
      <c r="C18" s="18" cm="1">
        <f t="array" aca="1" ref="C18" ca="1">[1]!s_dq_close($B$1,$A18,3)</f>
        <v>0</v>
      </c>
    </row>
    <row r="19" spans="1:3" ht="18">
      <c r="A19" s="19">
        <f t="shared" ca="1" si="0"/>
        <v>46104</v>
      </c>
      <c r="B19" s="17" cm="1">
        <f t="array" aca="1" ref="B19" ca="1">[1]!s_west_netprofit($B$1,2026,$A19,180,1000000)</f>
        <v>0</v>
      </c>
      <c r="C19" s="18" cm="1">
        <f t="array" aca="1" ref="C19" ca="1">[1]!s_dq_close($B$1,$A19,3)</f>
        <v>0</v>
      </c>
    </row>
    <row r="20" spans="1:3" ht="18">
      <c r="A20" s="19">
        <f t="shared" ca="1" si="0"/>
        <v>46097</v>
      </c>
      <c r="B20" s="17" cm="1">
        <f t="array" aca="1" ref="B20" ca="1">[1]!s_west_netprofit($B$1,2026,$A20,180,1000000)</f>
        <v>0</v>
      </c>
      <c r="C20" s="18" cm="1">
        <f t="array" aca="1" ref="C20" ca="1">[1]!s_dq_close($B$1,$A20,3)</f>
        <v>0</v>
      </c>
    </row>
    <row r="21" spans="1:3" ht="18">
      <c r="A21" s="19">
        <f t="shared" ca="1" si="0"/>
        <v>46090</v>
      </c>
      <c r="B21" s="17" cm="1">
        <f t="array" aca="1" ref="B21" ca="1">[1]!s_west_netprofit($B$1,2026,$A21,180,1000000)</f>
        <v>0</v>
      </c>
      <c r="C21" s="18" cm="1">
        <f t="array" aca="1" ref="C21" ca="1">[1]!s_dq_close($B$1,$A21,3)</f>
        <v>0</v>
      </c>
    </row>
    <row r="22" spans="1:3" ht="18">
      <c r="A22" s="19">
        <f t="shared" ca="1" si="0"/>
        <v>46083</v>
      </c>
      <c r="B22" s="17" cm="1">
        <f t="array" aca="1" ref="B22" ca="1">[1]!s_west_netprofit($B$1,2026,$A22,180,1000000)</f>
        <v>0</v>
      </c>
      <c r="C22" s="18" cm="1">
        <f t="array" aca="1" ref="C22" ca="1">[1]!s_dq_close($B$1,$A22,3)</f>
        <v>0</v>
      </c>
    </row>
    <row r="23" spans="1:3" ht="18">
      <c r="A23" s="19">
        <f t="shared" ca="1" si="0"/>
        <v>46076</v>
      </c>
      <c r="B23" s="17" cm="1">
        <f t="array" aca="1" ref="B23" ca="1">[1]!s_west_netprofit($B$1,2026,$A23,180,1000000)</f>
        <v>0</v>
      </c>
      <c r="C23" s="18" cm="1">
        <f t="array" aca="1" ref="C23" ca="1">[1]!s_dq_close($B$1,$A23,3)</f>
        <v>0</v>
      </c>
    </row>
    <row r="24" spans="1:3" ht="18">
      <c r="A24" s="19">
        <f t="shared" ca="1" si="0"/>
        <v>46069</v>
      </c>
      <c r="B24" s="17" cm="1">
        <f t="array" aca="1" ref="B24" ca="1">[1]!s_west_netprofit($B$1,2026,$A24,180,1000000)</f>
        <v>0</v>
      </c>
      <c r="C24" s="18" cm="1">
        <f t="array" aca="1" ref="C24" ca="1">[1]!s_dq_close($B$1,$A24,3)</f>
        <v>0</v>
      </c>
    </row>
    <row r="25" spans="1:3" ht="18">
      <c r="A25" s="19">
        <f t="shared" ca="1" si="0"/>
        <v>46062</v>
      </c>
      <c r="B25" s="17" cm="1">
        <f t="array" aca="1" ref="B25" ca="1">[1]!s_west_netprofit($B$1,2026,$A25,180,1000000)</f>
        <v>0</v>
      </c>
      <c r="C25" s="18" cm="1">
        <f t="array" aca="1" ref="C25" ca="1">[1]!s_dq_close($B$1,$A25,3)</f>
        <v>0</v>
      </c>
    </row>
    <row r="26" spans="1:3" ht="18">
      <c r="A26" s="19">
        <f t="shared" ca="1" si="0"/>
        <v>46055</v>
      </c>
      <c r="B26" s="17" cm="1">
        <f t="array" aca="1" ref="B26" ca="1">[1]!s_west_netprofit($B$1,2026,$A26,180,1000000)</f>
        <v>0</v>
      </c>
      <c r="C26" s="18" cm="1">
        <f t="array" aca="1" ref="C26" ca="1">[1]!s_dq_close($B$1,$A26,3)</f>
        <v>0</v>
      </c>
    </row>
    <row r="27" spans="1:3" ht="18">
      <c r="A27" s="19">
        <f t="shared" ca="1" si="0"/>
        <v>46048</v>
      </c>
      <c r="B27" s="17" cm="1">
        <f t="array" aca="1" ref="B27" ca="1">[1]!s_west_netprofit($B$1,2026,$A27,180,1000000)</f>
        <v>0</v>
      </c>
      <c r="C27" s="18" cm="1">
        <f t="array" aca="1" ref="C27" ca="1">[1]!s_dq_close($B$1,$A27,3)</f>
        <v>0</v>
      </c>
    </row>
    <row r="28" spans="1:3" ht="18">
      <c r="A28" s="19">
        <f t="shared" ca="1" si="0"/>
        <v>46041</v>
      </c>
      <c r="B28" s="17" cm="1">
        <f t="array" aca="1" ref="B28" ca="1">[1]!s_west_netprofit($B$1,2026,$A28,180,1000000)</f>
        <v>0</v>
      </c>
      <c r="C28" s="18" cm="1">
        <f t="array" aca="1" ref="C28" ca="1">[1]!s_dq_close($B$1,$A28,3)</f>
        <v>0</v>
      </c>
    </row>
    <row r="29" spans="1:3" ht="18">
      <c r="A29" s="19">
        <f t="shared" ca="1" si="0"/>
        <v>46034</v>
      </c>
      <c r="B29" s="17" cm="1">
        <f t="array" aca="1" ref="B29" ca="1">[1]!s_west_netprofit($B$1,2026,$A29,180,1000000)</f>
        <v>0</v>
      </c>
      <c r="C29" s="18" cm="1">
        <f t="array" aca="1" ref="C29" ca="1">[1]!s_dq_close($B$1,$A29,3)</f>
        <v>0</v>
      </c>
    </row>
    <row r="30" spans="1:3" ht="18">
      <c r="A30" s="19">
        <f t="shared" ca="1" si="0"/>
        <v>46027</v>
      </c>
      <c r="B30" s="17" cm="1">
        <f t="array" aca="1" ref="B30" ca="1">[1]!s_west_netprofit($B$1,2026,$A30,180,1000000)</f>
        <v>0</v>
      </c>
      <c r="C30" s="18" cm="1">
        <f t="array" aca="1" ref="C30" ca="1">[1]!s_dq_close($B$1,$A30,3)</f>
        <v>0</v>
      </c>
    </row>
    <row r="31" spans="1:3" ht="18">
      <c r="A31" s="19">
        <f t="shared" ca="1" si="0"/>
        <v>46020</v>
      </c>
      <c r="B31" s="17" cm="1">
        <f t="array" aca="1" ref="B31" ca="1">[1]!s_west_netprofit($B$1,2026,$A31,180,1000000)</f>
        <v>0</v>
      </c>
      <c r="C31" s="18" cm="1">
        <f t="array" aca="1" ref="C31" ca="1">[1]!s_dq_close($B$1,$A31,3)</f>
        <v>0</v>
      </c>
    </row>
    <row r="32" spans="1:3" ht="18">
      <c r="A32" s="19">
        <f t="shared" ca="1" si="0"/>
        <v>46013</v>
      </c>
      <c r="B32" s="17" cm="1">
        <f t="array" aca="1" ref="B32" ca="1">[1]!s_west_netprofit($B$1,2026,$A32,180,1000000)</f>
        <v>0</v>
      </c>
      <c r="C32" s="18" cm="1">
        <f t="array" aca="1" ref="C32" ca="1">[1]!s_dq_close($B$1,$A32,3)</f>
        <v>0</v>
      </c>
    </row>
    <row r="33" spans="1:3" ht="18">
      <c r="A33" s="19">
        <f t="shared" ca="1" si="0"/>
        <v>46006</v>
      </c>
      <c r="B33" s="17" cm="1">
        <f t="array" aca="1" ref="B33" ca="1">[1]!s_west_netprofit($B$1,2026,$A33,180,1000000)</f>
        <v>0</v>
      </c>
      <c r="C33" s="18" cm="1">
        <f t="array" aca="1" ref="C33" ca="1">[1]!s_dq_close($B$1,$A33,3)</f>
        <v>0</v>
      </c>
    </row>
    <row r="34" spans="1:3" ht="18">
      <c r="A34" s="19">
        <f t="shared" ca="1" si="0"/>
        <v>45999</v>
      </c>
      <c r="B34" s="17" cm="1">
        <f t="array" aca="1" ref="B34" ca="1">[1]!s_west_netprofit($B$1,2026,$A34,180,1000000)</f>
        <v>0</v>
      </c>
      <c r="C34" s="18" cm="1">
        <f t="array" aca="1" ref="C34" ca="1">[1]!s_dq_close($B$1,$A34,3)</f>
        <v>0</v>
      </c>
    </row>
    <row r="35" spans="1:3" ht="18">
      <c r="A35" s="19">
        <f t="shared" ca="1" si="0"/>
        <v>45992</v>
      </c>
      <c r="B35" s="17" cm="1">
        <f t="array" aca="1" ref="B35" ca="1">[1]!s_west_netprofit($B$1,2026,$A35,180,1000000)</f>
        <v>0</v>
      </c>
      <c r="C35" s="18" cm="1">
        <f t="array" aca="1" ref="C35" ca="1">[1]!s_dq_close($B$1,$A35,3)</f>
        <v>0</v>
      </c>
    </row>
    <row r="36" spans="1:3" ht="18">
      <c r="A36" s="19">
        <f t="shared" ca="1" si="0"/>
        <v>45985</v>
      </c>
      <c r="B36" s="17" cm="1">
        <f t="array" aca="1" ref="B36" ca="1">[1]!s_west_netprofit($B$1,2026,$A36,180,1000000)</f>
        <v>0</v>
      </c>
      <c r="C36" s="18" cm="1">
        <f t="array" aca="1" ref="C36" ca="1">[1]!s_dq_close($B$1,$A36,3)</f>
        <v>0</v>
      </c>
    </row>
    <row r="37" spans="1:3" ht="18">
      <c r="A37" s="19">
        <f t="shared" ca="1" si="0"/>
        <v>45978</v>
      </c>
      <c r="B37" s="17" cm="1">
        <f t="array" aca="1" ref="B37" ca="1">[1]!s_west_netprofit($B$1,2026,$A37,180,1000000)</f>
        <v>0</v>
      </c>
      <c r="C37" s="18" cm="1">
        <f t="array" aca="1" ref="C37" ca="1">[1]!s_dq_close($B$1,$A37,3)</f>
        <v>0</v>
      </c>
    </row>
    <row r="38" spans="1:3" ht="18">
      <c r="A38" s="19">
        <f t="shared" ca="1" si="0"/>
        <v>45971</v>
      </c>
      <c r="B38" s="17" cm="1">
        <f t="array" aca="1" ref="B38" ca="1">[1]!s_west_netprofit($B$1,2026,$A38,180,1000000)</f>
        <v>0</v>
      </c>
      <c r="C38" s="18" cm="1">
        <f t="array" aca="1" ref="C38" ca="1">[1]!s_dq_close($B$1,$A38,3)</f>
        <v>0</v>
      </c>
    </row>
    <row r="39" spans="1:3" ht="18">
      <c r="A39" s="19">
        <f t="shared" ca="1" si="0"/>
        <v>45964</v>
      </c>
      <c r="B39" s="17" cm="1">
        <f t="array" aca="1" ref="B39" ca="1">[1]!s_west_netprofit($B$1,2026,$A39,180,1000000)</f>
        <v>0</v>
      </c>
      <c r="C39" s="18" cm="1">
        <f t="array" aca="1" ref="C39" ca="1">[1]!s_dq_close($B$1,$A39,3)</f>
        <v>0</v>
      </c>
    </row>
    <row r="40" spans="1:3" ht="18">
      <c r="A40" s="19">
        <f t="shared" ca="1" si="0"/>
        <v>45957</v>
      </c>
      <c r="B40" s="17" cm="1">
        <f t="array" aca="1" ref="B40" ca="1">[1]!s_west_netprofit($B$1,2026,$A40,180,1000000)</f>
        <v>0</v>
      </c>
      <c r="C40" s="18" cm="1">
        <f t="array" aca="1" ref="C40" ca="1">[1]!s_dq_close($B$1,$A40,3)</f>
        <v>0</v>
      </c>
    </row>
    <row r="41" spans="1:3" ht="18">
      <c r="A41" s="19">
        <f t="shared" ca="1" si="0"/>
        <v>45950</v>
      </c>
      <c r="B41" s="17" cm="1">
        <f t="array" aca="1" ref="B41" ca="1">[1]!s_west_netprofit($B$1,2026,$A41,180,1000000)</f>
        <v>0</v>
      </c>
      <c r="C41" s="18" cm="1">
        <f t="array" aca="1" ref="C41" ca="1">[1]!s_dq_close($B$1,$A41,3)</f>
        <v>0</v>
      </c>
    </row>
    <row r="42" spans="1:3" ht="18">
      <c r="A42" s="19">
        <f t="shared" ca="1" si="0"/>
        <v>45943</v>
      </c>
      <c r="B42" s="17" cm="1">
        <f t="array" aca="1" ref="B42" ca="1">[1]!s_west_netprofit($B$1,2026,$A42,180,1000000)</f>
        <v>0</v>
      </c>
      <c r="C42" s="18" cm="1">
        <f t="array" aca="1" ref="C42" ca="1">[1]!s_dq_close($B$1,$A42,3)</f>
        <v>0</v>
      </c>
    </row>
    <row r="43" spans="1:3" ht="18">
      <c r="A43" s="19">
        <f t="shared" ca="1" si="0"/>
        <v>45936</v>
      </c>
      <c r="B43" s="17" cm="1">
        <f t="array" aca="1" ref="B43" ca="1">[1]!s_west_netprofit($B$1,2026,$A43,180,1000000)</f>
        <v>0</v>
      </c>
      <c r="C43" s="18" cm="1">
        <f t="array" aca="1" ref="C43" ca="1">[1]!s_dq_close($B$1,$A43,3)</f>
        <v>0</v>
      </c>
    </row>
    <row r="44" spans="1:3" ht="18">
      <c r="A44" s="19">
        <f t="shared" ca="1" si="0"/>
        <v>45929</v>
      </c>
      <c r="B44" s="17" cm="1">
        <f t="array" aca="1" ref="B44" ca="1">[1]!s_west_netprofit($B$1,2026,$A44,180,1000000)</f>
        <v>0</v>
      </c>
      <c r="C44" s="18" cm="1">
        <f t="array" aca="1" ref="C44" ca="1">[1]!s_dq_close($B$1,$A44,3)</f>
        <v>0</v>
      </c>
    </row>
    <row r="45" spans="1:3" ht="18">
      <c r="A45" s="19">
        <f t="shared" ca="1" si="0"/>
        <v>45922</v>
      </c>
      <c r="B45" s="17" cm="1">
        <f t="array" aca="1" ref="B45" ca="1">[1]!s_west_netprofit($B$1,2026,$A45,180,1000000)</f>
        <v>0</v>
      </c>
      <c r="C45" s="18" cm="1">
        <f t="array" aca="1" ref="C45" ca="1">[1]!s_dq_close($B$1,$A45,3)</f>
        <v>0</v>
      </c>
    </row>
    <row r="46" spans="1:3" ht="18">
      <c r="A46" s="19">
        <f t="shared" ca="1" si="0"/>
        <v>45915</v>
      </c>
      <c r="B46" s="17" cm="1">
        <f t="array" aca="1" ref="B46" ca="1">[1]!s_west_netprofit($B$1,2026,$A46,180,1000000)</f>
        <v>0</v>
      </c>
      <c r="C46" s="18" cm="1">
        <f t="array" aca="1" ref="C46" ca="1">[1]!s_dq_close($B$1,$A46,3)</f>
        <v>0</v>
      </c>
    </row>
    <row r="47" spans="1:3" ht="18">
      <c r="A47" s="19">
        <f t="shared" ca="1" si="0"/>
        <v>45908</v>
      </c>
      <c r="B47" s="17" cm="1">
        <f t="array" aca="1" ref="B47" ca="1">[1]!s_west_netprofit($B$1,2026,$A47,180,1000000)</f>
        <v>0</v>
      </c>
      <c r="C47" s="18" cm="1">
        <f t="array" aca="1" ref="C47" ca="1">[1]!s_dq_close($B$1,$A47,3)</f>
        <v>0</v>
      </c>
    </row>
    <row r="48" spans="1:3" ht="18">
      <c r="A48" s="19">
        <f t="shared" ca="1" si="0"/>
        <v>45901</v>
      </c>
      <c r="B48" s="17" cm="1">
        <f t="array" aca="1" ref="B48" ca="1">[1]!s_west_netprofit($B$1,2026,$A48,180,1000000)</f>
        <v>0</v>
      </c>
      <c r="C48" s="18" cm="1">
        <f t="array" aca="1" ref="C48" ca="1">[1]!s_dq_close($B$1,$A48,3)</f>
        <v>0</v>
      </c>
    </row>
    <row r="49" spans="1:3" ht="18">
      <c r="A49" s="19">
        <f t="shared" ca="1" si="0"/>
        <v>45894</v>
      </c>
      <c r="B49" s="17" cm="1">
        <f t="array" aca="1" ref="B49" ca="1">[1]!s_west_netprofit($B$1,2026,$A49,180,1000000)</f>
        <v>0</v>
      </c>
      <c r="C49" s="18" cm="1">
        <f t="array" aca="1" ref="C49" ca="1">[1]!s_dq_close($B$1,$A49,3)</f>
        <v>0</v>
      </c>
    </row>
    <row r="50" spans="1:3" ht="18">
      <c r="A50" s="19">
        <f t="shared" ca="1" si="0"/>
        <v>45887</v>
      </c>
      <c r="B50" s="17" cm="1">
        <f t="array" aca="1" ref="B50" ca="1">[1]!s_west_netprofit($B$1,2026,$A50,180,1000000)</f>
        <v>0</v>
      </c>
      <c r="C50" s="18" cm="1">
        <f t="array" aca="1" ref="C50" ca="1">[1]!s_dq_close($B$1,$A50,3)</f>
        <v>0</v>
      </c>
    </row>
    <row r="51" spans="1:3" ht="18">
      <c r="A51" s="19">
        <f t="shared" ca="1" si="0"/>
        <v>45880</v>
      </c>
      <c r="B51" s="17" cm="1">
        <f t="array" aca="1" ref="B51" ca="1">[1]!s_west_netprofit($B$1,2026,$A51,180,1000000)</f>
        <v>0</v>
      </c>
      <c r="C51" s="18" cm="1">
        <f t="array" aca="1" ref="C51" ca="1">[1]!s_dq_close($B$1,$A51,3)</f>
        <v>0</v>
      </c>
    </row>
    <row r="52" spans="1:3" ht="18">
      <c r="A52" s="19">
        <f t="shared" ca="1" si="0"/>
        <v>45873</v>
      </c>
      <c r="B52" s="17" cm="1">
        <f t="array" aca="1" ref="B52" ca="1">[1]!s_west_netprofit($B$1,2026,$A52,180,1000000)</f>
        <v>0</v>
      </c>
      <c r="C52" s="18" cm="1">
        <f t="array" aca="1" ref="C52" ca="1">[1]!s_dq_close($B$1,$A52,3)</f>
        <v>0</v>
      </c>
    </row>
    <row r="53" spans="1:3" ht="18">
      <c r="A53" s="19">
        <f t="shared" ca="1" si="0"/>
        <v>45866</v>
      </c>
      <c r="B53" s="17" cm="1">
        <f t="array" aca="1" ref="B53" ca="1">[1]!s_west_netprofit($B$1,2026,$A53,180,1000000)</f>
        <v>0</v>
      </c>
      <c r="C53" s="18" cm="1">
        <f t="array" aca="1" ref="C53" ca="1">[1]!s_dq_close($B$1,$A53,3)</f>
        <v>0</v>
      </c>
    </row>
    <row r="54" spans="1:3" ht="18">
      <c r="A54" s="19">
        <f t="shared" ca="1" si="0"/>
        <v>45859</v>
      </c>
      <c r="B54" s="17" cm="1">
        <f t="array" aca="1" ref="B54" ca="1">[1]!s_west_netprofit($B$1,2026,$A54,180,1000000)</f>
        <v>0</v>
      </c>
      <c r="C54" s="18" cm="1">
        <f t="array" aca="1" ref="C54" ca="1">[1]!s_dq_close($B$1,$A54,3)</f>
        <v>0</v>
      </c>
    </row>
    <row r="55" spans="1:3" ht="18">
      <c r="A55" s="19">
        <f t="shared" ca="1" si="0"/>
        <v>45852</v>
      </c>
      <c r="B55" s="17" cm="1">
        <f t="array" aca="1" ref="B55" ca="1">[1]!s_west_netprofit($B$1,2026,$A55,180,1000000)</f>
        <v>0</v>
      </c>
      <c r="C55" s="18" cm="1">
        <f t="array" aca="1" ref="C55" ca="1">[1]!s_dq_close($B$1,$A55,3)</f>
        <v>0</v>
      </c>
    </row>
    <row r="56" spans="1:3" ht="18">
      <c r="A56" s="19">
        <f t="shared" ca="1" si="0"/>
        <v>45845</v>
      </c>
      <c r="B56" s="17" cm="1">
        <f t="array" aca="1" ref="B56" ca="1">[1]!s_west_netprofit($B$1,2026,$A56,180,1000000)</f>
        <v>0</v>
      </c>
      <c r="C56" s="18" cm="1">
        <f t="array" aca="1" ref="C56" ca="1">[1]!s_dq_close($B$1,$A56,3)</f>
        <v>0</v>
      </c>
    </row>
    <row r="57" spans="1:3" ht="18">
      <c r="A57" s="19">
        <f t="shared" ca="1" si="0"/>
        <v>45838</v>
      </c>
      <c r="B57" s="17" cm="1">
        <f t="array" aca="1" ref="B57" ca="1">[1]!s_west_netprofit($B$1,2026,$A57,180,1000000)</f>
        <v>0</v>
      </c>
      <c r="C57" s="18" cm="1">
        <f t="array" aca="1" ref="C57" ca="1">[1]!s_dq_close($B$1,$A57,3)</f>
        <v>0</v>
      </c>
    </row>
    <row r="58" spans="1:3" ht="18">
      <c r="A58" s="19">
        <f t="shared" ca="1" si="0"/>
        <v>45831</v>
      </c>
      <c r="B58" s="17" cm="1">
        <f t="array" aca="1" ref="B58" ca="1">[1]!s_west_netprofit($B$1,2026,$A58,180,1000000)</f>
        <v>0</v>
      </c>
      <c r="C58" s="18" cm="1">
        <f t="array" aca="1" ref="C58" ca="1">[1]!s_dq_close($B$1,$A58,3)</f>
        <v>0</v>
      </c>
    </row>
    <row r="59" spans="1:3" ht="18">
      <c r="A59" s="19">
        <f t="shared" ca="1" si="0"/>
        <v>45824</v>
      </c>
      <c r="B59" s="17" cm="1">
        <f t="array" aca="1" ref="B59" ca="1">[1]!s_west_netprofit($B$1,2026,$A59,180,1000000)</f>
        <v>0</v>
      </c>
      <c r="C59" s="18" cm="1">
        <f t="array" aca="1" ref="C59" ca="1">[1]!s_dq_close($B$1,$A59,3)</f>
        <v>0</v>
      </c>
    </row>
    <row r="60" spans="1:3" ht="18">
      <c r="A60" s="19">
        <f t="shared" ca="1" si="0"/>
        <v>45817</v>
      </c>
      <c r="B60" s="17" cm="1">
        <f t="array" aca="1" ref="B60" ca="1">[1]!s_west_netprofit($B$1,2026,$A60,180,1000000)</f>
        <v>0</v>
      </c>
      <c r="C60" s="18" cm="1">
        <f t="array" aca="1" ref="C60" ca="1">[1]!s_dq_close($B$1,$A60,3)</f>
        <v>0</v>
      </c>
    </row>
    <row r="61" spans="1:3" ht="18">
      <c r="A61" s="19">
        <f t="shared" ca="1" si="0"/>
        <v>45810</v>
      </c>
      <c r="B61" s="17" cm="1">
        <f t="array" aca="1" ref="B61" ca="1">[1]!s_west_netprofit($B$1,2026,$A61,180,1000000)</f>
        <v>0</v>
      </c>
      <c r="C61" s="18" cm="1">
        <f t="array" aca="1" ref="C61" ca="1">[1]!s_dq_close($B$1,$A61,3)</f>
        <v>0</v>
      </c>
    </row>
    <row r="62" spans="1:3" ht="18">
      <c r="A62" s="19">
        <f t="shared" ca="1" si="0"/>
        <v>45803</v>
      </c>
      <c r="B62" s="17" cm="1">
        <f t="array" aca="1" ref="B62" ca="1">[1]!s_west_netprofit($B$1,2026,$A62,180,1000000)</f>
        <v>0</v>
      </c>
      <c r="C62" s="18" cm="1">
        <f t="array" aca="1" ref="C62" ca="1">[1]!s_dq_close($B$1,$A62,3)</f>
        <v>0</v>
      </c>
    </row>
    <row r="63" spans="1:3" ht="18">
      <c r="A63" s="19">
        <f t="shared" ca="1" si="0"/>
        <v>45796</v>
      </c>
      <c r="B63" s="17" cm="1">
        <f t="array" aca="1" ref="B63" ca="1">[1]!s_west_netprofit($B$1,2026,$A63,180,1000000)</f>
        <v>0</v>
      </c>
      <c r="C63" s="18" cm="1">
        <f t="array" aca="1" ref="C63" ca="1">[1]!s_dq_close($B$1,$A63,3)</f>
        <v>0</v>
      </c>
    </row>
    <row r="64" spans="1:3" ht="18">
      <c r="A64" s="19">
        <f t="shared" ca="1" si="0"/>
        <v>45789</v>
      </c>
      <c r="B64" s="17" cm="1">
        <f t="array" aca="1" ref="B64" ca="1">[1]!s_west_netprofit($B$1,2026,$A64,180,1000000)</f>
        <v>0</v>
      </c>
      <c r="C64" s="18" cm="1">
        <f t="array" aca="1" ref="C64" ca="1">[1]!s_dq_close($B$1,$A64,3)</f>
        <v>0</v>
      </c>
    </row>
    <row r="65" spans="1:3" ht="18">
      <c r="A65" s="19">
        <f t="shared" ca="1" si="0"/>
        <v>45782</v>
      </c>
      <c r="B65" s="17" cm="1">
        <f t="array" aca="1" ref="B65" ca="1">[1]!s_west_netprofit($B$1,2026,$A65,180,1000000)</f>
        <v>0</v>
      </c>
      <c r="C65" s="18" cm="1">
        <f t="array" aca="1" ref="C65" ca="1">[1]!s_dq_close($B$1,$A65,3)</f>
        <v>0</v>
      </c>
    </row>
    <row r="66" spans="1:3" ht="18">
      <c r="A66" s="19">
        <f t="shared" ca="1" si="0"/>
        <v>45775</v>
      </c>
      <c r="B66" s="17" cm="1">
        <f t="array" aca="1" ref="B66" ca="1">[1]!s_west_netprofit($B$1,2026,$A66,180,1000000)</f>
        <v>0</v>
      </c>
      <c r="C66" s="18" cm="1">
        <f t="array" aca="1" ref="C66" ca="1">[1]!s_dq_close($B$1,$A66,3)</f>
        <v>0</v>
      </c>
    </row>
    <row r="67" spans="1:3" ht="18">
      <c r="A67" s="19">
        <f t="shared" ca="1" si="0"/>
        <v>45768</v>
      </c>
      <c r="B67" s="17" cm="1">
        <f t="array" aca="1" ref="B67" ca="1">[1]!s_west_netprofit($B$1,2026,$A67,180,1000000)</f>
        <v>0</v>
      </c>
      <c r="C67" s="18" cm="1">
        <f t="array" aca="1" ref="C67" ca="1">[1]!s_dq_close($B$1,$A67,3)</f>
        <v>0</v>
      </c>
    </row>
    <row r="68" spans="1:3" ht="18">
      <c r="A68" s="19">
        <f t="shared" ca="1" si="0"/>
        <v>45761</v>
      </c>
      <c r="B68" s="17" cm="1">
        <f t="array" aca="1" ref="B68" ca="1">[1]!s_west_netprofit($B$1,2026,$A68,180,1000000)</f>
        <v>0</v>
      </c>
      <c r="C68" s="18" cm="1">
        <f t="array" aca="1" ref="C68" ca="1">[1]!s_dq_close($B$1,$A68,3)</f>
        <v>0</v>
      </c>
    </row>
    <row r="69" spans="1:3" ht="18">
      <c r="A69" s="19">
        <f t="shared" ca="1" si="0"/>
        <v>45754</v>
      </c>
      <c r="B69" s="17" cm="1">
        <f t="array" aca="1" ref="B69" ca="1">[1]!s_west_netprofit($B$1,2026,$A69,180,1000000)</f>
        <v>0</v>
      </c>
      <c r="C69" s="18" cm="1">
        <f t="array" aca="1" ref="C69" ca="1">[1]!s_dq_close($B$1,$A69,3)</f>
        <v>0</v>
      </c>
    </row>
    <row r="70" spans="1:3" ht="18">
      <c r="A70" s="19">
        <f t="shared" ca="1" si="0"/>
        <v>45747</v>
      </c>
      <c r="B70" s="17" cm="1">
        <f t="array" aca="1" ref="B70" ca="1">[1]!s_west_netprofit($B$1,2026,$A70,180,1000000)</f>
        <v>0</v>
      </c>
      <c r="C70" s="18" cm="1">
        <f t="array" aca="1" ref="C70" ca="1">[1]!s_dq_close($B$1,$A70,3)</f>
        <v>0</v>
      </c>
    </row>
    <row r="71" spans="1:3" ht="18">
      <c r="A71" s="19">
        <f t="shared" ca="1" si="0"/>
        <v>45740</v>
      </c>
      <c r="B71" s="17" cm="1">
        <f t="array" aca="1" ref="B71" ca="1">[1]!s_west_netprofit($B$1,2026,$A71,180,1000000)</f>
        <v>0</v>
      </c>
      <c r="C71" s="18" cm="1">
        <f t="array" aca="1" ref="C71" ca="1">[1]!s_dq_close($B$1,$A71,3)</f>
        <v>0</v>
      </c>
    </row>
    <row r="72" spans="1:3" ht="18">
      <c r="A72" s="19">
        <f t="shared" ca="1" si="0"/>
        <v>45733</v>
      </c>
      <c r="B72" s="17" cm="1">
        <f t="array" aca="1" ref="B72" ca="1">[1]!s_west_netprofit($B$1,2026,$A72,180,1000000)</f>
        <v>0</v>
      </c>
      <c r="C72" s="18" cm="1">
        <f t="array" aca="1" ref="C72" ca="1">[1]!s_dq_close($B$1,$A72,3)</f>
        <v>0</v>
      </c>
    </row>
    <row r="73" spans="1:3" ht="18">
      <c r="A73" s="19">
        <f t="shared" ca="1" si="0"/>
        <v>45726</v>
      </c>
      <c r="B73" s="17" cm="1">
        <f t="array" aca="1" ref="B73" ca="1">[1]!s_west_netprofit($B$1,2026,$A73,180,1000000)</f>
        <v>0</v>
      </c>
      <c r="C73" s="18" cm="1">
        <f t="array" aca="1" ref="C73" ca="1">[1]!s_dq_close($B$1,$A73,3)</f>
        <v>0</v>
      </c>
    </row>
    <row r="74" spans="1:3" ht="18">
      <c r="A74" s="19">
        <f t="shared" ca="1" si="0"/>
        <v>45719</v>
      </c>
      <c r="B74" s="17" cm="1">
        <f t="array" aca="1" ref="B74" ca="1">[1]!s_west_netprofit($B$1,2026,$A74,180,1000000)</f>
        <v>0</v>
      </c>
      <c r="C74" s="18" cm="1">
        <f t="array" aca="1" ref="C74" ca="1">[1]!s_dq_close($B$1,$A74,3)</f>
        <v>0</v>
      </c>
    </row>
    <row r="75" spans="1:3" ht="18">
      <c r="A75" s="19">
        <f t="shared" ca="1" si="0"/>
        <v>45712</v>
      </c>
      <c r="B75" s="17" cm="1">
        <f t="array" aca="1" ref="B75" ca="1">[1]!s_west_netprofit($B$1,2026,$A75,180,1000000)</f>
        <v>0</v>
      </c>
      <c r="C75" s="18" cm="1">
        <f t="array" aca="1" ref="C75" ca="1">[1]!s_dq_close($B$1,$A75,3)</f>
        <v>0</v>
      </c>
    </row>
    <row r="76" spans="1:3" ht="18">
      <c r="A76" s="19">
        <f t="shared" ref="A76:A99" ca="1" si="1">A75-7</f>
        <v>45705</v>
      </c>
      <c r="B76" s="17" cm="1">
        <f t="array" aca="1" ref="B76" ca="1">[1]!s_west_netprofit($B$1,2026,$A76,180,1000000)</f>
        <v>0</v>
      </c>
      <c r="C76" s="18" cm="1">
        <f t="array" aca="1" ref="C76" ca="1">[1]!s_dq_close($B$1,$A76,3)</f>
        <v>0</v>
      </c>
    </row>
    <row r="77" spans="1:3" ht="18">
      <c r="A77" s="19">
        <f t="shared" ca="1" si="1"/>
        <v>45698</v>
      </c>
      <c r="B77" s="17" cm="1">
        <f t="array" aca="1" ref="B77" ca="1">[1]!s_west_netprofit($B$1,2026,$A77,180,1000000)</f>
        <v>0</v>
      </c>
      <c r="C77" s="18" cm="1">
        <f t="array" aca="1" ref="C77" ca="1">[1]!s_dq_close($B$1,$A77,3)</f>
        <v>0</v>
      </c>
    </row>
    <row r="78" spans="1:3" ht="18">
      <c r="A78" s="19">
        <f t="shared" ca="1" si="1"/>
        <v>45691</v>
      </c>
      <c r="B78" s="17" cm="1">
        <f t="array" aca="1" ref="B78" ca="1">[1]!s_west_netprofit($B$1,2026,$A78,180,1000000)</f>
        <v>0</v>
      </c>
      <c r="C78" s="18" cm="1">
        <f t="array" aca="1" ref="C78" ca="1">[1]!s_dq_close($B$1,$A78,3)</f>
        <v>0</v>
      </c>
    </row>
    <row r="79" spans="1:3" ht="18">
      <c r="A79" s="19">
        <f t="shared" ca="1" si="1"/>
        <v>45684</v>
      </c>
      <c r="B79" s="17" cm="1">
        <f t="array" aca="1" ref="B79" ca="1">[1]!s_west_netprofit($B$1,2026,$A79,180,1000000)</f>
        <v>0</v>
      </c>
      <c r="C79" s="18" cm="1">
        <f t="array" aca="1" ref="C79" ca="1">[1]!s_dq_close($B$1,$A79,3)</f>
        <v>0</v>
      </c>
    </row>
    <row r="80" spans="1:3" ht="18">
      <c r="A80" s="19">
        <f t="shared" ca="1" si="1"/>
        <v>45677</v>
      </c>
      <c r="B80" s="17" cm="1">
        <f t="array" aca="1" ref="B80" ca="1">[1]!s_west_netprofit($B$1,2026,$A80,180,1000000)</f>
        <v>0</v>
      </c>
      <c r="C80" s="18" cm="1">
        <f t="array" aca="1" ref="C80" ca="1">[1]!s_dq_close($B$1,$A80,3)</f>
        <v>0</v>
      </c>
    </row>
    <row r="81" spans="1:3" ht="18">
      <c r="A81" s="19">
        <f t="shared" ca="1" si="1"/>
        <v>45670</v>
      </c>
      <c r="B81" s="17" cm="1">
        <f t="array" aca="1" ref="B81" ca="1">[1]!s_west_netprofit($B$1,2026,$A81,180,1000000)</f>
        <v>0</v>
      </c>
      <c r="C81" s="18" cm="1">
        <f t="array" aca="1" ref="C81" ca="1">[1]!s_dq_close($B$1,$A81,3)</f>
        <v>0</v>
      </c>
    </row>
    <row r="82" spans="1:3" ht="18">
      <c r="A82" s="19">
        <f t="shared" ca="1" si="1"/>
        <v>45663</v>
      </c>
      <c r="B82" s="17" cm="1">
        <f t="array" aca="1" ref="B82" ca="1">[1]!s_west_netprofit($B$1,2026,$A82,180,1000000)</f>
        <v>0</v>
      </c>
      <c r="C82" s="18" cm="1">
        <f t="array" aca="1" ref="C82" ca="1">[1]!s_dq_close($B$1,$A82,3)</f>
        <v>0</v>
      </c>
    </row>
    <row r="83" spans="1:3" ht="18">
      <c r="A83" s="19">
        <f t="shared" ca="1" si="1"/>
        <v>45656</v>
      </c>
      <c r="B83" s="17" cm="1">
        <f t="array" aca="1" ref="B83" ca="1">[1]!s_west_netprofit($B$1,2026,$A83,180,1000000)</f>
        <v>0</v>
      </c>
      <c r="C83" s="18" cm="1">
        <f t="array" aca="1" ref="C83" ca="1">[1]!s_dq_close($B$1,$A83,3)</f>
        <v>0</v>
      </c>
    </row>
    <row r="84" spans="1:3" ht="18">
      <c r="A84" s="19">
        <f t="shared" ca="1" si="1"/>
        <v>45649</v>
      </c>
      <c r="B84" s="17" cm="1">
        <f t="array" aca="1" ref="B84" ca="1">[1]!s_west_netprofit($B$1,2026,$A84,180,1000000)</f>
        <v>0</v>
      </c>
      <c r="C84" s="18" cm="1">
        <f t="array" aca="1" ref="C84" ca="1">[1]!s_dq_close($B$1,$A84,3)</f>
        <v>0</v>
      </c>
    </row>
    <row r="85" spans="1:3" ht="18">
      <c r="A85" s="19">
        <f t="shared" ca="1" si="1"/>
        <v>45642</v>
      </c>
      <c r="B85" s="17" cm="1">
        <f t="array" aca="1" ref="B85" ca="1">[1]!s_west_netprofit($B$1,2026,$A85,180,1000000)</f>
        <v>0</v>
      </c>
      <c r="C85" s="18" cm="1">
        <f t="array" aca="1" ref="C85" ca="1">[1]!s_dq_close($B$1,$A85,3)</f>
        <v>0</v>
      </c>
    </row>
    <row r="86" spans="1:3" ht="18">
      <c r="A86" s="19">
        <f t="shared" ca="1" si="1"/>
        <v>45635</v>
      </c>
      <c r="B86" s="17" cm="1">
        <f t="array" aca="1" ref="B86" ca="1">[1]!s_west_netprofit($B$1,2026,$A86,180,1000000)</f>
        <v>0</v>
      </c>
      <c r="C86" s="18" cm="1">
        <f t="array" aca="1" ref="C86" ca="1">[1]!s_dq_close($B$1,$A86,3)</f>
        <v>0</v>
      </c>
    </row>
    <row r="87" spans="1:3" ht="18">
      <c r="A87" s="19">
        <f t="shared" ca="1" si="1"/>
        <v>45628</v>
      </c>
      <c r="B87" s="17" cm="1">
        <f t="array" aca="1" ref="B87" ca="1">[1]!s_west_netprofit($B$1,2026,$A87,180,1000000)</f>
        <v>0</v>
      </c>
      <c r="C87" s="18" cm="1">
        <f t="array" aca="1" ref="C87" ca="1">[1]!s_dq_close($B$1,$A87,3)</f>
        <v>0</v>
      </c>
    </row>
    <row r="88" spans="1:3" ht="18">
      <c r="A88" s="19">
        <f t="shared" ca="1" si="1"/>
        <v>45621</v>
      </c>
      <c r="B88" s="17" cm="1">
        <f t="array" aca="1" ref="B88" ca="1">[1]!s_west_netprofit($B$1,2026,$A88,180,1000000)</f>
        <v>0</v>
      </c>
      <c r="C88" s="18" cm="1">
        <f t="array" aca="1" ref="C88" ca="1">[1]!s_dq_close($B$1,$A88,3)</f>
        <v>0</v>
      </c>
    </row>
    <row r="89" spans="1:3" ht="18">
      <c r="A89" s="19">
        <f t="shared" ca="1" si="1"/>
        <v>45614</v>
      </c>
      <c r="B89" s="17" cm="1">
        <f t="array" aca="1" ref="B89" ca="1">[1]!s_west_netprofit($B$1,2026,$A89,180,1000000)</f>
        <v>0</v>
      </c>
      <c r="C89" s="18" cm="1">
        <f t="array" aca="1" ref="C89" ca="1">[1]!s_dq_close($B$1,$A89,3)</f>
        <v>0</v>
      </c>
    </row>
    <row r="90" spans="1:3" ht="18">
      <c r="A90" s="19">
        <f t="shared" ca="1" si="1"/>
        <v>45607</v>
      </c>
      <c r="B90" s="17" cm="1">
        <f t="array" aca="1" ref="B90" ca="1">[1]!s_west_netprofit($B$1,2026,$A90,180,1000000)</f>
        <v>0</v>
      </c>
      <c r="C90" s="18" cm="1">
        <f t="array" aca="1" ref="C90" ca="1">[1]!s_dq_close($B$1,$A90,3)</f>
        <v>0</v>
      </c>
    </row>
    <row r="91" spans="1:3" ht="18">
      <c r="A91" s="19">
        <f t="shared" ca="1" si="1"/>
        <v>45600</v>
      </c>
      <c r="B91" s="17" cm="1">
        <f t="array" aca="1" ref="B91" ca="1">[1]!s_west_netprofit($B$1,2026,$A91,180,1000000)</f>
        <v>0</v>
      </c>
      <c r="C91" s="18" cm="1">
        <f t="array" aca="1" ref="C91" ca="1">[1]!s_dq_close($B$1,$A91,3)</f>
        <v>0</v>
      </c>
    </row>
    <row r="92" spans="1:3" ht="18">
      <c r="A92" s="19">
        <f t="shared" ca="1" si="1"/>
        <v>45593</v>
      </c>
      <c r="B92" s="17" cm="1">
        <f t="array" aca="1" ref="B92" ca="1">[1]!s_west_netprofit($B$1,2026,$A92,180,1000000)</f>
        <v>0</v>
      </c>
      <c r="C92" s="18" cm="1">
        <f t="array" aca="1" ref="C92" ca="1">[1]!s_dq_close($B$1,$A92,3)</f>
        <v>0</v>
      </c>
    </row>
    <row r="93" spans="1:3" ht="18">
      <c r="A93" s="19">
        <f t="shared" ca="1" si="1"/>
        <v>45586</v>
      </c>
      <c r="B93" s="17" cm="1">
        <f t="array" aca="1" ref="B93" ca="1">[1]!s_west_netprofit($B$1,2026,$A93,180,1000000)</f>
        <v>0</v>
      </c>
      <c r="C93" s="18" cm="1">
        <f t="array" aca="1" ref="C93" ca="1">[1]!s_dq_close($B$1,$A93,3)</f>
        <v>0</v>
      </c>
    </row>
    <row r="94" spans="1:3" ht="18">
      <c r="A94" s="19">
        <f t="shared" ca="1" si="1"/>
        <v>45579</v>
      </c>
      <c r="B94" s="17" cm="1">
        <f t="array" aca="1" ref="B94" ca="1">[1]!s_west_netprofit($B$1,2026,$A94,180,1000000)</f>
        <v>0</v>
      </c>
      <c r="C94" s="18" cm="1">
        <f t="array" aca="1" ref="C94" ca="1">[1]!s_dq_close($B$1,$A94,3)</f>
        <v>0</v>
      </c>
    </row>
    <row r="95" spans="1:3" ht="18">
      <c r="A95" s="19">
        <f t="shared" ca="1" si="1"/>
        <v>45572</v>
      </c>
      <c r="B95" s="17" cm="1">
        <f t="array" aca="1" ref="B95" ca="1">[1]!s_west_netprofit($B$1,2026,$A95,180,1000000)</f>
        <v>0</v>
      </c>
      <c r="C95" s="18" cm="1">
        <f t="array" aca="1" ref="C95" ca="1">[1]!s_dq_close($B$1,$A95,3)</f>
        <v>0</v>
      </c>
    </row>
    <row r="96" spans="1:3" ht="18">
      <c r="A96" s="19">
        <f t="shared" ca="1" si="1"/>
        <v>45565</v>
      </c>
      <c r="B96" s="17" cm="1">
        <f t="array" aca="1" ref="B96" ca="1">[1]!s_west_netprofit($B$1,2026,$A96,180,1000000)</f>
        <v>0</v>
      </c>
      <c r="C96" s="18" cm="1">
        <f t="array" aca="1" ref="C96" ca="1">[1]!s_dq_close($B$1,$A96,3)</f>
        <v>0</v>
      </c>
    </row>
    <row r="97" spans="1:3" ht="18">
      <c r="A97" s="19">
        <f t="shared" ca="1" si="1"/>
        <v>45558</v>
      </c>
      <c r="B97" s="17" cm="1">
        <f t="array" aca="1" ref="B97" ca="1">[1]!s_west_netprofit($B$1,2026,$A97,180,1000000)</f>
        <v>0</v>
      </c>
      <c r="C97" s="18" cm="1">
        <f t="array" aca="1" ref="C97" ca="1">[1]!s_dq_close($B$1,$A97,3)</f>
        <v>0</v>
      </c>
    </row>
    <row r="98" spans="1:3" ht="18">
      <c r="A98" s="19">
        <f t="shared" ca="1" si="1"/>
        <v>45551</v>
      </c>
      <c r="B98" s="17" cm="1">
        <f t="array" aca="1" ref="B98" ca="1">[1]!s_west_netprofit($B$1,2026,$A98,180,1000000)</f>
        <v>0</v>
      </c>
      <c r="C98" s="18" cm="1">
        <f t="array" aca="1" ref="C98" ca="1">[1]!s_dq_close($B$1,$A98,3)</f>
        <v>0</v>
      </c>
    </row>
    <row r="99" spans="1:3" ht="18">
      <c r="A99" s="20">
        <f t="shared" ca="1" si="1"/>
        <v>45544</v>
      </c>
      <c r="B99" s="21" cm="1">
        <f t="array" aca="1" ref="B99" ca="1">[1]!s_west_netprofit($B$1,2026,$A99,180,1000000)</f>
        <v>0</v>
      </c>
      <c r="C99" s="22" cm="1">
        <f t="array" aca="1" ref="C99" ca="1">[1]!s_dq_close($B$1,$A99,3)</f>
        <v>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ZENG, YaLin [Alumni]</cp:lastModifiedBy>
  <dcterms:created xsi:type="dcterms:W3CDTF">2026-05-19T01:56:00Z</dcterms:created>
  <dcterms:modified xsi:type="dcterms:W3CDTF">2026-05-18T11:01:14Z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57C655C77D574BA942E20A6ABBEBDA10_41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